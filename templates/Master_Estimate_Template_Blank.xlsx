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Detail" sheetId="1" r:id="rId5"/>
    <sheet state="visible" name="Questions for RFP" sheetId="2" r:id="rId6"/>
    <sheet state="visible" name="Submission timelines" sheetId="3" r:id="rId7"/>
    <sheet state="visible" name="Discovery" sheetId="4" r:id="rId8"/>
    <sheet state="visible" name="Design" sheetId="5" r:id="rId9"/>
    <sheet state="visible" name="Backend" sheetId="6" r:id="rId10"/>
    <sheet state="hidden" name="Sample set - BE" sheetId="7" r:id="rId11"/>
    <sheet state="visible" name="Frontend" sheetId="8" r:id="rId12"/>
    <sheet state="hidden" name="Sample set - FE" sheetId="9" r:id="rId13"/>
    <sheet state="visible" name="Fixed Cost Items" sheetId="10" r:id="rId14"/>
    <sheet state="visible" name="Commercials" sheetId="11" r:id="rId15"/>
    <sheet state="visible" name="Commercials - AI Efficacy" sheetId="12" r:id="rId16"/>
    <sheet state="visible" name="Data" sheetId="13" r:id="rId17"/>
    <sheet state="visible" name="Project plan" sheetId="14" r:id="rId18"/>
    <sheet state="visible" name="UncertaintyFactors" sheetId="15" r:id="rId19"/>
    <sheet state="visible" name="RACI" sheetId="16" r:id="rId20"/>
  </sheets>
  <definedNames/>
  <calcPr/>
</workbook>
</file>

<file path=xl/sharedStrings.xml><?xml version="1.0" encoding="utf-8"?>
<sst xmlns="http://schemas.openxmlformats.org/spreadsheetml/2006/main" count="869" uniqueCount="442">
  <si>
    <t>To be completed by Sales / Client - Request for proposal</t>
  </si>
  <si>
    <t>Name of Sales Lead</t>
  </si>
  <si>
    <t>General information</t>
  </si>
  <si>
    <r>
      <rPr>
        <rFont val="Manrope"/>
        <color rgb="FF000000"/>
        <sz val="11.0"/>
      </rPr>
      <t xml:space="preserve">Client/prospect name
</t>
    </r>
    <r>
      <rPr>
        <rFont val="Manrope"/>
        <color rgb="FF999999"/>
        <sz val="11.0"/>
      </rPr>
      <t>(e.g. UNICEF)</t>
    </r>
  </si>
  <si>
    <r>
      <rPr>
        <rFont val="Manrope"/>
        <color rgb="FF000000"/>
        <sz val="11.0"/>
      </rPr>
      <t xml:space="preserve">Estimate name
</t>
    </r>
    <r>
      <rPr>
        <rFont val="Manrope"/>
        <color rgb="FF999999"/>
        <sz val="11.0"/>
      </rPr>
      <t>(Design &amp; Development of unicef.org)</t>
    </r>
  </si>
  <si>
    <r>
      <rPr>
        <rFont val="Manrope"/>
        <color rgb="FF000000"/>
        <sz val="11.0"/>
      </rPr>
      <t xml:space="preserve">Date raised </t>
    </r>
    <r>
      <rPr>
        <rFont val="Manrope"/>
        <color rgb="FF999999"/>
        <sz val="11.0"/>
      </rPr>
      <t>(MMM/DD/YYYY)</t>
    </r>
  </si>
  <si>
    <t>Final Date for Questions</t>
  </si>
  <si>
    <t>Estimate deadline</t>
  </si>
  <si>
    <t>Project deadline with reason (if any):</t>
  </si>
  <si>
    <r>
      <rPr>
        <rFont val="Manrope"/>
        <color rgb="FF000000"/>
        <sz val="11.0"/>
      </rPr>
      <t xml:space="preserve">Estimated budget range
</t>
    </r>
    <r>
      <rPr>
        <rFont val="Manrope"/>
        <color rgb="FF999999"/>
        <sz val="11.0"/>
      </rPr>
      <t>(e.g. $ 50K, CAD 50K, INR 100K)</t>
    </r>
  </si>
  <si>
    <t>Estimate Complexity</t>
  </si>
  <si>
    <t>Simple</t>
  </si>
  <si>
    <t>Requirements</t>
  </si>
  <si>
    <t>Type of Estimate</t>
  </si>
  <si>
    <t>Custom (Scratch)</t>
  </si>
  <si>
    <t>Summary of requirements</t>
  </si>
  <si>
    <t>Key content areas of the website</t>
  </si>
  <si>
    <t>Current platform details</t>
  </si>
  <si>
    <t>Target audience</t>
  </si>
  <si>
    <r>
      <rPr>
        <rFont val="Manrope"/>
        <color rgb="FF000000"/>
        <sz val="11.0"/>
      </rPr>
      <t xml:space="preserve">Sitemap </t>
    </r>
    <r>
      <rPr>
        <rFont val="Manrope"/>
        <color rgb="FF999999"/>
        <sz val="11.0"/>
      </rPr>
      <t>(if available)</t>
    </r>
  </si>
  <si>
    <t>Total number of pages</t>
  </si>
  <si>
    <r>
      <rPr>
        <rFont val="Manrope"/>
        <color rgb="FF000000"/>
        <sz val="11.0"/>
      </rPr>
      <t xml:space="preserve">Total number of components
</t>
    </r>
    <r>
      <rPr>
        <rFont val="Manrope"/>
        <color rgb="FF999999"/>
        <sz val="11.0"/>
      </rPr>
      <t xml:space="preserve">(e.g. Simple - 10, Medium - 10, Complex - 5) </t>
    </r>
  </si>
  <si>
    <t>Total number of templates</t>
  </si>
  <si>
    <t>Total number of Press Releases</t>
  </si>
  <si>
    <t>Total number of document uploads</t>
  </si>
  <si>
    <t>Total number of video uploads</t>
  </si>
  <si>
    <r>
      <rPr>
        <rFont val="Manrope"/>
        <color rgb="FF000000"/>
        <sz val="11.0"/>
      </rPr>
      <t xml:space="preserve">Number of languages
</t>
    </r>
    <r>
      <rPr>
        <rFont val="Manrope"/>
        <color rgb="FF999999"/>
        <sz val="11.0"/>
      </rPr>
      <t>(Please also specify the lang. versions)</t>
    </r>
  </si>
  <si>
    <t>Reference sites / links, if any</t>
  </si>
  <si>
    <r>
      <rPr>
        <rFont val="Manrope"/>
        <color rgb="FF000000"/>
        <sz val="11.0"/>
      </rPr>
      <t xml:space="preserve">Accessibility guidelines
</t>
    </r>
    <r>
      <rPr>
        <rFont val="Manrope"/>
        <color rgb="FF999999"/>
        <sz val="11.0"/>
      </rPr>
      <t>(If nothing is specified, please consider Level A)</t>
    </r>
  </si>
  <si>
    <t>Infrastructure Architecture</t>
  </si>
  <si>
    <t>Probability of sign-off</t>
  </si>
  <si>
    <t>Priority</t>
  </si>
  <si>
    <t>P1</t>
  </si>
  <si>
    <t>Reason for Priority</t>
  </si>
  <si>
    <t>Q&amp;A Submission deadline</t>
  </si>
  <si>
    <t>Sr. No</t>
  </si>
  <si>
    <t>Topic</t>
  </si>
  <si>
    <t>TOR Reference</t>
  </si>
  <si>
    <t>Questions</t>
  </si>
  <si>
    <t>Impact on Estimates based on possibilities</t>
  </si>
  <si>
    <t>Additional Comments (if any)</t>
  </si>
  <si>
    <t>Estimate Kick Off</t>
  </si>
  <si>
    <t>Task ID</t>
  </si>
  <si>
    <t>Task details</t>
  </si>
  <si>
    <t>Task Duration (days)</t>
  </si>
  <si>
    <t>Start Date</t>
  </si>
  <si>
    <t>End Date</t>
  </si>
  <si>
    <t>Milestone</t>
  </si>
  <si>
    <t>De-briefing call with the team</t>
  </si>
  <si>
    <t>No</t>
  </si>
  <si>
    <t>Review scope and Estimate hours</t>
  </si>
  <si>
    <t>Preparing proposal response</t>
  </si>
  <si>
    <t>Internal review of proposal &amp; Updates</t>
  </si>
  <si>
    <t>Internal sign off &amp; Submission</t>
  </si>
  <si>
    <t>Yes</t>
  </si>
  <si>
    <t>7 April 2023 at 5:00 P.M. (CET, Paris time) via email to
Emilie.Sutton@oecd.org, EDU.Contracts@oecd.org and globalteachinginsights@oecd.org.</t>
  </si>
  <si>
    <t>TO BE FILLED IN BY THE PERSON WORKING ON THE ESTIMATE</t>
  </si>
  <si>
    <t>Name</t>
  </si>
  <si>
    <t>Contigency / Confidence level</t>
  </si>
  <si>
    <t>Date</t>
  </si>
  <si>
    <t>Contingency Hours</t>
  </si>
  <si>
    <t>Total Hours</t>
  </si>
  <si>
    <t>Total AI Efficacy Hours</t>
  </si>
  <si>
    <t>VERIFIED BY</t>
  </si>
  <si>
    <t>Task</t>
  </si>
  <si>
    <t>Description</t>
  </si>
  <si>
    <t>AI Efficacy</t>
  </si>
  <si>
    <t>HOURS</t>
  </si>
  <si>
    <t>Conf</t>
  </si>
  <si>
    <t>Low Hrs</t>
  </si>
  <si>
    <t>High Hrs</t>
  </si>
  <si>
    <t>Assumptions</t>
  </si>
  <si>
    <t>Exclusions</t>
  </si>
  <si>
    <t>Reference links</t>
  </si>
  <si>
    <t>AI Efficacy HOURS</t>
  </si>
  <si>
    <t>Discovery Workshop</t>
  </si>
  <si>
    <t>Desk/Exploratory Research</t>
  </si>
  <si>
    <t>User/Stakeholders Interviews/ Surveys</t>
  </si>
  <si>
    <t>Competitive Analysis</t>
  </si>
  <si>
    <t>Defining User Personas</t>
  </si>
  <si>
    <t>Defining User Journey</t>
  </si>
  <si>
    <t>Foudational Research Report</t>
  </si>
  <si>
    <t>Possible Feature Ideations</t>
  </si>
  <si>
    <t>Understanding globalteachinginsights content source &amp; Planning Migration of videos</t>
  </si>
  <si>
    <t xml:space="preserve">Planning &amp; Drafting Content Architecture </t>
  </si>
  <si>
    <t>Project communication</t>
  </si>
  <si>
    <t>Avg Hours</t>
  </si>
  <si>
    <t>AI Efficacy Asssumptions (Internal use only)</t>
  </si>
  <si>
    <t>User flow &amp; IA</t>
  </si>
  <si>
    <t>Conceptualization + Wireframing</t>
  </si>
  <si>
    <t>Hi-Fi Designs</t>
  </si>
  <si>
    <t>Prototype</t>
  </si>
  <si>
    <t>Documentation</t>
  </si>
  <si>
    <t>Project Communication</t>
  </si>
  <si>
    <t>Sr. DEV</t>
  </si>
  <si>
    <t>DEV</t>
  </si>
  <si>
    <t>Proposed Solution</t>
  </si>
  <si>
    <t>Base Project Setup &amp; Onboarding</t>
  </si>
  <si>
    <r>
      <rPr>
        <rFont val="Manrope, Arial"/>
        <sz val="9.0"/>
      </rPr>
      <t xml:space="preserve">Assuming the scope of this engagement will be limited to pages under the domain </t>
    </r>
    <r>
      <rPr>
        <rFont val="Manrope, Arial"/>
        <color rgb="FF1155CC"/>
        <sz val="9.0"/>
        <u/>
      </rPr>
      <t>https://www.leduc.ca/</t>
    </r>
    <r>
      <rPr>
        <rFont val="Manrope, Arial"/>
        <sz val="9.0"/>
      </rPr>
      <t xml:space="preserve"> with merged data from </t>
    </r>
    <r>
      <rPr>
        <rFont val="Manrope, Arial"/>
        <color rgb="FF1155CC"/>
        <sz val="9.0"/>
        <u/>
      </rPr>
      <t>cityworks.leduc.ca</t>
    </r>
    <r>
      <rPr>
        <rFont val="Manrope, Arial"/>
        <sz val="9.0"/>
      </rPr>
      <t xml:space="preserve"> (only GIS Maps in embedded format) ,</t>
    </r>
    <r>
      <rPr>
        <rFont val="Manrope, Arial"/>
        <color rgb="FF1155CC"/>
        <sz val="9.0"/>
        <u/>
      </rPr>
      <t>elections.leduc.ca</t>
    </r>
    <r>
      <rPr>
        <rFont val="Manrope, Arial"/>
        <sz val="9.0"/>
      </rPr>
      <t xml:space="preserve"> , 
, </t>
    </r>
    <r>
      <rPr>
        <rFont val="Manrope, Arial"/>
        <color rgb="FF1155CC"/>
        <sz val="9.0"/>
        <u/>
      </rPr>
      <t>live.leduc.ca</t>
    </r>
    <r>
      <rPr>
        <rFont val="Manrope, Arial"/>
        <sz val="9.0"/>
      </rPr>
      <t xml:space="preserve"> &amp; </t>
    </r>
    <r>
      <rPr>
        <rFont val="Manrope, Arial"/>
        <color rgb="FF1155CC"/>
        <sz val="9.0"/>
        <u/>
      </rPr>
      <t>photo.leduc.ca</t>
    </r>
    <r>
      <rPr>
        <rFont val="Manrope, Arial"/>
        <sz val="9.0"/>
      </rPr>
      <t xml:space="preserve"> only. This will still leave scope for being able to create microsites in future.
Assuming the total count of calculators across the platform to be 5. These calculators are also not expected to store any data, but just provide users with a calculated output based on the input &amp; business logic applicable. These calculators are also not expected to be doing any kind of database queries or API calls.
Assuming the PDF to web conversion will be needed only for Form pages. The ability to create webforms &amp; have them styled aligning with the Brand guidelines will be built in the Migrated portal. The ceation of a total of 10 different forms will be a part of scope of this engagement. Any other PDF to form conversions can be taken up by City of Leduc's authoring team with training &amp; handoff.
Assuming all webform submissions will be stored on Drupal only.
Assuming there will be a single content moderation system required for all different content templates taking the content through stages: draft &gt; Review &gt; Publish &gt; Archive. Drupal is flexible to allow creation of new states, transitions, access-control in a moderation system. This assumption is made to be able to scope out &amp; estimate the work here only.
Assuming a cap of 270 content entities to be migrated/created during the Migration &amp; the same includes merger of content from microsites listed above being merged.
Assuming full access to Drupal 7 instance responsible for current site will be provided as a source for Migration.
Assuming no use of inline styles, broken HTML in Drupal 7 content across different pages.
Assuming the multilingual implementation will need to be based on Google translate only. No native translation support is required as a part of this Migration.
Assuming the site seach on the Migrated portal will be powered from the content within the portal itself &amp; no external systems will be involved in search results.
Assuming all content used/consumed by end-users will be created on the CMS itself i.e., no content-import from external systems is considered to be in-scope.
Assuming for all items in the RFP marked as potential future integration, the Platform should be capable (if needed demonstrated as well). The features themselves aren't in scope for this engagement.
Assuming no tweaks/branding to be considered in UI/X for the admin interface. Drupal's admin theme is responsive in nature &amp; allows for the site maintenance via handheld devices as well.
Assuming no activity other than content authoring to be conducted by logged in users on the site. End-users consuming information will be anonymous users only.
Assuming we will be okay with a content freeze duration druring the go-live process (approx. 2 weeks).
Assuming all content thats rendering on the current site via anm iframe will continue to render as iframes with the Migrated site for this engagement.
</t>
    </r>
  </si>
  <si>
    <t>Content Authoring</t>
  </si>
  <si>
    <t>Ability to create content of different types corresponding to different functions using different/similar layouts.</t>
  </si>
  <si>
    <t>Landing pages
Events
News
Programs
City Facilities
Blogs
PDF Directory
Photo Gallery
People (Council &amp; Board Members)
Departments
Meeting Minutes</t>
  </si>
  <si>
    <t xml:space="preserve">Assuming only the below to be supported:
Admin Audit Trail User Authentication
Logs user authentication (login logout and request password).
Admin Audit Trail Block Content
Logs block content CUD events performed by the user.
Admin Audit Trail Comment
Logs comment CUD events performed by the user.
Admin Audit Trail Entityqueue
Logs entityqueue CUD events performed by the user.
Admin Audit Trail File
Logs file CUD events performed by the user.
Admin Audit Trail Media
Logs node CUD events performed by the user.
Admin Audit Trail Menu
Logs menu CUD events performed by the user.
Admin Audit Trail Node
Logs node CUD events performed by the user.
Admin Audit Trail Redirect
Logs redirect CUD events performed by the user.
Admin Audit Trail Taxonomy
Logs taxonomy vocabulary and term CUD events performed by the user.
Admin Audit Trail User
Logs user CUD events performed by the user.
Admin Audit Trail Workflows
Logs workflows events performed by the user.
</t>
  </si>
  <si>
    <t>Ability to tag all different content-types with tags &amp; categories.</t>
  </si>
  <si>
    <t>Ability to create component &amp; place them in specific regions as well assemble unique digital experiences using them</t>
  </si>
  <si>
    <t xml:space="preserve">Assuming a component Library of 20-30 visual components to build the Landing page content will be sufficient here.
Assuming 10 different global re-usable blocks placeable in global regions i.e, header &amp; footer/sidebar (Depending on the designs). </t>
  </si>
  <si>
    <t>Ability to create content using a basic content moderation process</t>
  </si>
  <si>
    <t>Assuming the basic content moderation process defined in the first row.
Assuming content modetation dashboards for different states &amp; notifications to follow accordingly on state transitions.
Assuming the access control will be needed at a role &amp; Content structure level only. This will not apply to url structure or single-user access for specific content.</t>
  </si>
  <si>
    <t>Ability to preview &amp; restore old content revisions</t>
  </si>
  <si>
    <t>Ability to schedule &amp; publish content later at a time defined by content creator</t>
  </si>
  <si>
    <t>Ability ot archive &amp; export archived content list</t>
  </si>
  <si>
    <t>Ability to manage media assets centrally</t>
  </si>
  <si>
    <t>User Interactions</t>
  </si>
  <si>
    <t>Ability to subscribe to the newsletter</t>
  </si>
  <si>
    <t>Assuming the subscription data will reside on Drupal only &amp; doesn't need to be integrated with a 3rd party newsletter system.</t>
  </si>
  <si>
    <t>Ability to see a site-wide ticker for general announcements</t>
  </si>
  <si>
    <t>Ability to share pages on Social media</t>
  </si>
  <si>
    <t>Ability to navigate through site sections using menu blocks with next level links</t>
  </si>
  <si>
    <t>Ability to view dynamic content listing blocks for structured content</t>
  </si>
  <si>
    <t>Assuming 2 listing blocks/page for each of the below:
- Events
- News
- Programs
- City Facilities
- Blogs
- PDF Directory
- Photo Gallery
- People (Council &amp; Board Members)
- Departments
- Meeting Minutes</t>
  </si>
  <si>
    <t>User Engagement &amp; Tracking</t>
  </si>
  <si>
    <t>User login integration with Azure AD.</t>
  </si>
  <si>
    <t>Assuming Active Directory for authentication here &amp; roles to be dictated by Active Directory.
Assuming no SSO implementation to be in scope for this engagement.</t>
  </si>
  <si>
    <t>Ability to get support via a Live chatbot on some business critical pages.</t>
  </si>
  <si>
    <t>Assuming the chatbot will be a 3rd party integration here.</t>
  </si>
  <si>
    <t>Ability to create new forms &amp; track + export submissions on Drupal.</t>
  </si>
  <si>
    <t>Assuming form widgets to not exceed the below list:
- TextField
- Text Area
- Select List
- Checkbox/es
- Radio/s
- File input
Includes for creation of 10 different webforms &amp; placing them across the sites.</t>
  </si>
  <si>
    <t>Event Calendar, SMS &amp; Email notifications</t>
  </si>
  <si>
    <t>Assuming notifications for the following events:
- Event creation - broadcast to all past attendees
- Event registration - Confirmation email to the registered attendee.
- Event start notification - N minutes before the start of the event with a link to join the event.
- Thank you for a notification - At the closure/end of the webinar, thank the attendees along with a recording of the event (optional)
Assuming the users registered for the event will not be able to login to the Platform. This will be a simple exportable entity &amp; have no link with the registered users on the Platform.</t>
  </si>
  <si>
    <t>Content Discoverability</t>
  </si>
  <si>
    <t>Robust search covering for text documents &amp; PDF with drill-down filters</t>
  </si>
  <si>
    <t>- Assuming the content in the PDF files also needs to be searchable.
- Assuming a short delay for content to appear in search results is acceptable.</t>
  </si>
  <si>
    <t xml:space="preserve">Robust Information architecture presented via Navigation menu </t>
  </si>
  <si>
    <t>Assuming a simple 2-level navigation menu with featured content blocks in them. 
The footer to consist of flat menu links.</t>
  </si>
  <si>
    <t>SEO &amp; Redirects Setup</t>
  </si>
  <si>
    <t>- Assuming the features needed from SEO perspective are as follows:
-- GTM/GA integration
-- Meta tags automated with manual overrides (Support for indexing control, OG tags, Page title, meta description, author, published/modified date etc.)
- Assuming other analytics &amp; marketing integration scripts e.g., hotjar will be added directly via GTM.
Assuming all analytics to be driven only via GA dashboards &amp; nothing to be tracked by the CMS/Platform chosen.</t>
  </si>
  <si>
    <t>Content Migration</t>
  </si>
  <si>
    <t>Automated Migration of structured content e.g., News, Events &amp; Manual Migration for Landing Pages</t>
  </si>
  <si>
    <t>Assuming the total number of pages to be migrated over to be 500(including 270 pages mentioned in the RFP &amp; approx. 230 pages for content review &amp; edits).</t>
  </si>
  <si>
    <t>Ability to generate Micro-sites from content on the main site itself</t>
  </si>
  <si>
    <t>Assuming all Microsites (e.g., departments) will follow the same brand guidelines. Considering  the same layout with different components can be represented giving the microsites a unique digital experience.
Assuming the header &amp; footer will also need to be overridden for these sites.</t>
  </si>
  <si>
    <t>Calculator Widgets</t>
  </si>
  <si>
    <t>For assumption, refer Row#7</t>
  </si>
  <si>
    <t>Access control list &amp; Dashboard/admin listing setup</t>
  </si>
  <si>
    <t>- Assuming a max. of 4 different roles for content &amp; System management .
- Assuming a ceil of 10 different custom listings to be added on top of what's provided.</t>
  </si>
  <si>
    <t>Daily scrum &amp; sprint meetings</t>
  </si>
  <si>
    <t>Sr. FE</t>
  </si>
  <si>
    <t>FE</t>
  </si>
  <si>
    <t>Theme Setup</t>
  </si>
  <si>
    <t>Header</t>
  </si>
  <si>
    <t>Footer</t>
  </si>
  <si>
    <t>Navigation</t>
  </si>
  <si>
    <t>Secondary Header</t>
  </si>
  <si>
    <t>Hero Banner</t>
  </si>
  <si>
    <t>Hero Banner Carousel</t>
  </si>
  <si>
    <t>Icon Cards and Variations</t>
  </si>
  <si>
    <t>Pricing Card</t>
  </si>
  <si>
    <t>Quick Link Card</t>
  </si>
  <si>
    <t>Featured Card</t>
  </si>
  <si>
    <t>Media Card and Variations</t>
  </si>
  <si>
    <t>Icon Card Carousel</t>
  </si>
  <si>
    <t>Pricing Card Carousel</t>
  </si>
  <si>
    <t>Quick Link Card Carousel</t>
  </si>
  <si>
    <t>Featured Card Carousel</t>
  </si>
  <si>
    <t>Media Card Carousel</t>
  </si>
  <si>
    <t>Testimonial Card</t>
  </si>
  <si>
    <t>Testimonial Card Carousel</t>
  </si>
  <si>
    <t>Section Heading</t>
  </si>
  <si>
    <t>Logo Grids</t>
  </si>
  <si>
    <t>Stats/KPI</t>
  </si>
  <si>
    <t>Text &amp; Media</t>
  </si>
  <si>
    <t>Team Sections and User Detail page</t>
  </si>
  <si>
    <t>Pagination</t>
  </si>
  <si>
    <t>Toggles</t>
  </si>
  <si>
    <t>Breadcrumb</t>
  </si>
  <si>
    <t>Various Forms, Filters and their Layouts</t>
  </si>
  <si>
    <t xml:space="preserve"> </t>
  </si>
  <si>
    <t>Sidebar</t>
  </si>
  <si>
    <t>Accordion</t>
  </si>
  <si>
    <t>Notification Banners</t>
  </si>
  <si>
    <t>Animation and Transition</t>
  </si>
  <si>
    <t>LTR to RTL support</t>
  </si>
  <si>
    <t>Responsive Check</t>
  </si>
  <si>
    <t>Grid Settings</t>
  </si>
  <si>
    <t>Accessibility Support</t>
  </si>
  <si>
    <t>Assuming Level AA Accessibility Standard</t>
  </si>
  <si>
    <t>Various Layouts</t>
  </si>
  <si>
    <t>Interactive Maps and Variations</t>
  </si>
  <si>
    <t>Table Layouts</t>
  </si>
  <si>
    <t>Login and Sign up Page</t>
  </si>
  <si>
    <t>Sticky Component</t>
  </si>
  <si>
    <t>Sticky link component</t>
  </si>
  <si>
    <t>Timeline</t>
  </si>
  <si>
    <t>Excluisions</t>
  </si>
  <si>
    <t>Reference Links</t>
  </si>
  <si>
    <t>Generic</t>
  </si>
  <si>
    <r>
      <rPr>
        <rFont val="Manrope"/>
        <b/>
        <color theme="1"/>
        <sz val="11.0"/>
      </rPr>
      <t xml:space="preserve">Theme Creation from Scratch:
</t>
    </r>
    <r>
      <rPr>
        <rFont val="Manrope"/>
        <color theme="1"/>
        <sz val="11.0"/>
      </rPr>
      <t xml:space="preserve">Assumption is to create a theme from scratch and there is not existing theme on which needs to be worked upon.
Here, we will be setting up the FE code compilation either using Gulp/Webpack
Assuming there will not be admin theme work needs to be done as Drupal itself comes with responsive admin UI/UX.
Assuming the support needs to be provided for all the major browsers - Chrome, Safari, Firefox, Edge and their current version -1
In case of  a  SPACE Product
Here, Have considered Mid level of tweaks.
Mid level of tweaks include below things
- Changing of Branding Elements
- Grid changes
- Spacing in the component elements 
UX of the components will be based on the provided design system link in the Description column
Assuming no major issues with third-party services required for the theme.
</t>
    </r>
    <r>
      <rPr>
        <rFont val="Manrope"/>
        <color theme="1"/>
      </rPr>
      <t>Any additional requirements or changes requested after project initiation may result in additional charges and timeline extensions.</t>
    </r>
  </si>
  <si>
    <t>Set generic elements as per Styleguide</t>
  </si>
  <si>
    <t>This will include,
1. Heading levels (H1 to H6)
2. Paragraphs
3. Lists - Bullet/Numbered
4. CTAs - Primary/Secondary/Tertiary/Link
5. Link element - Normal/External
6. Container width
7. Fonts setup
8. Brand Colors - Primary/Secondary etc.
9. If any x-large, large, medium, small font typography based on custom classes then provide
10. Base font size and line height for Desktop and Mobile</t>
  </si>
  <si>
    <t>Theme Code Review</t>
  </si>
  <si>
    <r>
      <rPr>
        <rFont val="Manrope"/>
        <b/>
        <color theme="1"/>
        <sz val="11.0"/>
      </rPr>
      <t>Theme work in the existing  code base:</t>
    </r>
    <r>
      <rPr>
        <rFont val="Manrope"/>
        <color theme="1"/>
        <sz val="11.0"/>
      </rPr>
      <t xml:space="preserve">
Assumption is that FE code compilation are in place and there will be </t>
    </r>
    <r>
      <rPr>
        <rFont val="Manrope"/>
        <b/>
        <color theme="1"/>
        <sz val="11.0"/>
      </rPr>
      <t>no</t>
    </r>
    <r>
      <rPr>
        <rFont val="Manrope"/>
        <color theme="1"/>
        <sz val="11.0"/>
      </rPr>
      <t xml:space="preserve"> additional setting up needs to be done. If it will not be done properly and not divided as per the component architecture then the this will be re-estimated after code review.
Assuming there will not be admin theme work needs to be done as Drupal itself comes with responsive admin UI/UX.
Assuming the support needs to be provided for all the major browsers - Chrome, Safari, Firefox, Edge and their current version -1
Accessibility support will be provided only for the new work being done. To provide the support for the previously created component/template, additional effort will be considered. 
Assuming no major issues with third-party services required additionally for the theme.</t>
    </r>
  </si>
  <si>
    <t>Various image style creation and Crop Freeform or Focal Point module usage with Responsive image support</t>
  </si>
  <si>
    <t>Assuming different 12-15 image styles for the sites.</t>
  </si>
  <si>
    <t>Drupal Views modification from the FE perspective</t>
  </si>
  <si>
    <t>Assuming around N number of views to be created for the site. Which may require FE related modification</t>
  </si>
  <si>
    <t>Global Components / Elements</t>
  </si>
  <si>
    <r>
      <t xml:space="preserve">
</t>
    </r>
    <r>
      <rPr>
        <rFont val="Manrope"/>
        <color rgb="FF1155CC"/>
        <u/>
      </rPr>
      <t xml:space="preserve">http://space-design-system.qed42.net/?path=/story/organisms-header-primary-header--primary-header
</t>
    </r>
  </si>
  <si>
    <t>Assuming one of the variation of the Header from the provided design system will be considered in the implementation</t>
  </si>
  <si>
    <t>Having any other layout of the header apart from the mentioned variations, will be considered for the additional efforts to estimate</t>
  </si>
  <si>
    <t xml:space="preserve">http://space-design-system.qed42.net/?path=/story/organisms-footer--footer
</t>
  </si>
  <si>
    <t>Assuming one of the variation of the Footer from the provided design system will be conisidered in the implementation.</t>
  </si>
  <si>
    <t>Having any other layout of the footer apart from the mentioned variations in the design system, will be considered for the additional efforts to estimate</t>
  </si>
  <si>
    <t>Either - Dropdown Navigation</t>
  </si>
  <si>
    <r>
      <t xml:space="preserve">
</t>
    </r>
    <r>
      <rPr>
        <rFont val="Manrope"/>
        <color rgb="FF1155CC"/>
        <u/>
      </rPr>
      <t xml:space="preserve">http://space-design-system.qed42.net/?path=/story/organisms-header-n-level-menu-header--n-level-menu-header
</t>
    </r>
  </si>
  <si>
    <t>Assuming the dropdown menu upto level 3 where on clicking of the caret icon the dropdown will open and clicking again will close.</t>
  </si>
  <si>
    <t>Or - Mega menu</t>
  </si>
  <si>
    <r>
      <t xml:space="preserve">
</t>
    </r>
    <r>
      <rPr>
        <rFont val="Manrope"/>
        <color rgb="FF1155CC"/>
        <u/>
      </rPr>
      <t xml:space="preserve">http://space-design-system.qed42.net/?path=/story/organisms-header-sub-navigation-2-column-with-sidebar--2-column-with-sidebar
</t>
    </r>
  </si>
  <si>
    <t>Assuming the menu upto 4 columns with or without featured or Mega menu footer card component under the mega menu.</t>
  </si>
  <si>
    <r>
      <t xml:space="preserve">
</t>
    </r>
    <r>
      <rPr>
        <rFont val="Manrope"/>
        <color rgb="FF000000"/>
        <u/>
      </rPr>
      <t xml:space="preserve">http://space-design-system.qed42.net/?path=/story/organisms-header-secondary-header--secondary-header
</t>
    </r>
  </si>
  <si>
    <t>Assuming the adherence will be to web accessibility standards (e.g., WCAG 2.1).</t>
  </si>
  <si>
    <r>
      <t xml:space="preserve">
</t>
    </r>
    <r>
      <rPr>
        <rFont val="Manrope"/>
        <color rgb="FF1155CC"/>
        <u/>
      </rPr>
      <t xml:space="preserve">http://space-design-system.qed42.net/?path=/story/molecules-breadcrumb--breadcrumb
</t>
    </r>
  </si>
  <si>
    <t>As table requires the consistency to maintain in terms of storing the data and formatting, Assuming all the tables across the site will be of similar look and feel.</t>
  </si>
  <si>
    <t>Performance Monitoring and Optimization</t>
  </si>
  <si>
    <t>Assuming the basic performance monitoring and optimization to make sure the site load time won't go above 2 secs. Here, assuming PWA implementation of Amp Implementation has not been considered.</t>
  </si>
  <si>
    <t>404 &amp; 403 pages</t>
  </si>
  <si>
    <t>Basic content pages with text and link to homepage</t>
  </si>
  <si>
    <t>Site under maintenance page</t>
  </si>
  <si>
    <t>Basic content page with site logo and text</t>
  </si>
  <si>
    <t>Custom utility classes use on layout builder</t>
  </si>
  <si>
    <t>Section classes can be,
- Padding
- Background colors
- Specifice to components
- Background image etc.</t>
  </si>
  <si>
    <t>Custom utility classes use on CKEditor</t>
  </si>
  <si>
    <t>CKEditor classes can be,
- Links
- CTAs
- Fonts
- Text
- Any other as per design requirement etc.</t>
  </si>
  <si>
    <t>Banner</t>
  </si>
  <si>
    <r>
      <t xml:space="preserve">
</t>
    </r>
    <r>
      <rPr>
        <rFont val="Manrope"/>
        <color rgb="FF000000"/>
        <u/>
      </rPr>
      <t xml:space="preserve">http://space-design-system.qed42.net/?path=/story/organisms-hero-banner-hero-banner-style-1--hero-banner-style-1
</t>
    </r>
  </si>
  <si>
    <r>
      <t xml:space="preserve">
</t>
    </r>
    <r>
      <rPr>
        <rFont val="Manrope"/>
        <color rgb="FF1155CC"/>
        <u/>
      </rPr>
      <t xml:space="preserve">http://space-design-system.qed42.net/?path=/story/organisms-carousel-carousel-image-with-asymmetric-text--carousel-image-with-asymmetric-text
</t>
    </r>
  </si>
  <si>
    <t>Cards</t>
  </si>
  <si>
    <r>
      <t xml:space="preserve">
</t>
    </r>
    <r>
      <rPr>
        <rFont val="Manrope"/>
        <color rgb="FF000000"/>
        <u/>
      </rPr>
      <t xml:space="preserve">http://space-design-system.qed42.net/?path=/story/molecules-card-icon-card--icon-card&amp;args=card_layout:withicon
</t>
    </r>
  </si>
  <si>
    <t>One or more of the variations can be used.</t>
  </si>
  <si>
    <r>
      <t xml:space="preserve">
</t>
    </r>
    <r>
      <rPr>
        <rFont val="Manrope"/>
        <color rgb="FF000000"/>
        <u/>
      </rPr>
      <t xml:space="preserve">http://space-design-system.qed42.net/?path=/story/molecules-card-pricing-card--pricing-card
</t>
    </r>
  </si>
  <si>
    <t>One or more of the variations mentioned in the URL can be used.</t>
  </si>
  <si>
    <r>
      <t xml:space="preserve">
</t>
    </r>
    <r>
      <rPr>
        <rFont val="Manrope"/>
        <color rgb="FF000000"/>
        <u/>
      </rPr>
      <t xml:space="preserve">http://space-design-system.qed42.net/?path=/story/molecules-card-featured-card--featured-card
</t>
    </r>
  </si>
  <si>
    <r>
      <t xml:space="preserve">
</t>
    </r>
    <r>
      <rPr>
        <rFont val="Manrope"/>
        <color rgb="FF000000"/>
        <u/>
      </rPr>
      <t xml:space="preserve">http://space-design-system.qed42.net/?path=/story/molecules-card-image-card--image-card
</t>
    </r>
    <r>
      <rPr>
        <rFont val="Manrope"/>
        <color rgb="FF1155CC"/>
        <u/>
      </rPr>
      <t xml:space="preserve">http://space-design-system.qed42.net/?path=/story/molecules-card-quick-link-card--quick-link-card
</t>
    </r>
  </si>
  <si>
    <t xml:space="preserve">
http://space-design-system.qed42.net/?path=/story/molecules-card-testimony-card--testimony-card
</t>
  </si>
  <si>
    <t xml:space="preserve">Card Carousel </t>
  </si>
  <si>
    <r>
      <t xml:space="preserve">
</t>
    </r>
    <r>
      <rPr>
        <rFont val="Manrope"/>
        <color rgb="FF000000"/>
        <u/>
      </rPr>
      <t xml:space="preserve">http://space-design-system.qed42.net/?path=/story/organisms-card-carousel-icon-card-carousel--icon-card-carousel
</t>
    </r>
  </si>
  <si>
    <t xml:space="preserve">
http://space-design-system.qed42.net/?path=/story/organisms-card-carousel-pricing-card-carousel--pricing-card-carousel
</t>
  </si>
  <si>
    <r>
      <t xml:space="preserve">
</t>
    </r>
    <r>
      <rPr>
        <rFont val="Manrope"/>
        <color rgb="FF000000"/>
        <u/>
      </rPr>
      <t xml:space="preserve">http://space-design-system.qed42.net/?path=/story/organisms-card-carousel-featured-card-carousel--featured-card-carousel
</t>
    </r>
  </si>
  <si>
    <r>
      <t xml:space="preserve">
</t>
    </r>
    <r>
      <rPr>
        <rFont val="Manrope"/>
        <color rgb="FF000000"/>
        <u/>
      </rPr>
      <t xml:space="preserve">http://space-design-system.qed42.net/?path=/story/organisms-card-carousel-image-card-carousel--image-card-carousel
</t>
    </r>
  </si>
  <si>
    <r>
      <t xml:space="preserve">
</t>
    </r>
    <r>
      <rPr>
        <rFont val="Manrope"/>
        <color rgb="FF000000"/>
        <u/>
      </rPr>
      <t xml:space="preserve">http://space-design-system.qed42.net/?path=/story/organisms-testimonial-carousel-testimonial-carousel-avatar-center--testimonial-carousel-avatar-center
</t>
    </r>
  </si>
  <si>
    <t>Other Components</t>
  </si>
  <si>
    <r>
      <t xml:space="preserve">
</t>
    </r>
    <r>
      <rPr>
        <rFont val="Manrope"/>
        <color rgb="FF000000"/>
        <sz val="11.0"/>
        <u/>
      </rPr>
      <t xml:space="preserve">http://space-design-system.qed42.net/?path=/story/molecules-section-heading--section-heading
</t>
    </r>
  </si>
  <si>
    <t>CTA Banner</t>
  </si>
  <si>
    <t>http://space-design-system.qed42.net/?path=/story/organisms-cta-banner--cta-banner</t>
  </si>
  <si>
    <r>
      <t xml:space="preserve">
</t>
    </r>
    <r>
      <rPr>
        <rFont val="Manrope"/>
        <color rgb="FF000000"/>
        <sz val="11.0"/>
        <u/>
      </rPr>
      <t xml:space="preserve">http://space-design-system.qed42.net/?path=/story/molecules-logo-grid--logo-grid
</t>
    </r>
  </si>
  <si>
    <r>
      <t xml:space="preserve">
</t>
    </r>
    <r>
      <rPr>
        <rFont val="Manrope"/>
        <color rgb="FF000000"/>
        <sz val="11.0"/>
        <u/>
      </rPr>
      <t xml:space="preserve">http://space-design-system.qed42.net/?path=/story/molecules-stats-kpi--stats-kpi
</t>
    </r>
  </si>
  <si>
    <t>This component comes with odometer effect.</t>
  </si>
  <si>
    <r>
      <t xml:space="preserve">
</t>
    </r>
    <r>
      <rPr>
        <rFont val="Manrope"/>
        <color rgb="FF1155CC"/>
        <sz val="11.0"/>
        <u/>
      </rPr>
      <t xml:space="preserve">http://space-design-system.qed42.net/?path=/story/organisms-text-and-media--text-and-media
</t>
    </r>
  </si>
  <si>
    <t>One or more of the variations mentioned in the URL can be used.
Assuming the mentioned layouting options of this component will be used as it is.</t>
  </si>
  <si>
    <t>http://space-design-system.qed42.net/?path=/story/organisms-sticky-sticky-slim-thumbnails--sticky-slim-thumbnails</t>
  </si>
  <si>
    <t>Sticky Jump link</t>
  </si>
  <si>
    <t>http://space-design-system.qed42.net/?path=/story/organisms-sticky-jump-link-sticky-jump-link--sticky-jump-link</t>
  </si>
  <si>
    <t>http://space-design-system.qed42.net/?path=/story/organisms-timeline-timeline-1--timeline-1</t>
  </si>
  <si>
    <t>http://space-design-system.qed42.net/?path=/story/organisms-accordion--accordion</t>
  </si>
  <si>
    <t>Accordion with Image</t>
  </si>
  <si>
    <t>http://space-design-system.qed42.net/?path=/story/organisms-accordion-with-image-accordion-with-image-variation-1--accordion-with-image-variation-1</t>
  </si>
  <si>
    <t>Team Sections</t>
  </si>
  <si>
    <r>
      <t xml:space="preserve">
</t>
    </r>
    <r>
      <rPr>
        <rFont val="Manrope"/>
        <color rgb="FF1155CC"/>
        <u/>
      </rPr>
      <t xml:space="preserve">http://space-design-system.qed42.net/?path=/story/organisms-team-sections-team-sections-image-card-1--team-sections-image-card-1
</t>
    </r>
  </si>
  <si>
    <t>http://space-design-system.qed42.net/?path=/story/molecules-pagination-pagination--pagination</t>
  </si>
  <si>
    <t>Entity Detail page</t>
  </si>
  <si>
    <t>User Detail page</t>
  </si>
  <si>
    <t>Listing pages</t>
  </si>
  <si>
    <t>Various node detail pages</t>
  </si>
  <si>
    <t>Sidebar Navigations component is one of the component which could be considered  on this pages
Entity templates are divided in 3 major categories
Simple:
Medium:
Complex:</t>
  </si>
  <si>
    <t>Sidebar Navigations</t>
  </si>
  <si>
    <t>This is useful to create the menus which appears on the sidebar of the content to populate the multilevel page links using menu</t>
  </si>
  <si>
    <t>Search box</t>
  </si>
  <si>
    <t>Search Result pages</t>
  </si>
  <si>
    <t>Social media - Block</t>
  </si>
  <si>
    <t>Modal popup</t>
  </si>
  <si>
    <t>Standard modal popup other than lightbox to show content.</t>
  </si>
  <si>
    <t>Form</t>
  </si>
  <si>
    <t>Contact etc.</t>
  </si>
  <si>
    <t>Assuming,
- Form with generic form styling</t>
  </si>
  <si>
    <t>Thirdparty integration</t>
  </si>
  <si>
    <t>Assuming, iFrame embeded code client will provide to use.</t>
  </si>
  <si>
    <t>Back to Top</t>
  </si>
  <si>
    <t>RateCode</t>
  </si>
  <si>
    <t>Pricing</t>
  </si>
  <si>
    <t>Costing</t>
  </si>
  <si>
    <t>TA</t>
  </si>
  <si>
    <t>TH</t>
  </si>
  <si>
    <t>PM</t>
  </si>
  <si>
    <t>To be completed by Estimate Manager</t>
  </si>
  <si>
    <t>PM Name</t>
  </si>
  <si>
    <t>Days of work</t>
  </si>
  <si>
    <t>Weeks of work</t>
  </si>
  <si>
    <t>Months of work</t>
  </si>
  <si>
    <t>Continengy Hours</t>
  </si>
  <si>
    <t>Date submitted (DD/MM/YYYY)</t>
  </si>
  <si>
    <t>Key assumptions estimate is based upon</t>
  </si>
  <si>
    <t>Resource by category</t>
  </si>
  <si>
    <t>%
method</t>
  </si>
  <si>
    <t>Duration (days)</t>
  </si>
  <si>
    <t>Duration (weeks)</t>
  </si>
  <si>
    <t>Discovery</t>
  </si>
  <si>
    <t>N/A</t>
  </si>
  <si>
    <t>Designer</t>
  </si>
  <si>
    <t>Sr. Backend Developer</t>
  </si>
  <si>
    <t>Backend Developer</t>
  </si>
  <si>
    <t>Sr. Frontend Developer</t>
  </si>
  <si>
    <t>Frontend Developer</t>
  </si>
  <si>
    <t>Fixed cost items</t>
  </si>
  <si>
    <t>Quality Analyst</t>
  </si>
  <si>
    <t>Technical Architect</t>
  </si>
  <si>
    <t>Project Manager</t>
  </si>
  <si>
    <t>TOTAL</t>
  </si>
  <si>
    <t>upfront</t>
  </si>
  <si>
    <t>UAT</t>
  </si>
  <si>
    <t>Launch</t>
  </si>
  <si>
    <t>Final Price</t>
  </si>
  <si>
    <t>Business Discount %</t>
  </si>
  <si>
    <t>Design</t>
  </si>
  <si>
    <t>Business Discount $</t>
  </si>
  <si>
    <t>Dev</t>
  </si>
  <si>
    <t>Fixed cost</t>
  </si>
  <si>
    <t>Final Pricing with Discount</t>
  </si>
  <si>
    <t>QA</t>
  </si>
  <si>
    <t>Margin</t>
  </si>
  <si>
    <t>Client Hourly Rates</t>
  </si>
  <si>
    <t>Client Daily Rates</t>
  </si>
  <si>
    <t>Cost Hr</t>
  </si>
  <si>
    <t>Cost Per Day</t>
  </si>
  <si>
    <t>GM%</t>
  </si>
  <si>
    <t>Resource Category</t>
  </si>
  <si>
    <t>Discount %</t>
  </si>
  <si>
    <t>BE DEV</t>
  </si>
  <si>
    <t>SRDEV</t>
  </si>
  <si>
    <t>Sr BE DEV</t>
  </si>
  <si>
    <t>SRTH</t>
  </si>
  <si>
    <t>SR FEDEV</t>
  </si>
  <si>
    <t>FE DEV</t>
  </si>
  <si>
    <t>Sr. QA</t>
  </si>
  <si>
    <t>DSLD</t>
  </si>
  <si>
    <t>Design Lead</t>
  </si>
  <si>
    <t>UI/UX</t>
  </si>
  <si>
    <t>Sr. Designer</t>
  </si>
  <si>
    <t>DP</t>
  </si>
  <si>
    <t>Deployment</t>
  </si>
  <si>
    <t>USD</t>
  </si>
  <si>
    <t>USD
(Hourly Rate)</t>
  </si>
  <si>
    <t>CAD
(Hourly rate)</t>
  </si>
  <si>
    <t>Project Pipeline Probability Matrix</t>
  </si>
  <si>
    <t>Probability %</t>
  </si>
  <si>
    <t>Stage (Center-Aligned)</t>
  </si>
  <si>
    <t>Description (Center-Aligned)</t>
  </si>
  <si>
    <t>0–25%</t>
  </si>
  <si>
    <t>Low chances</t>
  </si>
  <si>
    <r>
      <rPr>
        <rFont val="Manrope"/>
        <color rgb="FFFFFFFF"/>
      </rPr>
      <t>Early discussions or exploratory stage.</t>
    </r>
    <r>
      <rPr>
        <rFont val="Manrope"/>
        <b/>
        <color rgb="FFFFFFFF"/>
      </rPr>
      <t xml:space="preserve"> No immediate resource planning required.</t>
    </r>
  </si>
  <si>
    <t>25–50%</t>
  </si>
  <si>
    <t>Neutral</t>
  </si>
  <si>
    <r>
      <rPr>
        <rFont val="Manrope"/>
        <color theme="1"/>
      </rPr>
      <t xml:space="preserve">RFP received / proposal submitted. Keep in watchlist; </t>
    </r>
    <r>
      <rPr>
        <rFont val="Manrope"/>
        <b/>
        <color theme="1"/>
      </rPr>
      <t>No allocation  needed yet.</t>
    </r>
  </si>
  <si>
    <t>50–75%</t>
  </si>
  <si>
    <t>Positive direction</t>
  </si>
  <si>
    <r>
      <rPr>
        <rFont val="Manrope"/>
        <color theme="1"/>
      </rPr>
      <t xml:space="preserve">Active discussions, shortlisting, or technical rounds progressing well. </t>
    </r>
    <r>
      <rPr>
        <rFont val="Manrope"/>
        <b/>
        <color theme="1"/>
      </rPr>
      <t>Tentative allocations should be discussed.</t>
    </r>
  </si>
  <si>
    <t>75–85%</t>
  </si>
  <si>
    <t>Vendor finalized / tentative confirmation</t>
  </si>
  <si>
    <r>
      <rPr>
        <rFont val="Manrope"/>
        <color theme="1"/>
      </rPr>
      <t>QED42 chosen as preferred vendor or verbal confirmation received.</t>
    </r>
    <r>
      <rPr>
        <rFont val="Manrope"/>
        <b/>
        <color theme="1"/>
      </rPr>
      <t>Should start mapping for Soft Allocation.</t>
    </r>
  </si>
  <si>
    <t>85–95%</t>
  </si>
  <si>
    <t>Contract signing stage</t>
  </si>
  <si>
    <r>
      <rPr>
        <rFont val="Manrope"/>
        <color theme="1"/>
      </rPr>
      <t xml:space="preserve">Terms being finalized / legal in progress. Practice Leads to </t>
    </r>
    <r>
      <rPr>
        <rFont val="Manrope"/>
        <b/>
        <color theme="1"/>
      </rPr>
      <t>prioritize allocation</t>
    </r>
    <r>
      <rPr>
        <rFont val="Manrope"/>
        <color theme="1"/>
      </rPr>
      <t xml:space="preserve"> and </t>
    </r>
    <r>
      <rPr>
        <rFont val="Manrope"/>
        <b/>
        <color theme="1"/>
      </rPr>
      <t>initiate hiring</t>
    </r>
    <r>
      <rPr>
        <rFont val="Manrope"/>
        <color theme="1"/>
      </rPr>
      <t xml:space="preserve"> if needed.</t>
    </r>
  </si>
  <si>
    <t>Won</t>
  </si>
  <si>
    <r>
      <rPr>
        <rFont val="Manrope"/>
        <color theme="1"/>
      </rPr>
      <t xml:space="preserve">Contract signed. </t>
    </r>
    <r>
      <rPr>
        <rFont val="Manrope"/>
        <b/>
        <color theme="1"/>
      </rPr>
      <t>Resource allocation to be locked and executed.</t>
    </r>
  </si>
  <si>
    <t>Estimate start date</t>
  </si>
  <si>
    <t>Weeks</t>
  </si>
  <si>
    <t>Hours</t>
  </si>
  <si>
    <t>Resources</t>
  </si>
  <si>
    <t>Task
Duration
(weeks)</t>
  </si>
  <si>
    <t>Considering selection ends latest by end of Start of May 2023, &amp; Estimate kick off in the next week starting May 15, 2023</t>
  </si>
  <si>
    <t>Project kick off</t>
  </si>
  <si>
    <t>Scoping Phase</t>
  </si>
  <si>
    <t>Design phase</t>
  </si>
  <si>
    <t>Project documentation</t>
  </si>
  <si>
    <t>Project documentation &amp; Design Sign off</t>
  </si>
  <si>
    <t>Development</t>
  </si>
  <si>
    <t>Site themeing</t>
  </si>
  <si>
    <t>QA Testing</t>
  </si>
  <si>
    <t>Internal UAT &amp; Test Cases</t>
  </si>
  <si>
    <t>Client UAT Testing &amp; Fixes</t>
  </si>
  <si>
    <t>Pre-Launch Prep</t>
  </si>
  <si>
    <t>Launch - Go live &amp; Post go live checks</t>
  </si>
  <si>
    <t>Documentation, Training &amp; Handover</t>
  </si>
  <si>
    <t>Confidence Factors</t>
  </si>
  <si>
    <t>APPLIED</t>
  </si>
  <si>
    <t>Pessimistic (SYMM)</t>
  </si>
  <si>
    <t xml:space="preserve">Pessimistic (ASYMM)	</t>
  </si>
  <si>
    <t>Optimistic (SYMM)</t>
  </si>
  <si>
    <t>Optimistic (ASYMM)</t>
  </si>
  <si>
    <t>Scope is purely speculative</t>
  </si>
  <si>
    <t>Scope is vague</t>
  </si>
  <si>
    <t>Scope definition is moderate</t>
  </si>
  <si>
    <t>Scope could use more detail</t>
  </si>
  <si>
    <t>High confidence in scope definition</t>
  </si>
  <si>
    <t>No uncertainty to apply</t>
  </si>
  <si>
    <t>Tasks</t>
  </si>
  <si>
    <t>Pre-Sales</t>
  </si>
  <si>
    <r>
      <rPr>
        <rFont val="Manrope"/>
        <b/>
        <color theme="1"/>
      </rPr>
      <t xml:space="preserve">Estimate Team
</t>
    </r>
    <r>
      <rPr>
        <rFont val="Manrope"/>
        <b/>
        <color theme="1"/>
        <sz val="8.0"/>
      </rPr>
      <t>(Design, Development, QA)</t>
    </r>
  </si>
  <si>
    <t>Practice Leads</t>
  </si>
  <si>
    <t>R-Responsible
A-Accountable
C-Consulted
I-Informed
A/R - Accountable and Jointly Responsible</t>
  </si>
  <si>
    <t>Estimate KICK OFF</t>
  </si>
  <si>
    <t>Gather RFP Requirements &amp; Assets</t>
  </si>
  <si>
    <t>R</t>
  </si>
  <si>
    <t>-</t>
  </si>
  <si>
    <t>I</t>
  </si>
  <si>
    <t>Create Estimate folder and place all assets</t>
  </si>
  <si>
    <t>Send email to Estimates DL listing the requirements &amp; asking for Team allocation</t>
  </si>
  <si>
    <t>C/I</t>
  </si>
  <si>
    <t>PMO to allocate Estimate Team members and confirm over email</t>
  </si>
  <si>
    <t>Create RFP channel in slack</t>
  </si>
  <si>
    <t>Schedule Estimate De-briefing call</t>
  </si>
  <si>
    <t>Create JIRA Ticket for that Estimate</t>
  </si>
  <si>
    <t>Estimate EXECUTION</t>
  </si>
  <si>
    <t xml:space="preserve">Reviewing the estimate requirements </t>
  </si>
  <si>
    <t>C</t>
  </si>
  <si>
    <t>Raising questions on the requirements</t>
  </si>
  <si>
    <t>A</t>
  </si>
  <si>
    <t>Submitting questions with the client</t>
  </si>
  <si>
    <t>Providing updates on questions raised to estimate team</t>
  </si>
  <si>
    <t>Estimating the efforts</t>
  </si>
  <si>
    <t>Verifying the Estimate</t>
  </si>
  <si>
    <t>Time log in JIRA ticket</t>
  </si>
  <si>
    <t>Submitting the estimate to "Estimates DL"</t>
  </si>
  <si>
    <t>Working on Technical and Financial Proposal</t>
  </si>
  <si>
    <t>A/R</t>
  </si>
  <si>
    <t>Internal REVIEW &amp; SIGN OFF</t>
  </si>
  <si>
    <t>Internal Review of Proposal</t>
  </si>
  <si>
    <t>Make required updates</t>
  </si>
  <si>
    <t>Internal Sign off</t>
  </si>
  <si>
    <t>Submitting the Proposal to client</t>
  </si>
  <si>
    <t>GOVERNANCE</t>
  </si>
  <si>
    <t>Update Sales Tracker details</t>
  </si>
  <si>
    <t>Follow ups</t>
  </si>
  <si>
    <t>Status update in the Estimate Channel</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</si>
</sst>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quot; &quot;dd&quot;, &quot;yyyy"/>
    <numFmt numFmtId="165" formatCode="mmm&quot;-&quot;d&quot;-&quot;yyyy"/>
    <numFmt numFmtId="166" formatCode="DD"/>
    <numFmt numFmtId="167" formatCode="ddd"/>
    <numFmt numFmtId="168" formatCode="&quot;$&quot;#,##0.00"/>
    <numFmt numFmtId="169" formatCode="0.0"/>
    <numFmt numFmtId="170" formatCode="&quot;$&quot;#,##0"/>
    <numFmt numFmtId="171" formatCode="[$₹]#,##0"/>
    <numFmt numFmtId="172" formatCode="[$₹]#,##0.00"/>
  </numFmts>
  <fonts count="67">
    <font>
      <sz val="10.0"/>
      <color rgb="FF000000"/>
      <name val="Arial"/>
      <scheme val="minor"/>
    </font>
    <font>
      <b/>
      <sz val="12.0"/>
      <color rgb="FFFFFFFF"/>
      <name val="Manrope"/>
    </font>
    <font/>
    <font>
      <color theme="1"/>
      <name val="Manrope"/>
    </font>
    <font>
      <sz val="11.0"/>
      <color rgb="FF000000"/>
      <name val="Manrope"/>
    </font>
    <font>
      <sz val="10.0"/>
      <color rgb="FF000000"/>
      <name val="Manrope"/>
    </font>
    <font>
      <b/>
      <color theme="1"/>
      <name val="Manrope"/>
    </font>
    <font>
      <b/>
      <sz val="10.0"/>
      <color theme="1"/>
      <name val="Manrope"/>
    </font>
    <font>
      <b/>
      <sz val="10.0"/>
      <color rgb="FF000000"/>
      <name val="Manrope"/>
    </font>
    <font>
      <sz val="10.0"/>
      <color theme="1"/>
      <name val="Manrope"/>
    </font>
    <font>
      <b/>
      <sz val="12.0"/>
      <color theme="1"/>
      <name val="Manrope"/>
    </font>
    <font>
      <sz val="8.0"/>
      <color theme="1"/>
      <name val="Manrope"/>
    </font>
    <font>
      <color theme="1"/>
      <name val="Arial"/>
      <scheme val="minor"/>
    </font>
    <font>
      <sz val="8.0"/>
      <color theme="1"/>
      <name val="Arial"/>
      <scheme val="minor"/>
    </font>
    <font>
      <i/>
      <color theme="1"/>
      <name val="Manrope"/>
    </font>
    <font>
      <i/>
      <sz val="8.0"/>
      <color theme="1"/>
      <name val="Manrope"/>
    </font>
    <font>
      <b/>
      <sz val="8.0"/>
      <color theme="1"/>
      <name val="Manrope"/>
    </font>
    <font>
      <color rgb="FFCC0000"/>
      <name val="Arial"/>
    </font>
    <font>
      <b/>
      <color rgb="FF000000"/>
      <name val="Manrope"/>
    </font>
    <font>
      <color theme="1"/>
      <name val="Arial"/>
    </font>
    <font>
      <b/>
      <color rgb="FFCC0000"/>
      <name val="Manrope"/>
    </font>
    <font>
      <b/>
      <i/>
      <color rgb="FF0000FF"/>
      <name val="Manrope"/>
    </font>
    <font>
      <b/>
      <color rgb="FF008000"/>
      <name val="Manrope"/>
    </font>
    <font>
      <b/>
      <color rgb="FFFF0000"/>
      <name val="Manrope"/>
    </font>
    <font>
      <i/>
      <color rgb="FF0000FF"/>
      <name val="Arial"/>
    </font>
    <font>
      <color rgb="FF008000"/>
      <name val="Arial"/>
    </font>
    <font>
      <color rgb="FFFF0000"/>
      <name val="Arial"/>
    </font>
    <font>
      <b/>
      <sz val="14.0"/>
      <color theme="1"/>
      <name val="Manrope"/>
    </font>
    <font>
      <b/>
      <color theme="1"/>
      <name val="Arial"/>
    </font>
    <font>
      <sz val="9.0"/>
      <color theme="1"/>
      <name val="Manrope"/>
    </font>
    <font>
      <sz val="9.0"/>
      <color theme="1"/>
      <name val="Arial"/>
    </font>
    <font>
      <u/>
      <sz val="9.0"/>
      <color rgb="FF0000FF"/>
      <name val="Manrope"/>
    </font>
    <font>
      <i/>
      <color rgb="FF0000FF"/>
      <name val="Manrope"/>
    </font>
    <font>
      <color rgb="FF008000"/>
      <name val="Manrope"/>
    </font>
    <font>
      <color rgb="FFFF0000"/>
      <name val="Manrope"/>
    </font>
    <font>
      <u/>
      <color rgb="FF1155CC"/>
      <name val="Docs-Manrope"/>
    </font>
    <font>
      <u/>
      <color rgb="FF0000FF"/>
      <name val="Manrope"/>
    </font>
    <font>
      <u/>
      <color rgb="FF0000FF"/>
      <name val="Manrope"/>
    </font>
    <font>
      <u/>
      <color theme="1"/>
      <name val="Manrope"/>
    </font>
    <font>
      <u/>
      <color rgb="FF0000FF"/>
      <name val="Manrope"/>
    </font>
    <font>
      <u/>
      <color rgb="FF000000"/>
      <name val="Manrope"/>
    </font>
    <font>
      <u/>
      <color theme="1"/>
      <name val="Manrope"/>
    </font>
    <font>
      <u/>
      <color rgb="FF0000FF"/>
      <name val="Manrope"/>
    </font>
    <font>
      <u/>
      <color theme="1"/>
      <name val="Manrope"/>
    </font>
    <font>
      <u/>
      <sz val="11.0"/>
      <color rgb="FF0000FF"/>
      <name val="Manrope"/>
    </font>
    <font>
      <sz val="11.0"/>
      <color theme="1"/>
      <name val="Manrope"/>
    </font>
    <font>
      <b/>
      <i/>
      <sz val="10.0"/>
      <color rgb="FFFFFFFF"/>
      <name val="Manrope"/>
    </font>
    <font>
      <b/>
      <sz val="15.0"/>
      <color rgb="FFCC0000"/>
      <name val="Manrope"/>
    </font>
    <font>
      <b/>
      <sz val="9.0"/>
      <color theme="1"/>
      <name val="Manrope"/>
    </font>
    <font>
      <b/>
      <i/>
      <sz val="9.0"/>
      <color rgb="FFFFFFFF"/>
      <name val="Manrope"/>
    </font>
    <font>
      <i/>
      <sz val="10.0"/>
      <color rgb="FF000000"/>
      <name val="Manrope"/>
    </font>
    <font>
      <i/>
      <sz val="9.0"/>
      <color rgb="FF000000"/>
      <name val="Manrope"/>
    </font>
    <font>
      <sz val="9.0"/>
      <color rgb="FF7E3794"/>
      <name val="&quot;Google Sans Mono&quot;"/>
    </font>
    <font>
      <b/>
      <sz val="9.0"/>
      <color theme="0"/>
      <name val="Manrope"/>
    </font>
    <font>
      <sz val="12.0"/>
      <color theme="1"/>
      <name val="Manrope"/>
    </font>
    <font>
      <b/>
      <sz val="9.0"/>
      <color rgb="FFFFFFFF"/>
      <name val="Manrope"/>
    </font>
    <font>
      <b/>
      <i/>
      <sz val="12.0"/>
      <color rgb="FF000000"/>
      <name val="Manrope"/>
    </font>
    <font>
      <b/>
      <color rgb="FFFFFFFF"/>
      <name val="Manrope"/>
    </font>
    <font>
      <color rgb="FFFFFFFF"/>
      <name val="Manrope"/>
    </font>
    <font>
      <b/>
      <sz val="7.0"/>
      <color theme="1"/>
      <name val="Manrope"/>
    </font>
    <font>
      <sz val="7.0"/>
      <color theme="1"/>
      <name val="Manrope"/>
    </font>
    <font>
      <b/>
      <sz val="8.0"/>
      <color rgb="FFFFFFFF"/>
      <name val="Manrope"/>
    </font>
    <font>
      <sz val="8.0"/>
      <color rgb="FF000000"/>
      <name val="Manrope"/>
    </font>
    <font>
      <color rgb="FFFF9900"/>
      <name val="Manrope"/>
    </font>
    <font>
      <color rgb="FFFFFF00"/>
      <name val="Manrope"/>
    </font>
    <font>
      <color rgb="FF99CC00"/>
      <name val="Manrope"/>
    </font>
    <font>
      <color rgb="FF00FF00"/>
      <name val="Manrope"/>
    </font>
  </fonts>
  <fills count="38">
    <fill>
      <patternFill patternType="none"/>
    </fill>
    <fill>
      <patternFill patternType="lightGray"/>
    </fill>
    <fill>
      <patternFill patternType="solid">
        <fgColor rgb="FFCC0000"/>
        <bgColor rgb="FFCC0000"/>
      </patternFill>
    </fill>
    <fill>
      <patternFill patternType="solid">
        <fgColor rgb="FFEFEFEF"/>
        <bgColor rgb="FFEFEFEF"/>
      </patternFill>
    </fill>
    <fill>
      <patternFill patternType="solid">
        <fgColor rgb="FFF4CCCC"/>
        <bgColor rgb="FFF4CCCC"/>
      </patternFill>
    </fill>
    <fill>
      <patternFill patternType="solid">
        <fgColor rgb="FFFFFFFF"/>
        <bgColor rgb="FFFFFFFF"/>
      </patternFill>
    </fill>
    <fill>
      <patternFill patternType="solid">
        <fgColor rgb="FFA2C4C9"/>
        <bgColor rgb="FFA2C4C9"/>
      </patternFill>
    </fill>
    <fill>
      <patternFill patternType="solid">
        <fgColor rgb="FFB7B7B7"/>
        <bgColor rgb="FFB7B7B7"/>
      </patternFill>
    </fill>
    <fill>
      <patternFill patternType="solid">
        <fgColor rgb="FF76A5AF"/>
        <bgColor rgb="FF76A5AF"/>
      </patternFill>
    </fill>
    <fill>
      <patternFill patternType="solid">
        <fgColor rgb="FFD0E0E3"/>
        <bgColor rgb="FFD0E0E3"/>
      </patternFill>
    </fill>
    <fill>
      <patternFill patternType="solid">
        <fgColor rgb="FFE06666"/>
        <bgColor rgb="FFE06666"/>
      </patternFill>
    </fill>
    <fill>
      <patternFill patternType="solid">
        <fgColor rgb="FFD9D9D9"/>
        <bgColor rgb="FFD9D9D9"/>
      </patternFill>
    </fill>
    <fill>
      <patternFill patternType="solid">
        <fgColor rgb="FF999999"/>
        <bgColor rgb="FF999999"/>
      </patternFill>
    </fill>
    <fill>
      <patternFill patternType="solid">
        <fgColor rgb="FFCCCCCC"/>
        <bgColor rgb="FFCCCCCC"/>
      </patternFill>
    </fill>
    <fill>
      <patternFill patternType="solid">
        <fgColor rgb="FFC2D1F0"/>
        <bgColor rgb="FFC2D1F0"/>
      </patternFill>
    </fill>
    <fill>
      <patternFill patternType="solid">
        <fgColor rgb="FFFFFF00"/>
        <bgColor rgb="FFFFFF00"/>
      </patternFill>
    </fill>
    <fill>
      <patternFill patternType="solid">
        <fgColor rgb="FF93C47D"/>
        <bgColor rgb="FF93C47D"/>
      </patternFill>
    </fill>
    <fill>
      <patternFill patternType="solid">
        <fgColor rgb="FFCFE2F3"/>
        <bgColor rgb="FFCFE2F3"/>
      </patternFill>
    </fill>
    <fill>
      <patternFill patternType="solid">
        <fgColor rgb="FFFFF2CC"/>
        <bgColor rgb="FFFFF2CC"/>
      </patternFill>
    </fill>
    <fill>
      <patternFill patternType="solid">
        <fgColor rgb="FFF6B26B"/>
        <bgColor rgb="FFF6B26B"/>
      </patternFill>
    </fill>
    <fill>
      <patternFill patternType="solid">
        <fgColor rgb="FFFFD966"/>
        <bgColor rgb="FFFFD966"/>
      </patternFill>
    </fill>
    <fill>
      <patternFill patternType="solid">
        <fgColor rgb="FF6D9EEB"/>
        <bgColor rgb="FF6D9EEB"/>
      </patternFill>
    </fill>
    <fill>
      <patternFill patternType="solid">
        <fgColor rgb="FF8E7CC3"/>
        <bgColor rgb="FF8E7CC3"/>
      </patternFill>
    </fill>
    <fill>
      <patternFill patternType="solid">
        <fgColor rgb="FFD1DBF0"/>
        <bgColor rgb="FFD1DBF0"/>
      </patternFill>
    </fill>
    <fill>
      <patternFill patternType="solid">
        <fgColor rgb="FFE1E0E0"/>
        <bgColor rgb="FFE1E0E0"/>
      </patternFill>
    </fill>
    <fill>
      <patternFill patternType="solid">
        <fgColor rgb="FF00FF00"/>
        <bgColor rgb="FF00FF00"/>
      </patternFill>
    </fill>
    <fill>
      <patternFill patternType="solid">
        <fgColor rgb="FF00FFFF"/>
        <bgColor rgb="FF00FFFF"/>
      </patternFill>
    </fill>
    <fill>
      <patternFill patternType="solid">
        <fgColor rgb="FF666666"/>
        <bgColor rgb="FF666666"/>
      </patternFill>
    </fill>
    <fill>
      <patternFill patternType="solid">
        <fgColor rgb="FFE69138"/>
        <bgColor rgb="FFE69138"/>
      </patternFill>
    </fill>
    <fill>
      <patternFill patternType="solid">
        <fgColor rgb="FFD9EAD3"/>
        <bgColor rgb="FFD9EAD3"/>
      </patternFill>
    </fill>
    <fill>
      <patternFill patternType="solid">
        <fgColor theme="7"/>
        <bgColor theme="7"/>
      </patternFill>
    </fill>
    <fill>
      <patternFill patternType="solid">
        <fgColor rgb="FFF9CB9C"/>
        <bgColor rgb="FFF9CB9C"/>
      </patternFill>
    </fill>
    <fill>
      <patternFill patternType="solid">
        <fgColor rgb="FF333333"/>
        <bgColor rgb="FF333333"/>
      </patternFill>
    </fill>
    <fill>
      <patternFill patternType="solid">
        <fgColor rgb="FFBDE6E1"/>
        <bgColor rgb="FFBDE6E1"/>
      </patternFill>
    </fill>
    <fill>
      <patternFill patternType="solid">
        <fgColor rgb="FF808080"/>
        <bgColor rgb="FF808080"/>
      </patternFill>
    </fill>
    <fill>
      <patternFill patternType="solid">
        <fgColor rgb="FFCCFFFF"/>
        <bgColor rgb="FFCCFFFF"/>
      </patternFill>
    </fill>
    <fill>
      <patternFill patternType="solid">
        <fgColor rgb="FFC0C0C0"/>
        <bgColor rgb="FFC0C0C0"/>
      </patternFill>
    </fill>
    <fill>
      <patternFill patternType="solid">
        <fgColor rgb="FFDDDDDD"/>
        <bgColor rgb="FFDDDDDD"/>
      </patternFill>
    </fill>
  </fills>
  <borders count="11">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medium">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36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0" fillId="0" fontId="3" numFmtId="0" xfId="0" applyFont="1"/>
    <xf borderId="0" fillId="0" fontId="3" numFmtId="0" xfId="0" applyFont="1"/>
    <xf borderId="3" fillId="3" fontId="4" numFmtId="0" xfId="0" applyAlignment="1" applyBorder="1" applyFill="1" applyFont="1">
      <alignment horizontal="left" readingOrder="0" shrinkToFit="0" vertical="center" wrapText="1"/>
    </xf>
    <xf borderId="3" fillId="0" fontId="5" numFmtId="0" xfId="0" applyAlignment="1" applyBorder="1" applyFont="1">
      <alignment horizontal="left" shrinkToFit="0" vertical="center" wrapText="1"/>
    </xf>
    <xf borderId="4" fillId="4" fontId="6" numFmtId="0" xfId="0" applyAlignment="1" applyBorder="1" applyFill="1" applyFont="1">
      <alignment horizontal="left" readingOrder="0" shrinkToFit="0" vertical="center" wrapText="1"/>
    </xf>
    <xf borderId="5" fillId="0" fontId="2" numFmtId="0" xfId="0" applyBorder="1" applyFont="1"/>
    <xf borderId="3" fillId="5" fontId="5" numFmtId="0" xfId="0" applyAlignment="1" applyBorder="1" applyFill="1" applyFont="1">
      <alignment horizontal="left" readingOrder="0" shrinkToFit="0" vertical="center" wrapText="1"/>
    </xf>
    <xf borderId="3" fillId="0" fontId="7" numFmtId="164" xfId="0" applyAlignment="1" applyBorder="1" applyFont="1" applyNumberFormat="1">
      <alignment horizontal="left" readingOrder="0" vertical="center"/>
    </xf>
    <xf borderId="3" fillId="3" fontId="4" numFmtId="0" xfId="0" applyAlignment="1" applyBorder="1" applyFont="1">
      <alignment horizontal="left" shrinkToFit="0" vertical="center" wrapText="1"/>
    </xf>
    <xf borderId="3" fillId="0" fontId="8" numFmtId="0" xfId="0" applyAlignment="1" applyBorder="1" applyFont="1">
      <alignment horizontal="left" readingOrder="0" shrinkToFit="0" vertical="center" wrapText="1"/>
    </xf>
    <xf borderId="3" fillId="5" fontId="5" numFmtId="0" xfId="0" applyAlignment="1" applyBorder="1" applyFont="1">
      <alignment horizontal="left" shrinkToFit="0" vertical="center" wrapText="1"/>
    </xf>
    <xf borderId="3" fillId="0" fontId="9" numFmtId="0" xfId="0" applyAlignment="1" applyBorder="1" applyFont="1">
      <alignment horizontal="left" shrinkToFit="0" vertical="center" wrapText="1"/>
    </xf>
    <xf borderId="3" fillId="0" fontId="5" numFmtId="0" xfId="0" applyAlignment="1" applyBorder="1" applyFont="1">
      <alignment horizontal="left" readingOrder="0" shrinkToFit="0" vertical="center" wrapText="1"/>
    </xf>
    <xf borderId="3" fillId="0" fontId="8" numFmtId="9" xfId="0" applyAlignment="1" applyBorder="1" applyFont="1" applyNumberFormat="1">
      <alignment horizontal="left" readingOrder="0" shrinkToFit="0" vertical="center" wrapText="1"/>
    </xf>
    <xf borderId="3" fillId="5" fontId="8" numFmtId="0" xfId="0" applyAlignment="1" applyBorder="1" applyFont="1">
      <alignment horizontal="left" readingOrder="0" shrinkToFit="0" vertical="center" wrapText="1"/>
    </xf>
    <xf borderId="0" fillId="0" fontId="3" numFmtId="0" xfId="0" applyAlignment="1" applyFont="1">
      <alignment horizontal="left" shrinkToFit="0" vertical="center" wrapText="1"/>
    </xf>
    <xf borderId="0" fillId="0" fontId="3" numFmtId="0" xfId="0" applyAlignment="1" applyFont="1">
      <alignment horizontal="left"/>
    </xf>
    <xf borderId="0" fillId="6" fontId="10" numFmtId="0" xfId="0" applyAlignment="1" applyFill="1" applyFont="1">
      <alignment horizontal="left" vertical="center"/>
    </xf>
    <xf borderId="0" fillId="7" fontId="6" numFmtId="0" xfId="0" applyAlignment="1" applyFill="1" applyFont="1">
      <alignment horizontal="center" vertical="center"/>
    </xf>
    <xf borderId="0" fillId="7" fontId="6" numFmtId="0" xfId="0" applyAlignment="1" applyFont="1">
      <alignment shrinkToFit="0" wrapText="1"/>
    </xf>
    <xf borderId="0" fillId="7" fontId="6" numFmtId="0" xfId="0" applyAlignment="1" applyFont="1">
      <alignment readingOrder="0" shrinkToFit="0" wrapText="1"/>
    </xf>
    <xf borderId="0" fillId="7" fontId="7" numFmtId="0" xfId="0" applyAlignment="1" applyFont="1">
      <alignment shrinkToFit="0" vertical="center" wrapText="1"/>
    </xf>
    <xf borderId="0" fillId="7" fontId="7" numFmtId="0" xfId="0" applyAlignment="1" applyFont="1">
      <alignment readingOrder="0" shrinkToFit="0" vertical="center" wrapText="1"/>
    </xf>
    <xf borderId="0" fillId="0" fontId="3" numFmtId="0" xfId="0" applyAlignment="1" applyFont="1">
      <alignment horizontal="center" vertical="center"/>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wrapText="1"/>
    </xf>
    <xf borderId="0" fillId="0" fontId="9" numFmtId="0" xfId="0" applyAlignment="1" applyFont="1">
      <alignment shrinkToFit="0" vertical="center" wrapText="1"/>
    </xf>
    <xf borderId="0" fillId="0" fontId="11" numFmtId="0" xfId="0" applyAlignment="1" applyFont="1">
      <alignment shrinkToFit="0" vertical="center" wrapText="1"/>
    </xf>
    <xf borderId="0" fillId="0" fontId="3" numFmtId="0" xfId="0" applyAlignment="1" applyFont="1">
      <alignment shrinkToFit="0" wrapText="1"/>
    </xf>
    <xf borderId="0" fillId="0" fontId="12" numFmtId="0" xfId="0" applyAlignment="1" applyFont="1">
      <alignment shrinkToFit="0" wrapText="1"/>
    </xf>
    <xf borderId="0" fillId="0" fontId="13" numFmtId="0" xfId="0" applyAlignment="1" applyFont="1">
      <alignment shrinkToFit="0" wrapText="1"/>
    </xf>
    <xf borderId="0" fillId="0" fontId="3" numFmtId="0" xfId="0" applyAlignment="1" applyFont="1">
      <alignment vertical="center"/>
    </xf>
    <xf borderId="0" fillId="8" fontId="6" numFmtId="0" xfId="0" applyAlignment="1" applyFill="1" applyFont="1">
      <alignment horizontal="right" shrinkToFit="0" vertical="center" wrapText="1"/>
    </xf>
    <xf borderId="0" fillId="9" fontId="7" numFmtId="164" xfId="0" applyAlignment="1" applyFill="1" applyFont="1" applyNumberFormat="1">
      <alignment horizontal="right" vertical="center"/>
    </xf>
    <xf borderId="0" fillId="0" fontId="14" numFmtId="165" xfId="0" applyAlignment="1" applyFont="1" applyNumberFormat="1">
      <alignment horizontal="center" vertical="center"/>
    </xf>
    <xf borderId="0" fillId="0" fontId="7" numFmtId="0" xfId="0" applyAlignment="1" applyFont="1">
      <alignment horizontal="center" vertical="center"/>
    </xf>
    <xf borderId="0" fillId="0" fontId="7" numFmtId="0" xfId="0" applyAlignment="1" applyFont="1">
      <alignment horizontal="center" shrinkToFit="0" vertical="center" wrapText="1"/>
    </xf>
    <xf borderId="0" fillId="0" fontId="15" numFmtId="166" xfId="0" applyAlignment="1" applyFont="1" applyNumberFormat="1">
      <alignment vertical="center"/>
    </xf>
    <xf borderId="0" fillId="7" fontId="15" numFmtId="166" xfId="0" applyAlignment="1" applyFont="1" applyNumberFormat="1">
      <alignment vertical="center"/>
    </xf>
    <xf borderId="0" fillId="0" fontId="9" numFmtId="0" xfId="0" applyAlignment="1" applyFont="1">
      <alignment vertical="center"/>
    </xf>
    <xf borderId="0" fillId="0" fontId="9" numFmtId="0" xfId="0" applyAlignment="1" applyFont="1">
      <alignment horizontal="center" shrinkToFit="0" vertical="center" wrapText="1"/>
    </xf>
    <xf borderId="0" fillId="0" fontId="15" numFmtId="167" xfId="0" applyAlignment="1" applyFont="1" applyNumberFormat="1">
      <alignment horizontal="center"/>
    </xf>
    <xf borderId="0" fillId="0" fontId="9" numFmtId="0" xfId="0" applyAlignment="1" applyFont="1">
      <alignment horizontal="center" vertical="center"/>
    </xf>
    <xf borderId="0" fillId="0" fontId="9" numFmtId="164" xfId="0" applyAlignment="1" applyFont="1" applyNumberFormat="1">
      <alignment horizontal="right" vertical="center"/>
    </xf>
    <xf borderId="0" fillId="0" fontId="16" numFmtId="0" xfId="0" applyAlignment="1" applyFont="1">
      <alignment horizontal="right" vertical="center"/>
    </xf>
    <xf borderId="0" fillId="0" fontId="17" numFmtId="0" xfId="0" applyFont="1"/>
    <xf borderId="0" fillId="0" fontId="11" numFmtId="0" xfId="0" applyAlignment="1" applyFont="1">
      <alignment vertical="bottom"/>
    </xf>
    <xf borderId="0" fillId="0" fontId="3" numFmtId="0" xfId="0" applyAlignment="1" applyFont="1">
      <alignment horizontal="center" shrinkToFit="0" vertical="center" wrapText="1"/>
    </xf>
    <xf borderId="0" fillId="0" fontId="3" numFmtId="0" xfId="0" applyAlignment="1" applyFont="1">
      <alignment vertical="bottom"/>
    </xf>
    <xf borderId="0" fillId="10" fontId="18" numFmtId="0" xfId="0" applyAlignment="1" applyFill="1" applyFont="1">
      <alignment horizontal="left" vertical="center"/>
    </xf>
    <xf borderId="0" fillId="10" fontId="18" numFmtId="0" xfId="0" applyAlignment="1" applyFont="1">
      <alignment horizontal="left" shrinkToFit="0" vertical="center" wrapText="1"/>
    </xf>
    <xf borderId="0" fillId="11" fontId="6" numFmtId="0" xfId="0" applyAlignment="1" applyFill="1" applyFont="1">
      <alignment horizontal="left" vertical="center"/>
    </xf>
    <xf borderId="0" fillId="11" fontId="6" numFmtId="0" xfId="0" applyAlignment="1" applyFont="1">
      <alignment horizontal="left" shrinkToFit="0" vertical="center" wrapText="1"/>
    </xf>
    <xf borderId="0" fillId="0" fontId="3" numFmtId="0" xfId="0" applyAlignment="1" applyFont="1">
      <alignment horizontal="left" vertical="center"/>
    </xf>
    <xf borderId="0" fillId="0" fontId="19" numFmtId="0" xfId="0" applyAlignment="1" applyFont="1">
      <alignment horizontal="center" vertical="center"/>
    </xf>
    <xf borderId="0" fillId="11" fontId="3" numFmtId="9" xfId="0" applyAlignment="1" applyFont="1" applyNumberFormat="1">
      <alignment horizontal="center" readingOrder="0" shrinkToFit="0" vertical="center" wrapText="1"/>
    </xf>
    <xf borderId="0" fillId="12" fontId="6" numFmtId="0" xfId="0" applyAlignment="1" applyFill="1" applyFont="1">
      <alignment horizontal="right" shrinkToFit="0" vertical="center" wrapText="1"/>
    </xf>
    <xf borderId="0" fillId="0" fontId="9" numFmtId="164" xfId="0" applyAlignment="1" applyFont="1" applyNumberFormat="1">
      <alignment horizontal="left" vertical="center"/>
    </xf>
    <xf borderId="0" fillId="11" fontId="3" numFmtId="0" xfId="0" applyAlignment="1" applyFont="1">
      <alignment horizontal="center" shrinkToFit="0" vertical="center" wrapText="1"/>
    </xf>
    <xf borderId="0" fillId="0" fontId="3" numFmtId="0" xfId="0" applyAlignment="1" applyFont="1">
      <alignment horizontal="left" readingOrder="0" vertical="center"/>
    </xf>
    <xf borderId="0" fillId="11" fontId="6" numFmtId="0" xfId="0" applyAlignment="1" applyFont="1">
      <alignment horizontal="center" readingOrder="0" shrinkToFit="0" vertical="center" wrapText="1"/>
    </xf>
    <xf borderId="0" fillId="11" fontId="20" numFmtId="0" xfId="0" applyAlignment="1" applyFont="1">
      <alignment horizontal="left" shrinkToFit="0" vertical="center" wrapText="1"/>
    </xf>
    <xf borderId="0" fillId="4" fontId="3" numFmtId="0" xfId="0" applyAlignment="1" applyFont="1">
      <alignment vertical="center"/>
    </xf>
    <xf borderId="0" fillId="7" fontId="6" numFmtId="0" xfId="0" applyAlignment="1" applyFont="1">
      <alignment horizontal="left" shrinkToFit="0" vertical="center" wrapText="1"/>
    </xf>
    <xf borderId="0" fillId="7" fontId="6" numFmtId="0" xfId="0" applyAlignment="1" applyFont="1">
      <alignment horizontal="left" vertical="center"/>
    </xf>
    <xf borderId="0" fillId="7" fontId="6" numFmtId="0" xfId="0" applyAlignment="1" applyFont="1">
      <alignment horizontal="center" shrinkToFit="0" vertical="center" wrapText="1"/>
    </xf>
    <xf borderId="0" fillId="13" fontId="21" numFmtId="0" xfId="0" applyAlignment="1" applyFill="1" applyFont="1">
      <alignment horizontal="center" vertical="center"/>
    </xf>
    <xf borderId="0" fillId="13" fontId="22" numFmtId="0" xfId="0" applyAlignment="1" applyFont="1">
      <alignment horizontal="center" vertical="center"/>
    </xf>
    <xf borderId="0" fillId="13" fontId="23" numFmtId="0" xfId="0" applyAlignment="1" applyFont="1">
      <alignment horizontal="center" vertical="center"/>
    </xf>
    <xf borderId="0" fillId="7" fontId="6" numFmtId="0" xfId="0" applyAlignment="1" applyFont="1">
      <alignment shrinkToFit="0" vertical="center" wrapText="1"/>
    </xf>
    <xf borderId="0" fillId="7" fontId="6" numFmtId="0" xfId="0" applyAlignment="1" applyFont="1">
      <alignment horizontal="center" readingOrder="0" shrinkToFit="0" vertical="center" wrapText="1"/>
    </xf>
    <xf borderId="0" fillId="14" fontId="24" numFmtId="0" xfId="0" applyAlignment="1" applyFill="1" applyFont="1">
      <alignment horizontal="center" vertical="top"/>
    </xf>
    <xf borderId="0" fillId="3" fontId="3" numFmtId="0" xfId="0" applyAlignment="1" applyFont="1">
      <alignment shrinkToFit="0" vertical="center" wrapText="1"/>
    </xf>
    <xf borderId="0" fillId="0" fontId="3" numFmtId="9" xfId="0" applyAlignment="1" applyFont="1" applyNumberFormat="1">
      <alignment horizontal="center" readingOrder="0" shrinkToFit="0" vertical="center" wrapText="1"/>
    </xf>
    <xf borderId="0" fillId="0" fontId="3" numFmtId="0" xfId="0" applyAlignment="1" applyFont="1">
      <alignment horizontal="center" readingOrder="0" vertical="center"/>
    </xf>
    <xf borderId="0" fillId="14" fontId="24" numFmtId="0" xfId="0" applyAlignment="1" applyFont="1">
      <alignment horizontal="center" readingOrder="0" vertical="center"/>
    </xf>
    <xf borderId="0" fillId="0" fontId="25" numFmtId="0" xfId="0" applyAlignment="1" applyFont="1">
      <alignment horizontal="center" vertical="center"/>
    </xf>
    <xf borderId="0" fillId="5" fontId="26" numFmtId="0" xfId="0" applyAlignment="1" applyFont="1">
      <alignment horizontal="center" vertical="center"/>
    </xf>
    <xf borderId="0" fillId="0" fontId="3" numFmtId="9" xfId="0" applyAlignment="1" applyFont="1" applyNumberFormat="1">
      <alignment readingOrder="0" vertical="center"/>
    </xf>
    <xf borderId="0" fillId="0" fontId="3" numFmtId="0" xfId="0" applyAlignment="1" applyFont="1">
      <alignment horizontal="center" readingOrder="0" shrinkToFit="0" vertical="center" wrapText="1"/>
    </xf>
    <xf borderId="0" fillId="14" fontId="24" numFmtId="0" xfId="0" applyAlignment="1" applyFont="1">
      <alignment horizontal="center" readingOrder="0" shrinkToFit="0" vertical="center" wrapText="1"/>
    </xf>
    <xf borderId="0" fillId="0" fontId="25" numFmtId="0" xfId="0" applyAlignment="1" applyFont="1">
      <alignment horizontal="center" shrinkToFit="0" vertical="center" wrapText="1"/>
    </xf>
    <xf borderId="0" fillId="5" fontId="26" numFmtId="0" xfId="0" applyAlignment="1" applyFont="1">
      <alignment horizontal="center" shrinkToFit="0" vertical="center" wrapText="1"/>
    </xf>
    <xf borderId="0" fillId="14" fontId="24" numFmtId="0" xfId="0" applyAlignment="1" applyFont="1">
      <alignment horizontal="center" vertical="center"/>
    </xf>
    <xf borderId="0" fillId="3" fontId="3" numFmtId="0" xfId="0" applyAlignment="1" applyFont="1">
      <alignment readingOrder="0" shrinkToFit="0" vertical="center" wrapText="1"/>
    </xf>
    <xf borderId="0" fillId="3" fontId="6" numFmtId="0" xfId="0" applyAlignment="1" applyFont="1">
      <alignment shrinkToFit="0" vertical="center" wrapText="1"/>
    </xf>
    <xf borderId="0" fillId="12" fontId="6" numFmtId="0" xfId="0" applyAlignment="1" applyFont="1">
      <alignment horizontal="left" vertical="center"/>
    </xf>
    <xf borderId="0" fillId="12" fontId="6" numFmtId="0" xfId="0" applyAlignment="1" applyFont="1">
      <alignment horizontal="left" shrinkToFit="0" vertical="center" wrapText="1"/>
    </xf>
    <xf borderId="0" fillId="12" fontId="3" numFmtId="0" xfId="0" applyAlignment="1" applyFont="1">
      <alignment vertical="center"/>
    </xf>
    <xf borderId="0" fillId="12" fontId="27" numFmtId="0" xfId="0" applyAlignment="1" applyFont="1">
      <alignment horizontal="center" vertical="center"/>
    </xf>
    <xf borderId="0" fillId="12" fontId="6" numFmtId="1" xfId="0" applyAlignment="1" applyFont="1" applyNumberFormat="1">
      <alignment horizontal="center" vertical="center"/>
    </xf>
    <xf borderId="0" fillId="12" fontId="6" numFmtId="0" xfId="0" applyAlignment="1" applyFont="1">
      <alignment horizontal="center" vertical="center"/>
    </xf>
    <xf borderId="0" fillId="12" fontId="24" numFmtId="1" xfId="0" applyAlignment="1" applyFont="1" applyNumberFormat="1">
      <alignment horizontal="center" readingOrder="0" shrinkToFit="0" vertical="center" wrapText="1"/>
    </xf>
    <xf borderId="0" fillId="3" fontId="3" numFmtId="0" xfId="0" applyAlignment="1" applyFont="1">
      <alignment vertical="center"/>
    </xf>
    <xf borderId="0" fillId="12" fontId="6" numFmtId="0" xfId="0" applyAlignment="1" applyFont="1">
      <alignment horizontal="right" vertical="center"/>
    </xf>
    <xf borderId="0" fillId="15" fontId="19" numFmtId="0" xfId="0" applyAlignment="1" applyFill="1" applyFont="1">
      <alignment horizontal="center" vertical="center"/>
    </xf>
    <xf borderId="0" fillId="7" fontId="6" numFmtId="0" xfId="0" applyAlignment="1" applyFont="1">
      <alignment readingOrder="0" shrinkToFit="0" vertical="center" wrapText="1"/>
    </xf>
    <xf borderId="0" fillId="3" fontId="3" numFmtId="0" xfId="0" applyAlignment="1" applyFont="1">
      <alignment readingOrder="0" vertical="center"/>
    </xf>
    <xf borderId="0" fillId="3" fontId="6" numFmtId="0" xfId="0" applyAlignment="1" applyFont="1">
      <alignment vertical="center"/>
    </xf>
    <xf borderId="0" fillId="12" fontId="27" numFmtId="0" xfId="0" applyAlignment="1" applyFont="1">
      <alignment horizontal="center" readingOrder="0" vertical="center"/>
    </xf>
    <xf borderId="0" fillId="12" fontId="6" numFmtId="1" xfId="0" applyAlignment="1" applyFont="1" applyNumberFormat="1">
      <alignment horizontal="center" readingOrder="0" vertical="center"/>
    </xf>
    <xf borderId="0" fillId="11" fontId="6" numFmtId="0" xfId="0" applyAlignment="1" applyFont="1">
      <alignment horizontal="center" vertical="center"/>
    </xf>
    <xf borderId="0" fillId="11" fontId="28" numFmtId="0" xfId="0" applyAlignment="1" applyFont="1">
      <alignment horizontal="center" vertical="center"/>
    </xf>
    <xf borderId="0" fillId="0" fontId="9" numFmtId="164" xfId="0" applyAlignment="1" applyFont="1" applyNumberFormat="1">
      <alignment horizontal="left" readingOrder="0" vertical="center"/>
    </xf>
    <xf borderId="0" fillId="0" fontId="3" numFmtId="10" xfId="0" applyAlignment="1" applyFont="1" applyNumberFormat="1">
      <alignment vertical="center"/>
    </xf>
    <xf borderId="0" fillId="14" fontId="24" numFmtId="0" xfId="0" applyAlignment="1" applyFont="1">
      <alignment horizontal="center" shrinkToFit="0" vertical="center" wrapText="1"/>
    </xf>
    <xf borderId="0" fillId="3" fontId="3" numFmtId="0" xfId="0" applyAlignment="1" applyFont="1">
      <alignment horizontal="left" shrinkToFit="0" vertical="center" wrapText="1"/>
    </xf>
    <xf borderId="0" fillId="0" fontId="29" numFmtId="0" xfId="0" applyAlignment="1" applyFont="1">
      <alignment horizontal="left" shrinkToFit="0" vertical="center" wrapText="1"/>
    </xf>
    <xf borderId="0" fillId="0" fontId="29" numFmtId="0" xfId="0" applyAlignment="1" applyFont="1">
      <alignment horizontal="center" shrinkToFit="0" vertical="center" wrapText="1"/>
    </xf>
    <xf borderId="0" fillId="3" fontId="6" numFmtId="0" xfId="0" applyAlignment="1" applyFont="1">
      <alignment horizontal="left" readingOrder="0" shrinkToFit="0" vertical="center" wrapText="1"/>
    </xf>
    <xf borderId="0" fillId="3" fontId="6" numFmtId="0" xfId="0" applyAlignment="1" applyFont="1">
      <alignment horizontal="left" shrinkToFit="0" vertical="center" wrapText="1"/>
    </xf>
    <xf borderId="0" fillId="3" fontId="3" numFmtId="0" xfId="0" applyAlignment="1" applyFont="1">
      <alignment horizontal="left" vertical="center"/>
    </xf>
    <xf borderId="0" fillId="0" fontId="3" numFmtId="9" xfId="0" applyAlignment="1" applyFont="1" applyNumberFormat="1">
      <alignment horizontal="center" readingOrder="0" vertical="center"/>
    </xf>
    <xf borderId="0" fillId="0" fontId="29" numFmtId="0" xfId="0" applyAlignment="1" applyFont="1">
      <alignment vertical="center"/>
    </xf>
    <xf borderId="0" fillId="0" fontId="29" numFmtId="9" xfId="0" applyAlignment="1" applyFont="1" applyNumberFormat="1">
      <alignment readingOrder="0" vertical="center"/>
    </xf>
    <xf borderId="0" fillId="0" fontId="30" numFmtId="0" xfId="0" applyAlignment="1" applyFont="1">
      <alignment horizontal="left"/>
    </xf>
    <xf borderId="0" fillId="0" fontId="19" numFmtId="0" xfId="0" applyAlignment="1" applyFont="1">
      <alignment horizontal="left"/>
    </xf>
    <xf borderId="0" fillId="0" fontId="12" numFmtId="0" xfId="0" applyAlignment="1" applyFont="1">
      <alignment horizontal="center"/>
    </xf>
    <xf borderId="0" fillId="3" fontId="3" numFmtId="0" xfId="0" applyAlignment="1" applyFont="1">
      <alignment shrinkToFit="0" vertical="top" wrapText="1"/>
    </xf>
    <xf borderId="0" fillId="0" fontId="19" numFmtId="0" xfId="0" applyAlignment="1" applyFont="1">
      <alignment vertical="top"/>
    </xf>
    <xf borderId="0" fillId="0" fontId="3" numFmtId="0" xfId="0" applyAlignment="1" applyFont="1">
      <alignment horizontal="center" shrinkToFit="0" vertical="top" wrapText="1"/>
    </xf>
    <xf borderId="0" fillId="14" fontId="24" numFmtId="0" xfId="0" applyAlignment="1" applyFont="1">
      <alignment horizontal="center" shrinkToFit="0" vertical="top" wrapText="1"/>
    </xf>
    <xf borderId="0" fillId="0" fontId="25" numFmtId="0" xfId="0" applyAlignment="1" applyFont="1">
      <alignment horizontal="center" shrinkToFit="0" vertical="top" wrapText="1"/>
    </xf>
    <xf borderId="0" fillId="5" fontId="26" numFmtId="0" xfId="0" applyAlignment="1" applyFont="1">
      <alignment horizontal="center" shrinkToFit="0" vertical="top" wrapText="1"/>
    </xf>
    <xf borderId="0" fillId="0" fontId="31" numFmtId="0" xfId="0" applyAlignment="1" applyFont="1">
      <alignment shrinkToFit="0" vertical="bottom" wrapText="1"/>
    </xf>
    <xf borderId="0" fillId="3" fontId="6" numFmtId="0" xfId="0" applyAlignment="1" applyFont="1">
      <alignment shrinkToFit="0" vertical="top" wrapText="1"/>
    </xf>
    <xf borderId="0" fillId="0" fontId="19" numFmtId="0" xfId="0" applyAlignment="1" applyFont="1">
      <alignment vertical="top"/>
    </xf>
    <xf borderId="0" fillId="0" fontId="19" numFmtId="0" xfId="0" applyAlignment="1" applyFont="1">
      <alignment vertical="bottom"/>
    </xf>
    <xf borderId="0" fillId="0" fontId="29" numFmtId="0" xfId="0" applyAlignment="1" applyFont="1">
      <alignment shrinkToFit="0" vertical="bottom" wrapText="1"/>
    </xf>
    <xf borderId="0" fillId="0" fontId="29" numFmtId="0" xfId="0" applyAlignment="1" applyFont="1">
      <alignment shrinkToFit="0" vertical="bottom" wrapText="1"/>
    </xf>
    <xf borderId="0" fillId="0" fontId="19" numFmtId="0" xfId="0" applyAlignment="1" applyFont="1">
      <alignment vertical="bottom"/>
    </xf>
    <xf borderId="0" fillId="3" fontId="3" numFmtId="0" xfId="0" applyAlignment="1" applyFont="1">
      <alignment shrinkToFit="0" vertical="top" wrapText="1"/>
    </xf>
    <xf borderId="0" fillId="0" fontId="3" numFmtId="0" xfId="0" applyAlignment="1" applyFont="1">
      <alignment horizontal="center" shrinkToFit="0" vertical="top" wrapText="1"/>
    </xf>
    <xf borderId="0" fillId="3" fontId="6" numFmtId="0" xfId="0" applyAlignment="1" applyFont="1">
      <alignment shrinkToFit="0" vertical="top" wrapText="1"/>
    </xf>
    <xf borderId="0" fillId="3" fontId="19" numFmtId="0" xfId="0" applyAlignment="1" applyFont="1">
      <alignment vertical="top"/>
    </xf>
    <xf borderId="0" fillId="0" fontId="19" numFmtId="0" xfId="0" applyAlignment="1" applyFont="1">
      <alignment shrinkToFit="0" vertical="bottom" wrapText="1"/>
    </xf>
    <xf borderId="0" fillId="0" fontId="19" numFmtId="0" xfId="0" applyFont="1"/>
    <xf borderId="0" fillId="0" fontId="29" numFmtId="0" xfId="0" applyAlignment="1" applyFont="1">
      <alignment shrinkToFit="0" wrapText="1"/>
    </xf>
    <xf borderId="0" fillId="0" fontId="3" numFmtId="0" xfId="0" applyAlignment="1" applyFont="1">
      <alignment readingOrder="0" vertical="center"/>
    </xf>
    <xf borderId="0" fillId="14" fontId="32" numFmtId="0" xfId="0" applyAlignment="1" applyFont="1">
      <alignment horizontal="center" readingOrder="0" vertical="center"/>
    </xf>
    <xf borderId="0" fillId="0" fontId="33" numFmtId="0" xfId="0" applyAlignment="1" applyFont="1">
      <alignment horizontal="center" vertical="center"/>
    </xf>
    <xf borderId="0" fillId="5" fontId="34" numFmtId="0" xfId="0" applyAlignment="1" applyFont="1">
      <alignment horizontal="center" vertical="center"/>
    </xf>
    <xf borderId="0" fillId="14" fontId="24" numFmtId="0" xfId="0" applyAlignment="1" applyFont="1">
      <alignment horizontal="center" readingOrder="0" vertical="top"/>
    </xf>
    <xf borderId="0" fillId="14" fontId="32" numFmtId="0" xfId="0" applyAlignment="1" applyFont="1">
      <alignment horizontal="center" vertical="center"/>
    </xf>
    <xf borderId="0" fillId="15" fontId="28" numFmtId="0" xfId="0" applyAlignment="1" applyFont="1">
      <alignment horizontal="center" vertical="center"/>
    </xf>
    <xf borderId="0" fillId="11" fontId="3" numFmtId="9" xfId="0" applyAlignment="1" applyFont="1" applyNumberFormat="1">
      <alignment horizontal="center" shrinkToFit="0" vertical="center" wrapText="1"/>
    </xf>
    <xf borderId="0" fillId="14" fontId="19" numFmtId="0" xfId="0" applyAlignment="1" applyFont="1">
      <alignment vertical="top"/>
    </xf>
    <xf borderId="0" fillId="16" fontId="6" numFmtId="0" xfId="0" applyAlignment="1" applyFill="1" applyFont="1">
      <alignment readingOrder="0"/>
    </xf>
    <xf borderId="0" fillId="0" fontId="19" numFmtId="0" xfId="0" applyFont="1"/>
    <xf borderId="0" fillId="14" fontId="19" numFmtId="0" xfId="0" applyFont="1"/>
    <xf borderId="0" fillId="5" fontId="19" numFmtId="0" xfId="0" applyFont="1"/>
    <xf borderId="0" fillId="17" fontId="19" numFmtId="0" xfId="0" applyAlignment="1" applyFill="1" applyFont="1">
      <alignment vertical="top"/>
    </xf>
    <xf borderId="0" fillId="3" fontId="3" numFmtId="0" xfId="0" applyAlignment="1" applyFont="1">
      <alignment vertical="bottom"/>
    </xf>
    <xf borderId="0" fillId="0" fontId="3" numFmtId="0" xfId="0" applyAlignment="1" applyFont="1">
      <alignment horizontal="center"/>
    </xf>
    <xf borderId="0" fillId="14" fontId="32" numFmtId="0" xfId="0" applyAlignment="1" applyFont="1">
      <alignment horizontal="center"/>
    </xf>
    <xf borderId="0" fillId="0" fontId="33" numFmtId="0" xfId="0" applyAlignment="1" applyFont="1">
      <alignment horizontal="center"/>
    </xf>
    <xf borderId="0" fillId="5" fontId="34" numFmtId="0" xfId="0" applyAlignment="1" applyFont="1">
      <alignment horizontal="center"/>
    </xf>
    <xf borderId="0" fillId="17" fontId="19" numFmtId="0" xfId="0" applyFont="1"/>
    <xf borderId="0" fillId="17" fontId="3" numFmtId="0" xfId="0" applyAlignment="1" applyFont="1">
      <alignment readingOrder="0" vertical="center"/>
    </xf>
    <xf borderId="0" fillId="17" fontId="19" numFmtId="0" xfId="0" applyAlignment="1" applyFont="1">
      <alignment shrinkToFit="0" wrapText="1"/>
    </xf>
    <xf borderId="0" fillId="17" fontId="3" numFmtId="0" xfId="0" applyAlignment="1" applyFont="1">
      <alignment horizontal="center" readingOrder="0" vertical="center"/>
    </xf>
    <xf borderId="0" fillId="17" fontId="32" numFmtId="0" xfId="0" applyAlignment="1" applyFont="1">
      <alignment horizontal="center" vertical="center"/>
    </xf>
    <xf borderId="0" fillId="17" fontId="33" numFmtId="0" xfId="0" applyAlignment="1" applyFont="1">
      <alignment horizontal="center" vertical="center"/>
    </xf>
    <xf borderId="0" fillId="17" fontId="34" numFmtId="0" xfId="0" applyAlignment="1" applyFont="1">
      <alignment horizontal="center" vertical="center"/>
    </xf>
    <xf borderId="0" fillId="0" fontId="3" numFmtId="0" xfId="0" applyAlignment="1" applyFont="1">
      <alignment shrinkToFit="0" wrapText="1"/>
    </xf>
    <xf borderId="0" fillId="3" fontId="3" numFmtId="0" xfId="0" applyAlignment="1" applyFont="1">
      <alignment shrinkToFit="0" wrapText="1"/>
    </xf>
    <xf borderId="0" fillId="0" fontId="12" numFmtId="0" xfId="0" applyAlignment="1" applyFont="1">
      <alignment readingOrder="0" shrinkToFit="0" wrapText="1"/>
    </xf>
    <xf borderId="0" fillId="0" fontId="24" numFmtId="0" xfId="0" applyAlignment="1" applyFont="1">
      <alignment horizontal="center" vertical="top"/>
    </xf>
    <xf borderId="0" fillId="0" fontId="6" numFmtId="0" xfId="0" applyAlignment="1" applyFont="1">
      <alignment readingOrder="0" vertical="center"/>
    </xf>
    <xf borderId="0" fillId="0" fontId="35" numFmtId="0" xfId="0" applyAlignment="1" applyFont="1">
      <alignment horizontal="left" readingOrder="0" shrinkToFit="0" wrapText="1"/>
    </xf>
    <xf borderId="0" fillId="0" fontId="32" numFmtId="0" xfId="0" applyAlignment="1" applyFont="1">
      <alignment horizontal="center" readingOrder="0" vertical="center"/>
    </xf>
    <xf borderId="0" fillId="0" fontId="34" numFmtId="0" xfId="0" applyAlignment="1" applyFont="1">
      <alignment horizontal="center" vertical="center"/>
    </xf>
    <xf borderId="0" fillId="0" fontId="3" numFmtId="0" xfId="0" applyAlignment="1" applyFont="1">
      <alignment readingOrder="0" shrinkToFit="0" vertical="center" wrapText="1"/>
    </xf>
    <xf borderId="0" fillId="16" fontId="6" numFmtId="0" xfId="0" applyAlignment="1" applyFont="1">
      <alignment readingOrder="0" vertical="center"/>
    </xf>
    <xf borderId="0" fillId="0" fontId="36" numFmtId="0" xfId="0" applyAlignment="1" applyFont="1">
      <alignment horizontal="left" readingOrder="0" shrinkToFit="0" wrapText="1"/>
    </xf>
    <xf borderId="0" fillId="0" fontId="3" numFmtId="0" xfId="0" applyAlignment="1" applyFont="1">
      <alignment horizontal="left" readingOrder="0" shrinkToFit="0" vertical="center" wrapText="1"/>
    </xf>
    <xf borderId="0" fillId="18" fontId="24" numFmtId="0" xfId="0" applyAlignment="1" applyFill="1" applyFont="1">
      <alignment horizontal="center" vertical="top"/>
    </xf>
    <xf borderId="0" fillId="18" fontId="3" numFmtId="0" xfId="0" applyAlignment="1" applyFont="1">
      <alignment readingOrder="0" vertical="center"/>
    </xf>
    <xf borderId="0" fillId="18" fontId="37" numFmtId="0" xfId="0" applyAlignment="1" applyFont="1">
      <alignment readingOrder="0" shrinkToFit="0" vertical="center" wrapText="1"/>
    </xf>
    <xf borderId="0" fillId="18" fontId="3" numFmtId="0" xfId="0" applyAlignment="1" applyFont="1">
      <alignment horizontal="center" readingOrder="0" vertical="center"/>
    </xf>
    <xf borderId="0" fillId="18" fontId="32" numFmtId="0" xfId="0" applyAlignment="1" applyFont="1">
      <alignment horizontal="center" readingOrder="0" vertical="center"/>
    </xf>
    <xf borderId="0" fillId="18" fontId="33" numFmtId="0" xfId="0" applyAlignment="1" applyFont="1">
      <alignment horizontal="center" vertical="center"/>
    </xf>
    <xf borderId="0" fillId="18" fontId="34" numFmtId="0" xfId="0" applyAlignment="1" applyFont="1">
      <alignment horizontal="center" vertical="center"/>
    </xf>
    <xf borderId="0" fillId="18" fontId="3" numFmtId="0" xfId="0" applyAlignment="1" applyFont="1">
      <alignment readingOrder="0" shrinkToFit="0" vertical="center" wrapText="1"/>
    </xf>
    <xf borderId="0" fillId="18" fontId="12" numFmtId="0" xfId="0" applyFont="1"/>
    <xf borderId="0" fillId="18" fontId="3" numFmtId="0" xfId="0" applyAlignment="1" applyFont="1">
      <alignment vertical="center"/>
    </xf>
    <xf borderId="0" fillId="0" fontId="38" numFmtId="0" xfId="0" applyAlignment="1" applyFont="1">
      <alignment readingOrder="0" shrinkToFit="0" vertical="center" wrapText="1"/>
    </xf>
    <xf borderId="0" fillId="0" fontId="39" numFmtId="0" xfId="0" applyAlignment="1" applyFont="1">
      <alignment readingOrder="0" shrinkToFit="0" vertical="center" wrapText="1"/>
    </xf>
    <xf borderId="0" fillId="0" fontId="3" numFmtId="0" xfId="0" applyAlignment="1" applyFont="1">
      <alignment shrinkToFit="0" vertical="bottom" wrapText="1"/>
    </xf>
    <xf borderId="0" fillId="14" fontId="32" numFmtId="0" xfId="0" applyAlignment="1" applyFont="1">
      <alignment horizontal="center"/>
    </xf>
    <xf borderId="0" fillId="3" fontId="3" numFmtId="0" xfId="0" applyAlignment="1" applyFont="1">
      <alignment shrinkToFit="0" vertical="bottom" wrapText="1"/>
    </xf>
    <xf borderId="0" fillId="0" fontId="3" numFmtId="0" xfId="0" applyAlignment="1" applyFont="1">
      <alignment readingOrder="0" shrinkToFit="0" vertical="bottom" wrapText="1"/>
    </xf>
    <xf borderId="0" fillId="0" fontId="32" numFmtId="0" xfId="0" applyAlignment="1" applyFont="1">
      <alignment horizontal="center" vertical="center"/>
    </xf>
    <xf borderId="0" fillId="19" fontId="3" numFmtId="0" xfId="0" applyAlignment="1" applyFill="1" applyFont="1">
      <alignment readingOrder="0" vertical="center"/>
    </xf>
    <xf borderId="0" fillId="0" fontId="40" numFmtId="0" xfId="0" applyAlignment="1" applyFont="1">
      <alignment readingOrder="0" shrinkToFit="0" vertical="center" wrapText="1"/>
    </xf>
    <xf borderId="0" fillId="20" fontId="6" numFmtId="0" xfId="0" applyAlignment="1" applyFill="1" applyFont="1">
      <alignment readingOrder="0" vertical="center"/>
    </xf>
    <xf borderId="0" fillId="0" fontId="41" numFmtId="0" xfId="0" applyAlignment="1" applyFont="1">
      <alignment readingOrder="0" shrinkToFit="0" vertical="center" wrapText="1"/>
    </xf>
    <xf borderId="0" fillId="0" fontId="18" numFmtId="0" xfId="0" applyAlignment="1" applyFont="1">
      <alignment readingOrder="0" vertical="center"/>
    </xf>
    <xf borderId="0" fillId="20" fontId="18" numFmtId="0" xfId="0" applyAlignment="1" applyFont="1">
      <alignment readingOrder="0" vertical="center"/>
    </xf>
    <xf borderId="0" fillId="21" fontId="6" numFmtId="0" xfId="0" applyAlignment="1" applyFill="1" applyFont="1">
      <alignment readingOrder="0" vertical="center"/>
    </xf>
    <xf borderId="0" fillId="0" fontId="42" numFmtId="0" xfId="0" applyAlignment="1" applyFont="1">
      <alignment shrinkToFit="0" vertical="center" wrapText="1"/>
    </xf>
    <xf borderId="0" fillId="0" fontId="3" numFmtId="0" xfId="0" applyAlignment="1" applyFont="1">
      <alignment horizontal="center" vertical="center"/>
    </xf>
    <xf borderId="0" fillId="0" fontId="43" numFmtId="0" xfId="0" applyAlignment="1" applyFont="1">
      <alignment shrinkToFit="0" vertical="center" wrapText="1"/>
    </xf>
    <xf borderId="0" fillId="0" fontId="44" numFmtId="0" xfId="0" applyAlignment="1" applyFont="1">
      <alignment readingOrder="0" shrinkToFit="0" vertical="center" wrapText="1"/>
    </xf>
    <xf borderId="0" fillId="0" fontId="45" numFmtId="0" xfId="0" applyAlignment="1" applyFont="1">
      <alignment readingOrder="0" vertical="center"/>
    </xf>
    <xf borderId="0" fillId="22" fontId="7" numFmtId="0" xfId="0" applyAlignment="1" applyFill="1" applyFont="1">
      <alignment readingOrder="0" vertical="center"/>
    </xf>
    <xf borderId="0" fillId="3" fontId="3" numFmtId="0" xfId="0" applyFont="1"/>
    <xf borderId="0" fillId="3" fontId="3" numFmtId="0" xfId="0" applyAlignment="1" applyFont="1">
      <alignment readingOrder="0" vertical="bottom"/>
    </xf>
    <xf borderId="0" fillId="0" fontId="3" numFmtId="0" xfId="0" applyAlignment="1" applyFont="1">
      <alignment horizontal="center"/>
    </xf>
    <xf borderId="0" fillId="0" fontId="3" numFmtId="0" xfId="0" applyAlignment="1" applyFont="1">
      <alignment shrinkToFit="0" vertical="bottom" wrapText="1"/>
    </xf>
    <xf borderId="0" fillId="3" fontId="3" numFmtId="0" xfId="0" applyAlignment="1" applyFont="1">
      <alignment vertical="bottom"/>
    </xf>
    <xf borderId="0" fillId="12" fontId="3" numFmtId="0" xfId="0" applyAlignment="1" applyFont="1">
      <alignment shrinkToFit="0" vertical="center" wrapText="1"/>
    </xf>
    <xf borderId="0" fillId="0" fontId="12" numFmtId="0" xfId="0" applyAlignment="1" applyFont="1">
      <alignment horizontal="left"/>
    </xf>
    <xf borderId="0" fillId="0" fontId="12" numFmtId="0" xfId="0" applyAlignment="1" applyFont="1">
      <alignment vertical="center"/>
    </xf>
    <xf borderId="0" fillId="0" fontId="3" numFmtId="168" xfId="0" applyAlignment="1" applyFont="1" applyNumberFormat="1">
      <alignment shrinkToFit="0" vertical="center" wrapText="1"/>
    </xf>
    <xf borderId="0" fillId="0" fontId="3" numFmtId="168" xfId="0" applyAlignment="1" applyFont="1" applyNumberFormat="1">
      <alignment horizontal="right" shrinkToFit="0" vertical="center" wrapText="1"/>
    </xf>
    <xf borderId="0" fillId="12" fontId="24" numFmtId="1" xfId="0" applyAlignment="1" applyFont="1" applyNumberFormat="1">
      <alignment horizontal="center" readingOrder="0" vertical="center"/>
    </xf>
    <xf borderId="0" fillId="2" fontId="46" numFmtId="0" xfId="0" applyAlignment="1" applyFont="1">
      <alignment horizontal="left" vertical="center"/>
    </xf>
    <xf borderId="6" fillId="2" fontId="46" numFmtId="0" xfId="0" applyAlignment="1" applyBorder="1" applyFont="1">
      <alignment horizontal="left" readingOrder="0" vertical="center"/>
    </xf>
    <xf borderId="7" fillId="2" fontId="46" numFmtId="0" xfId="0" applyAlignment="1" applyBorder="1" applyFont="1">
      <alignment horizontal="left" vertical="center"/>
    </xf>
    <xf borderId="0" fillId="11" fontId="47" numFmtId="169" xfId="0" applyAlignment="1" applyFont="1" applyNumberFormat="1">
      <alignment horizontal="center" vertical="center"/>
    </xf>
    <xf borderId="0" fillId="12" fontId="9" numFmtId="0" xfId="0" applyAlignment="1" applyFont="1">
      <alignment vertical="center"/>
    </xf>
    <xf borderId="3" fillId="12" fontId="9" numFmtId="0" xfId="0" applyAlignment="1" applyBorder="1" applyFont="1">
      <alignment vertical="center"/>
    </xf>
    <xf borderId="6" fillId="11" fontId="5" numFmtId="0" xfId="0" applyAlignment="1" applyBorder="1" applyFont="1">
      <alignment vertical="center"/>
    </xf>
    <xf borderId="7" fillId="0" fontId="2" numFmtId="0" xfId="0" applyBorder="1" applyFont="1"/>
    <xf borderId="0" fillId="12" fontId="48" numFmtId="0" xfId="0" applyAlignment="1" applyFont="1">
      <alignment horizontal="center" vertical="center"/>
    </xf>
    <xf borderId="0" fillId="11" fontId="9" numFmtId="164" xfId="0" applyAlignment="1" applyFont="1" applyNumberFormat="1">
      <alignment horizontal="left" vertical="center"/>
    </xf>
    <xf borderId="0" fillId="12" fontId="5" numFmtId="0" xfId="0" applyAlignment="1" applyFont="1">
      <alignment horizontal="left" vertical="center"/>
    </xf>
    <xf borderId="3" fillId="12" fontId="5" numFmtId="0" xfId="0" applyAlignment="1" applyBorder="1" applyFont="1">
      <alignment horizontal="left" vertical="center"/>
    </xf>
    <xf borderId="6" fillId="11" fontId="5" numFmtId="0" xfId="0" applyAlignment="1" applyBorder="1" applyFont="1">
      <alignment shrinkToFit="0" vertical="center" wrapText="1"/>
    </xf>
    <xf borderId="3" fillId="2" fontId="49" numFmtId="0" xfId="0" applyAlignment="1" applyBorder="1" applyFont="1">
      <alignment horizontal="center" vertical="center"/>
    </xf>
    <xf borderId="3" fillId="2" fontId="46" numFmtId="0" xfId="0" applyAlignment="1" applyBorder="1" applyFont="1">
      <alignment horizontal="left" vertical="center"/>
    </xf>
    <xf borderId="3" fillId="23" fontId="50" numFmtId="168" xfId="0" applyAlignment="1" applyBorder="1" applyFill="1" applyFont="1" applyNumberFormat="1">
      <alignment horizontal="right" vertical="center"/>
    </xf>
    <xf borderId="3" fillId="24" fontId="5" numFmtId="0" xfId="0" applyAlignment="1" applyBorder="1" applyFill="1" applyFont="1">
      <alignment vertical="center"/>
    </xf>
    <xf borderId="3" fillId="23" fontId="51" numFmtId="0" xfId="0" applyAlignment="1" applyBorder="1" applyFont="1">
      <alignment horizontal="center" vertical="center"/>
    </xf>
    <xf borderId="3" fillId="23" fontId="50" numFmtId="169" xfId="0" applyAlignment="1" applyBorder="1" applyFont="1" applyNumberFormat="1">
      <alignment horizontal="center" vertical="center"/>
    </xf>
    <xf borderId="3" fillId="24" fontId="50" numFmtId="169" xfId="0" applyAlignment="1" applyBorder="1" applyFont="1" applyNumberFormat="1">
      <alignment horizontal="center" vertical="center"/>
    </xf>
    <xf borderId="0" fillId="0" fontId="9" numFmtId="10" xfId="0" applyAlignment="1" applyFont="1" applyNumberFormat="1">
      <alignment vertical="center"/>
    </xf>
    <xf borderId="3" fillId="23" fontId="51" numFmtId="9" xfId="0" applyAlignment="1" applyBorder="1" applyFont="1" applyNumberFormat="1">
      <alignment horizontal="center" vertical="center"/>
    </xf>
    <xf borderId="3" fillId="24" fontId="5" numFmtId="0" xfId="0" applyAlignment="1" applyBorder="1" applyFont="1">
      <alignment readingOrder="0" vertical="center"/>
    </xf>
    <xf borderId="0" fillId="5" fontId="52" numFmtId="0" xfId="0" applyAlignment="1" applyFont="1">
      <alignment vertical="center"/>
    </xf>
    <xf borderId="3" fillId="2" fontId="46" numFmtId="168" xfId="0" applyAlignment="1" applyBorder="1" applyFont="1" applyNumberFormat="1">
      <alignment horizontal="right" vertical="center"/>
    </xf>
    <xf borderId="3" fillId="2" fontId="49" numFmtId="169" xfId="0" applyAlignment="1" applyBorder="1" applyFont="1" applyNumberFormat="1">
      <alignment horizontal="center" vertical="center"/>
    </xf>
    <xf borderId="3" fillId="2" fontId="46" numFmtId="169" xfId="0" applyAlignment="1" applyBorder="1" applyFont="1" applyNumberFormat="1">
      <alignment horizontal="center" vertical="center"/>
    </xf>
    <xf borderId="0" fillId="0" fontId="6" numFmtId="0" xfId="0" applyAlignment="1" applyFont="1">
      <alignment vertical="bottom"/>
    </xf>
    <xf borderId="0" fillId="0" fontId="6" numFmtId="0" xfId="0" applyAlignment="1" applyFont="1">
      <alignment horizontal="right" vertical="bottom"/>
    </xf>
    <xf borderId="0" fillId="0" fontId="28" numFmtId="0" xfId="0" applyAlignment="1" applyFont="1">
      <alignment vertical="bottom"/>
    </xf>
    <xf borderId="0" fillId="0" fontId="19" numFmtId="0" xfId="0" applyAlignment="1" applyFont="1">
      <alignment vertical="bottom"/>
    </xf>
    <xf borderId="0" fillId="2" fontId="53" numFmtId="0" xfId="0" applyAlignment="1" applyFont="1">
      <alignment horizontal="right" vertical="center"/>
    </xf>
    <xf borderId="0" fillId="0" fontId="54" numFmtId="170" xfId="0" applyAlignment="1" applyFont="1" applyNumberFormat="1">
      <alignment vertical="center"/>
    </xf>
    <xf borderId="0" fillId="0" fontId="3" numFmtId="171" xfId="0" applyAlignment="1" applyFont="1" applyNumberFormat="1">
      <alignment horizontal="right" vertical="center"/>
    </xf>
    <xf borderId="0" fillId="0" fontId="3" numFmtId="172" xfId="0" applyAlignment="1" applyFont="1" applyNumberFormat="1">
      <alignment horizontal="right" vertical="bottom"/>
    </xf>
    <xf borderId="0" fillId="0" fontId="19" numFmtId="172" xfId="0" applyAlignment="1" applyFont="1" applyNumberFormat="1">
      <alignment vertical="bottom"/>
    </xf>
    <xf borderId="0" fillId="0" fontId="19" numFmtId="172" xfId="0" applyAlignment="1" applyFont="1" applyNumberFormat="1">
      <alignment horizontal="right" vertical="bottom"/>
    </xf>
    <xf borderId="0" fillId="2" fontId="55" numFmtId="0" xfId="0" applyAlignment="1" applyFont="1">
      <alignment horizontal="right" vertical="center"/>
    </xf>
    <xf borderId="0" fillId="23" fontId="50" numFmtId="9" xfId="0" applyAlignment="1" applyFont="1" applyNumberFormat="1">
      <alignment horizontal="right" readingOrder="0" vertical="center"/>
    </xf>
    <xf borderId="0" fillId="11" fontId="54" numFmtId="170" xfId="0" applyAlignment="1" applyFont="1" applyNumberFormat="1">
      <alignment vertical="center"/>
    </xf>
    <xf borderId="0" fillId="2" fontId="53" numFmtId="0" xfId="0" applyAlignment="1" applyFont="1">
      <alignment horizontal="right" shrinkToFit="0" vertical="center" wrapText="1"/>
    </xf>
    <xf borderId="0" fillId="25" fontId="54" numFmtId="170" xfId="0" applyAlignment="1" applyFill="1" applyFont="1" applyNumberFormat="1">
      <alignment vertical="center"/>
    </xf>
    <xf borderId="0" fillId="0" fontId="56" numFmtId="9" xfId="0" applyAlignment="1" applyFont="1" applyNumberFormat="1">
      <alignment horizontal="right" vertical="center"/>
    </xf>
    <xf borderId="0" fillId="0" fontId="6" numFmtId="171" xfId="0" applyAlignment="1" applyFont="1" applyNumberFormat="1">
      <alignment horizontal="right" vertical="center"/>
    </xf>
    <xf borderId="0" fillId="0" fontId="28" numFmtId="172" xfId="0" applyAlignment="1" applyFont="1" applyNumberFormat="1">
      <alignment horizontal="right" vertical="bottom"/>
    </xf>
    <xf borderId="0" fillId="0" fontId="6" numFmtId="172" xfId="0" applyAlignment="1" applyFont="1" applyNumberFormat="1">
      <alignment horizontal="right" vertical="bottom"/>
    </xf>
    <xf borderId="0" fillId="26" fontId="6" numFmtId="172" xfId="0" applyAlignment="1" applyFill="1" applyFont="1" applyNumberFormat="1">
      <alignment horizontal="right" vertical="bottom"/>
    </xf>
    <xf borderId="0" fillId="25" fontId="6" numFmtId="1" xfId="0" applyAlignment="1" applyFont="1" applyNumberFormat="1">
      <alignment horizontal="center" vertical="bottom"/>
    </xf>
    <xf borderId="0" fillId="0" fontId="30" numFmtId="0" xfId="0" applyAlignment="1" applyFont="1">
      <alignment vertical="center"/>
    </xf>
    <xf borderId="0" fillId="11" fontId="47" numFmtId="10" xfId="0" applyAlignment="1" applyFont="1" applyNumberFormat="1">
      <alignment horizontal="center" vertical="center"/>
    </xf>
    <xf borderId="0" fillId="0" fontId="6" numFmtId="0" xfId="0" applyAlignment="1" applyFont="1">
      <alignment vertical="center"/>
    </xf>
    <xf borderId="0" fillId="11" fontId="6" numFmtId="0" xfId="0" applyAlignment="1" applyFont="1">
      <alignment horizontal="right" readingOrder="0" shrinkToFit="0" vertical="center" wrapText="1"/>
    </xf>
    <xf borderId="0" fillId="11" fontId="6" numFmtId="0" xfId="0" applyAlignment="1" applyFont="1">
      <alignment horizontal="right" shrinkToFit="0" vertical="center" wrapText="1"/>
    </xf>
    <xf borderId="0" fillId="0" fontId="6" numFmtId="0" xfId="0" applyAlignment="1" applyFont="1">
      <alignment horizontal="center" vertical="center"/>
    </xf>
    <xf borderId="0" fillId="0" fontId="3" numFmtId="0" xfId="0" applyAlignment="1" applyFont="1">
      <alignment vertical="center"/>
    </xf>
    <xf borderId="0" fillId="0" fontId="6" numFmtId="0" xfId="0" applyAlignment="1" applyFont="1">
      <alignment horizontal="right" vertical="center"/>
    </xf>
    <xf borderId="0" fillId="0" fontId="6" numFmtId="0" xfId="0" applyAlignment="1" applyFont="1">
      <alignment horizontal="right"/>
    </xf>
    <xf borderId="0" fillId="11" fontId="3" numFmtId="168" xfId="0" applyAlignment="1" applyFont="1" applyNumberFormat="1">
      <alignment readingOrder="0" shrinkToFit="0" vertical="center" wrapText="1"/>
    </xf>
    <xf borderId="0" fillId="11" fontId="3" numFmtId="168" xfId="0" applyAlignment="1" applyFont="1" applyNumberFormat="1">
      <alignment shrinkToFit="0" vertical="center" wrapText="1"/>
    </xf>
    <xf borderId="0" fillId="11" fontId="3" numFmtId="2" xfId="0" applyAlignment="1" applyFont="1" applyNumberFormat="1">
      <alignment shrinkToFit="0" vertical="center" wrapText="1"/>
    </xf>
    <xf borderId="0" fillId="0" fontId="3" numFmtId="10" xfId="0" applyAlignment="1" applyFont="1" applyNumberFormat="1">
      <alignment horizontal="right" vertical="center"/>
    </xf>
    <xf borderId="0" fillId="0" fontId="3" numFmtId="10" xfId="0" applyAlignment="1" applyFont="1" applyNumberFormat="1">
      <alignment horizontal="right"/>
    </xf>
    <xf borderId="0" fillId="0" fontId="19" numFmtId="0" xfId="0" applyAlignment="1" applyFont="1">
      <alignment horizontal="center" shrinkToFit="0" vertical="center" wrapText="1"/>
    </xf>
    <xf borderId="0" fillId="0" fontId="6"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3" numFmtId="0" xfId="0" applyAlignment="1" applyFont="1">
      <alignment shrinkToFit="0" vertical="center" wrapText="1"/>
    </xf>
    <xf borderId="0" fillId="27" fontId="1" numFmtId="0" xfId="0" applyAlignment="1" applyFill="1" applyFont="1">
      <alignment horizontal="center" readingOrder="0" shrinkToFit="0" vertical="center" wrapText="1"/>
    </xf>
    <xf borderId="0" fillId="11" fontId="3" numFmtId="168" xfId="0" applyAlignment="1" applyFont="1" applyNumberFormat="1">
      <alignment horizontal="right" shrinkToFit="0" vertical="center" wrapText="1"/>
    </xf>
    <xf borderId="0" fillId="0" fontId="3" numFmtId="168" xfId="0" applyAlignment="1" applyFont="1" applyNumberFormat="1">
      <alignment horizontal="right" vertical="center"/>
    </xf>
    <xf borderId="0" fillId="13" fontId="6" numFmtId="0" xfId="0" applyAlignment="1" applyFont="1">
      <alignment horizontal="center" readingOrder="0" shrinkToFit="0" vertical="center" wrapText="1"/>
    </xf>
    <xf borderId="0" fillId="2" fontId="57" numFmtId="0" xfId="0" applyAlignment="1" applyFont="1">
      <alignment horizontal="center" shrinkToFit="0" vertical="center" wrapText="1"/>
    </xf>
    <xf borderId="0" fillId="2" fontId="57" numFmtId="0" xfId="0" applyAlignment="1" applyFont="1">
      <alignment horizontal="left" shrinkToFit="0" vertical="center" wrapText="1"/>
    </xf>
    <xf borderId="0" fillId="2" fontId="58" numFmtId="0" xfId="0" applyAlignment="1" applyFont="1">
      <alignment horizontal="left" readingOrder="0" shrinkToFit="0" vertical="center" wrapText="1"/>
    </xf>
    <xf borderId="0" fillId="28" fontId="6" numFmtId="0" xfId="0" applyAlignment="1" applyFill="1" applyFont="1">
      <alignment horizontal="center" shrinkToFit="0" vertical="center" wrapText="1"/>
    </xf>
    <xf borderId="0" fillId="28" fontId="6" numFmtId="0" xfId="0" applyAlignment="1" applyFont="1">
      <alignment horizontal="left" shrinkToFit="0" vertical="center" wrapText="1"/>
    </xf>
    <xf borderId="0" fillId="28" fontId="3" numFmtId="0" xfId="0" applyAlignment="1" applyFont="1">
      <alignment horizontal="left" readingOrder="0" shrinkToFit="0" vertical="center" wrapText="1"/>
    </xf>
    <xf borderId="0" fillId="20" fontId="6" numFmtId="0" xfId="0" applyAlignment="1" applyFont="1">
      <alignment horizontal="center" shrinkToFit="0" vertical="center" wrapText="1"/>
    </xf>
    <xf borderId="0" fillId="20" fontId="6" numFmtId="0" xfId="0" applyAlignment="1" applyFont="1">
      <alignment horizontal="left" shrinkToFit="0" vertical="center" wrapText="1"/>
    </xf>
    <xf borderId="0" fillId="20" fontId="3" numFmtId="0" xfId="0" applyAlignment="1" applyFont="1">
      <alignment horizontal="left" readingOrder="0" shrinkToFit="0" vertical="center" wrapText="1"/>
    </xf>
    <xf borderId="0" fillId="29" fontId="6" numFmtId="0" xfId="0" applyAlignment="1" applyFill="1" applyFont="1">
      <alignment horizontal="center" shrinkToFit="0" vertical="center" wrapText="1"/>
    </xf>
    <xf borderId="0" fillId="29" fontId="6" numFmtId="0" xfId="0" applyAlignment="1" applyFont="1">
      <alignment horizontal="left" shrinkToFit="0" vertical="center" wrapText="1"/>
    </xf>
    <xf borderId="0" fillId="29" fontId="3" numFmtId="0" xfId="0" applyAlignment="1" applyFont="1">
      <alignment horizontal="left" readingOrder="0" shrinkToFit="0" vertical="center" wrapText="1"/>
    </xf>
    <xf borderId="0" fillId="16" fontId="6" numFmtId="0" xfId="0" applyAlignment="1" applyFont="1">
      <alignment horizontal="center" shrinkToFit="0" vertical="center" wrapText="1"/>
    </xf>
    <xf borderId="0" fillId="16" fontId="6" numFmtId="0" xfId="0" applyAlignment="1" applyFont="1">
      <alignment horizontal="left" shrinkToFit="0" vertical="center" wrapText="1"/>
    </xf>
    <xf borderId="0" fillId="16" fontId="3" numFmtId="0" xfId="0" applyAlignment="1" applyFont="1">
      <alignment horizontal="left" readingOrder="0" shrinkToFit="0" vertical="center" wrapText="1"/>
    </xf>
    <xf borderId="0" fillId="30" fontId="6" numFmtId="9" xfId="0" applyAlignment="1" applyFill="1" applyFont="1" applyNumberFormat="1">
      <alignment horizontal="center" shrinkToFit="0" vertical="center" wrapText="1"/>
    </xf>
    <xf borderId="0" fillId="30" fontId="6" numFmtId="9" xfId="0" applyAlignment="1" applyFont="1" applyNumberFormat="1">
      <alignment horizontal="left" shrinkToFit="0" vertical="center" wrapText="1"/>
    </xf>
    <xf borderId="0" fillId="30" fontId="3" numFmtId="0" xfId="0" applyAlignment="1" applyFont="1">
      <alignment horizontal="left" readingOrder="0" shrinkToFit="0" vertical="center" wrapText="1"/>
    </xf>
    <xf borderId="0" fillId="0" fontId="19" numFmtId="0" xfId="0" applyAlignment="1" applyFont="1">
      <alignment horizontal="left" vertical="center"/>
    </xf>
    <xf borderId="0" fillId="0" fontId="19" numFmtId="0" xfId="0" applyAlignment="1" applyFont="1">
      <alignment horizontal="right" vertical="center"/>
    </xf>
    <xf borderId="0" fillId="8" fontId="6" numFmtId="0" xfId="0" applyAlignment="1" applyFont="1">
      <alignment horizontal="right" readingOrder="0" shrinkToFit="0" vertical="center" wrapText="1"/>
    </xf>
    <xf borderId="0" fillId="9" fontId="7" numFmtId="164" xfId="0" applyAlignment="1" applyFont="1" applyNumberFormat="1">
      <alignment horizontal="left" readingOrder="0" vertical="center"/>
    </xf>
    <xf borderId="0" fillId="0" fontId="3" numFmtId="1" xfId="0" applyAlignment="1" applyFont="1" applyNumberFormat="1">
      <alignment horizontal="center" shrinkToFit="0" vertical="center" wrapText="1"/>
    </xf>
    <xf borderId="0" fillId="0" fontId="3" numFmtId="169" xfId="0" applyFont="1" applyNumberFormat="1"/>
    <xf borderId="0" fillId="0" fontId="3" numFmtId="1" xfId="0" applyAlignment="1" applyFont="1" applyNumberFormat="1">
      <alignment vertical="center"/>
    </xf>
    <xf borderId="0" fillId="0" fontId="15" numFmtId="165" xfId="0" applyAlignment="1" applyFont="1" applyNumberFormat="1">
      <alignment horizontal="center"/>
    </xf>
    <xf borderId="0" fillId="0" fontId="7" numFmtId="1" xfId="0" applyAlignment="1" applyFont="1" applyNumberFormat="1">
      <alignment horizontal="center" shrinkToFit="0" vertical="center" wrapText="1"/>
    </xf>
    <xf borderId="0" fillId="0" fontId="11" numFmtId="166" xfId="0" applyAlignment="1" applyFont="1" applyNumberFormat="1">
      <alignment horizontal="center" vertical="center"/>
    </xf>
    <xf borderId="0" fillId="18" fontId="48" numFmtId="0" xfId="0" applyAlignment="1" applyFont="1">
      <alignment horizontal="center" readingOrder="0" shrinkToFit="0" vertical="center" wrapText="1"/>
    </xf>
    <xf borderId="0" fillId="0" fontId="11" numFmtId="167" xfId="0" applyAlignment="1" applyFont="1" applyNumberFormat="1">
      <alignment horizontal="center" vertical="center"/>
    </xf>
    <xf borderId="0" fillId="0" fontId="3" numFmtId="169" xfId="0" applyAlignment="1" applyFont="1" applyNumberFormat="1">
      <alignment horizontal="center" vertical="center"/>
    </xf>
    <xf borderId="0" fillId="0" fontId="9" numFmtId="169" xfId="0" applyAlignment="1" applyFont="1" applyNumberFormat="1">
      <alignment horizontal="center" shrinkToFit="0" vertical="center" wrapText="1"/>
    </xf>
    <xf borderId="0" fillId="0" fontId="59" numFmtId="0" xfId="0" applyAlignment="1" applyFont="1">
      <alignment horizontal="right" vertical="center"/>
    </xf>
    <xf borderId="0" fillId="15" fontId="3" numFmtId="169" xfId="0" applyAlignment="1" applyFont="1" applyNumberFormat="1">
      <alignment horizontal="center" readingOrder="0" vertical="center"/>
    </xf>
    <xf borderId="0" fillId="15" fontId="3" numFmtId="169" xfId="0" applyAlignment="1" applyFont="1" applyNumberFormat="1">
      <alignment horizontal="center" vertical="center"/>
    </xf>
    <xf borderId="0" fillId="15" fontId="3" numFmtId="0" xfId="0" applyAlignment="1" applyFont="1">
      <alignment horizontal="center" readingOrder="0" vertical="center"/>
    </xf>
    <xf borderId="0" fillId="31" fontId="3" numFmtId="0" xfId="0" applyAlignment="1" applyFill="1" applyFont="1">
      <alignment readingOrder="0" vertical="center"/>
    </xf>
    <xf borderId="0" fillId="15" fontId="3" numFmtId="0" xfId="0" applyAlignment="1" applyFont="1">
      <alignment horizontal="center" vertical="center"/>
    </xf>
    <xf borderId="0" fillId="0" fontId="3" numFmtId="169" xfId="0" applyAlignment="1" applyFont="1" applyNumberFormat="1">
      <alignment horizontal="center" readingOrder="0" vertical="center"/>
    </xf>
    <xf borderId="0" fillId="0" fontId="9" numFmtId="1" xfId="0" applyAlignment="1" applyFont="1" applyNumberFormat="1">
      <alignment horizontal="center" shrinkToFit="0" vertical="center" wrapText="1"/>
    </xf>
    <xf borderId="0" fillId="0" fontId="9" numFmtId="0" xfId="0" applyAlignment="1" applyFont="1">
      <alignment horizontal="right" vertical="center"/>
    </xf>
    <xf borderId="0" fillId="0" fontId="60" numFmtId="0" xfId="0" applyAlignment="1" applyFont="1">
      <alignment vertical="bottom"/>
    </xf>
    <xf borderId="0" fillId="32" fontId="57" numFmtId="0" xfId="0" applyAlignment="1" applyFill="1" applyFont="1">
      <alignment vertical="bottom"/>
    </xf>
    <xf borderId="8" fillId="0" fontId="2" numFmtId="0" xfId="0" applyBorder="1" applyFont="1"/>
    <xf borderId="7" fillId="33" fontId="10" numFmtId="0" xfId="0" applyAlignment="1" applyBorder="1" applyFill="1" applyFont="1">
      <alignment horizontal="center" vertical="bottom"/>
    </xf>
    <xf borderId="9" fillId="0" fontId="2" numFmtId="0" xfId="0" applyBorder="1" applyFont="1"/>
    <xf borderId="0" fillId="34" fontId="61" numFmtId="0" xfId="0" applyAlignment="1" applyFill="1" applyFont="1">
      <alignment horizontal="center" vertical="bottom"/>
    </xf>
    <xf borderId="0" fillId="32" fontId="34" numFmtId="0" xfId="0" applyAlignment="1" applyFont="1">
      <alignment vertical="bottom"/>
    </xf>
    <xf borderId="8" fillId="32" fontId="34" numFmtId="0" xfId="0" applyAlignment="1" applyBorder="1" applyFont="1">
      <alignment horizontal="right" vertical="bottom"/>
    </xf>
    <xf borderId="0" fillId="35" fontId="10" numFmtId="0" xfId="0" applyAlignment="1" applyFill="1" applyFont="1">
      <alignment horizontal="center" vertical="bottom"/>
    </xf>
    <xf borderId="8" fillId="35" fontId="10" numFmtId="0" xfId="0" applyAlignment="1" applyBorder="1" applyFont="1">
      <alignment horizontal="center" vertical="bottom"/>
    </xf>
    <xf borderId="0" fillId="36" fontId="62" numFmtId="0" xfId="0" applyAlignment="1" applyFill="1" applyFont="1">
      <alignment horizontal="center" vertical="bottom"/>
    </xf>
    <xf borderId="0" fillId="37" fontId="62" numFmtId="0" xfId="0" applyAlignment="1" applyFill="1" applyFont="1">
      <alignment horizontal="center" vertical="bottom"/>
    </xf>
    <xf borderId="0" fillId="32" fontId="63" numFmtId="0" xfId="0" applyAlignment="1" applyFont="1">
      <alignment vertical="bottom"/>
    </xf>
    <xf borderId="8" fillId="32" fontId="63" numFmtId="0" xfId="0" applyAlignment="1" applyBorder="1" applyFont="1">
      <alignment horizontal="right" vertical="bottom"/>
    </xf>
    <xf borderId="0" fillId="32" fontId="64" numFmtId="0" xfId="0" applyAlignment="1" applyFont="1">
      <alignment vertical="bottom"/>
    </xf>
    <xf borderId="8" fillId="32" fontId="64" numFmtId="0" xfId="0" applyAlignment="1" applyBorder="1" applyFont="1">
      <alignment horizontal="right" vertical="bottom"/>
    </xf>
    <xf borderId="0" fillId="32" fontId="65" numFmtId="0" xfId="0" applyAlignment="1" applyFont="1">
      <alignment vertical="bottom"/>
    </xf>
    <xf borderId="8" fillId="32" fontId="65" numFmtId="0" xfId="0" applyAlignment="1" applyBorder="1" applyFont="1">
      <alignment horizontal="right" vertical="bottom"/>
    </xf>
    <xf borderId="0" fillId="32" fontId="66" numFmtId="0" xfId="0" applyAlignment="1" applyFont="1">
      <alignment vertical="bottom"/>
    </xf>
    <xf borderId="8" fillId="32" fontId="66" numFmtId="0" xfId="0" applyAlignment="1" applyBorder="1" applyFont="1">
      <alignment horizontal="right" vertical="bottom"/>
    </xf>
    <xf borderId="4" fillId="35" fontId="10" numFmtId="0" xfId="0" applyAlignment="1" applyBorder="1" applyFont="1">
      <alignment horizontal="center" vertical="bottom"/>
    </xf>
    <xf borderId="10" fillId="35" fontId="10" numFmtId="0" xfId="0" applyAlignment="1" applyBorder="1" applyFont="1">
      <alignment horizontal="center" vertical="bottom"/>
    </xf>
    <xf borderId="0" fillId="9" fontId="19" numFmtId="0" xfId="0" applyAlignment="1" applyFont="1">
      <alignment vertical="center"/>
    </xf>
    <xf borderId="0" fillId="9" fontId="6" numFmtId="0" xfId="0" applyAlignment="1" applyFont="1">
      <alignment shrinkToFit="0" vertical="center" wrapText="1"/>
    </xf>
    <xf borderId="0" fillId="9" fontId="6" numFmtId="0" xfId="0" applyAlignment="1" applyFont="1">
      <alignment horizontal="center" readingOrder="0" shrinkToFit="0" vertical="center" wrapText="1"/>
    </xf>
    <xf borderId="0" fillId="6" fontId="6" numFmtId="0" xfId="0" applyAlignment="1" applyFont="1">
      <alignment shrinkToFit="0" vertical="center" wrapText="1"/>
    </xf>
    <xf borderId="0" fillId="0" fontId="19" numFmtId="0" xfId="0" applyAlignment="1" applyFont="1">
      <alignment vertical="center"/>
    </xf>
    <xf borderId="0" fillId="13" fontId="6" numFmtId="0" xfId="0" applyAlignment="1" applyFont="1">
      <alignment horizontal="center" vertical="center"/>
    </xf>
    <xf borderId="0" fillId="13" fontId="6" numFmtId="0" xfId="0" applyAlignment="1" applyFont="1">
      <alignment readingOrder="0" shrinkToFit="0" vertical="center" wrapText="1"/>
    </xf>
    <xf borderId="0" fillId="13" fontId="19" numFmtId="0" xfId="0" applyAlignment="1" applyFont="1">
      <alignment vertical="center"/>
    </xf>
    <xf borderId="0" fillId="0" fontId="3" numFmtId="0" xfId="0" applyAlignment="1" applyFont="1">
      <alignment horizontal="center" vertical="center"/>
    </xf>
    <xf borderId="0" fillId="7" fontId="6" numFmtId="0" xfId="0" applyAlignment="1" applyFont="1">
      <alignment horizontal="center" readingOrder="0" vertical="center"/>
    </xf>
    <xf borderId="0" fillId="7" fontId="19" numFmtId="0" xfId="0" applyAlignment="1" applyFont="1">
      <alignment vertical="center"/>
    </xf>
    <xf borderId="0" fillId="13" fontId="6" numFmtId="0" xfId="0" applyAlignment="1" applyFont="1">
      <alignment horizontal="center" readingOrder="0" vertical="center"/>
    </xf>
    <xf borderId="0" fillId="13" fontId="6" numFmtId="0" xfId="0" applyAlignment="1" applyFont="1">
      <alignment shrinkToFit="0" vertical="center" wrapText="1"/>
    </xf>
  </cellXfs>
  <cellStyles count="1">
    <cellStyle xfId="0" name="Normal" builtinId="0"/>
  </cellStyles>
  <dxfs count="16">
    <dxf>
      <font>
        <color rgb="FF000000"/>
      </font>
      <fill>
        <patternFill patternType="solid">
          <fgColor rgb="FFCCCCCC"/>
          <bgColor rgb="FFCCCCCC"/>
        </patternFill>
      </fill>
      <border/>
    </dxf>
    <dxf>
      <font>
        <color rgb="FF000000"/>
      </font>
      <fill>
        <patternFill patternType="solid">
          <fgColor rgb="FFFFF2CC"/>
          <bgColor rgb="FFFFF2CC"/>
        </patternFill>
      </fill>
      <border/>
    </dxf>
    <dxf>
      <font>
        <color rgb="FF000000"/>
      </font>
      <fill>
        <patternFill patternType="solid">
          <fgColor rgb="FFEAD1DC"/>
          <bgColor rgb="FFEAD1DC"/>
        </patternFill>
      </fill>
      <border/>
    </dxf>
    <dxf>
      <font/>
      <fill>
        <patternFill patternType="solid">
          <fgColor rgb="FFCFE2F3"/>
          <bgColor rgb="FFCFE2F3"/>
        </patternFill>
      </fill>
      <border/>
    </dxf>
    <dxf>
      <font/>
      <fill>
        <patternFill patternType="solid">
          <fgColor rgb="FFC9DAF8"/>
          <bgColor rgb="FFC9DAF8"/>
        </patternFill>
      </fill>
      <border/>
    </dxf>
    <dxf>
      <font/>
      <fill>
        <patternFill patternType="solid">
          <fgColor rgb="FFD0E0E3"/>
          <bgColor rgb="FFD0E0E3"/>
        </patternFill>
      </fill>
      <border/>
    </dxf>
    <dxf>
      <font>
        <color rgb="FF000000"/>
      </font>
      <fill>
        <patternFill patternType="solid">
          <fgColor theme="7"/>
          <bgColor theme="7"/>
        </patternFill>
      </fill>
      <border/>
    </dxf>
    <dxf>
      <font/>
      <fill>
        <patternFill patternType="solid">
          <fgColor rgb="FFD9D2E9"/>
          <bgColor rgb="FFD9D2E9"/>
        </patternFill>
      </fill>
      <border/>
    </dxf>
    <dxf>
      <font>
        <color rgb="FF000000"/>
      </font>
      <fill>
        <patternFill patternType="solid">
          <fgColor rgb="FFCFE2F3"/>
          <bgColor rgb="FFCFE2F3"/>
        </patternFill>
      </fill>
      <border/>
    </dxf>
    <dxf>
      <font>
        <color rgb="FF000000"/>
      </font>
      <fill>
        <patternFill patternType="solid">
          <fgColor rgb="FFC9DAF8"/>
          <bgColor rgb="FFC9DAF8"/>
        </patternFill>
      </fill>
      <border/>
    </dxf>
    <dxf>
      <font>
        <color rgb="FF000000"/>
      </font>
      <fill>
        <patternFill patternType="solid">
          <fgColor rgb="FFA2C4C9"/>
          <bgColor rgb="FFA2C4C9"/>
        </patternFill>
      </fill>
      <border/>
    </dxf>
    <dxf>
      <font>
        <color rgb="FF000000"/>
      </font>
      <fill>
        <patternFill patternType="solid">
          <fgColor rgb="FFFFE599"/>
          <bgColor rgb="FFFFE599"/>
        </patternFill>
      </fill>
      <border/>
    </dxf>
    <dxf>
      <font>
        <color rgb="FF000000"/>
      </font>
      <fill>
        <patternFill patternType="solid">
          <fgColor rgb="FFF9CB9C"/>
          <bgColor rgb="FFF9CB9C"/>
        </patternFill>
      </fill>
      <border/>
    </dxf>
    <dxf>
      <font>
        <color rgb="FF000000"/>
      </font>
      <fill>
        <patternFill patternType="solid">
          <fgColor rgb="FFF4CCCC"/>
          <bgColor rgb="FFF4CCCC"/>
        </patternFill>
      </fill>
      <border/>
    </dxf>
    <dxf>
      <font/>
      <fill>
        <patternFill patternType="solid">
          <fgColor rgb="FF45818E"/>
          <bgColor rgb="FF45818E"/>
        </patternFill>
      </fill>
      <border/>
    </dxf>
    <dxf>
      <font>
        <color rgb="FF000000"/>
      </font>
      <fill>
        <patternFill patternType="solid">
          <fgColor rgb="FFDD7E6B"/>
          <bgColor rgb="FFDD7E6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leduc.ca/"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pace-design-system.qed42.net/?path=/story/organisms-cta-banner--cta-banner" TargetMode="External"/><Relationship Id="rId22" Type="http://schemas.openxmlformats.org/officeDocument/2006/relationships/hyperlink" Target="http://space-design-system.qed42.net/?path=/story/molecules-stats-kpi--stats-kpi" TargetMode="External"/><Relationship Id="rId21" Type="http://schemas.openxmlformats.org/officeDocument/2006/relationships/hyperlink" Target="http://space-design-system.qed42.net/?path=/story/molecules-logo-grid--logo-grid" TargetMode="External"/><Relationship Id="rId24" Type="http://schemas.openxmlformats.org/officeDocument/2006/relationships/hyperlink" Target="http://space-design-system.qed42.net/?path=/story/organisms-sticky-sticky-slim-thumbnails--sticky-slim-thumbnails" TargetMode="External"/><Relationship Id="rId23" Type="http://schemas.openxmlformats.org/officeDocument/2006/relationships/hyperlink" Target="http://space-design-system.qed42.net/?path=/story/organisms-text-and-media--text-and-media" TargetMode="External"/><Relationship Id="rId1" Type="http://schemas.openxmlformats.org/officeDocument/2006/relationships/hyperlink" Target="http://space-design-system.qed42.net/?path=/story/organisms-header-primary-header--primary-header" TargetMode="External"/><Relationship Id="rId2" Type="http://schemas.openxmlformats.org/officeDocument/2006/relationships/hyperlink" Target="http://space-design-system.qed42.net/?path=/story/organisms-footer--footer" TargetMode="External"/><Relationship Id="rId3" Type="http://schemas.openxmlformats.org/officeDocument/2006/relationships/hyperlink" Target="http://space-design-system.qed42.net/?path=/story/organisms-header-n-level-menu-header--n-level-menu-header" TargetMode="External"/><Relationship Id="rId4" Type="http://schemas.openxmlformats.org/officeDocument/2006/relationships/hyperlink" Target="http://space-design-system.qed42.net/?path=/story/organisms-header-sub-navigation-2-column-with-sidebar--2-column-with-sidebar" TargetMode="External"/><Relationship Id="rId9" Type="http://schemas.openxmlformats.org/officeDocument/2006/relationships/hyperlink" Target="http://space-design-system.qed42.net/?path=/story/molecules-card-icon-card--icon-card&amp;args=card_layout:withicon" TargetMode="External"/><Relationship Id="rId26" Type="http://schemas.openxmlformats.org/officeDocument/2006/relationships/hyperlink" Target="http://space-design-system.qed42.net/?path=/story/organisms-timeline-timeline-1--timeline-1" TargetMode="External"/><Relationship Id="rId25" Type="http://schemas.openxmlformats.org/officeDocument/2006/relationships/hyperlink" Target="http://space-design-system.qed42.net/?path=/story/organisms-sticky-jump-link-sticky-jump-link--sticky-jump-link" TargetMode="External"/><Relationship Id="rId28" Type="http://schemas.openxmlformats.org/officeDocument/2006/relationships/hyperlink" Target="http://space-design-system.qed42.net/?path=/story/organisms-accordion-with-image-accordion-with-image-variation-1--accordion-with-image-variation-1" TargetMode="External"/><Relationship Id="rId27" Type="http://schemas.openxmlformats.org/officeDocument/2006/relationships/hyperlink" Target="http://space-design-system.qed42.net/?path=/story/organisms-accordion--accordion" TargetMode="External"/><Relationship Id="rId5" Type="http://schemas.openxmlformats.org/officeDocument/2006/relationships/hyperlink" Target="http://space-design-system.qed42.net/?path=/story/organisms-header-secondary-header--secondary-header" TargetMode="External"/><Relationship Id="rId6" Type="http://schemas.openxmlformats.org/officeDocument/2006/relationships/hyperlink" Target="http://space-design-system.qed42.net/?path=/story/molecules-breadcrumb--breadcrumb" TargetMode="External"/><Relationship Id="rId29" Type="http://schemas.openxmlformats.org/officeDocument/2006/relationships/hyperlink" Target="http://space-design-system.qed42.net/?path=/story/organisms-team-sections-team-sections-image-card-1--team-sections-image-card-1" TargetMode="External"/><Relationship Id="rId7" Type="http://schemas.openxmlformats.org/officeDocument/2006/relationships/hyperlink" Target="http://space-design-system.qed42.net/?path=/story/organisms-hero-banner-hero-banner-style-1--hero-banner-style-1" TargetMode="External"/><Relationship Id="rId8" Type="http://schemas.openxmlformats.org/officeDocument/2006/relationships/hyperlink" Target="http://space-design-system.qed42.net/?path=/story/organisms-carousel-carousel-image-with-asymmetric-text--carousel-image-with-asymmetric-text" TargetMode="External"/><Relationship Id="rId31" Type="http://schemas.openxmlformats.org/officeDocument/2006/relationships/drawing" Target="../drawings/drawing9.xml"/><Relationship Id="rId30" Type="http://schemas.openxmlformats.org/officeDocument/2006/relationships/hyperlink" Target="http://space-design-system.qed42.net/?path=/story/molecules-pagination-pagination--pagination" TargetMode="External"/><Relationship Id="rId11" Type="http://schemas.openxmlformats.org/officeDocument/2006/relationships/hyperlink" Target="http://space-design-system.qed42.net/?path=/story/molecules-card-featured-card--featured-card" TargetMode="External"/><Relationship Id="rId10" Type="http://schemas.openxmlformats.org/officeDocument/2006/relationships/hyperlink" Target="http://space-design-system.qed42.net/?path=/story/molecules-card-pricing-card--pricing-card" TargetMode="External"/><Relationship Id="rId13" Type="http://schemas.openxmlformats.org/officeDocument/2006/relationships/hyperlink" Target="http://space-design-system.qed42.net/?path=/story/molecules-card-testimony-card--testimony-card" TargetMode="External"/><Relationship Id="rId12" Type="http://schemas.openxmlformats.org/officeDocument/2006/relationships/hyperlink" Target="http://space-design-system.qed42.net/?path=/story/molecules-card-image-card--image-card" TargetMode="External"/><Relationship Id="rId15" Type="http://schemas.openxmlformats.org/officeDocument/2006/relationships/hyperlink" Target="http://space-design-system.qed42.net/?path=/story/organisms-card-carousel-pricing-card-carousel--pricing-card-carousel" TargetMode="External"/><Relationship Id="rId14" Type="http://schemas.openxmlformats.org/officeDocument/2006/relationships/hyperlink" Target="http://space-design-system.qed42.net/?path=/story/organisms-card-carousel-icon-card-carousel--icon-card-carousel" TargetMode="External"/><Relationship Id="rId17" Type="http://schemas.openxmlformats.org/officeDocument/2006/relationships/hyperlink" Target="http://space-design-system.qed42.net/?path=/story/organisms-card-carousel-image-card-carousel--image-card-carousel" TargetMode="External"/><Relationship Id="rId16" Type="http://schemas.openxmlformats.org/officeDocument/2006/relationships/hyperlink" Target="http://space-design-system.qed42.net/?path=/story/organisms-card-carousel-featured-card-carousel--featured-card-carousel" TargetMode="External"/><Relationship Id="rId19" Type="http://schemas.openxmlformats.org/officeDocument/2006/relationships/hyperlink" Target="http://space-design-system.qed42.net/?path=/story/molecules-section-heading--section-heading" TargetMode="External"/><Relationship Id="rId18" Type="http://schemas.openxmlformats.org/officeDocument/2006/relationships/hyperlink" Target="http://space-design-system.qed42.net/?path=/story/organisms-testimonial-carousel-testimonial-carousel-avatar-center--testimonial-carousel-avatar-center"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7.88"/>
    <col customWidth="1" min="2" max="2" width="72.5"/>
    <col customWidth="1" min="3" max="3" width="26.5"/>
    <col customWidth="1" min="4" max="4" width="16.38"/>
    <col customWidth="1" min="5" max="5" width="17.88"/>
    <col customWidth="1" min="6" max="6" width="15.5"/>
  </cols>
  <sheetData>
    <row r="1">
      <c r="A1" s="1" t="s">
        <v>0</v>
      </c>
      <c r="B1" s="2"/>
      <c r="C1" s="3"/>
      <c r="D1" s="3"/>
      <c r="E1" s="3"/>
      <c r="F1" s="3"/>
      <c r="G1" s="3"/>
      <c r="H1" s="3"/>
      <c r="I1" s="3"/>
      <c r="J1" s="3"/>
      <c r="K1" s="3"/>
      <c r="L1" s="3"/>
      <c r="M1" s="3"/>
      <c r="N1" s="3"/>
      <c r="O1" s="3"/>
      <c r="P1" s="3"/>
      <c r="Q1" s="3"/>
      <c r="R1" s="3"/>
      <c r="S1" s="3"/>
      <c r="T1" s="3"/>
      <c r="U1" s="4"/>
      <c r="V1" s="4"/>
      <c r="W1" s="4"/>
      <c r="X1" s="4"/>
      <c r="Y1" s="4"/>
    </row>
    <row r="2" ht="31.5" customHeight="1">
      <c r="A2" s="5" t="s">
        <v>1</v>
      </c>
      <c r="B2" s="6"/>
      <c r="C2" s="4"/>
      <c r="D2" s="4"/>
      <c r="E2" s="4"/>
      <c r="F2" s="4"/>
      <c r="G2" s="3"/>
      <c r="H2" s="3"/>
      <c r="I2" s="3"/>
      <c r="J2" s="3"/>
      <c r="K2" s="3"/>
      <c r="L2" s="3"/>
      <c r="M2" s="3"/>
      <c r="N2" s="3"/>
      <c r="O2" s="3"/>
      <c r="P2" s="3"/>
      <c r="Q2" s="3"/>
      <c r="R2" s="3"/>
      <c r="S2" s="3"/>
      <c r="T2" s="3"/>
      <c r="U2" s="4"/>
      <c r="V2" s="4"/>
      <c r="W2" s="4"/>
      <c r="X2" s="4"/>
      <c r="Y2" s="4"/>
    </row>
    <row r="3" ht="29.25" customHeight="1">
      <c r="A3" s="7" t="s">
        <v>2</v>
      </c>
      <c r="B3" s="8"/>
      <c r="C3" s="3"/>
      <c r="D3" s="3"/>
      <c r="E3" s="3"/>
      <c r="F3" s="3"/>
      <c r="G3" s="3"/>
      <c r="H3" s="3"/>
      <c r="I3" s="3"/>
      <c r="J3" s="3"/>
      <c r="K3" s="3"/>
      <c r="L3" s="3"/>
      <c r="M3" s="3"/>
      <c r="N3" s="3"/>
      <c r="O3" s="3"/>
      <c r="P3" s="3"/>
      <c r="Q3" s="3"/>
      <c r="R3" s="3"/>
      <c r="S3" s="3"/>
      <c r="T3" s="3"/>
      <c r="U3" s="4"/>
      <c r="V3" s="4"/>
      <c r="W3" s="4"/>
      <c r="X3" s="4"/>
      <c r="Y3" s="4"/>
    </row>
    <row r="4">
      <c r="A4" s="5" t="s">
        <v>3</v>
      </c>
      <c r="B4" s="9"/>
      <c r="C4" s="3"/>
      <c r="D4" s="3"/>
      <c r="E4" s="3"/>
      <c r="F4" s="3"/>
      <c r="G4" s="3"/>
      <c r="H4" s="3"/>
      <c r="I4" s="3"/>
      <c r="J4" s="3"/>
      <c r="K4" s="3"/>
      <c r="L4" s="3"/>
      <c r="M4" s="3"/>
      <c r="N4" s="3"/>
      <c r="O4" s="3"/>
      <c r="P4" s="3"/>
      <c r="Q4" s="3"/>
      <c r="R4" s="3"/>
      <c r="S4" s="3"/>
      <c r="T4" s="3"/>
      <c r="U4" s="4"/>
      <c r="V4" s="4"/>
      <c r="W4" s="4"/>
      <c r="X4" s="4"/>
      <c r="Y4" s="4"/>
    </row>
    <row r="5">
      <c r="A5" s="5" t="s">
        <v>4</v>
      </c>
      <c r="B5" s="9"/>
      <c r="C5" s="3"/>
      <c r="D5" s="3"/>
      <c r="E5" s="3"/>
      <c r="F5" s="3"/>
      <c r="G5" s="3"/>
      <c r="H5" s="3"/>
      <c r="I5" s="3"/>
      <c r="J5" s="3"/>
      <c r="K5" s="3"/>
      <c r="L5" s="3"/>
      <c r="M5" s="3"/>
      <c r="N5" s="3"/>
      <c r="O5" s="3"/>
      <c r="P5" s="3"/>
      <c r="Q5" s="3"/>
      <c r="R5" s="3"/>
      <c r="S5" s="3"/>
      <c r="T5" s="3"/>
      <c r="U5" s="4"/>
      <c r="V5" s="4"/>
      <c r="W5" s="4"/>
      <c r="X5" s="4"/>
      <c r="Y5" s="4"/>
    </row>
    <row r="6">
      <c r="A6" s="5" t="s">
        <v>5</v>
      </c>
      <c r="B6" s="10"/>
      <c r="C6" s="3"/>
      <c r="D6" s="3"/>
      <c r="E6" s="3"/>
      <c r="F6" s="3"/>
      <c r="G6" s="3"/>
      <c r="H6" s="3"/>
      <c r="I6" s="3"/>
      <c r="J6" s="3"/>
      <c r="K6" s="3"/>
      <c r="L6" s="3"/>
      <c r="M6" s="3"/>
      <c r="N6" s="3"/>
      <c r="O6" s="3"/>
      <c r="P6" s="3"/>
      <c r="Q6" s="3"/>
      <c r="R6" s="3"/>
      <c r="S6" s="3"/>
      <c r="T6" s="3"/>
      <c r="U6" s="4"/>
      <c r="V6" s="4"/>
      <c r="W6" s="4"/>
      <c r="X6" s="4"/>
      <c r="Y6" s="4"/>
    </row>
    <row r="7">
      <c r="A7" s="5" t="s">
        <v>6</v>
      </c>
      <c r="B7" s="10"/>
      <c r="C7" s="3"/>
      <c r="D7" s="3"/>
      <c r="E7" s="3"/>
      <c r="F7" s="3"/>
      <c r="G7" s="3"/>
      <c r="H7" s="3"/>
      <c r="I7" s="3"/>
      <c r="J7" s="3"/>
      <c r="K7" s="3"/>
      <c r="L7" s="3"/>
      <c r="M7" s="3"/>
      <c r="N7" s="3"/>
      <c r="O7" s="3"/>
      <c r="P7" s="3"/>
      <c r="Q7" s="3"/>
      <c r="R7" s="3"/>
      <c r="S7" s="3"/>
      <c r="T7" s="3"/>
      <c r="U7" s="4"/>
      <c r="V7" s="4"/>
      <c r="W7" s="4"/>
      <c r="X7" s="4"/>
      <c r="Y7" s="4"/>
    </row>
    <row r="8">
      <c r="A8" s="11" t="s">
        <v>7</v>
      </c>
      <c r="B8" s="10"/>
      <c r="C8" s="3"/>
      <c r="D8" s="3"/>
      <c r="E8" s="3"/>
      <c r="F8" s="3"/>
      <c r="G8" s="3"/>
      <c r="H8" s="3"/>
      <c r="I8" s="3"/>
      <c r="J8" s="3"/>
      <c r="K8" s="3"/>
      <c r="L8" s="3"/>
      <c r="M8" s="3"/>
      <c r="N8" s="3"/>
      <c r="O8" s="3"/>
      <c r="P8" s="3"/>
      <c r="Q8" s="3"/>
      <c r="R8" s="3"/>
      <c r="S8" s="3"/>
      <c r="T8" s="3"/>
      <c r="U8" s="4"/>
      <c r="V8" s="4"/>
      <c r="W8" s="4"/>
      <c r="X8" s="4"/>
      <c r="Y8" s="4"/>
    </row>
    <row r="9">
      <c r="A9" s="5" t="s">
        <v>8</v>
      </c>
      <c r="B9" s="10"/>
      <c r="C9" s="3"/>
      <c r="D9" s="3"/>
      <c r="E9" s="3"/>
      <c r="F9" s="3"/>
      <c r="G9" s="3"/>
      <c r="H9" s="3"/>
      <c r="I9" s="3"/>
      <c r="J9" s="3"/>
      <c r="K9" s="3"/>
      <c r="L9" s="3"/>
      <c r="M9" s="3"/>
      <c r="N9" s="3"/>
      <c r="O9" s="3"/>
      <c r="P9" s="3"/>
      <c r="Q9" s="3"/>
      <c r="R9" s="3"/>
      <c r="S9" s="3"/>
      <c r="T9" s="3"/>
      <c r="U9" s="4"/>
      <c r="V9" s="4"/>
      <c r="W9" s="4"/>
      <c r="X9" s="4"/>
      <c r="Y9" s="4"/>
    </row>
    <row r="10">
      <c r="A10" s="5" t="s">
        <v>9</v>
      </c>
      <c r="B10" s="6"/>
      <c r="C10" s="3"/>
      <c r="D10" s="3"/>
      <c r="E10" s="3"/>
      <c r="F10" s="3"/>
      <c r="G10" s="3"/>
      <c r="H10" s="3"/>
      <c r="I10" s="3"/>
      <c r="J10" s="3"/>
      <c r="K10" s="3"/>
      <c r="L10" s="3"/>
      <c r="M10" s="3"/>
      <c r="N10" s="3"/>
      <c r="O10" s="3"/>
      <c r="P10" s="3"/>
      <c r="Q10" s="3"/>
      <c r="R10" s="3"/>
      <c r="S10" s="3"/>
      <c r="T10" s="3"/>
      <c r="U10" s="4"/>
      <c r="V10" s="4"/>
      <c r="W10" s="4"/>
      <c r="X10" s="4"/>
      <c r="Y10" s="4"/>
    </row>
    <row r="11">
      <c r="A11" s="5" t="s">
        <v>10</v>
      </c>
      <c r="B11" s="12" t="s">
        <v>11</v>
      </c>
      <c r="C11" s="3"/>
      <c r="D11" s="3"/>
      <c r="E11" s="3"/>
      <c r="F11" s="3"/>
      <c r="G11" s="3"/>
      <c r="H11" s="3"/>
      <c r="I11" s="3"/>
      <c r="J11" s="3"/>
      <c r="K11" s="3"/>
      <c r="L11" s="3"/>
      <c r="M11" s="3"/>
      <c r="N11" s="3"/>
      <c r="O11" s="3"/>
      <c r="P11" s="3"/>
      <c r="Q11" s="3"/>
      <c r="R11" s="3"/>
      <c r="S11" s="3"/>
      <c r="T11" s="3"/>
      <c r="U11" s="4"/>
      <c r="V11" s="4"/>
      <c r="W11" s="4"/>
      <c r="X11" s="4"/>
      <c r="Y11" s="4"/>
    </row>
    <row r="12" ht="30.0" customHeight="1">
      <c r="A12" s="7" t="s">
        <v>12</v>
      </c>
      <c r="B12" s="8"/>
      <c r="C12" s="3"/>
      <c r="D12" s="3"/>
      <c r="E12" s="3"/>
      <c r="F12" s="3"/>
      <c r="G12" s="3"/>
      <c r="H12" s="3"/>
      <c r="I12" s="3"/>
      <c r="J12" s="3"/>
      <c r="K12" s="3"/>
      <c r="L12" s="3"/>
      <c r="M12" s="3"/>
      <c r="N12" s="3"/>
      <c r="O12" s="3"/>
      <c r="P12" s="3"/>
      <c r="Q12" s="3"/>
      <c r="R12" s="3"/>
      <c r="S12" s="3"/>
      <c r="T12" s="3"/>
      <c r="U12" s="4"/>
      <c r="V12" s="4"/>
      <c r="W12" s="4"/>
      <c r="X12" s="4"/>
      <c r="Y12" s="4"/>
    </row>
    <row r="13">
      <c r="A13" s="5" t="s">
        <v>13</v>
      </c>
      <c r="B13" s="12" t="s">
        <v>14</v>
      </c>
      <c r="C13" s="3"/>
      <c r="D13" s="3"/>
      <c r="E13" s="3"/>
      <c r="F13" s="3"/>
      <c r="G13" s="3"/>
      <c r="H13" s="3"/>
      <c r="I13" s="3"/>
      <c r="J13" s="3"/>
      <c r="K13" s="3"/>
      <c r="L13" s="3"/>
      <c r="M13" s="3"/>
      <c r="N13" s="3"/>
      <c r="O13" s="3"/>
      <c r="P13" s="3"/>
      <c r="Q13" s="3"/>
      <c r="R13" s="3"/>
      <c r="S13" s="3"/>
      <c r="T13" s="3"/>
      <c r="U13" s="4"/>
      <c r="V13" s="4"/>
      <c r="W13" s="4"/>
      <c r="X13" s="4"/>
      <c r="Y13" s="4"/>
    </row>
    <row r="14">
      <c r="A14" s="11" t="s">
        <v>15</v>
      </c>
      <c r="B14" s="13"/>
      <c r="C14" s="3"/>
      <c r="D14" s="3"/>
      <c r="E14" s="3"/>
      <c r="F14" s="3"/>
      <c r="G14" s="3"/>
      <c r="H14" s="3"/>
      <c r="I14" s="3"/>
      <c r="J14" s="3"/>
      <c r="K14" s="3"/>
      <c r="L14" s="3"/>
      <c r="M14" s="3"/>
      <c r="N14" s="3"/>
      <c r="O14" s="3"/>
      <c r="P14" s="3"/>
      <c r="Q14" s="3"/>
      <c r="R14" s="3"/>
      <c r="S14" s="3"/>
      <c r="T14" s="3"/>
      <c r="U14" s="4"/>
      <c r="V14" s="4"/>
      <c r="W14" s="4"/>
      <c r="X14" s="4"/>
      <c r="Y14" s="4"/>
    </row>
    <row r="15">
      <c r="A15" s="11" t="s">
        <v>16</v>
      </c>
      <c r="B15" s="6"/>
      <c r="C15" s="3"/>
      <c r="D15" s="3"/>
      <c r="E15" s="3"/>
      <c r="F15" s="3"/>
      <c r="G15" s="3"/>
      <c r="H15" s="3"/>
      <c r="I15" s="3"/>
      <c r="J15" s="3"/>
      <c r="K15" s="3"/>
      <c r="L15" s="3"/>
      <c r="M15" s="3"/>
      <c r="N15" s="3"/>
      <c r="O15" s="3"/>
      <c r="P15" s="3"/>
      <c r="Q15" s="3"/>
      <c r="R15" s="3"/>
      <c r="S15" s="3"/>
      <c r="T15" s="3"/>
      <c r="U15" s="4"/>
      <c r="V15" s="4"/>
      <c r="W15" s="4"/>
      <c r="X15" s="4"/>
      <c r="Y15" s="4"/>
    </row>
    <row r="16">
      <c r="A16" s="5" t="s">
        <v>17</v>
      </c>
      <c r="B16" s="6"/>
      <c r="C16" s="3"/>
      <c r="D16" s="3"/>
      <c r="E16" s="3"/>
      <c r="F16" s="3"/>
      <c r="G16" s="3"/>
      <c r="H16" s="3"/>
      <c r="I16" s="3"/>
      <c r="J16" s="3"/>
      <c r="K16" s="3"/>
      <c r="L16" s="3"/>
      <c r="M16" s="3"/>
      <c r="N16" s="3"/>
      <c r="O16" s="3"/>
      <c r="P16" s="3"/>
      <c r="Q16" s="3"/>
      <c r="R16" s="3"/>
      <c r="S16" s="3"/>
      <c r="T16" s="3"/>
      <c r="U16" s="4"/>
      <c r="V16" s="4"/>
      <c r="W16" s="4"/>
      <c r="X16" s="4"/>
      <c r="Y16" s="4"/>
    </row>
    <row r="17">
      <c r="A17" s="11" t="s">
        <v>18</v>
      </c>
      <c r="B17" s="6"/>
      <c r="C17" s="3"/>
      <c r="D17" s="3"/>
      <c r="E17" s="3"/>
      <c r="F17" s="3"/>
      <c r="G17" s="3"/>
      <c r="H17" s="3"/>
      <c r="I17" s="3"/>
      <c r="J17" s="3"/>
      <c r="K17" s="3"/>
      <c r="L17" s="3"/>
      <c r="M17" s="3"/>
      <c r="N17" s="3"/>
      <c r="O17" s="3"/>
      <c r="P17" s="3"/>
      <c r="Q17" s="3"/>
      <c r="R17" s="3"/>
      <c r="S17" s="3"/>
      <c r="T17" s="3"/>
      <c r="U17" s="4"/>
      <c r="V17" s="4"/>
      <c r="W17" s="4"/>
      <c r="X17" s="4"/>
      <c r="Y17" s="4"/>
    </row>
    <row r="18">
      <c r="A18" s="5" t="s">
        <v>19</v>
      </c>
      <c r="B18" s="6"/>
      <c r="C18" s="3"/>
      <c r="D18" s="3"/>
      <c r="E18" s="3"/>
      <c r="F18" s="3"/>
      <c r="G18" s="3"/>
      <c r="H18" s="3"/>
      <c r="I18" s="3"/>
      <c r="J18" s="3"/>
      <c r="K18" s="3"/>
      <c r="L18" s="3"/>
      <c r="M18" s="3"/>
      <c r="N18" s="3"/>
      <c r="O18" s="3"/>
      <c r="P18" s="3"/>
      <c r="Q18" s="3"/>
      <c r="R18" s="3"/>
      <c r="S18" s="3"/>
      <c r="T18" s="3"/>
      <c r="U18" s="4"/>
      <c r="V18" s="4"/>
      <c r="W18" s="4"/>
      <c r="X18" s="4"/>
      <c r="Y18" s="4"/>
    </row>
    <row r="19">
      <c r="A19" s="5" t="s">
        <v>20</v>
      </c>
      <c r="B19" s="6"/>
      <c r="C19" s="3"/>
      <c r="D19" s="3"/>
      <c r="E19" s="3"/>
      <c r="F19" s="3"/>
      <c r="G19" s="3"/>
      <c r="H19" s="3"/>
      <c r="I19" s="3"/>
      <c r="J19" s="3"/>
      <c r="K19" s="3"/>
      <c r="L19" s="3"/>
      <c r="M19" s="3"/>
      <c r="N19" s="3"/>
      <c r="O19" s="3"/>
      <c r="P19" s="3"/>
      <c r="Q19" s="3"/>
      <c r="R19" s="3"/>
      <c r="S19" s="3"/>
      <c r="T19" s="3"/>
      <c r="U19" s="4"/>
      <c r="V19" s="4"/>
      <c r="W19" s="4"/>
      <c r="X19" s="4"/>
      <c r="Y19" s="4"/>
    </row>
    <row r="20">
      <c r="A20" s="5" t="s">
        <v>21</v>
      </c>
      <c r="B20" s="14"/>
      <c r="C20" s="3"/>
      <c r="D20" s="3"/>
      <c r="E20" s="3"/>
      <c r="F20" s="3"/>
      <c r="G20" s="3"/>
      <c r="H20" s="3"/>
      <c r="I20" s="3"/>
      <c r="J20" s="3"/>
      <c r="K20" s="3"/>
      <c r="L20" s="3"/>
      <c r="M20" s="3"/>
      <c r="N20" s="3"/>
      <c r="O20" s="3"/>
      <c r="P20" s="3"/>
      <c r="Q20" s="3"/>
      <c r="R20" s="3"/>
      <c r="S20" s="3"/>
      <c r="T20" s="3"/>
      <c r="U20" s="4"/>
      <c r="V20" s="4"/>
      <c r="W20" s="4"/>
      <c r="X20" s="4"/>
      <c r="Y20" s="4"/>
    </row>
    <row r="21">
      <c r="A21" s="5" t="s">
        <v>22</v>
      </c>
      <c r="B21" s="14"/>
      <c r="C21" s="3"/>
      <c r="D21" s="3"/>
      <c r="E21" s="3"/>
      <c r="F21" s="3"/>
      <c r="G21" s="3"/>
      <c r="H21" s="3"/>
      <c r="I21" s="3"/>
      <c r="J21" s="3"/>
      <c r="K21" s="3"/>
      <c r="L21" s="3"/>
      <c r="M21" s="3"/>
      <c r="N21" s="3"/>
      <c r="O21" s="3"/>
      <c r="P21" s="3"/>
      <c r="Q21" s="3"/>
      <c r="R21" s="3"/>
      <c r="S21" s="3"/>
      <c r="T21" s="3"/>
      <c r="U21" s="4"/>
      <c r="V21" s="4"/>
      <c r="W21" s="4"/>
      <c r="X21" s="4"/>
      <c r="Y21" s="4"/>
    </row>
    <row r="22">
      <c r="A22" s="11" t="s">
        <v>23</v>
      </c>
      <c r="B22" s="14"/>
      <c r="C22" s="3"/>
      <c r="D22" s="3"/>
      <c r="E22" s="3"/>
      <c r="F22" s="3"/>
      <c r="G22" s="3"/>
      <c r="H22" s="3"/>
      <c r="I22" s="3"/>
      <c r="J22" s="3"/>
      <c r="K22" s="3"/>
      <c r="L22" s="3"/>
      <c r="M22" s="3"/>
      <c r="N22" s="3"/>
      <c r="O22" s="3"/>
      <c r="P22" s="3"/>
      <c r="Q22" s="3"/>
      <c r="R22" s="3"/>
      <c r="S22" s="3"/>
      <c r="T22" s="3"/>
      <c r="U22" s="4"/>
      <c r="V22" s="4"/>
      <c r="W22" s="4"/>
      <c r="X22" s="4"/>
      <c r="Y22" s="4"/>
    </row>
    <row r="23">
      <c r="A23" s="11" t="s">
        <v>24</v>
      </c>
      <c r="B23" s="14"/>
      <c r="C23" s="3"/>
      <c r="D23" s="3"/>
      <c r="E23" s="3"/>
      <c r="F23" s="3"/>
      <c r="G23" s="3"/>
      <c r="H23" s="3"/>
      <c r="I23" s="3"/>
      <c r="J23" s="3"/>
      <c r="K23" s="3"/>
      <c r="L23" s="3"/>
      <c r="M23" s="3"/>
      <c r="N23" s="3"/>
      <c r="O23" s="3"/>
      <c r="P23" s="3"/>
      <c r="Q23" s="3"/>
      <c r="R23" s="3"/>
      <c r="S23" s="3"/>
      <c r="T23" s="3"/>
      <c r="U23" s="4"/>
      <c r="V23" s="4"/>
      <c r="W23" s="4"/>
      <c r="X23" s="4"/>
      <c r="Y23" s="4"/>
    </row>
    <row r="24">
      <c r="A24" s="11" t="s">
        <v>25</v>
      </c>
      <c r="B24" s="14"/>
      <c r="C24" s="3"/>
      <c r="D24" s="3"/>
      <c r="E24" s="3"/>
      <c r="F24" s="3"/>
      <c r="G24" s="3"/>
      <c r="H24" s="3"/>
      <c r="I24" s="3"/>
      <c r="J24" s="3"/>
      <c r="K24" s="3"/>
      <c r="L24" s="3"/>
      <c r="M24" s="3"/>
      <c r="N24" s="3"/>
      <c r="O24" s="3"/>
      <c r="P24" s="3"/>
      <c r="Q24" s="3"/>
      <c r="R24" s="3"/>
      <c r="S24" s="3"/>
      <c r="T24" s="3"/>
      <c r="U24" s="4"/>
      <c r="V24" s="4"/>
      <c r="W24" s="4"/>
      <c r="X24" s="4"/>
      <c r="Y24" s="4"/>
    </row>
    <row r="25">
      <c r="A25" s="5" t="s">
        <v>26</v>
      </c>
      <c r="B25" s="6"/>
      <c r="C25" s="3"/>
      <c r="D25" s="3"/>
      <c r="E25" s="3"/>
      <c r="F25" s="3"/>
      <c r="G25" s="3"/>
      <c r="H25" s="3"/>
      <c r="I25" s="3"/>
      <c r="J25" s="3"/>
      <c r="K25" s="3"/>
      <c r="L25" s="3"/>
      <c r="M25" s="3"/>
      <c r="N25" s="3"/>
      <c r="O25" s="3"/>
      <c r="P25" s="3"/>
      <c r="Q25" s="3"/>
      <c r="R25" s="3"/>
      <c r="S25" s="3"/>
      <c r="T25" s="3"/>
      <c r="U25" s="4"/>
      <c r="V25" s="4"/>
      <c r="W25" s="4"/>
      <c r="X25" s="4"/>
      <c r="Y25" s="4"/>
    </row>
    <row r="26">
      <c r="A26" s="5" t="s">
        <v>27</v>
      </c>
      <c r="B26" s="6"/>
      <c r="C26" s="3"/>
      <c r="D26" s="3"/>
      <c r="E26" s="3"/>
      <c r="F26" s="3"/>
      <c r="G26" s="3"/>
      <c r="H26" s="3"/>
      <c r="I26" s="3"/>
      <c r="J26" s="3"/>
      <c r="K26" s="3"/>
      <c r="L26" s="3"/>
      <c r="M26" s="3"/>
      <c r="N26" s="3"/>
      <c r="O26" s="3"/>
      <c r="P26" s="3"/>
      <c r="Q26" s="3"/>
      <c r="R26" s="3"/>
      <c r="S26" s="3"/>
      <c r="T26" s="3"/>
      <c r="U26" s="4"/>
      <c r="V26" s="4"/>
      <c r="W26" s="4"/>
      <c r="X26" s="4"/>
      <c r="Y26" s="4"/>
    </row>
    <row r="27">
      <c r="A27" s="5" t="s">
        <v>28</v>
      </c>
      <c r="B27" s="15"/>
      <c r="C27" s="3"/>
      <c r="D27" s="3"/>
      <c r="E27" s="3"/>
      <c r="F27" s="3"/>
      <c r="G27" s="3"/>
      <c r="H27" s="3"/>
      <c r="I27" s="3"/>
      <c r="J27" s="3"/>
      <c r="K27" s="3"/>
      <c r="L27" s="3"/>
      <c r="M27" s="3"/>
      <c r="N27" s="3"/>
      <c r="O27" s="3"/>
      <c r="P27" s="3"/>
      <c r="Q27" s="3"/>
      <c r="R27" s="3"/>
      <c r="S27" s="3"/>
      <c r="T27" s="3"/>
      <c r="U27" s="4"/>
      <c r="V27" s="4"/>
      <c r="W27" s="4"/>
      <c r="X27" s="4"/>
      <c r="Y27" s="4"/>
    </row>
    <row r="28" ht="15.75" customHeight="1">
      <c r="A28" s="11" t="s">
        <v>29</v>
      </c>
      <c r="B28" s="6"/>
      <c r="C28" s="3"/>
      <c r="D28" s="3"/>
      <c r="E28" s="3"/>
      <c r="F28" s="3"/>
      <c r="G28" s="3"/>
      <c r="H28" s="3"/>
      <c r="I28" s="3"/>
      <c r="J28" s="3"/>
      <c r="K28" s="3"/>
      <c r="L28" s="3"/>
      <c r="M28" s="3"/>
      <c r="N28" s="3"/>
      <c r="O28" s="3"/>
      <c r="P28" s="3"/>
      <c r="Q28" s="3"/>
      <c r="R28" s="3"/>
      <c r="S28" s="3"/>
      <c r="T28" s="3"/>
      <c r="U28" s="4"/>
      <c r="V28" s="4"/>
      <c r="W28" s="4"/>
      <c r="X28" s="4"/>
      <c r="Y28" s="4"/>
    </row>
    <row r="29" ht="15.75" customHeight="1">
      <c r="A29" s="5" t="s">
        <v>30</v>
      </c>
      <c r="B29" s="16">
        <v>0.5</v>
      </c>
      <c r="C29" s="3"/>
      <c r="D29" s="3"/>
      <c r="E29" s="3"/>
      <c r="F29" s="3"/>
      <c r="G29" s="3"/>
      <c r="H29" s="3"/>
      <c r="I29" s="3"/>
      <c r="J29" s="3"/>
      <c r="K29" s="3"/>
      <c r="L29" s="3"/>
      <c r="M29" s="3"/>
      <c r="N29" s="3"/>
      <c r="O29" s="3"/>
      <c r="P29" s="3"/>
      <c r="Q29" s="3"/>
      <c r="R29" s="3"/>
      <c r="S29" s="3"/>
      <c r="T29" s="3"/>
      <c r="U29" s="4"/>
      <c r="V29" s="4"/>
      <c r="W29" s="4"/>
      <c r="X29" s="4"/>
      <c r="Y29" s="4"/>
    </row>
    <row r="30" ht="15.75" customHeight="1">
      <c r="A30" s="11" t="s">
        <v>31</v>
      </c>
      <c r="B30" s="17" t="s">
        <v>32</v>
      </c>
      <c r="C30" s="4"/>
      <c r="D30" s="4"/>
      <c r="E30" s="4"/>
      <c r="F30" s="4"/>
      <c r="G30" s="3"/>
      <c r="H30" s="3"/>
      <c r="I30" s="3"/>
      <c r="J30" s="3"/>
      <c r="K30" s="3"/>
      <c r="L30" s="3"/>
      <c r="M30" s="3"/>
      <c r="N30" s="3"/>
      <c r="O30" s="3"/>
      <c r="P30" s="3"/>
      <c r="Q30" s="3"/>
      <c r="R30" s="3"/>
      <c r="S30" s="3"/>
      <c r="T30" s="3"/>
      <c r="U30" s="4"/>
      <c r="V30" s="4"/>
      <c r="W30" s="4"/>
      <c r="X30" s="4"/>
      <c r="Y30" s="4"/>
    </row>
    <row r="31" ht="15.75" customHeight="1">
      <c r="A31" s="11" t="s">
        <v>33</v>
      </c>
      <c r="B31" s="6"/>
      <c r="C31" s="4"/>
      <c r="D31" s="4"/>
      <c r="E31" s="4"/>
      <c r="F31" s="4"/>
      <c r="G31" s="3"/>
      <c r="H31" s="3"/>
      <c r="I31" s="3"/>
      <c r="J31" s="3"/>
      <c r="K31" s="3"/>
      <c r="L31" s="3"/>
      <c r="M31" s="3"/>
      <c r="N31" s="3"/>
      <c r="O31" s="3"/>
      <c r="P31" s="3"/>
      <c r="Q31" s="3"/>
      <c r="R31" s="3"/>
      <c r="S31" s="3"/>
      <c r="T31" s="3"/>
      <c r="U31" s="4"/>
      <c r="V31" s="4"/>
      <c r="W31" s="4"/>
      <c r="X31" s="4"/>
      <c r="Y31" s="4"/>
    </row>
    <row r="33" ht="15.75" customHeight="1">
      <c r="A33" s="18"/>
      <c r="B33" s="18"/>
      <c r="C33" s="3"/>
      <c r="D33" s="3"/>
      <c r="E33" s="3"/>
      <c r="F33" s="3"/>
      <c r="G33" s="3"/>
      <c r="H33" s="3"/>
      <c r="I33" s="3"/>
      <c r="J33" s="3"/>
      <c r="K33" s="3"/>
      <c r="L33" s="3"/>
      <c r="M33" s="3"/>
      <c r="N33" s="3"/>
      <c r="O33" s="3"/>
      <c r="P33" s="3"/>
      <c r="Q33" s="3"/>
      <c r="R33" s="3"/>
      <c r="S33" s="3"/>
      <c r="T33" s="3"/>
      <c r="U33" s="4"/>
      <c r="V33" s="4"/>
      <c r="W33" s="4"/>
      <c r="X33" s="4"/>
      <c r="Y33" s="4"/>
    </row>
    <row r="34" ht="15.75" customHeight="1">
      <c r="A34" s="18"/>
      <c r="B34" s="18"/>
      <c r="C34" s="3"/>
      <c r="D34" s="3"/>
      <c r="E34" s="3"/>
      <c r="F34" s="3"/>
      <c r="G34" s="3"/>
      <c r="H34" s="3"/>
      <c r="I34" s="3"/>
      <c r="J34" s="3"/>
      <c r="K34" s="3"/>
      <c r="L34" s="3"/>
      <c r="M34" s="3"/>
      <c r="N34" s="3"/>
      <c r="O34" s="3"/>
      <c r="P34" s="3"/>
      <c r="Q34" s="3"/>
      <c r="R34" s="3"/>
      <c r="S34" s="3"/>
      <c r="T34" s="3"/>
      <c r="U34" s="4"/>
      <c r="V34" s="4"/>
      <c r="W34" s="4"/>
      <c r="X34" s="4"/>
      <c r="Y34" s="4"/>
    </row>
    <row r="35" ht="15.75" customHeight="1">
      <c r="A35" s="18"/>
      <c r="B35" s="18"/>
      <c r="C35" s="3"/>
      <c r="D35" s="3"/>
      <c r="E35" s="3"/>
      <c r="F35" s="3"/>
      <c r="G35" s="3"/>
      <c r="H35" s="3"/>
      <c r="I35" s="3"/>
      <c r="J35" s="3"/>
      <c r="K35" s="3"/>
      <c r="L35" s="3"/>
      <c r="M35" s="3"/>
      <c r="N35" s="3"/>
      <c r="O35" s="3"/>
      <c r="P35" s="3"/>
      <c r="Q35" s="3"/>
      <c r="R35" s="3"/>
      <c r="S35" s="3"/>
      <c r="T35" s="3"/>
      <c r="U35" s="4"/>
      <c r="V35" s="4"/>
      <c r="W35" s="4"/>
      <c r="X35" s="4"/>
      <c r="Y35" s="4"/>
    </row>
    <row r="36" ht="15.75" customHeight="1">
      <c r="A36" s="18"/>
      <c r="B36" s="18"/>
      <c r="C36" s="3"/>
      <c r="D36" s="3"/>
      <c r="E36" s="3"/>
      <c r="F36" s="3"/>
      <c r="G36" s="3"/>
      <c r="H36" s="3"/>
      <c r="I36" s="3"/>
      <c r="J36" s="3"/>
      <c r="K36" s="3"/>
      <c r="L36" s="3"/>
      <c r="M36" s="3"/>
      <c r="N36" s="3"/>
      <c r="O36" s="3"/>
      <c r="P36" s="3"/>
      <c r="Q36" s="3"/>
      <c r="R36" s="3"/>
      <c r="S36" s="3"/>
      <c r="T36" s="3"/>
      <c r="U36" s="4"/>
      <c r="V36" s="4"/>
      <c r="W36" s="4"/>
      <c r="X36" s="4"/>
      <c r="Y36" s="4"/>
    </row>
    <row r="37" ht="15.75" customHeight="1">
      <c r="A37" s="18"/>
      <c r="B37" s="18"/>
      <c r="C37" s="3"/>
      <c r="D37" s="3"/>
      <c r="E37" s="3"/>
      <c r="F37" s="3"/>
      <c r="G37" s="3"/>
      <c r="H37" s="3"/>
      <c r="I37" s="3"/>
      <c r="J37" s="3"/>
      <c r="K37" s="3"/>
      <c r="L37" s="3"/>
      <c r="M37" s="3"/>
      <c r="N37" s="3"/>
      <c r="O37" s="3"/>
      <c r="P37" s="3"/>
      <c r="Q37" s="3"/>
      <c r="R37" s="3"/>
      <c r="S37" s="3"/>
      <c r="T37" s="3"/>
      <c r="U37" s="4"/>
      <c r="V37" s="4"/>
      <c r="W37" s="4"/>
      <c r="X37" s="4"/>
      <c r="Y37" s="4"/>
    </row>
    <row r="38" ht="15.75" customHeight="1">
      <c r="A38" s="18"/>
      <c r="B38" s="18"/>
      <c r="C38" s="3"/>
      <c r="D38" s="3"/>
      <c r="E38" s="3"/>
      <c r="F38" s="3"/>
      <c r="G38" s="3"/>
      <c r="H38" s="3"/>
      <c r="I38" s="3"/>
      <c r="J38" s="3"/>
      <c r="K38" s="3"/>
      <c r="L38" s="3"/>
      <c r="M38" s="3"/>
      <c r="N38" s="3"/>
      <c r="O38" s="3"/>
      <c r="P38" s="3"/>
      <c r="Q38" s="3"/>
      <c r="R38" s="3"/>
      <c r="S38" s="3"/>
      <c r="T38" s="3"/>
      <c r="U38" s="4"/>
      <c r="V38" s="4"/>
      <c r="W38" s="4"/>
      <c r="X38" s="4"/>
      <c r="Y38" s="4"/>
    </row>
    <row r="39" ht="15.75" customHeight="1">
      <c r="A39" s="18"/>
      <c r="B39" s="18"/>
      <c r="C39" s="3"/>
      <c r="D39" s="3"/>
      <c r="E39" s="3"/>
      <c r="F39" s="3"/>
      <c r="G39" s="3"/>
      <c r="H39" s="3"/>
      <c r="I39" s="3"/>
      <c r="J39" s="3"/>
      <c r="K39" s="3"/>
      <c r="L39" s="3"/>
      <c r="M39" s="3"/>
      <c r="N39" s="3"/>
      <c r="O39" s="3"/>
      <c r="P39" s="3"/>
      <c r="Q39" s="3"/>
      <c r="R39" s="3"/>
      <c r="S39" s="3"/>
      <c r="T39" s="3"/>
      <c r="U39" s="4"/>
      <c r="V39" s="4"/>
      <c r="W39" s="4"/>
      <c r="X39" s="4"/>
      <c r="Y39" s="4"/>
    </row>
    <row r="40" ht="15.75" customHeight="1">
      <c r="A40" s="18"/>
      <c r="B40" s="18"/>
      <c r="C40" s="3"/>
      <c r="D40" s="3"/>
      <c r="E40" s="3"/>
      <c r="F40" s="3"/>
      <c r="G40" s="3"/>
      <c r="H40" s="3"/>
      <c r="I40" s="3"/>
      <c r="J40" s="3"/>
      <c r="K40" s="3"/>
      <c r="L40" s="3"/>
      <c r="M40" s="3"/>
      <c r="N40" s="3"/>
      <c r="O40" s="3"/>
      <c r="P40" s="3"/>
      <c r="Q40" s="3"/>
      <c r="R40" s="3"/>
      <c r="S40" s="3"/>
      <c r="T40" s="3"/>
      <c r="U40" s="4"/>
      <c r="V40" s="4"/>
      <c r="W40" s="4"/>
      <c r="X40" s="4"/>
      <c r="Y40" s="4"/>
    </row>
    <row r="41" ht="15.75" customHeight="1">
      <c r="A41" s="18"/>
      <c r="B41" s="18"/>
      <c r="C41" s="3"/>
      <c r="D41" s="3"/>
      <c r="E41" s="3"/>
      <c r="F41" s="3"/>
      <c r="G41" s="3"/>
      <c r="H41" s="3"/>
      <c r="I41" s="3"/>
      <c r="J41" s="3"/>
      <c r="K41" s="3"/>
      <c r="L41" s="3"/>
      <c r="M41" s="3"/>
      <c r="N41" s="3"/>
      <c r="O41" s="3"/>
      <c r="P41" s="3"/>
      <c r="Q41" s="3"/>
      <c r="R41" s="3"/>
      <c r="S41" s="3"/>
      <c r="T41" s="3"/>
      <c r="U41" s="4"/>
      <c r="V41" s="4"/>
      <c r="W41" s="4"/>
      <c r="X41" s="4"/>
      <c r="Y41" s="4"/>
    </row>
    <row r="42" ht="15.75" customHeight="1">
      <c r="A42" s="18"/>
      <c r="B42" s="18"/>
      <c r="C42" s="3"/>
      <c r="D42" s="3"/>
      <c r="E42" s="3"/>
      <c r="F42" s="3"/>
      <c r="G42" s="3"/>
      <c r="H42" s="3"/>
      <c r="I42" s="3"/>
      <c r="J42" s="3"/>
      <c r="K42" s="3"/>
      <c r="L42" s="3"/>
      <c r="M42" s="3"/>
      <c r="N42" s="3"/>
      <c r="O42" s="3"/>
      <c r="P42" s="3"/>
      <c r="Q42" s="3"/>
      <c r="R42" s="3"/>
      <c r="S42" s="3"/>
      <c r="T42" s="3"/>
      <c r="U42" s="4"/>
      <c r="V42" s="4"/>
      <c r="W42" s="4"/>
      <c r="X42" s="4"/>
      <c r="Y42" s="4"/>
    </row>
    <row r="43" ht="15.75" customHeight="1">
      <c r="A43" s="18"/>
      <c r="B43" s="18"/>
      <c r="C43" s="3"/>
      <c r="D43" s="3"/>
      <c r="E43" s="3"/>
      <c r="F43" s="3"/>
      <c r="G43" s="3"/>
      <c r="H43" s="3"/>
      <c r="I43" s="3"/>
      <c r="J43" s="3"/>
      <c r="K43" s="3"/>
      <c r="L43" s="3"/>
      <c r="M43" s="3"/>
      <c r="N43" s="3"/>
      <c r="O43" s="3"/>
      <c r="P43" s="3"/>
      <c r="Q43" s="3"/>
      <c r="R43" s="3"/>
      <c r="S43" s="3"/>
      <c r="T43" s="3"/>
      <c r="U43" s="4"/>
      <c r="V43" s="4"/>
      <c r="W43" s="4"/>
      <c r="X43" s="4"/>
      <c r="Y43" s="4"/>
    </row>
    <row r="44" ht="15.75" customHeight="1">
      <c r="A44" s="18"/>
      <c r="B44" s="18"/>
      <c r="C44" s="3"/>
      <c r="D44" s="3"/>
      <c r="E44" s="3"/>
      <c r="F44" s="3"/>
      <c r="G44" s="3"/>
      <c r="H44" s="3"/>
      <c r="I44" s="3"/>
      <c r="J44" s="3"/>
      <c r="K44" s="3"/>
      <c r="L44" s="3"/>
      <c r="M44" s="3"/>
      <c r="N44" s="3"/>
      <c r="O44" s="3"/>
      <c r="P44" s="3"/>
      <c r="Q44" s="3"/>
      <c r="R44" s="3"/>
      <c r="S44" s="3"/>
      <c r="T44" s="3"/>
      <c r="U44" s="4"/>
      <c r="V44" s="4"/>
      <c r="W44" s="4"/>
      <c r="X44" s="4"/>
      <c r="Y44" s="4"/>
    </row>
    <row r="45" ht="15.75" customHeight="1">
      <c r="A45" s="18"/>
      <c r="B45" s="18"/>
      <c r="C45" s="3"/>
      <c r="D45" s="3"/>
      <c r="E45" s="3"/>
      <c r="F45" s="3"/>
      <c r="G45" s="3"/>
      <c r="H45" s="3"/>
      <c r="I45" s="3"/>
      <c r="J45" s="3"/>
      <c r="K45" s="3"/>
      <c r="L45" s="3"/>
      <c r="M45" s="3"/>
      <c r="N45" s="3"/>
      <c r="O45" s="3"/>
      <c r="P45" s="3"/>
      <c r="Q45" s="3"/>
      <c r="R45" s="3"/>
      <c r="S45" s="3"/>
      <c r="T45" s="3"/>
      <c r="U45" s="4"/>
      <c r="V45" s="4"/>
      <c r="W45" s="4"/>
      <c r="X45" s="4"/>
      <c r="Y45" s="4"/>
    </row>
    <row r="46" ht="15.75" customHeight="1">
      <c r="A46" s="18"/>
      <c r="B46" s="18"/>
      <c r="C46" s="3"/>
      <c r="D46" s="3"/>
      <c r="E46" s="3"/>
      <c r="F46" s="3"/>
      <c r="G46" s="3"/>
      <c r="H46" s="3"/>
      <c r="I46" s="3"/>
      <c r="J46" s="3"/>
      <c r="K46" s="3"/>
      <c r="L46" s="3"/>
      <c r="M46" s="3"/>
      <c r="N46" s="3"/>
      <c r="O46" s="3"/>
      <c r="P46" s="3"/>
      <c r="Q46" s="3"/>
      <c r="R46" s="3"/>
      <c r="S46" s="3"/>
      <c r="T46" s="3"/>
      <c r="U46" s="4"/>
      <c r="V46" s="4"/>
      <c r="W46" s="4"/>
      <c r="X46" s="4"/>
      <c r="Y46" s="4"/>
    </row>
    <row r="47" ht="15.75" customHeight="1">
      <c r="A47" s="18"/>
      <c r="B47" s="18"/>
      <c r="C47" s="3"/>
      <c r="D47" s="3"/>
      <c r="E47" s="3"/>
      <c r="F47" s="3"/>
      <c r="G47" s="3"/>
      <c r="H47" s="3"/>
      <c r="I47" s="3"/>
      <c r="J47" s="3"/>
      <c r="K47" s="3"/>
      <c r="L47" s="3"/>
      <c r="M47" s="3"/>
      <c r="N47" s="3"/>
      <c r="O47" s="3"/>
      <c r="P47" s="3"/>
      <c r="Q47" s="3"/>
      <c r="R47" s="3"/>
      <c r="S47" s="3"/>
      <c r="T47" s="3"/>
      <c r="U47" s="4"/>
      <c r="V47" s="4"/>
      <c r="W47" s="4"/>
      <c r="X47" s="4"/>
      <c r="Y47" s="4"/>
    </row>
    <row r="48" ht="15.75" customHeight="1">
      <c r="A48" s="18"/>
      <c r="B48" s="18"/>
      <c r="C48" s="3"/>
      <c r="D48" s="3"/>
      <c r="E48" s="3"/>
      <c r="F48" s="3"/>
      <c r="G48" s="3"/>
      <c r="H48" s="3"/>
      <c r="I48" s="3"/>
      <c r="J48" s="3"/>
      <c r="K48" s="3"/>
      <c r="L48" s="3"/>
      <c r="M48" s="3"/>
      <c r="N48" s="3"/>
      <c r="O48" s="3"/>
      <c r="P48" s="3"/>
      <c r="Q48" s="3"/>
      <c r="R48" s="3"/>
      <c r="S48" s="3"/>
      <c r="T48" s="3"/>
      <c r="U48" s="4"/>
      <c r="V48" s="4"/>
      <c r="W48" s="4"/>
      <c r="X48" s="4"/>
      <c r="Y48" s="4"/>
    </row>
    <row r="49" ht="15.75" customHeight="1">
      <c r="A49" s="18"/>
      <c r="B49" s="18"/>
      <c r="C49" s="3"/>
      <c r="D49" s="3"/>
      <c r="E49" s="3"/>
      <c r="F49" s="3"/>
      <c r="G49" s="3"/>
      <c r="H49" s="3"/>
      <c r="I49" s="3"/>
      <c r="J49" s="3"/>
      <c r="K49" s="3"/>
      <c r="L49" s="3"/>
      <c r="M49" s="3"/>
      <c r="N49" s="3"/>
      <c r="O49" s="3"/>
      <c r="P49" s="3"/>
      <c r="Q49" s="3"/>
      <c r="R49" s="3"/>
      <c r="S49" s="3"/>
      <c r="T49" s="3"/>
      <c r="U49" s="4"/>
      <c r="V49" s="4"/>
      <c r="W49" s="4"/>
      <c r="X49" s="4"/>
      <c r="Y49" s="4"/>
    </row>
    <row r="50" ht="15.75" customHeight="1">
      <c r="A50" s="18"/>
      <c r="B50" s="18"/>
      <c r="C50" s="3"/>
      <c r="D50" s="3"/>
      <c r="E50" s="3"/>
      <c r="F50" s="3"/>
      <c r="G50" s="3"/>
      <c r="H50" s="3"/>
      <c r="I50" s="3"/>
      <c r="J50" s="3"/>
      <c r="K50" s="3"/>
      <c r="L50" s="3"/>
      <c r="M50" s="3"/>
      <c r="N50" s="3"/>
      <c r="O50" s="3"/>
      <c r="P50" s="3"/>
      <c r="Q50" s="3"/>
      <c r="R50" s="3"/>
      <c r="S50" s="3"/>
      <c r="T50" s="3"/>
      <c r="U50" s="4"/>
      <c r="V50" s="4"/>
      <c r="W50" s="4"/>
      <c r="X50" s="4"/>
      <c r="Y50" s="4"/>
    </row>
    <row r="51" ht="15.75" customHeight="1">
      <c r="A51" s="18"/>
      <c r="B51" s="18"/>
      <c r="C51" s="3"/>
      <c r="D51" s="3"/>
      <c r="E51" s="3"/>
      <c r="F51" s="3"/>
      <c r="G51" s="3"/>
      <c r="H51" s="3"/>
      <c r="I51" s="3"/>
      <c r="J51" s="3"/>
      <c r="K51" s="3"/>
      <c r="L51" s="3"/>
      <c r="M51" s="3"/>
      <c r="N51" s="3"/>
      <c r="O51" s="3"/>
      <c r="P51" s="3"/>
      <c r="Q51" s="3"/>
      <c r="R51" s="3"/>
      <c r="S51" s="3"/>
      <c r="T51" s="3"/>
      <c r="U51" s="4"/>
      <c r="V51" s="4"/>
      <c r="W51" s="4"/>
      <c r="X51" s="4"/>
      <c r="Y51" s="4"/>
    </row>
    <row r="52" ht="15.75" customHeight="1">
      <c r="A52" s="18"/>
      <c r="B52" s="18"/>
      <c r="C52" s="3"/>
      <c r="D52" s="3"/>
      <c r="E52" s="3"/>
      <c r="F52" s="3"/>
      <c r="G52" s="3"/>
      <c r="H52" s="3"/>
      <c r="I52" s="3"/>
      <c r="J52" s="3"/>
      <c r="K52" s="3"/>
      <c r="L52" s="3"/>
      <c r="M52" s="3"/>
      <c r="N52" s="3"/>
      <c r="O52" s="3"/>
      <c r="P52" s="3"/>
      <c r="Q52" s="3"/>
      <c r="R52" s="3"/>
      <c r="S52" s="3"/>
      <c r="T52" s="3"/>
      <c r="U52" s="4"/>
      <c r="V52" s="4"/>
      <c r="W52" s="4"/>
      <c r="X52" s="4"/>
      <c r="Y52" s="4"/>
    </row>
    <row r="53" ht="15.75" customHeight="1">
      <c r="A53" s="18"/>
      <c r="B53" s="18"/>
      <c r="C53" s="3"/>
      <c r="D53" s="3"/>
      <c r="E53" s="3"/>
      <c r="F53" s="3"/>
      <c r="G53" s="3"/>
      <c r="H53" s="3"/>
      <c r="I53" s="3"/>
      <c r="J53" s="3"/>
      <c r="K53" s="3"/>
      <c r="L53" s="3"/>
      <c r="M53" s="3"/>
      <c r="N53" s="3"/>
      <c r="O53" s="3"/>
      <c r="P53" s="3"/>
      <c r="Q53" s="3"/>
      <c r="R53" s="3"/>
      <c r="S53" s="3"/>
      <c r="T53" s="3"/>
      <c r="U53" s="4"/>
      <c r="V53" s="4"/>
      <c r="W53" s="4"/>
      <c r="X53" s="4"/>
      <c r="Y53" s="4"/>
    </row>
    <row r="54" ht="15.75" customHeight="1">
      <c r="A54" s="18"/>
      <c r="B54" s="18"/>
      <c r="C54" s="3"/>
      <c r="D54" s="3"/>
      <c r="E54" s="3"/>
      <c r="F54" s="3"/>
      <c r="G54" s="3"/>
      <c r="H54" s="3"/>
      <c r="I54" s="3"/>
      <c r="J54" s="3"/>
      <c r="K54" s="3"/>
      <c r="L54" s="3"/>
      <c r="M54" s="3"/>
      <c r="N54" s="3"/>
      <c r="O54" s="3"/>
      <c r="P54" s="3"/>
      <c r="Q54" s="3"/>
      <c r="R54" s="3"/>
      <c r="S54" s="3"/>
      <c r="T54" s="3"/>
      <c r="U54" s="4"/>
      <c r="V54" s="4"/>
      <c r="W54" s="4"/>
      <c r="X54" s="4"/>
      <c r="Y54" s="4"/>
    </row>
    <row r="55" ht="15.75" customHeight="1">
      <c r="A55" s="18"/>
      <c r="B55" s="18"/>
      <c r="C55" s="3"/>
      <c r="D55" s="3"/>
      <c r="E55" s="3"/>
      <c r="F55" s="3"/>
      <c r="G55" s="3"/>
      <c r="H55" s="3"/>
      <c r="I55" s="3"/>
      <c r="J55" s="3"/>
      <c r="K55" s="3"/>
      <c r="L55" s="3"/>
      <c r="M55" s="3"/>
      <c r="N55" s="3"/>
      <c r="O55" s="3"/>
      <c r="P55" s="3"/>
      <c r="Q55" s="3"/>
      <c r="R55" s="3"/>
      <c r="S55" s="3"/>
      <c r="T55" s="3"/>
      <c r="U55" s="4"/>
      <c r="V55" s="4"/>
      <c r="W55" s="4"/>
      <c r="X55" s="4"/>
      <c r="Y55" s="4"/>
    </row>
    <row r="56" ht="15.75" customHeight="1">
      <c r="A56" s="18"/>
      <c r="B56" s="18"/>
      <c r="C56" s="3"/>
      <c r="D56" s="3"/>
      <c r="E56" s="3"/>
      <c r="F56" s="3"/>
      <c r="G56" s="3"/>
      <c r="H56" s="3"/>
      <c r="I56" s="3"/>
      <c r="J56" s="3"/>
      <c r="K56" s="3"/>
      <c r="L56" s="3"/>
      <c r="M56" s="3"/>
      <c r="N56" s="3"/>
      <c r="O56" s="3"/>
      <c r="P56" s="3"/>
      <c r="Q56" s="3"/>
      <c r="R56" s="3"/>
      <c r="S56" s="3"/>
      <c r="T56" s="3"/>
      <c r="U56" s="4"/>
      <c r="V56" s="4"/>
      <c r="W56" s="4"/>
      <c r="X56" s="4"/>
      <c r="Y56" s="4"/>
    </row>
    <row r="57" ht="15.75" customHeight="1">
      <c r="A57" s="18"/>
      <c r="B57" s="18"/>
      <c r="C57" s="3"/>
      <c r="D57" s="3"/>
      <c r="E57" s="3"/>
      <c r="F57" s="3"/>
      <c r="G57" s="3"/>
      <c r="H57" s="3"/>
      <c r="I57" s="3"/>
      <c r="J57" s="3"/>
      <c r="K57" s="3"/>
      <c r="L57" s="3"/>
      <c r="M57" s="3"/>
      <c r="N57" s="3"/>
      <c r="O57" s="3"/>
      <c r="P57" s="3"/>
      <c r="Q57" s="3"/>
      <c r="R57" s="3"/>
      <c r="S57" s="3"/>
      <c r="T57" s="3"/>
      <c r="U57" s="4"/>
      <c r="V57" s="4"/>
      <c r="W57" s="4"/>
      <c r="X57" s="4"/>
      <c r="Y57" s="4"/>
    </row>
    <row r="58" ht="15.75" customHeight="1">
      <c r="A58" s="18"/>
      <c r="B58" s="18"/>
      <c r="C58" s="3"/>
      <c r="D58" s="3"/>
      <c r="E58" s="3"/>
      <c r="F58" s="3"/>
      <c r="G58" s="3"/>
      <c r="H58" s="3"/>
      <c r="I58" s="3"/>
      <c r="J58" s="3"/>
      <c r="K58" s="3"/>
      <c r="L58" s="3"/>
      <c r="M58" s="3"/>
      <c r="N58" s="3"/>
      <c r="O58" s="3"/>
      <c r="P58" s="3"/>
      <c r="Q58" s="3"/>
      <c r="R58" s="3"/>
      <c r="S58" s="3"/>
      <c r="T58" s="3"/>
      <c r="U58" s="4"/>
      <c r="V58" s="4"/>
      <c r="W58" s="4"/>
      <c r="X58" s="4"/>
      <c r="Y58" s="4"/>
    </row>
    <row r="59" ht="15.75" customHeight="1">
      <c r="A59" s="18"/>
      <c r="B59" s="18"/>
      <c r="C59" s="3"/>
      <c r="D59" s="3"/>
      <c r="E59" s="3"/>
      <c r="F59" s="3"/>
      <c r="G59" s="3"/>
      <c r="H59" s="3"/>
      <c r="I59" s="3"/>
      <c r="J59" s="3"/>
      <c r="K59" s="3"/>
      <c r="L59" s="3"/>
      <c r="M59" s="3"/>
      <c r="N59" s="3"/>
      <c r="O59" s="3"/>
      <c r="P59" s="3"/>
      <c r="Q59" s="3"/>
      <c r="R59" s="3"/>
      <c r="S59" s="3"/>
      <c r="T59" s="3"/>
      <c r="U59" s="4"/>
      <c r="V59" s="4"/>
      <c r="W59" s="4"/>
      <c r="X59" s="4"/>
      <c r="Y59" s="4"/>
    </row>
    <row r="60" ht="15.75" customHeight="1">
      <c r="A60" s="18"/>
      <c r="B60" s="18"/>
      <c r="C60" s="3"/>
      <c r="D60" s="3"/>
      <c r="E60" s="3"/>
      <c r="F60" s="3"/>
      <c r="G60" s="3"/>
      <c r="H60" s="3"/>
      <c r="I60" s="3"/>
      <c r="J60" s="3"/>
      <c r="K60" s="3"/>
      <c r="L60" s="3"/>
      <c r="M60" s="3"/>
      <c r="N60" s="3"/>
      <c r="O60" s="3"/>
      <c r="P60" s="3"/>
      <c r="Q60" s="3"/>
      <c r="R60" s="3"/>
      <c r="S60" s="3"/>
      <c r="T60" s="3"/>
      <c r="U60" s="4"/>
      <c r="V60" s="4"/>
      <c r="W60" s="4"/>
      <c r="X60" s="4"/>
      <c r="Y60" s="4"/>
    </row>
    <row r="61" ht="15.75" customHeight="1">
      <c r="A61" s="18"/>
      <c r="B61" s="18"/>
      <c r="C61" s="3"/>
      <c r="D61" s="3"/>
      <c r="E61" s="3"/>
      <c r="F61" s="3"/>
      <c r="G61" s="3"/>
      <c r="H61" s="3"/>
      <c r="I61" s="3"/>
      <c r="J61" s="3"/>
      <c r="K61" s="3"/>
      <c r="L61" s="3"/>
      <c r="M61" s="3"/>
      <c r="N61" s="3"/>
      <c r="O61" s="3"/>
      <c r="P61" s="3"/>
      <c r="Q61" s="3"/>
      <c r="R61" s="3"/>
      <c r="S61" s="3"/>
      <c r="T61" s="3"/>
      <c r="U61" s="4"/>
      <c r="V61" s="4"/>
      <c r="W61" s="4"/>
      <c r="X61" s="4"/>
      <c r="Y61" s="4"/>
    </row>
    <row r="62" ht="15.75" customHeight="1">
      <c r="A62" s="18"/>
      <c r="B62" s="18"/>
      <c r="C62" s="3"/>
      <c r="D62" s="3"/>
      <c r="E62" s="3"/>
      <c r="F62" s="3"/>
      <c r="G62" s="3"/>
      <c r="H62" s="3"/>
      <c r="I62" s="3"/>
      <c r="J62" s="3"/>
      <c r="K62" s="3"/>
      <c r="L62" s="3"/>
      <c r="M62" s="3"/>
      <c r="N62" s="3"/>
      <c r="O62" s="3"/>
      <c r="P62" s="3"/>
      <c r="Q62" s="3"/>
      <c r="R62" s="3"/>
      <c r="S62" s="3"/>
      <c r="T62" s="3"/>
      <c r="U62" s="4"/>
      <c r="V62" s="4"/>
      <c r="W62" s="4"/>
      <c r="X62" s="4"/>
      <c r="Y62" s="4"/>
    </row>
    <row r="63" ht="15.75" customHeight="1">
      <c r="A63" s="18"/>
      <c r="B63" s="18"/>
      <c r="C63" s="3"/>
      <c r="D63" s="3"/>
      <c r="E63" s="3"/>
      <c r="F63" s="3"/>
      <c r="G63" s="3"/>
      <c r="H63" s="3"/>
      <c r="I63" s="3"/>
      <c r="J63" s="3"/>
      <c r="K63" s="3"/>
      <c r="L63" s="3"/>
      <c r="M63" s="3"/>
      <c r="N63" s="3"/>
      <c r="O63" s="3"/>
      <c r="P63" s="3"/>
      <c r="Q63" s="3"/>
      <c r="R63" s="3"/>
      <c r="S63" s="3"/>
      <c r="T63" s="3"/>
      <c r="U63" s="4"/>
      <c r="V63" s="4"/>
      <c r="W63" s="4"/>
      <c r="X63" s="4"/>
      <c r="Y63" s="4"/>
    </row>
    <row r="64" ht="15.75" customHeight="1">
      <c r="A64" s="18"/>
      <c r="B64" s="18"/>
      <c r="C64" s="3"/>
      <c r="D64" s="3"/>
      <c r="E64" s="3"/>
      <c r="F64" s="3"/>
      <c r="G64" s="3"/>
      <c r="H64" s="3"/>
      <c r="I64" s="3"/>
      <c r="J64" s="3"/>
      <c r="K64" s="3"/>
      <c r="L64" s="3"/>
      <c r="M64" s="3"/>
      <c r="N64" s="3"/>
      <c r="O64" s="3"/>
      <c r="P64" s="3"/>
      <c r="Q64" s="3"/>
      <c r="R64" s="3"/>
      <c r="S64" s="3"/>
      <c r="T64" s="3"/>
      <c r="U64" s="4"/>
      <c r="V64" s="4"/>
      <c r="W64" s="4"/>
      <c r="X64" s="4"/>
      <c r="Y64" s="4"/>
    </row>
    <row r="65" ht="15.75" customHeight="1">
      <c r="A65" s="18"/>
      <c r="B65" s="18"/>
      <c r="C65" s="3"/>
      <c r="D65" s="3"/>
      <c r="E65" s="3"/>
      <c r="F65" s="3"/>
      <c r="G65" s="3"/>
      <c r="H65" s="3"/>
      <c r="I65" s="3"/>
      <c r="J65" s="3"/>
      <c r="K65" s="3"/>
      <c r="L65" s="3"/>
      <c r="M65" s="3"/>
      <c r="N65" s="3"/>
      <c r="O65" s="3"/>
      <c r="P65" s="3"/>
      <c r="Q65" s="3"/>
      <c r="R65" s="3"/>
      <c r="S65" s="3"/>
      <c r="T65" s="3"/>
      <c r="U65" s="4"/>
      <c r="V65" s="4"/>
      <c r="W65" s="4"/>
      <c r="X65" s="4"/>
      <c r="Y65" s="4"/>
    </row>
    <row r="66" ht="15.75" customHeight="1">
      <c r="A66" s="18"/>
      <c r="B66" s="18"/>
      <c r="C66" s="3"/>
      <c r="D66" s="3"/>
      <c r="E66" s="3"/>
      <c r="F66" s="3"/>
      <c r="G66" s="3"/>
      <c r="H66" s="3"/>
      <c r="I66" s="3"/>
      <c r="J66" s="3"/>
      <c r="K66" s="3"/>
      <c r="L66" s="3"/>
      <c r="M66" s="3"/>
      <c r="N66" s="3"/>
      <c r="O66" s="3"/>
      <c r="P66" s="3"/>
      <c r="Q66" s="3"/>
      <c r="R66" s="3"/>
      <c r="S66" s="3"/>
      <c r="T66" s="3"/>
      <c r="U66" s="4"/>
      <c r="V66" s="4"/>
      <c r="W66" s="4"/>
      <c r="X66" s="4"/>
      <c r="Y66" s="4"/>
    </row>
    <row r="67" ht="15.75" customHeight="1">
      <c r="A67" s="18"/>
      <c r="B67" s="18"/>
      <c r="C67" s="3"/>
      <c r="D67" s="3"/>
      <c r="E67" s="3"/>
      <c r="F67" s="3"/>
      <c r="G67" s="3"/>
      <c r="H67" s="3"/>
      <c r="I67" s="3"/>
      <c r="J67" s="3"/>
      <c r="K67" s="3"/>
      <c r="L67" s="3"/>
      <c r="M67" s="3"/>
      <c r="N67" s="3"/>
      <c r="O67" s="3"/>
      <c r="P67" s="3"/>
      <c r="Q67" s="3"/>
      <c r="R67" s="3"/>
      <c r="S67" s="3"/>
      <c r="T67" s="3"/>
      <c r="U67" s="4"/>
      <c r="V67" s="4"/>
      <c r="W67" s="4"/>
      <c r="X67" s="4"/>
      <c r="Y67" s="4"/>
    </row>
    <row r="68" ht="15.75" customHeight="1">
      <c r="A68" s="18"/>
      <c r="B68" s="18"/>
      <c r="C68" s="3"/>
      <c r="D68" s="3"/>
      <c r="E68" s="3"/>
      <c r="F68" s="3"/>
      <c r="G68" s="3"/>
      <c r="H68" s="3"/>
      <c r="I68" s="3"/>
      <c r="J68" s="3"/>
      <c r="K68" s="3"/>
      <c r="L68" s="3"/>
      <c r="M68" s="3"/>
      <c r="N68" s="3"/>
      <c r="O68" s="3"/>
      <c r="P68" s="3"/>
      <c r="Q68" s="3"/>
      <c r="R68" s="3"/>
      <c r="S68" s="3"/>
      <c r="T68" s="3"/>
      <c r="U68" s="4"/>
      <c r="V68" s="4"/>
      <c r="W68" s="4"/>
      <c r="X68" s="4"/>
      <c r="Y68" s="4"/>
    </row>
    <row r="69" ht="15.75" customHeight="1">
      <c r="A69" s="18"/>
      <c r="B69" s="18"/>
      <c r="C69" s="3"/>
      <c r="D69" s="3"/>
      <c r="E69" s="3"/>
      <c r="F69" s="3"/>
      <c r="G69" s="3"/>
      <c r="H69" s="3"/>
      <c r="I69" s="3"/>
      <c r="J69" s="3"/>
      <c r="K69" s="3"/>
      <c r="L69" s="3"/>
      <c r="M69" s="3"/>
      <c r="N69" s="3"/>
      <c r="O69" s="3"/>
      <c r="P69" s="3"/>
      <c r="Q69" s="3"/>
      <c r="R69" s="3"/>
      <c r="S69" s="3"/>
      <c r="T69" s="3"/>
      <c r="U69" s="4"/>
      <c r="V69" s="4"/>
      <c r="W69" s="4"/>
      <c r="X69" s="4"/>
      <c r="Y69" s="4"/>
    </row>
    <row r="70" ht="15.75" customHeight="1">
      <c r="A70" s="18"/>
      <c r="B70" s="18"/>
      <c r="C70" s="3"/>
      <c r="D70" s="3"/>
      <c r="E70" s="3"/>
      <c r="F70" s="3"/>
      <c r="G70" s="3"/>
      <c r="H70" s="3"/>
      <c r="I70" s="3"/>
      <c r="J70" s="3"/>
      <c r="K70" s="3"/>
      <c r="L70" s="3"/>
      <c r="M70" s="3"/>
      <c r="N70" s="3"/>
      <c r="O70" s="3"/>
      <c r="P70" s="3"/>
      <c r="Q70" s="3"/>
      <c r="R70" s="3"/>
      <c r="S70" s="3"/>
      <c r="T70" s="3"/>
      <c r="U70" s="4"/>
      <c r="V70" s="4"/>
      <c r="W70" s="4"/>
      <c r="X70" s="4"/>
      <c r="Y70" s="4"/>
    </row>
    <row r="71" ht="15.75" customHeight="1">
      <c r="A71" s="18"/>
      <c r="B71" s="18"/>
      <c r="C71" s="3"/>
      <c r="D71" s="3"/>
      <c r="E71" s="3"/>
      <c r="F71" s="3"/>
      <c r="G71" s="3"/>
      <c r="H71" s="3"/>
      <c r="I71" s="3"/>
      <c r="J71" s="3"/>
      <c r="K71" s="3"/>
      <c r="L71" s="3"/>
      <c r="M71" s="3"/>
      <c r="N71" s="3"/>
      <c r="O71" s="3"/>
      <c r="P71" s="3"/>
      <c r="Q71" s="3"/>
      <c r="R71" s="3"/>
      <c r="S71" s="3"/>
      <c r="T71" s="3"/>
      <c r="U71" s="4"/>
      <c r="V71" s="4"/>
      <c r="W71" s="4"/>
      <c r="X71" s="4"/>
      <c r="Y71" s="4"/>
    </row>
    <row r="72" ht="15.75" customHeight="1">
      <c r="A72" s="18"/>
      <c r="B72" s="18"/>
      <c r="C72" s="3"/>
      <c r="D72" s="3"/>
      <c r="E72" s="3"/>
      <c r="F72" s="3"/>
      <c r="G72" s="3"/>
      <c r="H72" s="3"/>
      <c r="I72" s="3"/>
      <c r="J72" s="3"/>
      <c r="K72" s="3"/>
      <c r="L72" s="3"/>
      <c r="M72" s="3"/>
      <c r="N72" s="3"/>
      <c r="O72" s="3"/>
      <c r="P72" s="3"/>
      <c r="Q72" s="3"/>
      <c r="R72" s="3"/>
      <c r="S72" s="3"/>
      <c r="T72" s="3"/>
      <c r="U72" s="4"/>
      <c r="V72" s="4"/>
      <c r="W72" s="4"/>
      <c r="X72" s="4"/>
      <c r="Y72" s="4"/>
    </row>
    <row r="73" ht="15.75" customHeight="1">
      <c r="A73" s="18"/>
      <c r="B73" s="18"/>
      <c r="C73" s="3"/>
      <c r="D73" s="3"/>
      <c r="E73" s="3"/>
      <c r="F73" s="3"/>
      <c r="G73" s="3"/>
      <c r="H73" s="3"/>
      <c r="I73" s="3"/>
      <c r="J73" s="3"/>
      <c r="K73" s="3"/>
      <c r="L73" s="3"/>
      <c r="M73" s="3"/>
      <c r="N73" s="3"/>
      <c r="O73" s="3"/>
      <c r="P73" s="3"/>
      <c r="Q73" s="3"/>
      <c r="R73" s="3"/>
      <c r="S73" s="3"/>
      <c r="T73" s="3"/>
      <c r="U73" s="4"/>
      <c r="V73" s="4"/>
      <c r="W73" s="4"/>
      <c r="X73" s="4"/>
      <c r="Y73" s="4"/>
    </row>
    <row r="74" ht="15.75" customHeight="1">
      <c r="A74" s="18"/>
      <c r="B74" s="18"/>
      <c r="C74" s="3"/>
      <c r="D74" s="3"/>
      <c r="E74" s="3"/>
      <c r="F74" s="3"/>
      <c r="G74" s="3"/>
      <c r="H74" s="3"/>
      <c r="I74" s="3"/>
      <c r="J74" s="3"/>
      <c r="K74" s="3"/>
      <c r="L74" s="3"/>
      <c r="M74" s="3"/>
      <c r="N74" s="3"/>
      <c r="O74" s="3"/>
      <c r="P74" s="3"/>
      <c r="Q74" s="3"/>
      <c r="R74" s="3"/>
      <c r="S74" s="3"/>
      <c r="T74" s="3"/>
      <c r="U74" s="4"/>
      <c r="V74" s="4"/>
      <c r="W74" s="4"/>
      <c r="X74" s="4"/>
      <c r="Y74" s="4"/>
    </row>
    <row r="75" ht="15.75" customHeight="1">
      <c r="A75" s="18"/>
      <c r="B75" s="18"/>
      <c r="C75" s="3"/>
      <c r="D75" s="3"/>
      <c r="E75" s="3"/>
      <c r="F75" s="3"/>
      <c r="G75" s="3"/>
      <c r="H75" s="3"/>
      <c r="I75" s="3"/>
      <c r="J75" s="3"/>
      <c r="K75" s="3"/>
      <c r="L75" s="3"/>
      <c r="M75" s="3"/>
      <c r="N75" s="3"/>
      <c r="O75" s="3"/>
      <c r="P75" s="3"/>
      <c r="Q75" s="3"/>
      <c r="R75" s="3"/>
      <c r="S75" s="3"/>
      <c r="T75" s="3"/>
      <c r="U75" s="4"/>
      <c r="V75" s="4"/>
      <c r="W75" s="4"/>
      <c r="X75" s="4"/>
      <c r="Y75" s="4"/>
    </row>
    <row r="76" ht="15.75" customHeight="1">
      <c r="A76" s="18"/>
      <c r="B76" s="18"/>
      <c r="C76" s="3"/>
      <c r="D76" s="3"/>
      <c r="E76" s="3"/>
      <c r="F76" s="3"/>
      <c r="G76" s="3"/>
      <c r="H76" s="3"/>
      <c r="I76" s="3"/>
      <c r="J76" s="3"/>
      <c r="K76" s="3"/>
      <c r="L76" s="3"/>
      <c r="M76" s="3"/>
      <c r="N76" s="3"/>
      <c r="O76" s="3"/>
      <c r="P76" s="3"/>
      <c r="Q76" s="3"/>
      <c r="R76" s="3"/>
      <c r="S76" s="3"/>
      <c r="T76" s="3"/>
      <c r="U76" s="4"/>
      <c r="V76" s="4"/>
      <c r="W76" s="4"/>
      <c r="X76" s="4"/>
      <c r="Y76" s="4"/>
    </row>
    <row r="77" ht="15.75" customHeight="1">
      <c r="A77" s="18"/>
      <c r="B77" s="18"/>
      <c r="C77" s="3"/>
      <c r="D77" s="3"/>
      <c r="E77" s="3"/>
      <c r="F77" s="3"/>
      <c r="G77" s="3"/>
      <c r="H77" s="3"/>
      <c r="I77" s="3"/>
      <c r="J77" s="3"/>
      <c r="K77" s="3"/>
      <c r="L77" s="3"/>
      <c r="M77" s="3"/>
      <c r="N77" s="3"/>
      <c r="O77" s="3"/>
      <c r="P77" s="3"/>
      <c r="Q77" s="3"/>
      <c r="R77" s="3"/>
      <c r="S77" s="3"/>
      <c r="T77" s="3"/>
      <c r="U77" s="4"/>
      <c r="V77" s="4"/>
      <c r="W77" s="4"/>
      <c r="X77" s="4"/>
      <c r="Y77" s="4"/>
    </row>
    <row r="78" ht="15.75" customHeight="1">
      <c r="A78" s="18"/>
      <c r="B78" s="18"/>
      <c r="C78" s="3"/>
      <c r="D78" s="3"/>
      <c r="E78" s="3"/>
      <c r="F78" s="3"/>
      <c r="G78" s="3"/>
      <c r="H78" s="3"/>
      <c r="I78" s="3"/>
      <c r="J78" s="3"/>
      <c r="K78" s="3"/>
      <c r="L78" s="3"/>
      <c r="M78" s="3"/>
      <c r="N78" s="3"/>
      <c r="O78" s="3"/>
      <c r="P78" s="3"/>
      <c r="Q78" s="3"/>
      <c r="R78" s="3"/>
      <c r="S78" s="3"/>
      <c r="T78" s="3"/>
      <c r="U78" s="4"/>
      <c r="V78" s="4"/>
      <c r="W78" s="4"/>
      <c r="X78" s="4"/>
      <c r="Y78" s="4"/>
    </row>
    <row r="79" ht="15.75" customHeight="1">
      <c r="A79" s="18"/>
      <c r="B79" s="18"/>
      <c r="C79" s="3"/>
      <c r="D79" s="3"/>
      <c r="E79" s="3"/>
      <c r="F79" s="3"/>
      <c r="G79" s="3"/>
      <c r="H79" s="3"/>
      <c r="I79" s="3"/>
      <c r="J79" s="3"/>
      <c r="K79" s="3"/>
      <c r="L79" s="3"/>
      <c r="M79" s="3"/>
      <c r="N79" s="3"/>
      <c r="O79" s="3"/>
      <c r="P79" s="3"/>
      <c r="Q79" s="3"/>
      <c r="R79" s="3"/>
      <c r="S79" s="3"/>
      <c r="T79" s="3"/>
      <c r="U79" s="4"/>
      <c r="V79" s="4"/>
      <c r="W79" s="4"/>
      <c r="X79" s="4"/>
      <c r="Y79" s="4"/>
    </row>
    <row r="80" ht="15.75" customHeight="1">
      <c r="A80" s="18"/>
      <c r="B80" s="18"/>
      <c r="C80" s="3"/>
      <c r="D80" s="3"/>
      <c r="E80" s="3"/>
      <c r="F80" s="3"/>
      <c r="G80" s="3"/>
      <c r="H80" s="3"/>
      <c r="I80" s="3"/>
      <c r="J80" s="3"/>
      <c r="K80" s="3"/>
      <c r="L80" s="3"/>
      <c r="M80" s="3"/>
      <c r="N80" s="3"/>
      <c r="O80" s="3"/>
      <c r="P80" s="3"/>
      <c r="Q80" s="3"/>
      <c r="R80" s="3"/>
      <c r="S80" s="3"/>
      <c r="T80" s="3"/>
      <c r="U80" s="4"/>
      <c r="V80" s="4"/>
      <c r="W80" s="4"/>
      <c r="X80" s="4"/>
      <c r="Y80" s="4"/>
    </row>
    <row r="81" ht="15.75" customHeight="1">
      <c r="A81" s="18"/>
      <c r="B81" s="18"/>
      <c r="C81" s="3"/>
      <c r="D81" s="3"/>
      <c r="E81" s="3"/>
      <c r="F81" s="3"/>
      <c r="G81" s="3"/>
      <c r="H81" s="3"/>
      <c r="I81" s="3"/>
      <c r="J81" s="3"/>
      <c r="K81" s="3"/>
      <c r="L81" s="3"/>
      <c r="M81" s="3"/>
      <c r="N81" s="3"/>
      <c r="O81" s="3"/>
      <c r="P81" s="3"/>
      <c r="Q81" s="3"/>
      <c r="R81" s="3"/>
      <c r="S81" s="3"/>
      <c r="T81" s="3"/>
      <c r="U81" s="4"/>
      <c r="V81" s="4"/>
      <c r="W81" s="4"/>
      <c r="X81" s="4"/>
      <c r="Y81" s="4"/>
    </row>
    <row r="82" ht="15.75" customHeight="1">
      <c r="A82" s="18"/>
      <c r="B82" s="18"/>
      <c r="C82" s="3"/>
      <c r="D82" s="3"/>
      <c r="E82" s="3"/>
      <c r="F82" s="3"/>
      <c r="G82" s="3"/>
      <c r="H82" s="3"/>
      <c r="I82" s="3"/>
      <c r="J82" s="3"/>
      <c r="K82" s="3"/>
      <c r="L82" s="3"/>
      <c r="M82" s="3"/>
      <c r="N82" s="3"/>
      <c r="O82" s="3"/>
      <c r="P82" s="3"/>
      <c r="Q82" s="3"/>
      <c r="R82" s="3"/>
      <c r="S82" s="3"/>
      <c r="T82" s="3"/>
      <c r="U82" s="4"/>
      <c r="V82" s="4"/>
      <c r="W82" s="4"/>
      <c r="X82" s="4"/>
      <c r="Y82" s="4"/>
    </row>
    <row r="83" ht="15.75" customHeight="1">
      <c r="A83" s="18"/>
      <c r="B83" s="18"/>
      <c r="C83" s="3"/>
      <c r="D83" s="3"/>
      <c r="E83" s="3"/>
      <c r="F83" s="3"/>
      <c r="G83" s="3"/>
      <c r="H83" s="3"/>
      <c r="I83" s="3"/>
      <c r="J83" s="3"/>
      <c r="K83" s="3"/>
      <c r="L83" s="3"/>
      <c r="M83" s="3"/>
      <c r="N83" s="3"/>
      <c r="O83" s="3"/>
      <c r="P83" s="3"/>
      <c r="Q83" s="3"/>
      <c r="R83" s="3"/>
      <c r="S83" s="3"/>
      <c r="T83" s="3"/>
      <c r="U83" s="4"/>
      <c r="V83" s="4"/>
      <c r="W83" s="4"/>
      <c r="X83" s="4"/>
      <c r="Y83" s="4"/>
    </row>
    <row r="84" ht="15.75" customHeight="1">
      <c r="A84" s="18"/>
      <c r="B84" s="18"/>
      <c r="C84" s="3"/>
      <c r="D84" s="3"/>
      <c r="E84" s="3"/>
      <c r="F84" s="3"/>
      <c r="G84" s="3"/>
      <c r="H84" s="3"/>
      <c r="I84" s="3"/>
      <c r="J84" s="3"/>
      <c r="K84" s="3"/>
      <c r="L84" s="3"/>
      <c r="M84" s="3"/>
      <c r="N84" s="3"/>
      <c r="O84" s="3"/>
      <c r="P84" s="3"/>
      <c r="Q84" s="3"/>
      <c r="R84" s="3"/>
      <c r="S84" s="3"/>
      <c r="T84" s="3"/>
      <c r="U84" s="4"/>
      <c r="V84" s="4"/>
      <c r="W84" s="4"/>
      <c r="X84" s="4"/>
      <c r="Y84" s="4"/>
    </row>
    <row r="85" ht="15.75" customHeight="1">
      <c r="A85" s="18"/>
      <c r="B85" s="18"/>
      <c r="C85" s="3"/>
      <c r="D85" s="3"/>
      <c r="E85" s="3"/>
      <c r="F85" s="3"/>
      <c r="G85" s="3"/>
      <c r="H85" s="3"/>
      <c r="I85" s="3"/>
      <c r="J85" s="3"/>
      <c r="K85" s="3"/>
      <c r="L85" s="3"/>
      <c r="M85" s="3"/>
      <c r="N85" s="3"/>
      <c r="O85" s="3"/>
      <c r="P85" s="3"/>
      <c r="Q85" s="3"/>
      <c r="R85" s="3"/>
      <c r="S85" s="3"/>
      <c r="T85" s="3"/>
      <c r="U85" s="4"/>
      <c r="V85" s="4"/>
      <c r="W85" s="4"/>
      <c r="X85" s="4"/>
      <c r="Y85" s="4"/>
    </row>
    <row r="86" ht="15.75" customHeight="1">
      <c r="A86" s="18"/>
      <c r="B86" s="18"/>
      <c r="C86" s="3"/>
      <c r="D86" s="3"/>
      <c r="E86" s="3"/>
      <c r="F86" s="3"/>
      <c r="G86" s="3"/>
      <c r="H86" s="3"/>
      <c r="I86" s="3"/>
      <c r="J86" s="3"/>
      <c r="K86" s="3"/>
      <c r="L86" s="3"/>
      <c r="M86" s="3"/>
      <c r="N86" s="3"/>
      <c r="O86" s="3"/>
      <c r="P86" s="3"/>
      <c r="Q86" s="3"/>
      <c r="R86" s="3"/>
      <c r="S86" s="3"/>
      <c r="T86" s="3"/>
      <c r="U86" s="4"/>
      <c r="V86" s="4"/>
      <c r="W86" s="4"/>
      <c r="X86" s="4"/>
      <c r="Y86" s="4"/>
    </row>
    <row r="87" ht="15.75" customHeight="1">
      <c r="A87" s="18"/>
      <c r="B87" s="18"/>
      <c r="C87" s="3"/>
      <c r="D87" s="3"/>
      <c r="E87" s="3"/>
      <c r="F87" s="3"/>
      <c r="G87" s="3"/>
      <c r="H87" s="3"/>
      <c r="I87" s="3"/>
      <c r="J87" s="3"/>
      <c r="K87" s="3"/>
      <c r="L87" s="3"/>
      <c r="M87" s="3"/>
      <c r="N87" s="3"/>
      <c r="O87" s="3"/>
      <c r="P87" s="3"/>
      <c r="Q87" s="3"/>
      <c r="R87" s="3"/>
      <c r="S87" s="3"/>
      <c r="T87" s="3"/>
      <c r="U87" s="4"/>
      <c r="V87" s="4"/>
      <c r="W87" s="4"/>
      <c r="X87" s="4"/>
      <c r="Y87" s="4"/>
    </row>
    <row r="88" ht="15.75" customHeight="1">
      <c r="A88" s="18"/>
      <c r="B88" s="18"/>
      <c r="C88" s="3"/>
      <c r="D88" s="3"/>
      <c r="E88" s="3"/>
      <c r="F88" s="3"/>
      <c r="G88" s="3"/>
      <c r="H88" s="3"/>
      <c r="I88" s="3"/>
      <c r="J88" s="3"/>
      <c r="K88" s="3"/>
      <c r="L88" s="3"/>
      <c r="M88" s="3"/>
      <c r="N88" s="3"/>
      <c r="O88" s="3"/>
      <c r="P88" s="3"/>
      <c r="Q88" s="3"/>
      <c r="R88" s="3"/>
      <c r="S88" s="3"/>
      <c r="T88" s="3"/>
      <c r="U88" s="4"/>
      <c r="V88" s="4"/>
      <c r="W88" s="4"/>
      <c r="X88" s="4"/>
      <c r="Y88" s="4"/>
    </row>
    <row r="89" ht="15.75" customHeight="1">
      <c r="A89" s="18"/>
      <c r="B89" s="18"/>
      <c r="C89" s="3"/>
      <c r="D89" s="3"/>
      <c r="E89" s="3"/>
      <c r="F89" s="3"/>
      <c r="G89" s="3"/>
      <c r="H89" s="3"/>
      <c r="I89" s="3"/>
      <c r="J89" s="3"/>
      <c r="K89" s="3"/>
      <c r="L89" s="3"/>
      <c r="M89" s="3"/>
      <c r="N89" s="3"/>
      <c r="O89" s="3"/>
      <c r="P89" s="3"/>
      <c r="Q89" s="3"/>
      <c r="R89" s="3"/>
      <c r="S89" s="3"/>
      <c r="T89" s="3"/>
      <c r="U89" s="4"/>
      <c r="V89" s="4"/>
      <c r="W89" s="4"/>
      <c r="X89" s="4"/>
      <c r="Y89" s="4"/>
    </row>
    <row r="90" ht="15.75" customHeight="1">
      <c r="A90" s="18"/>
      <c r="B90" s="18"/>
      <c r="C90" s="3"/>
      <c r="D90" s="3"/>
      <c r="E90" s="3"/>
      <c r="F90" s="3"/>
      <c r="G90" s="3"/>
      <c r="H90" s="3"/>
      <c r="I90" s="3"/>
      <c r="J90" s="3"/>
      <c r="K90" s="3"/>
      <c r="L90" s="3"/>
      <c r="M90" s="3"/>
      <c r="N90" s="3"/>
      <c r="O90" s="3"/>
      <c r="P90" s="3"/>
      <c r="Q90" s="3"/>
      <c r="R90" s="3"/>
      <c r="S90" s="3"/>
      <c r="T90" s="3"/>
      <c r="U90" s="4"/>
      <c r="V90" s="4"/>
      <c r="W90" s="4"/>
      <c r="X90" s="4"/>
      <c r="Y90" s="4"/>
    </row>
    <row r="91" ht="15.75" customHeight="1">
      <c r="A91" s="18"/>
      <c r="B91" s="18"/>
      <c r="C91" s="3"/>
      <c r="D91" s="3"/>
      <c r="E91" s="3"/>
      <c r="F91" s="3"/>
      <c r="G91" s="3"/>
      <c r="H91" s="3"/>
      <c r="I91" s="3"/>
      <c r="J91" s="3"/>
      <c r="K91" s="3"/>
      <c r="L91" s="3"/>
      <c r="M91" s="3"/>
      <c r="N91" s="3"/>
      <c r="O91" s="3"/>
      <c r="P91" s="3"/>
      <c r="Q91" s="3"/>
      <c r="R91" s="3"/>
      <c r="S91" s="3"/>
      <c r="T91" s="3"/>
      <c r="U91" s="4"/>
      <c r="V91" s="4"/>
      <c r="W91" s="4"/>
      <c r="X91" s="4"/>
      <c r="Y91" s="4"/>
    </row>
    <row r="92" ht="15.75" customHeight="1">
      <c r="A92" s="18"/>
      <c r="B92" s="18"/>
      <c r="C92" s="3"/>
      <c r="D92" s="3"/>
      <c r="E92" s="3"/>
      <c r="F92" s="3"/>
      <c r="G92" s="3"/>
      <c r="H92" s="3"/>
      <c r="I92" s="3"/>
      <c r="J92" s="3"/>
      <c r="K92" s="3"/>
      <c r="L92" s="3"/>
      <c r="M92" s="3"/>
      <c r="N92" s="3"/>
      <c r="O92" s="3"/>
      <c r="P92" s="3"/>
      <c r="Q92" s="3"/>
      <c r="R92" s="3"/>
      <c r="S92" s="3"/>
      <c r="T92" s="3"/>
      <c r="U92" s="4"/>
      <c r="V92" s="4"/>
      <c r="W92" s="4"/>
      <c r="X92" s="4"/>
      <c r="Y92" s="4"/>
    </row>
    <row r="93" ht="15.75" customHeight="1">
      <c r="A93" s="18"/>
      <c r="B93" s="18"/>
      <c r="C93" s="3"/>
      <c r="D93" s="3"/>
      <c r="E93" s="3"/>
      <c r="F93" s="3"/>
      <c r="G93" s="3"/>
      <c r="H93" s="3"/>
      <c r="I93" s="3"/>
      <c r="J93" s="3"/>
      <c r="K93" s="3"/>
      <c r="L93" s="3"/>
      <c r="M93" s="3"/>
      <c r="N93" s="3"/>
      <c r="O93" s="3"/>
      <c r="P93" s="3"/>
      <c r="Q93" s="3"/>
      <c r="R93" s="3"/>
      <c r="S93" s="3"/>
      <c r="T93" s="3"/>
      <c r="U93" s="4"/>
      <c r="V93" s="4"/>
      <c r="W93" s="4"/>
      <c r="X93" s="4"/>
      <c r="Y93" s="4"/>
    </row>
    <row r="94" ht="15.75" customHeight="1">
      <c r="A94" s="18"/>
      <c r="B94" s="18"/>
      <c r="C94" s="3"/>
      <c r="D94" s="3"/>
      <c r="E94" s="3"/>
      <c r="F94" s="3"/>
      <c r="G94" s="3"/>
      <c r="H94" s="3"/>
      <c r="I94" s="3"/>
      <c r="J94" s="3"/>
      <c r="K94" s="3"/>
      <c r="L94" s="3"/>
      <c r="M94" s="3"/>
      <c r="N94" s="3"/>
      <c r="O94" s="3"/>
      <c r="P94" s="3"/>
      <c r="Q94" s="3"/>
      <c r="R94" s="3"/>
      <c r="S94" s="3"/>
      <c r="T94" s="3"/>
      <c r="U94" s="4"/>
      <c r="V94" s="4"/>
      <c r="W94" s="4"/>
      <c r="X94" s="4"/>
      <c r="Y94" s="4"/>
    </row>
    <row r="95" ht="15.75" customHeight="1">
      <c r="A95" s="18"/>
      <c r="B95" s="18"/>
      <c r="C95" s="3"/>
      <c r="D95" s="3"/>
      <c r="E95" s="3"/>
      <c r="F95" s="3"/>
      <c r="G95" s="3"/>
      <c r="H95" s="3"/>
      <c r="I95" s="3"/>
      <c r="J95" s="3"/>
      <c r="K95" s="3"/>
      <c r="L95" s="3"/>
      <c r="M95" s="3"/>
      <c r="N95" s="3"/>
      <c r="O95" s="3"/>
      <c r="P95" s="3"/>
      <c r="Q95" s="3"/>
      <c r="R95" s="3"/>
      <c r="S95" s="3"/>
      <c r="T95" s="3"/>
      <c r="U95" s="4"/>
      <c r="V95" s="4"/>
      <c r="W95" s="4"/>
      <c r="X95" s="4"/>
      <c r="Y95" s="4"/>
    </row>
    <row r="96" ht="15.75" customHeight="1">
      <c r="A96" s="18"/>
      <c r="B96" s="18"/>
      <c r="C96" s="3"/>
      <c r="D96" s="3"/>
      <c r="E96" s="3"/>
      <c r="F96" s="3"/>
      <c r="G96" s="3"/>
      <c r="H96" s="3"/>
      <c r="I96" s="3"/>
      <c r="J96" s="3"/>
      <c r="K96" s="3"/>
      <c r="L96" s="3"/>
      <c r="M96" s="3"/>
      <c r="N96" s="3"/>
      <c r="O96" s="3"/>
      <c r="P96" s="3"/>
      <c r="Q96" s="3"/>
      <c r="R96" s="3"/>
      <c r="S96" s="3"/>
      <c r="T96" s="3"/>
      <c r="U96" s="4"/>
      <c r="V96" s="4"/>
      <c r="W96" s="4"/>
      <c r="X96" s="4"/>
      <c r="Y96" s="4"/>
    </row>
    <row r="97" ht="15.75" customHeight="1">
      <c r="A97" s="18"/>
      <c r="B97" s="18"/>
      <c r="C97" s="3"/>
      <c r="D97" s="3"/>
      <c r="E97" s="3"/>
      <c r="F97" s="3"/>
      <c r="G97" s="3"/>
      <c r="H97" s="3"/>
      <c r="I97" s="3"/>
      <c r="J97" s="3"/>
      <c r="K97" s="3"/>
      <c r="L97" s="3"/>
      <c r="M97" s="3"/>
      <c r="N97" s="3"/>
      <c r="O97" s="3"/>
      <c r="P97" s="3"/>
      <c r="Q97" s="3"/>
      <c r="R97" s="3"/>
      <c r="S97" s="3"/>
      <c r="T97" s="3"/>
      <c r="U97" s="4"/>
      <c r="V97" s="4"/>
      <c r="W97" s="4"/>
      <c r="X97" s="4"/>
      <c r="Y97" s="4"/>
    </row>
    <row r="98" ht="15.75" customHeight="1">
      <c r="A98" s="18"/>
      <c r="B98" s="18"/>
      <c r="C98" s="3"/>
      <c r="D98" s="3"/>
      <c r="E98" s="3"/>
      <c r="F98" s="3"/>
      <c r="G98" s="3"/>
      <c r="H98" s="3"/>
      <c r="I98" s="3"/>
      <c r="J98" s="3"/>
      <c r="K98" s="3"/>
      <c r="L98" s="3"/>
      <c r="M98" s="3"/>
      <c r="N98" s="3"/>
      <c r="O98" s="3"/>
      <c r="P98" s="3"/>
      <c r="Q98" s="3"/>
      <c r="R98" s="3"/>
      <c r="S98" s="3"/>
      <c r="T98" s="3"/>
      <c r="U98" s="4"/>
      <c r="V98" s="4"/>
      <c r="W98" s="4"/>
      <c r="X98" s="4"/>
      <c r="Y98" s="4"/>
    </row>
    <row r="99" ht="15.75" customHeight="1">
      <c r="A99" s="18"/>
      <c r="B99" s="18"/>
      <c r="C99" s="3"/>
      <c r="D99" s="3"/>
      <c r="E99" s="3"/>
      <c r="F99" s="3"/>
      <c r="G99" s="3"/>
      <c r="H99" s="3"/>
      <c r="I99" s="3"/>
      <c r="J99" s="3"/>
      <c r="K99" s="3"/>
      <c r="L99" s="3"/>
      <c r="M99" s="3"/>
      <c r="N99" s="3"/>
      <c r="O99" s="3"/>
      <c r="P99" s="3"/>
      <c r="Q99" s="3"/>
      <c r="R99" s="3"/>
      <c r="S99" s="3"/>
      <c r="T99" s="3"/>
      <c r="U99" s="4"/>
      <c r="V99" s="4"/>
      <c r="W99" s="4"/>
      <c r="X99" s="4"/>
      <c r="Y99" s="4"/>
    </row>
    <row r="100" ht="15.75" customHeight="1">
      <c r="A100" s="18"/>
      <c r="B100" s="18"/>
      <c r="C100" s="3"/>
      <c r="D100" s="3"/>
      <c r="E100" s="3"/>
      <c r="F100" s="3"/>
      <c r="G100" s="3"/>
      <c r="H100" s="3"/>
      <c r="I100" s="3"/>
      <c r="J100" s="3"/>
      <c r="K100" s="3"/>
      <c r="L100" s="3"/>
      <c r="M100" s="3"/>
      <c r="N100" s="3"/>
      <c r="O100" s="3"/>
      <c r="P100" s="3"/>
      <c r="Q100" s="3"/>
      <c r="R100" s="3"/>
      <c r="S100" s="3"/>
      <c r="T100" s="3"/>
      <c r="U100" s="4"/>
      <c r="V100" s="4"/>
      <c r="W100" s="4"/>
      <c r="X100" s="4"/>
      <c r="Y100" s="4"/>
    </row>
    <row r="101" ht="15.75" customHeight="1">
      <c r="A101" s="18"/>
      <c r="B101" s="18"/>
      <c r="C101" s="3"/>
      <c r="D101" s="3"/>
      <c r="E101" s="3"/>
      <c r="F101" s="3"/>
      <c r="G101" s="3"/>
      <c r="H101" s="3"/>
      <c r="I101" s="3"/>
      <c r="J101" s="3"/>
      <c r="K101" s="3"/>
      <c r="L101" s="3"/>
      <c r="M101" s="3"/>
      <c r="N101" s="3"/>
      <c r="O101" s="3"/>
      <c r="P101" s="3"/>
      <c r="Q101" s="3"/>
      <c r="R101" s="3"/>
      <c r="S101" s="3"/>
      <c r="T101" s="3"/>
      <c r="U101" s="4"/>
      <c r="V101" s="4"/>
      <c r="W101" s="4"/>
      <c r="X101" s="4"/>
      <c r="Y101" s="4"/>
    </row>
    <row r="102" ht="15.75" customHeight="1">
      <c r="A102" s="18"/>
      <c r="B102" s="18"/>
      <c r="C102" s="3"/>
      <c r="D102" s="3"/>
      <c r="E102" s="3"/>
      <c r="F102" s="3"/>
      <c r="G102" s="3"/>
      <c r="H102" s="3"/>
      <c r="I102" s="3"/>
      <c r="J102" s="3"/>
      <c r="K102" s="3"/>
      <c r="L102" s="3"/>
      <c r="M102" s="3"/>
      <c r="N102" s="3"/>
      <c r="O102" s="3"/>
      <c r="P102" s="3"/>
      <c r="Q102" s="3"/>
      <c r="R102" s="3"/>
      <c r="S102" s="3"/>
      <c r="T102" s="3"/>
      <c r="U102" s="4"/>
      <c r="V102" s="4"/>
      <c r="W102" s="4"/>
      <c r="X102" s="4"/>
      <c r="Y102" s="4"/>
    </row>
    <row r="103" ht="15.75" customHeight="1">
      <c r="A103" s="18"/>
      <c r="B103" s="18"/>
      <c r="C103" s="3"/>
      <c r="D103" s="3"/>
      <c r="E103" s="3"/>
      <c r="F103" s="3"/>
      <c r="G103" s="3"/>
      <c r="H103" s="3"/>
      <c r="I103" s="3"/>
      <c r="J103" s="3"/>
      <c r="K103" s="3"/>
      <c r="L103" s="3"/>
      <c r="M103" s="3"/>
      <c r="N103" s="3"/>
      <c r="O103" s="3"/>
      <c r="P103" s="3"/>
      <c r="Q103" s="3"/>
      <c r="R103" s="3"/>
      <c r="S103" s="3"/>
      <c r="T103" s="3"/>
      <c r="U103" s="4"/>
      <c r="V103" s="4"/>
      <c r="W103" s="4"/>
      <c r="X103" s="4"/>
      <c r="Y103" s="4"/>
    </row>
    <row r="104" ht="15.75" customHeight="1">
      <c r="A104" s="18"/>
      <c r="B104" s="18"/>
      <c r="C104" s="3"/>
      <c r="D104" s="3"/>
      <c r="E104" s="3"/>
      <c r="F104" s="3"/>
      <c r="G104" s="3"/>
      <c r="H104" s="3"/>
      <c r="I104" s="3"/>
      <c r="J104" s="3"/>
      <c r="K104" s="3"/>
      <c r="L104" s="3"/>
      <c r="M104" s="3"/>
      <c r="N104" s="3"/>
      <c r="O104" s="3"/>
      <c r="P104" s="3"/>
      <c r="Q104" s="3"/>
      <c r="R104" s="3"/>
      <c r="S104" s="3"/>
      <c r="T104" s="3"/>
      <c r="U104" s="4"/>
      <c r="V104" s="4"/>
      <c r="W104" s="4"/>
      <c r="X104" s="4"/>
      <c r="Y104" s="4"/>
    </row>
    <row r="105" ht="15.75" customHeight="1">
      <c r="A105" s="18"/>
      <c r="B105" s="18"/>
      <c r="C105" s="3"/>
      <c r="D105" s="3"/>
      <c r="E105" s="3"/>
      <c r="F105" s="3"/>
      <c r="G105" s="3"/>
      <c r="H105" s="3"/>
      <c r="I105" s="3"/>
      <c r="J105" s="3"/>
      <c r="K105" s="3"/>
      <c r="L105" s="3"/>
      <c r="M105" s="3"/>
      <c r="N105" s="3"/>
      <c r="O105" s="3"/>
      <c r="P105" s="3"/>
      <c r="Q105" s="3"/>
      <c r="R105" s="3"/>
      <c r="S105" s="3"/>
      <c r="T105" s="3"/>
      <c r="U105" s="4"/>
      <c r="V105" s="4"/>
      <c r="W105" s="4"/>
      <c r="X105" s="4"/>
      <c r="Y105" s="4"/>
    </row>
    <row r="106" ht="15.75" customHeight="1">
      <c r="A106" s="18"/>
      <c r="B106" s="18"/>
      <c r="C106" s="3"/>
      <c r="D106" s="3"/>
      <c r="E106" s="3"/>
      <c r="F106" s="3"/>
      <c r="G106" s="3"/>
      <c r="H106" s="3"/>
      <c r="I106" s="3"/>
      <c r="J106" s="3"/>
      <c r="K106" s="3"/>
      <c r="L106" s="3"/>
      <c r="M106" s="3"/>
      <c r="N106" s="3"/>
      <c r="O106" s="3"/>
      <c r="P106" s="3"/>
      <c r="Q106" s="3"/>
      <c r="R106" s="3"/>
      <c r="S106" s="3"/>
      <c r="T106" s="3"/>
      <c r="U106" s="4"/>
      <c r="V106" s="4"/>
      <c r="W106" s="4"/>
      <c r="X106" s="4"/>
      <c r="Y106" s="4"/>
    </row>
    <row r="107" ht="15.75" customHeight="1">
      <c r="A107" s="18"/>
      <c r="B107" s="18"/>
      <c r="C107" s="3"/>
      <c r="D107" s="3"/>
      <c r="E107" s="3"/>
      <c r="F107" s="3"/>
      <c r="G107" s="3"/>
      <c r="H107" s="3"/>
      <c r="I107" s="3"/>
      <c r="J107" s="3"/>
      <c r="K107" s="3"/>
      <c r="L107" s="3"/>
      <c r="M107" s="3"/>
      <c r="N107" s="3"/>
      <c r="O107" s="3"/>
      <c r="P107" s="3"/>
      <c r="Q107" s="3"/>
      <c r="R107" s="3"/>
      <c r="S107" s="3"/>
      <c r="T107" s="3"/>
      <c r="U107" s="4"/>
      <c r="V107" s="4"/>
      <c r="W107" s="4"/>
      <c r="X107" s="4"/>
      <c r="Y107" s="4"/>
    </row>
    <row r="108" ht="15.75" customHeight="1">
      <c r="A108" s="18"/>
      <c r="B108" s="18"/>
      <c r="C108" s="3"/>
      <c r="D108" s="3"/>
      <c r="E108" s="3"/>
      <c r="F108" s="3"/>
      <c r="G108" s="3"/>
      <c r="H108" s="3"/>
      <c r="I108" s="3"/>
      <c r="J108" s="3"/>
      <c r="K108" s="3"/>
      <c r="L108" s="3"/>
      <c r="M108" s="3"/>
      <c r="N108" s="3"/>
      <c r="O108" s="3"/>
      <c r="P108" s="3"/>
      <c r="Q108" s="3"/>
      <c r="R108" s="3"/>
      <c r="S108" s="3"/>
      <c r="T108" s="3"/>
      <c r="U108" s="4"/>
      <c r="V108" s="4"/>
      <c r="W108" s="4"/>
      <c r="X108" s="4"/>
      <c r="Y108" s="4"/>
    </row>
    <row r="109" ht="15.75" customHeight="1">
      <c r="A109" s="18"/>
      <c r="B109" s="18"/>
      <c r="C109" s="3"/>
      <c r="D109" s="3"/>
      <c r="E109" s="3"/>
      <c r="F109" s="3"/>
      <c r="G109" s="3"/>
      <c r="H109" s="3"/>
      <c r="I109" s="3"/>
      <c r="J109" s="3"/>
      <c r="K109" s="3"/>
      <c r="L109" s="3"/>
      <c r="M109" s="3"/>
      <c r="N109" s="3"/>
      <c r="O109" s="3"/>
      <c r="P109" s="3"/>
      <c r="Q109" s="3"/>
      <c r="R109" s="3"/>
      <c r="S109" s="3"/>
      <c r="T109" s="3"/>
      <c r="U109" s="4"/>
      <c r="V109" s="4"/>
      <c r="W109" s="4"/>
      <c r="X109" s="4"/>
      <c r="Y109" s="4"/>
    </row>
    <row r="110" ht="15.75" customHeight="1">
      <c r="A110" s="18"/>
      <c r="B110" s="18"/>
      <c r="C110" s="3"/>
      <c r="D110" s="3"/>
      <c r="E110" s="3"/>
      <c r="F110" s="3"/>
      <c r="G110" s="3"/>
      <c r="H110" s="3"/>
      <c r="I110" s="3"/>
      <c r="J110" s="3"/>
      <c r="K110" s="3"/>
      <c r="L110" s="3"/>
      <c r="M110" s="3"/>
      <c r="N110" s="3"/>
      <c r="O110" s="3"/>
      <c r="P110" s="3"/>
      <c r="Q110" s="3"/>
      <c r="R110" s="3"/>
      <c r="S110" s="3"/>
      <c r="T110" s="3"/>
      <c r="U110" s="4"/>
      <c r="V110" s="4"/>
      <c r="W110" s="4"/>
      <c r="X110" s="4"/>
      <c r="Y110" s="4"/>
    </row>
    <row r="111" ht="15.75" customHeight="1">
      <c r="A111" s="18"/>
      <c r="B111" s="18"/>
      <c r="C111" s="3"/>
      <c r="D111" s="3"/>
      <c r="E111" s="3"/>
      <c r="F111" s="3"/>
      <c r="G111" s="3"/>
      <c r="H111" s="3"/>
      <c r="I111" s="3"/>
      <c r="J111" s="3"/>
      <c r="K111" s="3"/>
      <c r="L111" s="3"/>
      <c r="M111" s="3"/>
      <c r="N111" s="3"/>
      <c r="O111" s="3"/>
      <c r="P111" s="3"/>
      <c r="Q111" s="3"/>
      <c r="R111" s="3"/>
      <c r="S111" s="3"/>
      <c r="T111" s="3"/>
      <c r="U111" s="4"/>
      <c r="V111" s="4"/>
      <c r="W111" s="4"/>
      <c r="X111" s="4"/>
      <c r="Y111" s="4"/>
    </row>
    <row r="112" ht="15.75" customHeight="1">
      <c r="A112" s="18"/>
      <c r="B112" s="18"/>
      <c r="C112" s="3"/>
      <c r="D112" s="3"/>
      <c r="E112" s="3"/>
      <c r="F112" s="3"/>
      <c r="G112" s="3"/>
      <c r="H112" s="3"/>
      <c r="I112" s="3"/>
      <c r="J112" s="3"/>
      <c r="K112" s="3"/>
      <c r="L112" s="3"/>
      <c r="M112" s="3"/>
      <c r="N112" s="3"/>
      <c r="O112" s="3"/>
      <c r="P112" s="3"/>
      <c r="Q112" s="3"/>
      <c r="R112" s="3"/>
      <c r="S112" s="3"/>
      <c r="T112" s="3"/>
      <c r="U112" s="4"/>
      <c r="V112" s="4"/>
      <c r="W112" s="4"/>
      <c r="X112" s="4"/>
      <c r="Y112" s="4"/>
    </row>
    <row r="113" ht="15.75" customHeight="1">
      <c r="A113" s="18"/>
      <c r="B113" s="18"/>
      <c r="C113" s="3"/>
      <c r="D113" s="3"/>
      <c r="E113" s="3"/>
      <c r="F113" s="3"/>
      <c r="G113" s="3"/>
      <c r="H113" s="3"/>
      <c r="I113" s="3"/>
      <c r="J113" s="3"/>
      <c r="K113" s="3"/>
      <c r="L113" s="3"/>
      <c r="M113" s="3"/>
      <c r="N113" s="3"/>
      <c r="O113" s="3"/>
      <c r="P113" s="3"/>
      <c r="Q113" s="3"/>
      <c r="R113" s="3"/>
      <c r="S113" s="3"/>
      <c r="T113" s="3"/>
      <c r="U113" s="4"/>
      <c r="V113" s="4"/>
      <c r="W113" s="4"/>
      <c r="X113" s="4"/>
      <c r="Y113" s="4"/>
    </row>
    <row r="114" ht="15.75" customHeight="1">
      <c r="A114" s="18"/>
      <c r="B114" s="18"/>
      <c r="C114" s="3"/>
      <c r="D114" s="3"/>
      <c r="E114" s="3"/>
      <c r="F114" s="3"/>
      <c r="G114" s="3"/>
      <c r="H114" s="3"/>
      <c r="I114" s="3"/>
      <c r="J114" s="3"/>
      <c r="K114" s="3"/>
      <c r="L114" s="3"/>
      <c r="M114" s="3"/>
      <c r="N114" s="3"/>
      <c r="O114" s="3"/>
      <c r="P114" s="3"/>
      <c r="Q114" s="3"/>
      <c r="R114" s="3"/>
      <c r="S114" s="3"/>
      <c r="T114" s="3"/>
      <c r="U114" s="4"/>
      <c r="V114" s="4"/>
      <c r="W114" s="4"/>
      <c r="X114" s="4"/>
      <c r="Y114" s="4"/>
    </row>
    <row r="115" ht="15.75" customHeight="1">
      <c r="A115" s="18"/>
      <c r="B115" s="18"/>
      <c r="C115" s="3"/>
      <c r="D115" s="3"/>
      <c r="E115" s="3"/>
      <c r="F115" s="3"/>
      <c r="G115" s="3"/>
      <c r="H115" s="3"/>
      <c r="I115" s="3"/>
      <c r="J115" s="3"/>
      <c r="K115" s="3"/>
      <c r="L115" s="3"/>
      <c r="M115" s="3"/>
      <c r="N115" s="3"/>
      <c r="O115" s="3"/>
      <c r="P115" s="3"/>
      <c r="Q115" s="3"/>
      <c r="R115" s="3"/>
      <c r="S115" s="3"/>
      <c r="T115" s="3"/>
      <c r="U115" s="4"/>
      <c r="V115" s="4"/>
      <c r="W115" s="4"/>
      <c r="X115" s="4"/>
      <c r="Y115" s="4"/>
    </row>
    <row r="116" ht="15.75" customHeight="1">
      <c r="A116" s="18"/>
      <c r="B116" s="18"/>
      <c r="C116" s="3"/>
      <c r="D116" s="3"/>
      <c r="E116" s="3"/>
      <c r="F116" s="3"/>
      <c r="G116" s="3"/>
      <c r="H116" s="3"/>
      <c r="I116" s="3"/>
      <c r="J116" s="3"/>
      <c r="K116" s="3"/>
      <c r="L116" s="3"/>
      <c r="M116" s="3"/>
      <c r="N116" s="3"/>
      <c r="O116" s="3"/>
      <c r="P116" s="3"/>
      <c r="Q116" s="3"/>
      <c r="R116" s="3"/>
      <c r="S116" s="3"/>
      <c r="T116" s="3"/>
      <c r="U116" s="4"/>
      <c r="V116" s="4"/>
      <c r="W116" s="4"/>
      <c r="X116" s="4"/>
      <c r="Y116" s="4"/>
    </row>
    <row r="117" ht="15.75" customHeight="1">
      <c r="A117" s="18"/>
      <c r="B117" s="18"/>
      <c r="C117" s="3"/>
      <c r="D117" s="3"/>
      <c r="E117" s="3"/>
      <c r="F117" s="3"/>
      <c r="G117" s="3"/>
      <c r="H117" s="3"/>
      <c r="I117" s="3"/>
      <c r="J117" s="3"/>
      <c r="K117" s="3"/>
      <c r="L117" s="3"/>
      <c r="M117" s="3"/>
      <c r="N117" s="3"/>
      <c r="O117" s="3"/>
      <c r="P117" s="3"/>
      <c r="Q117" s="3"/>
      <c r="R117" s="3"/>
      <c r="S117" s="3"/>
      <c r="T117" s="3"/>
      <c r="U117" s="4"/>
      <c r="V117" s="4"/>
      <c r="W117" s="4"/>
      <c r="X117" s="4"/>
      <c r="Y117" s="4"/>
    </row>
    <row r="118" ht="15.75" customHeight="1">
      <c r="A118" s="18"/>
      <c r="B118" s="18"/>
      <c r="C118" s="3"/>
      <c r="D118" s="3"/>
      <c r="E118" s="3"/>
      <c r="F118" s="3"/>
      <c r="G118" s="3"/>
      <c r="H118" s="3"/>
      <c r="I118" s="3"/>
      <c r="J118" s="3"/>
      <c r="K118" s="3"/>
      <c r="L118" s="3"/>
      <c r="M118" s="3"/>
      <c r="N118" s="3"/>
      <c r="O118" s="3"/>
      <c r="P118" s="3"/>
      <c r="Q118" s="3"/>
      <c r="R118" s="3"/>
      <c r="S118" s="3"/>
      <c r="T118" s="3"/>
      <c r="U118" s="4"/>
      <c r="V118" s="4"/>
      <c r="W118" s="4"/>
      <c r="X118" s="4"/>
      <c r="Y118" s="4"/>
    </row>
    <row r="119" ht="15.75" customHeight="1">
      <c r="A119" s="18"/>
      <c r="B119" s="18"/>
      <c r="C119" s="3"/>
      <c r="D119" s="3"/>
      <c r="E119" s="3"/>
      <c r="F119" s="3"/>
      <c r="G119" s="3"/>
      <c r="H119" s="3"/>
      <c r="I119" s="3"/>
      <c r="J119" s="3"/>
      <c r="K119" s="3"/>
      <c r="L119" s="3"/>
      <c r="M119" s="3"/>
      <c r="N119" s="3"/>
      <c r="O119" s="3"/>
      <c r="P119" s="3"/>
      <c r="Q119" s="3"/>
      <c r="R119" s="3"/>
      <c r="S119" s="3"/>
      <c r="T119" s="3"/>
      <c r="U119" s="4"/>
      <c r="V119" s="4"/>
      <c r="W119" s="4"/>
      <c r="X119" s="4"/>
      <c r="Y119" s="4"/>
    </row>
    <row r="120" ht="15.75" customHeight="1">
      <c r="A120" s="18"/>
      <c r="B120" s="18"/>
      <c r="C120" s="3"/>
      <c r="D120" s="3"/>
      <c r="E120" s="3"/>
      <c r="F120" s="3"/>
      <c r="G120" s="3"/>
      <c r="H120" s="3"/>
      <c r="I120" s="3"/>
      <c r="J120" s="3"/>
      <c r="K120" s="3"/>
      <c r="L120" s="3"/>
      <c r="M120" s="3"/>
      <c r="N120" s="3"/>
      <c r="O120" s="3"/>
      <c r="P120" s="3"/>
      <c r="Q120" s="3"/>
      <c r="R120" s="3"/>
      <c r="S120" s="3"/>
      <c r="T120" s="3"/>
      <c r="U120" s="4"/>
      <c r="V120" s="4"/>
      <c r="W120" s="4"/>
      <c r="X120" s="4"/>
      <c r="Y120" s="4"/>
    </row>
    <row r="121" ht="15.75" customHeight="1">
      <c r="A121" s="18"/>
      <c r="B121" s="18"/>
      <c r="C121" s="3"/>
      <c r="D121" s="3"/>
      <c r="E121" s="3"/>
      <c r="F121" s="3"/>
      <c r="G121" s="3"/>
      <c r="H121" s="3"/>
      <c r="I121" s="3"/>
      <c r="J121" s="3"/>
      <c r="K121" s="3"/>
      <c r="L121" s="3"/>
      <c r="M121" s="3"/>
      <c r="N121" s="3"/>
      <c r="O121" s="3"/>
      <c r="P121" s="3"/>
      <c r="Q121" s="3"/>
      <c r="R121" s="3"/>
      <c r="S121" s="3"/>
      <c r="T121" s="3"/>
      <c r="U121" s="4"/>
      <c r="V121" s="4"/>
      <c r="W121" s="4"/>
      <c r="X121" s="4"/>
      <c r="Y121" s="4"/>
    </row>
    <row r="122" ht="15.75" customHeight="1">
      <c r="A122" s="18"/>
      <c r="B122" s="18"/>
      <c r="C122" s="3"/>
      <c r="D122" s="3"/>
      <c r="E122" s="3"/>
      <c r="F122" s="3"/>
      <c r="G122" s="3"/>
      <c r="H122" s="3"/>
      <c r="I122" s="3"/>
      <c r="J122" s="3"/>
      <c r="K122" s="3"/>
      <c r="L122" s="3"/>
      <c r="M122" s="3"/>
      <c r="N122" s="3"/>
      <c r="O122" s="3"/>
      <c r="P122" s="3"/>
      <c r="Q122" s="3"/>
      <c r="R122" s="3"/>
      <c r="S122" s="3"/>
      <c r="T122" s="3"/>
      <c r="U122" s="4"/>
      <c r="V122" s="4"/>
      <c r="W122" s="4"/>
      <c r="X122" s="4"/>
      <c r="Y122" s="4"/>
    </row>
    <row r="123" ht="15.75" customHeight="1">
      <c r="A123" s="18"/>
      <c r="B123" s="18"/>
      <c r="C123" s="3"/>
      <c r="D123" s="3"/>
      <c r="E123" s="3"/>
      <c r="F123" s="3"/>
      <c r="G123" s="3"/>
      <c r="H123" s="3"/>
      <c r="I123" s="3"/>
      <c r="J123" s="3"/>
      <c r="K123" s="3"/>
      <c r="L123" s="3"/>
      <c r="M123" s="3"/>
      <c r="N123" s="3"/>
      <c r="O123" s="3"/>
      <c r="P123" s="3"/>
      <c r="Q123" s="3"/>
      <c r="R123" s="3"/>
      <c r="S123" s="3"/>
      <c r="T123" s="3"/>
      <c r="U123" s="4"/>
      <c r="V123" s="4"/>
      <c r="W123" s="4"/>
      <c r="X123" s="4"/>
      <c r="Y123" s="4"/>
    </row>
    <row r="124" ht="15.75" customHeight="1">
      <c r="A124" s="18"/>
      <c r="B124" s="18"/>
      <c r="C124" s="3"/>
      <c r="D124" s="3"/>
      <c r="E124" s="3"/>
      <c r="F124" s="3"/>
      <c r="G124" s="3"/>
      <c r="H124" s="3"/>
      <c r="I124" s="3"/>
      <c r="J124" s="3"/>
      <c r="K124" s="3"/>
      <c r="L124" s="3"/>
      <c r="M124" s="3"/>
      <c r="N124" s="3"/>
      <c r="O124" s="3"/>
      <c r="P124" s="3"/>
      <c r="Q124" s="3"/>
      <c r="R124" s="3"/>
      <c r="S124" s="3"/>
      <c r="T124" s="3"/>
      <c r="U124" s="4"/>
      <c r="V124" s="4"/>
      <c r="W124" s="4"/>
      <c r="X124" s="4"/>
      <c r="Y124" s="4"/>
    </row>
    <row r="125" ht="15.75" customHeight="1">
      <c r="A125" s="18"/>
      <c r="B125" s="18"/>
      <c r="C125" s="3"/>
      <c r="D125" s="3"/>
      <c r="E125" s="3"/>
      <c r="F125" s="3"/>
      <c r="G125" s="3"/>
      <c r="H125" s="3"/>
      <c r="I125" s="3"/>
      <c r="J125" s="3"/>
      <c r="K125" s="3"/>
      <c r="L125" s="3"/>
      <c r="M125" s="3"/>
      <c r="N125" s="3"/>
      <c r="O125" s="3"/>
      <c r="P125" s="3"/>
      <c r="Q125" s="3"/>
      <c r="R125" s="3"/>
      <c r="S125" s="3"/>
      <c r="T125" s="3"/>
      <c r="U125" s="4"/>
      <c r="V125" s="4"/>
      <c r="W125" s="4"/>
      <c r="X125" s="4"/>
      <c r="Y125" s="4"/>
    </row>
    <row r="126" ht="15.75" customHeight="1">
      <c r="A126" s="18"/>
      <c r="B126" s="18"/>
      <c r="C126" s="3"/>
      <c r="D126" s="3"/>
      <c r="E126" s="3"/>
      <c r="F126" s="3"/>
      <c r="G126" s="3"/>
      <c r="H126" s="3"/>
      <c r="I126" s="3"/>
      <c r="J126" s="3"/>
      <c r="K126" s="3"/>
      <c r="L126" s="3"/>
      <c r="M126" s="3"/>
      <c r="N126" s="3"/>
      <c r="O126" s="3"/>
      <c r="P126" s="3"/>
      <c r="Q126" s="3"/>
      <c r="R126" s="3"/>
      <c r="S126" s="3"/>
      <c r="T126" s="3"/>
      <c r="U126" s="4"/>
      <c r="V126" s="4"/>
      <c r="W126" s="4"/>
      <c r="X126" s="4"/>
      <c r="Y126" s="4"/>
    </row>
    <row r="127" ht="15.75" customHeight="1">
      <c r="A127" s="18"/>
      <c r="B127" s="18"/>
      <c r="C127" s="3"/>
      <c r="D127" s="3"/>
      <c r="E127" s="3"/>
      <c r="F127" s="3"/>
      <c r="G127" s="3"/>
      <c r="H127" s="3"/>
      <c r="I127" s="3"/>
      <c r="J127" s="3"/>
      <c r="K127" s="3"/>
      <c r="L127" s="3"/>
      <c r="M127" s="3"/>
      <c r="N127" s="3"/>
      <c r="O127" s="3"/>
      <c r="P127" s="3"/>
      <c r="Q127" s="3"/>
      <c r="R127" s="3"/>
      <c r="S127" s="3"/>
      <c r="T127" s="3"/>
      <c r="U127" s="4"/>
      <c r="V127" s="4"/>
      <c r="W127" s="4"/>
      <c r="X127" s="4"/>
      <c r="Y127" s="4"/>
    </row>
    <row r="128" ht="15.75" customHeight="1">
      <c r="A128" s="18"/>
      <c r="B128" s="18"/>
      <c r="C128" s="3"/>
      <c r="D128" s="3"/>
      <c r="E128" s="3"/>
      <c r="F128" s="3"/>
      <c r="G128" s="3"/>
      <c r="H128" s="3"/>
      <c r="I128" s="3"/>
      <c r="J128" s="3"/>
      <c r="K128" s="3"/>
      <c r="L128" s="3"/>
      <c r="M128" s="3"/>
      <c r="N128" s="3"/>
      <c r="O128" s="3"/>
      <c r="P128" s="3"/>
      <c r="Q128" s="3"/>
      <c r="R128" s="3"/>
      <c r="S128" s="3"/>
      <c r="T128" s="3"/>
      <c r="U128" s="4"/>
      <c r="V128" s="4"/>
      <c r="W128" s="4"/>
      <c r="X128" s="4"/>
      <c r="Y128" s="4"/>
    </row>
    <row r="129" ht="15.75" customHeight="1">
      <c r="A129" s="18"/>
      <c r="B129" s="18"/>
      <c r="C129" s="3"/>
      <c r="D129" s="3"/>
      <c r="E129" s="3"/>
      <c r="F129" s="3"/>
      <c r="G129" s="3"/>
      <c r="H129" s="3"/>
      <c r="I129" s="3"/>
      <c r="J129" s="3"/>
      <c r="K129" s="3"/>
      <c r="L129" s="3"/>
      <c r="M129" s="3"/>
      <c r="N129" s="3"/>
      <c r="O129" s="3"/>
      <c r="P129" s="3"/>
      <c r="Q129" s="3"/>
      <c r="R129" s="3"/>
      <c r="S129" s="3"/>
      <c r="T129" s="3"/>
      <c r="U129" s="4"/>
      <c r="V129" s="4"/>
      <c r="W129" s="4"/>
      <c r="X129" s="4"/>
      <c r="Y129" s="4"/>
    </row>
    <row r="130" ht="15.75" customHeight="1">
      <c r="A130" s="18"/>
      <c r="B130" s="18"/>
      <c r="C130" s="3"/>
      <c r="D130" s="3"/>
      <c r="E130" s="3"/>
      <c r="F130" s="3"/>
      <c r="G130" s="3"/>
      <c r="H130" s="3"/>
      <c r="I130" s="3"/>
      <c r="J130" s="3"/>
      <c r="K130" s="3"/>
      <c r="L130" s="3"/>
      <c r="M130" s="3"/>
      <c r="N130" s="3"/>
      <c r="O130" s="3"/>
      <c r="P130" s="3"/>
      <c r="Q130" s="3"/>
      <c r="R130" s="3"/>
      <c r="S130" s="3"/>
      <c r="T130" s="3"/>
      <c r="U130" s="4"/>
      <c r="V130" s="4"/>
      <c r="W130" s="4"/>
      <c r="X130" s="4"/>
      <c r="Y130" s="4"/>
    </row>
    <row r="131" ht="15.75" customHeight="1">
      <c r="A131" s="18"/>
      <c r="B131" s="18"/>
      <c r="C131" s="3"/>
      <c r="D131" s="3"/>
      <c r="E131" s="3"/>
      <c r="F131" s="3"/>
      <c r="G131" s="3"/>
      <c r="H131" s="3"/>
      <c r="I131" s="3"/>
      <c r="J131" s="3"/>
      <c r="K131" s="3"/>
      <c r="L131" s="3"/>
      <c r="M131" s="3"/>
      <c r="N131" s="3"/>
      <c r="O131" s="3"/>
      <c r="P131" s="3"/>
      <c r="Q131" s="3"/>
      <c r="R131" s="3"/>
      <c r="S131" s="3"/>
      <c r="T131" s="3"/>
      <c r="U131" s="4"/>
      <c r="V131" s="4"/>
      <c r="W131" s="4"/>
      <c r="X131" s="4"/>
      <c r="Y131" s="4"/>
    </row>
    <row r="132" ht="15.75" customHeight="1">
      <c r="A132" s="18"/>
      <c r="B132" s="18"/>
      <c r="C132" s="3"/>
      <c r="D132" s="3"/>
      <c r="E132" s="3"/>
      <c r="F132" s="3"/>
      <c r="G132" s="3"/>
      <c r="H132" s="3"/>
      <c r="I132" s="3"/>
      <c r="J132" s="3"/>
      <c r="K132" s="3"/>
      <c r="L132" s="3"/>
      <c r="M132" s="3"/>
      <c r="N132" s="3"/>
      <c r="O132" s="3"/>
      <c r="P132" s="3"/>
      <c r="Q132" s="3"/>
      <c r="R132" s="3"/>
      <c r="S132" s="3"/>
      <c r="T132" s="3"/>
      <c r="U132" s="4"/>
      <c r="V132" s="4"/>
      <c r="W132" s="4"/>
      <c r="X132" s="4"/>
      <c r="Y132" s="4"/>
    </row>
    <row r="133" ht="15.75" customHeight="1">
      <c r="A133" s="18"/>
      <c r="B133" s="18"/>
      <c r="C133" s="3"/>
      <c r="D133" s="3"/>
      <c r="E133" s="3"/>
      <c r="F133" s="3"/>
      <c r="G133" s="3"/>
      <c r="H133" s="3"/>
      <c r="I133" s="3"/>
      <c r="J133" s="3"/>
      <c r="K133" s="3"/>
      <c r="L133" s="3"/>
      <c r="M133" s="3"/>
      <c r="N133" s="3"/>
      <c r="O133" s="3"/>
      <c r="P133" s="3"/>
      <c r="Q133" s="3"/>
      <c r="R133" s="3"/>
      <c r="S133" s="3"/>
      <c r="T133" s="3"/>
      <c r="U133" s="4"/>
      <c r="V133" s="4"/>
      <c r="W133" s="4"/>
      <c r="X133" s="4"/>
      <c r="Y133" s="4"/>
    </row>
    <row r="134" ht="15.75" customHeight="1">
      <c r="A134" s="18"/>
      <c r="B134" s="18"/>
      <c r="C134" s="3"/>
      <c r="D134" s="3"/>
      <c r="E134" s="3"/>
      <c r="F134" s="3"/>
      <c r="G134" s="3"/>
      <c r="H134" s="3"/>
      <c r="I134" s="3"/>
      <c r="J134" s="3"/>
      <c r="K134" s="3"/>
      <c r="L134" s="3"/>
      <c r="M134" s="3"/>
      <c r="N134" s="3"/>
      <c r="O134" s="3"/>
      <c r="P134" s="3"/>
      <c r="Q134" s="3"/>
      <c r="R134" s="3"/>
      <c r="S134" s="3"/>
      <c r="T134" s="3"/>
      <c r="U134" s="4"/>
      <c r="V134" s="4"/>
      <c r="W134" s="4"/>
      <c r="X134" s="4"/>
      <c r="Y134" s="4"/>
    </row>
    <row r="135" ht="15.75" customHeight="1">
      <c r="A135" s="18"/>
      <c r="B135" s="18"/>
      <c r="C135" s="3"/>
      <c r="D135" s="3"/>
      <c r="E135" s="3"/>
      <c r="F135" s="3"/>
      <c r="G135" s="3"/>
      <c r="H135" s="3"/>
      <c r="I135" s="3"/>
      <c r="J135" s="3"/>
      <c r="K135" s="3"/>
      <c r="L135" s="3"/>
      <c r="M135" s="3"/>
      <c r="N135" s="3"/>
      <c r="O135" s="3"/>
      <c r="P135" s="3"/>
      <c r="Q135" s="3"/>
      <c r="R135" s="3"/>
      <c r="S135" s="3"/>
      <c r="T135" s="3"/>
      <c r="U135" s="4"/>
      <c r="V135" s="4"/>
      <c r="W135" s="4"/>
      <c r="X135" s="4"/>
      <c r="Y135" s="4"/>
    </row>
    <row r="136" ht="15.75" customHeight="1">
      <c r="A136" s="18"/>
      <c r="B136" s="18"/>
      <c r="C136" s="3"/>
      <c r="D136" s="3"/>
      <c r="E136" s="3"/>
      <c r="F136" s="3"/>
      <c r="G136" s="3"/>
      <c r="H136" s="3"/>
      <c r="I136" s="3"/>
      <c r="J136" s="3"/>
      <c r="K136" s="3"/>
      <c r="L136" s="3"/>
      <c r="M136" s="3"/>
      <c r="N136" s="3"/>
      <c r="O136" s="3"/>
      <c r="P136" s="3"/>
      <c r="Q136" s="3"/>
      <c r="R136" s="3"/>
      <c r="S136" s="3"/>
      <c r="T136" s="3"/>
      <c r="U136" s="4"/>
      <c r="V136" s="4"/>
      <c r="W136" s="4"/>
      <c r="X136" s="4"/>
      <c r="Y136" s="4"/>
    </row>
    <row r="137" ht="15.75" customHeight="1">
      <c r="A137" s="18"/>
      <c r="B137" s="18"/>
      <c r="C137" s="3"/>
      <c r="D137" s="3"/>
      <c r="E137" s="3"/>
      <c r="F137" s="3"/>
      <c r="G137" s="3"/>
      <c r="H137" s="3"/>
      <c r="I137" s="3"/>
      <c r="J137" s="3"/>
      <c r="K137" s="3"/>
      <c r="L137" s="3"/>
      <c r="M137" s="3"/>
      <c r="N137" s="3"/>
      <c r="O137" s="3"/>
      <c r="P137" s="3"/>
      <c r="Q137" s="3"/>
      <c r="R137" s="3"/>
      <c r="S137" s="3"/>
      <c r="T137" s="3"/>
      <c r="U137" s="4"/>
      <c r="V137" s="4"/>
      <c r="W137" s="4"/>
      <c r="X137" s="4"/>
      <c r="Y137" s="4"/>
    </row>
    <row r="138" ht="15.75" customHeight="1">
      <c r="A138" s="18"/>
      <c r="B138" s="18"/>
      <c r="C138" s="3"/>
      <c r="D138" s="3"/>
      <c r="E138" s="3"/>
      <c r="F138" s="3"/>
      <c r="G138" s="3"/>
      <c r="H138" s="3"/>
      <c r="I138" s="3"/>
      <c r="J138" s="3"/>
      <c r="K138" s="3"/>
      <c r="L138" s="3"/>
      <c r="M138" s="3"/>
      <c r="N138" s="3"/>
      <c r="O138" s="3"/>
      <c r="P138" s="3"/>
      <c r="Q138" s="3"/>
      <c r="R138" s="3"/>
      <c r="S138" s="3"/>
      <c r="T138" s="3"/>
      <c r="U138" s="4"/>
      <c r="V138" s="4"/>
      <c r="W138" s="4"/>
      <c r="X138" s="4"/>
      <c r="Y138" s="4"/>
    </row>
    <row r="139" ht="15.75" customHeight="1">
      <c r="A139" s="18"/>
      <c r="B139" s="18"/>
      <c r="C139" s="3"/>
      <c r="D139" s="3"/>
      <c r="E139" s="3"/>
      <c r="F139" s="3"/>
      <c r="G139" s="3"/>
      <c r="H139" s="3"/>
      <c r="I139" s="3"/>
      <c r="J139" s="3"/>
      <c r="K139" s="3"/>
      <c r="L139" s="3"/>
      <c r="M139" s="3"/>
      <c r="N139" s="3"/>
      <c r="O139" s="3"/>
      <c r="P139" s="3"/>
      <c r="Q139" s="3"/>
      <c r="R139" s="3"/>
      <c r="S139" s="3"/>
      <c r="T139" s="3"/>
      <c r="U139" s="4"/>
      <c r="V139" s="4"/>
      <c r="W139" s="4"/>
      <c r="X139" s="4"/>
      <c r="Y139" s="4"/>
    </row>
    <row r="140" ht="15.75" customHeight="1">
      <c r="A140" s="18"/>
      <c r="B140" s="18"/>
      <c r="C140" s="3"/>
      <c r="D140" s="3"/>
      <c r="E140" s="3"/>
      <c r="F140" s="3"/>
      <c r="G140" s="3"/>
      <c r="H140" s="3"/>
      <c r="I140" s="3"/>
      <c r="J140" s="3"/>
      <c r="K140" s="3"/>
      <c r="L140" s="3"/>
      <c r="M140" s="3"/>
      <c r="N140" s="3"/>
      <c r="O140" s="3"/>
      <c r="P140" s="3"/>
      <c r="Q140" s="3"/>
      <c r="R140" s="3"/>
      <c r="S140" s="3"/>
      <c r="T140" s="3"/>
      <c r="U140" s="4"/>
      <c r="V140" s="4"/>
      <c r="W140" s="4"/>
      <c r="X140" s="4"/>
      <c r="Y140" s="4"/>
    </row>
    <row r="141" ht="15.75" customHeight="1">
      <c r="A141" s="18"/>
      <c r="B141" s="18"/>
      <c r="C141" s="3"/>
      <c r="D141" s="3"/>
      <c r="E141" s="3"/>
      <c r="F141" s="3"/>
      <c r="G141" s="3"/>
      <c r="H141" s="3"/>
      <c r="I141" s="3"/>
      <c r="J141" s="3"/>
      <c r="K141" s="3"/>
      <c r="L141" s="3"/>
      <c r="M141" s="3"/>
      <c r="N141" s="3"/>
      <c r="O141" s="3"/>
      <c r="P141" s="3"/>
      <c r="Q141" s="3"/>
      <c r="R141" s="3"/>
      <c r="S141" s="3"/>
      <c r="T141" s="3"/>
      <c r="U141" s="4"/>
      <c r="V141" s="4"/>
      <c r="W141" s="4"/>
      <c r="X141" s="4"/>
      <c r="Y141" s="4"/>
    </row>
    <row r="142" ht="15.75" customHeight="1">
      <c r="A142" s="18"/>
      <c r="B142" s="18"/>
      <c r="C142" s="3"/>
      <c r="D142" s="3"/>
      <c r="E142" s="3"/>
      <c r="F142" s="3"/>
      <c r="G142" s="3"/>
      <c r="H142" s="3"/>
      <c r="I142" s="3"/>
      <c r="J142" s="3"/>
      <c r="K142" s="3"/>
      <c r="L142" s="3"/>
      <c r="M142" s="3"/>
      <c r="N142" s="3"/>
      <c r="O142" s="3"/>
      <c r="P142" s="3"/>
      <c r="Q142" s="3"/>
      <c r="R142" s="3"/>
      <c r="S142" s="3"/>
      <c r="T142" s="3"/>
      <c r="U142" s="4"/>
      <c r="V142" s="4"/>
      <c r="W142" s="4"/>
      <c r="X142" s="4"/>
      <c r="Y142" s="4"/>
    </row>
    <row r="143" ht="15.75" customHeight="1">
      <c r="A143" s="18"/>
      <c r="B143" s="18"/>
      <c r="C143" s="3"/>
      <c r="D143" s="3"/>
      <c r="E143" s="3"/>
      <c r="F143" s="3"/>
      <c r="G143" s="3"/>
      <c r="H143" s="3"/>
      <c r="I143" s="3"/>
      <c r="J143" s="3"/>
      <c r="K143" s="3"/>
      <c r="L143" s="3"/>
      <c r="M143" s="3"/>
      <c r="N143" s="3"/>
      <c r="O143" s="3"/>
      <c r="P143" s="3"/>
      <c r="Q143" s="3"/>
      <c r="R143" s="3"/>
      <c r="S143" s="3"/>
      <c r="T143" s="3"/>
      <c r="U143" s="4"/>
      <c r="V143" s="4"/>
      <c r="W143" s="4"/>
      <c r="X143" s="4"/>
      <c r="Y143" s="4"/>
    </row>
    <row r="144" ht="15.75" customHeight="1">
      <c r="A144" s="18"/>
      <c r="B144" s="18"/>
      <c r="C144" s="3"/>
      <c r="D144" s="3"/>
      <c r="E144" s="3"/>
      <c r="F144" s="3"/>
      <c r="G144" s="3"/>
      <c r="H144" s="3"/>
      <c r="I144" s="3"/>
      <c r="J144" s="3"/>
      <c r="K144" s="3"/>
      <c r="L144" s="3"/>
      <c r="M144" s="3"/>
      <c r="N144" s="3"/>
      <c r="O144" s="3"/>
      <c r="P144" s="3"/>
      <c r="Q144" s="3"/>
      <c r="R144" s="3"/>
      <c r="S144" s="3"/>
      <c r="T144" s="3"/>
      <c r="U144" s="4"/>
      <c r="V144" s="4"/>
      <c r="W144" s="4"/>
      <c r="X144" s="4"/>
      <c r="Y144" s="4"/>
    </row>
    <row r="145" ht="15.75" customHeight="1">
      <c r="A145" s="18"/>
      <c r="B145" s="18"/>
      <c r="C145" s="3"/>
      <c r="D145" s="3"/>
      <c r="E145" s="3"/>
      <c r="F145" s="3"/>
      <c r="G145" s="3"/>
      <c r="H145" s="3"/>
      <c r="I145" s="3"/>
      <c r="J145" s="3"/>
      <c r="K145" s="3"/>
      <c r="L145" s="3"/>
      <c r="M145" s="3"/>
      <c r="N145" s="3"/>
      <c r="O145" s="3"/>
      <c r="P145" s="3"/>
      <c r="Q145" s="3"/>
      <c r="R145" s="3"/>
      <c r="S145" s="3"/>
      <c r="T145" s="3"/>
      <c r="U145" s="4"/>
      <c r="V145" s="4"/>
      <c r="W145" s="4"/>
      <c r="X145" s="4"/>
      <c r="Y145" s="4"/>
    </row>
    <row r="146" ht="15.75" customHeight="1">
      <c r="A146" s="18"/>
      <c r="B146" s="18"/>
      <c r="C146" s="3"/>
      <c r="D146" s="3"/>
      <c r="E146" s="3"/>
      <c r="F146" s="3"/>
      <c r="G146" s="3"/>
      <c r="H146" s="3"/>
      <c r="I146" s="3"/>
      <c r="J146" s="3"/>
      <c r="K146" s="3"/>
      <c r="L146" s="3"/>
      <c r="M146" s="3"/>
      <c r="N146" s="3"/>
      <c r="O146" s="3"/>
      <c r="P146" s="3"/>
      <c r="Q146" s="3"/>
      <c r="R146" s="3"/>
      <c r="S146" s="3"/>
      <c r="T146" s="3"/>
      <c r="U146" s="4"/>
      <c r="V146" s="4"/>
      <c r="W146" s="4"/>
      <c r="X146" s="4"/>
      <c r="Y146" s="4"/>
    </row>
    <row r="147" ht="15.75" customHeight="1">
      <c r="A147" s="18"/>
      <c r="B147" s="18"/>
      <c r="C147" s="3"/>
      <c r="D147" s="3"/>
      <c r="E147" s="3"/>
      <c r="F147" s="3"/>
      <c r="G147" s="3"/>
      <c r="H147" s="3"/>
      <c r="I147" s="3"/>
      <c r="J147" s="3"/>
      <c r="K147" s="3"/>
      <c r="L147" s="3"/>
      <c r="M147" s="3"/>
      <c r="N147" s="3"/>
      <c r="O147" s="3"/>
      <c r="P147" s="3"/>
      <c r="Q147" s="3"/>
      <c r="R147" s="3"/>
      <c r="S147" s="3"/>
      <c r="T147" s="3"/>
      <c r="U147" s="4"/>
      <c r="V147" s="4"/>
      <c r="W147" s="4"/>
      <c r="X147" s="4"/>
      <c r="Y147" s="4"/>
    </row>
    <row r="148" ht="15.75" customHeight="1">
      <c r="A148" s="18"/>
      <c r="B148" s="18"/>
      <c r="C148" s="3"/>
      <c r="D148" s="3"/>
      <c r="E148" s="3"/>
      <c r="F148" s="3"/>
      <c r="G148" s="3"/>
      <c r="H148" s="3"/>
      <c r="I148" s="3"/>
      <c r="J148" s="3"/>
      <c r="K148" s="3"/>
      <c r="L148" s="3"/>
      <c r="M148" s="3"/>
      <c r="N148" s="3"/>
      <c r="O148" s="3"/>
      <c r="P148" s="3"/>
      <c r="Q148" s="3"/>
      <c r="R148" s="3"/>
      <c r="S148" s="3"/>
      <c r="T148" s="3"/>
      <c r="U148" s="4"/>
      <c r="V148" s="4"/>
      <c r="W148" s="4"/>
      <c r="X148" s="4"/>
      <c r="Y148" s="4"/>
    </row>
    <row r="149" ht="15.75" customHeight="1">
      <c r="A149" s="18"/>
      <c r="B149" s="18"/>
      <c r="C149" s="3"/>
      <c r="D149" s="3"/>
      <c r="E149" s="3"/>
      <c r="F149" s="3"/>
      <c r="G149" s="3"/>
      <c r="H149" s="3"/>
      <c r="I149" s="3"/>
      <c r="J149" s="3"/>
      <c r="K149" s="3"/>
      <c r="L149" s="3"/>
      <c r="M149" s="3"/>
      <c r="N149" s="3"/>
      <c r="O149" s="3"/>
      <c r="P149" s="3"/>
      <c r="Q149" s="3"/>
      <c r="R149" s="3"/>
      <c r="S149" s="3"/>
      <c r="T149" s="3"/>
      <c r="U149" s="4"/>
      <c r="V149" s="4"/>
      <c r="W149" s="4"/>
      <c r="X149" s="4"/>
      <c r="Y149" s="4"/>
    </row>
    <row r="150" ht="15.75" customHeight="1">
      <c r="A150" s="18"/>
      <c r="B150" s="18"/>
      <c r="C150" s="3"/>
      <c r="D150" s="3"/>
      <c r="E150" s="3"/>
      <c r="F150" s="3"/>
      <c r="G150" s="3"/>
      <c r="H150" s="3"/>
      <c r="I150" s="3"/>
      <c r="J150" s="3"/>
      <c r="K150" s="3"/>
      <c r="L150" s="3"/>
      <c r="M150" s="3"/>
      <c r="N150" s="3"/>
      <c r="O150" s="3"/>
      <c r="P150" s="3"/>
      <c r="Q150" s="3"/>
      <c r="R150" s="3"/>
      <c r="S150" s="3"/>
      <c r="T150" s="3"/>
      <c r="U150" s="4"/>
      <c r="V150" s="4"/>
      <c r="W150" s="4"/>
      <c r="X150" s="4"/>
      <c r="Y150" s="4"/>
    </row>
    <row r="151" ht="15.75" customHeight="1">
      <c r="A151" s="18"/>
      <c r="B151" s="18"/>
      <c r="C151" s="3"/>
      <c r="D151" s="3"/>
      <c r="E151" s="3"/>
      <c r="F151" s="3"/>
      <c r="G151" s="3"/>
      <c r="H151" s="3"/>
      <c r="I151" s="3"/>
      <c r="J151" s="3"/>
      <c r="K151" s="3"/>
      <c r="L151" s="3"/>
      <c r="M151" s="3"/>
      <c r="N151" s="3"/>
      <c r="O151" s="3"/>
      <c r="P151" s="3"/>
      <c r="Q151" s="3"/>
      <c r="R151" s="3"/>
      <c r="S151" s="3"/>
      <c r="T151" s="3"/>
      <c r="U151" s="4"/>
      <c r="V151" s="4"/>
      <c r="W151" s="4"/>
      <c r="X151" s="4"/>
      <c r="Y151" s="4"/>
    </row>
    <row r="152" ht="15.75" customHeight="1">
      <c r="A152" s="18"/>
      <c r="B152" s="18"/>
      <c r="C152" s="3"/>
      <c r="D152" s="3"/>
      <c r="E152" s="3"/>
      <c r="F152" s="3"/>
      <c r="G152" s="3"/>
      <c r="H152" s="3"/>
      <c r="I152" s="3"/>
      <c r="J152" s="3"/>
      <c r="K152" s="3"/>
      <c r="L152" s="3"/>
      <c r="M152" s="3"/>
      <c r="N152" s="3"/>
      <c r="O152" s="3"/>
      <c r="P152" s="3"/>
      <c r="Q152" s="3"/>
      <c r="R152" s="3"/>
      <c r="S152" s="3"/>
      <c r="T152" s="3"/>
      <c r="U152" s="4"/>
      <c r="V152" s="4"/>
      <c r="W152" s="4"/>
      <c r="X152" s="4"/>
      <c r="Y152" s="4"/>
    </row>
    <row r="153" ht="15.75" customHeight="1">
      <c r="A153" s="18"/>
      <c r="B153" s="18"/>
      <c r="C153" s="3"/>
      <c r="D153" s="3"/>
      <c r="E153" s="3"/>
      <c r="F153" s="3"/>
      <c r="G153" s="3"/>
      <c r="H153" s="3"/>
      <c r="I153" s="3"/>
      <c r="J153" s="3"/>
      <c r="K153" s="3"/>
      <c r="L153" s="3"/>
      <c r="M153" s="3"/>
      <c r="N153" s="3"/>
      <c r="O153" s="3"/>
      <c r="P153" s="3"/>
      <c r="Q153" s="3"/>
      <c r="R153" s="3"/>
      <c r="S153" s="3"/>
      <c r="T153" s="3"/>
      <c r="U153" s="4"/>
      <c r="V153" s="4"/>
      <c r="W153" s="4"/>
      <c r="X153" s="4"/>
      <c r="Y153" s="4"/>
    </row>
    <row r="154" ht="15.75" customHeight="1">
      <c r="A154" s="18"/>
      <c r="B154" s="18"/>
      <c r="C154" s="3"/>
      <c r="D154" s="3"/>
      <c r="E154" s="3"/>
      <c r="F154" s="3"/>
      <c r="G154" s="3"/>
      <c r="H154" s="3"/>
      <c r="I154" s="3"/>
      <c r="J154" s="3"/>
      <c r="K154" s="3"/>
      <c r="L154" s="3"/>
      <c r="M154" s="3"/>
      <c r="N154" s="3"/>
      <c r="O154" s="3"/>
      <c r="P154" s="3"/>
      <c r="Q154" s="3"/>
      <c r="R154" s="3"/>
      <c r="S154" s="3"/>
      <c r="T154" s="3"/>
      <c r="U154" s="4"/>
      <c r="V154" s="4"/>
      <c r="W154" s="4"/>
      <c r="X154" s="4"/>
      <c r="Y154" s="4"/>
    </row>
    <row r="155" ht="15.75" customHeight="1">
      <c r="A155" s="18"/>
      <c r="B155" s="18"/>
      <c r="C155" s="3"/>
      <c r="D155" s="3"/>
      <c r="E155" s="3"/>
      <c r="F155" s="3"/>
      <c r="G155" s="3"/>
      <c r="H155" s="3"/>
      <c r="I155" s="3"/>
      <c r="J155" s="3"/>
      <c r="K155" s="3"/>
      <c r="L155" s="3"/>
      <c r="M155" s="3"/>
      <c r="N155" s="3"/>
      <c r="O155" s="3"/>
      <c r="P155" s="3"/>
      <c r="Q155" s="3"/>
      <c r="R155" s="3"/>
      <c r="S155" s="3"/>
      <c r="T155" s="3"/>
      <c r="U155" s="4"/>
      <c r="V155" s="4"/>
      <c r="W155" s="4"/>
      <c r="X155" s="4"/>
      <c r="Y155" s="4"/>
    </row>
    <row r="156" ht="15.75" customHeight="1">
      <c r="A156" s="18"/>
      <c r="B156" s="18"/>
      <c r="C156" s="3"/>
      <c r="D156" s="3"/>
      <c r="E156" s="3"/>
      <c r="F156" s="3"/>
      <c r="G156" s="3"/>
      <c r="H156" s="3"/>
      <c r="I156" s="3"/>
      <c r="J156" s="3"/>
      <c r="K156" s="3"/>
      <c r="L156" s="3"/>
      <c r="M156" s="3"/>
      <c r="N156" s="3"/>
      <c r="O156" s="3"/>
      <c r="P156" s="3"/>
      <c r="Q156" s="3"/>
      <c r="R156" s="3"/>
      <c r="S156" s="3"/>
      <c r="T156" s="3"/>
      <c r="U156" s="4"/>
      <c r="V156" s="4"/>
      <c r="W156" s="4"/>
      <c r="X156" s="4"/>
      <c r="Y156" s="4"/>
    </row>
    <row r="157" ht="15.75" customHeight="1">
      <c r="A157" s="18"/>
      <c r="B157" s="18"/>
      <c r="C157" s="3"/>
      <c r="D157" s="3"/>
      <c r="E157" s="3"/>
      <c r="F157" s="3"/>
      <c r="G157" s="3"/>
      <c r="H157" s="3"/>
      <c r="I157" s="3"/>
      <c r="J157" s="3"/>
      <c r="K157" s="3"/>
      <c r="L157" s="3"/>
      <c r="M157" s="3"/>
      <c r="N157" s="3"/>
      <c r="O157" s="3"/>
      <c r="P157" s="3"/>
      <c r="Q157" s="3"/>
      <c r="R157" s="3"/>
      <c r="S157" s="3"/>
      <c r="T157" s="3"/>
      <c r="U157" s="4"/>
      <c r="V157" s="4"/>
      <c r="W157" s="4"/>
      <c r="X157" s="4"/>
      <c r="Y157" s="4"/>
    </row>
    <row r="158" ht="15.75" customHeight="1">
      <c r="A158" s="18"/>
      <c r="B158" s="18"/>
      <c r="C158" s="3"/>
      <c r="D158" s="3"/>
      <c r="E158" s="3"/>
      <c r="F158" s="3"/>
      <c r="G158" s="3"/>
      <c r="H158" s="3"/>
      <c r="I158" s="3"/>
      <c r="J158" s="3"/>
      <c r="K158" s="3"/>
      <c r="L158" s="3"/>
      <c r="M158" s="3"/>
      <c r="N158" s="3"/>
      <c r="O158" s="3"/>
      <c r="P158" s="3"/>
      <c r="Q158" s="3"/>
      <c r="R158" s="3"/>
      <c r="S158" s="3"/>
      <c r="T158" s="3"/>
      <c r="U158" s="4"/>
      <c r="V158" s="4"/>
      <c r="W158" s="4"/>
      <c r="X158" s="4"/>
      <c r="Y158" s="4"/>
    </row>
    <row r="159" ht="15.75" customHeight="1">
      <c r="A159" s="18"/>
      <c r="B159" s="18"/>
      <c r="C159" s="3"/>
      <c r="D159" s="3"/>
      <c r="E159" s="3"/>
      <c r="F159" s="3"/>
      <c r="G159" s="3"/>
      <c r="H159" s="3"/>
      <c r="I159" s="3"/>
      <c r="J159" s="3"/>
      <c r="K159" s="3"/>
      <c r="L159" s="3"/>
      <c r="M159" s="3"/>
      <c r="N159" s="3"/>
      <c r="O159" s="3"/>
      <c r="P159" s="3"/>
      <c r="Q159" s="3"/>
      <c r="R159" s="3"/>
      <c r="S159" s="3"/>
      <c r="T159" s="3"/>
      <c r="U159" s="4"/>
      <c r="V159" s="4"/>
      <c r="W159" s="4"/>
      <c r="X159" s="4"/>
      <c r="Y159" s="4"/>
    </row>
    <row r="160" ht="15.75" customHeight="1">
      <c r="A160" s="18"/>
      <c r="B160" s="18"/>
      <c r="C160" s="3"/>
      <c r="D160" s="3"/>
      <c r="E160" s="3"/>
      <c r="F160" s="3"/>
      <c r="G160" s="3"/>
      <c r="H160" s="3"/>
      <c r="I160" s="3"/>
      <c r="J160" s="3"/>
      <c r="K160" s="3"/>
      <c r="L160" s="3"/>
      <c r="M160" s="3"/>
      <c r="N160" s="3"/>
      <c r="O160" s="3"/>
      <c r="P160" s="3"/>
      <c r="Q160" s="3"/>
      <c r="R160" s="3"/>
      <c r="S160" s="3"/>
      <c r="T160" s="3"/>
      <c r="U160" s="4"/>
      <c r="V160" s="4"/>
      <c r="W160" s="4"/>
      <c r="X160" s="4"/>
      <c r="Y160" s="4"/>
    </row>
    <row r="161" ht="15.75" customHeight="1">
      <c r="A161" s="18"/>
      <c r="B161" s="18"/>
      <c r="C161" s="3"/>
      <c r="D161" s="3"/>
      <c r="E161" s="3"/>
      <c r="F161" s="3"/>
      <c r="G161" s="3"/>
      <c r="H161" s="3"/>
      <c r="I161" s="3"/>
      <c r="J161" s="3"/>
      <c r="K161" s="3"/>
      <c r="L161" s="3"/>
      <c r="M161" s="3"/>
      <c r="N161" s="3"/>
      <c r="O161" s="3"/>
      <c r="P161" s="3"/>
      <c r="Q161" s="3"/>
      <c r="R161" s="3"/>
      <c r="S161" s="3"/>
      <c r="T161" s="3"/>
      <c r="U161" s="4"/>
      <c r="V161" s="4"/>
      <c r="W161" s="4"/>
      <c r="X161" s="4"/>
      <c r="Y161" s="4"/>
    </row>
    <row r="162" ht="15.75" customHeight="1">
      <c r="A162" s="18"/>
      <c r="B162" s="18"/>
      <c r="C162" s="3"/>
      <c r="D162" s="3"/>
      <c r="E162" s="3"/>
      <c r="F162" s="3"/>
      <c r="G162" s="3"/>
      <c r="H162" s="3"/>
      <c r="I162" s="3"/>
      <c r="J162" s="3"/>
      <c r="K162" s="3"/>
      <c r="L162" s="3"/>
      <c r="M162" s="3"/>
      <c r="N162" s="3"/>
      <c r="O162" s="3"/>
      <c r="P162" s="3"/>
      <c r="Q162" s="3"/>
      <c r="R162" s="3"/>
      <c r="S162" s="3"/>
      <c r="T162" s="3"/>
      <c r="U162" s="4"/>
      <c r="V162" s="4"/>
      <c r="W162" s="4"/>
      <c r="X162" s="4"/>
      <c r="Y162" s="4"/>
    </row>
    <row r="163" ht="15.75" customHeight="1">
      <c r="A163" s="18"/>
      <c r="B163" s="18"/>
      <c r="C163" s="3"/>
      <c r="D163" s="3"/>
      <c r="E163" s="3"/>
      <c r="F163" s="3"/>
      <c r="G163" s="3"/>
      <c r="H163" s="3"/>
      <c r="I163" s="3"/>
      <c r="J163" s="3"/>
      <c r="K163" s="3"/>
      <c r="L163" s="3"/>
      <c r="M163" s="3"/>
      <c r="N163" s="3"/>
      <c r="O163" s="3"/>
      <c r="P163" s="3"/>
      <c r="Q163" s="3"/>
      <c r="R163" s="3"/>
      <c r="S163" s="3"/>
      <c r="T163" s="3"/>
      <c r="U163" s="4"/>
      <c r="V163" s="4"/>
      <c r="W163" s="4"/>
      <c r="X163" s="4"/>
      <c r="Y163" s="4"/>
    </row>
    <row r="164" ht="15.75" customHeight="1">
      <c r="A164" s="18"/>
      <c r="B164" s="18"/>
      <c r="C164" s="3"/>
      <c r="D164" s="3"/>
      <c r="E164" s="3"/>
      <c r="F164" s="3"/>
      <c r="G164" s="3"/>
      <c r="H164" s="3"/>
      <c r="I164" s="3"/>
      <c r="J164" s="3"/>
      <c r="K164" s="3"/>
      <c r="L164" s="3"/>
      <c r="M164" s="3"/>
      <c r="N164" s="3"/>
      <c r="O164" s="3"/>
      <c r="P164" s="3"/>
      <c r="Q164" s="3"/>
      <c r="R164" s="3"/>
      <c r="S164" s="3"/>
      <c r="T164" s="3"/>
      <c r="U164" s="4"/>
      <c r="V164" s="4"/>
      <c r="W164" s="4"/>
      <c r="X164" s="4"/>
      <c r="Y164" s="4"/>
    </row>
    <row r="165" ht="15.75" customHeight="1">
      <c r="A165" s="18"/>
      <c r="B165" s="18"/>
      <c r="C165" s="3"/>
      <c r="D165" s="3"/>
      <c r="E165" s="3"/>
      <c r="F165" s="3"/>
      <c r="G165" s="3"/>
      <c r="H165" s="3"/>
      <c r="I165" s="3"/>
      <c r="J165" s="3"/>
      <c r="K165" s="3"/>
      <c r="L165" s="3"/>
      <c r="M165" s="3"/>
      <c r="N165" s="3"/>
      <c r="O165" s="3"/>
      <c r="P165" s="3"/>
      <c r="Q165" s="3"/>
      <c r="R165" s="3"/>
      <c r="S165" s="3"/>
      <c r="T165" s="3"/>
      <c r="U165" s="4"/>
      <c r="V165" s="4"/>
      <c r="W165" s="4"/>
      <c r="X165" s="4"/>
      <c r="Y165" s="4"/>
    </row>
    <row r="166" ht="15.75" customHeight="1">
      <c r="A166" s="18"/>
      <c r="B166" s="18"/>
      <c r="C166" s="3"/>
      <c r="D166" s="3"/>
      <c r="E166" s="3"/>
      <c r="F166" s="3"/>
      <c r="G166" s="3"/>
      <c r="H166" s="3"/>
      <c r="I166" s="3"/>
      <c r="J166" s="3"/>
      <c r="K166" s="3"/>
      <c r="L166" s="3"/>
      <c r="M166" s="3"/>
      <c r="N166" s="3"/>
      <c r="O166" s="3"/>
      <c r="P166" s="3"/>
      <c r="Q166" s="3"/>
      <c r="R166" s="3"/>
      <c r="S166" s="3"/>
      <c r="T166" s="3"/>
      <c r="U166" s="4"/>
      <c r="V166" s="4"/>
      <c r="W166" s="4"/>
      <c r="X166" s="4"/>
      <c r="Y166" s="4"/>
    </row>
    <row r="167" ht="15.75" customHeight="1">
      <c r="A167" s="18"/>
      <c r="B167" s="18"/>
      <c r="C167" s="3"/>
      <c r="D167" s="3"/>
      <c r="E167" s="3"/>
      <c r="F167" s="3"/>
      <c r="G167" s="3"/>
      <c r="H167" s="3"/>
      <c r="I167" s="3"/>
      <c r="J167" s="3"/>
      <c r="K167" s="3"/>
      <c r="L167" s="3"/>
      <c r="M167" s="3"/>
      <c r="N167" s="3"/>
      <c r="O167" s="3"/>
      <c r="P167" s="3"/>
      <c r="Q167" s="3"/>
      <c r="R167" s="3"/>
      <c r="S167" s="3"/>
      <c r="T167" s="3"/>
      <c r="U167" s="4"/>
      <c r="V167" s="4"/>
      <c r="W167" s="4"/>
      <c r="X167" s="4"/>
      <c r="Y167" s="4"/>
    </row>
    <row r="168" ht="15.75" customHeight="1">
      <c r="A168" s="18"/>
      <c r="B168" s="18"/>
      <c r="C168" s="3"/>
      <c r="D168" s="3"/>
      <c r="E168" s="3"/>
      <c r="F168" s="3"/>
      <c r="G168" s="3"/>
      <c r="H168" s="3"/>
      <c r="I168" s="3"/>
      <c r="J168" s="3"/>
      <c r="K168" s="3"/>
      <c r="L168" s="3"/>
      <c r="M168" s="3"/>
      <c r="N168" s="3"/>
      <c r="O168" s="3"/>
      <c r="P168" s="3"/>
      <c r="Q168" s="3"/>
      <c r="R168" s="3"/>
      <c r="S168" s="3"/>
      <c r="T168" s="3"/>
      <c r="U168" s="4"/>
      <c r="V168" s="4"/>
      <c r="W168" s="4"/>
      <c r="X168" s="4"/>
      <c r="Y168" s="4"/>
    </row>
    <row r="169" ht="15.75" customHeight="1">
      <c r="A169" s="18"/>
      <c r="B169" s="18"/>
      <c r="C169" s="3"/>
      <c r="D169" s="3"/>
      <c r="E169" s="3"/>
      <c r="F169" s="3"/>
      <c r="G169" s="3"/>
      <c r="H169" s="3"/>
      <c r="I169" s="3"/>
      <c r="J169" s="3"/>
      <c r="K169" s="3"/>
      <c r="L169" s="3"/>
      <c r="M169" s="3"/>
      <c r="N169" s="3"/>
      <c r="O169" s="3"/>
      <c r="P169" s="3"/>
      <c r="Q169" s="3"/>
      <c r="R169" s="3"/>
      <c r="S169" s="3"/>
      <c r="T169" s="3"/>
      <c r="U169" s="4"/>
      <c r="V169" s="4"/>
      <c r="W169" s="4"/>
      <c r="X169" s="4"/>
      <c r="Y169" s="4"/>
    </row>
    <row r="170" ht="15.75" customHeight="1">
      <c r="A170" s="18"/>
      <c r="B170" s="18"/>
      <c r="C170" s="3"/>
      <c r="D170" s="3"/>
      <c r="E170" s="3"/>
      <c r="F170" s="3"/>
      <c r="G170" s="3"/>
      <c r="H170" s="3"/>
      <c r="I170" s="3"/>
      <c r="J170" s="3"/>
      <c r="K170" s="3"/>
      <c r="L170" s="3"/>
      <c r="M170" s="3"/>
      <c r="N170" s="3"/>
      <c r="O170" s="3"/>
      <c r="P170" s="3"/>
      <c r="Q170" s="3"/>
      <c r="R170" s="3"/>
      <c r="S170" s="3"/>
      <c r="T170" s="3"/>
      <c r="U170" s="4"/>
      <c r="V170" s="4"/>
      <c r="W170" s="4"/>
      <c r="X170" s="4"/>
      <c r="Y170" s="4"/>
    </row>
    <row r="171" ht="15.75" customHeight="1">
      <c r="A171" s="18"/>
      <c r="B171" s="18"/>
      <c r="C171" s="3"/>
      <c r="D171" s="3"/>
      <c r="E171" s="3"/>
      <c r="F171" s="3"/>
      <c r="G171" s="3"/>
      <c r="H171" s="3"/>
      <c r="I171" s="3"/>
      <c r="J171" s="3"/>
      <c r="K171" s="3"/>
      <c r="L171" s="3"/>
      <c r="M171" s="3"/>
      <c r="N171" s="3"/>
      <c r="O171" s="3"/>
      <c r="P171" s="3"/>
      <c r="Q171" s="3"/>
      <c r="R171" s="3"/>
      <c r="S171" s="3"/>
      <c r="T171" s="3"/>
      <c r="U171" s="4"/>
      <c r="V171" s="4"/>
      <c r="W171" s="4"/>
      <c r="X171" s="4"/>
      <c r="Y171" s="4"/>
    </row>
    <row r="172" ht="15.75" customHeight="1">
      <c r="A172" s="18"/>
      <c r="B172" s="18"/>
      <c r="C172" s="3"/>
      <c r="D172" s="3"/>
      <c r="E172" s="3"/>
      <c r="F172" s="3"/>
      <c r="G172" s="3"/>
      <c r="H172" s="3"/>
      <c r="I172" s="3"/>
      <c r="J172" s="3"/>
      <c r="K172" s="3"/>
      <c r="L172" s="3"/>
      <c r="M172" s="3"/>
      <c r="N172" s="3"/>
      <c r="O172" s="3"/>
      <c r="P172" s="3"/>
      <c r="Q172" s="3"/>
      <c r="R172" s="3"/>
      <c r="S172" s="3"/>
      <c r="T172" s="3"/>
      <c r="U172" s="4"/>
      <c r="V172" s="4"/>
      <c r="W172" s="4"/>
      <c r="X172" s="4"/>
      <c r="Y172" s="4"/>
    </row>
    <row r="173" ht="15.75" customHeight="1">
      <c r="A173" s="18"/>
      <c r="B173" s="18"/>
      <c r="C173" s="3"/>
      <c r="D173" s="3"/>
      <c r="E173" s="3"/>
      <c r="F173" s="3"/>
      <c r="G173" s="3"/>
      <c r="H173" s="3"/>
      <c r="I173" s="3"/>
      <c r="J173" s="3"/>
      <c r="K173" s="3"/>
      <c r="L173" s="3"/>
      <c r="M173" s="3"/>
      <c r="N173" s="3"/>
      <c r="O173" s="3"/>
      <c r="P173" s="3"/>
      <c r="Q173" s="3"/>
      <c r="R173" s="3"/>
      <c r="S173" s="3"/>
      <c r="T173" s="3"/>
      <c r="U173" s="4"/>
      <c r="V173" s="4"/>
      <c r="W173" s="4"/>
      <c r="X173" s="4"/>
      <c r="Y173" s="4"/>
    </row>
    <row r="174" ht="15.75" customHeight="1">
      <c r="A174" s="18"/>
      <c r="B174" s="18"/>
      <c r="C174" s="3"/>
      <c r="D174" s="3"/>
      <c r="E174" s="3"/>
      <c r="F174" s="3"/>
      <c r="G174" s="3"/>
      <c r="H174" s="3"/>
      <c r="I174" s="3"/>
      <c r="J174" s="3"/>
      <c r="K174" s="3"/>
      <c r="L174" s="3"/>
      <c r="M174" s="3"/>
      <c r="N174" s="3"/>
      <c r="O174" s="3"/>
      <c r="P174" s="3"/>
      <c r="Q174" s="3"/>
      <c r="R174" s="3"/>
      <c r="S174" s="3"/>
      <c r="T174" s="3"/>
      <c r="U174" s="4"/>
      <c r="V174" s="4"/>
      <c r="W174" s="4"/>
      <c r="X174" s="4"/>
      <c r="Y174" s="4"/>
    </row>
    <row r="175" ht="15.75" customHeight="1">
      <c r="A175" s="18"/>
      <c r="B175" s="18"/>
      <c r="C175" s="3"/>
      <c r="D175" s="3"/>
      <c r="E175" s="3"/>
      <c r="F175" s="3"/>
      <c r="G175" s="3"/>
      <c r="H175" s="3"/>
      <c r="I175" s="3"/>
      <c r="J175" s="3"/>
      <c r="K175" s="3"/>
      <c r="L175" s="3"/>
      <c r="M175" s="3"/>
      <c r="N175" s="3"/>
      <c r="O175" s="3"/>
      <c r="P175" s="3"/>
      <c r="Q175" s="3"/>
      <c r="R175" s="3"/>
      <c r="S175" s="3"/>
      <c r="T175" s="3"/>
      <c r="U175" s="4"/>
      <c r="V175" s="4"/>
      <c r="W175" s="4"/>
      <c r="X175" s="4"/>
      <c r="Y175" s="4"/>
    </row>
    <row r="176" ht="15.75" customHeight="1">
      <c r="A176" s="18"/>
      <c r="B176" s="18"/>
      <c r="C176" s="3"/>
      <c r="D176" s="3"/>
      <c r="E176" s="3"/>
      <c r="F176" s="3"/>
      <c r="G176" s="3"/>
      <c r="H176" s="3"/>
      <c r="I176" s="3"/>
      <c r="J176" s="3"/>
      <c r="K176" s="3"/>
      <c r="L176" s="3"/>
      <c r="M176" s="3"/>
      <c r="N176" s="3"/>
      <c r="O176" s="3"/>
      <c r="P176" s="3"/>
      <c r="Q176" s="3"/>
      <c r="R176" s="3"/>
      <c r="S176" s="3"/>
      <c r="T176" s="3"/>
      <c r="U176" s="4"/>
      <c r="V176" s="4"/>
      <c r="W176" s="4"/>
      <c r="X176" s="4"/>
      <c r="Y176" s="4"/>
    </row>
    <row r="177" ht="15.75" customHeight="1">
      <c r="A177" s="18"/>
      <c r="B177" s="18"/>
      <c r="C177" s="3"/>
      <c r="D177" s="3"/>
      <c r="E177" s="3"/>
      <c r="F177" s="3"/>
      <c r="G177" s="3"/>
      <c r="H177" s="3"/>
      <c r="I177" s="3"/>
      <c r="J177" s="3"/>
      <c r="K177" s="3"/>
      <c r="L177" s="3"/>
      <c r="M177" s="3"/>
      <c r="N177" s="3"/>
      <c r="O177" s="3"/>
      <c r="P177" s="3"/>
      <c r="Q177" s="3"/>
      <c r="R177" s="3"/>
      <c r="S177" s="3"/>
      <c r="T177" s="3"/>
      <c r="U177" s="4"/>
      <c r="V177" s="4"/>
      <c r="W177" s="4"/>
      <c r="X177" s="4"/>
      <c r="Y177" s="4"/>
    </row>
    <row r="178" ht="15.75" customHeight="1">
      <c r="A178" s="18"/>
      <c r="B178" s="18"/>
      <c r="C178" s="3"/>
      <c r="D178" s="3"/>
      <c r="E178" s="3"/>
      <c r="F178" s="3"/>
      <c r="G178" s="3"/>
      <c r="H178" s="3"/>
      <c r="I178" s="3"/>
      <c r="J178" s="3"/>
      <c r="K178" s="3"/>
      <c r="L178" s="3"/>
      <c r="M178" s="3"/>
      <c r="N178" s="3"/>
      <c r="O178" s="3"/>
      <c r="P178" s="3"/>
      <c r="Q178" s="3"/>
      <c r="R178" s="3"/>
      <c r="S178" s="3"/>
      <c r="T178" s="3"/>
      <c r="U178" s="4"/>
      <c r="V178" s="4"/>
      <c r="W178" s="4"/>
      <c r="X178" s="4"/>
      <c r="Y178" s="4"/>
    </row>
    <row r="179" ht="15.75" customHeight="1">
      <c r="A179" s="18"/>
      <c r="B179" s="18"/>
      <c r="C179" s="3"/>
      <c r="D179" s="3"/>
      <c r="E179" s="3"/>
      <c r="F179" s="3"/>
      <c r="G179" s="3"/>
      <c r="H179" s="3"/>
      <c r="I179" s="3"/>
      <c r="J179" s="3"/>
      <c r="K179" s="3"/>
      <c r="L179" s="3"/>
      <c r="M179" s="3"/>
      <c r="N179" s="3"/>
      <c r="O179" s="3"/>
      <c r="P179" s="3"/>
      <c r="Q179" s="3"/>
      <c r="R179" s="3"/>
      <c r="S179" s="3"/>
      <c r="T179" s="3"/>
      <c r="U179" s="4"/>
      <c r="V179" s="4"/>
      <c r="W179" s="4"/>
      <c r="X179" s="4"/>
      <c r="Y179" s="4"/>
    </row>
    <row r="180" ht="15.75" customHeight="1">
      <c r="A180" s="18"/>
      <c r="B180" s="18"/>
      <c r="C180" s="3"/>
      <c r="D180" s="3"/>
      <c r="E180" s="3"/>
      <c r="F180" s="3"/>
      <c r="G180" s="3"/>
      <c r="H180" s="3"/>
      <c r="I180" s="3"/>
      <c r="J180" s="3"/>
      <c r="K180" s="3"/>
      <c r="L180" s="3"/>
      <c r="M180" s="3"/>
      <c r="N180" s="3"/>
      <c r="O180" s="3"/>
      <c r="P180" s="3"/>
      <c r="Q180" s="3"/>
      <c r="R180" s="3"/>
      <c r="S180" s="3"/>
      <c r="T180" s="3"/>
      <c r="U180" s="4"/>
      <c r="V180" s="4"/>
      <c r="W180" s="4"/>
      <c r="X180" s="4"/>
      <c r="Y180" s="4"/>
    </row>
    <row r="181" ht="15.75" customHeight="1">
      <c r="A181" s="18"/>
      <c r="B181" s="18"/>
      <c r="C181" s="3"/>
      <c r="D181" s="3"/>
      <c r="E181" s="3"/>
      <c r="F181" s="3"/>
      <c r="G181" s="3"/>
      <c r="H181" s="3"/>
      <c r="I181" s="3"/>
      <c r="J181" s="3"/>
      <c r="K181" s="3"/>
      <c r="L181" s="3"/>
      <c r="M181" s="3"/>
      <c r="N181" s="3"/>
      <c r="O181" s="3"/>
      <c r="P181" s="3"/>
      <c r="Q181" s="3"/>
      <c r="R181" s="3"/>
      <c r="S181" s="3"/>
      <c r="T181" s="3"/>
      <c r="U181" s="4"/>
      <c r="V181" s="4"/>
      <c r="W181" s="4"/>
      <c r="X181" s="4"/>
      <c r="Y181" s="4"/>
    </row>
    <row r="182" ht="15.75" customHeight="1">
      <c r="A182" s="18"/>
      <c r="B182" s="18"/>
      <c r="C182" s="3"/>
      <c r="D182" s="3"/>
      <c r="E182" s="3"/>
      <c r="F182" s="3"/>
      <c r="G182" s="3"/>
      <c r="H182" s="3"/>
      <c r="I182" s="3"/>
      <c r="J182" s="3"/>
      <c r="K182" s="3"/>
      <c r="L182" s="3"/>
      <c r="M182" s="3"/>
      <c r="N182" s="3"/>
      <c r="O182" s="3"/>
      <c r="P182" s="3"/>
      <c r="Q182" s="3"/>
      <c r="R182" s="3"/>
      <c r="S182" s="3"/>
      <c r="T182" s="3"/>
      <c r="U182" s="4"/>
      <c r="V182" s="4"/>
      <c r="W182" s="4"/>
      <c r="X182" s="4"/>
      <c r="Y182" s="4"/>
    </row>
    <row r="183" ht="15.75" customHeight="1">
      <c r="A183" s="18"/>
      <c r="B183" s="18"/>
      <c r="C183" s="3"/>
      <c r="D183" s="3"/>
      <c r="E183" s="3"/>
      <c r="F183" s="3"/>
      <c r="G183" s="3"/>
      <c r="H183" s="3"/>
      <c r="I183" s="3"/>
      <c r="J183" s="3"/>
      <c r="K183" s="3"/>
      <c r="L183" s="3"/>
      <c r="M183" s="3"/>
      <c r="N183" s="3"/>
      <c r="O183" s="3"/>
      <c r="P183" s="3"/>
      <c r="Q183" s="3"/>
      <c r="R183" s="3"/>
      <c r="S183" s="3"/>
      <c r="T183" s="3"/>
      <c r="U183" s="4"/>
      <c r="V183" s="4"/>
      <c r="W183" s="4"/>
      <c r="X183" s="4"/>
      <c r="Y183" s="4"/>
    </row>
    <row r="184" ht="15.75" customHeight="1">
      <c r="A184" s="18"/>
      <c r="B184" s="18"/>
      <c r="C184" s="3"/>
      <c r="D184" s="3"/>
      <c r="E184" s="3"/>
      <c r="F184" s="3"/>
      <c r="G184" s="3"/>
      <c r="H184" s="3"/>
      <c r="I184" s="3"/>
      <c r="J184" s="3"/>
      <c r="K184" s="3"/>
      <c r="L184" s="3"/>
      <c r="M184" s="3"/>
      <c r="N184" s="3"/>
      <c r="O184" s="3"/>
      <c r="P184" s="3"/>
      <c r="Q184" s="3"/>
      <c r="R184" s="3"/>
      <c r="S184" s="3"/>
      <c r="T184" s="3"/>
      <c r="U184" s="4"/>
      <c r="V184" s="4"/>
      <c r="W184" s="4"/>
      <c r="X184" s="4"/>
      <c r="Y184" s="4"/>
    </row>
    <row r="185" ht="15.75" customHeight="1">
      <c r="A185" s="18"/>
      <c r="B185" s="18"/>
      <c r="C185" s="3"/>
      <c r="D185" s="3"/>
      <c r="E185" s="3"/>
      <c r="F185" s="3"/>
      <c r="G185" s="3"/>
      <c r="H185" s="3"/>
      <c r="I185" s="3"/>
      <c r="J185" s="3"/>
      <c r="K185" s="3"/>
      <c r="L185" s="3"/>
      <c r="M185" s="3"/>
      <c r="N185" s="3"/>
      <c r="O185" s="3"/>
      <c r="P185" s="3"/>
      <c r="Q185" s="3"/>
      <c r="R185" s="3"/>
      <c r="S185" s="3"/>
      <c r="T185" s="3"/>
      <c r="U185" s="4"/>
      <c r="V185" s="4"/>
      <c r="W185" s="4"/>
      <c r="X185" s="4"/>
      <c r="Y185" s="4"/>
    </row>
    <row r="186" ht="15.75" customHeight="1">
      <c r="A186" s="18"/>
      <c r="B186" s="18"/>
      <c r="C186" s="3"/>
      <c r="D186" s="3"/>
      <c r="E186" s="3"/>
      <c r="F186" s="3"/>
      <c r="G186" s="3"/>
      <c r="H186" s="3"/>
      <c r="I186" s="3"/>
      <c r="J186" s="3"/>
      <c r="K186" s="3"/>
      <c r="L186" s="3"/>
      <c r="M186" s="3"/>
      <c r="N186" s="3"/>
      <c r="O186" s="3"/>
      <c r="P186" s="3"/>
      <c r="Q186" s="3"/>
      <c r="R186" s="3"/>
      <c r="S186" s="3"/>
      <c r="T186" s="3"/>
      <c r="U186" s="4"/>
      <c r="V186" s="4"/>
      <c r="W186" s="4"/>
      <c r="X186" s="4"/>
      <c r="Y186" s="4"/>
    </row>
    <row r="187" ht="15.75" customHeight="1">
      <c r="A187" s="18"/>
      <c r="B187" s="18"/>
      <c r="C187" s="3"/>
      <c r="D187" s="3"/>
      <c r="E187" s="3"/>
      <c r="F187" s="3"/>
      <c r="G187" s="3"/>
      <c r="H187" s="3"/>
      <c r="I187" s="3"/>
      <c r="J187" s="3"/>
      <c r="K187" s="3"/>
      <c r="L187" s="3"/>
      <c r="M187" s="3"/>
      <c r="N187" s="3"/>
      <c r="O187" s="3"/>
      <c r="P187" s="3"/>
      <c r="Q187" s="3"/>
      <c r="R187" s="3"/>
      <c r="S187" s="3"/>
      <c r="T187" s="3"/>
      <c r="U187" s="4"/>
      <c r="V187" s="4"/>
      <c r="W187" s="4"/>
      <c r="X187" s="4"/>
      <c r="Y187" s="4"/>
    </row>
    <row r="188" ht="15.75" customHeight="1">
      <c r="A188" s="18"/>
      <c r="B188" s="18"/>
      <c r="C188" s="3"/>
      <c r="D188" s="3"/>
      <c r="E188" s="3"/>
      <c r="F188" s="3"/>
      <c r="G188" s="3"/>
      <c r="H188" s="3"/>
      <c r="I188" s="3"/>
      <c r="J188" s="3"/>
      <c r="K188" s="3"/>
      <c r="L188" s="3"/>
      <c r="M188" s="3"/>
      <c r="N188" s="3"/>
      <c r="O188" s="3"/>
      <c r="P188" s="3"/>
      <c r="Q188" s="3"/>
      <c r="R188" s="3"/>
      <c r="S188" s="3"/>
      <c r="T188" s="3"/>
      <c r="U188" s="4"/>
      <c r="V188" s="4"/>
      <c r="W188" s="4"/>
      <c r="X188" s="4"/>
      <c r="Y188" s="4"/>
    </row>
    <row r="189" ht="15.75" customHeight="1">
      <c r="A189" s="18"/>
      <c r="B189" s="18"/>
      <c r="C189" s="3"/>
      <c r="D189" s="3"/>
      <c r="E189" s="3"/>
      <c r="F189" s="3"/>
      <c r="G189" s="3"/>
      <c r="H189" s="3"/>
      <c r="I189" s="3"/>
      <c r="J189" s="3"/>
      <c r="K189" s="3"/>
      <c r="L189" s="3"/>
      <c r="M189" s="3"/>
      <c r="N189" s="3"/>
      <c r="O189" s="3"/>
      <c r="P189" s="3"/>
      <c r="Q189" s="3"/>
      <c r="R189" s="3"/>
      <c r="S189" s="3"/>
      <c r="T189" s="3"/>
      <c r="U189" s="4"/>
      <c r="V189" s="4"/>
      <c r="W189" s="4"/>
      <c r="X189" s="4"/>
      <c r="Y189" s="4"/>
    </row>
    <row r="190" ht="15.75" customHeight="1">
      <c r="A190" s="18"/>
      <c r="B190" s="18"/>
      <c r="C190" s="3"/>
      <c r="D190" s="3"/>
      <c r="E190" s="3"/>
      <c r="F190" s="3"/>
      <c r="G190" s="3"/>
      <c r="H190" s="3"/>
      <c r="I190" s="3"/>
      <c r="J190" s="3"/>
      <c r="K190" s="3"/>
      <c r="L190" s="3"/>
      <c r="M190" s="3"/>
      <c r="N190" s="3"/>
      <c r="O190" s="3"/>
      <c r="P190" s="3"/>
      <c r="Q190" s="3"/>
      <c r="R190" s="3"/>
      <c r="S190" s="3"/>
      <c r="T190" s="3"/>
      <c r="U190" s="4"/>
      <c r="V190" s="4"/>
      <c r="W190" s="4"/>
      <c r="X190" s="4"/>
      <c r="Y190" s="4"/>
    </row>
    <row r="191" ht="15.75" customHeight="1">
      <c r="A191" s="18"/>
      <c r="B191" s="18"/>
      <c r="C191" s="3"/>
      <c r="D191" s="3"/>
      <c r="E191" s="3"/>
      <c r="F191" s="3"/>
      <c r="G191" s="3"/>
      <c r="H191" s="3"/>
      <c r="I191" s="3"/>
      <c r="J191" s="3"/>
      <c r="K191" s="3"/>
      <c r="L191" s="3"/>
      <c r="M191" s="3"/>
      <c r="N191" s="3"/>
      <c r="O191" s="3"/>
      <c r="P191" s="3"/>
      <c r="Q191" s="3"/>
      <c r="R191" s="3"/>
      <c r="S191" s="3"/>
      <c r="T191" s="3"/>
      <c r="U191" s="4"/>
      <c r="V191" s="4"/>
      <c r="W191" s="4"/>
      <c r="X191" s="4"/>
      <c r="Y191" s="4"/>
    </row>
    <row r="192" ht="15.75" customHeight="1">
      <c r="A192" s="18"/>
      <c r="B192" s="18"/>
      <c r="C192" s="3"/>
      <c r="D192" s="3"/>
      <c r="E192" s="3"/>
      <c r="F192" s="3"/>
      <c r="G192" s="3"/>
      <c r="H192" s="3"/>
      <c r="I192" s="3"/>
      <c r="J192" s="3"/>
      <c r="K192" s="3"/>
      <c r="L192" s="3"/>
      <c r="M192" s="3"/>
      <c r="N192" s="3"/>
      <c r="O192" s="3"/>
      <c r="P192" s="3"/>
      <c r="Q192" s="3"/>
      <c r="R192" s="3"/>
      <c r="S192" s="3"/>
      <c r="T192" s="3"/>
      <c r="U192" s="4"/>
      <c r="V192" s="4"/>
      <c r="W192" s="4"/>
      <c r="X192" s="4"/>
      <c r="Y192" s="4"/>
    </row>
    <row r="193" ht="15.75" customHeight="1">
      <c r="A193" s="18"/>
      <c r="B193" s="18"/>
      <c r="C193" s="3"/>
      <c r="D193" s="3"/>
      <c r="E193" s="3"/>
      <c r="F193" s="3"/>
      <c r="G193" s="3"/>
      <c r="H193" s="3"/>
      <c r="I193" s="3"/>
      <c r="J193" s="3"/>
      <c r="K193" s="3"/>
      <c r="L193" s="3"/>
      <c r="M193" s="3"/>
      <c r="N193" s="3"/>
      <c r="O193" s="3"/>
      <c r="P193" s="3"/>
      <c r="Q193" s="3"/>
      <c r="R193" s="3"/>
      <c r="S193" s="3"/>
      <c r="T193" s="3"/>
      <c r="U193" s="4"/>
      <c r="V193" s="4"/>
      <c r="W193" s="4"/>
      <c r="X193" s="4"/>
      <c r="Y193" s="4"/>
    </row>
    <row r="194" ht="15.75" customHeight="1">
      <c r="A194" s="18"/>
      <c r="B194" s="18"/>
      <c r="C194" s="3"/>
      <c r="D194" s="3"/>
      <c r="E194" s="3"/>
      <c r="F194" s="3"/>
      <c r="G194" s="3"/>
      <c r="H194" s="3"/>
      <c r="I194" s="3"/>
      <c r="J194" s="3"/>
      <c r="K194" s="3"/>
      <c r="L194" s="3"/>
      <c r="M194" s="3"/>
      <c r="N194" s="3"/>
      <c r="O194" s="3"/>
      <c r="P194" s="3"/>
      <c r="Q194" s="3"/>
      <c r="R194" s="3"/>
      <c r="S194" s="3"/>
      <c r="T194" s="3"/>
      <c r="U194" s="4"/>
      <c r="V194" s="4"/>
      <c r="W194" s="4"/>
      <c r="X194" s="4"/>
      <c r="Y194" s="4"/>
    </row>
    <row r="195" ht="15.75" customHeight="1">
      <c r="A195" s="18"/>
      <c r="B195" s="18"/>
      <c r="C195" s="3"/>
      <c r="D195" s="3"/>
      <c r="E195" s="3"/>
      <c r="F195" s="3"/>
      <c r="G195" s="3"/>
      <c r="H195" s="3"/>
      <c r="I195" s="3"/>
      <c r="J195" s="3"/>
      <c r="K195" s="3"/>
      <c r="L195" s="3"/>
      <c r="M195" s="3"/>
      <c r="N195" s="3"/>
      <c r="O195" s="3"/>
      <c r="P195" s="3"/>
      <c r="Q195" s="3"/>
      <c r="R195" s="3"/>
      <c r="S195" s="3"/>
      <c r="T195" s="3"/>
      <c r="U195" s="4"/>
      <c r="V195" s="4"/>
      <c r="W195" s="4"/>
      <c r="X195" s="4"/>
      <c r="Y195" s="4"/>
    </row>
    <row r="196" ht="15.75" customHeight="1">
      <c r="A196" s="18"/>
      <c r="B196" s="18"/>
      <c r="C196" s="3"/>
      <c r="D196" s="3"/>
      <c r="E196" s="3"/>
      <c r="F196" s="3"/>
      <c r="G196" s="3"/>
      <c r="H196" s="3"/>
      <c r="I196" s="3"/>
      <c r="J196" s="3"/>
      <c r="K196" s="3"/>
      <c r="L196" s="3"/>
      <c r="M196" s="3"/>
      <c r="N196" s="3"/>
      <c r="O196" s="3"/>
      <c r="P196" s="3"/>
      <c r="Q196" s="3"/>
      <c r="R196" s="3"/>
      <c r="S196" s="3"/>
      <c r="T196" s="3"/>
      <c r="U196" s="4"/>
      <c r="V196" s="4"/>
      <c r="W196" s="4"/>
      <c r="X196" s="4"/>
      <c r="Y196" s="4"/>
    </row>
    <row r="197" ht="15.75" customHeight="1">
      <c r="A197" s="18"/>
      <c r="B197" s="18"/>
      <c r="C197" s="3"/>
      <c r="D197" s="3"/>
      <c r="E197" s="3"/>
      <c r="F197" s="3"/>
      <c r="G197" s="3"/>
      <c r="H197" s="3"/>
      <c r="I197" s="3"/>
      <c r="J197" s="3"/>
      <c r="K197" s="3"/>
      <c r="L197" s="3"/>
      <c r="M197" s="3"/>
      <c r="N197" s="3"/>
      <c r="O197" s="3"/>
      <c r="P197" s="3"/>
      <c r="Q197" s="3"/>
      <c r="R197" s="3"/>
      <c r="S197" s="3"/>
      <c r="T197" s="3"/>
      <c r="U197" s="4"/>
      <c r="V197" s="4"/>
      <c r="W197" s="4"/>
      <c r="X197" s="4"/>
      <c r="Y197" s="4"/>
    </row>
    <row r="198" ht="15.75" customHeight="1">
      <c r="A198" s="18"/>
      <c r="B198" s="18"/>
      <c r="C198" s="3"/>
      <c r="D198" s="3"/>
      <c r="E198" s="3"/>
      <c r="F198" s="3"/>
      <c r="G198" s="3"/>
      <c r="H198" s="3"/>
      <c r="I198" s="3"/>
      <c r="J198" s="3"/>
      <c r="K198" s="3"/>
      <c r="L198" s="3"/>
      <c r="M198" s="3"/>
      <c r="N198" s="3"/>
      <c r="O198" s="3"/>
      <c r="P198" s="3"/>
      <c r="Q198" s="3"/>
      <c r="R198" s="3"/>
      <c r="S198" s="3"/>
      <c r="T198" s="3"/>
      <c r="U198" s="4"/>
      <c r="V198" s="4"/>
      <c r="W198" s="4"/>
      <c r="X198" s="4"/>
      <c r="Y198" s="4"/>
    </row>
    <row r="199" ht="15.75" customHeight="1">
      <c r="A199" s="18"/>
      <c r="B199" s="18"/>
      <c r="C199" s="3"/>
      <c r="D199" s="3"/>
      <c r="E199" s="3"/>
      <c r="F199" s="3"/>
      <c r="G199" s="3"/>
      <c r="H199" s="3"/>
      <c r="I199" s="3"/>
      <c r="J199" s="3"/>
      <c r="K199" s="3"/>
      <c r="L199" s="3"/>
      <c r="M199" s="3"/>
      <c r="N199" s="3"/>
      <c r="O199" s="3"/>
      <c r="P199" s="3"/>
      <c r="Q199" s="3"/>
      <c r="R199" s="3"/>
      <c r="S199" s="3"/>
      <c r="T199" s="3"/>
      <c r="U199" s="4"/>
      <c r="V199" s="4"/>
      <c r="W199" s="4"/>
      <c r="X199" s="4"/>
      <c r="Y199" s="4"/>
    </row>
    <row r="200" ht="15.75" customHeight="1">
      <c r="A200" s="18"/>
      <c r="B200" s="18"/>
      <c r="C200" s="3"/>
      <c r="D200" s="3"/>
      <c r="E200" s="3"/>
      <c r="F200" s="3"/>
      <c r="G200" s="3"/>
      <c r="H200" s="3"/>
      <c r="I200" s="3"/>
      <c r="J200" s="3"/>
      <c r="K200" s="3"/>
      <c r="L200" s="3"/>
      <c r="M200" s="3"/>
      <c r="N200" s="3"/>
      <c r="O200" s="3"/>
      <c r="P200" s="3"/>
      <c r="Q200" s="3"/>
      <c r="R200" s="3"/>
      <c r="S200" s="3"/>
      <c r="T200" s="3"/>
      <c r="U200" s="4"/>
      <c r="V200" s="4"/>
      <c r="W200" s="4"/>
      <c r="X200" s="4"/>
      <c r="Y200" s="4"/>
    </row>
    <row r="201" ht="15.75" customHeight="1">
      <c r="A201" s="18"/>
      <c r="B201" s="18"/>
      <c r="C201" s="3"/>
      <c r="D201" s="3"/>
      <c r="E201" s="3"/>
      <c r="F201" s="3"/>
      <c r="G201" s="3"/>
      <c r="H201" s="3"/>
      <c r="I201" s="3"/>
      <c r="J201" s="3"/>
      <c r="K201" s="3"/>
      <c r="L201" s="3"/>
      <c r="M201" s="3"/>
      <c r="N201" s="3"/>
      <c r="O201" s="3"/>
      <c r="P201" s="3"/>
      <c r="Q201" s="3"/>
      <c r="R201" s="3"/>
      <c r="S201" s="3"/>
      <c r="T201" s="3"/>
      <c r="U201" s="4"/>
      <c r="V201" s="4"/>
      <c r="W201" s="4"/>
      <c r="X201" s="4"/>
      <c r="Y201" s="4"/>
    </row>
    <row r="202" ht="15.75" customHeight="1">
      <c r="A202" s="18"/>
      <c r="B202" s="18"/>
      <c r="C202" s="3"/>
      <c r="D202" s="3"/>
      <c r="E202" s="3"/>
      <c r="F202" s="3"/>
      <c r="G202" s="3"/>
      <c r="H202" s="3"/>
      <c r="I202" s="3"/>
      <c r="J202" s="3"/>
      <c r="K202" s="3"/>
      <c r="L202" s="3"/>
      <c r="M202" s="3"/>
      <c r="N202" s="3"/>
      <c r="O202" s="3"/>
      <c r="P202" s="3"/>
      <c r="Q202" s="3"/>
      <c r="R202" s="3"/>
      <c r="S202" s="3"/>
      <c r="T202" s="3"/>
      <c r="U202" s="4"/>
      <c r="V202" s="4"/>
      <c r="W202" s="4"/>
      <c r="X202" s="4"/>
      <c r="Y202" s="4"/>
    </row>
    <row r="203" ht="15.75" customHeight="1">
      <c r="A203" s="18"/>
      <c r="B203" s="18"/>
      <c r="C203" s="3"/>
      <c r="D203" s="3"/>
      <c r="E203" s="3"/>
      <c r="F203" s="3"/>
      <c r="G203" s="3"/>
      <c r="H203" s="3"/>
      <c r="I203" s="3"/>
      <c r="J203" s="3"/>
      <c r="K203" s="3"/>
      <c r="L203" s="3"/>
      <c r="M203" s="3"/>
      <c r="N203" s="3"/>
      <c r="O203" s="3"/>
      <c r="P203" s="3"/>
      <c r="Q203" s="3"/>
      <c r="R203" s="3"/>
      <c r="S203" s="3"/>
      <c r="T203" s="3"/>
      <c r="U203" s="4"/>
      <c r="V203" s="4"/>
      <c r="W203" s="4"/>
      <c r="X203" s="4"/>
      <c r="Y203" s="4"/>
    </row>
    <row r="204" ht="15.75" customHeight="1">
      <c r="A204" s="18"/>
      <c r="B204" s="18"/>
      <c r="C204" s="3"/>
      <c r="D204" s="3"/>
      <c r="E204" s="3"/>
      <c r="F204" s="3"/>
      <c r="G204" s="3"/>
      <c r="H204" s="3"/>
      <c r="I204" s="3"/>
      <c r="J204" s="3"/>
      <c r="K204" s="3"/>
      <c r="L204" s="3"/>
      <c r="M204" s="3"/>
      <c r="N204" s="3"/>
      <c r="O204" s="3"/>
      <c r="P204" s="3"/>
      <c r="Q204" s="3"/>
      <c r="R204" s="3"/>
      <c r="S204" s="3"/>
      <c r="T204" s="3"/>
      <c r="U204" s="4"/>
      <c r="V204" s="4"/>
      <c r="W204" s="4"/>
      <c r="X204" s="4"/>
      <c r="Y204" s="4"/>
    </row>
    <row r="205" ht="15.75" customHeight="1">
      <c r="A205" s="18"/>
      <c r="B205" s="18"/>
      <c r="C205" s="3"/>
      <c r="D205" s="3"/>
      <c r="E205" s="3"/>
      <c r="F205" s="3"/>
      <c r="G205" s="3"/>
      <c r="H205" s="3"/>
      <c r="I205" s="3"/>
      <c r="J205" s="3"/>
      <c r="K205" s="3"/>
      <c r="L205" s="3"/>
      <c r="M205" s="3"/>
      <c r="N205" s="3"/>
      <c r="O205" s="3"/>
      <c r="P205" s="3"/>
      <c r="Q205" s="3"/>
      <c r="R205" s="3"/>
      <c r="S205" s="3"/>
      <c r="T205" s="3"/>
      <c r="U205" s="4"/>
      <c r="V205" s="4"/>
      <c r="W205" s="4"/>
      <c r="X205" s="4"/>
      <c r="Y205" s="4"/>
    </row>
    <row r="206" ht="15.75" customHeight="1">
      <c r="A206" s="18"/>
      <c r="B206" s="18"/>
      <c r="C206" s="3"/>
      <c r="D206" s="3"/>
      <c r="E206" s="3"/>
      <c r="F206" s="3"/>
      <c r="G206" s="3"/>
      <c r="H206" s="3"/>
      <c r="I206" s="3"/>
      <c r="J206" s="3"/>
      <c r="K206" s="3"/>
      <c r="L206" s="3"/>
      <c r="M206" s="3"/>
      <c r="N206" s="3"/>
      <c r="O206" s="3"/>
      <c r="P206" s="3"/>
      <c r="Q206" s="3"/>
      <c r="R206" s="3"/>
      <c r="S206" s="3"/>
      <c r="T206" s="3"/>
      <c r="U206" s="4"/>
      <c r="V206" s="4"/>
      <c r="W206" s="4"/>
      <c r="X206" s="4"/>
      <c r="Y206" s="4"/>
    </row>
    <row r="207" ht="15.75" customHeight="1">
      <c r="A207" s="18"/>
      <c r="B207" s="18"/>
      <c r="C207" s="3"/>
      <c r="D207" s="3"/>
      <c r="E207" s="3"/>
      <c r="F207" s="3"/>
      <c r="G207" s="3"/>
      <c r="H207" s="3"/>
      <c r="I207" s="3"/>
      <c r="J207" s="3"/>
      <c r="K207" s="3"/>
      <c r="L207" s="3"/>
      <c r="M207" s="3"/>
      <c r="N207" s="3"/>
      <c r="O207" s="3"/>
      <c r="P207" s="3"/>
      <c r="Q207" s="3"/>
      <c r="R207" s="3"/>
      <c r="S207" s="3"/>
      <c r="T207" s="3"/>
      <c r="U207" s="4"/>
      <c r="V207" s="4"/>
      <c r="W207" s="4"/>
      <c r="X207" s="4"/>
      <c r="Y207" s="4"/>
    </row>
    <row r="208" ht="15.75" customHeight="1">
      <c r="A208" s="18"/>
      <c r="B208" s="18"/>
      <c r="C208" s="3"/>
      <c r="D208" s="3"/>
      <c r="E208" s="3"/>
      <c r="F208" s="3"/>
      <c r="G208" s="3"/>
      <c r="H208" s="3"/>
      <c r="I208" s="3"/>
      <c r="J208" s="3"/>
      <c r="K208" s="3"/>
      <c r="L208" s="3"/>
      <c r="M208" s="3"/>
      <c r="N208" s="3"/>
      <c r="O208" s="3"/>
      <c r="P208" s="3"/>
      <c r="Q208" s="3"/>
      <c r="R208" s="3"/>
      <c r="S208" s="3"/>
      <c r="T208" s="3"/>
      <c r="U208" s="4"/>
      <c r="V208" s="4"/>
      <c r="W208" s="4"/>
      <c r="X208" s="4"/>
      <c r="Y208" s="4"/>
    </row>
    <row r="209" ht="15.75" customHeight="1">
      <c r="A209" s="18"/>
      <c r="B209" s="18"/>
      <c r="C209" s="3"/>
      <c r="D209" s="3"/>
      <c r="E209" s="3"/>
      <c r="F209" s="3"/>
      <c r="G209" s="3"/>
      <c r="H209" s="3"/>
      <c r="I209" s="3"/>
      <c r="J209" s="3"/>
      <c r="K209" s="3"/>
      <c r="L209" s="3"/>
      <c r="M209" s="3"/>
      <c r="N209" s="3"/>
      <c r="O209" s="3"/>
      <c r="P209" s="3"/>
      <c r="Q209" s="3"/>
      <c r="R209" s="3"/>
      <c r="S209" s="3"/>
      <c r="T209" s="3"/>
      <c r="U209" s="4"/>
      <c r="V209" s="4"/>
      <c r="W209" s="4"/>
      <c r="X209" s="4"/>
      <c r="Y209" s="4"/>
    </row>
    <row r="210" ht="15.75" customHeight="1">
      <c r="A210" s="18"/>
      <c r="B210" s="18"/>
      <c r="C210" s="3"/>
      <c r="D210" s="3"/>
      <c r="E210" s="3"/>
      <c r="F210" s="3"/>
      <c r="G210" s="3"/>
      <c r="H210" s="3"/>
      <c r="I210" s="3"/>
      <c r="J210" s="3"/>
      <c r="K210" s="3"/>
      <c r="L210" s="3"/>
      <c r="M210" s="3"/>
      <c r="N210" s="3"/>
      <c r="O210" s="3"/>
      <c r="P210" s="3"/>
      <c r="Q210" s="3"/>
      <c r="R210" s="3"/>
      <c r="S210" s="3"/>
      <c r="T210" s="3"/>
      <c r="U210" s="4"/>
      <c r="V210" s="4"/>
      <c r="W210" s="4"/>
      <c r="X210" s="4"/>
      <c r="Y210" s="4"/>
    </row>
    <row r="211" ht="15.75" customHeight="1">
      <c r="A211" s="18"/>
      <c r="B211" s="18"/>
      <c r="C211" s="3"/>
      <c r="D211" s="3"/>
      <c r="E211" s="3"/>
      <c r="F211" s="3"/>
      <c r="G211" s="3"/>
      <c r="H211" s="3"/>
      <c r="I211" s="3"/>
      <c r="J211" s="3"/>
      <c r="K211" s="3"/>
      <c r="L211" s="3"/>
      <c r="M211" s="3"/>
      <c r="N211" s="3"/>
      <c r="O211" s="3"/>
      <c r="P211" s="3"/>
      <c r="Q211" s="3"/>
      <c r="R211" s="3"/>
      <c r="S211" s="3"/>
      <c r="T211" s="3"/>
      <c r="U211" s="4"/>
      <c r="V211" s="4"/>
      <c r="W211" s="4"/>
      <c r="X211" s="4"/>
      <c r="Y211" s="4"/>
    </row>
    <row r="212" ht="15.75" customHeight="1">
      <c r="A212" s="18"/>
      <c r="B212" s="18"/>
      <c r="C212" s="3"/>
      <c r="D212" s="3"/>
      <c r="E212" s="3"/>
      <c r="F212" s="3"/>
      <c r="G212" s="3"/>
      <c r="H212" s="3"/>
      <c r="I212" s="3"/>
      <c r="J212" s="3"/>
      <c r="K212" s="3"/>
      <c r="L212" s="3"/>
      <c r="M212" s="3"/>
      <c r="N212" s="3"/>
      <c r="O212" s="3"/>
      <c r="P212" s="3"/>
      <c r="Q212" s="3"/>
      <c r="R212" s="3"/>
      <c r="S212" s="3"/>
      <c r="T212" s="3"/>
      <c r="U212" s="4"/>
      <c r="V212" s="4"/>
      <c r="W212" s="4"/>
      <c r="X212" s="4"/>
      <c r="Y212" s="4"/>
    </row>
    <row r="213" ht="15.75" customHeight="1">
      <c r="A213" s="18"/>
      <c r="B213" s="18"/>
      <c r="C213" s="3"/>
      <c r="D213" s="3"/>
      <c r="E213" s="3"/>
      <c r="F213" s="3"/>
      <c r="G213" s="3"/>
      <c r="H213" s="3"/>
      <c r="I213" s="3"/>
      <c r="J213" s="3"/>
      <c r="K213" s="3"/>
      <c r="L213" s="3"/>
      <c r="M213" s="3"/>
      <c r="N213" s="3"/>
      <c r="O213" s="3"/>
      <c r="P213" s="3"/>
      <c r="Q213" s="3"/>
      <c r="R213" s="3"/>
      <c r="S213" s="3"/>
      <c r="T213" s="3"/>
      <c r="U213" s="4"/>
      <c r="V213" s="4"/>
      <c r="W213" s="4"/>
      <c r="X213" s="4"/>
      <c r="Y213" s="4"/>
    </row>
    <row r="214" ht="15.75" customHeight="1">
      <c r="A214" s="18"/>
      <c r="B214" s="18"/>
      <c r="C214" s="3"/>
      <c r="D214" s="3"/>
      <c r="E214" s="3"/>
      <c r="F214" s="3"/>
      <c r="G214" s="3"/>
      <c r="H214" s="3"/>
      <c r="I214" s="3"/>
      <c r="J214" s="3"/>
      <c r="K214" s="3"/>
      <c r="L214" s="3"/>
      <c r="M214" s="3"/>
      <c r="N214" s="3"/>
      <c r="O214" s="3"/>
      <c r="P214" s="3"/>
      <c r="Q214" s="3"/>
      <c r="R214" s="3"/>
      <c r="S214" s="3"/>
      <c r="T214" s="3"/>
      <c r="U214" s="4"/>
      <c r="V214" s="4"/>
      <c r="W214" s="4"/>
      <c r="X214" s="4"/>
      <c r="Y214" s="4"/>
    </row>
    <row r="215" ht="15.75" customHeight="1">
      <c r="A215" s="18"/>
      <c r="B215" s="18"/>
      <c r="C215" s="3"/>
      <c r="D215" s="3"/>
      <c r="E215" s="3"/>
      <c r="F215" s="3"/>
      <c r="G215" s="3"/>
      <c r="H215" s="3"/>
      <c r="I215" s="3"/>
      <c r="J215" s="3"/>
      <c r="K215" s="3"/>
      <c r="L215" s="3"/>
      <c r="M215" s="3"/>
      <c r="N215" s="3"/>
      <c r="O215" s="3"/>
      <c r="P215" s="3"/>
      <c r="Q215" s="3"/>
      <c r="R215" s="3"/>
      <c r="S215" s="3"/>
      <c r="T215" s="3"/>
      <c r="U215" s="4"/>
      <c r="V215" s="4"/>
      <c r="W215" s="4"/>
      <c r="X215" s="4"/>
      <c r="Y215" s="4"/>
    </row>
    <row r="216" ht="15.75" customHeight="1">
      <c r="A216" s="18"/>
      <c r="B216" s="18"/>
      <c r="C216" s="3"/>
      <c r="D216" s="3"/>
      <c r="E216" s="3"/>
      <c r="F216" s="3"/>
      <c r="G216" s="3"/>
      <c r="H216" s="3"/>
      <c r="I216" s="3"/>
      <c r="J216" s="3"/>
      <c r="K216" s="3"/>
      <c r="L216" s="3"/>
      <c r="M216" s="3"/>
      <c r="N216" s="3"/>
      <c r="O216" s="3"/>
      <c r="P216" s="3"/>
      <c r="Q216" s="3"/>
      <c r="R216" s="3"/>
      <c r="S216" s="3"/>
      <c r="T216" s="3"/>
      <c r="U216" s="4"/>
      <c r="V216" s="4"/>
      <c r="W216" s="4"/>
      <c r="X216" s="4"/>
      <c r="Y216" s="4"/>
    </row>
    <row r="217" ht="15.75" customHeight="1">
      <c r="A217" s="18"/>
      <c r="B217" s="18"/>
      <c r="C217" s="3"/>
      <c r="D217" s="3"/>
      <c r="E217" s="3"/>
      <c r="F217" s="3"/>
      <c r="G217" s="3"/>
      <c r="H217" s="3"/>
      <c r="I217" s="3"/>
      <c r="J217" s="3"/>
      <c r="K217" s="3"/>
      <c r="L217" s="3"/>
      <c r="M217" s="3"/>
      <c r="N217" s="3"/>
      <c r="O217" s="3"/>
      <c r="P217" s="3"/>
      <c r="Q217" s="3"/>
      <c r="R217" s="3"/>
      <c r="S217" s="3"/>
      <c r="T217" s="3"/>
      <c r="U217" s="4"/>
      <c r="V217" s="4"/>
      <c r="W217" s="4"/>
      <c r="X217" s="4"/>
      <c r="Y217" s="4"/>
    </row>
    <row r="218" ht="15.75" customHeight="1">
      <c r="A218" s="18"/>
      <c r="B218" s="18"/>
      <c r="C218" s="3"/>
      <c r="D218" s="3"/>
      <c r="E218" s="3"/>
      <c r="F218" s="3"/>
      <c r="G218" s="3"/>
      <c r="H218" s="3"/>
      <c r="I218" s="3"/>
      <c r="J218" s="3"/>
      <c r="K218" s="3"/>
      <c r="L218" s="3"/>
      <c r="M218" s="3"/>
      <c r="N218" s="3"/>
      <c r="O218" s="3"/>
      <c r="P218" s="3"/>
      <c r="Q218" s="3"/>
      <c r="R218" s="3"/>
      <c r="S218" s="3"/>
      <c r="T218" s="3"/>
      <c r="U218" s="4"/>
      <c r="V218" s="4"/>
      <c r="W218" s="4"/>
      <c r="X218" s="4"/>
      <c r="Y218" s="4"/>
    </row>
    <row r="219" ht="15.75" customHeight="1">
      <c r="A219" s="18"/>
      <c r="B219" s="18"/>
      <c r="C219" s="3"/>
      <c r="D219" s="3"/>
      <c r="E219" s="3"/>
      <c r="F219" s="3"/>
      <c r="G219" s="3"/>
      <c r="H219" s="3"/>
      <c r="I219" s="3"/>
      <c r="J219" s="3"/>
      <c r="K219" s="3"/>
      <c r="L219" s="3"/>
      <c r="M219" s="3"/>
      <c r="N219" s="3"/>
      <c r="O219" s="3"/>
      <c r="P219" s="3"/>
      <c r="Q219" s="3"/>
      <c r="R219" s="3"/>
      <c r="S219" s="3"/>
      <c r="T219" s="3"/>
      <c r="U219" s="4"/>
      <c r="V219" s="4"/>
      <c r="W219" s="4"/>
      <c r="X219" s="4"/>
      <c r="Y219" s="4"/>
    </row>
    <row r="220" ht="15.75" customHeight="1">
      <c r="A220" s="18"/>
      <c r="B220" s="18"/>
      <c r="C220" s="3"/>
      <c r="D220" s="3"/>
      <c r="E220" s="3"/>
      <c r="F220" s="3"/>
      <c r="G220" s="3"/>
      <c r="H220" s="3"/>
      <c r="I220" s="3"/>
      <c r="J220" s="3"/>
      <c r="K220" s="3"/>
      <c r="L220" s="3"/>
      <c r="M220" s="3"/>
      <c r="N220" s="3"/>
      <c r="O220" s="3"/>
      <c r="P220" s="3"/>
      <c r="Q220" s="3"/>
      <c r="R220" s="3"/>
      <c r="S220" s="3"/>
      <c r="T220" s="3"/>
      <c r="U220" s="4"/>
      <c r="V220" s="4"/>
      <c r="W220" s="4"/>
      <c r="X220" s="4"/>
      <c r="Y220" s="4"/>
    </row>
    <row r="221" ht="15.75" customHeight="1">
      <c r="A221" s="18"/>
      <c r="B221" s="18"/>
      <c r="C221" s="3"/>
      <c r="D221" s="3"/>
      <c r="E221" s="3"/>
      <c r="F221" s="3"/>
      <c r="G221" s="3"/>
      <c r="H221" s="3"/>
      <c r="I221" s="3"/>
      <c r="J221" s="3"/>
      <c r="K221" s="3"/>
      <c r="L221" s="3"/>
      <c r="M221" s="3"/>
      <c r="N221" s="3"/>
      <c r="O221" s="3"/>
      <c r="P221" s="3"/>
      <c r="Q221" s="3"/>
      <c r="R221" s="3"/>
      <c r="S221" s="3"/>
      <c r="T221" s="3"/>
      <c r="U221" s="4"/>
      <c r="V221" s="4"/>
      <c r="W221" s="4"/>
      <c r="X221" s="4"/>
      <c r="Y221" s="4"/>
    </row>
    <row r="222" ht="15.75" customHeight="1">
      <c r="A222" s="18"/>
      <c r="B222" s="18"/>
      <c r="C222" s="3"/>
      <c r="D222" s="3"/>
      <c r="E222" s="3"/>
      <c r="F222" s="3"/>
      <c r="G222" s="3"/>
      <c r="H222" s="3"/>
      <c r="I222" s="3"/>
      <c r="J222" s="3"/>
      <c r="K222" s="3"/>
      <c r="L222" s="3"/>
      <c r="M222" s="3"/>
      <c r="N222" s="3"/>
      <c r="O222" s="3"/>
      <c r="P222" s="3"/>
      <c r="Q222" s="3"/>
      <c r="R222" s="3"/>
      <c r="S222" s="3"/>
      <c r="T222" s="3"/>
      <c r="U222" s="4"/>
      <c r="V222" s="4"/>
      <c r="W222" s="4"/>
      <c r="X222" s="4"/>
      <c r="Y222" s="4"/>
    </row>
    <row r="223" ht="15.75" customHeight="1">
      <c r="A223" s="18"/>
      <c r="B223" s="18"/>
      <c r="C223" s="3"/>
      <c r="D223" s="3"/>
      <c r="E223" s="3"/>
      <c r="F223" s="3"/>
      <c r="G223" s="3"/>
      <c r="H223" s="3"/>
      <c r="I223" s="3"/>
      <c r="J223" s="3"/>
      <c r="K223" s="3"/>
      <c r="L223" s="3"/>
      <c r="M223" s="3"/>
      <c r="N223" s="3"/>
      <c r="O223" s="3"/>
      <c r="P223" s="3"/>
      <c r="Q223" s="3"/>
      <c r="R223" s="3"/>
      <c r="S223" s="3"/>
      <c r="T223" s="3"/>
      <c r="U223" s="4"/>
      <c r="V223" s="4"/>
      <c r="W223" s="4"/>
      <c r="X223" s="4"/>
      <c r="Y223" s="4"/>
    </row>
    <row r="224" ht="15.75" customHeight="1">
      <c r="A224" s="18"/>
      <c r="B224" s="18"/>
      <c r="C224" s="3"/>
      <c r="D224" s="3"/>
      <c r="E224" s="3"/>
      <c r="F224" s="3"/>
      <c r="G224" s="3"/>
      <c r="H224" s="3"/>
      <c r="I224" s="3"/>
      <c r="J224" s="3"/>
      <c r="K224" s="3"/>
      <c r="L224" s="3"/>
      <c r="M224" s="3"/>
      <c r="N224" s="3"/>
      <c r="O224" s="3"/>
      <c r="P224" s="3"/>
      <c r="Q224" s="3"/>
      <c r="R224" s="3"/>
      <c r="S224" s="3"/>
      <c r="T224" s="3"/>
      <c r="U224" s="4"/>
      <c r="V224" s="4"/>
      <c r="W224" s="4"/>
      <c r="X224" s="4"/>
      <c r="Y224" s="4"/>
    </row>
    <row r="225" ht="15.75" customHeight="1">
      <c r="A225" s="18"/>
      <c r="B225" s="18"/>
      <c r="C225" s="3"/>
      <c r="D225" s="3"/>
      <c r="E225" s="3"/>
      <c r="F225" s="3"/>
      <c r="G225" s="3"/>
      <c r="H225" s="3"/>
      <c r="I225" s="3"/>
      <c r="J225" s="3"/>
      <c r="K225" s="3"/>
      <c r="L225" s="3"/>
      <c r="M225" s="3"/>
      <c r="N225" s="3"/>
      <c r="O225" s="3"/>
      <c r="P225" s="3"/>
      <c r="Q225" s="3"/>
      <c r="R225" s="3"/>
      <c r="S225" s="3"/>
      <c r="T225" s="3"/>
      <c r="U225" s="4"/>
      <c r="V225" s="4"/>
      <c r="W225" s="4"/>
      <c r="X225" s="4"/>
      <c r="Y225" s="4"/>
    </row>
    <row r="226" ht="15.75" customHeight="1">
      <c r="A226" s="18"/>
      <c r="B226" s="18"/>
      <c r="C226" s="3"/>
      <c r="D226" s="3"/>
      <c r="E226" s="3"/>
      <c r="F226" s="3"/>
      <c r="G226" s="3"/>
      <c r="H226" s="3"/>
      <c r="I226" s="3"/>
      <c r="J226" s="3"/>
      <c r="K226" s="3"/>
      <c r="L226" s="3"/>
      <c r="M226" s="3"/>
      <c r="N226" s="3"/>
      <c r="O226" s="3"/>
      <c r="P226" s="3"/>
      <c r="Q226" s="3"/>
      <c r="R226" s="3"/>
      <c r="S226" s="3"/>
      <c r="T226" s="3"/>
      <c r="U226" s="4"/>
      <c r="V226" s="4"/>
      <c r="W226" s="4"/>
      <c r="X226" s="4"/>
      <c r="Y226" s="4"/>
    </row>
    <row r="227" ht="15.75" customHeight="1">
      <c r="A227" s="18"/>
      <c r="B227" s="18"/>
      <c r="C227" s="3"/>
      <c r="D227" s="3"/>
      <c r="E227" s="3"/>
      <c r="F227" s="3"/>
      <c r="G227" s="3"/>
      <c r="H227" s="3"/>
      <c r="I227" s="3"/>
      <c r="J227" s="3"/>
      <c r="K227" s="3"/>
      <c r="L227" s="3"/>
      <c r="M227" s="3"/>
      <c r="N227" s="3"/>
      <c r="O227" s="3"/>
      <c r="P227" s="3"/>
      <c r="Q227" s="3"/>
      <c r="R227" s="3"/>
      <c r="S227" s="3"/>
      <c r="T227" s="3"/>
      <c r="U227" s="4"/>
      <c r="V227" s="4"/>
      <c r="W227" s="4"/>
      <c r="X227" s="4"/>
      <c r="Y227" s="4"/>
    </row>
    <row r="228" ht="15.75" customHeight="1">
      <c r="A228" s="4"/>
      <c r="B228" s="19"/>
      <c r="C228" s="4"/>
      <c r="D228" s="4"/>
      <c r="E228" s="4"/>
      <c r="F228" s="4"/>
      <c r="G228" s="4"/>
      <c r="H228" s="4"/>
      <c r="I228" s="4"/>
      <c r="J228" s="4"/>
      <c r="K228" s="4"/>
      <c r="L228" s="4"/>
      <c r="M228" s="4"/>
      <c r="N228" s="4"/>
      <c r="O228" s="4"/>
      <c r="P228" s="4"/>
      <c r="Q228" s="4"/>
      <c r="R228" s="4"/>
      <c r="S228" s="4"/>
      <c r="T228" s="4"/>
      <c r="U228" s="4"/>
      <c r="V228" s="4"/>
      <c r="W228" s="4"/>
      <c r="X228" s="4"/>
      <c r="Y228" s="4"/>
    </row>
    <row r="229" ht="15.75" customHeight="1">
      <c r="A229" s="4"/>
      <c r="B229" s="19"/>
      <c r="C229" s="4"/>
      <c r="D229" s="4"/>
      <c r="E229" s="4"/>
      <c r="F229" s="4"/>
      <c r="G229" s="4"/>
      <c r="H229" s="4"/>
      <c r="I229" s="4"/>
      <c r="J229" s="4"/>
      <c r="K229" s="4"/>
      <c r="L229" s="4"/>
      <c r="M229" s="4"/>
      <c r="N229" s="4"/>
      <c r="O229" s="4"/>
      <c r="P229" s="4"/>
      <c r="Q229" s="4"/>
      <c r="R229" s="4"/>
      <c r="S229" s="4"/>
      <c r="T229" s="4"/>
      <c r="U229" s="4"/>
      <c r="V229" s="4"/>
      <c r="W229" s="4"/>
      <c r="X229" s="4"/>
      <c r="Y229" s="4"/>
    </row>
    <row r="230" ht="15.75" customHeight="1">
      <c r="A230" s="4"/>
      <c r="B230" s="19"/>
      <c r="C230" s="4"/>
      <c r="D230" s="4"/>
      <c r="E230" s="4"/>
      <c r="F230" s="4"/>
      <c r="G230" s="4"/>
      <c r="H230" s="4"/>
      <c r="I230" s="4"/>
      <c r="J230" s="4"/>
      <c r="K230" s="4"/>
      <c r="L230" s="4"/>
      <c r="M230" s="4"/>
      <c r="N230" s="4"/>
      <c r="O230" s="4"/>
      <c r="P230" s="4"/>
      <c r="Q230" s="4"/>
      <c r="R230" s="4"/>
      <c r="S230" s="4"/>
      <c r="T230" s="4"/>
      <c r="U230" s="4"/>
      <c r="V230" s="4"/>
      <c r="W230" s="4"/>
      <c r="X230" s="4"/>
      <c r="Y230" s="4"/>
    </row>
    <row r="231" ht="15.75" customHeight="1">
      <c r="A231" s="4"/>
      <c r="B231" s="19"/>
      <c r="C231" s="4"/>
      <c r="D231" s="4"/>
      <c r="E231" s="4"/>
      <c r="F231" s="4"/>
      <c r="G231" s="4"/>
      <c r="H231" s="4"/>
      <c r="I231" s="4"/>
      <c r="J231" s="4"/>
      <c r="K231" s="4"/>
      <c r="L231" s="4"/>
      <c r="M231" s="4"/>
      <c r="N231" s="4"/>
      <c r="O231" s="4"/>
      <c r="P231" s="4"/>
      <c r="Q231" s="4"/>
      <c r="R231" s="4"/>
      <c r="S231" s="4"/>
      <c r="T231" s="4"/>
      <c r="U231" s="4"/>
      <c r="V231" s="4"/>
      <c r="W231" s="4"/>
      <c r="X231" s="4"/>
      <c r="Y231" s="4"/>
    </row>
    <row r="232" ht="15.75" customHeight="1">
      <c r="A232" s="4"/>
      <c r="B232" s="19"/>
      <c r="C232" s="4"/>
      <c r="D232" s="4"/>
      <c r="E232" s="4"/>
      <c r="F232" s="4"/>
      <c r="G232" s="4"/>
      <c r="H232" s="4"/>
      <c r="I232" s="4"/>
      <c r="J232" s="4"/>
      <c r="K232" s="4"/>
      <c r="L232" s="4"/>
      <c r="M232" s="4"/>
      <c r="N232" s="4"/>
      <c r="O232" s="4"/>
      <c r="P232" s="4"/>
      <c r="Q232" s="4"/>
      <c r="R232" s="4"/>
      <c r="S232" s="4"/>
      <c r="T232" s="4"/>
      <c r="U232" s="4"/>
      <c r="V232" s="4"/>
      <c r="W232" s="4"/>
      <c r="X232" s="4"/>
      <c r="Y232" s="4"/>
    </row>
    <row r="233" ht="15.75" customHeight="1">
      <c r="A233" s="4"/>
      <c r="B233" s="19"/>
      <c r="C233" s="4"/>
      <c r="D233" s="4"/>
      <c r="E233" s="4"/>
      <c r="F233" s="4"/>
      <c r="G233" s="4"/>
      <c r="H233" s="4"/>
      <c r="I233" s="4"/>
      <c r="J233" s="4"/>
      <c r="K233" s="4"/>
      <c r="L233" s="4"/>
      <c r="M233" s="4"/>
      <c r="N233" s="4"/>
      <c r="O233" s="4"/>
      <c r="P233" s="4"/>
      <c r="Q233" s="4"/>
      <c r="R233" s="4"/>
      <c r="S233" s="4"/>
      <c r="T233" s="4"/>
      <c r="U233" s="4"/>
      <c r="V233" s="4"/>
      <c r="W233" s="4"/>
      <c r="X233" s="4"/>
      <c r="Y233" s="4"/>
    </row>
    <row r="234" ht="15.75" customHeight="1">
      <c r="A234" s="4"/>
      <c r="B234" s="19"/>
      <c r="C234" s="4"/>
      <c r="D234" s="4"/>
      <c r="E234" s="4"/>
      <c r="F234" s="4"/>
      <c r="G234" s="4"/>
      <c r="H234" s="4"/>
      <c r="I234" s="4"/>
      <c r="J234" s="4"/>
      <c r="K234" s="4"/>
      <c r="L234" s="4"/>
      <c r="M234" s="4"/>
      <c r="N234" s="4"/>
      <c r="O234" s="4"/>
      <c r="P234" s="4"/>
      <c r="Q234" s="4"/>
      <c r="R234" s="4"/>
      <c r="S234" s="4"/>
      <c r="T234" s="4"/>
      <c r="U234" s="4"/>
      <c r="V234" s="4"/>
      <c r="W234" s="4"/>
      <c r="X234" s="4"/>
      <c r="Y234" s="4"/>
    </row>
    <row r="235" ht="15.75" customHeight="1">
      <c r="A235" s="4"/>
      <c r="B235" s="19"/>
      <c r="C235" s="4"/>
      <c r="D235" s="4"/>
      <c r="E235" s="4"/>
      <c r="F235" s="4"/>
      <c r="G235" s="4"/>
      <c r="H235" s="4"/>
      <c r="I235" s="4"/>
      <c r="J235" s="4"/>
      <c r="K235" s="4"/>
      <c r="L235" s="4"/>
      <c r="M235" s="4"/>
      <c r="N235" s="4"/>
      <c r="O235" s="4"/>
      <c r="P235" s="4"/>
      <c r="Q235" s="4"/>
      <c r="R235" s="4"/>
      <c r="S235" s="4"/>
      <c r="T235" s="4"/>
      <c r="U235" s="4"/>
      <c r="V235" s="4"/>
      <c r="W235" s="4"/>
      <c r="X235" s="4"/>
      <c r="Y235" s="4"/>
    </row>
    <row r="236" ht="15.75" customHeight="1">
      <c r="A236" s="4"/>
      <c r="B236" s="19"/>
      <c r="C236" s="4"/>
      <c r="D236" s="4"/>
      <c r="E236" s="4"/>
      <c r="F236" s="4"/>
      <c r="G236" s="4"/>
      <c r="H236" s="4"/>
      <c r="I236" s="4"/>
      <c r="J236" s="4"/>
      <c r="K236" s="4"/>
      <c r="L236" s="4"/>
      <c r="M236" s="4"/>
      <c r="N236" s="4"/>
      <c r="O236" s="4"/>
      <c r="P236" s="4"/>
      <c r="Q236" s="4"/>
      <c r="R236" s="4"/>
      <c r="S236" s="4"/>
      <c r="T236" s="4"/>
      <c r="U236" s="4"/>
      <c r="V236" s="4"/>
      <c r="W236" s="4"/>
      <c r="X236" s="4"/>
      <c r="Y236" s="4"/>
    </row>
    <row r="237" ht="15.75" customHeight="1">
      <c r="A237" s="4"/>
      <c r="B237" s="19"/>
      <c r="C237" s="4"/>
      <c r="D237" s="4"/>
      <c r="E237" s="4"/>
      <c r="F237" s="4"/>
      <c r="G237" s="4"/>
      <c r="H237" s="4"/>
      <c r="I237" s="4"/>
      <c r="J237" s="4"/>
      <c r="K237" s="4"/>
      <c r="L237" s="4"/>
      <c r="M237" s="4"/>
      <c r="N237" s="4"/>
      <c r="O237" s="4"/>
      <c r="P237" s="4"/>
      <c r="Q237" s="4"/>
      <c r="R237" s="4"/>
      <c r="S237" s="4"/>
      <c r="T237" s="4"/>
      <c r="U237" s="4"/>
      <c r="V237" s="4"/>
      <c r="W237" s="4"/>
      <c r="X237" s="4"/>
      <c r="Y237" s="4"/>
    </row>
    <row r="238" ht="15.75" customHeight="1">
      <c r="A238" s="4"/>
      <c r="B238" s="19"/>
      <c r="C238" s="4"/>
      <c r="D238" s="4"/>
      <c r="E238" s="4"/>
      <c r="F238" s="4"/>
      <c r="G238" s="4"/>
      <c r="H238" s="4"/>
      <c r="I238" s="4"/>
      <c r="J238" s="4"/>
      <c r="K238" s="4"/>
      <c r="L238" s="4"/>
      <c r="M238" s="4"/>
      <c r="N238" s="4"/>
      <c r="O238" s="4"/>
      <c r="P238" s="4"/>
      <c r="Q238" s="4"/>
      <c r="R238" s="4"/>
      <c r="S238" s="4"/>
      <c r="T238" s="4"/>
      <c r="U238" s="4"/>
      <c r="V238" s="4"/>
      <c r="W238" s="4"/>
      <c r="X238" s="4"/>
      <c r="Y238" s="4"/>
    </row>
    <row r="239" ht="15.75" customHeight="1">
      <c r="A239" s="4"/>
      <c r="B239" s="19"/>
      <c r="C239" s="4"/>
      <c r="D239" s="4"/>
      <c r="E239" s="4"/>
      <c r="F239" s="4"/>
      <c r="G239" s="4"/>
      <c r="H239" s="4"/>
      <c r="I239" s="4"/>
      <c r="J239" s="4"/>
      <c r="K239" s="4"/>
      <c r="L239" s="4"/>
      <c r="M239" s="4"/>
      <c r="N239" s="4"/>
      <c r="O239" s="4"/>
      <c r="P239" s="4"/>
      <c r="Q239" s="4"/>
      <c r="R239" s="4"/>
      <c r="S239" s="4"/>
      <c r="T239" s="4"/>
      <c r="U239" s="4"/>
      <c r="V239" s="4"/>
      <c r="W239" s="4"/>
      <c r="X239" s="4"/>
      <c r="Y239" s="4"/>
    </row>
    <row r="240" ht="15.75" customHeight="1">
      <c r="A240" s="4"/>
      <c r="B240" s="19"/>
      <c r="C240" s="4"/>
      <c r="D240" s="4"/>
      <c r="E240" s="4"/>
      <c r="F240" s="4"/>
      <c r="G240" s="4"/>
      <c r="H240" s="4"/>
      <c r="I240" s="4"/>
      <c r="J240" s="4"/>
      <c r="K240" s="4"/>
      <c r="L240" s="4"/>
      <c r="M240" s="4"/>
      <c r="N240" s="4"/>
      <c r="O240" s="4"/>
      <c r="P240" s="4"/>
      <c r="Q240" s="4"/>
      <c r="R240" s="4"/>
      <c r="S240" s="4"/>
      <c r="T240" s="4"/>
      <c r="U240" s="4"/>
      <c r="V240" s="4"/>
      <c r="W240" s="4"/>
      <c r="X240" s="4"/>
      <c r="Y240" s="4"/>
    </row>
    <row r="241" ht="15.75" customHeight="1">
      <c r="A241" s="4"/>
      <c r="B241" s="19"/>
      <c r="C241" s="4"/>
      <c r="D241" s="4"/>
      <c r="E241" s="4"/>
      <c r="F241" s="4"/>
      <c r="G241" s="4"/>
      <c r="H241" s="4"/>
      <c r="I241" s="4"/>
      <c r="J241" s="4"/>
      <c r="K241" s="4"/>
      <c r="L241" s="4"/>
      <c r="M241" s="4"/>
      <c r="N241" s="4"/>
      <c r="O241" s="4"/>
      <c r="P241" s="4"/>
      <c r="Q241" s="4"/>
      <c r="R241" s="4"/>
      <c r="S241" s="4"/>
      <c r="T241" s="4"/>
      <c r="U241" s="4"/>
      <c r="V241" s="4"/>
      <c r="W241" s="4"/>
      <c r="X241" s="4"/>
      <c r="Y241" s="4"/>
    </row>
    <row r="242" ht="15.75" customHeight="1">
      <c r="A242" s="4"/>
      <c r="B242" s="19"/>
      <c r="C242" s="4"/>
      <c r="D242" s="4"/>
      <c r="E242" s="4"/>
      <c r="F242" s="4"/>
      <c r="G242" s="4"/>
      <c r="H242" s="4"/>
      <c r="I242" s="4"/>
      <c r="J242" s="4"/>
      <c r="K242" s="4"/>
      <c r="L242" s="4"/>
      <c r="M242" s="4"/>
      <c r="N242" s="4"/>
      <c r="O242" s="4"/>
      <c r="P242" s="4"/>
      <c r="Q242" s="4"/>
      <c r="R242" s="4"/>
      <c r="S242" s="4"/>
      <c r="T242" s="4"/>
      <c r="U242" s="4"/>
      <c r="V242" s="4"/>
      <c r="W242" s="4"/>
      <c r="X242" s="4"/>
      <c r="Y242" s="4"/>
    </row>
    <row r="243" ht="15.75" customHeight="1">
      <c r="A243" s="4"/>
      <c r="B243" s="19"/>
      <c r="C243" s="4"/>
      <c r="D243" s="4"/>
      <c r="E243" s="4"/>
      <c r="F243" s="4"/>
      <c r="G243" s="4"/>
      <c r="H243" s="4"/>
      <c r="I243" s="4"/>
      <c r="J243" s="4"/>
      <c r="K243" s="4"/>
      <c r="L243" s="4"/>
      <c r="M243" s="4"/>
      <c r="N243" s="4"/>
      <c r="O243" s="4"/>
      <c r="P243" s="4"/>
      <c r="Q243" s="4"/>
      <c r="R243" s="4"/>
      <c r="S243" s="4"/>
      <c r="T243" s="4"/>
      <c r="U243" s="4"/>
      <c r="V243" s="4"/>
      <c r="W243" s="4"/>
      <c r="X243" s="4"/>
      <c r="Y243" s="4"/>
    </row>
    <row r="244" ht="15.75" customHeight="1">
      <c r="A244" s="4"/>
      <c r="B244" s="19"/>
      <c r="C244" s="4"/>
      <c r="D244" s="4"/>
      <c r="E244" s="4"/>
      <c r="F244" s="4"/>
      <c r="G244" s="4"/>
      <c r="H244" s="4"/>
      <c r="I244" s="4"/>
      <c r="J244" s="4"/>
      <c r="K244" s="4"/>
      <c r="L244" s="4"/>
      <c r="M244" s="4"/>
      <c r="N244" s="4"/>
      <c r="O244" s="4"/>
      <c r="P244" s="4"/>
      <c r="Q244" s="4"/>
      <c r="R244" s="4"/>
      <c r="S244" s="4"/>
      <c r="T244" s="4"/>
      <c r="U244" s="4"/>
      <c r="V244" s="4"/>
      <c r="W244" s="4"/>
      <c r="X244" s="4"/>
      <c r="Y244" s="4"/>
    </row>
    <row r="245" ht="15.75" customHeight="1">
      <c r="A245" s="4"/>
      <c r="B245" s="19"/>
      <c r="C245" s="4"/>
      <c r="D245" s="4"/>
      <c r="E245" s="4"/>
      <c r="F245" s="4"/>
      <c r="G245" s="4"/>
      <c r="H245" s="4"/>
      <c r="I245" s="4"/>
      <c r="J245" s="4"/>
      <c r="K245" s="4"/>
      <c r="L245" s="4"/>
      <c r="M245" s="4"/>
      <c r="N245" s="4"/>
      <c r="O245" s="4"/>
      <c r="P245" s="4"/>
      <c r="Q245" s="4"/>
      <c r="R245" s="4"/>
      <c r="S245" s="4"/>
      <c r="T245" s="4"/>
      <c r="U245" s="4"/>
      <c r="V245" s="4"/>
      <c r="W245" s="4"/>
      <c r="X245" s="4"/>
      <c r="Y245" s="4"/>
    </row>
    <row r="246" ht="15.75" customHeight="1">
      <c r="A246" s="4"/>
      <c r="B246" s="19"/>
      <c r="C246" s="4"/>
      <c r="D246" s="4"/>
      <c r="E246" s="4"/>
      <c r="F246" s="4"/>
      <c r="G246" s="4"/>
      <c r="H246" s="4"/>
      <c r="I246" s="4"/>
      <c r="J246" s="4"/>
      <c r="K246" s="4"/>
      <c r="L246" s="4"/>
      <c r="M246" s="4"/>
      <c r="N246" s="4"/>
      <c r="O246" s="4"/>
      <c r="P246" s="4"/>
      <c r="Q246" s="4"/>
      <c r="R246" s="4"/>
      <c r="S246" s="4"/>
      <c r="T246" s="4"/>
      <c r="U246" s="4"/>
      <c r="V246" s="4"/>
      <c r="W246" s="4"/>
      <c r="X246" s="4"/>
      <c r="Y246" s="4"/>
    </row>
    <row r="247" ht="15.75" customHeight="1">
      <c r="A247" s="4"/>
      <c r="B247" s="19"/>
      <c r="C247" s="4"/>
      <c r="D247" s="4"/>
      <c r="E247" s="4"/>
      <c r="F247" s="4"/>
      <c r="G247" s="4"/>
      <c r="H247" s="4"/>
      <c r="I247" s="4"/>
      <c r="J247" s="4"/>
      <c r="K247" s="4"/>
      <c r="L247" s="4"/>
      <c r="M247" s="4"/>
      <c r="N247" s="4"/>
      <c r="O247" s="4"/>
      <c r="P247" s="4"/>
      <c r="Q247" s="4"/>
      <c r="R247" s="4"/>
      <c r="S247" s="4"/>
      <c r="T247" s="4"/>
      <c r="U247" s="4"/>
      <c r="V247" s="4"/>
      <c r="W247" s="4"/>
      <c r="X247" s="4"/>
      <c r="Y247" s="4"/>
    </row>
    <row r="248" ht="15.75" customHeight="1">
      <c r="A248" s="4"/>
      <c r="B248" s="19"/>
      <c r="C248" s="4"/>
      <c r="D248" s="4"/>
      <c r="E248" s="4"/>
      <c r="F248" s="4"/>
      <c r="G248" s="4"/>
      <c r="H248" s="4"/>
      <c r="I248" s="4"/>
      <c r="J248" s="4"/>
      <c r="K248" s="4"/>
      <c r="L248" s="4"/>
      <c r="M248" s="4"/>
      <c r="N248" s="4"/>
      <c r="O248" s="4"/>
      <c r="P248" s="4"/>
      <c r="Q248" s="4"/>
      <c r="R248" s="4"/>
      <c r="S248" s="4"/>
      <c r="T248" s="4"/>
      <c r="U248" s="4"/>
      <c r="V248" s="4"/>
      <c r="W248" s="4"/>
      <c r="X248" s="4"/>
      <c r="Y248" s="4"/>
    </row>
    <row r="249" ht="15.75" customHeight="1">
      <c r="A249" s="4"/>
      <c r="B249" s="19"/>
      <c r="C249" s="4"/>
      <c r="D249" s="4"/>
      <c r="E249" s="4"/>
      <c r="F249" s="4"/>
      <c r="G249" s="4"/>
      <c r="H249" s="4"/>
      <c r="I249" s="4"/>
      <c r="J249" s="4"/>
      <c r="K249" s="4"/>
      <c r="L249" s="4"/>
      <c r="M249" s="4"/>
      <c r="N249" s="4"/>
      <c r="O249" s="4"/>
      <c r="P249" s="4"/>
      <c r="Q249" s="4"/>
      <c r="R249" s="4"/>
      <c r="S249" s="4"/>
      <c r="T249" s="4"/>
      <c r="U249" s="4"/>
      <c r="V249" s="4"/>
      <c r="W249" s="4"/>
      <c r="X249" s="4"/>
      <c r="Y249" s="4"/>
    </row>
    <row r="250" ht="15.75" customHeight="1">
      <c r="A250" s="4"/>
      <c r="B250" s="19"/>
      <c r="C250" s="4"/>
      <c r="D250" s="4"/>
      <c r="E250" s="4"/>
      <c r="F250" s="4"/>
      <c r="G250" s="4"/>
      <c r="H250" s="4"/>
      <c r="I250" s="4"/>
      <c r="J250" s="4"/>
      <c r="K250" s="4"/>
      <c r="L250" s="4"/>
      <c r="M250" s="4"/>
      <c r="N250" s="4"/>
      <c r="O250" s="4"/>
      <c r="P250" s="4"/>
      <c r="Q250" s="4"/>
      <c r="R250" s="4"/>
      <c r="S250" s="4"/>
      <c r="T250" s="4"/>
      <c r="U250" s="4"/>
      <c r="V250" s="4"/>
      <c r="W250" s="4"/>
      <c r="X250" s="4"/>
      <c r="Y250" s="4"/>
    </row>
    <row r="251" ht="15.75" customHeight="1">
      <c r="A251" s="4"/>
      <c r="B251" s="19"/>
      <c r="C251" s="4"/>
      <c r="D251" s="4"/>
      <c r="E251" s="4"/>
      <c r="F251" s="4"/>
      <c r="G251" s="4"/>
      <c r="H251" s="4"/>
      <c r="I251" s="4"/>
      <c r="J251" s="4"/>
      <c r="K251" s="4"/>
      <c r="L251" s="4"/>
      <c r="M251" s="4"/>
      <c r="N251" s="4"/>
      <c r="O251" s="4"/>
      <c r="P251" s="4"/>
      <c r="Q251" s="4"/>
      <c r="R251" s="4"/>
      <c r="S251" s="4"/>
      <c r="T251" s="4"/>
      <c r="U251" s="4"/>
      <c r="V251" s="4"/>
      <c r="W251" s="4"/>
      <c r="X251" s="4"/>
      <c r="Y251" s="4"/>
    </row>
    <row r="252" ht="15.75" customHeight="1">
      <c r="A252" s="4"/>
      <c r="B252" s="19"/>
      <c r="C252" s="4"/>
      <c r="D252" s="4"/>
      <c r="E252" s="4"/>
      <c r="F252" s="4"/>
      <c r="G252" s="4"/>
      <c r="H252" s="4"/>
      <c r="I252" s="4"/>
      <c r="J252" s="4"/>
      <c r="K252" s="4"/>
      <c r="L252" s="4"/>
      <c r="M252" s="4"/>
      <c r="N252" s="4"/>
      <c r="O252" s="4"/>
      <c r="P252" s="4"/>
      <c r="Q252" s="4"/>
      <c r="R252" s="4"/>
      <c r="S252" s="4"/>
      <c r="T252" s="4"/>
      <c r="U252" s="4"/>
      <c r="V252" s="4"/>
      <c r="W252" s="4"/>
      <c r="X252" s="4"/>
      <c r="Y252" s="4"/>
    </row>
    <row r="253" ht="15.75" customHeight="1">
      <c r="A253" s="4"/>
      <c r="B253" s="19"/>
      <c r="C253" s="4"/>
      <c r="D253" s="4"/>
      <c r="E253" s="4"/>
      <c r="F253" s="4"/>
      <c r="G253" s="4"/>
      <c r="H253" s="4"/>
      <c r="I253" s="4"/>
      <c r="J253" s="4"/>
      <c r="K253" s="4"/>
      <c r="L253" s="4"/>
      <c r="M253" s="4"/>
      <c r="N253" s="4"/>
      <c r="O253" s="4"/>
      <c r="P253" s="4"/>
      <c r="Q253" s="4"/>
      <c r="R253" s="4"/>
      <c r="S253" s="4"/>
      <c r="T253" s="4"/>
      <c r="U253" s="4"/>
      <c r="V253" s="4"/>
      <c r="W253" s="4"/>
      <c r="X253" s="4"/>
      <c r="Y253" s="4"/>
    </row>
    <row r="254" ht="15.75" customHeight="1">
      <c r="A254" s="4"/>
      <c r="B254" s="19"/>
      <c r="C254" s="4"/>
      <c r="D254" s="4"/>
      <c r="E254" s="4"/>
      <c r="F254" s="4"/>
      <c r="G254" s="4"/>
      <c r="H254" s="4"/>
      <c r="I254" s="4"/>
      <c r="J254" s="4"/>
      <c r="K254" s="4"/>
      <c r="L254" s="4"/>
      <c r="M254" s="4"/>
      <c r="N254" s="4"/>
      <c r="O254" s="4"/>
      <c r="P254" s="4"/>
      <c r="Q254" s="4"/>
      <c r="R254" s="4"/>
      <c r="S254" s="4"/>
      <c r="T254" s="4"/>
      <c r="U254" s="4"/>
      <c r="V254" s="4"/>
      <c r="W254" s="4"/>
      <c r="X254" s="4"/>
      <c r="Y254" s="4"/>
    </row>
    <row r="255" ht="15.75" customHeight="1">
      <c r="A255" s="4"/>
      <c r="B255" s="19"/>
      <c r="C255" s="4"/>
      <c r="D255" s="4"/>
      <c r="E255" s="4"/>
      <c r="F255" s="4"/>
      <c r="G255" s="4"/>
      <c r="H255" s="4"/>
      <c r="I255" s="4"/>
      <c r="J255" s="4"/>
      <c r="K255" s="4"/>
      <c r="L255" s="4"/>
      <c r="M255" s="4"/>
      <c r="N255" s="4"/>
      <c r="O255" s="4"/>
      <c r="P255" s="4"/>
      <c r="Q255" s="4"/>
      <c r="R255" s="4"/>
      <c r="S255" s="4"/>
      <c r="T255" s="4"/>
      <c r="U255" s="4"/>
      <c r="V255" s="4"/>
      <c r="W255" s="4"/>
      <c r="X255" s="4"/>
      <c r="Y255" s="4"/>
    </row>
    <row r="256" ht="15.75" customHeight="1">
      <c r="A256" s="4"/>
      <c r="B256" s="19"/>
      <c r="C256" s="4"/>
      <c r="D256" s="4"/>
      <c r="E256" s="4"/>
      <c r="F256" s="4"/>
      <c r="G256" s="4"/>
      <c r="H256" s="4"/>
      <c r="I256" s="4"/>
      <c r="J256" s="4"/>
      <c r="K256" s="4"/>
      <c r="L256" s="4"/>
      <c r="M256" s="4"/>
      <c r="N256" s="4"/>
      <c r="O256" s="4"/>
      <c r="P256" s="4"/>
      <c r="Q256" s="4"/>
      <c r="R256" s="4"/>
      <c r="S256" s="4"/>
      <c r="T256" s="4"/>
      <c r="U256" s="4"/>
      <c r="V256" s="4"/>
      <c r="W256" s="4"/>
      <c r="X256" s="4"/>
      <c r="Y256" s="4"/>
    </row>
    <row r="257" ht="15.75" customHeight="1">
      <c r="A257" s="4"/>
      <c r="B257" s="19"/>
      <c r="C257" s="4"/>
      <c r="D257" s="4"/>
      <c r="E257" s="4"/>
      <c r="F257" s="4"/>
      <c r="G257" s="4"/>
      <c r="H257" s="4"/>
      <c r="I257" s="4"/>
      <c r="J257" s="4"/>
      <c r="K257" s="4"/>
      <c r="L257" s="4"/>
      <c r="M257" s="4"/>
      <c r="N257" s="4"/>
      <c r="O257" s="4"/>
      <c r="P257" s="4"/>
      <c r="Q257" s="4"/>
      <c r="R257" s="4"/>
      <c r="S257" s="4"/>
      <c r="T257" s="4"/>
      <c r="U257" s="4"/>
      <c r="V257" s="4"/>
      <c r="W257" s="4"/>
      <c r="X257" s="4"/>
      <c r="Y257" s="4"/>
    </row>
    <row r="258" ht="15.75" customHeight="1">
      <c r="A258" s="4"/>
      <c r="B258" s="19"/>
      <c r="C258" s="4"/>
      <c r="D258" s="4"/>
      <c r="E258" s="4"/>
      <c r="F258" s="4"/>
      <c r="G258" s="4"/>
      <c r="H258" s="4"/>
      <c r="I258" s="4"/>
      <c r="J258" s="4"/>
      <c r="K258" s="4"/>
      <c r="L258" s="4"/>
      <c r="M258" s="4"/>
      <c r="N258" s="4"/>
      <c r="O258" s="4"/>
      <c r="P258" s="4"/>
      <c r="Q258" s="4"/>
      <c r="R258" s="4"/>
      <c r="S258" s="4"/>
      <c r="T258" s="4"/>
      <c r="U258" s="4"/>
      <c r="V258" s="4"/>
      <c r="W258" s="4"/>
      <c r="X258" s="4"/>
      <c r="Y258" s="4"/>
    </row>
    <row r="259" ht="15.75" customHeight="1">
      <c r="A259" s="4"/>
      <c r="B259" s="19"/>
      <c r="C259" s="4"/>
      <c r="D259" s="4"/>
      <c r="E259" s="4"/>
      <c r="F259" s="4"/>
      <c r="G259" s="4"/>
      <c r="H259" s="4"/>
      <c r="I259" s="4"/>
      <c r="J259" s="4"/>
      <c r="K259" s="4"/>
      <c r="L259" s="4"/>
      <c r="M259" s="4"/>
      <c r="N259" s="4"/>
      <c r="O259" s="4"/>
      <c r="P259" s="4"/>
      <c r="Q259" s="4"/>
      <c r="R259" s="4"/>
      <c r="S259" s="4"/>
      <c r="T259" s="4"/>
      <c r="U259" s="4"/>
      <c r="V259" s="4"/>
      <c r="W259" s="4"/>
      <c r="X259" s="4"/>
      <c r="Y259" s="4"/>
    </row>
    <row r="260" ht="15.75" customHeight="1">
      <c r="A260" s="4"/>
      <c r="B260" s="19"/>
      <c r="C260" s="4"/>
      <c r="D260" s="4"/>
      <c r="E260" s="4"/>
      <c r="F260" s="4"/>
      <c r="G260" s="4"/>
      <c r="H260" s="4"/>
      <c r="I260" s="4"/>
      <c r="J260" s="4"/>
      <c r="K260" s="4"/>
      <c r="L260" s="4"/>
      <c r="M260" s="4"/>
      <c r="N260" s="4"/>
      <c r="O260" s="4"/>
      <c r="P260" s="4"/>
      <c r="Q260" s="4"/>
      <c r="R260" s="4"/>
      <c r="S260" s="4"/>
      <c r="T260" s="4"/>
      <c r="U260" s="4"/>
      <c r="V260" s="4"/>
      <c r="W260" s="4"/>
      <c r="X260" s="4"/>
      <c r="Y260" s="4"/>
    </row>
    <row r="261" ht="15.75" customHeight="1">
      <c r="A261" s="4"/>
      <c r="B261" s="19"/>
      <c r="C261" s="4"/>
      <c r="D261" s="4"/>
      <c r="E261" s="4"/>
      <c r="F261" s="4"/>
      <c r="G261" s="4"/>
      <c r="H261" s="4"/>
      <c r="I261" s="4"/>
      <c r="J261" s="4"/>
      <c r="K261" s="4"/>
      <c r="L261" s="4"/>
      <c r="M261" s="4"/>
      <c r="N261" s="4"/>
      <c r="O261" s="4"/>
      <c r="P261" s="4"/>
      <c r="Q261" s="4"/>
      <c r="R261" s="4"/>
      <c r="S261" s="4"/>
      <c r="T261" s="4"/>
      <c r="U261" s="4"/>
      <c r="V261" s="4"/>
      <c r="W261" s="4"/>
      <c r="X261" s="4"/>
      <c r="Y261" s="4"/>
    </row>
    <row r="262" ht="15.75" customHeight="1">
      <c r="A262" s="4"/>
      <c r="B262" s="19"/>
      <c r="C262" s="4"/>
      <c r="D262" s="4"/>
      <c r="E262" s="4"/>
      <c r="F262" s="4"/>
      <c r="G262" s="4"/>
      <c r="H262" s="4"/>
      <c r="I262" s="4"/>
      <c r="J262" s="4"/>
      <c r="K262" s="4"/>
      <c r="L262" s="4"/>
      <c r="M262" s="4"/>
      <c r="N262" s="4"/>
      <c r="O262" s="4"/>
      <c r="P262" s="4"/>
      <c r="Q262" s="4"/>
      <c r="R262" s="4"/>
      <c r="S262" s="4"/>
      <c r="T262" s="4"/>
      <c r="U262" s="4"/>
      <c r="V262" s="4"/>
      <c r="W262" s="4"/>
      <c r="X262" s="4"/>
      <c r="Y262" s="4"/>
    </row>
    <row r="263" ht="15.75" customHeight="1">
      <c r="A263" s="4"/>
      <c r="B263" s="19"/>
      <c r="C263" s="4"/>
      <c r="D263" s="4"/>
      <c r="E263" s="4"/>
      <c r="F263" s="4"/>
      <c r="G263" s="4"/>
      <c r="H263" s="4"/>
      <c r="I263" s="4"/>
      <c r="J263" s="4"/>
      <c r="K263" s="4"/>
      <c r="L263" s="4"/>
      <c r="M263" s="4"/>
      <c r="N263" s="4"/>
      <c r="O263" s="4"/>
      <c r="P263" s="4"/>
      <c r="Q263" s="4"/>
      <c r="R263" s="4"/>
      <c r="S263" s="4"/>
      <c r="T263" s="4"/>
      <c r="U263" s="4"/>
      <c r="V263" s="4"/>
      <c r="W263" s="4"/>
      <c r="X263" s="4"/>
      <c r="Y263" s="4"/>
    </row>
    <row r="264" ht="15.75" customHeight="1">
      <c r="A264" s="4"/>
      <c r="B264" s="19"/>
      <c r="C264" s="4"/>
      <c r="D264" s="4"/>
      <c r="E264" s="4"/>
      <c r="F264" s="4"/>
      <c r="G264" s="4"/>
      <c r="H264" s="4"/>
      <c r="I264" s="4"/>
      <c r="J264" s="4"/>
      <c r="K264" s="4"/>
      <c r="L264" s="4"/>
      <c r="M264" s="4"/>
      <c r="N264" s="4"/>
      <c r="O264" s="4"/>
      <c r="P264" s="4"/>
      <c r="Q264" s="4"/>
      <c r="R264" s="4"/>
      <c r="S264" s="4"/>
      <c r="T264" s="4"/>
      <c r="U264" s="4"/>
      <c r="V264" s="4"/>
      <c r="W264" s="4"/>
      <c r="X264" s="4"/>
      <c r="Y264" s="4"/>
    </row>
    <row r="265" ht="15.75" customHeight="1">
      <c r="A265" s="4"/>
      <c r="B265" s="19"/>
      <c r="C265" s="4"/>
      <c r="D265" s="4"/>
      <c r="E265" s="4"/>
      <c r="F265" s="4"/>
      <c r="G265" s="4"/>
      <c r="H265" s="4"/>
      <c r="I265" s="4"/>
      <c r="J265" s="4"/>
      <c r="K265" s="4"/>
      <c r="L265" s="4"/>
      <c r="M265" s="4"/>
      <c r="N265" s="4"/>
      <c r="O265" s="4"/>
      <c r="P265" s="4"/>
      <c r="Q265" s="4"/>
      <c r="R265" s="4"/>
      <c r="S265" s="4"/>
      <c r="T265" s="4"/>
      <c r="U265" s="4"/>
      <c r="V265" s="4"/>
      <c r="W265" s="4"/>
      <c r="X265" s="4"/>
      <c r="Y265" s="4"/>
    </row>
    <row r="266" ht="15.75" customHeight="1">
      <c r="A266" s="4"/>
      <c r="B266" s="19"/>
      <c r="C266" s="4"/>
      <c r="D266" s="4"/>
      <c r="E266" s="4"/>
      <c r="F266" s="4"/>
      <c r="G266" s="4"/>
      <c r="H266" s="4"/>
      <c r="I266" s="4"/>
      <c r="J266" s="4"/>
      <c r="K266" s="4"/>
      <c r="L266" s="4"/>
      <c r="M266" s="4"/>
      <c r="N266" s="4"/>
      <c r="O266" s="4"/>
      <c r="P266" s="4"/>
      <c r="Q266" s="4"/>
      <c r="R266" s="4"/>
      <c r="S266" s="4"/>
      <c r="T266" s="4"/>
      <c r="U266" s="4"/>
      <c r="V266" s="4"/>
      <c r="W266" s="4"/>
      <c r="X266" s="4"/>
      <c r="Y266" s="4"/>
    </row>
    <row r="267" ht="15.75" customHeight="1">
      <c r="A267" s="4"/>
      <c r="B267" s="19"/>
      <c r="C267" s="4"/>
      <c r="D267" s="4"/>
      <c r="E267" s="4"/>
      <c r="F267" s="4"/>
      <c r="G267" s="4"/>
      <c r="H267" s="4"/>
      <c r="I267" s="4"/>
      <c r="J267" s="4"/>
      <c r="K267" s="4"/>
      <c r="L267" s="4"/>
      <c r="M267" s="4"/>
      <c r="N267" s="4"/>
      <c r="O267" s="4"/>
      <c r="P267" s="4"/>
      <c r="Q267" s="4"/>
      <c r="R267" s="4"/>
      <c r="S267" s="4"/>
      <c r="T267" s="4"/>
      <c r="U267" s="4"/>
      <c r="V267" s="4"/>
      <c r="W267" s="4"/>
      <c r="X267" s="4"/>
      <c r="Y267" s="4"/>
    </row>
    <row r="268" ht="15.75" customHeight="1">
      <c r="A268" s="4"/>
      <c r="B268" s="19"/>
      <c r="C268" s="4"/>
      <c r="D268" s="4"/>
      <c r="E268" s="4"/>
      <c r="F268" s="4"/>
      <c r="G268" s="4"/>
      <c r="H268" s="4"/>
      <c r="I268" s="4"/>
      <c r="J268" s="4"/>
      <c r="K268" s="4"/>
      <c r="L268" s="4"/>
      <c r="M268" s="4"/>
      <c r="N268" s="4"/>
      <c r="O268" s="4"/>
      <c r="P268" s="4"/>
      <c r="Q268" s="4"/>
      <c r="R268" s="4"/>
      <c r="S268" s="4"/>
      <c r="T268" s="4"/>
      <c r="U268" s="4"/>
      <c r="V268" s="4"/>
      <c r="W268" s="4"/>
      <c r="X268" s="4"/>
      <c r="Y268" s="4"/>
    </row>
    <row r="269" ht="15.75" customHeight="1">
      <c r="A269" s="4"/>
      <c r="B269" s="19"/>
      <c r="C269" s="4"/>
      <c r="D269" s="4"/>
      <c r="E269" s="4"/>
      <c r="F269" s="4"/>
      <c r="G269" s="4"/>
      <c r="H269" s="4"/>
      <c r="I269" s="4"/>
      <c r="J269" s="4"/>
      <c r="K269" s="4"/>
      <c r="L269" s="4"/>
      <c r="M269" s="4"/>
      <c r="N269" s="4"/>
      <c r="O269" s="4"/>
      <c r="P269" s="4"/>
      <c r="Q269" s="4"/>
      <c r="R269" s="4"/>
      <c r="S269" s="4"/>
      <c r="T269" s="4"/>
      <c r="U269" s="4"/>
      <c r="V269" s="4"/>
      <c r="W269" s="4"/>
      <c r="X269" s="4"/>
      <c r="Y269" s="4"/>
    </row>
    <row r="270" ht="15.75" customHeight="1">
      <c r="A270" s="4"/>
      <c r="B270" s="19"/>
      <c r="C270" s="4"/>
      <c r="D270" s="4"/>
      <c r="E270" s="4"/>
      <c r="F270" s="4"/>
      <c r="G270" s="4"/>
      <c r="H270" s="4"/>
      <c r="I270" s="4"/>
      <c r="J270" s="4"/>
      <c r="K270" s="4"/>
      <c r="L270" s="4"/>
      <c r="M270" s="4"/>
      <c r="N270" s="4"/>
      <c r="O270" s="4"/>
      <c r="P270" s="4"/>
      <c r="Q270" s="4"/>
      <c r="R270" s="4"/>
      <c r="S270" s="4"/>
      <c r="T270" s="4"/>
      <c r="U270" s="4"/>
      <c r="V270" s="4"/>
      <c r="W270" s="4"/>
      <c r="X270" s="4"/>
      <c r="Y270" s="4"/>
    </row>
    <row r="271" ht="15.75" customHeight="1">
      <c r="A271" s="4"/>
      <c r="B271" s="19"/>
      <c r="C271" s="4"/>
      <c r="D271" s="4"/>
      <c r="E271" s="4"/>
      <c r="F271" s="4"/>
      <c r="G271" s="4"/>
      <c r="H271" s="4"/>
      <c r="I271" s="4"/>
      <c r="J271" s="4"/>
      <c r="K271" s="4"/>
      <c r="L271" s="4"/>
      <c r="M271" s="4"/>
      <c r="N271" s="4"/>
      <c r="O271" s="4"/>
      <c r="P271" s="4"/>
      <c r="Q271" s="4"/>
      <c r="R271" s="4"/>
      <c r="S271" s="4"/>
      <c r="T271" s="4"/>
      <c r="U271" s="4"/>
      <c r="V271" s="4"/>
      <c r="W271" s="4"/>
      <c r="X271" s="4"/>
      <c r="Y271" s="4"/>
    </row>
    <row r="272" ht="15.75" customHeight="1">
      <c r="A272" s="4"/>
      <c r="B272" s="19"/>
      <c r="C272" s="4"/>
      <c r="D272" s="4"/>
      <c r="E272" s="4"/>
      <c r="F272" s="4"/>
      <c r="G272" s="4"/>
      <c r="H272" s="4"/>
      <c r="I272" s="4"/>
      <c r="J272" s="4"/>
      <c r="K272" s="4"/>
      <c r="L272" s="4"/>
      <c r="M272" s="4"/>
      <c r="N272" s="4"/>
      <c r="O272" s="4"/>
      <c r="P272" s="4"/>
      <c r="Q272" s="4"/>
      <c r="R272" s="4"/>
      <c r="S272" s="4"/>
      <c r="T272" s="4"/>
      <c r="U272" s="4"/>
      <c r="V272" s="4"/>
      <c r="W272" s="4"/>
      <c r="X272" s="4"/>
      <c r="Y272" s="4"/>
    </row>
    <row r="273" ht="15.75" customHeight="1">
      <c r="A273" s="4"/>
      <c r="B273" s="19"/>
      <c r="C273" s="4"/>
      <c r="D273" s="4"/>
      <c r="E273" s="4"/>
      <c r="F273" s="4"/>
      <c r="G273" s="4"/>
      <c r="H273" s="4"/>
      <c r="I273" s="4"/>
      <c r="J273" s="4"/>
      <c r="K273" s="4"/>
      <c r="L273" s="4"/>
      <c r="M273" s="4"/>
      <c r="N273" s="4"/>
      <c r="O273" s="4"/>
      <c r="P273" s="4"/>
      <c r="Q273" s="4"/>
      <c r="R273" s="4"/>
      <c r="S273" s="4"/>
      <c r="T273" s="4"/>
      <c r="U273" s="4"/>
      <c r="V273" s="4"/>
      <c r="W273" s="4"/>
      <c r="X273" s="4"/>
      <c r="Y273" s="4"/>
    </row>
    <row r="274" ht="15.75" customHeight="1">
      <c r="A274" s="4"/>
      <c r="B274" s="19"/>
      <c r="C274" s="4"/>
      <c r="D274" s="4"/>
      <c r="E274" s="4"/>
      <c r="F274" s="4"/>
      <c r="G274" s="4"/>
      <c r="H274" s="4"/>
      <c r="I274" s="4"/>
      <c r="J274" s="4"/>
      <c r="K274" s="4"/>
      <c r="L274" s="4"/>
      <c r="M274" s="4"/>
      <c r="N274" s="4"/>
      <c r="O274" s="4"/>
      <c r="P274" s="4"/>
      <c r="Q274" s="4"/>
      <c r="R274" s="4"/>
      <c r="S274" s="4"/>
      <c r="T274" s="4"/>
      <c r="U274" s="4"/>
      <c r="V274" s="4"/>
      <c r="W274" s="4"/>
      <c r="X274" s="4"/>
      <c r="Y274" s="4"/>
    </row>
    <row r="275" ht="15.75" customHeight="1">
      <c r="A275" s="4"/>
      <c r="B275" s="19"/>
      <c r="C275" s="4"/>
      <c r="D275" s="4"/>
      <c r="E275" s="4"/>
      <c r="F275" s="4"/>
      <c r="G275" s="4"/>
      <c r="H275" s="4"/>
      <c r="I275" s="4"/>
      <c r="J275" s="4"/>
      <c r="K275" s="4"/>
      <c r="L275" s="4"/>
      <c r="M275" s="4"/>
      <c r="N275" s="4"/>
      <c r="O275" s="4"/>
      <c r="P275" s="4"/>
      <c r="Q275" s="4"/>
      <c r="R275" s="4"/>
      <c r="S275" s="4"/>
      <c r="T275" s="4"/>
      <c r="U275" s="4"/>
      <c r="V275" s="4"/>
      <c r="W275" s="4"/>
      <c r="X275" s="4"/>
      <c r="Y275" s="4"/>
    </row>
    <row r="276" ht="15.75" customHeight="1">
      <c r="A276" s="4"/>
      <c r="B276" s="19"/>
      <c r="C276" s="4"/>
      <c r="D276" s="4"/>
      <c r="E276" s="4"/>
      <c r="F276" s="4"/>
      <c r="G276" s="4"/>
      <c r="H276" s="4"/>
      <c r="I276" s="4"/>
      <c r="J276" s="4"/>
      <c r="K276" s="4"/>
      <c r="L276" s="4"/>
      <c r="M276" s="4"/>
      <c r="N276" s="4"/>
      <c r="O276" s="4"/>
      <c r="P276" s="4"/>
      <c r="Q276" s="4"/>
      <c r="R276" s="4"/>
      <c r="S276" s="4"/>
      <c r="T276" s="4"/>
      <c r="U276" s="4"/>
      <c r="V276" s="4"/>
      <c r="W276" s="4"/>
      <c r="X276" s="4"/>
      <c r="Y276" s="4"/>
    </row>
    <row r="277" ht="15.75" customHeight="1">
      <c r="A277" s="4"/>
      <c r="B277" s="19"/>
      <c r="C277" s="4"/>
      <c r="D277" s="4"/>
      <c r="E277" s="4"/>
      <c r="F277" s="4"/>
      <c r="G277" s="4"/>
      <c r="H277" s="4"/>
      <c r="I277" s="4"/>
      <c r="J277" s="4"/>
      <c r="K277" s="4"/>
      <c r="L277" s="4"/>
      <c r="M277" s="4"/>
      <c r="N277" s="4"/>
      <c r="O277" s="4"/>
      <c r="P277" s="4"/>
      <c r="Q277" s="4"/>
      <c r="R277" s="4"/>
      <c r="S277" s="4"/>
      <c r="T277" s="4"/>
      <c r="U277" s="4"/>
      <c r="V277" s="4"/>
      <c r="W277" s="4"/>
      <c r="X277" s="4"/>
      <c r="Y277" s="4"/>
    </row>
    <row r="278" ht="15.75" customHeight="1">
      <c r="A278" s="4"/>
      <c r="B278" s="19"/>
      <c r="C278" s="4"/>
      <c r="D278" s="4"/>
      <c r="E278" s="4"/>
      <c r="F278" s="4"/>
      <c r="G278" s="4"/>
      <c r="H278" s="4"/>
      <c r="I278" s="4"/>
      <c r="J278" s="4"/>
      <c r="K278" s="4"/>
      <c r="L278" s="4"/>
      <c r="M278" s="4"/>
      <c r="N278" s="4"/>
      <c r="O278" s="4"/>
      <c r="P278" s="4"/>
      <c r="Q278" s="4"/>
      <c r="R278" s="4"/>
      <c r="S278" s="4"/>
      <c r="T278" s="4"/>
      <c r="U278" s="4"/>
      <c r="V278" s="4"/>
      <c r="W278" s="4"/>
      <c r="X278" s="4"/>
      <c r="Y278" s="4"/>
    </row>
    <row r="279" ht="15.75" customHeight="1">
      <c r="A279" s="4"/>
      <c r="B279" s="19"/>
      <c r="C279" s="4"/>
      <c r="D279" s="4"/>
      <c r="E279" s="4"/>
      <c r="F279" s="4"/>
      <c r="G279" s="4"/>
      <c r="H279" s="4"/>
      <c r="I279" s="4"/>
      <c r="J279" s="4"/>
      <c r="K279" s="4"/>
      <c r="L279" s="4"/>
      <c r="M279" s="4"/>
      <c r="N279" s="4"/>
      <c r="O279" s="4"/>
      <c r="P279" s="4"/>
      <c r="Q279" s="4"/>
      <c r="R279" s="4"/>
      <c r="S279" s="4"/>
      <c r="T279" s="4"/>
      <c r="U279" s="4"/>
      <c r="V279" s="4"/>
      <c r="W279" s="4"/>
      <c r="X279" s="4"/>
      <c r="Y279" s="4"/>
    </row>
    <row r="280" ht="15.75" customHeight="1">
      <c r="A280" s="4"/>
      <c r="B280" s="19"/>
      <c r="C280" s="4"/>
      <c r="D280" s="4"/>
      <c r="E280" s="4"/>
      <c r="F280" s="4"/>
      <c r="G280" s="4"/>
      <c r="H280" s="4"/>
      <c r="I280" s="4"/>
      <c r="J280" s="4"/>
      <c r="K280" s="4"/>
      <c r="L280" s="4"/>
      <c r="M280" s="4"/>
      <c r="N280" s="4"/>
      <c r="O280" s="4"/>
      <c r="P280" s="4"/>
      <c r="Q280" s="4"/>
      <c r="R280" s="4"/>
      <c r="S280" s="4"/>
      <c r="T280" s="4"/>
      <c r="U280" s="4"/>
      <c r="V280" s="4"/>
      <c r="W280" s="4"/>
      <c r="X280" s="4"/>
      <c r="Y280" s="4"/>
    </row>
    <row r="281" ht="15.75" customHeight="1">
      <c r="A281" s="4"/>
      <c r="B281" s="19"/>
      <c r="C281" s="4"/>
      <c r="D281" s="4"/>
      <c r="E281" s="4"/>
      <c r="F281" s="4"/>
      <c r="G281" s="4"/>
      <c r="H281" s="4"/>
      <c r="I281" s="4"/>
      <c r="J281" s="4"/>
      <c r="K281" s="4"/>
      <c r="L281" s="4"/>
      <c r="M281" s="4"/>
      <c r="N281" s="4"/>
      <c r="O281" s="4"/>
      <c r="P281" s="4"/>
      <c r="Q281" s="4"/>
      <c r="R281" s="4"/>
      <c r="S281" s="4"/>
      <c r="T281" s="4"/>
      <c r="U281" s="4"/>
      <c r="V281" s="4"/>
      <c r="W281" s="4"/>
      <c r="X281" s="4"/>
      <c r="Y281" s="4"/>
    </row>
    <row r="282" ht="15.75" customHeight="1">
      <c r="A282" s="4"/>
      <c r="B282" s="19"/>
      <c r="C282" s="4"/>
      <c r="D282" s="4"/>
      <c r="E282" s="4"/>
      <c r="F282" s="4"/>
      <c r="G282" s="4"/>
      <c r="H282" s="4"/>
      <c r="I282" s="4"/>
      <c r="J282" s="4"/>
      <c r="K282" s="4"/>
      <c r="L282" s="4"/>
      <c r="M282" s="4"/>
      <c r="N282" s="4"/>
      <c r="O282" s="4"/>
      <c r="P282" s="4"/>
      <c r="Q282" s="4"/>
      <c r="R282" s="4"/>
      <c r="S282" s="4"/>
      <c r="T282" s="4"/>
      <c r="U282" s="4"/>
      <c r="V282" s="4"/>
      <c r="W282" s="4"/>
      <c r="X282" s="4"/>
      <c r="Y282" s="4"/>
    </row>
    <row r="283" ht="15.75" customHeight="1">
      <c r="A283" s="4"/>
      <c r="B283" s="19"/>
      <c r="C283" s="4"/>
      <c r="D283" s="4"/>
      <c r="E283" s="4"/>
      <c r="F283" s="4"/>
      <c r="G283" s="4"/>
      <c r="H283" s="4"/>
      <c r="I283" s="4"/>
      <c r="J283" s="4"/>
      <c r="K283" s="4"/>
      <c r="L283" s="4"/>
      <c r="M283" s="4"/>
      <c r="N283" s="4"/>
      <c r="O283" s="4"/>
      <c r="P283" s="4"/>
      <c r="Q283" s="4"/>
      <c r="R283" s="4"/>
      <c r="S283" s="4"/>
      <c r="T283" s="4"/>
      <c r="U283" s="4"/>
      <c r="V283" s="4"/>
      <c r="W283" s="4"/>
      <c r="X283" s="4"/>
      <c r="Y283" s="4"/>
    </row>
    <row r="284" ht="15.75" customHeight="1">
      <c r="A284" s="4"/>
      <c r="B284" s="19"/>
      <c r="C284" s="4"/>
      <c r="D284" s="4"/>
      <c r="E284" s="4"/>
      <c r="F284" s="4"/>
      <c r="G284" s="4"/>
      <c r="H284" s="4"/>
      <c r="I284" s="4"/>
      <c r="J284" s="4"/>
      <c r="K284" s="4"/>
      <c r="L284" s="4"/>
      <c r="M284" s="4"/>
      <c r="N284" s="4"/>
      <c r="O284" s="4"/>
      <c r="P284" s="4"/>
      <c r="Q284" s="4"/>
      <c r="R284" s="4"/>
      <c r="S284" s="4"/>
      <c r="T284" s="4"/>
      <c r="U284" s="4"/>
      <c r="V284" s="4"/>
      <c r="W284" s="4"/>
      <c r="X284" s="4"/>
      <c r="Y284" s="4"/>
    </row>
    <row r="285" ht="15.75" customHeight="1">
      <c r="A285" s="4"/>
      <c r="B285" s="19"/>
      <c r="C285" s="4"/>
      <c r="D285" s="4"/>
      <c r="E285" s="4"/>
      <c r="F285" s="4"/>
      <c r="G285" s="4"/>
      <c r="H285" s="4"/>
      <c r="I285" s="4"/>
      <c r="J285" s="4"/>
      <c r="K285" s="4"/>
      <c r="L285" s="4"/>
      <c r="M285" s="4"/>
      <c r="N285" s="4"/>
      <c r="O285" s="4"/>
      <c r="P285" s="4"/>
      <c r="Q285" s="4"/>
      <c r="R285" s="4"/>
      <c r="S285" s="4"/>
      <c r="T285" s="4"/>
      <c r="U285" s="4"/>
      <c r="V285" s="4"/>
      <c r="W285" s="4"/>
      <c r="X285" s="4"/>
      <c r="Y285" s="4"/>
    </row>
    <row r="286" ht="15.75" customHeight="1">
      <c r="A286" s="4"/>
      <c r="B286" s="19"/>
      <c r="C286" s="4"/>
      <c r="D286" s="4"/>
      <c r="E286" s="4"/>
      <c r="F286" s="4"/>
      <c r="G286" s="4"/>
      <c r="H286" s="4"/>
      <c r="I286" s="4"/>
      <c r="J286" s="4"/>
      <c r="K286" s="4"/>
      <c r="L286" s="4"/>
      <c r="M286" s="4"/>
      <c r="N286" s="4"/>
      <c r="O286" s="4"/>
      <c r="P286" s="4"/>
      <c r="Q286" s="4"/>
      <c r="R286" s="4"/>
      <c r="S286" s="4"/>
      <c r="T286" s="4"/>
      <c r="U286" s="4"/>
      <c r="V286" s="4"/>
      <c r="W286" s="4"/>
      <c r="X286" s="4"/>
      <c r="Y286" s="4"/>
    </row>
    <row r="287" ht="15.75" customHeight="1">
      <c r="A287" s="4"/>
      <c r="B287" s="19"/>
      <c r="C287" s="4"/>
      <c r="D287" s="4"/>
      <c r="E287" s="4"/>
      <c r="F287" s="4"/>
      <c r="G287" s="4"/>
      <c r="H287" s="4"/>
      <c r="I287" s="4"/>
      <c r="J287" s="4"/>
      <c r="K287" s="4"/>
      <c r="L287" s="4"/>
      <c r="M287" s="4"/>
      <c r="N287" s="4"/>
      <c r="O287" s="4"/>
      <c r="P287" s="4"/>
      <c r="Q287" s="4"/>
      <c r="R287" s="4"/>
      <c r="S287" s="4"/>
      <c r="T287" s="4"/>
      <c r="U287" s="4"/>
      <c r="V287" s="4"/>
      <c r="W287" s="4"/>
      <c r="X287" s="4"/>
      <c r="Y287" s="4"/>
    </row>
    <row r="288" ht="15.75" customHeight="1">
      <c r="A288" s="4"/>
      <c r="B288" s="19"/>
      <c r="C288" s="4"/>
      <c r="D288" s="4"/>
      <c r="E288" s="4"/>
      <c r="F288" s="4"/>
      <c r="G288" s="4"/>
      <c r="H288" s="4"/>
      <c r="I288" s="4"/>
      <c r="J288" s="4"/>
      <c r="K288" s="4"/>
      <c r="L288" s="4"/>
      <c r="M288" s="4"/>
      <c r="N288" s="4"/>
      <c r="O288" s="4"/>
      <c r="P288" s="4"/>
      <c r="Q288" s="4"/>
      <c r="R288" s="4"/>
      <c r="S288" s="4"/>
      <c r="T288" s="4"/>
      <c r="U288" s="4"/>
      <c r="V288" s="4"/>
      <c r="W288" s="4"/>
      <c r="X288" s="4"/>
      <c r="Y288" s="4"/>
    </row>
    <row r="289" ht="15.75" customHeight="1">
      <c r="A289" s="4"/>
      <c r="B289" s="19"/>
      <c r="C289" s="4"/>
      <c r="D289" s="4"/>
      <c r="E289" s="4"/>
      <c r="F289" s="4"/>
      <c r="G289" s="4"/>
      <c r="H289" s="4"/>
      <c r="I289" s="4"/>
      <c r="J289" s="4"/>
      <c r="K289" s="4"/>
      <c r="L289" s="4"/>
      <c r="M289" s="4"/>
      <c r="N289" s="4"/>
      <c r="O289" s="4"/>
      <c r="P289" s="4"/>
      <c r="Q289" s="4"/>
      <c r="R289" s="4"/>
      <c r="S289" s="4"/>
      <c r="T289" s="4"/>
      <c r="U289" s="4"/>
      <c r="V289" s="4"/>
      <c r="W289" s="4"/>
      <c r="X289" s="4"/>
      <c r="Y289" s="4"/>
    </row>
    <row r="290" ht="15.75" customHeight="1">
      <c r="A290" s="4"/>
      <c r="B290" s="19"/>
      <c r="C290" s="4"/>
      <c r="D290" s="4"/>
      <c r="E290" s="4"/>
      <c r="F290" s="4"/>
      <c r="G290" s="4"/>
      <c r="H290" s="4"/>
      <c r="I290" s="4"/>
      <c r="J290" s="4"/>
      <c r="K290" s="4"/>
      <c r="L290" s="4"/>
      <c r="M290" s="4"/>
      <c r="N290" s="4"/>
      <c r="O290" s="4"/>
      <c r="P290" s="4"/>
      <c r="Q290" s="4"/>
      <c r="R290" s="4"/>
      <c r="S290" s="4"/>
      <c r="T290" s="4"/>
      <c r="U290" s="4"/>
      <c r="V290" s="4"/>
      <c r="W290" s="4"/>
      <c r="X290" s="4"/>
      <c r="Y290" s="4"/>
    </row>
    <row r="291" ht="15.75" customHeight="1">
      <c r="A291" s="4"/>
      <c r="B291" s="19"/>
      <c r="C291" s="4"/>
      <c r="D291" s="4"/>
      <c r="E291" s="4"/>
      <c r="F291" s="4"/>
      <c r="G291" s="4"/>
      <c r="H291" s="4"/>
      <c r="I291" s="4"/>
      <c r="J291" s="4"/>
      <c r="K291" s="4"/>
      <c r="L291" s="4"/>
      <c r="M291" s="4"/>
      <c r="N291" s="4"/>
      <c r="O291" s="4"/>
      <c r="P291" s="4"/>
      <c r="Q291" s="4"/>
      <c r="R291" s="4"/>
      <c r="S291" s="4"/>
      <c r="T291" s="4"/>
      <c r="U291" s="4"/>
      <c r="V291" s="4"/>
      <c r="W291" s="4"/>
      <c r="X291" s="4"/>
      <c r="Y291" s="4"/>
    </row>
    <row r="292" ht="15.75" customHeight="1">
      <c r="A292" s="4"/>
      <c r="B292" s="19"/>
      <c r="C292" s="4"/>
      <c r="D292" s="4"/>
      <c r="E292" s="4"/>
      <c r="F292" s="4"/>
      <c r="G292" s="4"/>
      <c r="H292" s="4"/>
      <c r="I292" s="4"/>
      <c r="J292" s="4"/>
      <c r="K292" s="4"/>
      <c r="L292" s="4"/>
      <c r="M292" s="4"/>
      <c r="N292" s="4"/>
      <c r="O292" s="4"/>
      <c r="P292" s="4"/>
      <c r="Q292" s="4"/>
      <c r="R292" s="4"/>
      <c r="S292" s="4"/>
      <c r="T292" s="4"/>
      <c r="U292" s="4"/>
      <c r="V292" s="4"/>
      <c r="W292" s="4"/>
      <c r="X292" s="4"/>
      <c r="Y292" s="4"/>
    </row>
    <row r="293" ht="15.75" customHeight="1">
      <c r="A293" s="4"/>
      <c r="B293" s="19"/>
      <c r="C293" s="4"/>
      <c r="D293" s="4"/>
      <c r="E293" s="4"/>
      <c r="F293" s="4"/>
      <c r="G293" s="4"/>
      <c r="H293" s="4"/>
      <c r="I293" s="4"/>
      <c r="J293" s="4"/>
      <c r="K293" s="4"/>
      <c r="L293" s="4"/>
      <c r="M293" s="4"/>
      <c r="N293" s="4"/>
      <c r="O293" s="4"/>
      <c r="P293" s="4"/>
      <c r="Q293" s="4"/>
      <c r="R293" s="4"/>
      <c r="S293" s="4"/>
      <c r="T293" s="4"/>
      <c r="U293" s="4"/>
      <c r="V293" s="4"/>
      <c r="W293" s="4"/>
      <c r="X293" s="4"/>
      <c r="Y293" s="4"/>
    </row>
    <row r="294" ht="15.75" customHeight="1">
      <c r="A294" s="4"/>
      <c r="B294" s="19"/>
      <c r="C294" s="4"/>
      <c r="D294" s="4"/>
      <c r="E294" s="4"/>
      <c r="F294" s="4"/>
      <c r="G294" s="4"/>
      <c r="H294" s="4"/>
      <c r="I294" s="4"/>
      <c r="J294" s="4"/>
      <c r="K294" s="4"/>
      <c r="L294" s="4"/>
      <c r="M294" s="4"/>
      <c r="N294" s="4"/>
      <c r="O294" s="4"/>
      <c r="P294" s="4"/>
      <c r="Q294" s="4"/>
      <c r="R294" s="4"/>
      <c r="S294" s="4"/>
      <c r="T294" s="4"/>
      <c r="U294" s="4"/>
      <c r="V294" s="4"/>
      <c r="W294" s="4"/>
      <c r="X294" s="4"/>
      <c r="Y294" s="4"/>
    </row>
    <row r="295" ht="15.75" customHeight="1">
      <c r="A295" s="4"/>
      <c r="B295" s="19"/>
      <c r="C295" s="4"/>
      <c r="D295" s="4"/>
      <c r="E295" s="4"/>
      <c r="F295" s="4"/>
      <c r="G295" s="4"/>
      <c r="H295" s="4"/>
      <c r="I295" s="4"/>
      <c r="J295" s="4"/>
      <c r="K295" s="4"/>
      <c r="L295" s="4"/>
      <c r="M295" s="4"/>
      <c r="N295" s="4"/>
      <c r="O295" s="4"/>
      <c r="P295" s="4"/>
      <c r="Q295" s="4"/>
      <c r="R295" s="4"/>
      <c r="S295" s="4"/>
      <c r="T295" s="4"/>
      <c r="U295" s="4"/>
      <c r="V295" s="4"/>
      <c r="W295" s="4"/>
      <c r="X295" s="4"/>
      <c r="Y295" s="4"/>
    </row>
    <row r="296" ht="15.75" customHeight="1">
      <c r="A296" s="4"/>
      <c r="B296" s="19"/>
      <c r="C296" s="4"/>
      <c r="D296" s="4"/>
      <c r="E296" s="4"/>
      <c r="F296" s="4"/>
      <c r="G296" s="4"/>
      <c r="H296" s="4"/>
      <c r="I296" s="4"/>
      <c r="J296" s="4"/>
      <c r="K296" s="4"/>
      <c r="L296" s="4"/>
      <c r="M296" s="4"/>
      <c r="N296" s="4"/>
      <c r="O296" s="4"/>
      <c r="P296" s="4"/>
      <c r="Q296" s="4"/>
      <c r="R296" s="4"/>
      <c r="S296" s="4"/>
      <c r="T296" s="4"/>
      <c r="U296" s="4"/>
      <c r="V296" s="4"/>
      <c r="W296" s="4"/>
      <c r="X296" s="4"/>
      <c r="Y296" s="4"/>
    </row>
    <row r="297" ht="15.75" customHeight="1">
      <c r="A297" s="4"/>
      <c r="B297" s="19"/>
      <c r="C297" s="4"/>
      <c r="D297" s="4"/>
      <c r="E297" s="4"/>
      <c r="F297" s="4"/>
      <c r="G297" s="4"/>
      <c r="H297" s="4"/>
      <c r="I297" s="4"/>
      <c r="J297" s="4"/>
      <c r="K297" s="4"/>
      <c r="L297" s="4"/>
      <c r="M297" s="4"/>
      <c r="N297" s="4"/>
      <c r="O297" s="4"/>
      <c r="P297" s="4"/>
      <c r="Q297" s="4"/>
      <c r="R297" s="4"/>
      <c r="S297" s="4"/>
      <c r="T297" s="4"/>
      <c r="U297" s="4"/>
      <c r="V297" s="4"/>
      <c r="W297" s="4"/>
      <c r="X297" s="4"/>
      <c r="Y297" s="4"/>
    </row>
    <row r="298" ht="15.75" customHeight="1">
      <c r="A298" s="4"/>
      <c r="B298" s="19"/>
      <c r="C298" s="4"/>
      <c r="D298" s="4"/>
      <c r="E298" s="4"/>
      <c r="F298" s="4"/>
      <c r="G298" s="4"/>
      <c r="H298" s="4"/>
      <c r="I298" s="4"/>
      <c r="J298" s="4"/>
      <c r="K298" s="4"/>
      <c r="L298" s="4"/>
      <c r="M298" s="4"/>
      <c r="N298" s="4"/>
      <c r="O298" s="4"/>
      <c r="P298" s="4"/>
      <c r="Q298" s="4"/>
      <c r="R298" s="4"/>
      <c r="S298" s="4"/>
      <c r="T298" s="4"/>
      <c r="U298" s="4"/>
      <c r="V298" s="4"/>
      <c r="W298" s="4"/>
      <c r="X298" s="4"/>
      <c r="Y298" s="4"/>
    </row>
    <row r="299" ht="15.75" customHeight="1">
      <c r="A299" s="4"/>
      <c r="B299" s="19"/>
      <c r="C299" s="4"/>
      <c r="D299" s="4"/>
      <c r="E299" s="4"/>
      <c r="F299" s="4"/>
      <c r="G299" s="4"/>
      <c r="H299" s="4"/>
      <c r="I299" s="4"/>
      <c r="J299" s="4"/>
      <c r="K299" s="4"/>
      <c r="L299" s="4"/>
      <c r="M299" s="4"/>
      <c r="N299" s="4"/>
      <c r="O299" s="4"/>
      <c r="P299" s="4"/>
      <c r="Q299" s="4"/>
      <c r="R299" s="4"/>
      <c r="S299" s="4"/>
      <c r="T299" s="4"/>
      <c r="U299" s="4"/>
      <c r="V299" s="4"/>
      <c r="W299" s="4"/>
      <c r="X299" s="4"/>
      <c r="Y299" s="4"/>
    </row>
    <row r="300" ht="15.75" customHeight="1">
      <c r="A300" s="4"/>
      <c r="B300" s="19"/>
      <c r="C300" s="4"/>
      <c r="D300" s="4"/>
      <c r="E300" s="4"/>
      <c r="F300" s="4"/>
      <c r="G300" s="4"/>
      <c r="H300" s="4"/>
      <c r="I300" s="4"/>
      <c r="J300" s="4"/>
      <c r="K300" s="4"/>
      <c r="L300" s="4"/>
      <c r="M300" s="4"/>
      <c r="N300" s="4"/>
      <c r="O300" s="4"/>
      <c r="P300" s="4"/>
      <c r="Q300" s="4"/>
      <c r="R300" s="4"/>
      <c r="S300" s="4"/>
      <c r="T300" s="4"/>
      <c r="U300" s="4"/>
      <c r="V300" s="4"/>
      <c r="W300" s="4"/>
      <c r="X300" s="4"/>
      <c r="Y300" s="4"/>
    </row>
    <row r="301" ht="15.75" customHeight="1">
      <c r="A301" s="4"/>
      <c r="B301" s="19"/>
      <c r="C301" s="4"/>
      <c r="D301" s="4"/>
      <c r="E301" s="4"/>
      <c r="F301" s="4"/>
      <c r="G301" s="4"/>
      <c r="H301" s="4"/>
      <c r="I301" s="4"/>
      <c r="J301" s="4"/>
      <c r="K301" s="4"/>
      <c r="L301" s="4"/>
      <c r="M301" s="4"/>
      <c r="N301" s="4"/>
      <c r="O301" s="4"/>
      <c r="P301" s="4"/>
      <c r="Q301" s="4"/>
      <c r="R301" s="4"/>
      <c r="S301" s="4"/>
      <c r="T301" s="4"/>
      <c r="U301" s="4"/>
      <c r="V301" s="4"/>
      <c r="W301" s="4"/>
      <c r="X301" s="4"/>
      <c r="Y301" s="4"/>
    </row>
    <row r="302" ht="15.75" customHeight="1">
      <c r="A302" s="4"/>
      <c r="B302" s="19"/>
      <c r="C302" s="4"/>
      <c r="D302" s="4"/>
      <c r="E302" s="4"/>
      <c r="F302" s="4"/>
      <c r="G302" s="4"/>
      <c r="H302" s="4"/>
      <c r="I302" s="4"/>
      <c r="J302" s="4"/>
      <c r="K302" s="4"/>
      <c r="L302" s="4"/>
      <c r="M302" s="4"/>
      <c r="N302" s="4"/>
      <c r="O302" s="4"/>
      <c r="P302" s="4"/>
      <c r="Q302" s="4"/>
      <c r="R302" s="4"/>
      <c r="S302" s="4"/>
      <c r="T302" s="4"/>
      <c r="U302" s="4"/>
      <c r="V302" s="4"/>
      <c r="W302" s="4"/>
      <c r="X302" s="4"/>
      <c r="Y302" s="4"/>
    </row>
    <row r="303" ht="15.75" customHeight="1">
      <c r="A303" s="4"/>
      <c r="B303" s="19"/>
      <c r="C303" s="4"/>
      <c r="D303" s="4"/>
      <c r="E303" s="4"/>
      <c r="F303" s="4"/>
      <c r="G303" s="4"/>
      <c r="H303" s="4"/>
      <c r="I303" s="4"/>
      <c r="J303" s="4"/>
      <c r="K303" s="4"/>
      <c r="L303" s="4"/>
      <c r="M303" s="4"/>
      <c r="N303" s="4"/>
      <c r="O303" s="4"/>
      <c r="P303" s="4"/>
      <c r="Q303" s="4"/>
      <c r="R303" s="4"/>
      <c r="S303" s="4"/>
      <c r="T303" s="4"/>
      <c r="U303" s="4"/>
      <c r="V303" s="4"/>
      <c r="W303" s="4"/>
      <c r="X303" s="4"/>
      <c r="Y303" s="4"/>
    </row>
    <row r="304" ht="15.75" customHeight="1">
      <c r="A304" s="4"/>
      <c r="B304" s="19"/>
      <c r="C304" s="4"/>
      <c r="D304" s="4"/>
      <c r="E304" s="4"/>
      <c r="F304" s="4"/>
      <c r="G304" s="4"/>
      <c r="H304" s="4"/>
      <c r="I304" s="4"/>
      <c r="J304" s="4"/>
      <c r="K304" s="4"/>
      <c r="L304" s="4"/>
      <c r="M304" s="4"/>
      <c r="N304" s="4"/>
      <c r="O304" s="4"/>
      <c r="P304" s="4"/>
      <c r="Q304" s="4"/>
      <c r="R304" s="4"/>
      <c r="S304" s="4"/>
      <c r="T304" s="4"/>
      <c r="U304" s="4"/>
      <c r="V304" s="4"/>
      <c r="W304" s="4"/>
      <c r="X304" s="4"/>
      <c r="Y304" s="4"/>
    </row>
    <row r="305" ht="15.75" customHeight="1">
      <c r="A305" s="4"/>
      <c r="B305" s="19"/>
      <c r="C305" s="4"/>
      <c r="D305" s="4"/>
      <c r="E305" s="4"/>
      <c r="F305" s="4"/>
      <c r="G305" s="4"/>
      <c r="H305" s="4"/>
      <c r="I305" s="4"/>
      <c r="J305" s="4"/>
      <c r="K305" s="4"/>
      <c r="L305" s="4"/>
      <c r="M305" s="4"/>
      <c r="N305" s="4"/>
      <c r="O305" s="4"/>
      <c r="P305" s="4"/>
      <c r="Q305" s="4"/>
      <c r="R305" s="4"/>
      <c r="S305" s="4"/>
      <c r="T305" s="4"/>
      <c r="U305" s="4"/>
      <c r="V305" s="4"/>
      <c r="W305" s="4"/>
      <c r="X305" s="4"/>
      <c r="Y305" s="4"/>
    </row>
    <row r="306" ht="15.75" customHeight="1">
      <c r="A306" s="4"/>
      <c r="B306" s="19"/>
      <c r="C306" s="4"/>
      <c r="D306" s="4"/>
      <c r="E306" s="4"/>
      <c r="F306" s="4"/>
      <c r="G306" s="4"/>
      <c r="H306" s="4"/>
      <c r="I306" s="4"/>
      <c r="J306" s="4"/>
      <c r="K306" s="4"/>
      <c r="L306" s="4"/>
      <c r="M306" s="4"/>
      <c r="N306" s="4"/>
      <c r="O306" s="4"/>
      <c r="P306" s="4"/>
      <c r="Q306" s="4"/>
      <c r="R306" s="4"/>
      <c r="S306" s="4"/>
      <c r="T306" s="4"/>
      <c r="U306" s="4"/>
      <c r="V306" s="4"/>
      <c r="W306" s="4"/>
      <c r="X306" s="4"/>
      <c r="Y306" s="4"/>
    </row>
    <row r="307" ht="15.75" customHeight="1">
      <c r="A307" s="4"/>
      <c r="B307" s="19"/>
      <c r="C307" s="4"/>
      <c r="D307" s="4"/>
      <c r="E307" s="4"/>
      <c r="F307" s="4"/>
      <c r="G307" s="4"/>
      <c r="H307" s="4"/>
      <c r="I307" s="4"/>
      <c r="J307" s="4"/>
      <c r="K307" s="4"/>
      <c r="L307" s="4"/>
      <c r="M307" s="4"/>
      <c r="N307" s="4"/>
      <c r="O307" s="4"/>
      <c r="P307" s="4"/>
      <c r="Q307" s="4"/>
      <c r="R307" s="4"/>
      <c r="S307" s="4"/>
      <c r="T307" s="4"/>
      <c r="U307" s="4"/>
      <c r="V307" s="4"/>
      <c r="W307" s="4"/>
      <c r="X307" s="4"/>
      <c r="Y307" s="4"/>
    </row>
    <row r="308" ht="15.75" customHeight="1">
      <c r="A308" s="4"/>
      <c r="B308" s="19"/>
      <c r="C308" s="4"/>
      <c r="D308" s="4"/>
      <c r="E308" s="4"/>
      <c r="F308" s="4"/>
      <c r="G308" s="4"/>
      <c r="H308" s="4"/>
      <c r="I308" s="4"/>
      <c r="J308" s="4"/>
      <c r="K308" s="4"/>
      <c r="L308" s="4"/>
      <c r="M308" s="4"/>
      <c r="N308" s="4"/>
      <c r="O308" s="4"/>
      <c r="P308" s="4"/>
      <c r="Q308" s="4"/>
      <c r="R308" s="4"/>
      <c r="S308" s="4"/>
      <c r="T308" s="4"/>
      <c r="U308" s="4"/>
      <c r="V308" s="4"/>
      <c r="W308" s="4"/>
      <c r="X308" s="4"/>
      <c r="Y308" s="4"/>
    </row>
    <row r="309" ht="15.75" customHeight="1">
      <c r="A309" s="4"/>
      <c r="B309" s="19"/>
      <c r="C309" s="4"/>
      <c r="D309" s="4"/>
      <c r="E309" s="4"/>
      <c r="F309" s="4"/>
      <c r="G309" s="4"/>
      <c r="H309" s="4"/>
      <c r="I309" s="4"/>
      <c r="J309" s="4"/>
      <c r="K309" s="4"/>
      <c r="L309" s="4"/>
      <c r="M309" s="4"/>
      <c r="N309" s="4"/>
      <c r="O309" s="4"/>
      <c r="P309" s="4"/>
      <c r="Q309" s="4"/>
      <c r="R309" s="4"/>
      <c r="S309" s="4"/>
      <c r="T309" s="4"/>
      <c r="U309" s="4"/>
      <c r="V309" s="4"/>
      <c r="W309" s="4"/>
      <c r="X309" s="4"/>
      <c r="Y309" s="4"/>
    </row>
    <row r="310" ht="15.75" customHeight="1">
      <c r="A310" s="4"/>
      <c r="B310" s="19"/>
      <c r="C310" s="4"/>
      <c r="D310" s="4"/>
      <c r="E310" s="4"/>
      <c r="F310" s="4"/>
      <c r="G310" s="4"/>
      <c r="H310" s="4"/>
      <c r="I310" s="4"/>
      <c r="J310" s="4"/>
      <c r="K310" s="4"/>
      <c r="L310" s="4"/>
      <c r="M310" s="4"/>
      <c r="N310" s="4"/>
      <c r="O310" s="4"/>
      <c r="P310" s="4"/>
      <c r="Q310" s="4"/>
      <c r="R310" s="4"/>
      <c r="S310" s="4"/>
      <c r="T310" s="4"/>
      <c r="U310" s="4"/>
      <c r="V310" s="4"/>
      <c r="W310" s="4"/>
      <c r="X310" s="4"/>
      <c r="Y310" s="4"/>
    </row>
    <row r="311" ht="15.75" customHeight="1">
      <c r="A311" s="4"/>
      <c r="B311" s="19"/>
      <c r="C311" s="4"/>
      <c r="D311" s="4"/>
      <c r="E311" s="4"/>
      <c r="F311" s="4"/>
      <c r="G311" s="4"/>
      <c r="H311" s="4"/>
      <c r="I311" s="4"/>
      <c r="J311" s="4"/>
      <c r="K311" s="4"/>
      <c r="L311" s="4"/>
      <c r="M311" s="4"/>
      <c r="N311" s="4"/>
      <c r="O311" s="4"/>
      <c r="P311" s="4"/>
      <c r="Q311" s="4"/>
      <c r="R311" s="4"/>
      <c r="S311" s="4"/>
      <c r="T311" s="4"/>
      <c r="U311" s="4"/>
      <c r="V311" s="4"/>
      <c r="W311" s="4"/>
      <c r="X311" s="4"/>
      <c r="Y311" s="4"/>
    </row>
    <row r="312" ht="15.75" customHeight="1">
      <c r="A312" s="4"/>
      <c r="B312" s="19"/>
      <c r="C312" s="4"/>
      <c r="D312" s="4"/>
      <c r="E312" s="4"/>
      <c r="F312" s="4"/>
      <c r="G312" s="4"/>
      <c r="H312" s="4"/>
      <c r="I312" s="4"/>
      <c r="J312" s="4"/>
      <c r="K312" s="4"/>
      <c r="L312" s="4"/>
      <c r="M312" s="4"/>
      <c r="N312" s="4"/>
      <c r="O312" s="4"/>
      <c r="P312" s="4"/>
      <c r="Q312" s="4"/>
      <c r="R312" s="4"/>
      <c r="S312" s="4"/>
      <c r="T312" s="4"/>
      <c r="U312" s="4"/>
      <c r="V312" s="4"/>
      <c r="W312" s="4"/>
      <c r="X312" s="4"/>
      <c r="Y312" s="4"/>
    </row>
    <row r="313" ht="15.75" customHeight="1">
      <c r="A313" s="4"/>
      <c r="B313" s="19"/>
      <c r="C313" s="4"/>
      <c r="D313" s="4"/>
      <c r="E313" s="4"/>
      <c r="F313" s="4"/>
      <c r="G313" s="4"/>
      <c r="H313" s="4"/>
      <c r="I313" s="4"/>
      <c r="J313" s="4"/>
      <c r="K313" s="4"/>
      <c r="L313" s="4"/>
      <c r="M313" s="4"/>
      <c r="N313" s="4"/>
      <c r="O313" s="4"/>
      <c r="P313" s="4"/>
      <c r="Q313" s="4"/>
      <c r="R313" s="4"/>
      <c r="S313" s="4"/>
      <c r="T313" s="4"/>
      <c r="U313" s="4"/>
      <c r="V313" s="4"/>
      <c r="W313" s="4"/>
      <c r="X313" s="4"/>
      <c r="Y313" s="4"/>
    </row>
    <row r="314" ht="15.75" customHeight="1">
      <c r="A314" s="4"/>
      <c r="B314" s="19"/>
      <c r="C314" s="4"/>
      <c r="D314" s="4"/>
      <c r="E314" s="4"/>
      <c r="F314" s="4"/>
      <c r="G314" s="4"/>
      <c r="H314" s="4"/>
      <c r="I314" s="4"/>
      <c r="J314" s="4"/>
      <c r="K314" s="4"/>
      <c r="L314" s="4"/>
      <c r="M314" s="4"/>
      <c r="N314" s="4"/>
      <c r="O314" s="4"/>
      <c r="P314" s="4"/>
      <c r="Q314" s="4"/>
      <c r="R314" s="4"/>
      <c r="S314" s="4"/>
      <c r="T314" s="4"/>
      <c r="U314" s="4"/>
      <c r="V314" s="4"/>
      <c r="W314" s="4"/>
      <c r="X314" s="4"/>
      <c r="Y314" s="4"/>
    </row>
    <row r="315" ht="15.75" customHeight="1">
      <c r="A315" s="4"/>
      <c r="B315" s="19"/>
      <c r="C315" s="4"/>
      <c r="D315" s="4"/>
      <c r="E315" s="4"/>
      <c r="F315" s="4"/>
      <c r="G315" s="4"/>
      <c r="H315" s="4"/>
      <c r="I315" s="4"/>
      <c r="J315" s="4"/>
      <c r="K315" s="4"/>
      <c r="L315" s="4"/>
      <c r="M315" s="4"/>
      <c r="N315" s="4"/>
      <c r="O315" s="4"/>
      <c r="P315" s="4"/>
      <c r="Q315" s="4"/>
      <c r="R315" s="4"/>
      <c r="S315" s="4"/>
      <c r="T315" s="4"/>
      <c r="U315" s="4"/>
      <c r="V315" s="4"/>
      <c r="W315" s="4"/>
      <c r="X315" s="4"/>
      <c r="Y315" s="4"/>
    </row>
    <row r="316" ht="15.75" customHeight="1">
      <c r="A316" s="4"/>
      <c r="B316" s="19"/>
      <c r="C316" s="4"/>
      <c r="D316" s="4"/>
      <c r="E316" s="4"/>
      <c r="F316" s="4"/>
      <c r="G316" s="4"/>
      <c r="H316" s="4"/>
      <c r="I316" s="4"/>
      <c r="J316" s="4"/>
      <c r="K316" s="4"/>
      <c r="L316" s="4"/>
      <c r="M316" s="4"/>
      <c r="N316" s="4"/>
      <c r="O316" s="4"/>
      <c r="P316" s="4"/>
      <c r="Q316" s="4"/>
      <c r="R316" s="4"/>
      <c r="S316" s="4"/>
      <c r="T316" s="4"/>
      <c r="U316" s="4"/>
      <c r="V316" s="4"/>
      <c r="W316" s="4"/>
      <c r="X316" s="4"/>
      <c r="Y316" s="4"/>
    </row>
    <row r="317" ht="15.75" customHeight="1">
      <c r="A317" s="4"/>
      <c r="B317" s="19"/>
      <c r="C317" s="4"/>
      <c r="D317" s="4"/>
      <c r="E317" s="4"/>
      <c r="F317" s="4"/>
      <c r="G317" s="4"/>
      <c r="H317" s="4"/>
      <c r="I317" s="4"/>
      <c r="J317" s="4"/>
      <c r="K317" s="4"/>
      <c r="L317" s="4"/>
      <c r="M317" s="4"/>
      <c r="N317" s="4"/>
      <c r="O317" s="4"/>
      <c r="P317" s="4"/>
      <c r="Q317" s="4"/>
      <c r="R317" s="4"/>
      <c r="S317" s="4"/>
      <c r="T317" s="4"/>
      <c r="U317" s="4"/>
      <c r="V317" s="4"/>
      <c r="W317" s="4"/>
      <c r="X317" s="4"/>
      <c r="Y317" s="4"/>
    </row>
    <row r="318" ht="15.75" customHeight="1">
      <c r="A318" s="4"/>
      <c r="B318" s="19"/>
      <c r="C318" s="4"/>
      <c r="D318" s="4"/>
      <c r="E318" s="4"/>
      <c r="F318" s="4"/>
      <c r="G318" s="4"/>
      <c r="H318" s="4"/>
      <c r="I318" s="4"/>
      <c r="J318" s="4"/>
      <c r="K318" s="4"/>
      <c r="L318" s="4"/>
      <c r="M318" s="4"/>
      <c r="N318" s="4"/>
      <c r="O318" s="4"/>
      <c r="P318" s="4"/>
      <c r="Q318" s="4"/>
      <c r="R318" s="4"/>
      <c r="S318" s="4"/>
      <c r="T318" s="4"/>
      <c r="U318" s="4"/>
      <c r="V318" s="4"/>
      <c r="W318" s="4"/>
      <c r="X318" s="4"/>
      <c r="Y318" s="4"/>
    </row>
    <row r="319" ht="15.75" customHeight="1">
      <c r="A319" s="4"/>
      <c r="B319" s="19"/>
      <c r="C319" s="4"/>
      <c r="D319" s="4"/>
      <c r="E319" s="4"/>
      <c r="F319" s="4"/>
      <c r="G319" s="4"/>
      <c r="H319" s="4"/>
      <c r="I319" s="4"/>
      <c r="J319" s="4"/>
      <c r="K319" s="4"/>
      <c r="L319" s="4"/>
      <c r="M319" s="4"/>
      <c r="N319" s="4"/>
      <c r="O319" s="4"/>
      <c r="P319" s="4"/>
      <c r="Q319" s="4"/>
      <c r="R319" s="4"/>
      <c r="S319" s="4"/>
      <c r="T319" s="4"/>
      <c r="U319" s="4"/>
      <c r="V319" s="4"/>
      <c r="W319" s="4"/>
      <c r="X319" s="4"/>
      <c r="Y319" s="4"/>
    </row>
    <row r="320" ht="15.75" customHeight="1">
      <c r="A320" s="4"/>
      <c r="B320" s="19"/>
      <c r="C320" s="4"/>
      <c r="D320" s="4"/>
      <c r="E320" s="4"/>
      <c r="F320" s="4"/>
      <c r="G320" s="4"/>
      <c r="H320" s="4"/>
      <c r="I320" s="4"/>
      <c r="J320" s="4"/>
      <c r="K320" s="4"/>
      <c r="L320" s="4"/>
      <c r="M320" s="4"/>
      <c r="N320" s="4"/>
      <c r="O320" s="4"/>
      <c r="P320" s="4"/>
      <c r="Q320" s="4"/>
      <c r="R320" s="4"/>
      <c r="S320" s="4"/>
      <c r="T320" s="4"/>
      <c r="U320" s="4"/>
      <c r="V320" s="4"/>
      <c r="W320" s="4"/>
      <c r="X320" s="4"/>
      <c r="Y320" s="4"/>
    </row>
    <row r="321" ht="15.75" customHeight="1">
      <c r="A321" s="4"/>
      <c r="B321" s="19"/>
      <c r="C321" s="4"/>
      <c r="D321" s="4"/>
      <c r="E321" s="4"/>
      <c r="F321" s="4"/>
      <c r="G321" s="4"/>
      <c r="H321" s="4"/>
      <c r="I321" s="4"/>
      <c r="J321" s="4"/>
      <c r="K321" s="4"/>
      <c r="L321" s="4"/>
      <c r="M321" s="4"/>
      <c r="N321" s="4"/>
      <c r="O321" s="4"/>
      <c r="P321" s="4"/>
      <c r="Q321" s="4"/>
      <c r="R321" s="4"/>
      <c r="S321" s="4"/>
      <c r="T321" s="4"/>
      <c r="U321" s="4"/>
      <c r="V321" s="4"/>
      <c r="W321" s="4"/>
      <c r="X321" s="4"/>
      <c r="Y321" s="4"/>
    </row>
    <row r="322" ht="15.75" customHeight="1">
      <c r="A322" s="4"/>
      <c r="B322" s="19"/>
      <c r="C322" s="4"/>
      <c r="D322" s="4"/>
      <c r="E322" s="4"/>
      <c r="F322" s="4"/>
      <c r="G322" s="4"/>
      <c r="H322" s="4"/>
      <c r="I322" s="4"/>
      <c r="J322" s="4"/>
      <c r="K322" s="4"/>
      <c r="L322" s="4"/>
      <c r="M322" s="4"/>
      <c r="N322" s="4"/>
      <c r="O322" s="4"/>
      <c r="P322" s="4"/>
      <c r="Q322" s="4"/>
      <c r="R322" s="4"/>
      <c r="S322" s="4"/>
      <c r="T322" s="4"/>
      <c r="U322" s="4"/>
      <c r="V322" s="4"/>
      <c r="W322" s="4"/>
      <c r="X322" s="4"/>
      <c r="Y322" s="4"/>
    </row>
    <row r="323" ht="15.75" customHeight="1">
      <c r="A323" s="4"/>
      <c r="B323" s="19"/>
      <c r="C323" s="4"/>
      <c r="D323" s="4"/>
      <c r="E323" s="4"/>
      <c r="F323" s="4"/>
      <c r="G323" s="4"/>
      <c r="H323" s="4"/>
      <c r="I323" s="4"/>
      <c r="J323" s="4"/>
      <c r="K323" s="4"/>
      <c r="L323" s="4"/>
      <c r="M323" s="4"/>
      <c r="N323" s="4"/>
      <c r="O323" s="4"/>
      <c r="P323" s="4"/>
      <c r="Q323" s="4"/>
      <c r="R323" s="4"/>
      <c r="S323" s="4"/>
      <c r="T323" s="4"/>
      <c r="U323" s="4"/>
      <c r="V323" s="4"/>
      <c r="W323" s="4"/>
      <c r="X323" s="4"/>
      <c r="Y323" s="4"/>
    </row>
    <row r="324" ht="15.75" customHeight="1">
      <c r="A324" s="4"/>
      <c r="B324" s="19"/>
      <c r="C324" s="4"/>
      <c r="D324" s="4"/>
      <c r="E324" s="4"/>
      <c r="F324" s="4"/>
      <c r="G324" s="4"/>
      <c r="H324" s="4"/>
      <c r="I324" s="4"/>
      <c r="J324" s="4"/>
      <c r="K324" s="4"/>
      <c r="L324" s="4"/>
      <c r="M324" s="4"/>
      <c r="N324" s="4"/>
      <c r="O324" s="4"/>
      <c r="P324" s="4"/>
      <c r="Q324" s="4"/>
      <c r="R324" s="4"/>
      <c r="S324" s="4"/>
      <c r="T324" s="4"/>
      <c r="U324" s="4"/>
      <c r="V324" s="4"/>
      <c r="W324" s="4"/>
      <c r="X324" s="4"/>
      <c r="Y324" s="4"/>
    </row>
    <row r="325" ht="15.75" customHeight="1">
      <c r="A325" s="4"/>
      <c r="B325" s="19"/>
      <c r="C325" s="4"/>
      <c r="D325" s="4"/>
      <c r="E325" s="4"/>
      <c r="F325" s="4"/>
      <c r="G325" s="4"/>
      <c r="H325" s="4"/>
      <c r="I325" s="4"/>
      <c r="J325" s="4"/>
      <c r="K325" s="4"/>
      <c r="L325" s="4"/>
      <c r="M325" s="4"/>
      <c r="N325" s="4"/>
      <c r="O325" s="4"/>
      <c r="P325" s="4"/>
      <c r="Q325" s="4"/>
      <c r="R325" s="4"/>
      <c r="S325" s="4"/>
      <c r="T325" s="4"/>
      <c r="U325" s="4"/>
      <c r="V325" s="4"/>
      <c r="W325" s="4"/>
      <c r="X325" s="4"/>
      <c r="Y325" s="4"/>
    </row>
    <row r="326" ht="15.75" customHeight="1">
      <c r="A326" s="4"/>
      <c r="B326" s="19"/>
      <c r="C326" s="4"/>
      <c r="D326" s="4"/>
      <c r="E326" s="4"/>
      <c r="F326" s="4"/>
      <c r="G326" s="4"/>
      <c r="H326" s="4"/>
      <c r="I326" s="4"/>
      <c r="J326" s="4"/>
      <c r="K326" s="4"/>
      <c r="L326" s="4"/>
      <c r="M326" s="4"/>
      <c r="N326" s="4"/>
      <c r="O326" s="4"/>
      <c r="P326" s="4"/>
      <c r="Q326" s="4"/>
      <c r="R326" s="4"/>
      <c r="S326" s="4"/>
      <c r="T326" s="4"/>
      <c r="U326" s="4"/>
      <c r="V326" s="4"/>
      <c r="W326" s="4"/>
      <c r="X326" s="4"/>
      <c r="Y326" s="4"/>
    </row>
    <row r="327" ht="15.75" customHeight="1">
      <c r="A327" s="4"/>
      <c r="B327" s="19"/>
      <c r="C327" s="4"/>
      <c r="D327" s="4"/>
      <c r="E327" s="4"/>
      <c r="F327" s="4"/>
      <c r="G327" s="4"/>
      <c r="H327" s="4"/>
      <c r="I327" s="4"/>
      <c r="J327" s="4"/>
      <c r="K327" s="4"/>
      <c r="L327" s="4"/>
      <c r="M327" s="4"/>
      <c r="N327" s="4"/>
      <c r="O327" s="4"/>
      <c r="P327" s="4"/>
      <c r="Q327" s="4"/>
      <c r="R327" s="4"/>
      <c r="S327" s="4"/>
      <c r="T327" s="4"/>
      <c r="U327" s="4"/>
      <c r="V327" s="4"/>
      <c r="W327" s="4"/>
      <c r="X327" s="4"/>
      <c r="Y327" s="4"/>
    </row>
    <row r="328" ht="15.75" customHeight="1">
      <c r="A328" s="4"/>
      <c r="B328" s="19"/>
      <c r="C328" s="4"/>
      <c r="D328" s="4"/>
      <c r="E328" s="4"/>
      <c r="F328" s="4"/>
      <c r="G328" s="4"/>
      <c r="H328" s="4"/>
      <c r="I328" s="4"/>
      <c r="J328" s="4"/>
      <c r="K328" s="4"/>
      <c r="L328" s="4"/>
      <c r="M328" s="4"/>
      <c r="N328" s="4"/>
      <c r="O328" s="4"/>
      <c r="P328" s="4"/>
      <c r="Q328" s="4"/>
      <c r="R328" s="4"/>
      <c r="S328" s="4"/>
      <c r="T328" s="4"/>
      <c r="U328" s="4"/>
      <c r="V328" s="4"/>
      <c r="W328" s="4"/>
      <c r="X328" s="4"/>
      <c r="Y328" s="4"/>
    </row>
    <row r="329" ht="15.75" customHeight="1">
      <c r="A329" s="4"/>
      <c r="B329" s="19"/>
      <c r="C329" s="4"/>
      <c r="D329" s="4"/>
      <c r="E329" s="4"/>
      <c r="F329" s="4"/>
      <c r="G329" s="4"/>
      <c r="H329" s="4"/>
      <c r="I329" s="4"/>
      <c r="J329" s="4"/>
      <c r="K329" s="4"/>
      <c r="L329" s="4"/>
      <c r="M329" s="4"/>
      <c r="N329" s="4"/>
      <c r="O329" s="4"/>
      <c r="P329" s="4"/>
      <c r="Q329" s="4"/>
      <c r="R329" s="4"/>
      <c r="S329" s="4"/>
      <c r="T329" s="4"/>
      <c r="U329" s="4"/>
      <c r="V329" s="4"/>
      <c r="W329" s="4"/>
      <c r="X329" s="4"/>
      <c r="Y329" s="4"/>
    </row>
    <row r="330" ht="15.75" customHeight="1">
      <c r="A330" s="4"/>
      <c r="B330" s="19"/>
      <c r="C330" s="4"/>
      <c r="D330" s="4"/>
      <c r="E330" s="4"/>
      <c r="F330" s="4"/>
      <c r="G330" s="4"/>
      <c r="H330" s="4"/>
      <c r="I330" s="4"/>
      <c r="J330" s="4"/>
      <c r="K330" s="4"/>
      <c r="L330" s="4"/>
      <c r="M330" s="4"/>
      <c r="N330" s="4"/>
      <c r="O330" s="4"/>
      <c r="P330" s="4"/>
      <c r="Q330" s="4"/>
      <c r="R330" s="4"/>
      <c r="S330" s="4"/>
      <c r="T330" s="4"/>
      <c r="U330" s="4"/>
      <c r="V330" s="4"/>
      <c r="W330" s="4"/>
      <c r="X330" s="4"/>
      <c r="Y330" s="4"/>
    </row>
    <row r="331" ht="15.75" customHeight="1">
      <c r="A331" s="4"/>
      <c r="B331" s="19"/>
      <c r="C331" s="4"/>
      <c r="D331" s="4"/>
      <c r="E331" s="4"/>
      <c r="F331" s="4"/>
      <c r="G331" s="4"/>
      <c r="H331" s="4"/>
      <c r="I331" s="4"/>
      <c r="J331" s="4"/>
      <c r="K331" s="4"/>
      <c r="L331" s="4"/>
      <c r="M331" s="4"/>
      <c r="N331" s="4"/>
      <c r="O331" s="4"/>
      <c r="P331" s="4"/>
      <c r="Q331" s="4"/>
      <c r="R331" s="4"/>
      <c r="S331" s="4"/>
      <c r="T331" s="4"/>
      <c r="U331" s="4"/>
      <c r="V331" s="4"/>
      <c r="W331" s="4"/>
      <c r="X331" s="4"/>
      <c r="Y331" s="4"/>
    </row>
    <row r="332" ht="15.75" customHeight="1">
      <c r="A332" s="4"/>
      <c r="B332" s="19"/>
      <c r="C332" s="4"/>
      <c r="D332" s="4"/>
      <c r="E332" s="4"/>
      <c r="F332" s="4"/>
      <c r="G332" s="4"/>
      <c r="H332" s="4"/>
      <c r="I332" s="4"/>
      <c r="J332" s="4"/>
      <c r="K332" s="4"/>
      <c r="L332" s="4"/>
      <c r="M332" s="4"/>
      <c r="N332" s="4"/>
      <c r="O332" s="4"/>
      <c r="P332" s="4"/>
      <c r="Q332" s="4"/>
      <c r="R332" s="4"/>
      <c r="S332" s="4"/>
      <c r="T332" s="4"/>
      <c r="U332" s="4"/>
      <c r="V332" s="4"/>
      <c r="W332" s="4"/>
      <c r="X332" s="4"/>
      <c r="Y332" s="4"/>
    </row>
    <row r="333" ht="15.75" customHeight="1">
      <c r="A333" s="4"/>
      <c r="B333" s="19"/>
      <c r="C333" s="4"/>
      <c r="D333" s="4"/>
      <c r="E333" s="4"/>
      <c r="F333" s="4"/>
      <c r="G333" s="4"/>
      <c r="H333" s="4"/>
      <c r="I333" s="4"/>
      <c r="J333" s="4"/>
      <c r="K333" s="4"/>
      <c r="L333" s="4"/>
      <c r="M333" s="4"/>
      <c r="N333" s="4"/>
      <c r="O333" s="4"/>
      <c r="P333" s="4"/>
      <c r="Q333" s="4"/>
      <c r="R333" s="4"/>
      <c r="S333" s="4"/>
      <c r="T333" s="4"/>
      <c r="U333" s="4"/>
      <c r="V333" s="4"/>
      <c r="W333" s="4"/>
      <c r="X333" s="4"/>
      <c r="Y333" s="4"/>
    </row>
    <row r="334" ht="15.75" customHeight="1">
      <c r="A334" s="4"/>
      <c r="B334" s="19"/>
      <c r="C334" s="4"/>
      <c r="D334" s="4"/>
      <c r="E334" s="4"/>
      <c r="F334" s="4"/>
      <c r="G334" s="4"/>
      <c r="H334" s="4"/>
      <c r="I334" s="4"/>
      <c r="J334" s="4"/>
      <c r="K334" s="4"/>
      <c r="L334" s="4"/>
      <c r="M334" s="4"/>
      <c r="N334" s="4"/>
      <c r="O334" s="4"/>
      <c r="P334" s="4"/>
      <c r="Q334" s="4"/>
      <c r="R334" s="4"/>
      <c r="S334" s="4"/>
      <c r="T334" s="4"/>
      <c r="U334" s="4"/>
      <c r="V334" s="4"/>
      <c r="W334" s="4"/>
      <c r="X334" s="4"/>
      <c r="Y334" s="4"/>
    </row>
    <row r="335" ht="15.75" customHeight="1">
      <c r="A335" s="4"/>
      <c r="B335" s="19"/>
      <c r="C335" s="4"/>
      <c r="D335" s="4"/>
      <c r="E335" s="4"/>
      <c r="F335" s="4"/>
      <c r="G335" s="4"/>
      <c r="H335" s="4"/>
      <c r="I335" s="4"/>
      <c r="J335" s="4"/>
      <c r="K335" s="4"/>
      <c r="L335" s="4"/>
      <c r="M335" s="4"/>
      <c r="N335" s="4"/>
      <c r="O335" s="4"/>
      <c r="P335" s="4"/>
      <c r="Q335" s="4"/>
      <c r="R335" s="4"/>
      <c r="S335" s="4"/>
      <c r="T335" s="4"/>
      <c r="U335" s="4"/>
      <c r="V335" s="4"/>
      <c r="W335" s="4"/>
      <c r="X335" s="4"/>
      <c r="Y335" s="4"/>
    </row>
    <row r="336" ht="15.75" customHeight="1">
      <c r="A336" s="4"/>
      <c r="B336" s="19"/>
      <c r="C336" s="4"/>
      <c r="D336" s="4"/>
      <c r="E336" s="4"/>
      <c r="F336" s="4"/>
      <c r="G336" s="4"/>
      <c r="H336" s="4"/>
      <c r="I336" s="4"/>
      <c r="J336" s="4"/>
      <c r="K336" s="4"/>
      <c r="L336" s="4"/>
      <c r="M336" s="4"/>
      <c r="N336" s="4"/>
      <c r="O336" s="4"/>
      <c r="P336" s="4"/>
      <c r="Q336" s="4"/>
      <c r="R336" s="4"/>
      <c r="S336" s="4"/>
      <c r="T336" s="4"/>
      <c r="U336" s="4"/>
      <c r="V336" s="4"/>
      <c r="W336" s="4"/>
      <c r="X336" s="4"/>
      <c r="Y336" s="4"/>
    </row>
    <row r="337" ht="15.75" customHeight="1">
      <c r="A337" s="4"/>
      <c r="B337" s="19"/>
      <c r="C337" s="4"/>
      <c r="D337" s="4"/>
      <c r="E337" s="4"/>
      <c r="F337" s="4"/>
      <c r="G337" s="4"/>
      <c r="H337" s="4"/>
      <c r="I337" s="4"/>
      <c r="J337" s="4"/>
      <c r="K337" s="4"/>
      <c r="L337" s="4"/>
      <c r="M337" s="4"/>
      <c r="N337" s="4"/>
      <c r="O337" s="4"/>
      <c r="P337" s="4"/>
      <c r="Q337" s="4"/>
      <c r="R337" s="4"/>
      <c r="S337" s="4"/>
      <c r="T337" s="4"/>
      <c r="U337" s="4"/>
      <c r="V337" s="4"/>
      <c r="W337" s="4"/>
      <c r="X337" s="4"/>
      <c r="Y337" s="4"/>
    </row>
    <row r="338" ht="15.75" customHeight="1">
      <c r="A338" s="4"/>
      <c r="B338" s="19"/>
      <c r="C338" s="4"/>
      <c r="D338" s="4"/>
      <c r="E338" s="4"/>
      <c r="F338" s="4"/>
      <c r="G338" s="4"/>
      <c r="H338" s="4"/>
      <c r="I338" s="4"/>
      <c r="J338" s="4"/>
      <c r="K338" s="4"/>
      <c r="L338" s="4"/>
      <c r="M338" s="4"/>
      <c r="N338" s="4"/>
      <c r="O338" s="4"/>
      <c r="P338" s="4"/>
      <c r="Q338" s="4"/>
      <c r="R338" s="4"/>
      <c r="S338" s="4"/>
      <c r="T338" s="4"/>
      <c r="U338" s="4"/>
      <c r="V338" s="4"/>
      <c r="W338" s="4"/>
      <c r="X338" s="4"/>
      <c r="Y338" s="4"/>
    </row>
    <row r="339" ht="15.75" customHeight="1">
      <c r="A339" s="4"/>
      <c r="B339" s="19"/>
      <c r="C339" s="4"/>
      <c r="D339" s="4"/>
      <c r="E339" s="4"/>
      <c r="F339" s="4"/>
      <c r="G339" s="4"/>
      <c r="H339" s="4"/>
      <c r="I339" s="4"/>
      <c r="J339" s="4"/>
      <c r="K339" s="4"/>
      <c r="L339" s="4"/>
      <c r="M339" s="4"/>
      <c r="N339" s="4"/>
      <c r="O339" s="4"/>
      <c r="P339" s="4"/>
      <c r="Q339" s="4"/>
      <c r="R339" s="4"/>
      <c r="S339" s="4"/>
      <c r="T339" s="4"/>
      <c r="U339" s="4"/>
      <c r="V339" s="4"/>
      <c r="W339" s="4"/>
      <c r="X339" s="4"/>
      <c r="Y339" s="4"/>
    </row>
    <row r="340" ht="15.75" customHeight="1">
      <c r="A340" s="4"/>
      <c r="B340" s="19"/>
      <c r="C340" s="4"/>
      <c r="D340" s="4"/>
      <c r="E340" s="4"/>
      <c r="F340" s="4"/>
      <c r="G340" s="4"/>
      <c r="H340" s="4"/>
      <c r="I340" s="4"/>
      <c r="J340" s="4"/>
      <c r="K340" s="4"/>
      <c r="L340" s="4"/>
      <c r="M340" s="4"/>
      <c r="N340" s="4"/>
      <c r="O340" s="4"/>
      <c r="P340" s="4"/>
      <c r="Q340" s="4"/>
      <c r="R340" s="4"/>
      <c r="S340" s="4"/>
      <c r="T340" s="4"/>
      <c r="U340" s="4"/>
      <c r="V340" s="4"/>
      <c r="W340" s="4"/>
      <c r="X340" s="4"/>
      <c r="Y340" s="4"/>
    </row>
    <row r="341" ht="15.75" customHeight="1">
      <c r="A341" s="4"/>
      <c r="B341" s="19"/>
      <c r="C341" s="4"/>
      <c r="D341" s="4"/>
      <c r="E341" s="4"/>
      <c r="F341" s="4"/>
      <c r="G341" s="4"/>
      <c r="H341" s="4"/>
      <c r="I341" s="4"/>
      <c r="J341" s="4"/>
      <c r="K341" s="4"/>
      <c r="L341" s="4"/>
      <c r="M341" s="4"/>
      <c r="N341" s="4"/>
      <c r="O341" s="4"/>
      <c r="P341" s="4"/>
      <c r="Q341" s="4"/>
      <c r="R341" s="4"/>
      <c r="S341" s="4"/>
      <c r="T341" s="4"/>
      <c r="U341" s="4"/>
      <c r="V341" s="4"/>
      <c r="W341" s="4"/>
      <c r="X341" s="4"/>
      <c r="Y341" s="4"/>
    </row>
    <row r="342" ht="15.75" customHeight="1">
      <c r="A342" s="4"/>
      <c r="B342" s="19"/>
      <c r="C342" s="4"/>
      <c r="D342" s="4"/>
      <c r="E342" s="4"/>
      <c r="F342" s="4"/>
      <c r="G342" s="4"/>
      <c r="H342" s="4"/>
      <c r="I342" s="4"/>
      <c r="J342" s="4"/>
      <c r="K342" s="4"/>
      <c r="L342" s="4"/>
      <c r="M342" s="4"/>
      <c r="N342" s="4"/>
      <c r="O342" s="4"/>
      <c r="P342" s="4"/>
      <c r="Q342" s="4"/>
      <c r="R342" s="4"/>
      <c r="S342" s="4"/>
      <c r="T342" s="4"/>
      <c r="U342" s="4"/>
      <c r="V342" s="4"/>
      <c r="W342" s="4"/>
      <c r="X342" s="4"/>
      <c r="Y342" s="4"/>
    </row>
    <row r="343" ht="15.75" customHeight="1">
      <c r="A343" s="4"/>
      <c r="B343" s="19"/>
      <c r="C343" s="4"/>
      <c r="D343" s="4"/>
      <c r="E343" s="4"/>
      <c r="F343" s="4"/>
      <c r="G343" s="4"/>
      <c r="H343" s="4"/>
      <c r="I343" s="4"/>
      <c r="J343" s="4"/>
      <c r="K343" s="4"/>
      <c r="L343" s="4"/>
      <c r="M343" s="4"/>
      <c r="N343" s="4"/>
      <c r="O343" s="4"/>
      <c r="P343" s="4"/>
      <c r="Q343" s="4"/>
      <c r="R343" s="4"/>
      <c r="S343" s="4"/>
      <c r="T343" s="4"/>
      <c r="U343" s="4"/>
      <c r="V343" s="4"/>
      <c r="W343" s="4"/>
      <c r="X343" s="4"/>
      <c r="Y343" s="4"/>
    </row>
    <row r="344" ht="15.75" customHeight="1">
      <c r="A344" s="4"/>
      <c r="B344" s="19"/>
      <c r="C344" s="4"/>
      <c r="D344" s="4"/>
      <c r="E344" s="4"/>
      <c r="F344" s="4"/>
      <c r="G344" s="4"/>
      <c r="H344" s="4"/>
      <c r="I344" s="4"/>
      <c r="J344" s="4"/>
      <c r="K344" s="4"/>
      <c r="L344" s="4"/>
      <c r="M344" s="4"/>
      <c r="N344" s="4"/>
      <c r="O344" s="4"/>
      <c r="P344" s="4"/>
      <c r="Q344" s="4"/>
      <c r="R344" s="4"/>
      <c r="S344" s="4"/>
      <c r="T344" s="4"/>
      <c r="U344" s="4"/>
      <c r="V344" s="4"/>
      <c r="W344" s="4"/>
      <c r="X344" s="4"/>
      <c r="Y344" s="4"/>
    </row>
    <row r="345" ht="15.75" customHeight="1">
      <c r="A345" s="4"/>
      <c r="B345" s="19"/>
      <c r="C345" s="4"/>
      <c r="D345" s="4"/>
      <c r="E345" s="4"/>
      <c r="F345" s="4"/>
      <c r="G345" s="4"/>
      <c r="H345" s="4"/>
      <c r="I345" s="4"/>
      <c r="J345" s="4"/>
      <c r="K345" s="4"/>
      <c r="L345" s="4"/>
      <c r="M345" s="4"/>
      <c r="N345" s="4"/>
      <c r="O345" s="4"/>
      <c r="P345" s="4"/>
      <c r="Q345" s="4"/>
      <c r="R345" s="4"/>
      <c r="S345" s="4"/>
      <c r="T345" s="4"/>
      <c r="U345" s="4"/>
      <c r="V345" s="4"/>
      <c r="W345" s="4"/>
      <c r="X345" s="4"/>
      <c r="Y345" s="4"/>
    </row>
    <row r="346" ht="15.75" customHeight="1">
      <c r="A346" s="4"/>
      <c r="B346" s="19"/>
      <c r="C346" s="4"/>
      <c r="D346" s="4"/>
      <c r="E346" s="4"/>
      <c r="F346" s="4"/>
      <c r="G346" s="4"/>
      <c r="H346" s="4"/>
      <c r="I346" s="4"/>
      <c r="J346" s="4"/>
      <c r="K346" s="4"/>
      <c r="L346" s="4"/>
      <c r="M346" s="4"/>
      <c r="N346" s="4"/>
      <c r="O346" s="4"/>
      <c r="P346" s="4"/>
      <c r="Q346" s="4"/>
      <c r="R346" s="4"/>
      <c r="S346" s="4"/>
      <c r="T346" s="4"/>
      <c r="U346" s="4"/>
      <c r="V346" s="4"/>
      <c r="W346" s="4"/>
      <c r="X346" s="4"/>
      <c r="Y346" s="4"/>
    </row>
    <row r="347" ht="15.75" customHeight="1">
      <c r="A347" s="4"/>
      <c r="B347" s="19"/>
      <c r="C347" s="4"/>
      <c r="D347" s="4"/>
      <c r="E347" s="4"/>
      <c r="F347" s="4"/>
      <c r="G347" s="4"/>
      <c r="H347" s="4"/>
      <c r="I347" s="4"/>
      <c r="J347" s="4"/>
      <c r="K347" s="4"/>
      <c r="L347" s="4"/>
      <c r="M347" s="4"/>
      <c r="N347" s="4"/>
      <c r="O347" s="4"/>
      <c r="P347" s="4"/>
      <c r="Q347" s="4"/>
      <c r="R347" s="4"/>
      <c r="S347" s="4"/>
      <c r="T347" s="4"/>
      <c r="U347" s="4"/>
      <c r="V347" s="4"/>
      <c r="W347" s="4"/>
      <c r="X347" s="4"/>
      <c r="Y347" s="4"/>
    </row>
    <row r="348" ht="15.75" customHeight="1">
      <c r="A348" s="4"/>
      <c r="B348" s="19"/>
      <c r="C348" s="4"/>
      <c r="D348" s="4"/>
      <c r="E348" s="4"/>
      <c r="F348" s="4"/>
      <c r="G348" s="4"/>
      <c r="H348" s="4"/>
      <c r="I348" s="4"/>
      <c r="J348" s="4"/>
      <c r="K348" s="4"/>
      <c r="L348" s="4"/>
      <c r="M348" s="4"/>
      <c r="N348" s="4"/>
      <c r="O348" s="4"/>
      <c r="P348" s="4"/>
      <c r="Q348" s="4"/>
      <c r="R348" s="4"/>
      <c r="S348" s="4"/>
      <c r="T348" s="4"/>
      <c r="U348" s="4"/>
      <c r="V348" s="4"/>
      <c r="W348" s="4"/>
      <c r="X348" s="4"/>
      <c r="Y348" s="4"/>
    </row>
    <row r="349" ht="15.75" customHeight="1">
      <c r="A349" s="4"/>
      <c r="B349" s="19"/>
      <c r="C349" s="4"/>
      <c r="D349" s="4"/>
      <c r="E349" s="4"/>
      <c r="F349" s="4"/>
      <c r="G349" s="4"/>
      <c r="H349" s="4"/>
      <c r="I349" s="4"/>
      <c r="J349" s="4"/>
      <c r="K349" s="4"/>
      <c r="L349" s="4"/>
      <c r="M349" s="4"/>
      <c r="N349" s="4"/>
      <c r="O349" s="4"/>
      <c r="P349" s="4"/>
      <c r="Q349" s="4"/>
      <c r="R349" s="4"/>
      <c r="S349" s="4"/>
      <c r="T349" s="4"/>
      <c r="U349" s="4"/>
      <c r="V349" s="4"/>
      <c r="W349" s="4"/>
      <c r="X349" s="4"/>
      <c r="Y349" s="4"/>
    </row>
    <row r="350" ht="15.75" customHeight="1">
      <c r="A350" s="4"/>
      <c r="B350" s="19"/>
      <c r="C350" s="4"/>
      <c r="D350" s="4"/>
      <c r="E350" s="4"/>
      <c r="F350" s="4"/>
      <c r="G350" s="4"/>
      <c r="H350" s="4"/>
      <c r="I350" s="4"/>
      <c r="J350" s="4"/>
      <c r="K350" s="4"/>
      <c r="L350" s="4"/>
      <c r="M350" s="4"/>
      <c r="N350" s="4"/>
      <c r="O350" s="4"/>
      <c r="P350" s="4"/>
      <c r="Q350" s="4"/>
      <c r="R350" s="4"/>
      <c r="S350" s="4"/>
      <c r="T350" s="4"/>
      <c r="U350" s="4"/>
      <c r="V350" s="4"/>
      <c r="W350" s="4"/>
      <c r="X350" s="4"/>
      <c r="Y350" s="4"/>
    </row>
    <row r="351" ht="15.75" customHeight="1">
      <c r="A351" s="4"/>
      <c r="B351" s="19"/>
      <c r="C351" s="4"/>
      <c r="D351" s="4"/>
      <c r="E351" s="4"/>
      <c r="F351" s="4"/>
      <c r="G351" s="4"/>
      <c r="H351" s="4"/>
      <c r="I351" s="4"/>
      <c r="J351" s="4"/>
      <c r="K351" s="4"/>
      <c r="L351" s="4"/>
      <c r="M351" s="4"/>
      <c r="N351" s="4"/>
      <c r="O351" s="4"/>
      <c r="P351" s="4"/>
      <c r="Q351" s="4"/>
      <c r="R351" s="4"/>
      <c r="S351" s="4"/>
      <c r="T351" s="4"/>
      <c r="U351" s="4"/>
      <c r="V351" s="4"/>
      <c r="W351" s="4"/>
      <c r="X351" s="4"/>
      <c r="Y351" s="4"/>
    </row>
    <row r="352" ht="15.75" customHeight="1">
      <c r="A352" s="4"/>
      <c r="B352" s="19"/>
      <c r="C352" s="4"/>
      <c r="D352" s="4"/>
      <c r="E352" s="4"/>
      <c r="F352" s="4"/>
      <c r="G352" s="4"/>
      <c r="H352" s="4"/>
      <c r="I352" s="4"/>
      <c r="J352" s="4"/>
      <c r="K352" s="4"/>
      <c r="L352" s="4"/>
      <c r="M352" s="4"/>
      <c r="N352" s="4"/>
      <c r="O352" s="4"/>
      <c r="P352" s="4"/>
      <c r="Q352" s="4"/>
      <c r="R352" s="4"/>
      <c r="S352" s="4"/>
      <c r="T352" s="4"/>
      <c r="U352" s="4"/>
      <c r="V352" s="4"/>
      <c r="W352" s="4"/>
      <c r="X352" s="4"/>
      <c r="Y352" s="4"/>
    </row>
    <row r="353" ht="15.75" customHeight="1">
      <c r="A353" s="4"/>
      <c r="B353" s="19"/>
      <c r="C353" s="4"/>
      <c r="D353" s="4"/>
      <c r="E353" s="4"/>
      <c r="F353" s="4"/>
      <c r="G353" s="4"/>
      <c r="H353" s="4"/>
      <c r="I353" s="4"/>
      <c r="J353" s="4"/>
      <c r="K353" s="4"/>
      <c r="L353" s="4"/>
      <c r="M353" s="4"/>
      <c r="N353" s="4"/>
      <c r="O353" s="4"/>
      <c r="P353" s="4"/>
      <c r="Q353" s="4"/>
      <c r="R353" s="4"/>
      <c r="S353" s="4"/>
      <c r="T353" s="4"/>
      <c r="U353" s="4"/>
      <c r="V353" s="4"/>
      <c r="W353" s="4"/>
      <c r="X353" s="4"/>
      <c r="Y353" s="4"/>
    </row>
    <row r="354" ht="15.75" customHeight="1">
      <c r="A354" s="4"/>
      <c r="B354" s="19"/>
      <c r="C354" s="4"/>
      <c r="D354" s="4"/>
      <c r="E354" s="4"/>
      <c r="F354" s="4"/>
      <c r="G354" s="4"/>
      <c r="H354" s="4"/>
      <c r="I354" s="4"/>
      <c r="J354" s="4"/>
      <c r="K354" s="4"/>
      <c r="L354" s="4"/>
      <c r="M354" s="4"/>
      <c r="N354" s="4"/>
      <c r="O354" s="4"/>
      <c r="P354" s="4"/>
      <c r="Q354" s="4"/>
      <c r="R354" s="4"/>
      <c r="S354" s="4"/>
      <c r="T354" s="4"/>
      <c r="U354" s="4"/>
      <c r="V354" s="4"/>
      <c r="W354" s="4"/>
      <c r="X354" s="4"/>
      <c r="Y354" s="4"/>
    </row>
    <row r="355" ht="15.75" customHeight="1">
      <c r="A355" s="4"/>
      <c r="B355" s="19"/>
      <c r="C355" s="4"/>
      <c r="D355" s="4"/>
      <c r="E355" s="4"/>
      <c r="F355" s="4"/>
      <c r="G355" s="4"/>
      <c r="H355" s="4"/>
      <c r="I355" s="4"/>
      <c r="J355" s="4"/>
      <c r="K355" s="4"/>
      <c r="L355" s="4"/>
      <c r="M355" s="4"/>
      <c r="N355" s="4"/>
      <c r="O355" s="4"/>
      <c r="P355" s="4"/>
      <c r="Q355" s="4"/>
      <c r="R355" s="4"/>
      <c r="S355" s="4"/>
      <c r="T355" s="4"/>
      <c r="U355" s="4"/>
      <c r="V355" s="4"/>
      <c r="W355" s="4"/>
      <c r="X355" s="4"/>
      <c r="Y355" s="4"/>
    </row>
    <row r="356" ht="15.75" customHeight="1">
      <c r="A356" s="4"/>
      <c r="B356" s="19"/>
      <c r="C356" s="4"/>
      <c r="D356" s="4"/>
      <c r="E356" s="4"/>
      <c r="F356" s="4"/>
      <c r="G356" s="4"/>
      <c r="H356" s="4"/>
      <c r="I356" s="4"/>
      <c r="J356" s="4"/>
      <c r="K356" s="4"/>
      <c r="L356" s="4"/>
      <c r="M356" s="4"/>
      <c r="N356" s="4"/>
      <c r="O356" s="4"/>
      <c r="P356" s="4"/>
      <c r="Q356" s="4"/>
      <c r="R356" s="4"/>
      <c r="S356" s="4"/>
      <c r="T356" s="4"/>
      <c r="U356" s="4"/>
      <c r="V356" s="4"/>
      <c r="W356" s="4"/>
      <c r="X356" s="4"/>
      <c r="Y356" s="4"/>
    </row>
    <row r="357" ht="15.75" customHeight="1">
      <c r="A357" s="4"/>
      <c r="B357" s="19"/>
      <c r="C357" s="4"/>
      <c r="D357" s="4"/>
      <c r="E357" s="4"/>
      <c r="F357" s="4"/>
      <c r="G357" s="4"/>
      <c r="H357" s="4"/>
      <c r="I357" s="4"/>
      <c r="J357" s="4"/>
      <c r="K357" s="4"/>
      <c r="L357" s="4"/>
      <c r="M357" s="4"/>
      <c r="N357" s="4"/>
      <c r="O357" s="4"/>
      <c r="P357" s="4"/>
      <c r="Q357" s="4"/>
      <c r="R357" s="4"/>
      <c r="S357" s="4"/>
      <c r="T357" s="4"/>
      <c r="U357" s="4"/>
      <c r="V357" s="4"/>
      <c r="W357" s="4"/>
      <c r="X357" s="4"/>
      <c r="Y357" s="4"/>
    </row>
    <row r="358" ht="15.75" customHeight="1">
      <c r="A358" s="4"/>
      <c r="B358" s="19"/>
      <c r="C358" s="4"/>
      <c r="D358" s="4"/>
      <c r="E358" s="4"/>
      <c r="F358" s="4"/>
      <c r="G358" s="4"/>
      <c r="H358" s="4"/>
      <c r="I358" s="4"/>
      <c r="J358" s="4"/>
      <c r="K358" s="4"/>
      <c r="L358" s="4"/>
      <c r="M358" s="4"/>
      <c r="N358" s="4"/>
      <c r="O358" s="4"/>
      <c r="P358" s="4"/>
      <c r="Q358" s="4"/>
      <c r="R358" s="4"/>
      <c r="S358" s="4"/>
      <c r="T358" s="4"/>
      <c r="U358" s="4"/>
      <c r="V358" s="4"/>
      <c r="W358" s="4"/>
      <c r="X358" s="4"/>
      <c r="Y358" s="4"/>
    </row>
    <row r="359" ht="15.75" customHeight="1">
      <c r="A359" s="4"/>
      <c r="B359" s="19"/>
      <c r="C359" s="4"/>
      <c r="D359" s="4"/>
      <c r="E359" s="4"/>
      <c r="F359" s="4"/>
      <c r="G359" s="4"/>
      <c r="H359" s="4"/>
      <c r="I359" s="4"/>
      <c r="J359" s="4"/>
      <c r="K359" s="4"/>
      <c r="L359" s="4"/>
      <c r="M359" s="4"/>
      <c r="N359" s="4"/>
      <c r="O359" s="4"/>
      <c r="P359" s="4"/>
      <c r="Q359" s="4"/>
      <c r="R359" s="4"/>
      <c r="S359" s="4"/>
      <c r="T359" s="4"/>
      <c r="U359" s="4"/>
      <c r="V359" s="4"/>
      <c r="W359" s="4"/>
      <c r="X359" s="4"/>
      <c r="Y359" s="4"/>
    </row>
    <row r="360" ht="15.75" customHeight="1">
      <c r="A360" s="4"/>
      <c r="B360" s="19"/>
      <c r="C360" s="4"/>
      <c r="D360" s="4"/>
      <c r="E360" s="4"/>
      <c r="F360" s="4"/>
      <c r="G360" s="4"/>
      <c r="H360" s="4"/>
      <c r="I360" s="4"/>
      <c r="J360" s="4"/>
      <c r="K360" s="4"/>
      <c r="L360" s="4"/>
      <c r="M360" s="4"/>
      <c r="N360" s="4"/>
      <c r="O360" s="4"/>
      <c r="P360" s="4"/>
      <c r="Q360" s="4"/>
      <c r="R360" s="4"/>
      <c r="S360" s="4"/>
      <c r="T360" s="4"/>
      <c r="U360" s="4"/>
      <c r="V360" s="4"/>
      <c r="W360" s="4"/>
      <c r="X360" s="4"/>
      <c r="Y360" s="4"/>
    </row>
    <row r="361" ht="15.75" customHeight="1">
      <c r="A361" s="4"/>
      <c r="B361" s="19"/>
      <c r="C361" s="4"/>
      <c r="D361" s="4"/>
      <c r="E361" s="4"/>
      <c r="F361" s="4"/>
      <c r="G361" s="4"/>
      <c r="H361" s="4"/>
      <c r="I361" s="4"/>
      <c r="J361" s="4"/>
      <c r="K361" s="4"/>
      <c r="L361" s="4"/>
      <c r="M361" s="4"/>
      <c r="N361" s="4"/>
      <c r="O361" s="4"/>
      <c r="P361" s="4"/>
      <c r="Q361" s="4"/>
      <c r="R361" s="4"/>
      <c r="S361" s="4"/>
      <c r="T361" s="4"/>
      <c r="U361" s="4"/>
      <c r="V361" s="4"/>
      <c r="W361" s="4"/>
      <c r="X361" s="4"/>
      <c r="Y361" s="4"/>
    </row>
    <row r="362" ht="15.75" customHeight="1">
      <c r="A362" s="4"/>
      <c r="B362" s="19"/>
      <c r="C362" s="4"/>
      <c r="D362" s="4"/>
      <c r="E362" s="4"/>
      <c r="F362" s="4"/>
      <c r="G362" s="4"/>
      <c r="H362" s="4"/>
      <c r="I362" s="4"/>
      <c r="J362" s="4"/>
      <c r="K362" s="4"/>
      <c r="L362" s="4"/>
      <c r="M362" s="4"/>
      <c r="N362" s="4"/>
      <c r="O362" s="4"/>
      <c r="P362" s="4"/>
      <c r="Q362" s="4"/>
      <c r="R362" s="4"/>
      <c r="S362" s="4"/>
      <c r="T362" s="4"/>
      <c r="U362" s="4"/>
      <c r="V362" s="4"/>
      <c r="W362" s="4"/>
      <c r="X362" s="4"/>
      <c r="Y362" s="4"/>
    </row>
    <row r="363" ht="15.75" customHeight="1">
      <c r="A363" s="4"/>
      <c r="B363" s="19"/>
      <c r="C363" s="4"/>
      <c r="D363" s="4"/>
      <c r="E363" s="4"/>
      <c r="F363" s="4"/>
      <c r="G363" s="4"/>
      <c r="H363" s="4"/>
      <c r="I363" s="4"/>
      <c r="J363" s="4"/>
      <c r="K363" s="4"/>
      <c r="L363" s="4"/>
      <c r="M363" s="4"/>
      <c r="N363" s="4"/>
      <c r="O363" s="4"/>
      <c r="P363" s="4"/>
      <c r="Q363" s="4"/>
      <c r="R363" s="4"/>
      <c r="S363" s="4"/>
      <c r="T363" s="4"/>
      <c r="U363" s="4"/>
      <c r="V363" s="4"/>
      <c r="W363" s="4"/>
      <c r="X363" s="4"/>
      <c r="Y363" s="4"/>
    </row>
    <row r="364" ht="15.75" customHeight="1">
      <c r="A364" s="4"/>
      <c r="B364" s="19"/>
      <c r="C364" s="4"/>
      <c r="D364" s="4"/>
      <c r="E364" s="4"/>
      <c r="F364" s="4"/>
      <c r="G364" s="4"/>
      <c r="H364" s="4"/>
      <c r="I364" s="4"/>
      <c r="J364" s="4"/>
      <c r="K364" s="4"/>
      <c r="L364" s="4"/>
      <c r="M364" s="4"/>
      <c r="N364" s="4"/>
      <c r="O364" s="4"/>
      <c r="P364" s="4"/>
      <c r="Q364" s="4"/>
      <c r="R364" s="4"/>
      <c r="S364" s="4"/>
      <c r="T364" s="4"/>
      <c r="U364" s="4"/>
      <c r="V364" s="4"/>
      <c r="W364" s="4"/>
      <c r="X364" s="4"/>
      <c r="Y364" s="4"/>
    </row>
    <row r="365" ht="15.75" customHeight="1">
      <c r="A365" s="4"/>
      <c r="B365" s="19"/>
      <c r="C365" s="4"/>
      <c r="D365" s="4"/>
      <c r="E365" s="4"/>
      <c r="F365" s="4"/>
      <c r="G365" s="4"/>
      <c r="H365" s="4"/>
      <c r="I365" s="4"/>
      <c r="J365" s="4"/>
      <c r="K365" s="4"/>
      <c r="L365" s="4"/>
      <c r="M365" s="4"/>
      <c r="N365" s="4"/>
      <c r="O365" s="4"/>
      <c r="P365" s="4"/>
      <c r="Q365" s="4"/>
      <c r="R365" s="4"/>
      <c r="S365" s="4"/>
      <c r="T365" s="4"/>
      <c r="U365" s="4"/>
      <c r="V365" s="4"/>
      <c r="W365" s="4"/>
      <c r="X365" s="4"/>
      <c r="Y365" s="4"/>
    </row>
    <row r="366" ht="15.75" customHeight="1">
      <c r="A366" s="4"/>
      <c r="B366" s="19"/>
      <c r="C366" s="4"/>
      <c r="D366" s="4"/>
      <c r="E366" s="4"/>
      <c r="F366" s="4"/>
      <c r="G366" s="4"/>
      <c r="H366" s="4"/>
      <c r="I366" s="4"/>
      <c r="J366" s="4"/>
      <c r="K366" s="4"/>
      <c r="L366" s="4"/>
      <c r="M366" s="4"/>
      <c r="N366" s="4"/>
      <c r="O366" s="4"/>
      <c r="P366" s="4"/>
      <c r="Q366" s="4"/>
      <c r="R366" s="4"/>
      <c r="S366" s="4"/>
      <c r="T366" s="4"/>
      <c r="U366" s="4"/>
      <c r="V366" s="4"/>
      <c r="W366" s="4"/>
      <c r="X366" s="4"/>
      <c r="Y366" s="4"/>
    </row>
    <row r="367" ht="15.75" customHeight="1">
      <c r="A367" s="4"/>
      <c r="B367" s="19"/>
      <c r="C367" s="4"/>
      <c r="D367" s="4"/>
      <c r="E367" s="4"/>
      <c r="F367" s="4"/>
      <c r="G367" s="4"/>
      <c r="H367" s="4"/>
      <c r="I367" s="4"/>
      <c r="J367" s="4"/>
      <c r="K367" s="4"/>
      <c r="L367" s="4"/>
      <c r="M367" s="4"/>
      <c r="N367" s="4"/>
      <c r="O367" s="4"/>
      <c r="P367" s="4"/>
      <c r="Q367" s="4"/>
      <c r="R367" s="4"/>
      <c r="S367" s="4"/>
      <c r="T367" s="4"/>
      <c r="U367" s="4"/>
      <c r="V367" s="4"/>
      <c r="W367" s="4"/>
      <c r="X367" s="4"/>
      <c r="Y367" s="4"/>
    </row>
    <row r="368" ht="15.75" customHeight="1">
      <c r="A368" s="4"/>
      <c r="B368" s="19"/>
      <c r="C368" s="4"/>
      <c r="D368" s="4"/>
      <c r="E368" s="4"/>
      <c r="F368" s="4"/>
      <c r="G368" s="4"/>
      <c r="H368" s="4"/>
      <c r="I368" s="4"/>
      <c r="J368" s="4"/>
      <c r="K368" s="4"/>
      <c r="L368" s="4"/>
      <c r="M368" s="4"/>
      <c r="N368" s="4"/>
      <c r="O368" s="4"/>
      <c r="P368" s="4"/>
      <c r="Q368" s="4"/>
      <c r="R368" s="4"/>
      <c r="S368" s="4"/>
      <c r="T368" s="4"/>
      <c r="U368" s="4"/>
      <c r="V368" s="4"/>
      <c r="W368" s="4"/>
      <c r="X368" s="4"/>
      <c r="Y368" s="4"/>
    </row>
    <row r="369" ht="15.75" customHeight="1">
      <c r="A369" s="4"/>
      <c r="B369" s="19"/>
      <c r="C369" s="4"/>
      <c r="D369" s="4"/>
      <c r="E369" s="4"/>
      <c r="F369" s="4"/>
      <c r="G369" s="4"/>
      <c r="H369" s="4"/>
      <c r="I369" s="4"/>
      <c r="J369" s="4"/>
      <c r="K369" s="4"/>
      <c r="L369" s="4"/>
      <c r="M369" s="4"/>
      <c r="N369" s="4"/>
      <c r="O369" s="4"/>
      <c r="P369" s="4"/>
      <c r="Q369" s="4"/>
      <c r="R369" s="4"/>
      <c r="S369" s="4"/>
      <c r="T369" s="4"/>
      <c r="U369" s="4"/>
      <c r="V369" s="4"/>
      <c r="W369" s="4"/>
      <c r="X369" s="4"/>
      <c r="Y369" s="4"/>
    </row>
    <row r="370" ht="15.75" customHeight="1">
      <c r="A370" s="4"/>
      <c r="B370" s="19"/>
      <c r="C370" s="4"/>
      <c r="D370" s="4"/>
      <c r="E370" s="4"/>
      <c r="F370" s="4"/>
      <c r="G370" s="4"/>
      <c r="H370" s="4"/>
      <c r="I370" s="4"/>
      <c r="J370" s="4"/>
      <c r="K370" s="4"/>
      <c r="L370" s="4"/>
      <c r="M370" s="4"/>
      <c r="N370" s="4"/>
      <c r="O370" s="4"/>
      <c r="P370" s="4"/>
      <c r="Q370" s="4"/>
      <c r="R370" s="4"/>
      <c r="S370" s="4"/>
      <c r="T370" s="4"/>
      <c r="U370" s="4"/>
      <c r="V370" s="4"/>
      <c r="W370" s="4"/>
      <c r="X370" s="4"/>
      <c r="Y370" s="4"/>
    </row>
    <row r="371" ht="15.75" customHeight="1">
      <c r="A371" s="4"/>
      <c r="B371" s="19"/>
      <c r="C371" s="4"/>
      <c r="D371" s="4"/>
      <c r="E371" s="4"/>
      <c r="F371" s="4"/>
      <c r="G371" s="4"/>
      <c r="H371" s="4"/>
      <c r="I371" s="4"/>
      <c r="J371" s="4"/>
      <c r="K371" s="4"/>
      <c r="L371" s="4"/>
      <c r="M371" s="4"/>
      <c r="N371" s="4"/>
      <c r="O371" s="4"/>
      <c r="P371" s="4"/>
      <c r="Q371" s="4"/>
      <c r="R371" s="4"/>
      <c r="S371" s="4"/>
      <c r="T371" s="4"/>
      <c r="U371" s="4"/>
      <c r="V371" s="4"/>
      <c r="W371" s="4"/>
      <c r="X371" s="4"/>
      <c r="Y371" s="4"/>
    </row>
    <row r="372" ht="15.75" customHeight="1">
      <c r="A372" s="4"/>
      <c r="B372" s="19"/>
      <c r="C372" s="4"/>
      <c r="D372" s="4"/>
      <c r="E372" s="4"/>
      <c r="F372" s="4"/>
      <c r="G372" s="4"/>
      <c r="H372" s="4"/>
      <c r="I372" s="4"/>
      <c r="J372" s="4"/>
      <c r="K372" s="4"/>
      <c r="L372" s="4"/>
      <c r="M372" s="4"/>
      <c r="N372" s="4"/>
      <c r="O372" s="4"/>
      <c r="P372" s="4"/>
      <c r="Q372" s="4"/>
      <c r="R372" s="4"/>
      <c r="S372" s="4"/>
      <c r="T372" s="4"/>
      <c r="U372" s="4"/>
      <c r="V372" s="4"/>
      <c r="W372" s="4"/>
      <c r="X372" s="4"/>
      <c r="Y372" s="4"/>
    </row>
    <row r="373" ht="15.75" customHeight="1">
      <c r="A373" s="4"/>
      <c r="B373" s="19"/>
      <c r="C373" s="4"/>
      <c r="D373" s="4"/>
      <c r="E373" s="4"/>
      <c r="F373" s="4"/>
      <c r="G373" s="4"/>
      <c r="H373" s="4"/>
      <c r="I373" s="4"/>
      <c r="J373" s="4"/>
      <c r="K373" s="4"/>
      <c r="L373" s="4"/>
      <c r="M373" s="4"/>
      <c r="N373" s="4"/>
      <c r="O373" s="4"/>
      <c r="P373" s="4"/>
      <c r="Q373" s="4"/>
      <c r="R373" s="4"/>
      <c r="S373" s="4"/>
      <c r="T373" s="4"/>
      <c r="U373" s="4"/>
      <c r="V373" s="4"/>
      <c r="W373" s="4"/>
      <c r="X373" s="4"/>
      <c r="Y373" s="4"/>
    </row>
    <row r="374" ht="15.75" customHeight="1">
      <c r="A374" s="4"/>
      <c r="B374" s="19"/>
      <c r="C374" s="4"/>
      <c r="D374" s="4"/>
      <c r="E374" s="4"/>
      <c r="F374" s="4"/>
      <c r="G374" s="4"/>
      <c r="H374" s="4"/>
      <c r="I374" s="4"/>
      <c r="J374" s="4"/>
      <c r="K374" s="4"/>
      <c r="L374" s="4"/>
      <c r="M374" s="4"/>
      <c r="N374" s="4"/>
      <c r="O374" s="4"/>
      <c r="P374" s="4"/>
      <c r="Q374" s="4"/>
      <c r="R374" s="4"/>
      <c r="S374" s="4"/>
      <c r="T374" s="4"/>
      <c r="U374" s="4"/>
      <c r="V374" s="4"/>
      <c r="W374" s="4"/>
      <c r="X374" s="4"/>
      <c r="Y374" s="4"/>
    </row>
    <row r="375" ht="15.75" customHeight="1">
      <c r="A375" s="4"/>
      <c r="B375" s="19"/>
      <c r="C375" s="4"/>
      <c r="D375" s="4"/>
      <c r="E375" s="4"/>
      <c r="F375" s="4"/>
      <c r="G375" s="4"/>
      <c r="H375" s="4"/>
      <c r="I375" s="4"/>
      <c r="J375" s="4"/>
      <c r="K375" s="4"/>
      <c r="L375" s="4"/>
      <c r="M375" s="4"/>
      <c r="N375" s="4"/>
      <c r="O375" s="4"/>
      <c r="P375" s="4"/>
      <c r="Q375" s="4"/>
      <c r="R375" s="4"/>
      <c r="S375" s="4"/>
      <c r="T375" s="4"/>
      <c r="U375" s="4"/>
      <c r="V375" s="4"/>
      <c r="W375" s="4"/>
      <c r="X375" s="4"/>
      <c r="Y375" s="4"/>
    </row>
    <row r="376" ht="15.75" customHeight="1">
      <c r="A376" s="4"/>
      <c r="B376" s="19"/>
      <c r="C376" s="4"/>
      <c r="D376" s="4"/>
      <c r="E376" s="4"/>
      <c r="F376" s="4"/>
      <c r="G376" s="4"/>
      <c r="H376" s="4"/>
      <c r="I376" s="4"/>
      <c r="J376" s="4"/>
      <c r="K376" s="4"/>
      <c r="L376" s="4"/>
      <c r="M376" s="4"/>
      <c r="N376" s="4"/>
      <c r="O376" s="4"/>
      <c r="P376" s="4"/>
      <c r="Q376" s="4"/>
      <c r="R376" s="4"/>
      <c r="S376" s="4"/>
      <c r="T376" s="4"/>
      <c r="U376" s="4"/>
      <c r="V376" s="4"/>
      <c r="W376" s="4"/>
      <c r="X376" s="4"/>
      <c r="Y376" s="4"/>
    </row>
    <row r="377" ht="15.75" customHeight="1">
      <c r="A377" s="4"/>
      <c r="B377" s="19"/>
      <c r="C377" s="4"/>
      <c r="D377" s="4"/>
      <c r="E377" s="4"/>
      <c r="F377" s="4"/>
      <c r="G377" s="4"/>
      <c r="H377" s="4"/>
      <c r="I377" s="4"/>
      <c r="J377" s="4"/>
      <c r="K377" s="4"/>
      <c r="L377" s="4"/>
      <c r="M377" s="4"/>
      <c r="N377" s="4"/>
      <c r="O377" s="4"/>
      <c r="P377" s="4"/>
      <c r="Q377" s="4"/>
      <c r="R377" s="4"/>
      <c r="S377" s="4"/>
      <c r="T377" s="4"/>
      <c r="U377" s="4"/>
      <c r="V377" s="4"/>
      <c r="W377" s="4"/>
      <c r="X377" s="4"/>
      <c r="Y377" s="4"/>
    </row>
    <row r="378" ht="15.75" customHeight="1">
      <c r="A378" s="4"/>
      <c r="B378" s="19"/>
      <c r="C378" s="4"/>
      <c r="D378" s="4"/>
      <c r="E378" s="4"/>
      <c r="F378" s="4"/>
      <c r="G378" s="4"/>
      <c r="H378" s="4"/>
      <c r="I378" s="4"/>
      <c r="J378" s="4"/>
      <c r="K378" s="4"/>
      <c r="L378" s="4"/>
      <c r="M378" s="4"/>
      <c r="N378" s="4"/>
      <c r="O378" s="4"/>
      <c r="P378" s="4"/>
      <c r="Q378" s="4"/>
      <c r="R378" s="4"/>
      <c r="S378" s="4"/>
      <c r="T378" s="4"/>
      <c r="U378" s="4"/>
      <c r="V378" s="4"/>
      <c r="W378" s="4"/>
      <c r="X378" s="4"/>
      <c r="Y378" s="4"/>
    </row>
    <row r="379" ht="15.75" customHeight="1">
      <c r="A379" s="4"/>
      <c r="B379" s="19"/>
      <c r="C379" s="4"/>
      <c r="D379" s="4"/>
      <c r="E379" s="4"/>
      <c r="F379" s="4"/>
      <c r="G379" s="4"/>
      <c r="H379" s="4"/>
      <c r="I379" s="4"/>
      <c r="J379" s="4"/>
      <c r="K379" s="4"/>
      <c r="L379" s="4"/>
      <c r="M379" s="4"/>
      <c r="N379" s="4"/>
      <c r="O379" s="4"/>
      <c r="P379" s="4"/>
      <c r="Q379" s="4"/>
      <c r="R379" s="4"/>
      <c r="S379" s="4"/>
      <c r="T379" s="4"/>
      <c r="U379" s="4"/>
      <c r="V379" s="4"/>
      <c r="W379" s="4"/>
      <c r="X379" s="4"/>
      <c r="Y379" s="4"/>
    </row>
    <row r="380" ht="15.75" customHeight="1">
      <c r="A380" s="4"/>
      <c r="B380" s="19"/>
      <c r="C380" s="4"/>
      <c r="D380" s="4"/>
      <c r="E380" s="4"/>
      <c r="F380" s="4"/>
      <c r="G380" s="4"/>
      <c r="H380" s="4"/>
      <c r="I380" s="4"/>
      <c r="J380" s="4"/>
      <c r="K380" s="4"/>
      <c r="L380" s="4"/>
      <c r="M380" s="4"/>
      <c r="N380" s="4"/>
      <c r="O380" s="4"/>
      <c r="P380" s="4"/>
      <c r="Q380" s="4"/>
      <c r="R380" s="4"/>
      <c r="S380" s="4"/>
      <c r="T380" s="4"/>
      <c r="U380" s="4"/>
      <c r="V380" s="4"/>
      <c r="W380" s="4"/>
      <c r="X380" s="4"/>
      <c r="Y380" s="4"/>
    </row>
    <row r="381" ht="15.75" customHeight="1">
      <c r="A381" s="4"/>
      <c r="B381" s="19"/>
      <c r="C381" s="4"/>
      <c r="D381" s="4"/>
      <c r="E381" s="4"/>
      <c r="F381" s="4"/>
      <c r="G381" s="4"/>
      <c r="H381" s="4"/>
      <c r="I381" s="4"/>
      <c r="J381" s="4"/>
      <c r="K381" s="4"/>
      <c r="L381" s="4"/>
      <c r="M381" s="4"/>
      <c r="N381" s="4"/>
      <c r="O381" s="4"/>
      <c r="P381" s="4"/>
      <c r="Q381" s="4"/>
      <c r="R381" s="4"/>
      <c r="S381" s="4"/>
      <c r="T381" s="4"/>
      <c r="U381" s="4"/>
      <c r="V381" s="4"/>
      <c r="W381" s="4"/>
      <c r="X381" s="4"/>
      <c r="Y381" s="4"/>
    </row>
    <row r="382" ht="15.75" customHeight="1">
      <c r="A382" s="4"/>
      <c r="B382" s="19"/>
      <c r="C382" s="4"/>
      <c r="D382" s="4"/>
      <c r="E382" s="4"/>
      <c r="F382" s="4"/>
      <c r="G382" s="4"/>
      <c r="H382" s="4"/>
      <c r="I382" s="4"/>
      <c r="J382" s="4"/>
      <c r="K382" s="4"/>
      <c r="L382" s="4"/>
      <c r="M382" s="4"/>
      <c r="N382" s="4"/>
      <c r="O382" s="4"/>
      <c r="P382" s="4"/>
      <c r="Q382" s="4"/>
      <c r="R382" s="4"/>
      <c r="S382" s="4"/>
      <c r="T382" s="4"/>
      <c r="U382" s="4"/>
      <c r="V382" s="4"/>
      <c r="W382" s="4"/>
      <c r="X382" s="4"/>
      <c r="Y382" s="4"/>
    </row>
    <row r="383" ht="15.75" customHeight="1">
      <c r="A383" s="4"/>
      <c r="B383" s="19"/>
      <c r="C383" s="4"/>
      <c r="D383" s="4"/>
      <c r="E383" s="4"/>
      <c r="F383" s="4"/>
      <c r="G383" s="4"/>
      <c r="H383" s="4"/>
      <c r="I383" s="4"/>
      <c r="J383" s="4"/>
      <c r="K383" s="4"/>
      <c r="L383" s="4"/>
      <c r="M383" s="4"/>
      <c r="N383" s="4"/>
      <c r="O383" s="4"/>
      <c r="P383" s="4"/>
      <c r="Q383" s="4"/>
      <c r="R383" s="4"/>
      <c r="S383" s="4"/>
      <c r="T383" s="4"/>
      <c r="U383" s="4"/>
      <c r="V383" s="4"/>
      <c r="W383" s="4"/>
      <c r="X383" s="4"/>
      <c r="Y383" s="4"/>
    </row>
    <row r="384" ht="15.75" customHeight="1">
      <c r="A384" s="4"/>
      <c r="B384" s="19"/>
      <c r="C384" s="4"/>
      <c r="D384" s="4"/>
      <c r="E384" s="4"/>
      <c r="F384" s="4"/>
      <c r="G384" s="4"/>
      <c r="H384" s="4"/>
      <c r="I384" s="4"/>
      <c r="J384" s="4"/>
      <c r="K384" s="4"/>
      <c r="L384" s="4"/>
      <c r="M384" s="4"/>
      <c r="N384" s="4"/>
      <c r="O384" s="4"/>
      <c r="P384" s="4"/>
      <c r="Q384" s="4"/>
      <c r="R384" s="4"/>
      <c r="S384" s="4"/>
      <c r="T384" s="4"/>
      <c r="U384" s="4"/>
      <c r="V384" s="4"/>
      <c r="W384" s="4"/>
      <c r="X384" s="4"/>
      <c r="Y384" s="4"/>
    </row>
    <row r="385" ht="15.75" customHeight="1">
      <c r="A385" s="4"/>
      <c r="B385" s="19"/>
      <c r="C385" s="4"/>
      <c r="D385" s="4"/>
      <c r="E385" s="4"/>
      <c r="F385" s="4"/>
      <c r="G385" s="4"/>
      <c r="H385" s="4"/>
      <c r="I385" s="4"/>
      <c r="J385" s="4"/>
      <c r="K385" s="4"/>
      <c r="L385" s="4"/>
      <c r="M385" s="4"/>
      <c r="N385" s="4"/>
      <c r="O385" s="4"/>
      <c r="P385" s="4"/>
      <c r="Q385" s="4"/>
      <c r="R385" s="4"/>
      <c r="S385" s="4"/>
      <c r="T385" s="4"/>
      <c r="U385" s="4"/>
      <c r="V385" s="4"/>
      <c r="W385" s="4"/>
      <c r="X385" s="4"/>
      <c r="Y385" s="4"/>
    </row>
    <row r="386" ht="15.75" customHeight="1">
      <c r="A386" s="4"/>
      <c r="B386" s="19"/>
      <c r="C386" s="4"/>
      <c r="D386" s="4"/>
      <c r="E386" s="4"/>
      <c r="F386" s="4"/>
      <c r="G386" s="4"/>
      <c r="H386" s="4"/>
      <c r="I386" s="4"/>
      <c r="J386" s="4"/>
      <c r="K386" s="4"/>
      <c r="L386" s="4"/>
      <c r="M386" s="4"/>
      <c r="N386" s="4"/>
      <c r="O386" s="4"/>
      <c r="P386" s="4"/>
      <c r="Q386" s="4"/>
      <c r="R386" s="4"/>
      <c r="S386" s="4"/>
      <c r="T386" s="4"/>
      <c r="U386" s="4"/>
      <c r="V386" s="4"/>
      <c r="W386" s="4"/>
      <c r="X386" s="4"/>
      <c r="Y386" s="4"/>
    </row>
    <row r="387" ht="15.75" customHeight="1">
      <c r="A387" s="4"/>
      <c r="B387" s="19"/>
      <c r="C387" s="4"/>
      <c r="D387" s="4"/>
      <c r="E387" s="4"/>
      <c r="F387" s="4"/>
      <c r="G387" s="4"/>
      <c r="H387" s="4"/>
      <c r="I387" s="4"/>
      <c r="J387" s="4"/>
      <c r="K387" s="4"/>
      <c r="L387" s="4"/>
      <c r="M387" s="4"/>
      <c r="N387" s="4"/>
      <c r="O387" s="4"/>
      <c r="P387" s="4"/>
      <c r="Q387" s="4"/>
      <c r="R387" s="4"/>
      <c r="S387" s="4"/>
      <c r="T387" s="4"/>
      <c r="U387" s="4"/>
      <c r="V387" s="4"/>
      <c r="W387" s="4"/>
      <c r="X387" s="4"/>
      <c r="Y387" s="4"/>
    </row>
    <row r="388" ht="15.75" customHeight="1">
      <c r="A388" s="4"/>
      <c r="B388" s="19"/>
      <c r="C388" s="4"/>
      <c r="D388" s="4"/>
      <c r="E388" s="4"/>
      <c r="F388" s="4"/>
      <c r="G388" s="4"/>
      <c r="H388" s="4"/>
      <c r="I388" s="4"/>
      <c r="J388" s="4"/>
      <c r="K388" s="4"/>
      <c r="L388" s="4"/>
      <c r="M388" s="4"/>
      <c r="N388" s="4"/>
      <c r="O388" s="4"/>
      <c r="P388" s="4"/>
      <c r="Q388" s="4"/>
      <c r="R388" s="4"/>
      <c r="S388" s="4"/>
      <c r="T388" s="4"/>
      <c r="U388" s="4"/>
      <c r="V388" s="4"/>
      <c r="W388" s="4"/>
      <c r="X388" s="4"/>
      <c r="Y388" s="4"/>
    </row>
    <row r="389" ht="15.75" customHeight="1">
      <c r="A389" s="4"/>
      <c r="B389" s="19"/>
      <c r="C389" s="4"/>
      <c r="D389" s="4"/>
      <c r="E389" s="4"/>
      <c r="F389" s="4"/>
      <c r="G389" s="4"/>
      <c r="H389" s="4"/>
      <c r="I389" s="4"/>
      <c r="J389" s="4"/>
      <c r="K389" s="4"/>
      <c r="L389" s="4"/>
      <c r="M389" s="4"/>
      <c r="N389" s="4"/>
      <c r="O389" s="4"/>
      <c r="P389" s="4"/>
      <c r="Q389" s="4"/>
      <c r="R389" s="4"/>
      <c r="S389" s="4"/>
      <c r="T389" s="4"/>
      <c r="U389" s="4"/>
      <c r="V389" s="4"/>
      <c r="W389" s="4"/>
      <c r="X389" s="4"/>
      <c r="Y389" s="4"/>
    </row>
    <row r="390" ht="15.75" customHeight="1">
      <c r="A390" s="4"/>
      <c r="B390" s="19"/>
      <c r="C390" s="4"/>
      <c r="D390" s="4"/>
      <c r="E390" s="4"/>
      <c r="F390" s="4"/>
      <c r="G390" s="4"/>
      <c r="H390" s="4"/>
      <c r="I390" s="4"/>
      <c r="J390" s="4"/>
      <c r="K390" s="4"/>
      <c r="L390" s="4"/>
      <c r="M390" s="4"/>
      <c r="N390" s="4"/>
      <c r="O390" s="4"/>
      <c r="P390" s="4"/>
      <c r="Q390" s="4"/>
      <c r="R390" s="4"/>
      <c r="S390" s="4"/>
      <c r="T390" s="4"/>
      <c r="U390" s="4"/>
      <c r="V390" s="4"/>
      <c r="W390" s="4"/>
      <c r="X390" s="4"/>
      <c r="Y390" s="4"/>
    </row>
    <row r="391" ht="15.75" customHeight="1">
      <c r="A391" s="4"/>
      <c r="B391" s="19"/>
      <c r="C391" s="4"/>
      <c r="D391" s="4"/>
      <c r="E391" s="4"/>
      <c r="F391" s="4"/>
      <c r="G391" s="4"/>
      <c r="H391" s="4"/>
      <c r="I391" s="4"/>
      <c r="J391" s="4"/>
      <c r="K391" s="4"/>
      <c r="L391" s="4"/>
      <c r="M391" s="4"/>
      <c r="N391" s="4"/>
      <c r="O391" s="4"/>
      <c r="P391" s="4"/>
      <c r="Q391" s="4"/>
      <c r="R391" s="4"/>
      <c r="S391" s="4"/>
      <c r="T391" s="4"/>
      <c r="U391" s="4"/>
      <c r="V391" s="4"/>
      <c r="W391" s="4"/>
      <c r="X391" s="4"/>
      <c r="Y391" s="4"/>
    </row>
    <row r="392" ht="15.75" customHeight="1">
      <c r="A392" s="4"/>
      <c r="B392" s="19"/>
      <c r="C392" s="4"/>
      <c r="D392" s="4"/>
      <c r="E392" s="4"/>
      <c r="F392" s="4"/>
      <c r="G392" s="4"/>
      <c r="H392" s="4"/>
      <c r="I392" s="4"/>
      <c r="J392" s="4"/>
      <c r="K392" s="4"/>
      <c r="L392" s="4"/>
      <c r="M392" s="4"/>
      <c r="N392" s="4"/>
      <c r="O392" s="4"/>
      <c r="P392" s="4"/>
      <c r="Q392" s="4"/>
      <c r="R392" s="4"/>
      <c r="S392" s="4"/>
      <c r="T392" s="4"/>
      <c r="U392" s="4"/>
      <c r="V392" s="4"/>
      <c r="W392" s="4"/>
      <c r="X392" s="4"/>
      <c r="Y392" s="4"/>
    </row>
    <row r="393" ht="15.75" customHeight="1">
      <c r="A393" s="4"/>
      <c r="B393" s="19"/>
      <c r="C393" s="4"/>
      <c r="D393" s="4"/>
      <c r="E393" s="4"/>
      <c r="F393" s="4"/>
      <c r="G393" s="4"/>
      <c r="H393" s="4"/>
      <c r="I393" s="4"/>
      <c r="J393" s="4"/>
      <c r="K393" s="4"/>
      <c r="L393" s="4"/>
      <c r="M393" s="4"/>
      <c r="N393" s="4"/>
      <c r="O393" s="4"/>
      <c r="P393" s="4"/>
      <c r="Q393" s="4"/>
      <c r="R393" s="4"/>
      <c r="S393" s="4"/>
      <c r="T393" s="4"/>
      <c r="U393" s="4"/>
      <c r="V393" s="4"/>
      <c r="W393" s="4"/>
      <c r="X393" s="4"/>
      <c r="Y393" s="4"/>
    </row>
    <row r="394" ht="15.75" customHeight="1">
      <c r="A394" s="4"/>
      <c r="B394" s="19"/>
      <c r="C394" s="4"/>
      <c r="D394" s="4"/>
      <c r="E394" s="4"/>
      <c r="F394" s="4"/>
      <c r="G394" s="4"/>
      <c r="H394" s="4"/>
      <c r="I394" s="4"/>
      <c r="J394" s="4"/>
      <c r="K394" s="4"/>
      <c r="L394" s="4"/>
      <c r="M394" s="4"/>
      <c r="N394" s="4"/>
      <c r="O394" s="4"/>
      <c r="P394" s="4"/>
      <c r="Q394" s="4"/>
      <c r="R394" s="4"/>
      <c r="S394" s="4"/>
      <c r="T394" s="4"/>
      <c r="U394" s="4"/>
      <c r="V394" s="4"/>
      <c r="W394" s="4"/>
      <c r="X394" s="4"/>
      <c r="Y394" s="4"/>
    </row>
    <row r="395" ht="15.75" customHeight="1">
      <c r="A395" s="4"/>
      <c r="B395" s="19"/>
      <c r="C395" s="4"/>
      <c r="D395" s="4"/>
      <c r="E395" s="4"/>
      <c r="F395" s="4"/>
      <c r="G395" s="4"/>
      <c r="H395" s="4"/>
      <c r="I395" s="4"/>
      <c r="J395" s="4"/>
      <c r="K395" s="4"/>
      <c r="L395" s="4"/>
      <c r="M395" s="4"/>
      <c r="N395" s="4"/>
      <c r="O395" s="4"/>
      <c r="P395" s="4"/>
      <c r="Q395" s="4"/>
      <c r="R395" s="4"/>
      <c r="S395" s="4"/>
      <c r="T395" s="4"/>
      <c r="U395" s="4"/>
      <c r="V395" s="4"/>
      <c r="W395" s="4"/>
      <c r="X395" s="4"/>
      <c r="Y395" s="4"/>
    </row>
    <row r="396" ht="15.75" customHeight="1">
      <c r="A396" s="4"/>
      <c r="B396" s="19"/>
      <c r="C396" s="4"/>
      <c r="D396" s="4"/>
      <c r="E396" s="4"/>
      <c r="F396" s="4"/>
      <c r="G396" s="4"/>
      <c r="H396" s="4"/>
      <c r="I396" s="4"/>
      <c r="J396" s="4"/>
      <c r="K396" s="4"/>
      <c r="L396" s="4"/>
      <c r="M396" s="4"/>
      <c r="N396" s="4"/>
      <c r="O396" s="4"/>
      <c r="P396" s="4"/>
      <c r="Q396" s="4"/>
      <c r="R396" s="4"/>
      <c r="S396" s="4"/>
      <c r="T396" s="4"/>
      <c r="U396" s="4"/>
      <c r="V396" s="4"/>
      <c r="W396" s="4"/>
      <c r="X396" s="4"/>
      <c r="Y396" s="4"/>
    </row>
    <row r="397" ht="15.75" customHeight="1">
      <c r="A397" s="4"/>
      <c r="B397" s="19"/>
      <c r="C397" s="4"/>
      <c r="D397" s="4"/>
      <c r="E397" s="4"/>
      <c r="F397" s="4"/>
      <c r="G397" s="4"/>
      <c r="H397" s="4"/>
      <c r="I397" s="4"/>
      <c r="J397" s="4"/>
      <c r="K397" s="4"/>
      <c r="L397" s="4"/>
      <c r="M397" s="4"/>
      <c r="N397" s="4"/>
      <c r="O397" s="4"/>
      <c r="P397" s="4"/>
      <c r="Q397" s="4"/>
      <c r="R397" s="4"/>
      <c r="S397" s="4"/>
      <c r="T397" s="4"/>
      <c r="U397" s="4"/>
      <c r="V397" s="4"/>
      <c r="W397" s="4"/>
      <c r="X397" s="4"/>
      <c r="Y397" s="4"/>
    </row>
    <row r="398" ht="15.75" customHeight="1">
      <c r="A398" s="4"/>
      <c r="B398" s="19"/>
      <c r="C398" s="4"/>
      <c r="D398" s="4"/>
      <c r="E398" s="4"/>
      <c r="F398" s="4"/>
      <c r="G398" s="4"/>
      <c r="H398" s="4"/>
      <c r="I398" s="4"/>
      <c r="J398" s="4"/>
      <c r="K398" s="4"/>
      <c r="L398" s="4"/>
      <c r="M398" s="4"/>
      <c r="N398" s="4"/>
      <c r="O398" s="4"/>
      <c r="P398" s="4"/>
      <c r="Q398" s="4"/>
      <c r="R398" s="4"/>
      <c r="S398" s="4"/>
      <c r="T398" s="4"/>
      <c r="U398" s="4"/>
      <c r="V398" s="4"/>
      <c r="W398" s="4"/>
      <c r="X398" s="4"/>
      <c r="Y398" s="4"/>
    </row>
    <row r="399" ht="15.75" customHeight="1">
      <c r="A399" s="4"/>
      <c r="B399" s="19"/>
      <c r="C399" s="4"/>
      <c r="D399" s="4"/>
      <c r="E399" s="4"/>
      <c r="F399" s="4"/>
      <c r="G399" s="4"/>
      <c r="H399" s="4"/>
      <c r="I399" s="4"/>
      <c r="J399" s="4"/>
      <c r="K399" s="4"/>
      <c r="L399" s="4"/>
      <c r="M399" s="4"/>
      <c r="N399" s="4"/>
      <c r="O399" s="4"/>
      <c r="P399" s="4"/>
      <c r="Q399" s="4"/>
      <c r="R399" s="4"/>
      <c r="S399" s="4"/>
      <c r="T399" s="4"/>
      <c r="U399" s="4"/>
      <c r="V399" s="4"/>
      <c r="W399" s="4"/>
      <c r="X399" s="4"/>
      <c r="Y399" s="4"/>
    </row>
    <row r="400" ht="15.75" customHeight="1">
      <c r="A400" s="4"/>
      <c r="B400" s="19"/>
      <c r="C400" s="4"/>
      <c r="D400" s="4"/>
      <c r="E400" s="4"/>
      <c r="F400" s="4"/>
      <c r="G400" s="4"/>
      <c r="H400" s="4"/>
      <c r="I400" s="4"/>
      <c r="J400" s="4"/>
      <c r="K400" s="4"/>
      <c r="L400" s="4"/>
      <c r="M400" s="4"/>
      <c r="N400" s="4"/>
      <c r="O400" s="4"/>
      <c r="P400" s="4"/>
      <c r="Q400" s="4"/>
      <c r="R400" s="4"/>
      <c r="S400" s="4"/>
      <c r="T400" s="4"/>
      <c r="U400" s="4"/>
      <c r="V400" s="4"/>
      <c r="W400" s="4"/>
      <c r="X400" s="4"/>
      <c r="Y400" s="4"/>
    </row>
    <row r="401" ht="15.75" customHeight="1">
      <c r="A401" s="4"/>
      <c r="B401" s="19"/>
      <c r="C401" s="4"/>
      <c r="D401" s="4"/>
      <c r="E401" s="4"/>
      <c r="F401" s="4"/>
      <c r="G401" s="4"/>
      <c r="H401" s="4"/>
      <c r="I401" s="4"/>
      <c r="J401" s="4"/>
      <c r="K401" s="4"/>
      <c r="L401" s="4"/>
      <c r="M401" s="4"/>
      <c r="N401" s="4"/>
      <c r="O401" s="4"/>
      <c r="P401" s="4"/>
      <c r="Q401" s="4"/>
      <c r="R401" s="4"/>
      <c r="S401" s="4"/>
      <c r="T401" s="4"/>
      <c r="U401" s="4"/>
      <c r="V401" s="4"/>
      <c r="W401" s="4"/>
      <c r="X401" s="4"/>
      <c r="Y401" s="4"/>
    </row>
    <row r="402" ht="15.75" customHeight="1">
      <c r="A402" s="4"/>
      <c r="B402" s="19"/>
      <c r="C402" s="4"/>
      <c r="D402" s="4"/>
      <c r="E402" s="4"/>
      <c r="F402" s="4"/>
      <c r="G402" s="4"/>
      <c r="H402" s="4"/>
      <c r="I402" s="4"/>
      <c r="J402" s="4"/>
      <c r="K402" s="4"/>
      <c r="L402" s="4"/>
      <c r="M402" s="4"/>
      <c r="N402" s="4"/>
      <c r="O402" s="4"/>
      <c r="P402" s="4"/>
      <c r="Q402" s="4"/>
      <c r="R402" s="4"/>
      <c r="S402" s="4"/>
      <c r="T402" s="4"/>
      <c r="U402" s="4"/>
      <c r="V402" s="4"/>
      <c r="W402" s="4"/>
      <c r="X402" s="4"/>
      <c r="Y402" s="4"/>
    </row>
    <row r="403" ht="15.75" customHeight="1">
      <c r="A403" s="4"/>
      <c r="B403" s="19"/>
      <c r="C403" s="4"/>
      <c r="D403" s="4"/>
      <c r="E403" s="4"/>
      <c r="F403" s="4"/>
      <c r="G403" s="4"/>
      <c r="H403" s="4"/>
      <c r="I403" s="4"/>
      <c r="J403" s="4"/>
      <c r="K403" s="4"/>
      <c r="L403" s="4"/>
      <c r="M403" s="4"/>
      <c r="N403" s="4"/>
      <c r="O403" s="4"/>
      <c r="P403" s="4"/>
      <c r="Q403" s="4"/>
      <c r="R403" s="4"/>
      <c r="S403" s="4"/>
      <c r="T403" s="4"/>
      <c r="U403" s="4"/>
      <c r="V403" s="4"/>
      <c r="W403" s="4"/>
      <c r="X403" s="4"/>
      <c r="Y403" s="4"/>
    </row>
    <row r="404" ht="15.75" customHeight="1">
      <c r="A404" s="4"/>
      <c r="B404" s="19"/>
      <c r="C404" s="4"/>
      <c r="D404" s="4"/>
      <c r="E404" s="4"/>
      <c r="F404" s="4"/>
      <c r="G404" s="4"/>
      <c r="H404" s="4"/>
      <c r="I404" s="4"/>
      <c r="J404" s="4"/>
      <c r="K404" s="4"/>
      <c r="L404" s="4"/>
      <c r="M404" s="4"/>
      <c r="N404" s="4"/>
      <c r="O404" s="4"/>
      <c r="P404" s="4"/>
      <c r="Q404" s="4"/>
      <c r="R404" s="4"/>
      <c r="S404" s="4"/>
      <c r="T404" s="4"/>
      <c r="U404" s="4"/>
      <c r="V404" s="4"/>
      <c r="W404" s="4"/>
      <c r="X404" s="4"/>
      <c r="Y404" s="4"/>
    </row>
    <row r="405" ht="15.75" customHeight="1">
      <c r="A405" s="4"/>
      <c r="B405" s="19"/>
      <c r="C405" s="4"/>
      <c r="D405" s="4"/>
      <c r="E405" s="4"/>
      <c r="F405" s="4"/>
      <c r="G405" s="4"/>
      <c r="H405" s="4"/>
      <c r="I405" s="4"/>
      <c r="J405" s="4"/>
      <c r="K405" s="4"/>
      <c r="L405" s="4"/>
      <c r="M405" s="4"/>
      <c r="N405" s="4"/>
      <c r="O405" s="4"/>
      <c r="P405" s="4"/>
      <c r="Q405" s="4"/>
      <c r="R405" s="4"/>
      <c r="S405" s="4"/>
      <c r="T405" s="4"/>
      <c r="U405" s="4"/>
      <c r="V405" s="4"/>
      <c r="W405" s="4"/>
      <c r="X405" s="4"/>
      <c r="Y405" s="4"/>
    </row>
    <row r="406" ht="15.75" customHeight="1">
      <c r="A406" s="4"/>
      <c r="B406" s="19"/>
      <c r="C406" s="4"/>
      <c r="D406" s="4"/>
      <c r="E406" s="4"/>
      <c r="F406" s="4"/>
      <c r="G406" s="4"/>
      <c r="H406" s="4"/>
      <c r="I406" s="4"/>
      <c r="J406" s="4"/>
      <c r="K406" s="4"/>
      <c r="L406" s="4"/>
      <c r="M406" s="4"/>
      <c r="N406" s="4"/>
      <c r="O406" s="4"/>
      <c r="P406" s="4"/>
      <c r="Q406" s="4"/>
      <c r="R406" s="4"/>
      <c r="S406" s="4"/>
      <c r="T406" s="4"/>
      <c r="U406" s="4"/>
      <c r="V406" s="4"/>
      <c r="W406" s="4"/>
      <c r="X406" s="4"/>
      <c r="Y406" s="4"/>
    </row>
    <row r="407" ht="15.75" customHeight="1">
      <c r="A407" s="4"/>
      <c r="B407" s="19"/>
      <c r="C407" s="4"/>
      <c r="D407" s="4"/>
      <c r="E407" s="4"/>
      <c r="F407" s="4"/>
      <c r="G407" s="4"/>
      <c r="H407" s="4"/>
      <c r="I407" s="4"/>
      <c r="J407" s="4"/>
      <c r="K407" s="4"/>
      <c r="L407" s="4"/>
      <c r="M407" s="4"/>
      <c r="N407" s="4"/>
      <c r="O407" s="4"/>
      <c r="P407" s="4"/>
      <c r="Q407" s="4"/>
      <c r="R407" s="4"/>
      <c r="S407" s="4"/>
      <c r="T407" s="4"/>
      <c r="U407" s="4"/>
      <c r="V407" s="4"/>
      <c r="W407" s="4"/>
      <c r="X407" s="4"/>
      <c r="Y407" s="4"/>
    </row>
    <row r="408" ht="15.75" customHeight="1">
      <c r="A408" s="4"/>
      <c r="B408" s="19"/>
      <c r="C408" s="4"/>
      <c r="D408" s="4"/>
      <c r="E408" s="4"/>
      <c r="F408" s="4"/>
      <c r="G408" s="4"/>
      <c r="H408" s="4"/>
      <c r="I408" s="4"/>
      <c r="J408" s="4"/>
      <c r="K408" s="4"/>
      <c r="L408" s="4"/>
      <c r="M408" s="4"/>
      <c r="N408" s="4"/>
      <c r="O408" s="4"/>
      <c r="P408" s="4"/>
      <c r="Q408" s="4"/>
      <c r="R408" s="4"/>
      <c r="S408" s="4"/>
      <c r="T408" s="4"/>
      <c r="U408" s="4"/>
      <c r="V408" s="4"/>
      <c r="W408" s="4"/>
      <c r="X408" s="4"/>
      <c r="Y408" s="4"/>
    </row>
    <row r="409" ht="15.75" customHeight="1">
      <c r="A409" s="4"/>
      <c r="B409" s="19"/>
      <c r="C409" s="4"/>
      <c r="D409" s="4"/>
      <c r="E409" s="4"/>
      <c r="F409" s="4"/>
      <c r="G409" s="4"/>
      <c r="H409" s="4"/>
      <c r="I409" s="4"/>
      <c r="J409" s="4"/>
      <c r="K409" s="4"/>
      <c r="L409" s="4"/>
      <c r="M409" s="4"/>
      <c r="N409" s="4"/>
      <c r="O409" s="4"/>
      <c r="P409" s="4"/>
      <c r="Q409" s="4"/>
      <c r="R409" s="4"/>
      <c r="S409" s="4"/>
      <c r="T409" s="4"/>
      <c r="U409" s="4"/>
      <c r="V409" s="4"/>
      <c r="W409" s="4"/>
      <c r="X409" s="4"/>
      <c r="Y409" s="4"/>
    </row>
    <row r="410" ht="15.75" customHeight="1">
      <c r="A410" s="4"/>
      <c r="B410" s="19"/>
      <c r="C410" s="4"/>
      <c r="D410" s="4"/>
      <c r="E410" s="4"/>
      <c r="F410" s="4"/>
      <c r="G410" s="4"/>
      <c r="H410" s="4"/>
      <c r="I410" s="4"/>
      <c r="J410" s="4"/>
      <c r="K410" s="4"/>
      <c r="L410" s="4"/>
      <c r="M410" s="4"/>
      <c r="N410" s="4"/>
      <c r="O410" s="4"/>
      <c r="P410" s="4"/>
      <c r="Q410" s="4"/>
      <c r="R410" s="4"/>
      <c r="S410" s="4"/>
      <c r="T410" s="4"/>
      <c r="U410" s="4"/>
      <c r="V410" s="4"/>
      <c r="W410" s="4"/>
      <c r="X410" s="4"/>
      <c r="Y410" s="4"/>
    </row>
    <row r="411" ht="15.75" customHeight="1">
      <c r="A411" s="4"/>
      <c r="B411" s="19"/>
      <c r="C411" s="4"/>
      <c r="D411" s="4"/>
      <c r="E411" s="4"/>
      <c r="F411" s="4"/>
      <c r="G411" s="4"/>
      <c r="H411" s="4"/>
      <c r="I411" s="4"/>
      <c r="J411" s="4"/>
      <c r="K411" s="4"/>
      <c r="L411" s="4"/>
      <c r="M411" s="4"/>
      <c r="N411" s="4"/>
      <c r="O411" s="4"/>
      <c r="P411" s="4"/>
      <c r="Q411" s="4"/>
      <c r="R411" s="4"/>
      <c r="S411" s="4"/>
      <c r="T411" s="4"/>
      <c r="U411" s="4"/>
      <c r="V411" s="4"/>
      <c r="W411" s="4"/>
      <c r="X411" s="4"/>
      <c r="Y411" s="4"/>
    </row>
    <row r="412" ht="15.75" customHeight="1">
      <c r="A412" s="4"/>
      <c r="B412" s="19"/>
      <c r="C412" s="4"/>
      <c r="D412" s="4"/>
      <c r="E412" s="4"/>
      <c r="F412" s="4"/>
      <c r="G412" s="4"/>
      <c r="H412" s="4"/>
      <c r="I412" s="4"/>
      <c r="J412" s="4"/>
      <c r="K412" s="4"/>
      <c r="L412" s="4"/>
      <c r="M412" s="4"/>
      <c r="N412" s="4"/>
      <c r="O412" s="4"/>
      <c r="P412" s="4"/>
      <c r="Q412" s="4"/>
      <c r="R412" s="4"/>
      <c r="S412" s="4"/>
      <c r="T412" s="4"/>
      <c r="U412" s="4"/>
      <c r="V412" s="4"/>
      <c r="W412" s="4"/>
      <c r="X412" s="4"/>
      <c r="Y412" s="4"/>
    </row>
    <row r="413" ht="15.75" customHeight="1">
      <c r="A413" s="4"/>
      <c r="B413" s="19"/>
      <c r="C413" s="4"/>
      <c r="D413" s="4"/>
      <c r="E413" s="4"/>
      <c r="F413" s="4"/>
      <c r="G413" s="4"/>
      <c r="H413" s="4"/>
      <c r="I413" s="4"/>
      <c r="J413" s="4"/>
      <c r="K413" s="4"/>
      <c r="L413" s="4"/>
      <c r="M413" s="4"/>
      <c r="N413" s="4"/>
      <c r="O413" s="4"/>
      <c r="P413" s="4"/>
      <c r="Q413" s="4"/>
      <c r="R413" s="4"/>
      <c r="S413" s="4"/>
      <c r="T413" s="4"/>
      <c r="U413" s="4"/>
      <c r="V413" s="4"/>
      <c r="W413" s="4"/>
      <c r="X413" s="4"/>
      <c r="Y413" s="4"/>
    </row>
    <row r="414" ht="15.75" customHeight="1">
      <c r="A414" s="4"/>
      <c r="B414" s="19"/>
      <c r="C414" s="4"/>
      <c r="D414" s="4"/>
      <c r="E414" s="4"/>
      <c r="F414" s="4"/>
      <c r="G414" s="4"/>
      <c r="H414" s="4"/>
      <c r="I414" s="4"/>
      <c r="J414" s="4"/>
      <c r="K414" s="4"/>
      <c r="L414" s="4"/>
      <c r="M414" s="4"/>
      <c r="N414" s="4"/>
      <c r="O414" s="4"/>
      <c r="P414" s="4"/>
      <c r="Q414" s="4"/>
      <c r="R414" s="4"/>
      <c r="S414" s="4"/>
      <c r="T414" s="4"/>
      <c r="U414" s="4"/>
      <c r="V414" s="4"/>
      <c r="W414" s="4"/>
      <c r="X414" s="4"/>
      <c r="Y414" s="4"/>
    </row>
    <row r="415" ht="15.75" customHeight="1">
      <c r="A415" s="4"/>
      <c r="B415" s="19"/>
      <c r="C415" s="4"/>
      <c r="D415" s="4"/>
      <c r="E415" s="4"/>
      <c r="F415" s="4"/>
      <c r="G415" s="4"/>
      <c r="H415" s="4"/>
      <c r="I415" s="4"/>
      <c r="J415" s="4"/>
      <c r="K415" s="4"/>
      <c r="L415" s="4"/>
      <c r="M415" s="4"/>
      <c r="N415" s="4"/>
      <c r="O415" s="4"/>
      <c r="P415" s="4"/>
      <c r="Q415" s="4"/>
      <c r="R415" s="4"/>
      <c r="S415" s="4"/>
      <c r="T415" s="4"/>
      <c r="U415" s="4"/>
      <c r="V415" s="4"/>
      <c r="W415" s="4"/>
      <c r="X415" s="4"/>
      <c r="Y415" s="4"/>
    </row>
    <row r="416" ht="15.75" customHeight="1">
      <c r="A416" s="4"/>
      <c r="B416" s="19"/>
      <c r="C416" s="4"/>
      <c r="D416" s="4"/>
      <c r="E416" s="4"/>
      <c r="F416" s="4"/>
      <c r="G416" s="4"/>
      <c r="H416" s="4"/>
      <c r="I416" s="4"/>
      <c r="J416" s="4"/>
      <c r="K416" s="4"/>
      <c r="L416" s="4"/>
      <c r="M416" s="4"/>
      <c r="N416" s="4"/>
      <c r="O416" s="4"/>
      <c r="P416" s="4"/>
      <c r="Q416" s="4"/>
      <c r="R416" s="4"/>
      <c r="S416" s="4"/>
      <c r="T416" s="4"/>
      <c r="U416" s="4"/>
      <c r="V416" s="4"/>
      <c r="W416" s="4"/>
      <c r="X416" s="4"/>
      <c r="Y416" s="4"/>
    </row>
    <row r="417" ht="15.75" customHeight="1">
      <c r="A417" s="4"/>
      <c r="B417" s="19"/>
      <c r="C417" s="4"/>
      <c r="D417" s="4"/>
      <c r="E417" s="4"/>
      <c r="F417" s="4"/>
      <c r="G417" s="4"/>
      <c r="H417" s="4"/>
      <c r="I417" s="4"/>
      <c r="J417" s="4"/>
      <c r="K417" s="4"/>
      <c r="L417" s="4"/>
      <c r="M417" s="4"/>
      <c r="N417" s="4"/>
      <c r="O417" s="4"/>
      <c r="P417" s="4"/>
      <c r="Q417" s="4"/>
      <c r="R417" s="4"/>
      <c r="S417" s="4"/>
      <c r="T417" s="4"/>
      <c r="U417" s="4"/>
      <c r="V417" s="4"/>
      <c r="W417" s="4"/>
      <c r="X417" s="4"/>
      <c r="Y417" s="4"/>
    </row>
    <row r="418" ht="15.75" customHeight="1">
      <c r="A418" s="4"/>
      <c r="B418" s="19"/>
      <c r="C418" s="4"/>
      <c r="D418" s="4"/>
      <c r="E418" s="4"/>
      <c r="F418" s="4"/>
      <c r="G418" s="4"/>
      <c r="H418" s="4"/>
      <c r="I418" s="4"/>
      <c r="J418" s="4"/>
      <c r="K418" s="4"/>
      <c r="L418" s="4"/>
      <c r="M418" s="4"/>
      <c r="N418" s="4"/>
      <c r="O418" s="4"/>
      <c r="P418" s="4"/>
      <c r="Q418" s="4"/>
      <c r="R418" s="4"/>
      <c r="S418" s="4"/>
      <c r="T418" s="4"/>
      <c r="U418" s="4"/>
      <c r="V418" s="4"/>
      <c r="W418" s="4"/>
      <c r="X418" s="4"/>
      <c r="Y418" s="4"/>
    </row>
    <row r="419" ht="15.75" customHeight="1">
      <c r="A419" s="4"/>
      <c r="B419" s="19"/>
      <c r="C419" s="4"/>
      <c r="D419" s="4"/>
      <c r="E419" s="4"/>
      <c r="F419" s="4"/>
      <c r="G419" s="4"/>
      <c r="H419" s="4"/>
      <c r="I419" s="4"/>
      <c r="J419" s="4"/>
      <c r="K419" s="4"/>
      <c r="L419" s="4"/>
      <c r="M419" s="4"/>
      <c r="N419" s="4"/>
      <c r="O419" s="4"/>
      <c r="P419" s="4"/>
      <c r="Q419" s="4"/>
      <c r="R419" s="4"/>
      <c r="S419" s="4"/>
      <c r="T419" s="4"/>
      <c r="U419" s="4"/>
      <c r="V419" s="4"/>
      <c r="W419" s="4"/>
      <c r="X419" s="4"/>
      <c r="Y419" s="4"/>
    </row>
    <row r="420" ht="15.75" customHeight="1">
      <c r="A420" s="4"/>
      <c r="B420" s="19"/>
      <c r="C420" s="4"/>
      <c r="D420" s="4"/>
      <c r="E420" s="4"/>
      <c r="F420" s="4"/>
      <c r="G420" s="4"/>
      <c r="H420" s="4"/>
      <c r="I420" s="4"/>
      <c r="J420" s="4"/>
      <c r="K420" s="4"/>
      <c r="L420" s="4"/>
      <c r="M420" s="4"/>
      <c r="N420" s="4"/>
      <c r="O420" s="4"/>
      <c r="P420" s="4"/>
      <c r="Q420" s="4"/>
      <c r="R420" s="4"/>
      <c r="S420" s="4"/>
      <c r="T420" s="4"/>
      <c r="U420" s="4"/>
      <c r="V420" s="4"/>
      <c r="W420" s="4"/>
      <c r="X420" s="4"/>
      <c r="Y420" s="4"/>
    </row>
    <row r="421" ht="15.75" customHeight="1">
      <c r="A421" s="4"/>
      <c r="B421" s="19"/>
      <c r="C421" s="4"/>
      <c r="D421" s="4"/>
      <c r="E421" s="4"/>
      <c r="F421" s="4"/>
      <c r="G421" s="4"/>
      <c r="H421" s="4"/>
      <c r="I421" s="4"/>
      <c r="J421" s="4"/>
      <c r="K421" s="4"/>
      <c r="L421" s="4"/>
      <c r="M421" s="4"/>
      <c r="N421" s="4"/>
      <c r="O421" s="4"/>
      <c r="P421" s="4"/>
      <c r="Q421" s="4"/>
      <c r="R421" s="4"/>
      <c r="S421" s="4"/>
      <c r="T421" s="4"/>
      <c r="U421" s="4"/>
      <c r="V421" s="4"/>
      <c r="W421" s="4"/>
      <c r="X421" s="4"/>
      <c r="Y421" s="4"/>
    </row>
    <row r="422" ht="15.75" customHeight="1">
      <c r="A422" s="4"/>
      <c r="B422" s="19"/>
      <c r="C422" s="4"/>
      <c r="D422" s="4"/>
      <c r="E422" s="4"/>
      <c r="F422" s="4"/>
      <c r="G422" s="4"/>
      <c r="H422" s="4"/>
      <c r="I422" s="4"/>
      <c r="J422" s="4"/>
      <c r="K422" s="4"/>
      <c r="L422" s="4"/>
      <c r="M422" s="4"/>
      <c r="N422" s="4"/>
      <c r="O422" s="4"/>
      <c r="P422" s="4"/>
      <c r="Q422" s="4"/>
      <c r="R422" s="4"/>
      <c r="S422" s="4"/>
      <c r="T422" s="4"/>
      <c r="U422" s="4"/>
      <c r="V422" s="4"/>
      <c r="W422" s="4"/>
      <c r="X422" s="4"/>
      <c r="Y422" s="4"/>
    </row>
    <row r="423" ht="15.75" customHeight="1">
      <c r="A423" s="4"/>
      <c r="B423" s="19"/>
      <c r="C423" s="4"/>
      <c r="D423" s="4"/>
      <c r="E423" s="4"/>
      <c r="F423" s="4"/>
      <c r="G423" s="4"/>
      <c r="H423" s="4"/>
      <c r="I423" s="4"/>
      <c r="J423" s="4"/>
      <c r="K423" s="4"/>
      <c r="L423" s="4"/>
      <c r="M423" s="4"/>
      <c r="N423" s="4"/>
      <c r="O423" s="4"/>
      <c r="P423" s="4"/>
      <c r="Q423" s="4"/>
      <c r="R423" s="4"/>
      <c r="S423" s="4"/>
      <c r="T423" s="4"/>
      <c r="U423" s="4"/>
      <c r="V423" s="4"/>
      <c r="W423" s="4"/>
      <c r="X423" s="4"/>
      <c r="Y423" s="4"/>
    </row>
    <row r="424" ht="15.75" customHeight="1">
      <c r="A424" s="4"/>
      <c r="B424" s="19"/>
      <c r="C424" s="4"/>
      <c r="D424" s="4"/>
      <c r="E424" s="4"/>
      <c r="F424" s="4"/>
      <c r="G424" s="4"/>
      <c r="H424" s="4"/>
      <c r="I424" s="4"/>
      <c r="J424" s="4"/>
      <c r="K424" s="4"/>
      <c r="L424" s="4"/>
      <c r="M424" s="4"/>
      <c r="N424" s="4"/>
      <c r="O424" s="4"/>
      <c r="P424" s="4"/>
      <c r="Q424" s="4"/>
      <c r="R424" s="4"/>
      <c r="S424" s="4"/>
      <c r="T424" s="4"/>
      <c r="U424" s="4"/>
      <c r="V424" s="4"/>
      <c r="W424" s="4"/>
      <c r="X424" s="4"/>
      <c r="Y424" s="4"/>
    </row>
    <row r="425" ht="15.75" customHeight="1">
      <c r="A425" s="4"/>
      <c r="B425" s="19"/>
      <c r="C425" s="4"/>
      <c r="D425" s="4"/>
      <c r="E425" s="4"/>
      <c r="F425" s="4"/>
      <c r="G425" s="4"/>
      <c r="H425" s="4"/>
      <c r="I425" s="4"/>
      <c r="J425" s="4"/>
      <c r="K425" s="4"/>
      <c r="L425" s="4"/>
      <c r="M425" s="4"/>
      <c r="N425" s="4"/>
      <c r="O425" s="4"/>
      <c r="P425" s="4"/>
      <c r="Q425" s="4"/>
      <c r="R425" s="4"/>
      <c r="S425" s="4"/>
      <c r="T425" s="4"/>
      <c r="U425" s="4"/>
      <c r="V425" s="4"/>
      <c r="W425" s="4"/>
      <c r="X425" s="4"/>
      <c r="Y425" s="4"/>
    </row>
    <row r="426" ht="15.75" customHeight="1">
      <c r="A426" s="4"/>
      <c r="B426" s="19"/>
      <c r="C426" s="4"/>
      <c r="D426" s="4"/>
      <c r="E426" s="4"/>
      <c r="F426" s="4"/>
      <c r="G426" s="4"/>
      <c r="H426" s="4"/>
      <c r="I426" s="4"/>
      <c r="J426" s="4"/>
      <c r="K426" s="4"/>
      <c r="L426" s="4"/>
      <c r="M426" s="4"/>
      <c r="N426" s="4"/>
      <c r="O426" s="4"/>
      <c r="P426" s="4"/>
      <c r="Q426" s="4"/>
      <c r="R426" s="4"/>
      <c r="S426" s="4"/>
      <c r="T426" s="4"/>
      <c r="U426" s="4"/>
      <c r="V426" s="4"/>
      <c r="W426" s="4"/>
      <c r="X426" s="4"/>
      <c r="Y426" s="4"/>
    </row>
    <row r="427" ht="15.75" customHeight="1">
      <c r="A427" s="4"/>
      <c r="B427" s="19"/>
      <c r="C427" s="4"/>
      <c r="D427" s="4"/>
      <c r="E427" s="4"/>
      <c r="F427" s="4"/>
      <c r="G427" s="4"/>
      <c r="H427" s="4"/>
      <c r="I427" s="4"/>
      <c r="J427" s="4"/>
      <c r="K427" s="4"/>
      <c r="L427" s="4"/>
      <c r="M427" s="4"/>
      <c r="N427" s="4"/>
      <c r="O427" s="4"/>
      <c r="P427" s="4"/>
      <c r="Q427" s="4"/>
      <c r="R427" s="4"/>
      <c r="S427" s="4"/>
      <c r="T427" s="4"/>
      <c r="U427" s="4"/>
      <c r="V427" s="4"/>
      <c r="W427" s="4"/>
      <c r="X427" s="4"/>
      <c r="Y427" s="4"/>
    </row>
    <row r="428" ht="15.75" customHeight="1">
      <c r="A428" s="4"/>
      <c r="B428" s="19"/>
      <c r="C428" s="4"/>
      <c r="D428" s="4"/>
      <c r="E428" s="4"/>
      <c r="F428" s="4"/>
      <c r="G428" s="4"/>
      <c r="H428" s="4"/>
      <c r="I428" s="4"/>
      <c r="J428" s="4"/>
      <c r="K428" s="4"/>
      <c r="L428" s="4"/>
      <c r="M428" s="4"/>
      <c r="N428" s="4"/>
      <c r="O428" s="4"/>
      <c r="P428" s="4"/>
      <c r="Q428" s="4"/>
      <c r="R428" s="4"/>
      <c r="S428" s="4"/>
      <c r="T428" s="4"/>
      <c r="U428" s="4"/>
      <c r="V428" s="4"/>
      <c r="W428" s="4"/>
      <c r="X428" s="4"/>
      <c r="Y428" s="4"/>
    </row>
    <row r="429" ht="15.75" customHeight="1">
      <c r="A429" s="4"/>
      <c r="B429" s="19"/>
      <c r="C429" s="4"/>
      <c r="D429" s="4"/>
      <c r="E429" s="4"/>
      <c r="F429" s="4"/>
      <c r="G429" s="4"/>
      <c r="H429" s="4"/>
      <c r="I429" s="4"/>
      <c r="J429" s="4"/>
      <c r="K429" s="4"/>
      <c r="L429" s="4"/>
      <c r="M429" s="4"/>
      <c r="N429" s="4"/>
      <c r="O429" s="4"/>
      <c r="P429" s="4"/>
      <c r="Q429" s="4"/>
      <c r="R429" s="4"/>
      <c r="S429" s="4"/>
      <c r="T429" s="4"/>
      <c r="U429" s="4"/>
      <c r="V429" s="4"/>
      <c r="W429" s="4"/>
      <c r="X429" s="4"/>
      <c r="Y429" s="4"/>
    </row>
    <row r="430" ht="15.75" customHeight="1">
      <c r="A430" s="4"/>
      <c r="B430" s="19"/>
      <c r="C430" s="4"/>
      <c r="D430" s="4"/>
      <c r="E430" s="4"/>
      <c r="F430" s="4"/>
      <c r="G430" s="4"/>
      <c r="H430" s="4"/>
      <c r="I430" s="4"/>
      <c r="J430" s="4"/>
      <c r="K430" s="4"/>
      <c r="L430" s="4"/>
      <c r="M430" s="4"/>
      <c r="N430" s="4"/>
      <c r="O430" s="4"/>
      <c r="P430" s="4"/>
      <c r="Q430" s="4"/>
      <c r="R430" s="4"/>
      <c r="S430" s="4"/>
      <c r="T430" s="4"/>
      <c r="U430" s="4"/>
      <c r="V430" s="4"/>
      <c r="W430" s="4"/>
      <c r="X430" s="4"/>
      <c r="Y430" s="4"/>
    </row>
    <row r="431" ht="15.75" customHeight="1">
      <c r="A431" s="4"/>
      <c r="B431" s="19"/>
      <c r="C431" s="4"/>
      <c r="D431" s="4"/>
      <c r="E431" s="4"/>
      <c r="F431" s="4"/>
      <c r="G431" s="4"/>
      <c r="H431" s="4"/>
      <c r="I431" s="4"/>
      <c r="J431" s="4"/>
      <c r="K431" s="4"/>
      <c r="L431" s="4"/>
      <c r="M431" s="4"/>
      <c r="N431" s="4"/>
      <c r="O431" s="4"/>
      <c r="P431" s="4"/>
      <c r="Q431" s="4"/>
      <c r="R431" s="4"/>
      <c r="S431" s="4"/>
      <c r="T431" s="4"/>
      <c r="U431" s="4"/>
      <c r="V431" s="4"/>
      <c r="W431" s="4"/>
      <c r="X431" s="4"/>
      <c r="Y431" s="4"/>
    </row>
    <row r="432" ht="15.75" customHeight="1">
      <c r="A432" s="4"/>
      <c r="B432" s="19"/>
      <c r="C432" s="4"/>
      <c r="D432" s="4"/>
      <c r="E432" s="4"/>
      <c r="F432" s="4"/>
      <c r="G432" s="4"/>
      <c r="H432" s="4"/>
      <c r="I432" s="4"/>
      <c r="J432" s="4"/>
      <c r="K432" s="4"/>
      <c r="L432" s="4"/>
      <c r="M432" s="4"/>
      <c r="N432" s="4"/>
      <c r="O432" s="4"/>
      <c r="P432" s="4"/>
      <c r="Q432" s="4"/>
      <c r="R432" s="4"/>
      <c r="S432" s="4"/>
      <c r="T432" s="4"/>
      <c r="U432" s="4"/>
      <c r="V432" s="4"/>
      <c r="W432" s="4"/>
      <c r="X432" s="4"/>
      <c r="Y432" s="4"/>
    </row>
    <row r="433" ht="15.75" customHeight="1">
      <c r="A433" s="4"/>
      <c r="B433" s="19"/>
      <c r="C433" s="4"/>
      <c r="D433" s="4"/>
      <c r="E433" s="4"/>
      <c r="F433" s="4"/>
      <c r="G433" s="4"/>
      <c r="H433" s="4"/>
      <c r="I433" s="4"/>
      <c r="J433" s="4"/>
      <c r="K433" s="4"/>
      <c r="L433" s="4"/>
      <c r="M433" s="4"/>
      <c r="N433" s="4"/>
      <c r="O433" s="4"/>
      <c r="P433" s="4"/>
      <c r="Q433" s="4"/>
      <c r="R433" s="4"/>
      <c r="S433" s="4"/>
      <c r="T433" s="4"/>
      <c r="U433" s="4"/>
      <c r="V433" s="4"/>
      <c r="W433" s="4"/>
      <c r="X433" s="4"/>
      <c r="Y433" s="4"/>
    </row>
    <row r="434" ht="15.75" customHeight="1">
      <c r="A434" s="4"/>
      <c r="B434" s="19"/>
      <c r="C434" s="4"/>
      <c r="D434" s="4"/>
      <c r="E434" s="4"/>
      <c r="F434" s="4"/>
      <c r="G434" s="4"/>
      <c r="H434" s="4"/>
      <c r="I434" s="4"/>
      <c r="J434" s="4"/>
      <c r="K434" s="4"/>
      <c r="L434" s="4"/>
      <c r="M434" s="4"/>
      <c r="N434" s="4"/>
      <c r="O434" s="4"/>
      <c r="P434" s="4"/>
      <c r="Q434" s="4"/>
      <c r="R434" s="4"/>
      <c r="S434" s="4"/>
      <c r="T434" s="4"/>
      <c r="U434" s="4"/>
      <c r="V434" s="4"/>
      <c r="W434" s="4"/>
      <c r="X434" s="4"/>
      <c r="Y434" s="4"/>
    </row>
    <row r="435" ht="15.75" customHeight="1">
      <c r="A435" s="4"/>
      <c r="B435" s="19"/>
      <c r="C435" s="4"/>
      <c r="D435" s="4"/>
      <c r="E435" s="4"/>
      <c r="F435" s="4"/>
      <c r="G435" s="4"/>
      <c r="H435" s="4"/>
      <c r="I435" s="4"/>
      <c r="J435" s="4"/>
      <c r="K435" s="4"/>
      <c r="L435" s="4"/>
      <c r="M435" s="4"/>
      <c r="N435" s="4"/>
      <c r="O435" s="4"/>
      <c r="P435" s="4"/>
      <c r="Q435" s="4"/>
      <c r="R435" s="4"/>
      <c r="S435" s="4"/>
      <c r="T435" s="4"/>
      <c r="U435" s="4"/>
      <c r="V435" s="4"/>
      <c r="W435" s="4"/>
      <c r="X435" s="4"/>
      <c r="Y435" s="4"/>
    </row>
    <row r="436" ht="15.75" customHeight="1">
      <c r="A436" s="4"/>
      <c r="B436" s="19"/>
      <c r="C436" s="4"/>
      <c r="D436" s="4"/>
      <c r="E436" s="4"/>
      <c r="F436" s="4"/>
      <c r="G436" s="4"/>
      <c r="H436" s="4"/>
      <c r="I436" s="4"/>
      <c r="J436" s="4"/>
      <c r="K436" s="4"/>
      <c r="L436" s="4"/>
      <c r="M436" s="4"/>
      <c r="N436" s="4"/>
      <c r="O436" s="4"/>
      <c r="P436" s="4"/>
      <c r="Q436" s="4"/>
      <c r="R436" s="4"/>
      <c r="S436" s="4"/>
      <c r="T436" s="4"/>
      <c r="U436" s="4"/>
      <c r="V436" s="4"/>
      <c r="W436" s="4"/>
      <c r="X436" s="4"/>
      <c r="Y436" s="4"/>
    </row>
    <row r="437" ht="15.75" customHeight="1">
      <c r="A437" s="4"/>
      <c r="B437" s="19"/>
      <c r="C437" s="4"/>
      <c r="D437" s="4"/>
      <c r="E437" s="4"/>
      <c r="F437" s="4"/>
      <c r="G437" s="4"/>
      <c r="H437" s="4"/>
      <c r="I437" s="4"/>
      <c r="J437" s="4"/>
      <c r="K437" s="4"/>
      <c r="L437" s="4"/>
      <c r="M437" s="4"/>
      <c r="N437" s="4"/>
      <c r="O437" s="4"/>
      <c r="P437" s="4"/>
      <c r="Q437" s="4"/>
      <c r="R437" s="4"/>
      <c r="S437" s="4"/>
      <c r="T437" s="4"/>
      <c r="U437" s="4"/>
      <c r="V437" s="4"/>
      <c r="W437" s="4"/>
      <c r="X437" s="4"/>
      <c r="Y437" s="4"/>
    </row>
    <row r="438" ht="15.75" customHeight="1">
      <c r="A438" s="4"/>
      <c r="B438" s="19"/>
      <c r="C438" s="4"/>
      <c r="D438" s="4"/>
      <c r="E438" s="4"/>
      <c r="F438" s="4"/>
      <c r="G438" s="4"/>
      <c r="H438" s="4"/>
      <c r="I438" s="4"/>
      <c r="J438" s="4"/>
      <c r="K438" s="4"/>
      <c r="L438" s="4"/>
      <c r="M438" s="4"/>
      <c r="N438" s="4"/>
      <c r="O438" s="4"/>
      <c r="P438" s="4"/>
      <c r="Q438" s="4"/>
      <c r="R438" s="4"/>
      <c r="S438" s="4"/>
      <c r="T438" s="4"/>
      <c r="U438" s="4"/>
      <c r="V438" s="4"/>
      <c r="W438" s="4"/>
      <c r="X438" s="4"/>
      <c r="Y438" s="4"/>
    </row>
    <row r="439" ht="15.75" customHeight="1">
      <c r="A439" s="4"/>
      <c r="B439" s="19"/>
      <c r="C439" s="4"/>
      <c r="D439" s="4"/>
      <c r="E439" s="4"/>
      <c r="F439" s="4"/>
      <c r="G439" s="4"/>
      <c r="H439" s="4"/>
      <c r="I439" s="4"/>
      <c r="J439" s="4"/>
      <c r="K439" s="4"/>
      <c r="L439" s="4"/>
      <c r="M439" s="4"/>
      <c r="N439" s="4"/>
      <c r="O439" s="4"/>
      <c r="P439" s="4"/>
      <c r="Q439" s="4"/>
      <c r="R439" s="4"/>
      <c r="S439" s="4"/>
      <c r="T439" s="4"/>
      <c r="U439" s="4"/>
      <c r="V439" s="4"/>
      <c r="W439" s="4"/>
      <c r="X439" s="4"/>
      <c r="Y439" s="4"/>
    </row>
    <row r="440" ht="15.75" customHeight="1">
      <c r="A440" s="4"/>
      <c r="B440" s="19"/>
      <c r="C440" s="4"/>
      <c r="D440" s="4"/>
      <c r="E440" s="4"/>
      <c r="F440" s="4"/>
      <c r="G440" s="4"/>
      <c r="H440" s="4"/>
      <c r="I440" s="4"/>
      <c r="J440" s="4"/>
      <c r="K440" s="4"/>
      <c r="L440" s="4"/>
      <c r="M440" s="4"/>
      <c r="N440" s="4"/>
      <c r="O440" s="4"/>
      <c r="P440" s="4"/>
      <c r="Q440" s="4"/>
      <c r="R440" s="4"/>
      <c r="S440" s="4"/>
      <c r="T440" s="4"/>
      <c r="U440" s="4"/>
      <c r="V440" s="4"/>
      <c r="W440" s="4"/>
      <c r="X440" s="4"/>
      <c r="Y440" s="4"/>
    </row>
    <row r="441" ht="15.75" customHeight="1">
      <c r="A441" s="4"/>
      <c r="B441" s="19"/>
      <c r="C441" s="4"/>
      <c r="D441" s="4"/>
      <c r="E441" s="4"/>
      <c r="F441" s="4"/>
      <c r="G441" s="4"/>
      <c r="H441" s="4"/>
      <c r="I441" s="4"/>
      <c r="J441" s="4"/>
      <c r="K441" s="4"/>
      <c r="L441" s="4"/>
      <c r="M441" s="4"/>
      <c r="N441" s="4"/>
      <c r="O441" s="4"/>
      <c r="P441" s="4"/>
      <c r="Q441" s="4"/>
      <c r="R441" s="4"/>
      <c r="S441" s="4"/>
      <c r="T441" s="4"/>
      <c r="U441" s="4"/>
      <c r="V441" s="4"/>
      <c r="W441" s="4"/>
      <c r="X441" s="4"/>
      <c r="Y441" s="4"/>
    </row>
    <row r="442" ht="15.75" customHeight="1">
      <c r="A442" s="4"/>
      <c r="B442" s="19"/>
      <c r="C442" s="4"/>
      <c r="D442" s="4"/>
      <c r="E442" s="4"/>
      <c r="F442" s="4"/>
      <c r="G442" s="4"/>
      <c r="H442" s="4"/>
      <c r="I442" s="4"/>
      <c r="J442" s="4"/>
      <c r="K442" s="4"/>
      <c r="L442" s="4"/>
      <c r="M442" s="4"/>
      <c r="N442" s="4"/>
      <c r="O442" s="4"/>
      <c r="P442" s="4"/>
      <c r="Q442" s="4"/>
      <c r="R442" s="4"/>
      <c r="S442" s="4"/>
      <c r="T442" s="4"/>
      <c r="U442" s="4"/>
      <c r="V442" s="4"/>
      <c r="W442" s="4"/>
      <c r="X442" s="4"/>
      <c r="Y442" s="4"/>
    </row>
    <row r="443" ht="15.75" customHeight="1">
      <c r="A443" s="4"/>
      <c r="B443" s="19"/>
      <c r="C443" s="4"/>
      <c r="D443" s="4"/>
      <c r="E443" s="4"/>
      <c r="F443" s="4"/>
      <c r="G443" s="4"/>
      <c r="H443" s="4"/>
      <c r="I443" s="4"/>
      <c r="J443" s="4"/>
      <c r="K443" s="4"/>
      <c r="L443" s="4"/>
      <c r="M443" s="4"/>
      <c r="N443" s="4"/>
      <c r="O443" s="4"/>
      <c r="P443" s="4"/>
      <c r="Q443" s="4"/>
      <c r="R443" s="4"/>
      <c r="S443" s="4"/>
      <c r="T443" s="4"/>
      <c r="U443" s="4"/>
      <c r="V443" s="4"/>
      <c r="W443" s="4"/>
      <c r="X443" s="4"/>
      <c r="Y443" s="4"/>
    </row>
    <row r="444" ht="15.75" customHeight="1">
      <c r="A444" s="4"/>
      <c r="B444" s="19"/>
      <c r="C444" s="4"/>
      <c r="D444" s="4"/>
      <c r="E444" s="4"/>
      <c r="F444" s="4"/>
      <c r="G444" s="4"/>
      <c r="H444" s="4"/>
      <c r="I444" s="4"/>
      <c r="J444" s="4"/>
      <c r="K444" s="4"/>
      <c r="L444" s="4"/>
      <c r="M444" s="4"/>
      <c r="N444" s="4"/>
      <c r="O444" s="4"/>
      <c r="P444" s="4"/>
      <c r="Q444" s="4"/>
      <c r="R444" s="4"/>
      <c r="S444" s="4"/>
      <c r="T444" s="4"/>
      <c r="U444" s="4"/>
      <c r="V444" s="4"/>
      <c r="W444" s="4"/>
      <c r="X444" s="4"/>
      <c r="Y444" s="4"/>
    </row>
    <row r="445" ht="15.75" customHeight="1">
      <c r="A445" s="4"/>
      <c r="B445" s="19"/>
      <c r="C445" s="4"/>
      <c r="D445" s="4"/>
      <c r="E445" s="4"/>
      <c r="F445" s="4"/>
      <c r="G445" s="4"/>
      <c r="H445" s="4"/>
      <c r="I445" s="4"/>
      <c r="J445" s="4"/>
      <c r="K445" s="4"/>
      <c r="L445" s="4"/>
      <c r="M445" s="4"/>
      <c r="N445" s="4"/>
      <c r="O445" s="4"/>
      <c r="P445" s="4"/>
      <c r="Q445" s="4"/>
      <c r="R445" s="4"/>
      <c r="S445" s="4"/>
      <c r="T445" s="4"/>
      <c r="U445" s="4"/>
      <c r="V445" s="4"/>
      <c r="W445" s="4"/>
      <c r="X445" s="4"/>
      <c r="Y445" s="4"/>
    </row>
    <row r="446" ht="15.75" customHeight="1">
      <c r="A446" s="4"/>
      <c r="B446" s="19"/>
      <c r="C446" s="4"/>
      <c r="D446" s="4"/>
      <c r="E446" s="4"/>
      <c r="F446" s="4"/>
      <c r="G446" s="4"/>
      <c r="H446" s="4"/>
      <c r="I446" s="4"/>
      <c r="J446" s="4"/>
      <c r="K446" s="4"/>
      <c r="L446" s="4"/>
      <c r="M446" s="4"/>
      <c r="N446" s="4"/>
      <c r="O446" s="4"/>
      <c r="P446" s="4"/>
      <c r="Q446" s="4"/>
      <c r="R446" s="4"/>
      <c r="S446" s="4"/>
      <c r="T446" s="4"/>
      <c r="U446" s="4"/>
      <c r="V446" s="4"/>
      <c r="W446" s="4"/>
      <c r="X446" s="4"/>
      <c r="Y446" s="4"/>
    </row>
    <row r="447" ht="15.75" customHeight="1">
      <c r="A447" s="4"/>
      <c r="B447" s="19"/>
      <c r="C447" s="4"/>
      <c r="D447" s="4"/>
      <c r="E447" s="4"/>
      <c r="F447" s="4"/>
      <c r="G447" s="4"/>
      <c r="H447" s="4"/>
      <c r="I447" s="4"/>
      <c r="J447" s="4"/>
      <c r="K447" s="4"/>
      <c r="L447" s="4"/>
      <c r="M447" s="4"/>
      <c r="N447" s="4"/>
      <c r="O447" s="4"/>
      <c r="P447" s="4"/>
      <c r="Q447" s="4"/>
      <c r="R447" s="4"/>
      <c r="S447" s="4"/>
      <c r="T447" s="4"/>
      <c r="U447" s="4"/>
      <c r="V447" s="4"/>
      <c r="W447" s="4"/>
      <c r="X447" s="4"/>
      <c r="Y447" s="4"/>
    </row>
    <row r="448" ht="15.75" customHeight="1">
      <c r="A448" s="4"/>
      <c r="B448" s="19"/>
      <c r="C448" s="4"/>
      <c r="D448" s="4"/>
      <c r="E448" s="4"/>
      <c r="F448" s="4"/>
      <c r="G448" s="4"/>
      <c r="H448" s="4"/>
      <c r="I448" s="4"/>
      <c r="J448" s="4"/>
      <c r="K448" s="4"/>
      <c r="L448" s="4"/>
      <c r="M448" s="4"/>
      <c r="N448" s="4"/>
      <c r="O448" s="4"/>
      <c r="P448" s="4"/>
      <c r="Q448" s="4"/>
      <c r="R448" s="4"/>
      <c r="S448" s="4"/>
      <c r="T448" s="4"/>
      <c r="U448" s="4"/>
      <c r="V448" s="4"/>
      <c r="W448" s="4"/>
      <c r="X448" s="4"/>
      <c r="Y448" s="4"/>
    </row>
    <row r="449" ht="15.75" customHeight="1">
      <c r="A449" s="4"/>
      <c r="B449" s="19"/>
      <c r="C449" s="4"/>
      <c r="D449" s="4"/>
      <c r="E449" s="4"/>
      <c r="F449" s="4"/>
      <c r="G449" s="4"/>
      <c r="H449" s="4"/>
      <c r="I449" s="4"/>
      <c r="J449" s="4"/>
      <c r="K449" s="4"/>
      <c r="L449" s="4"/>
      <c r="M449" s="4"/>
      <c r="N449" s="4"/>
      <c r="O449" s="4"/>
      <c r="P449" s="4"/>
      <c r="Q449" s="4"/>
      <c r="R449" s="4"/>
      <c r="S449" s="4"/>
      <c r="T449" s="4"/>
      <c r="U449" s="4"/>
      <c r="V449" s="4"/>
      <c r="W449" s="4"/>
      <c r="X449" s="4"/>
      <c r="Y449" s="4"/>
    </row>
    <row r="450" ht="15.75" customHeight="1">
      <c r="A450" s="4"/>
      <c r="B450" s="19"/>
      <c r="C450" s="4"/>
      <c r="D450" s="4"/>
      <c r="E450" s="4"/>
      <c r="F450" s="4"/>
      <c r="G450" s="4"/>
      <c r="H450" s="4"/>
      <c r="I450" s="4"/>
      <c r="J450" s="4"/>
      <c r="K450" s="4"/>
      <c r="L450" s="4"/>
      <c r="M450" s="4"/>
      <c r="N450" s="4"/>
      <c r="O450" s="4"/>
      <c r="P450" s="4"/>
      <c r="Q450" s="4"/>
      <c r="R450" s="4"/>
      <c r="S450" s="4"/>
      <c r="T450" s="4"/>
      <c r="U450" s="4"/>
      <c r="V450" s="4"/>
      <c r="W450" s="4"/>
      <c r="X450" s="4"/>
      <c r="Y450" s="4"/>
    </row>
    <row r="451" ht="15.75" customHeight="1">
      <c r="A451" s="4"/>
      <c r="B451" s="19"/>
      <c r="C451" s="4"/>
      <c r="D451" s="4"/>
      <c r="E451" s="4"/>
      <c r="F451" s="4"/>
      <c r="G451" s="4"/>
      <c r="H451" s="4"/>
      <c r="I451" s="4"/>
      <c r="J451" s="4"/>
      <c r="K451" s="4"/>
      <c r="L451" s="4"/>
      <c r="M451" s="4"/>
      <c r="N451" s="4"/>
      <c r="O451" s="4"/>
      <c r="P451" s="4"/>
      <c r="Q451" s="4"/>
      <c r="R451" s="4"/>
      <c r="S451" s="4"/>
      <c r="T451" s="4"/>
      <c r="U451" s="4"/>
      <c r="V451" s="4"/>
      <c r="W451" s="4"/>
      <c r="X451" s="4"/>
      <c r="Y451" s="4"/>
    </row>
    <row r="452" ht="15.75" customHeight="1">
      <c r="A452" s="4"/>
      <c r="B452" s="19"/>
      <c r="C452" s="4"/>
      <c r="D452" s="4"/>
      <c r="E452" s="4"/>
      <c r="F452" s="4"/>
      <c r="G452" s="4"/>
      <c r="H452" s="4"/>
      <c r="I452" s="4"/>
      <c r="J452" s="4"/>
      <c r="K452" s="4"/>
      <c r="L452" s="4"/>
      <c r="M452" s="4"/>
      <c r="N452" s="4"/>
      <c r="O452" s="4"/>
      <c r="P452" s="4"/>
      <c r="Q452" s="4"/>
      <c r="R452" s="4"/>
      <c r="S452" s="4"/>
      <c r="T452" s="4"/>
      <c r="U452" s="4"/>
      <c r="V452" s="4"/>
      <c r="W452" s="4"/>
      <c r="X452" s="4"/>
      <c r="Y452" s="4"/>
    </row>
    <row r="453" ht="15.75" customHeight="1">
      <c r="A453" s="4"/>
      <c r="B453" s="19"/>
      <c r="C453" s="4"/>
      <c r="D453" s="4"/>
      <c r="E453" s="4"/>
      <c r="F453" s="4"/>
      <c r="G453" s="4"/>
      <c r="H453" s="4"/>
      <c r="I453" s="4"/>
      <c r="J453" s="4"/>
      <c r="K453" s="4"/>
      <c r="L453" s="4"/>
      <c r="M453" s="4"/>
      <c r="N453" s="4"/>
      <c r="O453" s="4"/>
      <c r="P453" s="4"/>
      <c r="Q453" s="4"/>
      <c r="R453" s="4"/>
      <c r="S453" s="4"/>
      <c r="T453" s="4"/>
      <c r="U453" s="4"/>
      <c r="V453" s="4"/>
      <c r="W453" s="4"/>
      <c r="X453" s="4"/>
      <c r="Y453" s="4"/>
    </row>
    <row r="454" ht="15.75" customHeight="1">
      <c r="A454" s="4"/>
      <c r="B454" s="19"/>
      <c r="C454" s="4"/>
      <c r="D454" s="4"/>
      <c r="E454" s="4"/>
      <c r="F454" s="4"/>
      <c r="G454" s="4"/>
      <c r="H454" s="4"/>
      <c r="I454" s="4"/>
      <c r="J454" s="4"/>
      <c r="K454" s="4"/>
      <c r="L454" s="4"/>
      <c r="M454" s="4"/>
      <c r="N454" s="4"/>
      <c r="O454" s="4"/>
      <c r="P454" s="4"/>
      <c r="Q454" s="4"/>
      <c r="R454" s="4"/>
      <c r="S454" s="4"/>
      <c r="T454" s="4"/>
      <c r="U454" s="4"/>
      <c r="V454" s="4"/>
      <c r="W454" s="4"/>
      <c r="X454" s="4"/>
      <c r="Y454" s="4"/>
    </row>
    <row r="455" ht="15.75" customHeight="1">
      <c r="A455" s="4"/>
      <c r="B455" s="19"/>
      <c r="C455" s="4"/>
      <c r="D455" s="4"/>
      <c r="E455" s="4"/>
      <c r="F455" s="4"/>
      <c r="G455" s="4"/>
      <c r="H455" s="4"/>
      <c r="I455" s="4"/>
      <c r="J455" s="4"/>
      <c r="K455" s="4"/>
      <c r="L455" s="4"/>
      <c r="M455" s="4"/>
      <c r="N455" s="4"/>
      <c r="O455" s="4"/>
      <c r="P455" s="4"/>
      <c r="Q455" s="4"/>
      <c r="R455" s="4"/>
      <c r="S455" s="4"/>
      <c r="T455" s="4"/>
      <c r="U455" s="4"/>
      <c r="V455" s="4"/>
      <c r="W455" s="4"/>
      <c r="X455" s="4"/>
      <c r="Y455" s="4"/>
    </row>
    <row r="456" ht="15.75" customHeight="1">
      <c r="A456" s="4"/>
      <c r="B456" s="19"/>
      <c r="C456" s="4"/>
      <c r="D456" s="4"/>
      <c r="E456" s="4"/>
      <c r="F456" s="4"/>
      <c r="G456" s="4"/>
      <c r="H456" s="4"/>
      <c r="I456" s="4"/>
      <c r="J456" s="4"/>
      <c r="K456" s="4"/>
      <c r="L456" s="4"/>
      <c r="M456" s="4"/>
      <c r="N456" s="4"/>
      <c r="O456" s="4"/>
      <c r="P456" s="4"/>
      <c r="Q456" s="4"/>
      <c r="R456" s="4"/>
      <c r="S456" s="4"/>
      <c r="T456" s="4"/>
      <c r="U456" s="4"/>
      <c r="V456" s="4"/>
      <c r="W456" s="4"/>
      <c r="X456" s="4"/>
      <c r="Y456" s="4"/>
    </row>
    <row r="457" ht="15.75" customHeight="1">
      <c r="A457" s="4"/>
      <c r="B457" s="19"/>
      <c r="C457" s="4"/>
      <c r="D457" s="4"/>
      <c r="E457" s="4"/>
      <c r="F457" s="4"/>
      <c r="G457" s="4"/>
      <c r="H457" s="4"/>
      <c r="I457" s="4"/>
      <c r="J457" s="4"/>
      <c r="K457" s="4"/>
      <c r="L457" s="4"/>
      <c r="M457" s="4"/>
      <c r="N457" s="4"/>
      <c r="O457" s="4"/>
      <c r="P457" s="4"/>
      <c r="Q457" s="4"/>
      <c r="R457" s="4"/>
      <c r="S457" s="4"/>
      <c r="T457" s="4"/>
      <c r="U457" s="4"/>
      <c r="V457" s="4"/>
      <c r="W457" s="4"/>
      <c r="X457" s="4"/>
      <c r="Y457" s="4"/>
    </row>
    <row r="458" ht="15.75" customHeight="1">
      <c r="A458" s="4"/>
      <c r="B458" s="19"/>
      <c r="C458" s="4"/>
      <c r="D458" s="4"/>
      <c r="E458" s="4"/>
      <c r="F458" s="4"/>
      <c r="G458" s="4"/>
      <c r="H458" s="4"/>
      <c r="I458" s="4"/>
      <c r="J458" s="4"/>
      <c r="K458" s="4"/>
      <c r="L458" s="4"/>
      <c r="M458" s="4"/>
      <c r="N458" s="4"/>
      <c r="O458" s="4"/>
      <c r="P458" s="4"/>
      <c r="Q458" s="4"/>
      <c r="R458" s="4"/>
      <c r="S458" s="4"/>
      <c r="T458" s="4"/>
      <c r="U458" s="4"/>
      <c r="V458" s="4"/>
      <c r="W458" s="4"/>
      <c r="X458" s="4"/>
      <c r="Y458" s="4"/>
    </row>
    <row r="459" ht="15.75" customHeight="1">
      <c r="A459" s="4"/>
      <c r="B459" s="19"/>
      <c r="C459" s="4"/>
      <c r="D459" s="4"/>
      <c r="E459" s="4"/>
      <c r="F459" s="4"/>
      <c r="G459" s="4"/>
      <c r="H459" s="4"/>
      <c r="I459" s="4"/>
      <c r="J459" s="4"/>
      <c r="K459" s="4"/>
      <c r="L459" s="4"/>
      <c r="M459" s="4"/>
      <c r="N459" s="4"/>
      <c r="O459" s="4"/>
      <c r="P459" s="4"/>
      <c r="Q459" s="4"/>
      <c r="R459" s="4"/>
      <c r="S459" s="4"/>
      <c r="T459" s="4"/>
      <c r="U459" s="4"/>
      <c r="V459" s="4"/>
      <c r="W459" s="4"/>
      <c r="X459" s="4"/>
      <c r="Y459" s="4"/>
    </row>
    <row r="460" ht="15.75" customHeight="1">
      <c r="A460" s="4"/>
      <c r="B460" s="19"/>
      <c r="C460" s="4"/>
      <c r="D460" s="4"/>
      <c r="E460" s="4"/>
      <c r="F460" s="4"/>
      <c r="G460" s="4"/>
      <c r="H460" s="4"/>
      <c r="I460" s="4"/>
      <c r="J460" s="4"/>
      <c r="K460" s="4"/>
      <c r="L460" s="4"/>
      <c r="M460" s="4"/>
      <c r="N460" s="4"/>
      <c r="O460" s="4"/>
      <c r="P460" s="4"/>
      <c r="Q460" s="4"/>
      <c r="R460" s="4"/>
      <c r="S460" s="4"/>
      <c r="T460" s="4"/>
      <c r="U460" s="4"/>
      <c r="V460" s="4"/>
      <c r="W460" s="4"/>
      <c r="X460" s="4"/>
      <c r="Y460" s="4"/>
    </row>
    <row r="461" ht="15.75" customHeight="1">
      <c r="A461" s="4"/>
      <c r="B461" s="19"/>
      <c r="C461" s="4"/>
      <c r="D461" s="4"/>
      <c r="E461" s="4"/>
      <c r="F461" s="4"/>
      <c r="G461" s="4"/>
      <c r="H461" s="4"/>
      <c r="I461" s="4"/>
      <c r="J461" s="4"/>
      <c r="K461" s="4"/>
      <c r="L461" s="4"/>
      <c r="M461" s="4"/>
      <c r="N461" s="4"/>
      <c r="O461" s="4"/>
      <c r="P461" s="4"/>
      <c r="Q461" s="4"/>
      <c r="R461" s="4"/>
      <c r="S461" s="4"/>
      <c r="T461" s="4"/>
      <c r="U461" s="4"/>
      <c r="V461" s="4"/>
      <c r="W461" s="4"/>
      <c r="X461" s="4"/>
      <c r="Y461" s="4"/>
    </row>
    <row r="462" ht="15.75" customHeight="1">
      <c r="A462" s="4"/>
      <c r="B462" s="19"/>
      <c r="C462" s="4"/>
      <c r="D462" s="4"/>
      <c r="E462" s="4"/>
      <c r="F462" s="4"/>
      <c r="G462" s="4"/>
      <c r="H462" s="4"/>
      <c r="I462" s="4"/>
      <c r="J462" s="4"/>
      <c r="K462" s="4"/>
      <c r="L462" s="4"/>
      <c r="M462" s="4"/>
      <c r="N462" s="4"/>
      <c r="O462" s="4"/>
      <c r="P462" s="4"/>
      <c r="Q462" s="4"/>
      <c r="R462" s="4"/>
      <c r="S462" s="4"/>
      <c r="T462" s="4"/>
      <c r="U462" s="4"/>
      <c r="V462" s="4"/>
      <c r="W462" s="4"/>
      <c r="X462" s="4"/>
      <c r="Y462" s="4"/>
    </row>
    <row r="463" ht="15.75" customHeight="1">
      <c r="A463" s="4"/>
      <c r="B463" s="19"/>
      <c r="C463" s="4"/>
      <c r="D463" s="4"/>
      <c r="E463" s="4"/>
      <c r="F463" s="4"/>
      <c r="G463" s="4"/>
      <c r="H463" s="4"/>
      <c r="I463" s="4"/>
      <c r="J463" s="4"/>
      <c r="K463" s="4"/>
      <c r="L463" s="4"/>
      <c r="M463" s="4"/>
      <c r="N463" s="4"/>
      <c r="O463" s="4"/>
      <c r="P463" s="4"/>
      <c r="Q463" s="4"/>
      <c r="R463" s="4"/>
      <c r="S463" s="4"/>
      <c r="T463" s="4"/>
      <c r="U463" s="4"/>
      <c r="V463" s="4"/>
      <c r="W463" s="4"/>
      <c r="X463" s="4"/>
      <c r="Y463" s="4"/>
    </row>
    <row r="464" ht="15.75" customHeight="1">
      <c r="A464" s="4"/>
      <c r="B464" s="19"/>
      <c r="C464" s="4"/>
      <c r="D464" s="4"/>
      <c r="E464" s="4"/>
      <c r="F464" s="4"/>
      <c r="G464" s="4"/>
      <c r="H464" s="4"/>
      <c r="I464" s="4"/>
      <c r="J464" s="4"/>
      <c r="K464" s="4"/>
      <c r="L464" s="4"/>
      <c r="M464" s="4"/>
      <c r="N464" s="4"/>
      <c r="O464" s="4"/>
      <c r="P464" s="4"/>
      <c r="Q464" s="4"/>
      <c r="R464" s="4"/>
      <c r="S464" s="4"/>
      <c r="T464" s="4"/>
      <c r="U464" s="4"/>
      <c r="V464" s="4"/>
      <c r="W464" s="4"/>
      <c r="X464" s="4"/>
      <c r="Y464" s="4"/>
    </row>
    <row r="465" ht="15.75" customHeight="1">
      <c r="A465" s="4"/>
      <c r="B465" s="19"/>
      <c r="C465" s="4"/>
      <c r="D465" s="4"/>
      <c r="E465" s="4"/>
      <c r="F465" s="4"/>
      <c r="G465" s="4"/>
      <c r="H465" s="4"/>
      <c r="I465" s="4"/>
      <c r="J465" s="4"/>
      <c r="K465" s="4"/>
      <c r="L465" s="4"/>
      <c r="M465" s="4"/>
      <c r="N465" s="4"/>
      <c r="O465" s="4"/>
      <c r="P465" s="4"/>
      <c r="Q465" s="4"/>
      <c r="R465" s="4"/>
      <c r="S465" s="4"/>
      <c r="T465" s="4"/>
      <c r="U465" s="4"/>
      <c r="V465" s="4"/>
      <c r="W465" s="4"/>
      <c r="X465" s="4"/>
      <c r="Y465" s="4"/>
    </row>
    <row r="466" ht="15.75" customHeight="1">
      <c r="A466" s="4"/>
      <c r="B466" s="19"/>
      <c r="C466" s="4"/>
      <c r="D466" s="4"/>
      <c r="E466" s="4"/>
      <c r="F466" s="4"/>
      <c r="G466" s="4"/>
      <c r="H466" s="4"/>
      <c r="I466" s="4"/>
      <c r="J466" s="4"/>
      <c r="K466" s="4"/>
      <c r="L466" s="4"/>
      <c r="M466" s="4"/>
      <c r="N466" s="4"/>
      <c r="O466" s="4"/>
      <c r="P466" s="4"/>
      <c r="Q466" s="4"/>
      <c r="R466" s="4"/>
      <c r="S466" s="4"/>
      <c r="T466" s="4"/>
      <c r="U466" s="4"/>
      <c r="V466" s="4"/>
      <c r="W466" s="4"/>
      <c r="X466" s="4"/>
      <c r="Y466" s="4"/>
    </row>
    <row r="467" ht="15.75" customHeight="1">
      <c r="A467" s="4"/>
      <c r="B467" s="19"/>
      <c r="C467" s="4"/>
      <c r="D467" s="4"/>
      <c r="E467" s="4"/>
      <c r="F467" s="4"/>
      <c r="G467" s="4"/>
      <c r="H467" s="4"/>
      <c r="I467" s="4"/>
      <c r="J467" s="4"/>
      <c r="K467" s="4"/>
      <c r="L467" s="4"/>
      <c r="M467" s="4"/>
      <c r="N467" s="4"/>
      <c r="O467" s="4"/>
      <c r="P467" s="4"/>
      <c r="Q467" s="4"/>
      <c r="R467" s="4"/>
      <c r="S467" s="4"/>
      <c r="T467" s="4"/>
      <c r="U467" s="4"/>
      <c r="V467" s="4"/>
      <c r="W467" s="4"/>
      <c r="X467" s="4"/>
      <c r="Y467" s="4"/>
    </row>
    <row r="468" ht="15.75" customHeight="1">
      <c r="A468" s="4"/>
      <c r="B468" s="19"/>
      <c r="C468" s="4"/>
      <c r="D468" s="4"/>
      <c r="E468" s="4"/>
      <c r="F468" s="4"/>
      <c r="G468" s="4"/>
      <c r="H468" s="4"/>
      <c r="I468" s="4"/>
      <c r="J468" s="4"/>
      <c r="K468" s="4"/>
      <c r="L468" s="4"/>
      <c r="M468" s="4"/>
      <c r="N468" s="4"/>
      <c r="O468" s="4"/>
      <c r="P468" s="4"/>
      <c r="Q468" s="4"/>
      <c r="R468" s="4"/>
      <c r="S468" s="4"/>
      <c r="T468" s="4"/>
      <c r="U468" s="4"/>
      <c r="V468" s="4"/>
      <c r="W468" s="4"/>
      <c r="X468" s="4"/>
      <c r="Y468" s="4"/>
    </row>
    <row r="469" ht="15.75" customHeight="1">
      <c r="A469" s="4"/>
      <c r="B469" s="19"/>
      <c r="C469" s="4"/>
      <c r="D469" s="4"/>
      <c r="E469" s="4"/>
      <c r="F469" s="4"/>
      <c r="G469" s="4"/>
      <c r="H469" s="4"/>
      <c r="I469" s="4"/>
      <c r="J469" s="4"/>
      <c r="K469" s="4"/>
      <c r="L469" s="4"/>
      <c r="M469" s="4"/>
      <c r="N469" s="4"/>
      <c r="O469" s="4"/>
      <c r="P469" s="4"/>
      <c r="Q469" s="4"/>
      <c r="R469" s="4"/>
      <c r="S469" s="4"/>
      <c r="T469" s="4"/>
      <c r="U469" s="4"/>
      <c r="V469" s="4"/>
      <c r="W469" s="4"/>
      <c r="X469" s="4"/>
      <c r="Y469" s="4"/>
    </row>
    <row r="470" ht="15.75" customHeight="1">
      <c r="A470" s="4"/>
      <c r="B470" s="19"/>
      <c r="C470" s="4"/>
      <c r="D470" s="4"/>
      <c r="E470" s="4"/>
      <c r="F470" s="4"/>
      <c r="G470" s="4"/>
      <c r="H470" s="4"/>
      <c r="I470" s="4"/>
      <c r="J470" s="4"/>
      <c r="K470" s="4"/>
      <c r="L470" s="4"/>
      <c r="M470" s="4"/>
      <c r="N470" s="4"/>
      <c r="O470" s="4"/>
      <c r="P470" s="4"/>
      <c r="Q470" s="4"/>
      <c r="R470" s="4"/>
      <c r="S470" s="4"/>
      <c r="T470" s="4"/>
      <c r="U470" s="4"/>
      <c r="V470" s="4"/>
      <c r="W470" s="4"/>
      <c r="X470" s="4"/>
      <c r="Y470" s="4"/>
    </row>
    <row r="471" ht="15.75" customHeight="1">
      <c r="A471" s="4"/>
      <c r="B471" s="19"/>
      <c r="C471" s="4"/>
      <c r="D471" s="4"/>
      <c r="E471" s="4"/>
      <c r="F471" s="4"/>
      <c r="G471" s="4"/>
      <c r="H471" s="4"/>
      <c r="I471" s="4"/>
      <c r="J471" s="4"/>
      <c r="K471" s="4"/>
      <c r="L471" s="4"/>
      <c r="M471" s="4"/>
      <c r="N471" s="4"/>
      <c r="O471" s="4"/>
      <c r="P471" s="4"/>
      <c r="Q471" s="4"/>
      <c r="R471" s="4"/>
      <c r="S471" s="4"/>
      <c r="T471" s="4"/>
      <c r="U471" s="4"/>
      <c r="V471" s="4"/>
      <c r="W471" s="4"/>
      <c r="X471" s="4"/>
      <c r="Y471" s="4"/>
    </row>
    <row r="472" ht="15.75" customHeight="1">
      <c r="A472" s="4"/>
      <c r="B472" s="19"/>
      <c r="C472" s="4"/>
      <c r="D472" s="4"/>
      <c r="E472" s="4"/>
      <c r="F472" s="4"/>
      <c r="G472" s="4"/>
      <c r="H472" s="4"/>
      <c r="I472" s="4"/>
      <c r="J472" s="4"/>
      <c r="K472" s="4"/>
      <c r="L472" s="4"/>
      <c r="M472" s="4"/>
      <c r="N472" s="4"/>
      <c r="O472" s="4"/>
      <c r="P472" s="4"/>
      <c r="Q472" s="4"/>
      <c r="R472" s="4"/>
      <c r="S472" s="4"/>
      <c r="T472" s="4"/>
      <c r="U472" s="4"/>
      <c r="V472" s="4"/>
      <c r="W472" s="4"/>
      <c r="X472" s="4"/>
      <c r="Y472" s="4"/>
    </row>
    <row r="473" ht="15.75" customHeight="1">
      <c r="A473" s="4"/>
      <c r="B473" s="19"/>
      <c r="C473" s="4"/>
      <c r="D473" s="4"/>
      <c r="E473" s="4"/>
      <c r="F473" s="4"/>
      <c r="G473" s="4"/>
      <c r="H473" s="4"/>
      <c r="I473" s="4"/>
      <c r="J473" s="4"/>
      <c r="K473" s="4"/>
      <c r="L473" s="4"/>
      <c r="M473" s="4"/>
      <c r="N473" s="4"/>
      <c r="O473" s="4"/>
      <c r="P473" s="4"/>
      <c r="Q473" s="4"/>
      <c r="R473" s="4"/>
      <c r="S473" s="4"/>
      <c r="T473" s="4"/>
      <c r="U473" s="4"/>
      <c r="V473" s="4"/>
      <c r="W473" s="4"/>
      <c r="X473" s="4"/>
      <c r="Y473" s="4"/>
    </row>
    <row r="474" ht="15.75" customHeight="1">
      <c r="A474" s="4"/>
      <c r="B474" s="19"/>
      <c r="C474" s="4"/>
      <c r="D474" s="4"/>
      <c r="E474" s="4"/>
      <c r="F474" s="4"/>
      <c r="G474" s="4"/>
      <c r="H474" s="4"/>
      <c r="I474" s="4"/>
      <c r="J474" s="4"/>
      <c r="K474" s="4"/>
      <c r="L474" s="4"/>
      <c r="M474" s="4"/>
      <c r="N474" s="4"/>
      <c r="O474" s="4"/>
      <c r="P474" s="4"/>
      <c r="Q474" s="4"/>
      <c r="R474" s="4"/>
      <c r="S474" s="4"/>
      <c r="T474" s="4"/>
      <c r="U474" s="4"/>
      <c r="V474" s="4"/>
      <c r="W474" s="4"/>
      <c r="X474" s="4"/>
      <c r="Y474" s="4"/>
    </row>
    <row r="475" ht="15.75" customHeight="1">
      <c r="A475" s="4"/>
      <c r="B475" s="19"/>
      <c r="C475" s="4"/>
      <c r="D475" s="4"/>
      <c r="E475" s="4"/>
      <c r="F475" s="4"/>
      <c r="G475" s="4"/>
      <c r="H475" s="4"/>
      <c r="I475" s="4"/>
      <c r="J475" s="4"/>
      <c r="K475" s="4"/>
      <c r="L475" s="4"/>
      <c r="M475" s="4"/>
      <c r="N475" s="4"/>
      <c r="O475" s="4"/>
      <c r="P475" s="4"/>
      <c r="Q475" s="4"/>
      <c r="R475" s="4"/>
      <c r="S475" s="4"/>
      <c r="T475" s="4"/>
      <c r="U475" s="4"/>
      <c r="V475" s="4"/>
      <c r="W475" s="4"/>
      <c r="X475" s="4"/>
      <c r="Y475" s="4"/>
    </row>
    <row r="476" ht="15.75" customHeight="1">
      <c r="A476" s="4"/>
      <c r="B476" s="19"/>
      <c r="C476" s="4"/>
      <c r="D476" s="4"/>
      <c r="E476" s="4"/>
      <c r="F476" s="4"/>
      <c r="G476" s="4"/>
      <c r="H476" s="4"/>
      <c r="I476" s="4"/>
      <c r="J476" s="4"/>
      <c r="K476" s="4"/>
      <c r="L476" s="4"/>
      <c r="M476" s="4"/>
      <c r="N476" s="4"/>
      <c r="O476" s="4"/>
      <c r="P476" s="4"/>
      <c r="Q476" s="4"/>
      <c r="R476" s="4"/>
      <c r="S476" s="4"/>
      <c r="T476" s="4"/>
      <c r="U476" s="4"/>
      <c r="V476" s="4"/>
      <c r="W476" s="4"/>
      <c r="X476" s="4"/>
      <c r="Y476" s="4"/>
    </row>
    <row r="477" ht="15.75" customHeight="1">
      <c r="A477" s="4"/>
      <c r="B477" s="19"/>
      <c r="C477" s="4"/>
      <c r="D477" s="4"/>
      <c r="E477" s="4"/>
      <c r="F477" s="4"/>
      <c r="G477" s="4"/>
      <c r="H477" s="4"/>
      <c r="I477" s="4"/>
      <c r="J477" s="4"/>
      <c r="K477" s="4"/>
      <c r="L477" s="4"/>
      <c r="M477" s="4"/>
      <c r="N477" s="4"/>
      <c r="O477" s="4"/>
      <c r="P477" s="4"/>
      <c r="Q477" s="4"/>
      <c r="R477" s="4"/>
      <c r="S477" s="4"/>
      <c r="T477" s="4"/>
      <c r="U477" s="4"/>
      <c r="V477" s="4"/>
      <c r="W477" s="4"/>
      <c r="X477" s="4"/>
      <c r="Y477" s="4"/>
    </row>
    <row r="478" ht="15.75" customHeight="1">
      <c r="A478" s="4"/>
      <c r="B478" s="19"/>
      <c r="C478" s="4"/>
      <c r="D478" s="4"/>
      <c r="E478" s="4"/>
      <c r="F478" s="4"/>
      <c r="G478" s="4"/>
      <c r="H478" s="4"/>
      <c r="I478" s="4"/>
      <c r="J478" s="4"/>
      <c r="K478" s="4"/>
      <c r="L478" s="4"/>
      <c r="M478" s="4"/>
      <c r="N478" s="4"/>
      <c r="O478" s="4"/>
      <c r="P478" s="4"/>
      <c r="Q478" s="4"/>
      <c r="R478" s="4"/>
      <c r="S478" s="4"/>
      <c r="T478" s="4"/>
      <c r="U478" s="4"/>
      <c r="V478" s="4"/>
      <c r="W478" s="4"/>
      <c r="X478" s="4"/>
      <c r="Y478" s="4"/>
    </row>
    <row r="479" ht="15.75" customHeight="1">
      <c r="A479" s="4"/>
      <c r="B479" s="19"/>
      <c r="C479" s="4"/>
      <c r="D479" s="4"/>
      <c r="E479" s="4"/>
      <c r="F479" s="4"/>
      <c r="G479" s="4"/>
      <c r="H479" s="4"/>
      <c r="I479" s="4"/>
      <c r="J479" s="4"/>
      <c r="K479" s="4"/>
      <c r="L479" s="4"/>
      <c r="M479" s="4"/>
      <c r="N479" s="4"/>
      <c r="O479" s="4"/>
      <c r="P479" s="4"/>
      <c r="Q479" s="4"/>
      <c r="R479" s="4"/>
      <c r="S479" s="4"/>
      <c r="T479" s="4"/>
      <c r="U479" s="4"/>
      <c r="V479" s="4"/>
      <c r="W479" s="4"/>
      <c r="X479" s="4"/>
      <c r="Y479" s="4"/>
    </row>
    <row r="480" ht="15.75" customHeight="1">
      <c r="A480" s="4"/>
      <c r="B480" s="19"/>
      <c r="C480" s="4"/>
      <c r="D480" s="4"/>
      <c r="E480" s="4"/>
      <c r="F480" s="4"/>
      <c r="G480" s="4"/>
      <c r="H480" s="4"/>
      <c r="I480" s="4"/>
      <c r="J480" s="4"/>
      <c r="K480" s="4"/>
      <c r="L480" s="4"/>
      <c r="M480" s="4"/>
      <c r="N480" s="4"/>
      <c r="O480" s="4"/>
      <c r="P480" s="4"/>
      <c r="Q480" s="4"/>
      <c r="R480" s="4"/>
      <c r="S480" s="4"/>
      <c r="T480" s="4"/>
      <c r="U480" s="4"/>
      <c r="V480" s="4"/>
      <c r="W480" s="4"/>
      <c r="X480" s="4"/>
      <c r="Y480" s="4"/>
    </row>
    <row r="481" ht="15.75" customHeight="1">
      <c r="A481" s="4"/>
      <c r="B481" s="19"/>
      <c r="C481" s="4"/>
      <c r="D481" s="4"/>
      <c r="E481" s="4"/>
      <c r="F481" s="4"/>
      <c r="G481" s="4"/>
      <c r="H481" s="4"/>
      <c r="I481" s="4"/>
      <c r="J481" s="4"/>
      <c r="K481" s="4"/>
      <c r="L481" s="4"/>
      <c r="M481" s="4"/>
      <c r="N481" s="4"/>
      <c r="O481" s="4"/>
      <c r="P481" s="4"/>
      <c r="Q481" s="4"/>
      <c r="R481" s="4"/>
      <c r="S481" s="4"/>
      <c r="T481" s="4"/>
      <c r="U481" s="4"/>
      <c r="V481" s="4"/>
      <c r="W481" s="4"/>
      <c r="X481" s="4"/>
      <c r="Y481" s="4"/>
    </row>
    <row r="482" ht="15.75" customHeight="1">
      <c r="A482" s="4"/>
      <c r="B482" s="19"/>
      <c r="C482" s="4"/>
      <c r="D482" s="4"/>
      <c r="E482" s="4"/>
      <c r="F482" s="4"/>
      <c r="G482" s="4"/>
      <c r="H482" s="4"/>
      <c r="I482" s="4"/>
      <c r="J482" s="4"/>
      <c r="K482" s="4"/>
      <c r="L482" s="4"/>
      <c r="M482" s="4"/>
      <c r="N482" s="4"/>
      <c r="O482" s="4"/>
      <c r="P482" s="4"/>
      <c r="Q482" s="4"/>
      <c r="R482" s="4"/>
      <c r="S482" s="4"/>
      <c r="T482" s="4"/>
      <c r="U482" s="4"/>
      <c r="V482" s="4"/>
      <c r="W482" s="4"/>
      <c r="X482" s="4"/>
      <c r="Y482" s="4"/>
    </row>
    <row r="483" ht="15.75" customHeight="1">
      <c r="A483" s="4"/>
      <c r="B483" s="19"/>
      <c r="C483" s="4"/>
      <c r="D483" s="4"/>
      <c r="E483" s="4"/>
      <c r="F483" s="4"/>
      <c r="G483" s="4"/>
      <c r="H483" s="4"/>
      <c r="I483" s="4"/>
      <c r="J483" s="4"/>
      <c r="K483" s="4"/>
      <c r="L483" s="4"/>
      <c r="M483" s="4"/>
      <c r="N483" s="4"/>
      <c r="O483" s="4"/>
      <c r="P483" s="4"/>
      <c r="Q483" s="4"/>
      <c r="R483" s="4"/>
      <c r="S483" s="4"/>
      <c r="T483" s="4"/>
      <c r="U483" s="4"/>
      <c r="V483" s="4"/>
      <c r="W483" s="4"/>
      <c r="X483" s="4"/>
      <c r="Y483" s="4"/>
    </row>
    <row r="484" ht="15.75" customHeight="1">
      <c r="A484" s="4"/>
      <c r="B484" s="19"/>
      <c r="C484" s="4"/>
      <c r="D484" s="4"/>
      <c r="E484" s="4"/>
      <c r="F484" s="4"/>
      <c r="G484" s="4"/>
      <c r="H484" s="4"/>
      <c r="I484" s="4"/>
      <c r="J484" s="4"/>
      <c r="K484" s="4"/>
      <c r="L484" s="4"/>
      <c r="M484" s="4"/>
      <c r="N484" s="4"/>
      <c r="O484" s="4"/>
      <c r="P484" s="4"/>
      <c r="Q484" s="4"/>
      <c r="R484" s="4"/>
      <c r="S484" s="4"/>
      <c r="T484" s="4"/>
      <c r="U484" s="4"/>
      <c r="V484" s="4"/>
      <c r="W484" s="4"/>
      <c r="X484" s="4"/>
      <c r="Y484" s="4"/>
    </row>
    <row r="485" ht="15.75" customHeight="1">
      <c r="A485" s="4"/>
      <c r="B485" s="19"/>
      <c r="C485" s="4"/>
      <c r="D485" s="4"/>
      <c r="E485" s="4"/>
      <c r="F485" s="4"/>
      <c r="G485" s="4"/>
      <c r="H485" s="4"/>
      <c r="I485" s="4"/>
      <c r="J485" s="4"/>
      <c r="K485" s="4"/>
      <c r="L485" s="4"/>
      <c r="M485" s="4"/>
      <c r="N485" s="4"/>
      <c r="O485" s="4"/>
      <c r="P485" s="4"/>
      <c r="Q485" s="4"/>
      <c r="R485" s="4"/>
      <c r="S485" s="4"/>
      <c r="T485" s="4"/>
      <c r="U485" s="4"/>
      <c r="V485" s="4"/>
      <c r="W485" s="4"/>
      <c r="X485" s="4"/>
      <c r="Y485" s="4"/>
    </row>
    <row r="486" ht="15.75" customHeight="1">
      <c r="A486" s="4"/>
      <c r="B486" s="19"/>
      <c r="C486" s="4"/>
      <c r="D486" s="4"/>
      <c r="E486" s="4"/>
      <c r="F486" s="4"/>
      <c r="G486" s="4"/>
      <c r="H486" s="4"/>
      <c r="I486" s="4"/>
      <c r="J486" s="4"/>
      <c r="K486" s="4"/>
      <c r="L486" s="4"/>
      <c r="M486" s="4"/>
      <c r="N486" s="4"/>
      <c r="O486" s="4"/>
      <c r="P486" s="4"/>
      <c r="Q486" s="4"/>
      <c r="R486" s="4"/>
      <c r="S486" s="4"/>
      <c r="T486" s="4"/>
      <c r="U486" s="4"/>
      <c r="V486" s="4"/>
      <c r="W486" s="4"/>
      <c r="X486" s="4"/>
      <c r="Y486" s="4"/>
    </row>
    <row r="487" ht="15.75" customHeight="1">
      <c r="A487" s="4"/>
      <c r="B487" s="19"/>
      <c r="C487" s="4"/>
      <c r="D487" s="4"/>
      <c r="E487" s="4"/>
      <c r="F487" s="4"/>
      <c r="G487" s="4"/>
      <c r="H487" s="4"/>
      <c r="I487" s="4"/>
      <c r="J487" s="4"/>
      <c r="K487" s="4"/>
      <c r="L487" s="4"/>
      <c r="M487" s="4"/>
      <c r="N487" s="4"/>
      <c r="O487" s="4"/>
      <c r="P487" s="4"/>
      <c r="Q487" s="4"/>
      <c r="R487" s="4"/>
      <c r="S487" s="4"/>
      <c r="T487" s="4"/>
      <c r="U487" s="4"/>
      <c r="V487" s="4"/>
      <c r="W487" s="4"/>
      <c r="X487" s="4"/>
      <c r="Y487" s="4"/>
    </row>
    <row r="488" ht="15.75" customHeight="1">
      <c r="A488" s="4"/>
      <c r="B488" s="19"/>
      <c r="C488" s="4"/>
      <c r="D488" s="4"/>
      <c r="E488" s="4"/>
      <c r="F488" s="4"/>
      <c r="G488" s="4"/>
      <c r="H488" s="4"/>
      <c r="I488" s="4"/>
      <c r="J488" s="4"/>
      <c r="K488" s="4"/>
      <c r="L488" s="4"/>
      <c r="M488" s="4"/>
      <c r="N488" s="4"/>
      <c r="O488" s="4"/>
      <c r="P488" s="4"/>
      <c r="Q488" s="4"/>
      <c r="R488" s="4"/>
      <c r="S488" s="4"/>
      <c r="T488" s="4"/>
      <c r="U488" s="4"/>
      <c r="V488" s="4"/>
      <c r="W488" s="4"/>
      <c r="X488" s="4"/>
      <c r="Y488" s="4"/>
    </row>
    <row r="489" ht="15.75" customHeight="1">
      <c r="A489" s="4"/>
      <c r="B489" s="19"/>
      <c r="C489" s="4"/>
      <c r="D489" s="4"/>
      <c r="E489" s="4"/>
      <c r="F489" s="4"/>
      <c r="G489" s="4"/>
      <c r="H489" s="4"/>
      <c r="I489" s="4"/>
      <c r="J489" s="4"/>
      <c r="K489" s="4"/>
      <c r="L489" s="4"/>
      <c r="M489" s="4"/>
      <c r="N489" s="4"/>
      <c r="O489" s="4"/>
      <c r="P489" s="4"/>
      <c r="Q489" s="4"/>
      <c r="R489" s="4"/>
      <c r="S489" s="4"/>
      <c r="T489" s="4"/>
      <c r="U489" s="4"/>
      <c r="V489" s="4"/>
      <c r="W489" s="4"/>
      <c r="X489" s="4"/>
      <c r="Y489" s="4"/>
    </row>
    <row r="490" ht="15.75" customHeight="1">
      <c r="A490" s="4"/>
      <c r="B490" s="19"/>
      <c r="C490" s="4"/>
      <c r="D490" s="4"/>
      <c r="E490" s="4"/>
      <c r="F490" s="4"/>
      <c r="G490" s="4"/>
      <c r="H490" s="4"/>
      <c r="I490" s="4"/>
      <c r="J490" s="4"/>
      <c r="K490" s="4"/>
      <c r="L490" s="4"/>
      <c r="M490" s="4"/>
      <c r="N490" s="4"/>
      <c r="O490" s="4"/>
      <c r="P490" s="4"/>
      <c r="Q490" s="4"/>
      <c r="R490" s="4"/>
      <c r="S490" s="4"/>
      <c r="T490" s="4"/>
      <c r="U490" s="4"/>
      <c r="V490" s="4"/>
      <c r="W490" s="4"/>
      <c r="X490" s="4"/>
      <c r="Y490" s="4"/>
    </row>
    <row r="491" ht="15.75" customHeight="1">
      <c r="A491" s="4"/>
      <c r="B491" s="19"/>
      <c r="C491" s="4"/>
      <c r="D491" s="4"/>
      <c r="E491" s="4"/>
      <c r="F491" s="4"/>
      <c r="G491" s="4"/>
      <c r="H491" s="4"/>
      <c r="I491" s="4"/>
      <c r="J491" s="4"/>
      <c r="K491" s="4"/>
      <c r="L491" s="4"/>
      <c r="M491" s="4"/>
      <c r="N491" s="4"/>
      <c r="O491" s="4"/>
      <c r="P491" s="4"/>
      <c r="Q491" s="4"/>
      <c r="R491" s="4"/>
      <c r="S491" s="4"/>
      <c r="T491" s="4"/>
      <c r="U491" s="4"/>
      <c r="V491" s="4"/>
      <c r="W491" s="4"/>
      <c r="X491" s="4"/>
      <c r="Y491" s="4"/>
    </row>
    <row r="492" ht="15.75" customHeight="1">
      <c r="A492" s="4"/>
      <c r="B492" s="19"/>
      <c r="C492" s="4"/>
      <c r="D492" s="4"/>
      <c r="E492" s="4"/>
      <c r="F492" s="4"/>
      <c r="G492" s="4"/>
      <c r="H492" s="4"/>
      <c r="I492" s="4"/>
      <c r="J492" s="4"/>
      <c r="K492" s="4"/>
      <c r="L492" s="4"/>
      <c r="M492" s="4"/>
      <c r="N492" s="4"/>
      <c r="O492" s="4"/>
      <c r="P492" s="4"/>
      <c r="Q492" s="4"/>
      <c r="R492" s="4"/>
      <c r="S492" s="4"/>
      <c r="T492" s="4"/>
      <c r="U492" s="4"/>
      <c r="V492" s="4"/>
      <c r="W492" s="4"/>
      <c r="X492" s="4"/>
      <c r="Y492" s="4"/>
    </row>
    <row r="493" ht="15.75" customHeight="1">
      <c r="A493" s="4"/>
      <c r="B493" s="19"/>
      <c r="C493" s="4"/>
      <c r="D493" s="4"/>
      <c r="E493" s="4"/>
      <c r="F493" s="4"/>
      <c r="G493" s="4"/>
      <c r="H493" s="4"/>
      <c r="I493" s="4"/>
      <c r="J493" s="4"/>
      <c r="K493" s="4"/>
      <c r="L493" s="4"/>
      <c r="M493" s="4"/>
      <c r="N493" s="4"/>
      <c r="O493" s="4"/>
      <c r="P493" s="4"/>
      <c r="Q493" s="4"/>
      <c r="R493" s="4"/>
      <c r="S493" s="4"/>
      <c r="T493" s="4"/>
      <c r="U493" s="4"/>
      <c r="V493" s="4"/>
      <c r="W493" s="4"/>
      <c r="X493" s="4"/>
      <c r="Y493" s="4"/>
    </row>
    <row r="494" ht="15.75" customHeight="1">
      <c r="A494" s="4"/>
      <c r="B494" s="19"/>
      <c r="C494" s="4"/>
      <c r="D494" s="4"/>
      <c r="E494" s="4"/>
      <c r="F494" s="4"/>
      <c r="G494" s="4"/>
      <c r="H494" s="4"/>
      <c r="I494" s="4"/>
      <c r="J494" s="4"/>
      <c r="K494" s="4"/>
      <c r="L494" s="4"/>
      <c r="M494" s="4"/>
      <c r="N494" s="4"/>
      <c r="O494" s="4"/>
      <c r="P494" s="4"/>
      <c r="Q494" s="4"/>
      <c r="R494" s="4"/>
      <c r="S494" s="4"/>
      <c r="T494" s="4"/>
      <c r="U494" s="4"/>
      <c r="V494" s="4"/>
      <c r="W494" s="4"/>
      <c r="X494" s="4"/>
      <c r="Y494" s="4"/>
    </row>
    <row r="495" ht="15.75" customHeight="1">
      <c r="A495" s="4"/>
      <c r="B495" s="19"/>
      <c r="C495" s="4"/>
      <c r="D495" s="4"/>
      <c r="E495" s="4"/>
      <c r="F495" s="4"/>
      <c r="G495" s="4"/>
      <c r="H495" s="4"/>
      <c r="I495" s="4"/>
      <c r="J495" s="4"/>
      <c r="K495" s="4"/>
      <c r="L495" s="4"/>
      <c r="M495" s="4"/>
      <c r="N495" s="4"/>
      <c r="O495" s="4"/>
      <c r="P495" s="4"/>
      <c r="Q495" s="4"/>
      <c r="R495" s="4"/>
      <c r="S495" s="4"/>
      <c r="T495" s="4"/>
      <c r="U495" s="4"/>
      <c r="V495" s="4"/>
      <c r="W495" s="4"/>
      <c r="X495" s="4"/>
      <c r="Y495" s="4"/>
    </row>
    <row r="496" ht="15.75" customHeight="1">
      <c r="A496" s="4"/>
      <c r="B496" s="19"/>
      <c r="C496" s="4"/>
      <c r="D496" s="4"/>
      <c r="E496" s="4"/>
      <c r="F496" s="4"/>
      <c r="G496" s="4"/>
      <c r="H496" s="4"/>
      <c r="I496" s="4"/>
      <c r="J496" s="4"/>
      <c r="K496" s="4"/>
      <c r="L496" s="4"/>
      <c r="M496" s="4"/>
      <c r="N496" s="4"/>
      <c r="O496" s="4"/>
      <c r="P496" s="4"/>
      <c r="Q496" s="4"/>
      <c r="R496" s="4"/>
      <c r="S496" s="4"/>
      <c r="T496" s="4"/>
      <c r="U496" s="4"/>
      <c r="V496" s="4"/>
      <c r="W496" s="4"/>
      <c r="X496" s="4"/>
      <c r="Y496" s="4"/>
    </row>
    <row r="497" ht="15.75" customHeight="1">
      <c r="A497" s="4"/>
      <c r="B497" s="19"/>
      <c r="C497" s="4"/>
      <c r="D497" s="4"/>
      <c r="E497" s="4"/>
      <c r="F497" s="4"/>
      <c r="G497" s="4"/>
      <c r="H497" s="4"/>
      <c r="I497" s="4"/>
      <c r="J497" s="4"/>
      <c r="K497" s="4"/>
      <c r="L497" s="4"/>
      <c r="M497" s="4"/>
      <c r="N497" s="4"/>
      <c r="O497" s="4"/>
      <c r="P497" s="4"/>
      <c r="Q497" s="4"/>
      <c r="R497" s="4"/>
      <c r="S497" s="4"/>
      <c r="T497" s="4"/>
      <c r="U497" s="4"/>
      <c r="V497" s="4"/>
      <c r="W497" s="4"/>
      <c r="X497" s="4"/>
      <c r="Y497" s="4"/>
    </row>
    <row r="498" ht="15.75" customHeight="1">
      <c r="A498" s="4"/>
      <c r="B498" s="19"/>
      <c r="C498" s="4"/>
      <c r="D498" s="4"/>
      <c r="E498" s="4"/>
      <c r="F498" s="4"/>
      <c r="G498" s="4"/>
      <c r="H498" s="4"/>
      <c r="I498" s="4"/>
      <c r="J498" s="4"/>
      <c r="K498" s="4"/>
      <c r="L498" s="4"/>
      <c r="M498" s="4"/>
      <c r="N498" s="4"/>
      <c r="O498" s="4"/>
      <c r="P498" s="4"/>
      <c r="Q498" s="4"/>
      <c r="R498" s="4"/>
      <c r="S498" s="4"/>
      <c r="T498" s="4"/>
      <c r="U498" s="4"/>
      <c r="V498" s="4"/>
      <c r="W498" s="4"/>
      <c r="X498" s="4"/>
      <c r="Y498" s="4"/>
    </row>
    <row r="499" ht="15.75" customHeight="1">
      <c r="A499" s="4"/>
      <c r="B499" s="19"/>
      <c r="C499" s="4"/>
      <c r="D499" s="4"/>
      <c r="E499" s="4"/>
      <c r="F499" s="4"/>
      <c r="G499" s="4"/>
      <c r="H499" s="4"/>
      <c r="I499" s="4"/>
      <c r="J499" s="4"/>
      <c r="K499" s="4"/>
      <c r="L499" s="4"/>
      <c r="M499" s="4"/>
      <c r="N499" s="4"/>
      <c r="O499" s="4"/>
      <c r="P499" s="4"/>
      <c r="Q499" s="4"/>
      <c r="R499" s="4"/>
      <c r="S499" s="4"/>
      <c r="T499" s="4"/>
      <c r="U499" s="4"/>
      <c r="V499" s="4"/>
      <c r="W499" s="4"/>
      <c r="X499" s="4"/>
      <c r="Y499" s="4"/>
    </row>
    <row r="500" ht="15.75" customHeight="1">
      <c r="A500" s="4"/>
      <c r="B500" s="19"/>
      <c r="C500" s="4"/>
      <c r="D500" s="4"/>
      <c r="E500" s="4"/>
      <c r="F500" s="4"/>
      <c r="G500" s="4"/>
      <c r="H500" s="4"/>
      <c r="I500" s="4"/>
      <c r="J500" s="4"/>
      <c r="K500" s="4"/>
      <c r="L500" s="4"/>
      <c r="M500" s="4"/>
      <c r="N500" s="4"/>
      <c r="O500" s="4"/>
      <c r="P500" s="4"/>
      <c r="Q500" s="4"/>
      <c r="R500" s="4"/>
      <c r="S500" s="4"/>
      <c r="T500" s="4"/>
      <c r="U500" s="4"/>
      <c r="V500" s="4"/>
      <c r="W500" s="4"/>
      <c r="X500" s="4"/>
      <c r="Y500" s="4"/>
    </row>
    <row r="501" ht="15.75" customHeight="1">
      <c r="A501" s="4"/>
      <c r="B501" s="19"/>
      <c r="C501" s="4"/>
      <c r="D501" s="4"/>
      <c r="E501" s="4"/>
      <c r="F501" s="4"/>
      <c r="G501" s="4"/>
      <c r="H501" s="4"/>
      <c r="I501" s="4"/>
      <c r="J501" s="4"/>
      <c r="K501" s="4"/>
      <c r="L501" s="4"/>
      <c r="M501" s="4"/>
      <c r="N501" s="4"/>
      <c r="O501" s="4"/>
      <c r="P501" s="4"/>
      <c r="Q501" s="4"/>
      <c r="R501" s="4"/>
      <c r="S501" s="4"/>
      <c r="T501" s="4"/>
      <c r="U501" s="4"/>
      <c r="V501" s="4"/>
      <c r="W501" s="4"/>
      <c r="X501" s="4"/>
      <c r="Y501" s="4"/>
    </row>
    <row r="502" ht="15.75" customHeight="1">
      <c r="A502" s="4"/>
      <c r="B502" s="19"/>
      <c r="C502" s="4"/>
      <c r="D502" s="4"/>
      <c r="E502" s="4"/>
      <c r="F502" s="4"/>
      <c r="G502" s="4"/>
      <c r="H502" s="4"/>
      <c r="I502" s="4"/>
      <c r="J502" s="4"/>
      <c r="K502" s="4"/>
      <c r="L502" s="4"/>
      <c r="M502" s="4"/>
      <c r="N502" s="4"/>
      <c r="O502" s="4"/>
      <c r="P502" s="4"/>
      <c r="Q502" s="4"/>
      <c r="R502" s="4"/>
      <c r="S502" s="4"/>
      <c r="T502" s="4"/>
      <c r="U502" s="4"/>
      <c r="V502" s="4"/>
      <c r="W502" s="4"/>
      <c r="X502" s="4"/>
      <c r="Y502" s="4"/>
    </row>
    <row r="503" ht="15.75" customHeight="1">
      <c r="A503" s="4"/>
      <c r="B503" s="19"/>
      <c r="C503" s="4"/>
      <c r="D503" s="4"/>
      <c r="E503" s="4"/>
      <c r="F503" s="4"/>
      <c r="G503" s="4"/>
      <c r="H503" s="4"/>
      <c r="I503" s="4"/>
      <c r="J503" s="4"/>
      <c r="K503" s="4"/>
      <c r="L503" s="4"/>
      <c r="M503" s="4"/>
      <c r="N503" s="4"/>
      <c r="O503" s="4"/>
      <c r="P503" s="4"/>
      <c r="Q503" s="4"/>
      <c r="R503" s="4"/>
      <c r="S503" s="4"/>
      <c r="T503" s="4"/>
      <c r="U503" s="4"/>
      <c r="V503" s="4"/>
      <c r="W503" s="4"/>
      <c r="X503" s="4"/>
      <c r="Y503" s="4"/>
    </row>
    <row r="504" ht="15.75" customHeight="1">
      <c r="A504" s="4"/>
      <c r="B504" s="19"/>
      <c r="C504" s="4"/>
      <c r="D504" s="4"/>
      <c r="E504" s="4"/>
      <c r="F504" s="4"/>
      <c r="G504" s="4"/>
      <c r="H504" s="4"/>
      <c r="I504" s="4"/>
      <c r="J504" s="4"/>
      <c r="K504" s="4"/>
      <c r="L504" s="4"/>
      <c r="M504" s="4"/>
      <c r="N504" s="4"/>
      <c r="O504" s="4"/>
      <c r="P504" s="4"/>
      <c r="Q504" s="4"/>
      <c r="R504" s="4"/>
      <c r="S504" s="4"/>
      <c r="T504" s="4"/>
      <c r="U504" s="4"/>
      <c r="V504" s="4"/>
      <c r="W504" s="4"/>
      <c r="X504" s="4"/>
      <c r="Y504" s="4"/>
    </row>
    <row r="505" ht="15.75" customHeight="1">
      <c r="A505" s="4"/>
      <c r="B505" s="19"/>
      <c r="C505" s="4"/>
      <c r="D505" s="4"/>
      <c r="E505" s="4"/>
      <c r="F505" s="4"/>
      <c r="G505" s="4"/>
      <c r="H505" s="4"/>
      <c r="I505" s="4"/>
      <c r="J505" s="4"/>
      <c r="K505" s="4"/>
      <c r="L505" s="4"/>
      <c r="M505" s="4"/>
      <c r="N505" s="4"/>
      <c r="O505" s="4"/>
      <c r="P505" s="4"/>
      <c r="Q505" s="4"/>
      <c r="R505" s="4"/>
      <c r="S505" s="4"/>
      <c r="T505" s="4"/>
      <c r="U505" s="4"/>
      <c r="V505" s="4"/>
      <c r="W505" s="4"/>
      <c r="X505" s="4"/>
      <c r="Y505" s="4"/>
    </row>
    <row r="506" ht="15.75" customHeight="1">
      <c r="A506" s="4"/>
      <c r="B506" s="19"/>
      <c r="C506" s="4"/>
      <c r="D506" s="4"/>
      <c r="E506" s="4"/>
      <c r="F506" s="4"/>
      <c r="G506" s="4"/>
      <c r="H506" s="4"/>
      <c r="I506" s="4"/>
      <c r="J506" s="4"/>
      <c r="K506" s="4"/>
      <c r="L506" s="4"/>
      <c r="M506" s="4"/>
      <c r="N506" s="4"/>
      <c r="O506" s="4"/>
      <c r="P506" s="4"/>
      <c r="Q506" s="4"/>
      <c r="R506" s="4"/>
      <c r="S506" s="4"/>
      <c r="T506" s="4"/>
      <c r="U506" s="4"/>
      <c r="V506" s="4"/>
      <c r="W506" s="4"/>
      <c r="X506" s="4"/>
      <c r="Y506" s="4"/>
    </row>
    <row r="507" ht="15.75" customHeight="1">
      <c r="A507" s="4"/>
      <c r="B507" s="19"/>
      <c r="C507" s="4"/>
      <c r="D507" s="4"/>
      <c r="E507" s="4"/>
      <c r="F507" s="4"/>
      <c r="G507" s="4"/>
      <c r="H507" s="4"/>
      <c r="I507" s="4"/>
      <c r="J507" s="4"/>
      <c r="K507" s="4"/>
      <c r="L507" s="4"/>
      <c r="M507" s="4"/>
      <c r="N507" s="4"/>
      <c r="O507" s="4"/>
      <c r="P507" s="4"/>
      <c r="Q507" s="4"/>
      <c r="R507" s="4"/>
      <c r="S507" s="4"/>
      <c r="T507" s="4"/>
      <c r="U507" s="4"/>
      <c r="V507" s="4"/>
      <c r="W507" s="4"/>
      <c r="X507" s="4"/>
      <c r="Y507" s="4"/>
    </row>
    <row r="508" ht="15.75" customHeight="1">
      <c r="A508" s="4"/>
      <c r="B508" s="19"/>
      <c r="C508" s="4"/>
      <c r="D508" s="4"/>
      <c r="E508" s="4"/>
      <c r="F508" s="4"/>
      <c r="G508" s="4"/>
      <c r="H508" s="4"/>
      <c r="I508" s="4"/>
      <c r="J508" s="4"/>
      <c r="K508" s="4"/>
      <c r="L508" s="4"/>
      <c r="M508" s="4"/>
      <c r="N508" s="4"/>
      <c r="O508" s="4"/>
      <c r="P508" s="4"/>
      <c r="Q508" s="4"/>
      <c r="R508" s="4"/>
      <c r="S508" s="4"/>
      <c r="T508" s="4"/>
      <c r="U508" s="4"/>
      <c r="V508" s="4"/>
      <c r="W508" s="4"/>
      <c r="X508" s="4"/>
      <c r="Y508" s="4"/>
    </row>
    <row r="509" ht="15.75" customHeight="1">
      <c r="A509" s="4"/>
      <c r="B509" s="19"/>
      <c r="C509" s="4"/>
      <c r="D509" s="4"/>
      <c r="E509" s="4"/>
      <c r="F509" s="4"/>
      <c r="G509" s="4"/>
      <c r="H509" s="4"/>
      <c r="I509" s="4"/>
      <c r="J509" s="4"/>
      <c r="K509" s="4"/>
      <c r="L509" s="4"/>
      <c r="M509" s="4"/>
      <c r="N509" s="4"/>
      <c r="O509" s="4"/>
      <c r="P509" s="4"/>
      <c r="Q509" s="4"/>
      <c r="R509" s="4"/>
      <c r="S509" s="4"/>
      <c r="T509" s="4"/>
      <c r="U509" s="4"/>
      <c r="V509" s="4"/>
      <c r="W509" s="4"/>
      <c r="X509" s="4"/>
      <c r="Y509" s="4"/>
    </row>
    <row r="510" ht="15.75" customHeight="1">
      <c r="A510" s="4"/>
      <c r="B510" s="19"/>
      <c r="C510" s="4"/>
      <c r="D510" s="4"/>
      <c r="E510" s="4"/>
      <c r="F510" s="4"/>
      <c r="G510" s="4"/>
      <c r="H510" s="4"/>
      <c r="I510" s="4"/>
      <c r="J510" s="4"/>
      <c r="K510" s="4"/>
      <c r="L510" s="4"/>
      <c r="M510" s="4"/>
      <c r="N510" s="4"/>
      <c r="O510" s="4"/>
      <c r="P510" s="4"/>
      <c r="Q510" s="4"/>
      <c r="R510" s="4"/>
      <c r="S510" s="4"/>
      <c r="T510" s="4"/>
      <c r="U510" s="4"/>
      <c r="V510" s="4"/>
      <c r="W510" s="4"/>
      <c r="X510" s="4"/>
      <c r="Y510" s="4"/>
    </row>
    <row r="511" ht="15.75" customHeight="1">
      <c r="A511" s="4"/>
      <c r="B511" s="19"/>
      <c r="C511" s="4"/>
      <c r="D511" s="4"/>
      <c r="E511" s="4"/>
      <c r="F511" s="4"/>
      <c r="G511" s="4"/>
      <c r="H511" s="4"/>
      <c r="I511" s="4"/>
      <c r="J511" s="4"/>
      <c r="K511" s="4"/>
      <c r="L511" s="4"/>
      <c r="M511" s="4"/>
      <c r="N511" s="4"/>
      <c r="O511" s="4"/>
      <c r="P511" s="4"/>
      <c r="Q511" s="4"/>
      <c r="R511" s="4"/>
      <c r="S511" s="4"/>
      <c r="T511" s="4"/>
      <c r="U511" s="4"/>
      <c r="V511" s="4"/>
      <c r="W511" s="4"/>
      <c r="X511" s="4"/>
      <c r="Y511" s="4"/>
    </row>
    <row r="512" ht="15.75" customHeight="1">
      <c r="A512" s="4"/>
      <c r="B512" s="19"/>
      <c r="C512" s="4"/>
      <c r="D512" s="4"/>
      <c r="E512" s="4"/>
      <c r="F512" s="4"/>
      <c r="G512" s="4"/>
      <c r="H512" s="4"/>
      <c r="I512" s="4"/>
      <c r="J512" s="4"/>
      <c r="K512" s="4"/>
      <c r="L512" s="4"/>
      <c r="M512" s="4"/>
      <c r="N512" s="4"/>
      <c r="O512" s="4"/>
      <c r="P512" s="4"/>
      <c r="Q512" s="4"/>
      <c r="R512" s="4"/>
      <c r="S512" s="4"/>
      <c r="T512" s="4"/>
      <c r="U512" s="4"/>
      <c r="V512" s="4"/>
      <c r="W512" s="4"/>
      <c r="X512" s="4"/>
      <c r="Y512" s="4"/>
    </row>
    <row r="513" ht="15.75" customHeight="1">
      <c r="A513" s="4"/>
      <c r="B513" s="19"/>
      <c r="C513" s="4"/>
      <c r="D513" s="4"/>
      <c r="E513" s="4"/>
      <c r="F513" s="4"/>
      <c r="G513" s="4"/>
      <c r="H513" s="4"/>
      <c r="I513" s="4"/>
      <c r="J513" s="4"/>
      <c r="K513" s="4"/>
      <c r="L513" s="4"/>
      <c r="M513" s="4"/>
      <c r="N513" s="4"/>
      <c r="O513" s="4"/>
      <c r="P513" s="4"/>
      <c r="Q513" s="4"/>
      <c r="R513" s="4"/>
      <c r="S513" s="4"/>
      <c r="T513" s="4"/>
      <c r="U513" s="4"/>
      <c r="V513" s="4"/>
      <c r="W513" s="4"/>
      <c r="X513" s="4"/>
      <c r="Y513" s="4"/>
    </row>
    <row r="514" ht="15.75" customHeight="1">
      <c r="A514" s="4"/>
      <c r="B514" s="19"/>
      <c r="C514" s="4"/>
      <c r="D514" s="4"/>
      <c r="E514" s="4"/>
      <c r="F514" s="4"/>
      <c r="G514" s="4"/>
      <c r="H514" s="4"/>
      <c r="I514" s="4"/>
      <c r="J514" s="4"/>
      <c r="K514" s="4"/>
      <c r="L514" s="4"/>
      <c r="M514" s="4"/>
      <c r="N514" s="4"/>
      <c r="O514" s="4"/>
      <c r="P514" s="4"/>
      <c r="Q514" s="4"/>
      <c r="R514" s="4"/>
      <c r="S514" s="4"/>
      <c r="T514" s="4"/>
      <c r="U514" s="4"/>
      <c r="V514" s="4"/>
      <c r="W514" s="4"/>
      <c r="X514" s="4"/>
      <c r="Y514" s="4"/>
    </row>
    <row r="515" ht="15.75" customHeight="1">
      <c r="A515" s="4"/>
      <c r="B515" s="19"/>
      <c r="C515" s="4"/>
      <c r="D515" s="4"/>
      <c r="E515" s="4"/>
      <c r="F515" s="4"/>
      <c r="G515" s="4"/>
      <c r="H515" s="4"/>
      <c r="I515" s="4"/>
      <c r="J515" s="4"/>
      <c r="K515" s="4"/>
      <c r="L515" s="4"/>
      <c r="M515" s="4"/>
      <c r="N515" s="4"/>
      <c r="O515" s="4"/>
      <c r="P515" s="4"/>
      <c r="Q515" s="4"/>
      <c r="R515" s="4"/>
      <c r="S515" s="4"/>
      <c r="T515" s="4"/>
      <c r="U515" s="4"/>
      <c r="V515" s="4"/>
      <c r="W515" s="4"/>
      <c r="X515" s="4"/>
      <c r="Y515" s="4"/>
    </row>
    <row r="516" ht="15.75" customHeight="1">
      <c r="A516" s="4"/>
      <c r="B516" s="19"/>
      <c r="C516" s="4"/>
      <c r="D516" s="4"/>
      <c r="E516" s="4"/>
      <c r="F516" s="4"/>
      <c r="G516" s="4"/>
      <c r="H516" s="4"/>
      <c r="I516" s="4"/>
      <c r="J516" s="4"/>
      <c r="K516" s="4"/>
      <c r="L516" s="4"/>
      <c r="M516" s="4"/>
      <c r="N516" s="4"/>
      <c r="O516" s="4"/>
      <c r="P516" s="4"/>
      <c r="Q516" s="4"/>
      <c r="R516" s="4"/>
      <c r="S516" s="4"/>
      <c r="T516" s="4"/>
      <c r="U516" s="4"/>
      <c r="V516" s="4"/>
      <c r="W516" s="4"/>
      <c r="X516" s="4"/>
      <c r="Y516" s="4"/>
    </row>
    <row r="517" ht="15.75" customHeight="1">
      <c r="A517" s="4"/>
      <c r="B517" s="19"/>
      <c r="C517" s="4"/>
      <c r="D517" s="4"/>
      <c r="E517" s="4"/>
      <c r="F517" s="4"/>
      <c r="G517" s="4"/>
      <c r="H517" s="4"/>
      <c r="I517" s="4"/>
      <c r="J517" s="4"/>
      <c r="K517" s="4"/>
      <c r="L517" s="4"/>
      <c r="M517" s="4"/>
      <c r="N517" s="4"/>
      <c r="O517" s="4"/>
      <c r="P517" s="4"/>
      <c r="Q517" s="4"/>
      <c r="R517" s="4"/>
      <c r="S517" s="4"/>
      <c r="T517" s="4"/>
      <c r="U517" s="4"/>
      <c r="V517" s="4"/>
      <c r="W517" s="4"/>
      <c r="X517" s="4"/>
      <c r="Y517" s="4"/>
    </row>
    <row r="518" ht="15.75" customHeight="1">
      <c r="A518" s="4"/>
      <c r="B518" s="19"/>
      <c r="C518" s="4"/>
      <c r="D518" s="4"/>
      <c r="E518" s="4"/>
      <c r="F518" s="4"/>
      <c r="G518" s="4"/>
      <c r="H518" s="4"/>
      <c r="I518" s="4"/>
      <c r="J518" s="4"/>
      <c r="K518" s="4"/>
      <c r="L518" s="4"/>
      <c r="M518" s="4"/>
      <c r="N518" s="4"/>
      <c r="O518" s="4"/>
      <c r="P518" s="4"/>
      <c r="Q518" s="4"/>
      <c r="R518" s="4"/>
      <c r="S518" s="4"/>
      <c r="T518" s="4"/>
      <c r="U518" s="4"/>
      <c r="V518" s="4"/>
      <c r="W518" s="4"/>
      <c r="X518" s="4"/>
      <c r="Y518" s="4"/>
    </row>
    <row r="519" ht="15.75" customHeight="1">
      <c r="A519" s="4"/>
      <c r="B519" s="19"/>
      <c r="C519" s="4"/>
      <c r="D519" s="4"/>
      <c r="E519" s="4"/>
      <c r="F519" s="4"/>
      <c r="G519" s="4"/>
      <c r="H519" s="4"/>
      <c r="I519" s="4"/>
      <c r="J519" s="4"/>
      <c r="K519" s="4"/>
      <c r="L519" s="4"/>
      <c r="M519" s="4"/>
      <c r="N519" s="4"/>
      <c r="O519" s="4"/>
      <c r="P519" s="4"/>
      <c r="Q519" s="4"/>
      <c r="R519" s="4"/>
      <c r="S519" s="4"/>
      <c r="T519" s="4"/>
      <c r="U519" s="4"/>
      <c r="V519" s="4"/>
      <c r="W519" s="4"/>
      <c r="X519" s="4"/>
      <c r="Y519" s="4"/>
    </row>
    <row r="520" ht="15.75" customHeight="1">
      <c r="A520" s="4"/>
      <c r="B520" s="19"/>
      <c r="C520" s="4"/>
      <c r="D520" s="4"/>
      <c r="E520" s="4"/>
      <c r="F520" s="4"/>
      <c r="G520" s="4"/>
      <c r="H520" s="4"/>
      <c r="I520" s="4"/>
      <c r="J520" s="4"/>
      <c r="K520" s="4"/>
      <c r="L520" s="4"/>
      <c r="M520" s="4"/>
      <c r="N520" s="4"/>
      <c r="O520" s="4"/>
      <c r="P520" s="4"/>
      <c r="Q520" s="4"/>
      <c r="R520" s="4"/>
      <c r="S520" s="4"/>
      <c r="T520" s="4"/>
      <c r="U520" s="4"/>
      <c r="V520" s="4"/>
      <c r="W520" s="4"/>
      <c r="X520" s="4"/>
      <c r="Y520" s="4"/>
    </row>
    <row r="521" ht="15.75" customHeight="1">
      <c r="A521" s="4"/>
      <c r="B521" s="19"/>
      <c r="C521" s="4"/>
      <c r="D521" s="4"/>
      <c r="E521" s="4"/>
      <c r="F521" s="4"/>
      <c r="G521" s="4"/>
      <c r="H521" s="4"/>
      <c r="I521" s="4"/>
      <c r="J521" s="4"/>
      <c r="K521" s="4"/>
      <c r="L521" s="4"/>
      <c r="M521" s="4"/>
      <c r="N521" s="4"/>
      <c r="O521" s="4"/>
      <c r="P521" s="4"/>
      <c r="Q521" s="4"/>
      <c r="R521" s="4"/>
      <c r="S521" s="4"/>
      <c r="T521" s="4"/>
      <c r="U521" s="4"/>
      <c r="V521" s="4"/>
      <c r="W521" s="4"/>
      <c r="X521" s="4"/>
      <c r="Y521" s="4"/>
    </row>
    <row r="522" ht="15.75" customHeight="1">
      <c r="A522" s="4"/>
      <c r="B522" s="19"/>
      <c r="C522" s="4"/>
      <c r="D522" s="4"/>
      <c r="E522" s="4"/>
      <c r="F522" s="4"/>
      <c r="G522" s="4"/>
      <c r="H522" s="4"/>
      <c r="I522" s="4"/>
      <c r="J522" s="4"/>
      <c r="K522" s="4"/>
      <c r="L522" s="4"/>
      <c r="M522" s="4"/>
      <c r="N522" s="4"/>
      <c r="O522" s="4"/>
      <c r="P522" s="4"/>
      <c r="Q522" s="4"/>
      <c r="R522" s="4"/>
      <c r="S522" s="4"/>
      <c r="T522" s="4"/>
      <c r="U522" s="4"/>
      <c r="V522" s="4"/>
      <c r="W522" s="4"/>
      <c r="X522" s="4"/>
      <c r="Y522" s="4"/>
    </row>
    <row r="523" ht="15.75" customHeight="1">
      <c r="A523" s="4"/>
      <c r="B523" s="19"/>
      <c r="C523" s="4"/>
      <c r="D523" s="4"/>
      <c r="E523" s="4"/>
      <c r="F523" s="4"/>
      <c r="G523" s="4"/>
      <c r="H523" s="4"/>
      <c r="I523" s="4"/>
      <c r="J523" s="4"/>
      <c r="K523" s="4"/>
      <c r="L523" s="4"/>
      <c r="M523" s="4"/>
      <c r="N523" s="4"/>
      <c r="O523" s="4"/>
      <c r="P523" s="4"/>
      <c r="Q523" s="4"/>
      <c r="R523" s="4"/>
      <c r="S523" s="4"/>
      <c r="T523" s="4"/>
      <c r="U523" s="4"/>
      <c r="V523" s="4"/>
      <c r="W523" s="4"/>
      <c r="X523" s="4"/>
      <c r="Y523" s="4"/>
    </row>
    <row r="524" ht="15.75" customHeight="1">
      <c r="A524" s="4"/>
      <c r="B524" s="19"/>
      <c r="C524" s="4"/>
      <c r="D524" s="4"/>
      <c r="E524" s="4"/>
      <c r="F524" s="4"/>
      <c r="G524" s="4"/>
      <c r="H524" s="4"/>
      <c r="I524" s="4"/>
      <c r="J524" s="4"/>
      <c r="K524" s="4"/>
      <c r="L524" s="4"/>
      <c r="M524" s="4"/>
      <c r="N524" s="4"/>
      <c r="O524" s="4"/>
      <c r="P524" s="4"/>
      <c r="Q524" s="4"/>
      <c r="R524" s="4"/>
      <c r="S524" s="4"/>
      <c r="T524" s="4"/>
      <c r="U524" s="4"/>
      <c r="V524" s="4"/>
      <c r="W524" s="4"/>
      <c r="X524" s="4"/>
      <c r="Y524" s="4"/>
    </row>
    <row r="525" ht="15.75" customHeight="1">
      <c r="A525" s="4"/>
      <c r="B525" s="19"/>
      <c r="C525" s="4"/>
      <c r="D525" s="4"/>
      <c r="E525" s="4"/>
      <c r="F525" s="4"/>
      <c r="G525" s="4"/>
      <c r="H525" s="4"/>
      <c r="I525" s="4"/>
      <c r="J525" s="4"/>
      <c r="K525" s="4"/>
      <c r="L525" s="4"/>
      <c r="M525" s="4"/>
      <c r="N525" s="4"/>
      <c r="O525" s="4"/>
      <c r="P525" s="4"/>
      <c r="Q525" s="4"/>
      <c r="R525" s="4"/>
      <c r="S525" s="4"/>
      <c r="T525" s="4"/>
      <c r="U525" s="4"/>
      <c r="V525" s="4"/>
      <c r="W525" s="4"/>
      <c r="X525" s="4"/>
      <c r="Y525" s="4"/>
    </row>
    <row r="526" ht="15.75" customHeight="1">
      <c r="A526" s="4"/>
      <c r="B526" s="19"/>
      <c r="C526" s="4"/>
      <c r="D526" s="4"/>
      <c r="E526" s="4"/>
      <c r="F526" s="4"/>
      <c r="G526" s="4"/>
      <c r="H526" s="4"/>
      <c r="I526" s="4"/>
      <c r="J526" s="4"/>
      <c r="K526" s="4"/>
      <c r="L526" s="4"/>
      <c r="M526" s="4"/>
      <c r="N526" s="4"/>
      <c r="O526" s="4"/>
      <c r="P526" s="4"/>
      <c r="Q526" s="4"/>
      <c r="R526" s="4"/>
      <c r="S526" s="4"/>
      <c r="T526" s="4"/>
      <c r="U526" s="4"/>
      <c r="V526" s="4"/>
      <c r="W526" s="4"/>
      <c r="X526" s="4"/>
      <c r="Y526" s="4"/>
    </row>
    <row r="527" ht="15.75" customHeight="1">
      <c r="A527" s="4"/>
      <c r="B527" s="19"/>
      <c r="C527" s="4"/>
      <c r="D527" s="4"/>
      <c r="E527" s="4"/>
      <c r="F527" s="4"/>
      <c r="G527" s="4"/>
      <c r="H527" s="4"/>
      <c r="I527" s="4"/>
      <c r="J527" s="4"/>
      <c r="K527" s="4"/>
      <c r="L527" s="4"/>
      <c r="M527" s="4"/>
      <c r="N527" s="4"/>
      <c r="O527" s="4"/>
      <c r="P527" s="4"/>
      <c r="Q527" s="4"/>
      <c r="R527" s="4"/>
      <c r="S527" s="4"/>
      <c r="T527" s="4"/>
      <c r="U527" s="4"/>
      <c r="V527" s="4"/>
      <c r="W527" s="4"/>
      <c r="X527" s="4"/>
      <c r="Y527" s="4"/>
    </row>
    <row r="528" ht="15.75" customHeight="1">
      <c r="A528" s="4"/>
      <c r="B528" s="19"/>
      <c r="C528" s="4"/>
      <c r="D528" s="4"/>
      <c r="E528" s="4"/>
      <c r="F528" s="4"/>
      <c r="G528" s="4"/>
      <c r="H528" s="4"/>
      <c r="I528" s="4"/>
      <c r="J528" s="4"/>
      <c r="K528" s="4"/>
      <c r="L528" s="4"/>
      <c r="M528" s="4"/>
      <c r="N528" s="4"/>
      <c r="O528" s="4"/>
      <c r="P528" s="4"/>
      <c r="Q528" s="4"/>
      <c r="R528" s="4"/>
      <c r="S528" s="4"/>
      <c r="T528" s="4"/>
      <c r="U528" s="4"/>
      <c r="V528" s="4"/>
      <c r="W528" s="4"/>
      <c r="X528" s="4"/>
      <c r="Y528" s="4"/>
    </row>
    <row r="529" ht="15.75" customHeight="1">
      <c r="A529" s="4"/>
      <c r="B529" s="19"/>
      <c r="C529" s="4"/>
      <c r="D529" s="4"/>
      <c r="E529" s="4"/>
      <c r="F529" s="4"/>
      <c r="G529" s="4"/>
      <c r="H529" s="4"/>
      <c r="I529" s="4"/>
      <c r="J529" s="4"/>
      <c r="K529" s="4"/>
      <c r="L529" s="4"/>
      <c r="M529" s="4"/>
      <c r="N529" s="4"/>
      <c r="O529" s="4"/>
      <c r="P529" s="4"/>
      <c r="Q529" s="4"/>
      <c r="R529" s="4"/>
      <c r="S529" s="4"/>
      <c r="T529" s="4"/>
      <c r="U529" s="4"/>
      <c r="V529" s="4"/>
      <c r="W529" s="4"/>
      <c r="X529" s="4"/>
      <c r="Y529" s="4"/>
    </row>
    <row r="530" ht="15.75" customHeight="1">
      <c r="A530" s="4"/>
      <c r="B530" s="19"/>
      <c r="C530" s="4"/>
      <c r="D530" s="4"/>
      <c r="E530" s="4"/>
      <c r="F530" s="4"/>
      <c r="G530" s="4"/>
      <c r="H530" s="4"/>
      <c r="I530" s="4"/>
      <c r="J530" s="4"/>
      <c r="K530" s="4"/>
      <c r="L530" s="4"/>
      <c r="M530" s="4"/>
      <c r="N530" s="4"/>
      <c r="O530" s="4"/>
      <c r="P530" s="4"/>
      <c r="Q530" s="4"/>
      <c r="R530" s="4"/>
      <c r="S530" s="4"/>
      <c r="T530" s="4"/>
      <c r="U530" s="4"/>
      <c r="V530" s="4"/>
      <c r="W530" s="4"/>
      <c r="X530" s="4"/>
      <c r="Y530" s="4"/>
    </row>
    <row r="531" ht="15.75" customHeight="1">
      <c r="A531" s="4"/>
      <c r="B531" s="19"/>
      <c r="C531" s="4"/>
      <c r="D531" s="4"/>
      <c r="E531" s="4"/>
      <c r="F531" s="4"/>
      <c r="G531" s="4"/>
      <c r="H531" s="4"/>
      <c r="I531" s="4"/>
      <c r="J531" s="4"/>
      <c r="K531" s="4"/>
      <c r="L531" s="4"/>
      <c r="M531" s="4"/>
      <c r="N531" s="4"/>
      <c r="O531" s="4"/>
      <c r="P531" s="4"/>
      <c r="Q531" s="4"/>
      <c r="R531" s="4"/>
      <c r="S531" s="4"/>
      <c r="T531" s="4"/>
      <c r="U531" s="4"/>
      <c r="V531" s="4"/>
      <c r="W531" s="4"/>
      <c r="X531" s="4"/>
      <c r="Y531" s="4"/>
    </row>
    <row r="532" ht="15.75" customHeight="1">
      <c r="A532" s="4"/>
      <c r="B532" s="19"/>
      <c r="C532" s="4"/>
      <c r="D532" s="4"/>
      <c r="E532" s="4"/>
      <c r="F532" s="4"/>
      <c r="G532" s="4"/>
      <c r="H532" s="4"/>
      <c r="I532" s="4"/>
      <c r="J532" s="4"/>
      <c r="K532" s="4"/>
      <c r="L532" s="4"/>
      <c r="M532" s="4"/>
      <c r="N532" s="4"/>
      <c r="O532" s="4"/>
      <c r="P532" s="4"/>
      <c r="Q532" s="4"/>
      <c r="R532" s="4"/>
      <c r="S532" s="4"/>
      <c r="T532" s="4"/>
      <c r="U532" s="4"/>
      <c r="V532" s="4"/>
      <c r="W532" s="4"/>
      <c r="X532" s="4"/>
      <c r="Y532" s="4"/>
    </row>
    <row r="533" ht="15.75" customHeight="1">
      <c r="A533" s="4"/>
      <c r="B533" s="19"/>
      <c r="C533" s="4"/>
      <c r="D533" s="4"/>
      <c r="E533" s="4"/>
      <c r="F533" s="4"/>
      <c r="G533" s="4"/>
      <c r="H533" s="4"/>
      <c r="I533" s="4"/>
      <c r="J533" s="4"/>
      <c r="K533" s="4"/>
      <c r="L533" s="4"/>
      <c r="M533" s="4"/>
      <c r="N533" s="4"/>
      <c r="O533" s="4"/>
      <c r="P533" s="4"/>
      <c r="Q533" s="4"/>
      <c r="R533" s="4"/>
      <c r="S533" s="4"/>
      <c r="T533" s="4"/>
      <c r="U533" s="4"/>
      <c r="V533" s="4"/>
      <c r="W533" s="4"/>
      <c r="X533" s="4"/>
      <c r="Y533" s="4"/>
    </row>
    <row r="534" ht="15.75" customHeight="1">
      <c r="A534" s="4"/>
      <c r="B534" s="19"/>
      <c r="C534" s="4"/>
      <c r="D534" s="4"/>
      <c r="E534" s="4"/>
      <c r="F534" s="4"/>
      <c r="G534" s="4"/>
      <c r="H534" s="4"/>
      <c r="I534" s="4"/>
      <c r="J534" s="4"/>
      <c r="K534" s="4"/>
      <c r="L534" s="4"/>
      <c r="M534" s="4"/>
      <c r="N534" s="4"/>
      <c r="O534" s="4"/>
      <c r="P534" s="4"/>
      <c r="Q534" s="4"/>
      <c r="R534" s="4"/>
      <c r="S534" s="4"/>
      <c r="T534" s="4"/>
      <c r="U534" s="4"/>
      <c r="V534" s="4"/>
      <c r="W534" s="4"/>
      <c r="X534" s="4"/>
      <c r="Y534" s="4"/>
    </row>
    <row r="535" ht="15.75" customHeight="1">
      <c r="A535" s="4"/>
      <c r="B535" s="19"/>
      <c r="C535" s="4"/>
      <c r="D535" s="4"/>
      <c r="E535" s="4"/>
      <c r="F535" s="4"/>
      <c r="G535" s="4"/>
      <c r="H535" s="4"/>
      <c r="I535" s="4"/>
      <c r="J535" s="4"/>
      <c r="K535" s="4"/>
      <c r="L535" s="4"/>
      <c r="M535" s="4"/>
      <c r="N535" s="4"/>
      <c r="O535" s="4"/>
      <c r="P535" s="4"/>
      <c r="Q535" s="4"/>
      <c r="R535" s="4"/>
      <c r="S535" s="4"/>
      <c r="T535" s="4"/>
      <c r="U535" s="4"/>
      <c r="V535" s="4"/>
      <c r="W535" s="4"/>
      <c r="X535" s="4"/>
      <c r="Y535" s="4"/>
    </row>
    <row r="536" ht="15.75" customHeight="1">
      <c r="A536" s="4"/>
      <c r="B536" s="19"/>
      <c r="C536" s="4"/>
      <c r="D536" s="4"/>
      <c r="E536" s="4"/>
      <c r="F536" s="4"/>
      <c r="G536" s="4"/>
      <c r="H536" s="4"/>
      <c r="I536" s="4"/>
      <c r="J536" s="4"/>
      <c r="K536" s="4"/>
      <c r="L536" s="4"/>
      <c r="M536" s="4"/>
      <c r="N536" s="4"/>
      <c r="O536" s="4"/>
      <c r="P536" s="4"/>
      <c r="Q536" s="4"/>
      <c r="R536" s="4"/>
      <c r="S536" s="4"/>
      <c r="T536" s="4"/>
      <c r="U536" s="4"/>
      <c r="V536" s="4"/>
      <c r="W536" s="4"/>
      <c r="X536" s="4"/>
      <c r="Y536" s="4"/>
    </row>
    <row r="537" ht="15.75" customHeight="1">
      <c r="A537" s="4"/>
      <c r="B537" s="19"/>
      <c r="C537" s="4"/>
      <c r="D537" s="4"/>
      <c r="E537" s="4"/>
      <c r="F537" s="4"/>
      <c r="G537" s="4"/>
      <c r="H537" s="4"/>
      <c r="I537" s="4"/>
      <c r="J537" s="4"/>
      <c r="K537" s="4"/>
      <c r="L537" s="4"/>
      <c r="M537" s="4"/>
      <c r="N537" s="4"/>
      <c r="O537" s="4"/>
      <c r="P537" s="4"/>
      <c r="Q537" s="4"/>
      <c r="R537" s="4"/>
      <c r="S537" s="4"/>
      <c r="T537" s="4"/>
      <c r="U537" s="4"/>
      <c r="V537" s="4"/>
      <c r="W537" s="4"/>
      <c r="X537" s="4"/>
      <c r="Y537" s="4"/>
    </row>
    <row r="538" ht="15.75" customHeight="1">
      <c r="A538" s="4"/>
      <c r="B538" s="19"/>
      <c r="C538" s="4"/>
      <c r="D538" s="4"/>
      <c r="E538" s="4"/>
      <c r="F538" s="4"/>
      <c r="G538" s="4"/>
      <c r="H538" s="4"/>
      <c r="I538" s="4"/>
      <c r="J538" s="4"/>
      <c r="K538" s="4"/>
      <c r="L538" s="4"/>
      <c r="M538" s="4"/>
      <c r="N538" s="4"/>
      <c r="O538" s="4"/>
      <c r="P538" s="4"/>
      <c r="Q538" s="4"/>
      <c r="R538" s="4"/>
      <c r="S538" s="4"/>
      <c r="T538" s="4"/>
      <c r="U538" s="4"/>
      <c r="V538" s="4"/>
      <c r="W538" s="4"/>
      <c r="X538" s="4"/>
      <c r="Y538" s="4"/>
    </row>
    <row r="539" ht="15.75" customHeight="1">
      <c r="A539" s="4"/>
      <c r="B539" s="19"/>
      <c r="C539" s="4"/>
      <c r="D539" s="4"/>
      <c r="E539" s="4"/>
      <c r="F539" s="4"/>
      <c r="G539" s="4"/>
      <c r="H539" s="4"/>
      <c r="I539" s="4"/>
      <c r="J539" s="4"/>
      <c r="K539" s="4"/>
      <c r="L539" s="4"/>
      <c r="M539" s="4"/>
      <c r="N539" s="4"/>
      <c r="O539" s="4"/>
      <c r="P539" s="4"/>
      <c r="Q539" s="4"/>
      <c r="R539" s="4"/>
      <c r="S539" s="4"/>
      <c r="T539" s="4"/>
      <c r="U539" s="4"/>
      <c r="V539" s="4"/>
      <c r="W539" s="4"/>
      <c r="X539" s="4"/>
      <c r="Y539" s="4"/>
    </row>
    <row r="540" ht="15.75" customHeight="1">
      <c r="A540" s="4"/>
      <c r="B540" s="19"/>
      <c r="C540" s="4"/>
      <c r="D540" s="4"/>
      <c r="E540" s="4"/>
      <c r="F540" s="4"/>
      <c r="G540" s="4"/>
      <c r="H540" s="4"/>
      <c r="I540" s="4"/>
      <c r="J540" s="4"/>
      <c r="K540" s="4"/>
      <c r="L540" s="4"/>
      <c r="M540" s="4"/>
      <c r="N540" s="4"/>
      <c r="O540" s="4"/>
      <c r="P540" s="4"/>
      <c r="Q540" s="4"/>
      <c r="R540" s="4"/>
      <c r="S540" s="4"/>
      <c r="T540" s="4"/>
      <c r="U540" s="4"/>
      <c r="V540" s="4"/>
      <c r="W540" s="4"/>
      <c r="X540" s="4"/>
      <c r="Y540" s="4"/>
    </row>
    <row r="541" ht="15.75" customHeight="1">
      <c r="A541" s="4"/>
      <c r="B541" s="19"/>
      <c r="C541" s="4"/>
      <c r="D541" s="4"/>
      <c r="E541" s="4"/>
      <c r="F541" s="4"/>
      <c r="G541" s="4"/>
      <c r="H541" s="4"/>
      <c r="I541" s="4"/>
      <c r="J541" s="4"/>
      <c r="K541" s="4"/>
      <c r="L541" s="4"/>
      <c r="M541" s="4"/>
      <c r="N541" s="4"/>
      <c r="O541" s="4"/>
      <c r="P541" s="4"/>
      <c r="Q541" s="4"/>
      <c r="R541" s="4"/>
      <c r="S541" s="4"/>
      <c r="T541" s="4"/>
      <c r="U541" s="4"/>
      <c r="V541" s="4"/>
      <c r="W541" s="4"/>
      <c r="X541" s="4"/>
      <c r="Y541" s="4"/>
    </row>
    <row r="542" ht="15.75" customHeight="1">
      <c r="A542" s="4"/>
      <c r="B542" s="19"/>
      <c r="C542" s="4"/>
      <c r="D542" s="4"/>
      <c r="E542" s="4"/>
      <c r="F542" s="4"/>
      <c r="G542" s="4"/>
      <c r="H542" s="4"/>
      <c r="I542" s="4"/>
      <c r="J542" s="4"/>
      <c r="K542" s="4"/>
      <c r="L542" s="4"/>
      <c r="M542" s="4"/>
      <c r="N542" s="4"/>
      <c r="O542" s="4"/>
      <c r="P542" s="4"/>
      <c r="Q542" s="4"/>
      <c r="R542" s="4"/>
      <c r="S542" s="4"/>
      <c r="T542" s="4"/>
      <c r="U542" s="4"/>
      <c r="V542" s="4"/>
      <c r="W542" s="4"/>
      <c r="X542" s="4"/>
      <c r="Y542" s="4"/>
    </row>
    <row r="543" ht="15.75" customHeight="1">
      <c r="A543" s="4"/>
      <c r="B543" s="19"/>
      <c r="C543" s="4"/>
      <c r="D543" s="4"/>
      <c r="E543" s="4"/>
      <c r="F543" s="4"/>
      <c r="G543" s="4"/>
      <c r="H543" s="4"/>
      <c r="I543" s="4"/>
      <c r="J543" s="4"/>
      <c r="K543" s="4"/>
      <c r="L543" s="4"/>
      <c r="M543" s="4"/>
      <c r="N543" s="4"/>
      <c r="O543" s="4"/>
      <c r="P543" s="4"/>
      <c r="Q543" s="4"/>
      <c r="R543" s="4"/>
      <c r="S543" s="4"/>
      <c r="T543" s="4"/>
      <c r="U543" s="4"/>
      <c r="V543" s="4"/>
      <c r="W543" s="4"/>
      <c r="X543" s="4"/>
      <c r="Y543" s="4"/>
    </row>
    <row r="544" ht="15.75" customHeight="1">
      <c r="A544" s="4"/>
      <c r="B544" s="19"/>
      <c r="C544" s="4"/>
      <c r="D544" s="4"/>
      <c r="E544" s="4"/>
      <c r="F544" s="4"/>
      <c r="G544" s="4"/>
      <c r="H544" s="4"/>
      <c r="I544" s="4"/>
      <c r="J544" s="4"/>
      <c r="K544" s="4"/>
      <c r="L544" s="4"/>
      <c r="M544" s="4"/>
      <c r="N544" s="4"/>
      <c r="O544" s="4"/>
      <c r="P544" s="4"/>
      <c r="Q544" s="4"/>
      <c r="R544" s="4"/>
      <c r="S544" s="4"/>
      <c r="T544" s="4"/>
      <c r="U544" s="4"/>
      <c r="V544" s="4"/>
      <c r="W544" s="4"/>
      <c r="X544" s="4"/>
      <c r="Y544" s="4"/>
    </row>
    <row r="545" ht="15.75" customHeight="1">
      <c r="A545" s="4"/>
      <c r="B545" s="19"/>
      <c r="C545" s="4"/>
      <c r="D545" s="4"/>
      <c r="E545" s="4"/>
      <c r="F545" s="4"/>
      <c r="G545" s="4"/>
      <c r="H545" s="4"/>
      <c r="I545" s="4"/>
      <c r="J545" s="4"/>
      <c r="K545" s="4"/>
      <c r="L545" s="4"/>
      <c r="M545" s="4"/>
      <c r="N545" s="4"/>
      <c r="O545" s="4"/>
      <c r="P545" s="4"/>
      <c r="Q545" s="4"/>
      <c r="R545" s="4"/>
      <c r="S545" s="4"/>
      <c r="T545" s="4"/>
      <c r="U545" s="4"/>
      <c r="V545" s="4"/>
      <c r="W545" s="4"/>
      <c r="X545" s="4"/>
      <c r="Y545" s="4"/>
    </row>
    <row r="546" ht="15.75" customHeight="1">
      <c r="A546" s="4"/>
      <c r="B546" s="19"/>
      <c r="C546" s="4"/>
      <c r="D546" s="4"/>
      <c r="E546" s="4"/>
      <c r="F546" s="4"/>
      <c r="G546" s="4"/>
      <c r="H546" s="4"/>
      <c r="I546" s="4"/>
      <c r="J546" s="4"/>
      <c r="K546" s="4"/>
      <c r="L546" s="4"/>
      <c r="M546" s="4"/>
      <c r="N546" s="4"/>
      <c r="O546" s="4"/>
      <c r="P546" s="4"/>
      <c r="Q546" s="4"/>
      <c r="R546" s="4"/>
      <c r="S546" s="4"/>
      <c r="T546" s="4"/>
      <c r="U546" s="4"/>
      <c r="V546" s="4"/>
      <c r="W546" s="4"/>
      <c r="X546" s="4"/>
      <c r="Y546" s="4"/>
    </row>
    <row r="547" ht="15.75" customHeight="1">
      <c r="A547" s="4"/>
      <c r="B547" s="19"/>
      <c r="C547" s="4"/>
      <c r="D547" s="4"/>
      <c r="E547" s="4"/>
      <c r="F547" s="4"/>
      <c r="G547" s="4"/>
      <c r="H547" s="4"/>
      <c r="I547" s="4"/>
      <c r="J547" s="4"/>
      <c r="K547" s="4"/>
      <c r="L547" s="4"/>
      <c r="M547" s="4"/>
      <c r="N547" s="4"/>
      <c r="O547" s="4"/>
      <c r="P547" s="4"/>
      <c r="Q547" s="4"/>
      <c r="R547" s="4"/>
      <c r="S547" s="4"/>
      <c r="T547" s="4"/>
      <c r="U547" s="4"/>
      <c r="V547" s="4"/>
      <c r="W547" s="4"/>
      <c r="X547" s="4"/>
      <c r="Y547" s="4"/>
    </row>
    <row r="548" ht="15.75" customHeight="1">
      <c r="A548" s="4"/>
      <c r="B548" s="19"/>
      <c r="C548" s="4"/>
      <c r="D548" s="4"/>
      <c r="E548" s="4"/>
      <c r="F548" s="4"/>
      <c r="G548" s="4"/>
      <c r="H548" s="4"/>
      <c r="I548" s="4"/>
      <c r="J548" s="4"/>
      <c r="K548" s="4"/>
      <c r="L548" s="4"/>
      <c r="M548" s="4"/>
      <c r="N548" s="4"/>
      <c r="O548" s="4"/>
      <c r="P548" s="4"/>
      <c r="Q548" s="4"/>
      <c r="R548" s="4"/>
      <c r="S548" s="4"/>
      <c r="T548" s="4"/>
      <c r="U548" s="4"/>
      <c r="V548" s="4"/>
      <c r="W548" s="4"/>
      <c r="X548" s="4"/>
      <c r="Y548" s="4"/>
    </row>
    <row r="549" ht="15.75" customHeight="1">
      <c r="A549" s="4"/>
      <c r="B549" s="19"/>
      <c r="C549" s="4"/>
      <c r="D549" s="4"/>
      <c r="E549" s="4"/>
      <c r="F549" s="4"/>
      <c r="G549" s="4"/>
      <c r="H549" s="4"/>
      <c r="I549" s="4"/>
      <c r="J549" s="4"/>
      <c r="K549" s="4"/>
      <c r="L549" s="4"/>
      <c r="M549" s="4"/>
      <c r="N549" s="4"/>
      <c r="O549" s="4"/>
      <c r="P549" s="4"/>
      <c r="Q549" s="4"/>
      <c r="R549" s="4"/>
      <c r="S549" s="4"/>
      <c r="T549" s="4"/>
      <c r="U549" s="4"/>
      <c r="V549" s="4"/>
      <c r="W549" s="4"/>
      <c r="X549" s="4"/>
      <c r="Y549" s="4"/>
    </row>
    <row r="550" ht="15.75" customHeight="1">
      <c r="A550" s="4"/>
      <c r="B550" s="19"/>
      <c r="C550" s="4"/>
      <c r="D550" s="4"/>
      <c r="E550" s="4"/>
      <c r="F550" s="4"/>
      <c r="G550" s="4"/>
      <c r="H550" s="4"/>
      <c r="I550" s="4"/>
      <c r="J550" s="4"/>
      <c r="K550" s="4"/>
      <c r="L550" s="4"/>
      <c r="M550" s="4"/>
      <c r="N550" s="4"/>
      <c r="O550" s="4"/>
      <c r="P550" s="4"/>
      <c r="Q550" s="4"/>
      <c r="R550" s="4"/>
      <c r="S550" s="4"/>
      <c r="T550" s="4"/>
      <c r="U550" s="4"/>
      <c r="V550" s="4"/>
      <c r="W550" s="4"/>
      <c r="X550" s="4"/>
      <c r="Y550" s="4"/>
    </row>
    <row r="551" ht="15.75" customHeight="1">
      <c r="A551" s="4"/>
      <c r="B551" s="19"/>
      <c r="C551" s="4"/>
      <c r="D551" s="4"/>
      <c r="E551" s="4"/>
      <c r="F551" s="4"/>
      <c r="G551" s="4"/>
      <c r="H551" s="4"/>
      <c r="I551" s="4"/>
      <c r="J551" s="4"/>
      <c r="K551" s="4"/>
      <c r="L551" s="4"/>
      <c r="M551" s="4"/>
      <c r="N551" s="4"/>
      <c r="O551" s="4"/>
      <c r="P551" s="4"/>
      <c r="Q551" s="4"/>
      <c r="R551" s="4"/>
      <c r="S551" s="4"/>
      <c r="T551" s="4"/>
      <c r="U551" s="4"/>
      <c r="V551" s="4"/>
      <c r="W551" s="4"/>
      <c r="X551" s="4"/>
      <c r="Y551" s="4"/>
    </row>
    <row r="552" ht="15.75" customHeight="1">
      <c r="A552" s="4"/>
      <c r="B552" s="19"/>
      <c r="C552" s="4"/>
      <c r="D552" s="4"/>
      <c r="E552" s="4"/>
      <c r="F552" s="4"/>
      <c r="G552" s="4"/>
      <c r="H552" s="4"/>
      <c r="I552" s="4"/>
      <c r="J552" s="4"/>
      <c r="K552" s="4"/>
      <c r="L552" s="4"/>
      <c r="M552" s="4"/>
      <c r="N552" s="4"/>
      <c r="O552" s="4"/>
      <c r="P552" s="4"/>
      <c r="Q552" s="4"/>
      <c r="R552" s="4"/>
      <c r="S552" s="4"/>
      <c r="T552" s="4"/>
      <c r="U552" s="4"/>
      <c r="V552" s="4"/>
      <c r="W552" s="4"/>
      <c r="X552" s="4"/>
      <c r="Y552" s="4"/>
    </row>
    <row r="553" ht="15.75" customHeight="1">
      <c r="A553" s="4"/>
      <c r="B553" s="19"/>
      <c r="C553" s="4"/>
      <c r="D553" s="4"/>
      <c r="E553" s="4"/>
      <c r="F553" s="4"/>
      <c r="G553" s="4"/>
      <c r="H553" s="4"/>
      <c r="I553" s="4"/>
      <c r="J553" s="4"/>
      <c r="K553" s="4"/>
      <c r="L553" s="4"/>
      <c r="M553" s="4"/>
      <c r="N553" s="4"/>
      <c r="O553" s="4"/>
      <c r="P553" s="4"/>
      <c r="Q553" s="4"/>
      <c r="R553" s="4"/>
      <c r="S553" s="4"/>
      <c r="T553" s="4"/>
      <c r="U553" s="4"/>
      <c r="V553" s="4"/>
      <c r="W553" s="4"/>
      <c r="X553" s="4"/>
      <c r="Y553" s="4"/>
    </row>
    <row r="554" ht="15.75" customHeight="1">
      <c r="A554" s="4"/>
      <c r="B554" s="19"/>
      <c r="C554" s="4"/>
      <c r="D554" s="4"/>
      <c r="E554" s="4"/>
      <c r="F554" s="4"/>
      <c r="G554" s="4"/>
      <c r="H554" s="4"/>
      <c r="I554" s="4"/>
      <c r="J554" s="4"/>
      <c r="K554" s="4"/>
      <c r="L554" s="4"/>
      <c r="M554" s="4"/>
      <c r="N554" s="4"/>
      <c r="O554" s="4"/>
      <c r="P554" s="4"/>
      <c r="Q554" s="4"/>
      <c r="R554" s="4"/>
      <c r="S554" s="4"/>
      <c r="T554" s="4"/>
      <c r="U554" s="4"/>
      <c r="V554" s="4"/>
      <c r="W554" s="4"/>
      <c r="X554" s="4"/>
      <c r="Y554" s="4"/>
    </row>
    <row r="555" ht="15.75" customHeight="1">
      <c r="A555" s="4"/>
      <c r="B555" s="19"/>
      <c r="C555" s="4"/>
      <c r="D555" s="4"/>
      <c r="E555" s="4"/>
      <c r="F555" s="4"/>
      <c r="G555" s="4"/>
      <c r="H555" s="4"/>
      <c r="I555" s="4"/>
      <c r="J555" s="4"/>
      <c r="K555" s="4"/>
      <c r="L555" s="4"/>
      <c r="M555" s="4"/>
      <c r="N555" s="4"/>
      <c r="O555" s="4"/>
      <c r="P555" s="4"/>
      <c r="Q555" s="4"/>
      <c r="R555" s="4"/>
      <c r="S555" s="4"/>
      <c r="T555" s="4"/>
      <c r="U555" s="4"/>
      <c r="V555" s="4"/>
      <c r="W555" s="4"/>
      <c r="X555" s="4"/>
      <c r="Y555" s="4"/>
    </row>
    <row r="556" ht="15.75" customHeight="1">
      <c r="A556" s="4"/>
      <c r="B556" s="19"/>
      <c r="C556" s="4"/>
      <c r="D556" s="4"/>
      <c r="E556" s="4"/>
      <c r="F556" s="4"/>
      <c r="G556" s="4"/>
      <c r="H556" s="4"/>
      <c r="I556" s="4"/>
      <c r="J556" s="4"/>
      <c r="K556" s="4"/>
      <c r="L556" s="4"/>
      <c r="M556" s="4"/>
      <c r="N556" s="4"/>
      <c r="O556" s="4"/>
      <c r="P556" s="4"/>
      <c r="Q556" s="4"/>
      <c r="R556" s="4"/>
      <c r="S556" s="4"/>
      <c r="T556" s="4"/>
      <c r="U556" s="4"/>
      <c r="V556" s="4"/>
      <c r="W556" s="4"/>
      <c r="X556" s="4"/>
      <c r="Y556" s="4"/>
    </row>
    <row r="557" ht="15.75" customHeight="1">
      <c r="A557" s="4"/>
      <c r="B557" s="19"/>
      <c r="C557" s="4"/>
      <c r="D557" s="4"/>
      <c r="E557" s="4"/>
      <c r="F557" s="4"/>
      <c r="G557" s="4"/>
      <c r="H557" s="4"/>
      <c r="I557" s="4"/>
      <c r="J557" s="4"/>
      <c r="K557" s="4"/>
      <c r="L557" s="4"/>
      <c r="M557" s="4"/>
      <c r="N557" s="4"/>
      <c r="O557" s="4"/>
      <c r="P557" s="4"/>
      <c r="Q557" s="4"/>
      <c r="R557" s="4"/>
      <c r="S557" s="4"/>
      <c r="T557" s="4"/>
      <c r="U557" s="4"/>
      <c r="V557" s="4"/>
      <c r="W557" s="4"/>
      <c r="X557" s="4"/>
      <c r="Y557" s="4"/>
    </row>
    <row r="558" ht="15.75" customHeight="1">
      <c r="A558" s="4"/>
      <c r="B558" s="19"/>
      <c r="C558" s="4"/>
      <c r="D558" s="4"/>
      <c r="E558" s="4"/>
      <c r="F558" s="4"/>
      <c r="G558" s="4"/>
      <c r="H558" s="4"/>
      <c r="I558" s="4"/>
      <c r="J558" s="4"/>
      <c r="K558" s="4"/>
      <c r="L558" s="4"/>
      <c r="M558" s="4"/>
      <c r="N558" s="4"/>
      <c r="O558" s="4"/>
      <c r="P558" s="4"/>
      <c r="Q558" s="4"/>
      <c r="R558" s="4"/>
      <c r="S558" s="4"/>
      <c r="T558" s="4"/>
      <c r="U558" s="4"/>
      <c r="V558" s="4"/>
      <c r="W558" s="4"/>
      <c r="X558" s="4"/>
      <c r="Y558" s="4"/>
    </row>
    <row r="559" ht="15.75" customHeight="1">
      <c r="A559" s="4"/>
      <c r="B559" s="19"/>
      <c r="C559" s="4"/>
      <c r="D559" s="4"/>
      <c r="E559" s="4"/>
      <c r="F559" s="4"/>
      <c r="G559" s="4"/>
      <c r="H559" s="4"/>
      <c r="I559" s="4"/>
      <c r="J559" s="4"/>
      <c r="K559" s="4"/>
      <c r="L559" s="4"/>
      <c r="M559" s="4"/>
      <c r="N559" s="4"/>
      <c r="O559" s="4"/>
      <c r="P559" s="4"/>
      <c r="Q559" s="4"/>
      <c r="R559" s="4"/>
      <c r="S559" s="4"/>
      <c r="T559" s="4"/>
      <c r="U559" s="4"/>
      <c r="V559" s="4"/>
      <c r="W559" s="4"/>
      <c r="X559" s="4"/>
      <c r="Y559" s="4"/>
    </row>
    <row r="560" ht="15.75" customHeight="1">
      <c r="A560" s="4"/>
      <c r="B560" s="19"/>
      <c r="C560" s="4"/>
      <c r="D560" s="4"/>
      <c r="E560" s="4"/>
      <c r="F560" s="4"/>
      <c r="G560" s="4"/>
      <c r="H560" s="4"/>
      <c r="I560" s="4"/>
      <c r="J560" s="4"/>
      <c r="K560" s="4"/>
      <c r="L560" s="4"/>
      <c r="M560" s="4"/>
      <c r="N560" s="4"/>
      <c r="O560" s="4"/>
      <c r="P560" s="4"/>
      <c r="Q560" s="4"/>
      <c r="R560" s="4"/>
      <c r="S560" s="4"/>
      <c r="T560" s="4"/>
      <c r="U560" s="4"/>
      <c r="V560" s="4"/>
      <c r="W560" s="4"/>
      <c r="X560" s="4"/>
      <c r="Y560" s="4"/>
    </row>
    <row r="561" ht="15.75" customHeight="1">
      <c r="A561" s="4"/>
      <c r="B561" s="19"/>
      <c r="C561" s="4"/>
      <c r="D561" s="4"/>
      <c r="E561" s="4"/>
      <c r="F561" s="4"/>
      <c r="G561" s="4"/>
      <c r="H561" s="4"/>
      <c r="I561" s="4"/>
      <c r="J561" s="4"/>
      <c r="K561" s="4"/>
      <c r="L561" s="4"/>
      <c r="M561" s="4"/>
      <c r="N561" s="4"/>
      <c r="O561" s="4"/>
      <c r="P561" s="4"/>
      <c r="Q561" s="4"/>
      <c r="R561" s="4"/>
      <c r="S561" s="4"/>
      <c r="T561" s="4"/>
      <c r="U561" s="4"/>
      <c r="V561" s="4"/>
      <c r="W561" s="4"/>
      <c r="X561" s="4"/>
      <c r="Y561" s="4"/>
    </row>
    <row r="562" ht="15.75" customHeight="1">
      <c r="A562" s="4"/>
      <c r="B562" s="19"/>
      <c r="C562" s="4"/>
      <c r="D562" s="4"/>
      <c r="E562" s="4"/>
      <c r="F562" s="4"/>
      <c r="G562" s="4"/>
      <c r="H562" s="4"/>
      <c r="I562" s="4"/>
      <c r="J562" s="4"/>
      <c r="K562" s="4"/>
      <c r="L562" s="4"/>
      <c r="M562" s="4"/>
      <c r="N562" s="4"/>
      <c r="O562" s="4"/>
      <c r="P562" s="4"/>
      <c r="Q562" s="4"/>
      <c r="R562" s="4"/>
      <c r="S562" s="4"/>
      <c r="T562" s="4"/>
      <c r="U562" s="4"/>
      <c r="V562" s="4"/>
      <c r="W562" s="4"/>
      <c r="X562" s="4"/>
      <c r="Y562" s="4"/>
    </row>
    <row r="563" ht="15.75" customHeight="1">
      <c r="A563" s="4"/>
      <c r="B563" s="19"/>
      <c r="C563" s="4"/>
      <c r="D563" s="4"/>
      <c r="E563" s="4"/>
      <c r="F563" s="4"/>
      <c r="G563" s="4"/>
      <c r="H563" s="4"/>
      <c r="I563" s="4"/>
      <c r="J563" s="4"/>
      <c r="K563" s="4"/>
      <c r="L563" s="4"/>
      <c r="M563" s="4"/>
      <c r="N563" s="4"/>
      <c r="O563" s="4"/>
      <c r="P563" s="4"/>
      <c r="Q563" s="4"/>
      <c r="R563" s="4"/>
      <c r="S563" s="4"/>
      <c r="T563" s="4"/>
      <c r="U563" s="4"/>
      <c r="V563" s="4"/>
      <c r="W563" s="4"/>
      <c r="X563" s="4"/>
      <c r="Y563" s="4"/>
    </row>
    <row r="564" ht="15.75" customHeight="1">
      <c r="A564" s="4"/>
      <c r="B564" s="19"/>
      <c r="C564" s="4"/>
      <c r="D564" s="4"/>
      <c r="E564" s="4"/>
      <c r="F564" s="4"/>
      <c r="G564" s="4"/>
      <c r="H564" s="4"/>
      <c r="I564" s="4"/>
      <c r="J564" s="4"/>
      <c r="K564" s="4"/>
      <c r="L564" s="4"/>
      <c r="M564" s="4"/>
      <c r="N564" s="4"/>
      <c r="O564" s="4"/>
      <c r="P564" s="4"/>
      <c r="Q564" s="4"/>
      <c r="R564" s="4"/>
      <c r="S564" s="4"/>
      <c r="T564" s="4"/>
      <c r="U564" s="4"/>
      <c r="V564" s="4"/>
      <c r="W564" s="4"/>
      <c r="X564" s="4"/>
      <c r="Y564" s="4"/>
    </row>
    <row r="565" ht="15.75" customHeight="1">
      <c r="A565" s="4"/>
      <c r="B565" s="19"/>
      <c r="C565" s="4"/>
      <c r="D565" s="4"/>
      <c r="E565" s="4"/>
      <c r="F565" s="4"/>
      <c r="G565" s="4"/>
      <c r="H565" s="4"/>
      <c r="I565" s="4"/>
      <c r="J565" s="4"/>
      <c r="K565" s="4"/>
      <c r="L565" s="4"/>
      <c r="M565" s="4"/>
      <c r="N565" s="4"/>
      <c r="O565" s="4"/>
      <c r="P565" s="4"/>
      <c r="Q565" s="4"/>
      <c r="R565" s="4"/>
      <c r="S565" s="4"/>
      <c r="T565" s="4"/>
      <c r="U565" s="4"/>
      <c r="V565" s="4"/>
      <c r="W565" s="4"/>
      <c r="X565" s="4"/>
      <c r="Y565" s="4"/>
    </row>
    <row r="566" ht="15.75" customHeight="1">
      <c r="A566" s="4"/>
      <c r="B566" s="19"/>
      <c r="C566" s="4"/>
      <c r="D566" s="4"/>
      <c r="E566" s="4"/>
      <c r="F566" s="4"/>
      <c r="G566" s="4"/>
      <c r="H566" s="4"/>
      <c r="I566" s="4"/>
      <c r="J566" s="4"/>
      <c r="K566" s="4"/>
      <c r="L566" s="4"/>
      <c r="M566" s="4"/>
      <c r="N566" s="4"/>
      <c r="O566" s="4"/>
      <c r="P566" s="4"/>
      <c r="Q566" s="4"/>
      <c r="R566" s="4"/>
      <c r="S566" s="4"/>
      <c r="T566" s="4"/>
      <c r="U566" s="4"/>
      <c r="V566" s="4"/>
      <c r="W566" s="4"/>
      <c r="X566" s="4"/>
      <c r="Y566" s="4"/>
    </row>
    <row r="567" ht="15.75" customHeight="1">
      <c r="A567" s="4"/>
      <c r="B567" s="19"/>
      <c r="C567" s="4"/>
      <c r="D567" s="4"/>
      <c r="E567" s="4"/>
      <c r="F567" s="4"/>
      <c r="G567" s="4"/>
      <c r="H567" s="4"/>
      <c r="I567" s="4"/>
      <c r="J567" s="4"/>
      <c r="K567" s="4"/>
      <c r="L567" s="4"/>
      <c r="M567" s="4"/>
      <c r="N567" s="4"/>
      <c r="O567" s="4"/>
      <c r="P567" s="4"/>
      <c r="Q567" s="4"/>
      <c r="R567" s="4"/>
      <c r="S567" s="4"/>
      <c r="T567" s="4"/>
      <c r="U567" s="4"/>
      <c r="V567" s="4"/>
      <c r="W567" s="4"/>
      <c r="X567" s="4"/>
      <c r="Y567" s="4"/>
    </row>
    <row r="568" ht="15.75" customHeight="1">
      <c r="A568" s="4"/>
      <c r="B568" s="19"/>
      <c r="C568" s="4"/>
      <c r="D568" s="4"/>
      <c r="E568" s="4"/>
      <c r="F568" s="4"/>
      <c r="G568" s="4"/>
      <c r="H568" s="4"/>
      <c r="I568" s="4"/>
      <c r="J568" s="4"/>
      <c r="K568" s="4"/>
      <c r="L568" s="4"/>
      <c r="M568" s="4"/>
      <c r="N568" s="4"/>
      <c r="O568" s="4"/>
      <c r="P568" s="4"/>
      <c r="Q568" s="4"/>
      <c r="R568" s="4"/>
      <c r="S568" s="4"/>
      <c r="T568" s="4"/>
      <c r="U568" s="4"/>
      <c r="V568" s="4"/>
      <c r="W568" s="4"/>
      <c r="X568" s="4"/>
      <c r="Y568" s="4"/>
    </row>
    <row r="569" ht="15.75" customHeight="1">
      <c r="A569" s="4"/>
      <c r="B569" s="19"/>
      <c r="C569" s="4"/>
      <c r="D569" s="4"/>
      <c r="E569" s="4"/>
      <c r="F569" s="4"/>
      <c r="G569" s="4"/>
      <c r="H569" s="4"/>
      <c r="I569" s="4"/>
      <c r="J569" s="4"/>
      <c r="K569" s="4"/>
      <c r="L569" s="4"/>
      <c r="M569" s="4"/>
      <c r="N569" s="4"/>
      <c r="O569" s="4"/>
      <c r="P569" s="4"/>
      <c r="Q569" s="4"/>
      <c r="R569" s="4"/>
      <c r="S569" s="4"/>
      <c r="T569" s="4"/>
      <c r="U569" s="4"/>
      <c r="V569" s="4"/>
      <c r="W569" s="4"/>
      <c r="X569" s="4"/>
      <c r="Y569" s="4"/>
    </row>
    <row r="570" ht="15.75" customHeight="1">
      <c r="A570" s="4"/>
      <c r="B570" s="19"/>
      <c r="C570" s="4"/>
      <c r="D570" s="4"/>
      <c r="E570" s="4"/>
      <c r="F570" s="4"/>
      <c r="G570" s="4"/>
      <c r="H570" s="4"/>
      <c r="I570" s="4"/>
      <c r="J570" s="4"/>
      <c r="K570" s="4"/>
      <c r="L570" s="4"/>
      <c r="M570" s="4"/>
      <c r="N570" s="4"/>
      <c r="O570" s="4"/>
      <c r="P570" s="4"/>
      <c r="Q570" s="4"/>
      <c r="R570" s="4"/>
      <c r="S570" s="4"/>
      <c r="T570" s="4"/>
      <c r="U570" s="4"/>
      <c r="V570" s="4"/>
      <c r="W570" s="4"/>
      <c r="X570" s="4"/>
      <c r="Y570" s="4"/>
    </row>
    <row r="571" ht="15.75" customHeight="1">
      <c r="A571" s="4"/>
      <c r="B571" s="19"/>
      <c r="C571" s="4"/>
      <c r="D571" s="4"/>
      <c r="E571" s="4"/>
      <c r="F571" s="4"/>
      <c r="G571" s="4"/>
      <c r="H571" s="4"/>
      <c r="I571" s="4"/>
      <c r="J571" s="4"/>
      <c r="K571" s="4"/>
      <c r="L571" s="4"/>
      <c r="M571" s="4"/>
      <c r="N571" s="4"/>
      <c r="O571" s="4"/>
      <c r="P571" s="4"/>
      <c r="Q571" s="4"/>
      <c r="R571" s="4"/>
      <c r="S571" s="4"/>
      <c r="T571" s="4"/>
      <c r="U571" s="4"/>
      <c r="V571" s="4"/>
      <c r="W571" s="4"/>
      <c r="X571" s="4"/>
      <c r="Y571" s="4"/>
    </row>
    <row r="572" ht="15.75" customHeight="1">
      <c r="A572" s="4"/>
      <c r="B572" s="19"/>
      <c r="C572" s="4"/>
      <c r="D572" s="4"/>
      <c r="E572" s="4"/>
      <c r="F572" s="4"/>
      <c r="G572" s="4"/>
      <c r="H572" s="4"/>
      <c r="I572" s="4"/>
      <c r="J572" s="4"/>
      <c r="K572" s="4"/>
      <c r="L572" s="4"/>
      <c r="M572" s="4"/>
      <c r="N572" s="4"/>
      <c r="O572" s="4"/>
      <c r="P572" s="4"/>
      <c r="Q572" s="4"/>
      <c r="R572" s="4"/>
      <c r="S572" s="4"/>
      <c r="T572" s="4"/>
      <c r="U572" s="4"/>
      <c r="V572" s="4"/>
      <c r="W572" s="4"/>
      <c r="X572" s="4"/>
      <c r="Y572" s="4"/>
    </row>
    <row r="573" ht="15.75" customHeight="1">
      <c r="A573" s="4"/>
      <c r="B573" s="19"/>
      <c r="C573" s="4"/>
      <c r="D573" s="4"/>
      <c r="E573" s="4"/>
      <c r="F573" s="4"/>
      <c r="G573" s="4"/>
      <c r="H573" s="4"/>
      <c r="I573" s="4"/>
      <c r="J573" s="4"/>
      <c r="K573" s="4"/>
      <c r="L573" s="4"/>
      <c r="M573" s="4"/>
      <c r="N573" s="4"/>
      <c r="O573" s="4"/>
      <c r="P573" s="4"/>
      <c r="Q573" s="4"/>
      <c r="R573" s="4"/>
      <c r="S573" s="4"/>
      <c r="T573" s="4"/>
      <c r="U573" s="4"/>
      <c r="V573" s="4"/>
      <c r="W573" s="4"/>
      <c r="X573" s="4"/>
      <c r="Y573" s="4"/>
    </row>
    <row r="574" ht="15.75" customHeight="1">
      <c r="A574" s="4"/>
      <c r="B574" s="19"/>
      <c r="C574" s="4"/>
      <c r="D574" s="4"/>
      <c r="E574" s="4"/>
      <c r="F574" s="4"/>
      <c r="G574" s="4"/>
      <c r="H574" s="4"/>
      <c r="I574" s="4"/>
      <c r="J574" s="4"/>
      <c r="K574" s="4"/>
      <c r="L574" s="4"/>
      <c r="M574" s="4"/>
      <c r="N574" s="4"/>
      <c r="O574" s="4"/>
      <c r="P574" s="4"/>
      <c r="Q574" s="4"/>
      <c r="R574" s="4"/>
      <c r="S574" s="4"/>
      <c r="T574" s="4"/>
      <c r="U574" s="4"/>
      <c r="V574" s="4"/>
      <c r="W574" s="4"/>
      <c r="X574" s="4"/>
      <c r="Y574" s="4"/>
    </row>
    <row r="575" ht="15.75" customHeight="1">
      <c r="A575" s="4"/>
      <c r="B575" s="19"/>
      <c r="C575" s="4"/>
      <c r="D575" s="4"/>
      <c r="E575" s="4"/>
      <c r="F575" s="4"/>
      <c r="G575" s="4"/>
      <c r="H575" s="4"/>
      <c r="I575" s="4"/>
      <c r="J575" s="4"/>
      <c r="K575" s="4"/>
      <c r="L575" s="4"/>
      <c r="M575" s="4"/>
      <c r="N575" s="4"/>
      <c r="O575" s="4"/>
      <c r="P575" s="4"/>
      <c r="Q575" s="4"/>
      <c r="R575" s="4"/>
      <c r="S575" s="4"/>
      <c r="T575" s="4"/>
      <c r="U575" s="4"/>
      <c r="V575" s="4"/>
      <c r="W575" s="4"/>
      <c r="X575" s="4"/>
      <c r="Y575" s="4"/>
    </row>
    <row r="576" ht="15.75" customHeight="1">
      <c r="A576" s="4"/>
      <c r="B576" s="19"/>
      <c r="C576" s="4"/>
      <c r="D576" s="4"/>
      <c r="E576" s="4"/>
      <c r="F576" s="4"/>
      <c r="G576" s="4"/>
      <c r="H576" s="4"/>
      <c r="I576" s="4"/>
      <c r="J576" s="4"/>
      <c r="K576" s="4"/>
      <c r="L576" s="4"/>
      <c r="M576" s="4"/>
      <c r="N576" s="4"/>
      <c r="O576" s="4"/>
      <c r="P576" s="4"/>
      <c r="Q576" s="4"/>
      <c r="R576" s="4"/>
      <c r="S576" s="4"/>
      <c r="T576" s="4"/>
      <c r="U576" s="4"/>
      <c r="V576" s="4"/>
      <c r="W576" s="4"/>
      <c r="X576" s="4"/>
      <c r="Y576" s="4"/>
    </row>
    <row r="577" ht="15.75" customHeight="1">
      <c r="A577" s="4"/>
      <c r="B577" s="19"/>
      <c r="C577" s="4"/>
      <c r="D577" s="4"/>
      <c r="E577" s="4"/>
      <c r="F577" s="4"/>
      <c r="G577" s="4"/>
      <c r="H577" s="4"/>
      <c r="I577" s="4"/>
      <c r="J577" s="4"/>
      <c r="K577" s="4"/>
      <c r="L577" s="4"/>
      <c r="M577" s="4"/>
      <c r="N577" s="4"/>
      <c r="O577" s="4"/>
      <c r="P577" s="4"/>
      <c r="Q577" s="4"/>
      <c r="R577" s="4"/>
      <c r="S577" s="4"/>
      <c r="T577" s="4"/>
      <c r="U577" s="4"/>
      <c r="V577" s="4"/>
      <c r="W577" s="4"/>
      <c r="X577" s="4"/>
      <c r="Y577" s="4"/>
    </row>
    <row r="578" ht="15.75" customHeight="1">
      <c r="A578" s="4"/>
      <c r="B578" s="19"/>
      <c r="C578" s="4"/>
      <c r="D578" s="4"/>
      <c r="E578" s="4"/>
      <c r="F578" s="4"/>
      <c r="G578" s="4"/>
      <c r="H578" s="4"/>
      <c r="I578" s="4"/>
      <c r="J578" s="4"/>
      <c r="K578" s="4"/>
      <c r="L578" s="4"/>
      <c r="M578" s="4"/>
      <c r="N578" s="4"/>
      <c r="O578" s="4"/>
      <c r="P578" s="4"/>
      <c r="Q578" s="4"/>
      <c r="R578" s="4"/>
      <c r="S578" s="4"/>
      <c r="T578" s="4"/>
      <c r="U578" s="4"/>
      <c r="V578" s="4"/>
      <c r="W578" s="4"/>
      <c r="X578" s="4"/>
      <c r="Y578" s="4"/>
    </row>
    <row r="579" ht="15.75" customHeight="1">
      <c r="A579" s="4"/>
      <c r="B579" s="19"/>
      <c r="C579" s="4"/>
      <c r="D579" s="4"/>
      <c r="E579" s="4"/>
      <c r="F579" s="4"/>
      <c r="G579" s="4"/>
      <c r="H579" s="4"/>
      <c r="I579" s="4"/>
      <c r="J579" s="4"/>
      <c r="K579" s="4"/>
      <c r="L579" s="4"/>
      <c r="M579" s="4"/>
      <c r="N579" s="4"/>
      <c r="O579" s="4"/>
      <c r="P579" s="4"/>
      <c r="Q579" s="4"/>
      <c r="R579" s="4"/>
      <c r="S579" s="4"/>
      <c r="T579" s="4"/>
      <c r="U579" s="4"/>
      <c r="V579" s="4"/>
      <c r="W579" s="4"/>
      <c r="X579" s="4"/>
      <c r="Y579" s="4"/>
    </row>
    <row r="580" ht="15.75" customHeight="1">
      <c r="A580" s="4"/>
      <c r="B580" s="19"/>
      <c r="C580" s="4"/>
      <c r="D580" s="4"/>
      <c r="E580" s="4"/>
      <c r="F580" s="4"/>
      <c r="G580" s="4"/>
      <c r="H580" s="4"/>
      <c r="I580" s="4"/>
      <c r="J580" s="4"/>
      <c r="K580" s="4"/>
      <c r="L580" s="4"/>
      <c r="M580" s="4"/>
      <c r="N580" s="4"/>
      <c r="O580" s="4"/>
      <c r="P580" s="4"/>
      <c r="Q580" s="4"/>
      <c r="R580" s="4"/>
      <c r="S580" s="4"/>
      <c r="T580" s="4"/>
      <c r="U580" s="4"/>
      <c r="V580" s="4"/>
      <c r="W580" s="4"/>
      <c r="X580" s="4"/>
      <c r="Y580" s="4"/>
    </row>
    <row r="581" ht="15.75" customHeight="1">
      <c r="A581" s="4"/>
      <c r="B581" s="19"/>
      <c r="C581" s="4"/>
      <c r="D581" s="4"/>
      <c r="E581" s="4"/>
      <c r="F581" s="4"/>
      <c r="G581" s="4"/>
      <c r="H581" s="4"/>
      <c r="I581" s="4"/>
      <c r="J581" s="4"/>
      <c r="K581" s="4"/>
      <c r="L581" s="4"/>
      <c r="M581" s="4"/>
      <c r="N581" s="4"/>
      <c r="O581" s="4"/>
      <c r="P581" s="4"/>
      <c r="Q581" s="4"/>
      <c r="R581" s="4"/>
      <c r="S581" s="4"/>
      <c r="T581" s="4"/>
      <c r="U581" s="4"/>
      <c r="V581" s="4"/>
      <c r="W581" s="4"/>
      <c r="X581" s="4"/>
      <c r="Y581" s="4"/>
    </row>
    <row r="582" ht="15.75" customHeight="1">
      <c r="A582" s="4"/>
      <c r="B582" s="19"/>
      <c r="C582" s="4"/>
      <c r="D582" s="4"/>
      <c r="E582" s="4"/>
      <c r="F582" s="4"/>
      <c r="G582" s="4"/>
      <c r="H582" s="4"/>
      <c r="I582" s="4"/>
      <c r="J582" s="4"/>
      <c r="K582" s="4"/>
      <c r="L582" s="4"/>
      <c r="M582" s="4"/>
      <c r="N582" s="4"/>
      <c r="O582" s="4"/>
      <c r="P582" s="4"/>
      <c r="Q582" s="4"/>
      <c r="R582" s="4"/>
      <c r="S582" s="4"/>
      <c r="T582" s="4"/>
      <c r="U582" s="4"/>
      <c r="V582" s="4"/>
      <c r="W582" s="4"/>
      <c r="X582" s="4"/>
      <c r="Y582" s="4"/>
    </row>
    <row r="583" ht="15.75" customHeight="1">
      <c r="A583" s="4"/>
      <c r="B583" s="19"/>
      <c r="C583" s="4"/>
      <c r="D583" s="4"/>
      <c r="E583" s="4"/>
      <c r="F583" s="4"/>
      <c r="G583" s="4"/>
      <c r="H583" s="4"/>
      <c r="I583" s="4"/>
      <c r="J583" s="4"/>
      <c r="K583" s="4"/>
      <c r="L583" s="4"/>
      <c r="M583" s="4"/>
      <c r="N583" s="4"/>
      <c r="O583" s="4"/>
      <c r="P583" s="4"/>
      <c r="Q583" s="4"/>
      <c r="R583" s="4"/>
      <c r="S583" s="4"/>
      <c r="T583" s="4"/>
      <c r="U583" s="4"/>
      <c r="V583" s="4"/>
      <c r="W583" s="4"/>
      <c r="X583" s="4"/>
      <c r="Y583" s="4"/>
    </row>
    <row r="584" ht="15.75" customHeight="1">
      <c r="A584" s="4"/>
      <c r="B584" s="19"/>
      <c r="C584" s="4"/>
      <c r="D584" s="4"/>
      <c r="E584" s="4"/>
      <c r="F584" s="4"/>
      <c r="G584" s="4"/>
      <c r="H584" s="4"/>
      <c r="I584" s="4"/>
      <c r="J584" s="4"/>
      <c r="K584" s="4"/>
      <c r="L584" s="4"/>
      <c r="M584" s="4"/>
      <c r="N584" s="4"/>
      <c r="O584" s="4"/>
      <c r="P584" s="4"/>
      <c r="Q584" s="4"/>
      <c r="R584" s="4"/>
      <c r="S584" s="4"/>
      <c r="T584" s="4"/>
      <c r="U584" s="4"/>
      <c r="V584" s="4"/>
      <c r="W584" s="4"/>
      <c r="X584" s="4"/>
      <c r="Y584" s="4"/>
    </row>
    <row r="585" ht="15.75" customHeight="1">
      <c r="A585" s="4"/>
      <c r="B585" s="19"/>
      <c r="C585" s="4"/>
      <c r="D585" s="4"/>
      <c r="E585" s="4"/>
      <c r="F585" s="4"/>
      <c r="G585" s="4"/>
      <c r="H585" s="4"/>
      <c r="I585" s="4"/>
      <c r="J585" s="4"/>
      <c r="K585" s="4"/>
      <c r="L585" s="4"/>
      <c r="M585" s="4"/>
      <c r="N585" s="4"/>
      <c r="O585" s="4"/>
      <c r="P585" s="4"/>
      <c r="Q585" s="4"/>
      <c r="R585" s="4"/>
      <c r="S585" s="4"/>
      <c r="T585" s="4"/>
      <c r="U585" s="4"/>
      <c r="V585" s="4"/>
      <c r="W585" s="4"/>
      <c r="X585" s="4"/>
      <c r="Y585" s="4"/>
    </row>
    <row r="586" ht="15.75" customHeight="1">
      <c r="A586" s="4"/>
      <c r="B586" s="19"/>
      <c r="C586" s="4"/>
      <c r="D586" s="4"/>
      <c r="E586" s="4"/>
      <c r="F586" s="4"/>
      <c r="G586" s="4"/>
      <c r="H586" s="4"/>
      <c r="I586" s="4"/>
      <c r="J586" s="4"/>
      <c r="K586" s="4"/>
      <c r="L586" s="4"/>
      <c r="M586" s="4"/>
      <c r="N586" s="4"/>
      <c r="O586" s="4"/>
      <c r="P586" s="4"/>
      <c r="Q586" s="4"/>
      <c r="R586" s="4"/>
      <c r="S586" s="4"/>
      <c r="T586" s="4"/>
      <c r="U586" s="4"/>
      <c r="V586" s="4"/>
      <c r="W586" s="4"/>
      <c r="X586" s="4"/>
      <c r="Y586" s="4"/>
    </row>
    <row r="587" ht="15.75" customHeight="1">
      <c r="A587" s="4"/>
      <c r="B587" s="19"/>
      <c r="C587" s="4"/>
      <c r="D587" s="4"/>
      <c r="E587" s="4"/>
      <c r="F587" s="4"/>
      <c r="G587" s="4"/>
      <c r="H587" s="4"/>
      <c r="I587" s="4"/>
      <c r="J587" s="4"/>
      <c r="K587" s="4"/>
      <c r="L587" s="4"/>
      <c r="M587" s="4"/>
      <c r="N587" s="4"/>
      <c r="O587" s="4"/>
      <c r="P587" s="4"/>
      <c r="Q587" s="4"/>
      <c r="R587" s="4"/>
      <c r="S587" s="4"/>
      <c r="T587" s="4"/>
      <c r="U587" s="4"/>
      <c r="V587" s="4"/>
      <c r="W587" s="4"/>
      <c r="X587" s="4"/>
      <c r="Y587" s="4"/>
    </row>
    <row r="588" ht="15.75" customHeight="1">
      <c r="A588" s="4"/>
      <c r="B588" s="19"/>
      <c r="C588" s="4"/>
      <c r="D588" s="4"/>
      <c r="E588" s="4"/>
      <c r="F588" s="4"/>
      <c r="G588" s="4"/>
      <c r="H588" s="4"/>
      <c r="I588" s="4"/>
      <c r="J588" s="4"/>
      <c r="K588" s="4"/>
      <c r="L588" s="4"/>
      <c r="M588" s="4"/>
      <c r="N588" s="4"/>
      <c r="O588" s="4"/>
      <c r="P588" s="4"/>
      <c r="Q588" s="4"/>
      <c r="R588" s="4"/>
      <c r="S588" s="4"/>
      <c r="T588" s="4"/>
      <c r="U588" s="4"/>
      <c r="V588" s="4"/>
      <c r="W588" s="4"/>
      <c r="X588" s="4"/>
      <c r="Y588" s="4"/>
    </row>
    <row r="589" ht="15.75" customHeight="1">
      <c r="A589" s="4"/>
      <c r="B589" s="19"/>
      <c r="C589" s="4"/>
      <c r="D589" s="4"/>
      <c r="E589" s="4"/>
      <c r="F589" s="4"/>
      <c r="G589" s="4"/>
      <c r="H589" s="4"/>
      <c r="I589" s="4"/>
      <c r="J589" s="4"/>
      <c r="K589" s="4"/>
      <c r="L589" s="4"/>
      <c r="M589" s="4"/>
      <c r="N589" s="4"/>
      <c r="O589" s="4"/>
      <c r="P589" s="4"/>
      <c r="Q589" s="4"/>
      <c r="R589" s="4"/>
      <c r="S589" s="4"/>
      <c r="T589" s="4"/>
      <c r="U589" s="4"/>
      <c r="V589" s="4"/>
      <c r="W589" s="4"/>
      <c r="X589" s="4"/>
      <c r="Y589" s="4"/>
    </row>
    <row r="590" ht="15.75" customHeight="1">
      <c r="A590" s="4"/>
      <c r="B590" s="19"/>
      <c r="C590" s="4"/>
      <c r="D590" s="4"/>
      <c r="E590" s="4"/>
      <c r="F590" s="4"/>
      <c r="G590" s="4"/>
      <c r="H590" s="4"/>
      <c r="I590" s="4"/>
      <c r="J590" s="4"/>
      <c r="K590" s="4"/>
      <c r="L590" s="4"/>
      <c r="M590" s="4"/>
      <c r="N590" s="4"/>
      <c r="O590" s="4"/>
      <c r="P590" s="4"/>
      <c r="Q590" s="4"/>
      <c r="R590" s="4"/>
      <c r="S590" s="4"/>
      <c r="T590" s="4"/>
      <c r="U590" s="4"/>
      <c r="V590" s="4"/>
      <c r="W590" s="4"/>
      <c r="X590" s="4"/>
      <c r="Y590" s="4"/>
    </row>
    <row r="591" ht="15.75" customHeight="1">
      <c r="A591" s="4"/>
      <c r="B591" s="19"/>
      <c r="C591" s="4"/>
      <c r="D591" s="4"/>
      <c r="E591" s="4"/>
      <c r="F591" s="4"/>
      <c r="G591" s="4"/>
      <c r="H591" s="4"/>
      <c r="I591" s="4"/>
      <c r="J591" s="4"/>
      <c r="K591" s="4"/>
      <c r="L591" s="4"/>
      <c r="M591" s="4"/>
      <c r="N591" s="4"/>
      <c r="O591" s="4"/>
      <c r="P591" s="4"/>
      <c r="Q591" s="4"/>
      <c r="R591" s="4"/>
      <c r="S591" s="4"/>
      <c r="T591" s="4"/>
      <c r="U591" s="4"/>
      <c r="V591" s="4"/>
      <c r="W591" s="4"/>
      <c r="X591" s="4"/>
      <c r="Y591" s="4"/>
    </row>
    <row r="592" ht="15.75" customHeight="1">
      <c r="A592" s="4"/>
      <c r="B592" s="19"/>
      <c r="C592" s="4"/>
      <c r="D592" s="4"/>
      <c r="E592" s="4"/>
      <c r="F592" s="4"/>
      <c r="G592" s="4"/>
      <c r="H592" s="4"/>
      <c r="I592" s="4"/>
      <c r="J592" s="4"/>
      <c r="K592" s="4"/>
      <c r="L592" s="4"/>
      <c r="M592" s="4"/>
      <c r="N592" s="4"/>
      <c r="O592" s="4"/>
      <c r="P592" s="4"/>
      <c r="Q592" s="4"/>
      <c r="R592" s="4"/>
      <c r="S592" s="4"/>
      <c r="T592" s="4"/>
      <c r="U592" s="4"/>
      <c r="V592" s="4"/>
      <c r="W592" s="4"/>
      <c r="X592" s="4"/>
      <c r="Y592" s="4"/>
    </row>
    <row r="593" ht="15.75" customHeight="1">
      <c r="A593" s="4"/>
      <c r="B593" s="19"/>
      <c r="C593" s="4"/>
      <c r="D593" s="4"/>
      <c r="E593" s="4"/>
      <c r="F593" s="4"/>
      <c r="G593" s="4"/>
      <c r="H593" s="4"/>
      <c r="I593" s="4"/>
      <c r="J593" s="4"/>
      <c r="K593" s="4"/>
      <c r="L593" s="4"/>
      <c r="M593" s="4"/>
      <c r="N593" s="4"/>
      <c r="O593" s="4"/>
      <c r="P593" s="4"/>
      <c r="Q593" s="4"/>
      <c r="R593" s="4"/>
      <c r="S593" s="4"/>
      <c r="T593" s="4"/>
      <c r="U593" s="4"/>
      <c r="V593" s="4"/>
      <c r="W593" s="4"/>
      <c r="X593" s="4"/>
      <c r="Y593" s="4"/>
    </row>
    <row r="594" ht="15.75" customHeight="1">
      <c r="A594" s="4"/>
      <c r="B594" s="19"/>
      <c r="C594" s="4"/>
      <c r="D594" s="4"/>
      <c r="E594" s="4"/>
      <c r="F594" s="4"/>
      <c r="G594" s="4"/>
      <c r="H594" s="4"/>
      <c r="I594" s="4"/>
      <c r="J594" s="4"/>
      <c r="K594" s="4"/>
      <c r="L594" s="4"/>
      <c r="M594" s="4"/>
      <c r="N594" s="4"/>
      <c r="O594" s="4"/>
      <c r="P594" s="4"/>
      <c r="Q594" s="4"/>
      <c r="R594" s="4"/>
      <c r="S594" s="4"/>
      <c r="T594" s="4"/>
      <c r="U594" s="4"/>
      <c r="V594" s="4"/>
      <c r="W594" s="4"/>
      <c r="X594" s="4"/>
      <c r="Y594" s="4"/>
    </row>
    <row r="595" ht="15.75" customHeight="1">
      <c r="A595" s="4"/>
      <c r="B595" s="19"/>
      <c r="C595" s="4"/>
      <c r="D595" s="4"/>
      <c r="E595" s="4"/>
      <c r="F595" s="4"/>
      <c r="G595" s="4"/>
      <c r="H595" s="4"/>
      <c r="I595" s="4"/>
      <c r="J595" s="4"/>
      <c r="K595" s="4"/>
      <c r="L595" s="4"/>
      <c r="M595" s="4"/>
      <c r="N595" s="4"/>
      <c r="O595" s="4"/>
      <c r="P595" s="4"/>
      <c r="Q595" s="4"/>
      <c r="R595" s="4"/>
      <c r="S595" s="4"/>
      <c r="T595" s="4"/>
      <c r="U595" s="4"/>
      <c r="V595" s="4"/>
      <c r="W595" s="4"/>
      <c r="X595" s="4"/>
      <c r="Y595" s="4"/>
    </row>
    <row r="596" ht="15.75" customHeight="1">
      <c r="A596" s="4"/>
      <c r="B596" s="19"/>
      <c r="C596" s="4"/>
      <c r="D596" s="4"/>
      <c r="E596" s="4"/>
      <c r="F596" s="4"/>
      <c r="G596" s="4"/>
      <c r="H596" s="4"/>
      <c r="I596" s="4"/>
      <c r="J596" s="4"/>
      <c r="K596" s="4"/>
      <c r="L596" s="4"/>
      <c r="M596" s="4"/>
      <c r="N596" s="4"/>
      <c r="O596" s="4"/>
      <c r="P596" s="4"/>
      <c r="Q596" s="4"/>
      <c r="R596" s="4"/>
      <c r="S596" s="4"/>
      <c r="T596" s="4"/>
      <c r="U596" s="4"/>
      <c r="V596" s="4"/>
      <c r="W596" s="4"/>
      <c r="X596" s="4"/>
      <c r="Y596" s="4"/>
    </row>
    <row r="597" ht="15.75" customHeight="1">
      <c r="A597" s="4"/>
      <c r="B597" s="19"/>
      <c r="C597" s="4"/>
      <c r="D597" s="4"/>
      <c r="E597" s="4"/>
      <c r="F597" s="4"/>
      <c r="G597" s="4"/>
      <c r="H597" s="4"/>
      <c r="I597" s="4"/>
      <c r="J597" s="4"/>
      <c r="K597" s="4"/>
      <c r="L597" s="4"/>
      <c r="M597" s="4"/>
      <c r="N597" s="4"/>
      <c r="O597" s="4"/>
      <c r="P597" s="4"/>
      <c r="Q597" s="4"/>
      <c r="R597" s="4"/>
      <c r="S597" s="4"/>
      <c r="T597" s="4"/>
      <c r="U597" s="4"/>
      <c r="V597" s="4"/>
      <c r="W597" s="4"/>
      <c r="X597" s="4"/>
      <c r="Y597" s="4"/>
    </row>
    <row r="598" ht="15.75" customHeight="1">
      <c r="A598" s="4"/>
      <c r="B598" s="19"/>
      <c r="C598" s="4"/>
      <c r="D598" s="4"/>
      <c r="E598" s="4"/>
      <c r="F598" s="4"/>
      <c r="G598" s="4"/>
      <c r="H598" s="4"/>
      <c r="I598" s="4"/>
      <c r="J598" s="4"/>
      <c r="K598" s="4"/>
      <c r="L598" s="4"/>
      <c r="M598" s="4"/>
      <c r="N598" s="4"/>
      <c r="O598" s="4"/>
      <c r="P598" s="4"/>
      <c r="Q598" s="4"/>
      <c r="R598" s="4"/>
      <c r="S598" s="4"/>
      <c r="T598" s="4"/>
      <c r="U598" s="4"/>
      <c r="V598" s="4"/>
      <c r="W598" s="4"/>
      <c r="X598" s="4"/>
      <c r="Y598" s="4"/>
    </row>
    <row r="599" ht="15.75" customHeight="1">
      <c r="A599" s="4"/>
      <c r="B599" s="19"/>
      <c r="C599" s="4"/>
      <c r="D599" s="4"/>
      <c r="E599" s="4"/>
      <c r="F599" s="4"/>
      <c r="G599" s="4"/>
      <c r="H599" s="4"/>
      <c r="I599" s="4"/>
      <c r="J599" s="4"/>
      <c r="K599" s="4"/>
      <c r="L599" s="4"/>
      <c r="M599" s="4"/>
      <c r="N599" s="4"/>
      <c r="O599" s="4"/>
      <c r="P599" s="4"/>
      <c r="Q599" s="4"/>
      <c r="R599" s="4"/>
      <c r="S599" s="4"/>
      <c r="T599" s="4"/>
      <c r="U599" s="4"/>
      <c r="V599" s="4"/>
      <c r="W599" s="4"/>
      <c r="X599" s="4"/>
      <c r="Y599" s="4"/>
    </row>
    <row r="600" ht="15.75" customHeight="1">
      <c r="A600" s="4"/>
      <c r="B600" s="19"/>
      <c r="C600" s="4"/>
      <c r="D600" s="4"/>
      <c r="E600" s="4"/>
      <c r="F600" s="4"/>
      <c r="G600" s="4"/>
      <c r="H600" s="4"/>
      <c r="I600" s="4"/>
      <c r="J600" s="4"/>
      <c r="K600" s="4"/>
      <c r="L600" s="4"/>
      <c r="M600" s="4"/>
      <c r="N600" s="4"/>
      <c r="O600" s="4"/>
      <c r="P600" s="4"/>
      <c r="Q600" s="4"/>
      <c r="R600" s="4"/>
      <c r="S600" s="4"/>
      <c r="T600" s="4"/>
      <c r="U600" s="4"/>
      <c r="V600" s="4"/>
      <c r="W600" s="4"/>
      <c r="X600" s="4"/>
      <c r="Y600" s="4"/>
    </row>
    <row r="601" ht="15.75" customHeight="1">
      <c r="A601" s="4"/>
      <c r="B601" s="19"/>
      <c r="C601" s="4"/>
      <c r="D601" s="4"/>
      <c r="E601" s="4"/>
      <c r="F601" s="4"/>
      <c r="G601" s="4"/>
      <c r="H601" s="4"/>
      <c r="I601" s="4"/>
      <c r="J601" s="4"/>
      <c r="K601" s="4"/>
      <c r="L601" s="4"/>
      <c r="M601" s="4"/>
      <c r="N601" s="4"/>
      <c r="O601" s="4"/>
      <c r="P601" s="4"/>
      <c r="Q601" s="4"/>
      <c r="R601" s="4"/>
      <c r="S601" s="4"/>
      <c r="T601" s="4"/>
      <c r="U601" s="4"/>
      <c r="V601" s="4"/>
      <c r="W601" s="4"/>
      <c r="X601" s="4"/>
      <c r="Y601" s="4"/>
    </row>
    <row r="602" ht="15.75" customHeight="1">
      <c r="A602" s="4"/>
      <c r="B602" s="19"/>
      <c r="C602" s="4"/>
      <c r="D602" s="4"/>
      <c r="E602" s="4"/>
      <c r="F602" s="4"/>
      <c r="G602" s="4"/>
      <c r="H602" s="4"/>
      <c r="I602" s="4"/>
      <c r="J602" s="4"/>
      <c r="K602" s="4"/>
      <c r="L602" s="4"/>
      <c r="M602" s="4"/>
      <c r="N602" s="4"/>
      <c r="O602" s="4"/>
      <c r="P602" s="4"/>
      <c r="Q602" s="4"/>
      <c r="R602" s="4"/>
      <c r="S602" s="4"/>
      <c r="T602" s="4"/>
      <c r="U602" s="4"/>
      <c r="V602" s="4"/>
      <c r="W602" s="4"/>
      <c r="X602" s="4"/>
      <c r="Y602" s="4"/>
    </row>
    <row r="603" ht="15.75" customHeight="1">
      <c r="A603" s="4"/>
      <c r="B603" s="19"/>
      <c r="C603" s="4"/>
      <c r="D603" s="4"/>
      <c r="E603" s="4"/>
      <c r="F603" s="4"/>
      <c r="G603" s="4"/>
      <c r="H603" s="4"/>
      <c r="I603" s="4"/>
      <c r="J603" s="4"/>
      <c r="K603" s="4"/>
      <c r="L603" s="4"/>
      <c r="M603" s="4"/>
      <c r="N603" s="4"/>
      <c r="O603" s="4"/>
      <c r="P603" s="4"/>
      <c r="Q603" s="4"/>
      <c r="R603" s="4"/>
      <c r="S603" s="4"/>
      <c r="T603" s="4"/>
      <c r="U603" s="4"/>
      <c r="V603" s="4"/>
      <c r="W603" s="4"/>
      <c r="X603" s="4"/>
      <c r="Y603" s="4"/>
    </row>
    <row r="604" ht="15.75" customHeight="1">
      <c r="A604" s="4"/>
      <c r="B604" s="19"/>
      <c r="C604" s="4"/>
      <c r="D604" s="4"/>
      <c r="E604" s="4"/>
      <c r="F604" s="4"/>
      <c r="G604" s="4"/>
      <c r="H604" s="4"/>
      <c r="I604" s="4"/>
      <c r="J604" s="4"/>
      <c r="K604" s="4"/>
      <c r="L604" s="4"/>
      <c r="M604" s="4"/>
      <c r="N604" s="4"/>
      <c r="O604" s="4"/>
      <c r="P604" s="4"/>
      <c r="Q604" s="4"/>
      <c r="R604" s="4"/>
      <c r="S604" s="4"/>
      <c r="T604" s="4"/>
      <c r="U604" s="4"/>
      <c r="V604" s="4"/>
      <c r="W604" s="4"/>
      <c r="X604" s="4"/>
      <c r="Y604" s="4"/>
    </row>
    <row r="605" ht="15.75" customHeight="1">
      <c r="A605" s="4"/>
      <c r="B605" s="19"/>
      <c r="C605" s="4"/>
      <c r="D605" s="4"/>
      <c r="E605" s="4"/>
      <c r="F605" s="4"/>
      <c r="G605" s="4"/>
      <c r="H605" s="4"/>
      <c r="I605" s="4"/>
      <c r="J605" s="4"/>
      <c r="K605" s="4"/>
      <c r="L605" s="4"/>
      <c r="M605" s="4"/>
      <c r="N605" s="4"/>
      <c r="O605" s="4"/>
      <c r="P605" s="4"/>
      <c r="Q605" s="4"/>
      <c r="R605" s="4"/>
      <c r="S605" s="4"/>
      <c r="T605" s="4"/>
      <c r="U605" s="4"/>
      <c r="V605" s="4"/>
      <c r="W605" s="4"/>
      <c r="X605" s="4"/>
      <c r="Y605" s="4"/>
    </row>
    <row r="606" ht="15.75" customHeight="1">
      <c r="A606" s="4"/>
      <c r="B606" s="19"/>
      <c r="C606" s="4"/>
      <c r="D606" s="4"/>
      <c r="E606" s="4"/>
      <c r="F606" s="4"/>
      <c r="G606" s="4"/>
      <c r="H606" s="4"/>
      <c r="I606" s="4"/>
      <c r="J606" s="4"/>
      <c r="K606" s="4"/>
      <c r="L606" s="4"/>
      <c r="M606" s="4"/>
      <c r="N606" s="4"/>
      <c r="O606" s="4"/>
      <c r="P606" s="4"/>
      <c r="Q606" s="4"/>
      <c r="R606" s="4"/>
      <c r="S606" s="4"/>
      <c r="T606" s="4"/>
      <c r="U606" s="4"/>
      <c r="V606" s="4"/>
      <c r="W606" s="4"/>
      <c r="X606" s="4"/>
      <c r="Y606" s="4"/>
    </row>
    <row r="607" ht="15.75" customHeight="1">
      <c r="A607" s="4"/>
      <c r="B607" s="19"/>
      <c r="C607" s="4"/>
      <c r="D607" s="4"/>
      <c r="E607" s="4"/>
      <c r="F607" s="4"/>
      <c r="G607" s="4"/>
      <c r="H607" s="4"/>
      <c r="I607" s="4"/>
      <c r="J607" s="4"/>
      <c r="K607" s="4"/>
      <c r="L607" s="4"/>
      <c r="M607" s="4"/>
      <c r="N607" s="4"/>
      <c r="O607" s="4"/>
      <c r="P607" s="4"/>
      <c r="Q607" s="4"/>
      <c r="R607" s="4"/>
      <c r="S607" s="4"/>
      <c r="T607" s="4"/>
      <c r="U607" s="4"/>
      <c r="V607" s="4"/>
      <c r="W607" s="4"/>
      <c r="X607" s="4"/>
      <c r="Y607" s="4"/>
    </row>
    <row r="608" ht="15.75" customHeight="1">
      <c r="A608" s="4"/>
      <c r="B608" s="19"/>
      <c r="C608" s="4"/>
      <c r="D608" s="4"/>
      <c r="E608" s="4"/>
      <c r="F608" s="4"/>
      <c r="G608" s="4"/>
      <c r="H608" s="4"/>
      <c r="I608" s="4"/>
      <c r="J608" s="4"/>
      <c r="K608" s="4"/>
      <c r="L608" s="4"/>
      <c r="M608" s="4"/>
      <c r="N608" s="4"/>
      <c r="O608" s="4"/>
      <c r="P608" s="4"/>
      <c r="Q608" s="4"/>
      <c r="R608" s="4"/>
      <c r="S608" s="4"/>
      <c r="T608" s="4"/>
      <c r="U608" s="4"/>
      <c r="V608" s="4"/>
      <c r="W608" s="4"/>
      <c r="X608" s="4"/>
      <c r="Y608" s="4"/>
    </row>
    <row r="609" ht="15.75" customHeight="1">
      <c r="A609" s="4"/>
      <c r="B609" s="19"/>
      <c r="C609" s="4"/>
      <c r="D609" s="4"/>
      <c r="E609" s="4"/>
      <c r="F609" s="4"/>
      <c r="G609" s="4"/>
      <c r="H609" s="4"/>
      <c r="I609" s="4"/>
      <c r="J609" s="4"/>
      <c r="K609" s="4"/>
      <c r="L609" s="4"/>
      <c r="M609" s="4"/>
      <c r="N609" s="4"/>
      <c r="O609" s="4"/>
      <c r="P609" s="4"/>
      <c r="Q609" s="4"/>
      <c r="R609" s="4"/>
      <c r="S609" s="4"/>
      <c r="T609" s="4"/>
      <c r="U609" s="4"/>
      <c r="V609" s="4"/>
      <c r="W609" s="4"/>
      <c r="X609" s="4"/>
      <c r="Y609" s="4"/>
    </row>
    <row r="610" ht="15.75" customHeight="1">
      <c r="A610" s="4"/>
      <c r="B610" s="19"/>
      <c r="C610" s="4"/>
      <c r="D610" s="4"/>
      <c r="E610" s="4"/>
      <c r="F610" s="4"/>
      <c r="G610" s="4"/>
      <c r="H610" s="4"/>
      <c r="I610" s="4"/>
      <c r="J610" s="4"/>
      <c r="K610" s="4"/>
      <c r="L610" s="4"/>
      <c r="M610" s="4"/>
      <c r="N610" s="4"/>
      <c r="O610" s="4"/>
      <c r="P610" s="4"/>
      <c r="Q610" s="4"/>
      <c r="R610" s="4"/>
      <c r="S610" s="4"/>
      <c r="T610" s="4"/>
      <c r="U610" s="4"/>
      <c r="V610" s="4"/>
      <c r="W610" s="4"/>
      <c r="X610" s="4"/>
      <c r="Y610" s="4"/>
    </row>
    <row r="611" ht="15.75" customHeight="1">
      <c r="A611" s="4"/>
      <c r="B611" s="19"/>
      <c r="C611" s="4"/>
      <c r="D611" s="4"/>
      <c r="E611" s="4"/>
      <c r="F611" s="4"/>
      <c r="G611" s="4"/>
      <c r="H611" s="4"/>
      <c r="I611" s="4"/>
      <c r="J611" s="4"/>
      <c r="K611" s="4"/>
      <c r="L611" s="4"/>
      <c r="M611" s="4"/>
      <c r="N611" s="4"/>
      <c r="O611" s="4"/>
      <c r="P611" s="4"/>
      <c r="Q611" s="4"/>
      <c r="R611" s="4"/>
      <c r="S611" s="4"/>
      <c r="T611" s="4"/>
      <c r="U611" s="4"/>
      <c r="V611" s="4"/>
      <c r="W611" s="4"/>
      <c r="X611" s="4"/>
      <c r="Y611" s="4"/>
    </row>
    <row r="612" ht="15.75" customHeight="1">
      <c r="A612" s="4"/>
      <c r="B612" s="19"/>
      <c r="C612" s="4"/>
      <c r="D612" s="4"/>
      <c r="E612" s="4"/>
      <c r="F612" s="4"/>
      <c r="G612" s="4"/>
      <c r="H612" s="4"/>
      <c r="I612" s="4"/>
      <c r="J612" s="4"/>
      <c r="K612" s="4"/>
      <c r="L612" s="4"/>
      <c r="M612" s="4"/>
      <c r="N612" s="4"/>
      <c r="O612" s="4"/>
      <c r="P612" s="4"/>
      <c r="Q612" s="4"/>
      <c r="R612" s="4"/>
      <c r="S612" s="4"/>
      <c r="T612" s="4"/>
      <c r="U612" s="4"/>
      <c r="V612" s="4"/>
      <c r="W612" s="4"/>
      <c r="X612" s="4"/>
      <c r="Y612" s="4"/>
    </row>
    <row r="613" ht="15.75" customHeight="1">
      <c r="A613" s="4"/>
      <c r="B613" s="19"/>
      <c r="C613" s="4"/>
      <c r="D613" s="4"/>
      <c r="E613" s="4"/>
      <c r="F613" s="4"/>
      <c r="G613" s="4"/>
      <c r="H613" s="4"/>
      <c r="I613" s="4"/>
      <c r="J613" s="4"/>
      <c r="K613" s="4"/>
      <c r="L613" s="4"/>
      <c r="M613" s="4"/>
      <c r="N613" s="4"/>
      <c r="O613" s="4"/>
      <c r="P613" s="4"/>
      <c r="Q613" s="4"/>
      <c r="R613" s="4"/>
      <c r="S613" s="4"/>
      <c r="T613" s="4"/>
      <c r="U613" s="4"/>
      <c r="V613" s="4"/>
      <c r="W613" s="4"/>
      <c r="X613" s="4"/>
      <c r="Y613" s="4"/>
    </row>
    <row r="614" ht="15.75" customHeight="1">
      <c r="A614" s="4"/>
      <c r="B614" s="19"/>
      <c r="C614" s="4"/>
      <c r="D614" s="4"/>
      <c r="E614" s="4"/>
      <c r="F614" s="4"/>
      <c r="G614" s="4"/>
      <c r="H614" s="4"/>
      <c r="I614" s="4"/>
      <c r="J614" s="4"/>
      <c r="K614" s="4"/>
      <c r="L614" s="4"/>
      <c r="M614" s="4"/>
      <c r="N614" s="4"/>
      <c r="O614" s="4"/>
      <c r="P614" s="4"/>
      <c r="Q614" s="4"/>
      <c r="R614" s="4"/>
      <c r="S614" s="4"/>
      <c r="T614" s="4"/>
      <c r="U614" s="4"/>
      <c r="V614" s="4"/>
      <c r="W614" s="4"/>
      <c r="X614" s="4"/>
      <c r="Y614" s="4"/>
    </row>
    <row r="615" ht="15.75" customHeight="1">
      <c r="A615" s="4"/>
      <c r="B615" s="19"/>
      <c r="C615" s="4"/>
      <c r="D615" s="4"/>
      <c r="E615" s="4"/>
      <c r="F615" s="4"/>
      <c r="G615" s="4"/>
      <c r="H615" s="4"/>
      <c r="I615" s="4"/>
      <c r="J615" s="4"/>
      <c r="K615" s="4"/>
      <c r="L615" s="4"/>
      <c r="M615" s="4"/>
      <c r="N615" s="4"/>
      <c r="O615" s="4"/>
      <c r="P615" s="4"/>
      <c r="Q615" s="4"/>
      <c r="R615" s="4"/>
      <c r="S615" s="4"/>
      <c r="T615" s="4"/>
      <c r="U615" s="4"/>
      <c r="V615" s="4"/>
      <c r="W615" s="4"/>
      <c r="X615" s="4"/>
      <c r="Y615" s="4"/>
    </row>
    <row r="616" ht="15.75" customHeight="1">
      <c r="A616" s="4"/>
      <c r="B616" s="19"/>
      <c r="C616" s="4"/>
      <c r="D616" s="4"/>
      <c r="E616" s="4"/>
      <c r="F616" s="4"/>
      <c r="G616" s="4"/>
      <c r="H616" s="4"/>
      <c r="I616" s="4"/>
      <c r="J616" s="4"/>
      <c r="K616" s="4"/>
      <c r="L616" s="4"/>
      <c r="M616" s="4"/>
      <c r="N616" s="4"/>
      <c r="O616" s="4"/>
      <c r="P616" s="4"/>
      <c r="Q616" s="4"/>
      <c r="R616" s="4"/>
      <c r="S616" s="4"/>
      <c r="T616" s="4"/>
      <c r="U616" s="4"/>
      <c r="V616" s="4"/>
      <c r="W616" s="4"/>
      <c r="X616" s="4"/>
      <c r="Y616" s="4"/>
    </row>
    <row r="617" ht="15.75" customHeight="1">
      <c r="A617" s="4"/>
      <c r="B617" s="19"/>
      <c r="C617" s="4"/>
      <c r="D617" s="4"/>
      <c r="E617" s="4"/>
      <c r="F617" s="4"/>
      <c r="G617" s="4"/>
      <c r="H617" s="4"/>
      <c r="I617" s="4"/>
      <c r="J617" s="4"/>
      <c r="K617" s="4"/>
      <c r="L617" s="4"/>
      <c r="M617" s="4"/>
      <c r="N617" s="4"/>
      <c r="O617" s="4"/>
      <c r="P617" s="4"/>
      <c r="Q617" s="4"/>
      <c r="R617" s="4"/>
      <c r="S617" s="4"/>
      <c r="T617" s="4"/>
      <c r="U617" s="4"/>
      <c r="V617" s="4"/>
      <c r="W617" s="4"/>
      <c r="X617" s="4"/>
      <c r="Y617" s="4"/>
    </row>
    <row r="618" ht="15.75" customHeight="1">
      <c r="A618" s="4"/>
      <c r="B618" s="19"/>
      <c r="C618" s="4"/>
      <c r="D618" s="4"/>
      <c r="E618" s="4"/>
      <c r="F618" s="4"/>
      <c r="G618" s="4"/>
      <c r="H618" s="4"/>
      <c r="I618" s="4"/>
      <c r="J618" s="4"/>
      <c r="K618" s="4"/>
      <c r="L618" s="4"/>
      <c r="M618" s="4"/>
      <c r="N618" s="4"/>
      <c r="O618" s="4"/>
      <c r="P618" s="4"/>
      <c r="Q618" s="4"/>
      <c r="R618" s="4"/>
      <c r="S618" s="4"/>
      <c r="T618" s="4"/>
      <c r="U618" s="4"/>
      <c r="V618" s="4"/>
      <c r="W618" s="4"/>
      <c r="X618" s="4"/>
      <c r="Y618" s="4"/>
    </row>
    <row r="619" ht="15.75" customHeight="1">
      <c r="A619" s="4"/>
      <c r="B619" s="19"/>
      <c r="C619" s="4"/>
      <c r="D619" s="4"/>
      <c r="E619" s="4"/>
      <c r="F619" s="4"/>
      <c r="G619" s="4"/>
      <c r="H619" s="4"/>
      <c r="I619" s="4"/>
      <c r="J619" s="4"/>
      <c r="K619" s="4"/>
      <c r="L619" s="4"/>
      <c r="M619" s="4"/>
      <c r="N619" s="4"/>
      <c r="O619" s="4"/>
      <c r="P619" s="4"/>
      <c r="Q619" s="4"/>
      <c r="R619" s="4"/>
      <c r="S619" s="4"/>
      <c r="T619" s="4"/>
      <c r="U619" s="4"/>
      <c r="V619" s="4"/>
      <c r="W619" s="4"/>
      <c r="X619" s="4"/>
      <c r="Y619" s="4"/>
    </row>
    <row r="620" ht="15.75" customHeight="1">
      <c r="A620" s="4"/>
      <c r="B620" s="19"/>
      <c r="C620" s="4"/>
      <c r="D620" s="4"/>
      <c r="E620" s="4"/>
      <c r="F620" s="4"/>
      <c r="G620" s="4"/>
      <c r="H620" s="4"/>
      <c r="I620" s="4"/>
      <c r="J620" s="4"/>
      <c r="K620" s="4"/>
      <c r="L620" s="4"/>
      <c r="M620" s="4"/>
      <c r="N620" s="4"/>
      <c r="O620" s="4"/>
      <c r="P620" s="4"/>
      <c r="Q620" s="4"/>
      <c r="R620" s="4"/>
      <c r="S620" s="4"/>
      <c r="T620" s="4"/>
      <c r="U620" s="4"/>
      <c r="V620" s="4"/>
      <c r="W620" s="4"/>
      <c r="X620" s="4"/>
      <c r="Y620" s="4"/>
    </row>
    <row r="621" ht="15.75" customHeight="1">
      <c r="A621" s="4"/>
      <c r="B621" s="19"/>
      <c r="C621" s="4"/>
      <c r="D621" s="4"/>
      <c r="E621" s="4"/>
      <c r="F621" s="4"/>
      <c r="G621" s="4"/>
      <c r="H621" s="4"/>
      <c r="I621" s="4"/>
      <c r="J621" s="4"/>
      <c r="K621" s="4"/>
      <c r="L621" s="4"/>
      <c r="M621" s="4"/>
      <c r="N621" s="4"/>
      <c r="O621" s="4"/>
      <c r="P621" s="4"/>
      <c r="Q621" s="4"/>
      <c r="R621" s="4"/>
      <c r="S621" s="4"/>
      <c r="T621" s="4"/>
      <c r="U621" s="4"/>
      <c r="V621" s="4"/>
      <c r="W621" s="4"/>
      <c r="X621" s="4"/>
      <c r="Y621" s="4"/>
    </row>
    <row r="622" ht="15.75" customHeight="1">
      <c r="A622" s="4"/>
      <c r="B622" s="19"/>
      <c r="C622" s="4"/>
      <c r="D622" s="4"/>
      <c r="E622" s="4"/>
      <c r="F622" s="4"/>
      <c r="G622" s="4"/>
      <c r="H622" s="4"/>
      <c r="I622" s="4"/>
      <c r="J622" s="4"/>
      <c r="K622" s="4"/>
      <c r="L622" s="4"/>
      <c r="M622" s="4"/>
      <c r="N622" s="4"/>
      <c r="O622" s="4"/>
      <c r="P622" s="4"/>
      <c r="Q622" s="4"/>
      <c r="R622" s="4"/>
      <c r="S622" s="4"/>
      <c r="T622" s="4"/>
      <c r="U622" s="4"/>
      <c r="V622" s="4"/>
      <c r="W622" s="4"/>
      <c r="X622" s="4"/>
      <c r="Y622" s="4"/>
    </row>
    <row r="623" ht="15.75" customHeight="1">
      <c r="A623" s="4"/>
      <c r="B623" s="19"/>
      <c r="C623" s="4"/>
      <c r="D623" s="4"/>
      <c r="E623" s="4"/>
      <c r="F623" s="4"/>
      <c r="G623" s="4"/>
      <c r="H623" s="4"/>
      <c r="I623" s="4"/>
      <c r="J623" s="4"/>
      <c r="K623" s="4"/>
      <c r="L623" s="4"/>
      <c r="M623" s="4"/>
      <c r="N623" s="4"/>
      <c r="O623" s="4"/>
      <c r="P623" s="4"/>
      <c r="Q623" s="4"/>
      <c r="R623" s="4"/>
      <c r="S623" s="4"/>
      <c r="T623" s="4"/>
      <c r="U623" s="4"/>
      <c r="V623" s="4"/>
      <c r="W623" s="4"/>
      <c r="X623" s="4"/>
      <c r="Y623" s="4"/>
    </row>
    <row r="624" ht="15.75" customHeight="1">
      <c r="A624" s="4"/>
      <c r="B624" s="19"/>
      <c r="C624" s="4"/>
      <c r="D624" s="4"/>
      <c r="E624" s="4"/>
      <c r="F624" s="4"/>
      <c r="G624" s="4"/>
      <c r="H624" s="4"/>
      <c r="I624" s="4"/>
      <c r="J624" s="4"/>
      <c r="K624" s="4"/>
      <c r="L624" s="4"/>
      <c r="M624" s="4"/>
      <c r="N624" s="4"/>
      <c r="O624" s="4"/>
      <c r="P624" s="4"/>
      <c r="Q624" s="4"/>
      <c r="R624" s="4"/>
      <c r="S624" s="4"/>
      <c r="T624" s="4"/>
      <c r="U624" s="4"/>
      <c r="V624" s="4"/>
      <c r="W624" s="4"/>
      <c r="X624" s="4"/>
      <c r="Y624" s="4"/>
    </row>
    <row r="625" ht="15.75" customHeight="1">
      <c r="A625" s="4"/>
      <c r="B625" s="19"/>
      <c r="C625" s="4"/>
      <c r="D625" s="4"/>
      <c r="E625" s="4"/>
      <c r="F625" s="4"/>
      <c r="G625" s="4"/>
      <c r="H625" s="4"/>
      <c r="I625" s="4"/>
      <c r="J625" s="4"/>
      <c r="K625" s="4"/>
      <c r="L625" s="4"/>
      <c r="M625" s="4"/>
      <c r="N625" s="4"/>
      <c r="O625" s="4"/>
      <c r="P625" s="4"/>
      <c r="Q625" s="4"/>
      <c r="R625" s="4"/>
      <c r="S625" s="4"/>
      <c r="T625" s="4"/>
      <c r="U625" s="4"/>
      <c r="V625" s="4"/>
      <c r="W625" s="4"/>
      <c r="X625" s="4"/>
      <c r="Y625" s="4"/>
    </row>
    <row r="626" ht="15.75" customHeight="1">
      <c r="A626" s="4"/>
      <c r="B626" s="19"/>
      <c r="C626" s="4"/>
      <c r="D626" s="4"/>
      <c r="E626" s="4"/>
      <c r="F626" s="4"/>
      <c r="G626" s="4"/>
      <c r="H626" s="4"/>
      <c r="I626" s="4"/>
      <c r="J626" s="4"/>
      <c r="K626" s="4"/>
      <c r="L626" s="4"/>
      <c r="M626" s="4"/>
      <c r="N626" s="4"/>
      <c r="O626" s="4"/>
      <c r="P626" s="4"/>
      <c r="Q626" s="4"/>
      <c r="R626" s="4"/>
      <c r="S626" s="4"/>
      <c r="T626" s="4"/>
      <c r="U626" s="4"/>
      <c r="V626" s="4"/>
      <c r="W626" s="4"/>
      <c r="X626" s="4"/>
      <c r="Y626" s="4"/>
    </row>
    <row r="627" ht="15.75" customHeight="1">
      <c r="A627" s="4"/>
      <c r="B627" s="19"/>
      <c r="C627" s="4"/>
      <c r="D627" s="4"/>
      <c r="E627" s="4"/>
      <c r="F627" s="4"/>
      <c r="G627" s="4"/>
      <c r="H627" s="4"/>
      <c r="I627" s="4"/>
      <c r="J627" s="4"/>
      <c r="K627" s="4"/>
      <c r="L627" s="4"/>
      <c r="M627" s="4"/>
      <c r="N627" s="4"/>
      <c r="O627" s="4"/>
      <c r="P627" s="4"/>
      <c r="Q627" s="4"/>
      <c r="R627" s="4"/>
      <c r="S627" s="4"/>
      <c r="T627" s="4"/>
      <c r="U627" s="4"/>
      <c r="V627" s="4"/>
      <c r="W627" s="4"/>
      <c r="X627" s="4"/>
      <c r="Y627" s="4"/>
    </row>
    <row r="628" ht="15.75" customHeight="1">
      <c r="A628" s="4"/>
      <c r="B628" s="19"/>
      <c r="C628" s="4"/>
      <c r="D628" s="4"/>
      <c r="E628" s="4"/>
      <c r="F628" s="4"/>
      <c r="G628" s="4"/>
      <c r="H628" s="4"/>
      <c r="I628" s="4"/>
      <c r="J628" s="4"/>
      <c r="K628" s="4"/>
      <c r="L628" s="4"/>
      <c r="M628" s="4"/>
      <c r="N628" s="4"/>
      <c r="O628" s="4"/>
      <c r="P628" s="4"/>
      <c r="Q628" s="4"/>
      <c r="R628" s="4"/>
      <c r="S628" s="4"/>
      <c r="T628" s="4"/>
      <c r="U628" s="4"/>
      <c r="V628" s="4"/>
      <c r="W628" s="4"/>
      <c r="X628" s="4"/>
      <c r="Y628" s="4"/>
    </row>
    <row r="629" ht="15.75" customHeight="1">
      <c r="A629" s="4"/>
      <c r="B629" s="19"/>
      <c r="C629" s="4"/>
      <c r="D629" s="4"/>
      <c r="E629" s="4"/>
      <c r="F629" s="4"/>
      <c r="G629" s="4"/>
      <c r="H629" s="4"/>
      <c r="I629" s="4"/>
      <c r="J629" s="4"/>
      <c r="K629" s="4"/>
      <c r="L629" s="4"/>
      <c r="M629" s="4"/>
      <c r="N629" s="4"/>
      <c r="O629" s="4"/>
      <c r="P629" s="4"/>
      <c r="Q629" s="4"/>
      <c r="R629" s="4"/>
      <c r="S629" s="4"/>
      <c r="T629" s="4"/>
      <c r="U629" s="4"/>
      <c r="V629" s="4"/>
      <c r="W629" s="4"/>
      <c r="X629" s="4"/>
      <c r="Y629" s="4"/>
    </row>
    <row r="630" ht="15.75" customHeight="1">
      <c r="A630" s="4"/>
      <c r="B630" s="19"/>
      <c r="C630" s="4"/>
      <c r="D630" s="4"/>
      <c r="E630" s="4"/>
      <c r="F630" s="4"/>
      <c r="G630" s="4"/>
      <c r="H630" s="4"/>
      <c r="I630" s="4"/>
      <c r="J630" s="4"/>
      <c r="K630" s="4"/>
      <c r="L630" s="4"/>
      <c r="M630" s="4"/>
      <c r="N630" s="4"/>
      <c r="O630" s="4"/>
      <c r="P630" s="4"/>
      <c r="Q630" s="4"/>
      <c r="R630" s="4"/>
      <c r="S630" s="4"/>
      <c r="T630" s="4"/>
      <c r="U630" s="4"/>
      <c r="V630" s="4"/>
      <c r="W630" s="4"/>
      <c r="X630" s="4"/>
      <c r="Y630" s="4"/>
    </row>
    <row r="631" ht="15.75" customHeight="1">
      <c r="A631" s="4"/>
      <c r="B631" s="19"/>
      <c r="C631" s="4"/>
      <c r="D631" s="4"/>
      <c r="E631" s="4"/>
      <c r="F631" s="4"/>
      <c r="G631" s="4"/>
      <c r="H631" s="4"/>
      <c r="I631" s="4"/>
      <c r="J631" s="4"/>
      <c r="K631" s="4"/>
      <c r="L631" s="4"/>
      <c r="M631" s="4"/>
      <c r="N631" s="4"/>
      <c r="O631" s="4"/>
      <c r="P631" s="4"/>
      <c r="Q631" s="4"/>
      <c r="R631" s="4"/>
      <c r="S631" s="4"/>
      <c r="T631" s="4"/>
      <c r="U631" s="4"/>
      <c r="V631" s="4"/>
      <c r="W631" s="4"/>
      <c r="X631" s="4"/>
      <c r="Y631" s="4"/>
    </row>
    <row r="632" ht="15.75" customHeight="1">
      <c r="A632" s="4"/>
      <c r="B632" s="19"/>
      <c r="C632" s="4"/>
      <c r="D632" s="4"/>
      <c r="E632" s="4"/>
      <c r="F632" s="4"/>
      <c r="G632" s="4"/>
      <c r="H632" s="4"/>
      <c r="I632" s="4"/>
      <c r="J632" s="4"/>
      <c r="K632" s="4"/>
      <c r="L632" s="4"/>
      <c r="M632" s="4"/>
      <c r="N632" s="4"/>
      <c r="O632" s="4"/>
      <c r="P632" s="4"/>
      <c r="Q632" s="4"/>
      <c r="R632" s="4"/>
      <c r="S632" s="4"/>
      <c r="T632" s="4"/>
      <c r="U632" s="4"/>
      <c r="V632" s="4"/>
      <c r="W632" s="4"/>
      <c r="X632" s="4"/>
      <c r="Y632" s="4"/>
    </row>
    <row r="633" ht="15.75" customHeight="1">
      <c r="A633" s="4"/>
      <c r="B633" s="19"/>
      <c r="C633" s="4"/>
      <c r="D633" s="4"/>
      <c r="E633" s="4"/>
      <c r="F633" s="4"/>
      <c r="G633" s="4"/>
      <c r="H633" s="4"/>
      <c r="I633" s="4"/>
      <c r="J633" s="4"/>
      <c r="K633" s="4"/>
      <c r="L633" s="4"/>
      <c r="M633" s="4"/>
      <c r="N633" s="4"/>
      <c r="O633" s="4"/>
      <c r="P633" s="4"/>
      <c r="Q633" s="4"/>
      <c r="R633" s="4"/>
      <c r="S633" s="4"/>
      <c r="T633" s="4"/>
      <c r="U633" s="4"/>
      <c r="V633" s="4"/>
      <c r="W633" s="4"/>
      <c r="X633" s="4"/>
      <c r="Y633" s="4"/>
    </row>
    <row r="634" ht="15.75" customHeight="1">
      <c r="A634" s="4"/>
      <c r="B634" s="19"/>
      <c r="C634" s="4"/>
      <c r="D634" s="4"/>
      <c r="E634" s="4"/>
      <c r="F634" s="4"/>
      <c r="G634" s="4"/>
      <c r="H634" s="4"/>
      <c r="I634" s="4"/>
      <c r="J634" s="4"/>
      <c r="K634" s="4"/>
      <c r="L634" s="4"/>
      <c r="M634" s="4"/>
      <c r="N634" s="4"/>
      <c r="O634" s="4"/>
      <c r="P634" s="4"/>
      <c r="Q634" s="4"/>
      <c r="R634" s="4"/>
      <c r="S634" s="4"/>
      <c r="T634" s="4"/>
      <c r="U634" s="4"/>
      <c r="V634" s="4"/>
      <c r="W634" s="4"/>
      <c r="X634" s="4"/>
      <c r="Y634" s="4"/>
    </row>
    <row r="635" ht="15.75" customHeight="1">
      <c r="A635" s="4"/>
      <c r="B635" s="19"/>
      <c r="C635" s="4"/>
      <c r="D635" s="4"/>
      <c r="E635" s="4"/>
      <c r="F635" s="4"/>
      <c r="G635" s="4"/>
      <c r="H635" s="4"/>
      <c r="I635" s="4"/>
      <c r="J635" s="4"/>
      <c r="K635" s="4"/>
      <c r="L635" s="4"/>
      <c r="M635" s="4"/>
      <c r="N635" s="4"/>
      <c r="O635" s="4"/>
      <c r="P635" s="4"/>
      <c r="Q635" s="4"/>
      <c r="R635" s="4"/>
      <c r="S635" s="4"/>
      <c r="T635" s="4"/>
      <c r="U635" s="4"/>
      <c r="V635" s="4"/>
      <c r="W635" s="4"/>
      <c r="X635" s="4"/>
      <c r="Y635" s="4"/>
    </row>
    <row r="636" ht="15.75" customHeight="1">
      <c r="A636" s="4"/>
      <c r="B636" s="19"/>
      <c r="C636" s="4"/>
      <c r="D636" s="4"/>
      <c r="E636" s="4"/>
      <c r="F636" s="4"/>
      <c r="G636" s="4"/>
      <c r="H636" s="4"/>
      <c r="I636" s="4"/>
      <c r="J636" s="4"/>
      <c r="K636" s="4"/>
      <c r="L636" s="4"/>
      <c r="M636" s="4"/>
      <c r="N636" s="4"/>
      <c r="O636" s="4"/>
      <c r="P636" s="4"/>
      <c r="Q636" s="4"/>
      <c r="R636" s="4"/>
      <c r="S636" s="4"/>
      <c r="T636" s="4"/>
      <c r="U636" s="4"/>
      <c r="V636" s="4"/>
      <c r="W636" s="4"/>
      <c r="X636" s="4"/>
      <c r="Y636" s="4"/>
    </row>
    <row r="637" ht="15.75" customHeight="1">
      <c r="A637" s="4"/>
      <c r="B637" s="19"/>
      <c r="C637" s="4"/>
      <c r="D637" s="4"/>
      <c r="E637" s="4"/>
      <c r="F637" s="4"/>
      <c r="G637" s="4"/>
      <c r="H637" s="4"/>
      <c r="I637" s="4"/>
      <c r="J637" s="4"/>
      <c r="K637" s="4"/>
      <c r="L637" s="4"/>
      <c r="M637" s="4"/>
      <c r="N637" s="4"/>
      <c r="O637" s="4"/>
      <c r="P637" s="4"/>
      <c r="Q637" s="4"/>
      <c r="R637" s="4"/>
      <c r="S637" s="4"/>
      <c r="T637" s="4"/>
      <c r="U637" s="4"/>
      <c r="V637" s="4"/>
      <c r="W637" s="4"/>
      <c r="X637" s="4"/>
      <c r="Y637" s="4"/>
    </row>
    <row r="638" ht="15.75" customHeight="1">
      <c r="A638" s="4"/>
      <c r="B638" s="19"/>
      <c r="C638" s="4"/>
      <c r="D638" s="4"/>
      <c r="E638" s="4"/>
      <c r="F638" s="4"/>
      <c r="G638" s="4"/>
      <c r="H638" s="4"/>
      <c r="I638" s="4"/>
      <c r="J638" s="4"/>
      <c r="K638" s="4"/>
      <c r="L638" s="4"/>
      <c r="M638" s="4"/>
      <c r="N638" s="4"/>
      <c r="O638" s="4"/>
      <c r="P638" s="4"/>
      <c r="Q638" s="4"/>
      <c r="R638" s="4"/>
      <c r="S638" s="4"/>
      <c r="T638" s="4"/>
      <c r="U638" s="4"/>
      <c r="V638" s="4"/>
      <c r="W638" s="4"/>
      <c r="X638" s="4"/>
      <c r="Y638" s="4"/>
    </row>
    <row r="639" ht="15.75" customHeight="1">
      <c r="A639" s="4"/>
      <c r="B639" s="19"/>
      <c r="C639" s="4"/>
      <c r="D639" s="4"/>
      <c r="E639" s="4"/>
      <c r="F639" s="4"/>
      <c r="G639" s="4"/>
      <c r="H639" s="4"/>
      <c r="I639" s="4"/>
      <c r="J639" s="4"/>
      <c r="K639" s="4"/>
      <c r="L639" s="4"/>
      <c r="M639" s="4"/>
      <c r="N639" s="4"/>
      <c r="O639" s="4"/>
      <c r="P639" s="4"/>
      <c r="Q639" s="4"/>
      <c r="R639" s="4"/>
      <c r="S639" s="4"/>
      <c r="T639" s="4"/>
      <c r="U639" s="4"/>
      <c r="V639" s="4"/>
      <c r="W639" s="4"/>
      <c r="X639" s="4"/>
      <c r="Y639" s="4"/>
    </row>
    <row r="640" ht="15.75" customHeight="1">
      <c r="A640" s="4"/>
      <c r="B640" s="19"/>
      <c r="C640" s="4"/>
      <c r="D640" s="4"/>
      <c r="E640" s="4"/>
      <c r="F640" s="4"/>
      <c r="G640" s="4"/>
      <c r="H640" s="4"/>
      <c r="I640" s="4"/>
      <c r="J640" s="4"/>
      <c r="K640" s="4"/>
      <c r="L640" s="4"/>
      <c r="M640" s="4"/>
      <c r="N640" s="4"/>
      <c r="O640" s="4"/>
      <c r="P640" s="4"/>
      <c r="Q640" s="4"/>
      <c r="R640" s="4"/>
      <c r="S640" s="4"/>
      <c r="T640" s="4"/>
      <c r="U640" s="4"/>
      <c r="V640" s="4"/>
      <c r="W640" s="4"/>
      <c r="X640" s="4"/>
      <c r="Y640" s="4"/>
    </row>
    <row r="641" ht="15.75" customHeight="1">
      <c r="A641" s="4"/>
      <c r="B641" s="19"/>
      <c r="C641" s="4"/>
      <c r="D641" s="4"/>
      <c r="E641" s="4"/>
      <c r="F641" s="4"/>
      <c r="G641" s="4"/>
      <c r="H641" s="4"/>
      <c r="I641" s="4"/>
      <c r="J641" s="4"/>
      <c r="K641" s="4"/>
      <c r="L641" s="4"/>
      <c r="M641" s="4"/>
      <c r="N641" s="4"/>
      <c r="O641" s="4"/>
      <c r="P641" s="4"/>
      <c r="Q641" s="4"/>
      <c r="R641" s="4"/>
      <c r="S641" s="4"/>
      <c r="T641" s="4"/>
      <c r="U641" s="4"/>
      <c r="V641" s="4"/>
      <c r="W641" s="4"/>
      <c r="X641" s="4"/>
      <c r="Y641" s="4"/>
    </row>
    <row r="642" ht="15.75" customHeight="1">
      <c r="A642" s="4"/>
      <c r="B642" s="19"/>
      <c r="C642" s="4"/>
      <c r="D642" s="4"/>
      <c r="E642" s="4"/>
      <c r="F642" s="4"/>
      <c r="G642" s="4"/>
      <c r="H642" s="4"/>
      <c r="I642" s="4"/>
      <c r="J642" s="4"/>
      <c r="K642" s="4"/>
      <c r="L642" s="4"/>
      <c r="M642" s="4"/>
      <c r="N642" s="4"/>
      <c r="O642" s="4"/>
      <c r="P642" s="4"/>
      <c r="Q642" s="4"/>
      <c r="R642" s="4"/>
      <c r="S642" s="4"/>
      <c r="T642" s="4"/>
      <c r="U642" s="4"/>
      <c r="V642" s="4"/>
      <c r="W642" s="4"/>
      <c r="X642" s="4"/>
      <c r="Y642" s="4"/>
    </row>
    <row r="643" ht="15.75" customHeight="1">
      <c r="A643" s="4"/>
      <c r="B643" s="19"/>
      <c r="C643" s="4"/>
      <c r="D643" s="4"/>
      <c r="E643" s="4"/>
      <c r="F643" s="4"/>
      <c r="G643" s="4"/>
      <c r="H643" s="4"/>
      <c r="I643" s="4"/>
      <c r="J643" s="4"/>
      <c r="K643" s="4"/>
      <c r="L643" s="4"/>
      <c r="M643" s="4"/>
      <c r="N643" s="4"/>
      <c r="O643" s="4"/>
      <c r="P643" s="4"/>
      <c r="Q643" s="4"/>
      <c r="R643" s="4"/>
      <c r="S643" s="4"/>
      <c r="T643" s="4"/>
      <c r="U643" s="4"/>
      <c r="V643" s="4"/>
      <c r="W643" s="4"/>
      <c r="X643" s="4"/>
      <c r="Y643" s="4"/>
    </row>
    <row r="644" ht="15.75" customHeight="1">
      <c r="A644" s="4"/>
      <c r="B644" s="19"/>
      <c r="C644" s="4"/>
      <c r="D644" s="4"/>
      <c r="E644" s="4"/>
      <c r="F644" s="4"/>
      <c r="G644" s="4"/>
      <c r="H644" s="4"/>
      <c r="I644" s="4"/>
      <c r="J644" s="4"/>
      <c r="K644" s="4"/>
      <c r="L644" s="4"/>
      <c r="M644" s="4"/>
      <c r="N644" s="4"/>
      <c r="O644" s="4"/>
      <c r="P644" s="4"/>
      <c r="Q644" s="4"/>
      <c r="R644" s="4"/>
      <c r="S644" s="4"/>
      <c r="T644" s="4"/>
      <c r="U644" s="4"/>
      <c r="V644" s="4"/>
      <c r="W644" s="4"/>
      <c r="X644" s="4"/>
      <c r="Y644" s="4"/>
    </row>
    <row r="645" ht="15.75" customHeight="1">
      <c r="A645" s="4"/>
      <c r="B645" s="19"/>
      <c r="C645" s="4"/>
      <c r="D645" s="4"/>
      <c r="E645" s="4"/>
      <c r="F645" s="4"/>
      <c r="G645" s="4"/>
      <c r="H645" s="4"/>
      <c r="I645" s="4"/>
      <c r="J645" s="4"/>
      <c r="K645" s="4"/>
      <c r="L645" s="4"/>
      <c r="M645" s="4"/>
      <c r="N645" s="4"/>
      <c r="O645" s="4"/>
      <c r="P645" s="4"/>
      <c r="Q645" s="4"/>
      <c r="R645" s="4"/>
      <c r="S645" s="4"/>
      <c r="T645" s="4"/>
      <c r="U645" s="4"/>
      <c r="V645" s="4"/>
      <c r="W645" s="4"/>
      <c r="X645" s="4"/>
      <c r="Y645" s="4"/>
    </row>
    <row r="646" ht="15.75" customHeight="1">
      <c r="A646" s="4"/>
      <c r="B646" s="19"/>
      <c r="C646" s="4"/>
      <c r="D646" s="4"/>
      <c r="E646" s="4"/>
      <c r="F646" s="4"/>
      <c r="G646" s="4"/>
      <c r="H646" s="4"/>
      <c r="I646" s="4"/>
      <c r="J646" s="4"/>
      <c r="K646" s="4"/>
      <c r="L646" s="4"/>
      <c r="M646" s="4"/>
      <c r="N646" s="4"/>
      <c r="O646" s="4"/>
      <c r="P646" s="4"/>
      <c r="Q646" s="4"/>
      <c r="R646" s="4"/>
      <c r="S646" s="4"/>
      <c r="T646" s="4"/>
      <c r="U646" s="4"/>
      <c r="V646" s="4"/>
      <c r="W646" s="4"/>
      <c r="X646" s="4"/>
      <c r="Y646" s="4"/>
    </row>
    <row r="647" ht="15.75" customHeight="1">
      <c r="A647" s="4"/>
      <c r="B647" s="19"/>
      <c r="C647" s="4"/>
      <c r="D647" s="4"/>
      <c r="E647" s="4"/>
      <c r="F647" s="4"/>
      <c r="G647" s="4"/>
      <c r="H647" s="4"/>
      <c r="I647" s="4"/>
      <c r="J647" s="4"/>
      <c r="K647" s="4"/>
      <c r="L647" s="4"/>
      <c r="M647" s="4"/>
      <c r="N647" s="4"/>
      <c r="O647" s="4"/>
      <c r="P647" s="4"/>
      <c r="Q647" s="4"/>
      <c r="R647" s="4"/>
      <c r="S647" s="4"/>
      <c r="T647" s="4"/>
      <c r="U647" s="4"/>
      <c r="V647" s="4"/>
      <c r="W647" s="4"/>
      <c r="X647" s="4"/>
      <c r="Y647" s="4"/>
    </row>
    <row r="648" ht="15.75" customHeight="1">
      <c r="A648" s="4"/>
      <c r="B648" s="19"/>
      <c r="C648" s="4"/>
      <c r="D648" s="4"/>
      <c r="E648" s="4"/>
      <c r="F648" s="4"/>
      <c r="G648" s="4"/>
      <c r="H648" s="4"/>
      <c r="I648" s="4"/>
      <c r="J648" s="4"/>
      <c r="K648" s="4"/>
      <c r="L648" s="4"/>
      <c r="M648" s="4"/>
      <c r="N648" s="4"/>
      <c r="O648" s="4"/>
      <c r="P648" s="4"/>
      <c r="Q648" s="4"/>
      <c r="R648" s="4"/>
      <c r="S648" s="4"/>
      <c r="T648" s="4"/>
      <c r="U648" s="4"/>
      <c r="V648" s="4"/>
      <c r="W648" s="4"/>
      <c r="X648" s="4"/>
      <c r="Y648" s="4"/>
    </row>
    <row r="649" ht="15.75" customHeight="1">
      <c r="A649" s="4"/>
      <c r="B649" s="19"/>
      <c r="C649" s="4"/>
      <c r="D649" s="4"/>
      <c r="E649" s="4"/>
      <c r="F649" s="4"/>
      <c r="G649" s="4"/>
      <c r="H649" s="4"/>
      <c r="I649" s="4"/>
      <c r="J649" s="4"/>
      <c r="K649" s="4"/>
      <c r="L649" s="4"/>
      <c r="M649" s="4"/>
      <c r="N649" s="4"/>
      <c r="O649" s="4"/>
      <c r="P649" s="4"/>
      <c r="Q649" s="4"/>
      <c r="R649" s="4"/>
      <c r="S649" s="4"/>
      <c r="T649" s="4"/>
      <c r="U649" s="4"/>
      <c r="V649" s="4"/>
      <c r="W649" s="4"/>
      <c r="X649" s="4"/>
      <c r="Y649" s="4"/>
    </row>
    <row r="650" ht="15.75" customHeight="1">
      <c r="A650" s="4"/>
      <c r="B650" s="19"/>
      <c r="C650" s="4"/>
      <c r="D650" s="4"/>
      <c r="E650" s="4"/>
      <c r="F650" s="4"/>
      <c r="G650" s="4"/>
      <c r="H650" s="4"/>
      <c r="I650" s="4"/>
      <c r="J650" s="4"/>
      <c r="K650" s="4"/>
      <c r="L650" s="4"/>
      <c r="M650" s="4"/>
      <c r="N650" s="4"/>
      <c r="O650" s="4"/>
      <c r="P650" s="4"/>
      <c r="Q650" s="4"/>
      <c r="R650" s="4"/>
      <c r="S650" s="4"/>
      <c r="T650" s="4"/>
      <c r="U650" s="4"/>
      <c r="V650" s="4"/>
      <c r="W650" s="4"/>
      <c r="X650" s="4"/>
      <c r="Y650" s="4"/>
    </row>
    <row r="651" ht="15.75" customHeight="1">
      <c r="A651" s="4"/>
      <c r="B651" s="19"/>
      <c r="C651" s="4"/>
      <c r="D651" s="4"/>
      <c r="E651" s="4"/>
      <c r="F651" s="4"/>
      <c r="G651" s="4"/>
      <c r="H651" s="4"/>
      <c r="I651" s="4"/>
      <c r="J651" s="4"/>
      <c r="K651" s="4"/>
      <c r="L651" s="4"/>
      <c r="M651" s="4"/>
      <c r="N651" s="4"/>
      <c r="O651" s="4"/>
      <c r="P651" s="4"/>
      <c r="Q651" s="4"/>
      <c r="R651" s="4"/>
      <c r="S651" s="4"/>
      <c r="T651" s="4"/>
      <c r="U651" s="4"/>
      <c r="V651" s="4"/>
      <c r="W651" s="4"/>
      <c r="X651" s="4"/>
      <c r="Y651" s="4"/>
    </row>
    <row r="652" ht="15.75" customHeight="1">
      <c r="A652" s="4"/>
      <c r="B652" s="19"/>
      <c r="C652" s="4"/>
      <c r="D652" s="4"/>
      <c r="E652" s="4"/>
      <c r="F652" s="4"/>
      <c r="G652" s="4"/>
      <c r="H652" s="4"/>
      <c r="I652" s="4"/>
      <c r="J652" s="4"/>
      <c r="K652" s="4"/>
      <c r="L652" s="4"/>
      <c r="M652" s="4"/>
      <c r="N652" s="4"/>
      <c r="O652" s="4"/>
      <c r="P652" s="4"/>
      <c r="Q652" s="4"/>
      <c r="R652" s="4"/>
      <c r="S652" s="4"/>
      <c r="T652" s="4"/>
      <c r="U652" s="4"/>
      <c r="V652" s="4"/>
      <c r="W652" s="4"/>
      <c r="X652" s="4"/>
      <c r="Y652" s="4"/>
    </row>
    <row r="653" ht="15.75" customHeight="1">
      <c r="A653" s="4"/>
      <c r="B653" s="19"/>
      <c r="C653" s="4"/>
      <c r="D653" s="4"/>
      <c r="E653" s="4"/>
      <c r="F653" s="4"/>
      <c r="G653" s="4"/>
      <c r="H653" s="4"/>
      <c r="I653" s="4"/>
      <c r="J653" s="4"/>
      <c r="K653" s="4"/>
      <c r="L653" s="4"/>
      <c r="M653" s="4"/>
      <c r="N653" s="4"/>
      <c r="O653" s="4"/>
      <c r="P653" s="4"/>
      <c r="Q653" s="4"/>
      <c r="R653" s="4"/>
      <c r="S653" s="4"/>
      <c r="T653" s="4"/>
      <c r="U653" s="4"/>
      <c r="V653" s="4"/>
      <c r="W653" s="4"/>
      <c r="X653" s="4"/>
      <c r="Y653" s="4"/>
    </row>
    <row r="654" ht="15.75" customHeight="1">
      <c r="A654" s="4"/>
      <c r="B654" s="19"/>
      <c r="C654" s="4"/>
      <c r="D654" s="4"/>
      <c r="E654" s="4"/>
      <c r="F654" s="4"/>
      <c r="G654" s="4"/>
      <c r="H654" s="4"/>
      <c r="I654" s="4"/>
      <c r="J654" s="4"/>
      <c r="K654" s="4"/>
      <c r="L654" s="4"/>
      <c r="M654" s="4"/>
      <c r="N654" s="4"/>
      <c r="O654" s="4"/>
      <c r="P654" s="4"/>
      <c r="Q654" s="4"/>
      <c r="R654" s="4"/>
      <c r="S654" s="4"/>
      <c r="T654" s="4"/>
      <c r="U654" s="4"/>
      <c r="V654" s="4"/>
      <c r="W654" s="4"/>
      <c r="X654" s="4"/>
      <c r="Y654" s="4"/>
    </row>
    <row r="655" ht="15.75" customHeight="1">
      <c r="A655" s="4"/>
      <c r="B655" s="19"/>
      <c r="C655" s="4"/>
      <c r="D655" s="4"/>
      <c r="E655" s="4"/>
      <c r="F655" s="4"/>
      <c r="G655" s="4"/>
      <c r="H655" s="4"/>
      <c r="I655" s="4"/>
      <c r="J655" s="4"/>
      <c r="K655" s="4"/>
      <c r="L655" s="4"/>
      <c r="M655" s="4"/>
      <c r="N655" s="4"/>
      <c r="O655" s="4"/>
      <c r="P655" s="4"/>
      <c r="Q655" s="4"/>
      <c r="R655" s="4"/>
      <c r="S655" s="4"/>
      <c r="T655" s="4"/>
      <c r="U655" s="4"/>
      <c r="V655" s="4"/>
      <c r="W655" s="4"/>
      <c r="X655" s="4"/>
      <c r="Y655" s="4"/>
    </row>
    <row r="656" ht="15.75" customHeight="1">
      <c r="A656" s="4"/>
      <c r="B656" s="19"/>
      <c r="C656" s="4"/>
      <c r="D656" s="4"/>
      <c r="E656" s="4"/>
      <c r="F656" s="4"/>
      <c r="G656" s="4"/>
      <c r="H656" s="4"/>
      <c r="I656" s="4"/>
      <c r="J656" s="4"/>
      <c r="K656" s="4"/>
      <c r="L656" s="4"/>
      <c r="M656" s="4"/>
      <c r="N656" s="4"/>
      <c r="O656" s="4"/>
      <c r="P656" s="4"/>
      <c r="Q656" s="4"/>
      <c r="R656" s="4"/>
      <c r="S656" s="4"/>
      <c r="T656" s="4"/>
      <c r="U656" s="4"/>
      <c r="V656" s="4"/>
      <c r="W656" s="4"/>
      <c r="X656" s="4"/>
      <c r="Y656" s="4"/>
    </row>
    <row r="657" ht="15.75" customHeight="1">
      <c r="A657" s="4"/>
      <c r="B657" s="19"/>
      <c r="C657" s="4"/>
      <c r="D657" s="4"/>
      <c r="E657" s="4"/>
      <c r="F657" s="4"/>
      <c r="G657" s="4"/>
      <c r="H657" s="4"/>
      <c r="I657" s="4"/>
      <c r="J657" s="4"/>
      <c r="K657" s="4"/>
      <c r="L657" s="4"/>
      <c r="M657" s="4"/>
      <c r="N657" s="4"/>
      <c r="O657" s="4"/>
      <c r="P657" s="4"/>
      <c r="Q657" s="4"/>
      <c r="R657" s="4"/>
      <c r="S657" s="4"/>
      <c r="T657" s="4"/>
      <c r="U657" s="4"/>
      <c r="V657" s="4"/>
      <c r="W657" s="4"/>
      <c r="X657" s="4"/>
      <c r="Y657" s="4"/>
    </row>
    <row r="658" ht="15.75" customHeight="1">
      <c r="A658" s="4"/>
      <c r="B658" s="19"/>
      <c r="C658" s="4"/>
      <c r="D658" s="4"/>
      <c r="E658" s="4"/>
      <c r="F658" s="4"/>
      <c r="G658" s="4"/>
      <c r="H658" s="4"/>
      <c r="I658" s="4"/>
      <c r="J658" s="4"/>
      <c r="K658" s="4"/>
      <c r="L658" s="4"/>
      <c r="M658" s="4"/>
      <c r="N658" s="4"/>
      <c r="O658" s="4"/>
      <c r="P658" s="4"/>
      <c r="Q658" s="4"/>
      <c r="R658" s="4"/>
      <c r="S658" s="4"/>
      <c r="T658" s="4"/>
      <c r="U658" s="4"/>
      <c r="V658" s="4"/>
      <c r="W658" s="4"/>
      <c r="X658" s="4"/>
      <c r="Y658" s="4"/>
    </row>
    <row r="659" ht="15.75" customHeight="1">
      <c r="A659" s="4"/>
      <c r="B659" s="19"/>
      <c r="C659" s="4"/>
      <c r="D659" s="4"/>
      <c r="E659" s="4"/>
      <c r="F659" s="4"/>
      <c r="G659" s="4"/>
      <c r="H659" s="4"/>
      <c r="I659" s="4"/>
      <c r="J659" s="4"/>
      <c r="K659" s="4"/>
      <c r="L659" s="4"/>
      <c r="M659" s="4"/>
      <c r="N659" s="4"/>
      <c r="O659" s="4"/>
      <c r="P659" s="4"/>
      <c r="Q659" s="4"/>
      <c r="R659" s="4"/>
      <c r="S659" s="4"/>
      <c r="T659" s="4"/>
      <c r="U659" s="4"/>
      <c r="V659" s="4"/>
      <c r="W659" s="4"/>
      <c r="X659" s="4"/>
      <c r="Y659" s="4"/>
    </row>
    <row r="660" ht="15.75" customHeight="1">
      <c r="A660" s="4"/>
      <c r="B660" s="19"/>
      <c r="C660" s="4"/>
      <c r="D660" s="4"/>
      <c r="E660" s="4"/>
      <c r="F660" s="4"/>
      <c r="G660" s="4"/>
      <c r="H660" s="4"/>
      <c r="I660" s="4"/>
      <c r="J660" s="4"/>
      <c r="K660" s="4"/>
      <c r="L660" s="4"/>
      <c r="M660" s="4"/>
      <c r="N660" s="4"/>
      <c r="O660" s="4"/>
      <c r="P660" s="4"/>
      <c r="Q660" s="4"/>
      <c r="R660" s="4"/>
      <c r="S660" s="4"/>
      <c r="T660" s="4"/>
      <c r="U660" s="4"/>
      <c r="V660" s="4"/>
      <c r="W660" s="4"/>
      <c r="X660" s="4"/>
      <c r="Y660" s="4"/>
    </row>
    <row r="661" ht="15.75" customHeight="1">
      <c r="A661" s="4"/>
      <c r="B661" s="19"/>
      <c r="C661" s="4"/>
      <c r="D661" s="4"/>
      <c r="E661" s="4"/>
      <c r="F661" s="4"/>
      <c r="G661" s="4"/>
      <c r="H661" s="4"/>
      <c r="I661" s="4"/>
      <c r="J661" s="4"/>
      <c r="K661" s="4"/>
      <c r="L661" s="4"/>
      <c r="M661" s="4"/>
      <c r="N661" s="4"/>
      <c r="O661" s="4"/>
      <c r="P661" s="4"/>
      <c r="Q661" s="4"/>
      <c r="R661" s="4"/>
      <c r="S661" s="4"/>
      <c r="T661" s="4"/>
      <c r="U661" s="4"/>
      <c r="V661" s="4"/>
      <c r="W661" s="4"/>
      <c r="X661" s="4"/>
      <c r="Y661" s="4"/>
    </row>
    <row r="662" ht="15.75" customHeight="1">
      <c r="A662" s="4"/>
      <c r="B662" s="19"/>
      <c r="C662" s="4"/>
      <c r="D662" s="4"/>
      <c r="E662" s="4"/>
      <c r="F662" s="4"/>
      <c r="G662" s="4"/>
      <c r="H662" s="4"/>
      <c r="I662" s="4"/>
      <c r="J662" s="4"/>
      <c r="K662" s="4"/>
      <c r="L662" s="4"/>
      <c r="M662" s="4"/>
      <c r="N662" s="4"/>
      <c r="O662" s="4"/>
      <c r="P662" s="4"/>
      <c r="Q662" s="4"/>
      <c r="R662" s="4"/>
      <c r="S662" s="4"/>
      <c r="T662" s="4"/>
      <c r="U662" s="4"/>
      <c r="V662" s="4"/>
      <c r="W662" s="4"/>
      <c r="X662" s="4"/>
      <c r="Y662" s="4"/>
    </row>
    <row r="663" ht="15.75" customHeight="1">
      <c r="A663" s="4"/>
      <c r="B663" s="19"/>
      <c r="C663" s="4"/>
      <c r="D663" s="4"/>
      <c r="E663" s="4"/>
      <c r="F663" s="4"/>
      <c r="G663" s="4"/>
      <c r="H663" s="4"/>
      <c r="I663" s="4"/>
      <c r="J663" s="4"/>
      <c r="K663" s="4"/>
      <c r="L663" s="4"/>
      <c r="M663" s="4"/>
      <c r="N663" s="4"/>
      <c r="O663" s="4"/>
      <c r="P663" s="4"/>
      <c r="Q663" s="4"/>
      <c r="R663" s="4"/>
      <c r="S663" s="4"/>
      <c r="T663" s="4"/>
      <c r="U663" s="4"/>
      <c r="V663" s="4"/>
      <c r="W663" s="4"/>
      <c r="X663" s="4"/>
      <c r="Y663" s="4"/>
    </row>
    <row r="664" ht="15.75" customHeight="1">
      <c r="A664" s="4"/>
      <c r="B664" s="19"/>
      <c r="C664" s="4"/>
      <c r="D664" s="4"/>
      <c r="E664" s="4"/>
      <c r="F664" s="4"/>
      <c r="G664" s="4"/>
      <c r="H664" s="4"/>
      <c r="I664" s="4"/>
      <c r="J664" s="4"/>
      <c r="K664" s="4"/>
      <c r="L664" s="4"/>
      <c r="M664" s="4"/>
      <c r="N664" s="4"/>
      <c r="O664" s="4"/>
      <c r="P664" s="4"/>
      <c r="Q664" s="4"/>
      <c r="R664" s="4"/>
      <c r="S664" s="4"/>
      <c r="T664" s="4"/>
      <c r="U664" s="4"/>
      <c r="V664" s="4"/>
      <c r="W664" s="4"/>
      <c r="X664" s="4"/>
      <c r="Y664" s="4"/>
    </row>
    <row r="665" ht="15.75" customHeight="1">
      <c r="A665" s="4"/>
      <c r="B665" s="19"/>
      <c r="C665" s="4"/>
      <c r="D665" s="4"/>
      <c r="E665" s="4"/>
      <c r="F665" s="4"/>
      <c r="G665" s="4"/>
      <c r="H665" s="4"/>
      <c r="I665" s="4"/>
      <c r="J665" s="4"/>
      <c r="K665" s="4"/>
      <c r="L665" s="4"/>
      <c r="M665" s="4"/>
      <c r="N665" s="4"/>
      <c r="O665" s="4"/>
      <c r="P665" s="4"/>
      <c r="Q665" s="4"/>
      <c r="R665" s="4"/>
      <c r="S665" s="4"/>
      <c r="T665" s="4"/>
      <c r="U665" s="4"/>
      <c r="V665" s="4"/>
      <c r="W665" s="4"/>
      <c r="X665" s="4"/>
      <c r="Y665" s="4"/>
    </row>
    <row r="666" ht="15.75" customHeight="1">
      <c r="A666" s="4"/>
      <c r="B666" s="19"/>
      <c r="C666" s="4"/>
      <c r="D666" s="4"/>
      <c r="E666" s="4"/>
      <c r="F666" s="4"/>
      <c r="G666" s="4"/>
      <c r="H666" s="4"/>
      <c r="I666" s="4"/>
      <c r="J666" s="4"/>
      <c r="K666" s="4"/>
      <c r="L666" s="4"/>
      <c r="M666" s="4"/>
      <c r="N666" s="4"/>
      <c r="O666" s="4"/>
      <c r="P666" s="4"/>
      <c r="Q666" s="4"/>
      <c r="R666" s="4"/>
      <c r="S666" s="4"/>
      <c r="T666" s="4"/>
      <c r="U666" s="4"/>
      <c r="V666" s="4"/>
      <c r="W666" s="4"/>
      <c r="X666" s="4"/>
      <c r="Y666" s="4"/>
    </row>
    <row r="667" ht="15.75" customHeight="1">
      <c r="A667" s="4"/>
      <c r="B667" s="19"/>
      <c r="C667" s="4"/>
      <c r="D667" s="4"/>
      <c r="E667" s="4"/>
      <c r="F667" s="4"/>
      <c r="G667" s="4"/>
      <c r="H667" s="4"/>
      <c r="I667" s="4"/>
      <c r="J667" s="4"/>
      <c r="K667" s="4"/>
      <c r="L667" s="4"/>
      <c r="M667" s="4"/>
      <c r="N667" s="4"/>
      <c r="O667" s="4"/>
      <c r="P667" s="4"/>
      <c r="Q667" s="4"/>
      <c r="R667" s="4"/>
      <c r="S667" s="4"/>
      <c r="T667" s="4"/>
      <c r="U667" s="4"/>
      <c r="V667" s="4"/>
      <c r="W667" s="4"/>
      <c r="X667" s="4"/>
      <c r="Y667" s="4"/>
    </row>
    <row r="668" ht="15.75" customHeight="1">
      <c r="A668" s="4"/>
      <c r="B668" s="19"/>
      <c r="C668" s="4"/>
      <c r="D668" s="4"/>
      <c r="E668" s="4"/>
      <c r="F668" s="4"/>
      <c r="G668" s="4"/>
      <c r="H668" s="4"/>
      <c r="I668" s="4"/>
      <c r="J668" s="4"/>
      <c r="K668" s="4"/>
      <c r="L668" s="4"/>
      <c r="M668" s="4"/>
      <c r="N668" s="4"/>
      <c r="O668" s="4"/>
      <c r="P668" s="4"/>
      <c r="Q668" s="4"/>
      <c r="R668" s="4"/>
      <c r="S668" s="4"/>
      <c r="T668" s="4"/>
      <c r="U668" s="4"/>
      <c r="V668" s="4"/>
      <c r="W668" s="4"/>
      <c r="X668" s="4"/>
      <c r="Y668" s="4"/>
    </row>
    <row r="669" ht="15.75" customHeight="1">
      <c r="A669" s="4"/>
      <c r="B669" s="19"/>
      <c r="C669" s="4"/>
      <c r="D669" s="4"/>
      <c r="E669" s="4"/>
      <c r="F669" s="4"/>
      <c r="G669" s="4"/>
      <c r="H669" s="4"/>
      <c r="I669" s="4"/>
      <c r="J669" s="4"/>
      <c r="K669" s="4"/>
      <c r="L669" s="4"/>
      <c r="M669" s="4"/>
      <c r="N669" s="4"/>
      <c r="O669" s="4"/>
      <c r="P669" s="4"/>
      <c r="Q669" s="4"/>
      <c r="R669" s="4"/>
      <c r="S669" s="4"/>
      <c r="T669" s="4"/>
      <c r="U669" s="4"/>
      <c r="V669" s="4"/>
      <c r="W669" s="4"/>
      <c r="X669" s="4"/>
      <c r="Y669" s="4"/>
    </row>
    <row r="670" ht="15.75" customHeight="1">
      <c r="A670" s="4"/>
      <c r="B670" s="19"/>
      <c r="C670" s="4"/>
      <c r="D670" s="4"/>
      <c r="E670" s="4"/>
      <c r="F670" s="4"/>
      <c r="G670" s="4"/>
      <c r="H670" s="4"/>
      <c r="I670" s="4"/>
      <c r="J670" s="4"/>
      <c r="K670" s="4"/>
      <c r="L670" s="4"/>
      <c r="M670" s="4"/>
      <c r="N670" s="4"/>
      <c r="O670" s="4"/>
      <c r="P670" s="4"/>
      <c r="Q670" s="4"/>
      <c r="R670" s="4"/>
      <c r="S670" s="4"/>
      <c r="T670" s="4"/>
      <c r="U670" s="4"/>
      <c r="V670" s="4"/>
      <c r="W670" s="4"/>
      <c r="X670" s="4"/>
      <c r="Y670" s="4"/>
    </row>
    <row r="671" ht="15.75" customHeight="1">
      <c r="A671" s="4"/>
      <c r="B671" s="19"/>
      <c r="C671" s="4"/>
      <c r="D671" s="4"/>
      <c r="E671" s="4"/>
      <c r="F671" s="4"/>
      <c r="G671" s="4"/>
      <c r="H671" s="4"/>
      <c r="I671" s="4"/>
      <c r="J671" s="4"/>
      <c r="K671" s="4"/>
      <c r="L671" s="4"/>
      <c r="M671" s="4"/>
      <c r="N671" s="4"/>
      <c r="O671" s="4"/>
      <c r="P671" s="4"/>
      <c r="Q671" s="4"/>
      <c r="R671" s="4"/>
      <c r="S671" s="4"/>
      <c r="T671" s="4"/>
      <c r="U671" s="4"/>
      <c r="V671" s="4"/>
      <c r="W671" s="4"/>
      <c r="X671" s="4"/>
      <c r="Y671" s="4"/>
    </row>
    <row r="672" ht="15.75" customHeight="1">
      <c r="A672" s="4"/>
      <c r="B672" s="19"/>
      <c r="C672" s="4"/>
      <c r="D672" s="4"/>
      <c r="E672" s="4"/>
      <c r="F672" s="4"/>
      <c r="G672" s="4"/>
      <c r="H672" s="4"/>
      <c r="I672" s="4"/>
      <c r="J672" s="4"/>
      <c r="K672" s="4"/>
      <c r="L672" s="4"/>
      <c r="M672" s="4"/>
      <c r="N672" s="4"/>
      <c r="O672" s="4"/>
      <c r="P672" s="4"/>
      <c r="Q672" s="4"/>
      <c r="R672" s="4"/>
      <c r="S672" s="4"/>
      <c r="T672" s="4"/>
      <c r="U672" s="4"/>
      <c r="V672" s="4"/>
      <c r="W672" s="4"/>
      <c r="X672" s="4"/>
      <c r="Y672" s="4"/>
    </row>
    <row r="673" ht="15.75" customHeight="1">
      <c r="A673" s="4"/>
      <c r="B673" s="19"/>
      <c r="C673" s="4"/>
      <c r="D673" s="4"/>
      <c r="E673" s="4"/>
      <c r="F673" s="4"/>
      <c r="G673" s="4"/>
      <c r="H673" s="4"/>
      <c r="I673" s="4"/>
      <c r="J673" s="4"/>
      <c r="K673" s="4"/>
      <c r="L673" s="4"/>
      <c r="M673" s="4"/>
      <c r="N673" s="4"/>
      <c r="O673" s="4"/>
      <c r="P673" s="4"/>
      <c r="Q673" s="4"/>
      <c r="R673" s="4"/>
      <c r="S673" s="4"/>
      <c r="T673" s="4"/>
      <c r="U673" s="4"/>
      <c r="V673" s="4"/>
      <c r="W673" s="4"/>
      <c r="X673" s="4"/>
      <c r="Y673" s="4"/>
    </row>
    <row r="674" ht="15.75" customHeight="1">
      <c r="A674" s="4"/>
      <c r="B674" s="19"/>
      <c r="C674" s="4"/>
      <c r="D674" s="4"/>
      <c r="E674" s="4"/>
      <c r="F674" s="4"/>
      <c r="G674" s="4"/>
      <c r="H674" s="4"/>
      <c r="I674" s="4"/>
      <c r="J674" s="4"/>
      <c r="K674" s="4"/>
      <c r="L674" s="4"/>
      <c r="M674" s="4"/>
      <c r="N674" s="4"/>
      <c r="O674" s="4"/>
      <c r="P674" s="4"/>
      <c r="Q674" s="4"/>
      <c r="R674" s="4"/>
      <c r="S674" s="4"/>
      <c r="T674" s="4"/>
      <c r="U674" s="4"/>
      <c r="V674" s="4"/>
      <c r="W674" s="4"/>
      <c r="X674" s="4"/>
      <c r="Y674" s="4"/>
    </row>
    <row r="675" ht="15.75" customHeight="1">
      <c r="A675" s="4"/>
      <c r="B675" s="19"/>
      <c r="C675" s="4"/>
      <c r="D675" s="4"/>
      <c r="E675" s="4"/>
      <c r="F675" s="4"/>
      <c r="G675" s="4"/>
      <c r="H675" s="4"/>
      <c r="I675" s="4"/>
      <c r="J675" s="4"/>
      <c r="K675" s="4"/>
      <c r="L675" s="4"/>
      <c r="M675" s="4"/>
      <c r="N675" s="4"/>
      <c r="O675" s="4"/>
      <c r="P675" s="4"/>
      <c r="Q675" s="4"/>
      <c r="R675" s="4"/>
      <c r="S675" s="4"/>
      <c r="T675" s="4"/>
      <c r="U675" s="4"/>
      <c r="V675" s="4"/>
      <c r="W675" s="4"/>
      <c r="X675" s="4"/>
      <c r="Y675" s="4"/>
    </row>
    <row r="676" ht="15.75" customHeight="1">
      <c r="A676" s="4"/>
      <c r="B676" s="19"/>
      <c r="C676" s="4"/>
      <c r="D676" s="4"/>
      <c r="E676" s="4"/>
      <c r="F676" s="4"/>
      <c r="G676" s="4"/>
      <c r="H676" s="4"/>
      <c r="I676" s="4"/>
      <c r="J676" s="4"/>
      <c r="K676" s="4"/>
      <c r="L676" s="4"/>
      <c r="M676" s="4"/>
      <c r="N676" s="4"/>
      <c r="O676" s="4"/>
      <c r="P676" s="4"/>
      <c r="Q676" s="4"/>
      <c r="R676" s="4"/>
      <c r="S676" s="4"/>
      <c r="T676" s="4"/>
      <c r="U676" s="4"/>
      <c r="V676" s="4"/>
      <c r="W676" s="4"/>
      <c r="X676" s="4"/>
      <c r="Y676" s="4"/>
    </row>
    <row r="677" ht="15.75" customHeight="1">
      <c r="A677" s="4"/>
      <c r="B677" s="19"/>
      <c r="C677" s="4"/>
      <c r="D677" s="4"/>
      <c r="E677" s="4"/>
      <c r="F677" s="4"/>
      <c r="G677" s="4"/>
      <c r="H677" s="4"/>
      <c r="I677" s="4"/>
      <c r="J677" s="4"/>
      <c r="K677" s="4"/>
      <c r="L677" s="4"/>
      <c r="M677" s="4"/>
      <c r="N677" s="4"/>
      <c r="O677" s="4"/>
      <c r="P677" s="4"/>
      <c r="Q677" s="4"/>
      <c r="R677" s="4"/>
      <c r="S677" s="4"/>
      <c r="T677" s="4"/>
      <c r="U677" s="4"/>
      <c r="V677" s="4"/>
      <c r="W677" s="4"/>
      <c r="X677" s="4"/>
      <c r="Y677" s="4"/>
    </row>
    <row r="678" ht="15.75" customHeight="1">
      <c r="A678" s="4"/>
      <c r="B678" s="19"/>
      <c r="C678" s="4"/>
      <c r="D678" s="4"/>
      <c r="E678" s="4"/>
      <c r="F678" s="4"/>
      <c r="G678" s="4"/>
      <c r="H678" s="4"/>
      <c r="I678" s="4"/>
      <c r="J678" s="4"/>
      <c r="K678" s="4"/>
      <c r="L678" s="4"/>
      <c r="M678" s="4"/>
      <c r="N678" s="4"/>
      <c r="O678" s="4"/>
      <c r="P678" s="4"/>
      <c r="Q678" s="4"/>
      <c r="R678" s="4"/>
      <c r="S678" s="4"/>
      <c r="T678" s="4"/>
      <c r="U678" s="4"/>
      <c r="V678" s="4"/>
      <c r="W678" s="4"/>
      <c r="X678" s="4"/>
      <c r="Y678" s="4"/>
    </row>
    <row r="679" ht="15.75" customHeight="1">
      <c r="A679" s="4"/>
      <c r="B679" s="19"/>
      <c r="C679" s="4"/>
      <c r="D679" s="4"/>
      <c r="E679" s="4"/>
      <c r="F679" s="4"/>
      <c r="G679" s="4"/>
      <c r="H679" s="4"/>
      <c r="I679" s="4"/>
      <c r="J679" s="4"/>
      <c r="K679" s="4"/>
      <c r="L679" s="4"/>
      <c r="M679" s="4"/>
      <c r="N679" s="4"/>
      <c r="O679" s="4"/>
      <c r="P679" s="4"/>
      <c r="Q679" s="4"/>
      <c r="R679" s="4"/>
      <c r="S679" s="4"/>
      <c r="T679" s="4"/>
      <c r="U679" s="4"/>
      <c r="V679" s="4"/>
      <c r="W679" s="4"/>
      <c r="X679" s="4"/>
      <c r="Y679" s="4"/>
    </row>
    <row r="680" ht="15.75" customHeight="1">
      <c r="A680" s="4"/>
      <c r="B680" s="19"/>
      <c r="C680" s="4"/>
      <c r="D680" s="4"/>
      <c r="E680" s="4"/>
      <c r="F680" s="4"/>
      <c r="G680" s="4"/>
      <c r="H680" s="4"/>
      <c r="I680" s="4"/>
      <c r="J680" s="4"/>
      <c r="K680" s="4"/>
      <c r="L680" s="4"/>
      <c r="M680" s="4"/>
      <c r="N680" s="4"/>
      <c r="O680" s="4"/>
      <c r="P680" s="4"/>
      <c r="Q680" s="4"/>
      <c r="R680" s="4"/>
      <c r="S680" s="4"/>
      <c r="T680" s="4"/>
      <c r="U680" s="4"/>
      <c r="V680" s="4"/>
      <c r="W680" s="4"/>
      <c r="X680" s="4"/>
      <c r="Y680" s="4"/>
    </row>
    <row r="681" ht="15.75" customHeight="1">
      <c r="A681" s="4"/>
      <c r="B681" s="19"/>
      <c r="C681" s="4"/>
      <c r="D681" s="4"/>
      <c r="E681" s="4"/>
      <c r="F681" s="4"/>
      <c r="G681" s="4"/>
      <c r="H681" s="4"/>
      <c r="I681" s="4"/>
      <c r="J681" s="4"/>
      <c r="K681" s="4"/>
      <c r="L681" s="4"/>
      <c r="M681" s="4"/>
      <c r="N681" s="4"/>
      <c r="O681" s="4"/>
      <c r="P681" s="4"/>
      <c r="Q681" s="4"/>
      <c r="R681" s="4"/>
      <c r="S681" s="4"/>
      <c r="T681" s="4"/>
      <c r="U681" s="4"/>
      <c r="V681" s="4"/>
      <c r="W681" s="4"/>
      <c r="X681" s="4"/>
      <c r="Y681" s="4"/>
    </row>
    <row r="682" ht="15.75" customHeight="1">
      <c r="A682" s="4"/>
      <c r="B682" s="19"/>
      <c r="C682" s="4"/>
      <c r="D682" s="4"/>
      <c r="E682" s="4"/>
      <c r="F682" s="4"/>
      <c r="G682" s="4"/>
      <c r="H682" s="4"/>
      <c r="I682" s="4"/>
      <c r="J682" s="4"/>
      <c r="K682" s="4"/>
      <c r="L682" s="4"/>
      <c r="M682" s="4"/>
      <c r="N682" s="4"/>
      <c r="O682" s="4"/>
      <c r="P682" s="4"/>
      <c r="Q682" s="4"/>
      <c r="R682" s="4"/>
      <c r="S682" s="4"/>
      <c r="T682" s="4"/>
      <c r="U682" s="4"/>
      <c r="V682" s="4"/>
      <c r="W682" s="4"/>
      <c r="X682" s="4"/>
      <c r="Y682" s="4"/>
    </row>
    <row r="683" ht="15.75" customHeight="1">
      <c r="A683" s="4"/>
      <c r="B683" s="19"/>
      <c r="C683" s="4"/>
      <c r="D683" s="4"/>
      <c r="E683" s="4"/>
      <c r="F683" s="4"/>
      <c r="G683" s="4"/>
      <c r="H683" s="4"/>
      <c r="I683" s="4"/>
      <c r="J683" s="4"/>
      <c r="K683" s="4"/>
      <c r="L683" s="4"/>
      <c r="M683" s="4"/>
      <c r="N683" s="4"/>
      <c r="O683" s="4"/>
      <c r="P683" s="4"/>
      <c r="Q683" s="4"/>
      <c r="R683" s="4"/>
      <c r="S683" s="4"/>
      <c r="T683" s="4"/>
      <c r="U683" s="4"/>
      <c r="V683" s="4"/>
      <c r="W683" s="4"/>
      <c r="X683" s="4"/>
      <c r="Y683" s="4"/>
    </row>
    <row r="684" ht="15.75" customHeight="1">
      <c r="A684" s="4"/>
      <c r="B684" s="19"/>
      <c r="C684" s="4"/>
      <c r="D684" s="4"/>
      <c r="E684" s="4"/>
      <c r="F684" s="4"/>
      <c r="G684" s="4"/>
      <c r="H684" s="4"/>
      <c r="I684" s="4"/>
      <c r="J684" s="4"/>
      <c r="K684" s="4"/>
      <c r="L684" s="4"/>
      <c r="M684" s="4"/>
      <c r="N684" s="4"/>
      <c r="O684" s="4"/>
      <c r="P684" s="4"/>
      <c r="Q684" s="4"/>
      <c r="R684" s="4"/>
      <c r="S684" s="4"/>
      <c r="T684" s="4"/>
      <c r="U684" s="4"/>
      <c r="V684" s="4"/>
      <c r="W684" s="4"/>
      <c r="X684" s="4"/>
      <c r="Y684" s="4"/>
    </row>
    <row r="685" ht="15.75" customHeight="1">
      <c r="A685" s="4"/>
      <c r="B685" s="19"/>
      <c r="C685" s="4"/>
      <c r="D685" s="4"/>
      <c r="E685" s="4"/>
      <c r="F685" s="4"/>
      <c r="G685" s="4"/>
      <c r="H685" s="4"/>
      <c r="I685" s="4"/>
      <c r="J685" s="4"/>
      <c r="K685" s="4"/>
      <c r="L685" s="4"/>
      <c r="M685" s="4"/>
      <c r="N685" s="4"/>
      <c r="O685" s="4"/>
      <c r="P685" s="4"/>
      <c r="Q685" s="4"/>
      <c r="R685" s="4"/>
      <c r="S685" s="4"/>
      <c r="T685" s="4"/>
      <c r="U685" s="4"/>
      <c r="V685" s="4"/>
      <c r="W685" s="4"/>
      <c r="X685" s="4"/>
      <c r="Y685" s="4"/>
    </row>
    <row r="686" ht="15.75" customHeight="1">
      <c r="A686" s="4"/>
      <c r="B686" s="19"/>
      <c r="C686" s="4"/>
      <c r="D686" s="4"/>
      <c r="E686" s="4"/>
      <c r="F686" s="4"/>
      <c r="G686" s="4"/>
      <c r="H686" s="4"/>
      <c r="I686" s="4"/>
      <c r="J686" s="4"/>
      <c r="K686" s="4"/>
      <c r="L686" s="4"/>
      <c r="M686" s="4"/>
      <c r="N686" s="4"/>
      <c r="O686" s="4"/>
      <c r="P686" s="4"/>
      <c r="Q686" s="4"/>
      <c r="R686" s="4"/>
      <c r="S686" s="4"/>
      <c r="T686" s="4"/>
      <c r="U686" s="4"/>
      <c r="V686" s="4"/>
      <c r="W686" s="4"/>
      <c r="X686" s="4"/>
      <c r="Y686" s="4"/>
    </row>
    <row r="687" ht="15.75" customHeight="1">
      <c r="A687" s="4"/>
      <c r="B687" s="19"/>
      <c r="C687" s="4"/>
      <c r="D687" s="4"/>
      <c r="E687" s="4"/>
      <c r="F687" s="4"/>
      <c r="G687" s="4"/>
      <c r="H687" s="4"/>
      <c r="I687" s="4"/>
      <c r="J687" s="4"/>
      <c r="K687" s="4"/>
      <c r="L687" s="4"/>
      <c r="M687" s="4"/>
      <c r="N687" s="4"/>
      <c r="O687" s="4"/>
      <c r="P687" s="4"/>
      <c r="Q687" s="4"/>
      <c r="R687" s="4"/>
      <c r="S687" s="4"/>
      <c r="T687" s="4"/>
      <c r="U687" s="4"/>
      <c r="V687" s="4"/>
      <c r="W687" s="4"/>
      <c r="X687" s="4"/>
      <c r="Y687" s="4"/>
    </row>
    <row r="688" ht="15.75" customHeight="1">
      <c r="A688" s="4"/>
      <c r="B688" s="19"/>
      <c r="C688" s="4"/>
      <c r="D688" s="4"/>
      <c r="E688" s="4"/>
      <c r="F688" s="4"/>
      <c r="G688" s="4"/>
      <c r="H688" s="4"/>
      <c r="I688" s="4"/>
      <c r="J688" s="4"/>
      <c r="K688" s="4"/>
      <c r="L688" s="4"/>
      <c r="M688" s="4"/>
      <c r="N688" s="4"/>
      <c r="O688" s="4"/>
      <c r="P688" s="4"/>
      <c r="Q688" s="4"/>
      <c r="R688" s="4"/>
      <c r="S688" s="4"/>
      <c r="T688" s="4"/>
      <c r="U688" s="4"/>
      <c r="V688" s="4"/>
      <c r="W688" s="4"/>
      <c r="X688" s="4"/>
      <c r="Y688" s="4"/>
    </row>
    <row r="689" ht="15.75" customHeight="1">
      <c r="A689" s="4"/>
      <c r="B689" s="19"/>
      <c r="C689" s="4"/>
      <c r="D689" s="4"/>
      <c r="E689" s="4"/>
      <c r="F689" s="4"/>
      <c r="G689" s="4"/>
      <c r="H689" s="4"/>
      <c r="I689" s="4"/>
      <c r="J689" s="4"/>
      <c r="K689" s="4"/>
      <c r="L689" s="4"/>
      <c r="M689" s="4"/>
      <c r="N689" s="4"/>
      <c r="O689" s="4"/>
      <c r="P689" s="4"/>
      <c r="Q689" s="4"/>
      <c r="R689" s="4"/>
      <c r="S689" s="4"/>
      <c r="T689" s="4"/>
      <c r="U689" s="4"/>
      <c r="V689" s="4"/>
      <c r="W689" s="4"/>
      <c r="X689" s="4"/>
      <c r="Y689" s="4"/>
    </row>
    <row r="690" ht="15.75" customHeight="1">
      <c r="A690" s="4"/>
      <c r="B690" s="19"/>
      <c r="C690" s="4"/>
      <c r="D690" s="4"/>
      <c r="E690" s="4"/>
      <c r="F690" s="4"/>
      <c r="G690" s="4"/>
      <c r="H690" s="4"/>
      <c r="I690" s="4"/>
      <c r="J690" s="4"/>
      <c r="K690" s="4"/>
      <c r="L690" s="4"/>
      <c r="M690" s="4"/>
      <c r="N690" s="4"/>
      <c r="O690" s="4"/>
      <c r="P690" s="4"/>
      <c r="Q690" s="4"/>
      <c r="R690" s="4"/>
      <c r="S690" s="4"/>
      <c r="T690" s="4"/>
      <c r="U690" s="4"/>
      <c r="V690" s="4"/>
      <c r="W690" s="4"/>
      <c r="X690" s="4"/>
      <c r="Y690" s="4"/>
    </row>
    <row r="691" ht="15.75" customHeight="1">
      <c r="A691" s="4"/>
      <c r="B691" s="19"/>
      <c r="C691" s="4"/>
      <c r="D691" s="4"/>
      <c r="E691" s="4"/>
      <c r="F691" s="4"/>
      <c r="G691" s="4"/>
      <c r="H691" s="4"/>
      <c r="I691" s="4"/>
      <c r="J691" s="4"/>
      <c r="K691" s="4"/>
      <c r="L691" s="4"/>
      <c r="M691" s="4"/>
      <c r="N691" s="4"/>
      <c r="O691" s="4"/>
      <c r="P691" s="4"/>
      <c r="Q691" s="4"/>
      <c r="R691" s="4"/>
      <c r="S691" s="4"/>
      <c r="T691" s="4"/>
      <c r="U691" s="4"/>
      <c r="V691" s="4"/>
      <c r="W691" s="4"/>
      <c r="X691" s="4"/>
      <c r="Y691" s="4"/>
    </row>
    <row r="692" ht="15.75" customHeight="1">
      <c r="A692" s="4"/>
      <c r="B692" s="19"/>
      <c r="C692" s="4"/>
      <c r="D692" s="4"/>
      <c r="E692" s="4"/>
      <c r="F692" s="4"/>
      <c r="G692" s="4"/>
      <c r="H692" s="4"/>
      <c r="I692" s="4"/>
      <c r="J692" s="4"/>
      <c r="K692" s="4"/>
      <c r="L692" s="4"/>
      <c r="M692" s="4"/>
      <c r="N692" s="4"/>
      <c r="O692" s="4"/>
      <c r="P692" s="4"/>
      <c r="Q692" s="4"/>
      <c r="R692" s="4"/>
      <c r="S692" s="4"/>
      <c r="T692" s="4"/>
      <c r="U692" s="4"/>
      <c r="V692" s="4"/>
      <c r="W692" s="4"/>
      <c r="X692" s="4"/>
      <c r="Y692" s="4"/>
    </row>
    <row r="693" ht="15.75" customHeight="1">
      <c r="A693" s="4"/>
      <c r="B693" s="19"/>
      <c r="C693" s="4"/>
      <c r="D693" s="4"/>
      <c r="E693" s="4"/>
      <c r="F693" s="4"/>
      <c r="G693" s="4"/>
      <c r="H693" s="4"/>
      <c r="I693" s="4"/>
      <c r="J693" s="4"/>
      <c r="K693" s="4"/>
      <c r="L693" s="4"/>
      <c r="M693" s="4"/>
      <c r="N693" s="4"/>
      <c r="O693" s="4"/>
      <c r="P693" s="4"/>
      <c r="Q693" s="4"/>
      <c r="R693" s="4"/>
      <c r="S693" s="4"/>
      <c r="T693" s="4"/>
      <c r="U693" s="4"/>
      <c r="V693" s="4"/>
      <c r="W693" s="4"/>
      <c r="X693" s="4"/>
      <c r="Y693" s="4"/>
    </row>
    <row r="694" ht="15.75" customHeight="1">
      <c r="A694" s="4"/>
      <c r="B694" s="19"/>
      <c r="C694" s="4"/>
      <c r="D694" s="4"/>
      <c r="E694" s="4"/>
      <c r="F694" s="4"/>
      <c r="G694" s="4"/>
      <c r="H694" s="4"/>
      <c r="I694" s="4"/>
      <c r="J694" s="4"/>
      <c r="K694" s="4"/>
      <c r="L694" s="4"/>
      <c r="M694" s="4"/>
      <c r="N694" s="4"/>
      <c r="O694" s="4"/>
      <c r="P694" s="4"/>
      <c r="Q694" s="4"/>
      <c r="R694" s="4"/>
      <c r="S694" s="4"/>
      <c r="T694" s="4"/>
      <c r="U694" s="4"/>
      <c r="V694" s="4"/>
      <c r="W694" s="4"/>
      <c r="X694" s="4"/>
      <c r="Y694" s="4"/>
    </row>
    <row r="695" ht="15.75" customHeight="1">
      <c r="A695" s="4"/>
      <c r="B695" s="19"/>
      <c r="C695" s="4"/>
      <c r="D695" s="4"/>
      <c r="E695" s="4"/>
      <c r="F695" s="4"/>
      <c r="G695" s="4"/>
      <c r="H695" s="4"/>
      <c r="I695" s="4"/>
      <c r="J695" s="4"/>
      <c r="K695" s="4"/>
      <c r="L695" s="4"/>
      <c r="M695" s="4"/>
      <c r="N695" s="4"/>
      <c r="O695" s="4"/>
      <c r="P695" s="4"/>
      <c r="Q695" s="4"/>
      <c r="R695" s="4"/>
      <c r="S695" s="4"/>
      <c r="T695" s="4"/>
      <c r="U695" s="4"/>
      <c r="V695" s="4"/>
      <c r="W695" s="4"/>
      <c r="X695" s="4"/>
      <c r="Y695" s="4"/>
    </row>
    <row r="696" ht="15.75" customHeight="1">
      <c r="A696" s="4"/>
      <c r="B696" s="19"/>
      <c r="C696" s="4"/>
      <c r="D696" s="4"/>
      <c r="E696" s="4"/>
      <c r="F696" s="4"/>
      <c r="G696" s="4"/>
      <c r="H696" s="4"/>
      <c r="I696" s="4"/>
      <c r="J696" s="4"/>
      <c r="K696" s="4"/>
      <c r="L696" s="4"/>
      <c r="M696" s="4"/>
      <c r="N696" s="4"/>
      <c r="O696" s="4"/>
      <c r="P696" s="4"/>
      <c r="Q696" s="4"/>
      <c r="R696" s="4"/>
      <c r="S696" s="4"/>
      <c r="T696" s="4"/>
      <c r="U696" s="4"/>
      <c r="V696" s="4"/>
      <c r="W696" s="4"/>
      <c r="X696" s="4"/>
      <c r="Y696" s="4"/>
    </row>
    <row r="697" ht="15.75" customHeight="1">
      <c r="A697" s="4"/>
      <c r="B697" s="19"/>
      <c r="C697" s="4"/>
      <c r="D697" s="4"/>
      <c r="E697" s="4"/>
      <c r="F697" s="4"/>
      <c r="G697" s="4"/>
      <c r="H697" s="4"/>
      <c r="I697" s="4"/>
      <c r="J697" s="4"/>
      <c r="K697" s="4"/>
      <c r="L697" s="4"/>
      <c r="M697" s="4"/>
      <c r="N697" s="4"/>
      <c r="O697" s="4"/>
      <c r="P697" s="4"/>
      <c r="Q697" s="4"/>
      <c r="R697" s="4"/>
      <c r="S697" s="4"/>
      <c r="T697" s="4"/>
      <c r="U697" s="4"/>
      <c r="V697" s="4"/>
      <c r="W697" s="4"/>
      <c r="X697" s="4"/>
      <c r="Y697" s="4"/>
    </row>
    <row r="698" ht="15.75" customHeight="1">
      <c r="A698" s="4"/>
      <c r="B698" s="19"/>
      <c r="C698" s="4"/>
      <c r="D698" s="4"/>
      <c r="E698" s="4"/>
      <c r="F698" s="4"/>
      <c r="G698" s="4"/>
      <c r="H698" s="4"/>
      <c r="I698" s="4"/>
      <c r="J698" s="4"/>
      <c r="K698" s="4"/>
      <c r="L698" s="4"/>
      <c r="M698" s="4"/>
      <c r="N698" s="4"/>
      <c r="O698" s="4"/>
      <c r="P698" s="4"/>
      <c r="Q698" s="4"/>
      <c r="R698" s="4"/>
      <c r="S698" s="4"/>
      <c r="T698" s="4"/>
      <c r="U698" s="4"/>
      <c r="V698" s="4"/>
      <c r="W698" s="4"/>
      <c r="X698" s="4"/>
      <c r="Y698" s="4"/>
    </row>
    <row r="699" ht="15.75" customHeight="1">
      <c r="A699" s="4"/>
      <c r="B699" s="19"/>
      <c r="C699" s="4"/>
      <c r="D699" s="4"/>
      <c r="E699" s="4"/>
      <c r="F699" s="4"/>
      <c r="G699" s="4"/>
      <c r="H699" s="4"/>
      <c r="I699" s="4"/>
      <c r="J699" s="4"/>
      <c r="K699" s="4"/>
      <c r="L699" s="4"/>
      <c r="M699" s="4"/>
      <c r="N699" s="4"/>
      <c r="O699" s="4"/>
      <c r="P699" s="4"/>
      <c r="Q699" s="4"/>
      <c r="R699" s="4"/>
      <c r="S699" s="4"/>
      <c r="T699" s="4"/>
      <c r="U699" s="4"/>
      <c r="V699" s="4"/>
      <c r="W699" s="4"/>
      <c r="X699" s="4"/>
      <c r="Y699" s="4"/>
    </row>
    <row r="700" ht="15.75" customHeight="1">
      <c r="A700" s="4"/>
      <c r="B700" s="19"/>
      <c r="C700" s="4"/>
      <c r="D700" s="4"/>
      <c r="E700" s="4"/>
      <c r="F700" s="4"/>
      <c r="G700" s="4"/>
      <c r="H700" s="4"/>
      <c r="I700" s="4"/>
      <c r="J700" s="4"/>
      <c r="K700" s="4"/>
      <c r="L700" s="4"/>
      <c r="M700" s="4"/>
      <c r="N700" s="4"/>
      <c r="O700" s="4"/>
      <c r="P700" s="4"/>
      <c r="Q700" s="4"/>
      <c r="R700" s="4"/>
      <c r="S700" s="4"/>
      <c r="T700" s="4"/>
      <c r="U700" s="4"/>
      <c r="V700" s="4"/>
      <c r="W700" s="4"/>
      <c r="X700" s="4"/>
      <c r="Y700" s="4"/>
    </row>
    <row r="701" ht="15.75" customHeight="1">
      <c r="A701" s="4"/>
      <c r="B701" s="19"/>
      <c r="C701" s="4"/>
      <c r="D701" s="4"/>
      <c r="E701" s="4"/>
      <c r="F701" s="4"/>
      <c r="G701" s="4"/>
      <c r="H701" s="4"/>
      <c r="I701" s="4"/>
      <c r="J701" s="4"/>
      <c r="K701" s="4"/>
      <c r="L701" s="4"/>
      <c r="M701" s="4"/>
      <c r="N701" s="4"/>
      <c r="O701" s="4"/>
      <c r="P701" s="4"/>
      <c r="Q701" s="4"/>
      <c r="R701" s="4"/>
      <c r="S701" s="4"/>
      <c r="T701" s="4"/>
      <c r="U701" s="4"/>
      <c r="V701" s="4"/>
      <c r="W701" s="4"/>
      <c r="X701" s="4"/>
      <c r="Y701" s="4"/>
    </row>
    <row r="702" ht="15.75" customHeight="1">
      <c r="A702" s="4"/>
      <c r="B702" s="19"/>
      <c r="C702" s="4"/>
      <c r="D702" s="4"/>
      <c r="E702" s="4"/>
      <c r="F702" s="4"/>
      <c r="G702" s="4"/>
      <c r="H702" s="4"/>
      <c r="I702" s="4"/>
      <c r="J702" s="4"/>
      <c r="K702" s="4"/>
      <c r="L702" s="4"/>
      <c r="M702" s="4"/>
      <c r="N702" s="4"/>
      <c r="O702" s="4"/>
      <c r="P702" s="4"/>
      <c r="Q702" s="4"/>
      <c r="R702" s="4"/>
      <c r="S702" s="4"/>
      <c r="T702" s="4"/>
      <c r="U702" s="4"/>
      <c r="V702" s="4"/>
      <c r="W702" s="4"/>
      <c r="X702" s="4"/>
      <c r="Y702" s="4"/>
    </row>
    <row r="703" ht="15.75" customHeight="1">
      <c r="A703" s="4"/>
      <c r="B703" s="19"/>
      <c r="C703" s="4"/>
      <c r="D703" s="4"/>
      <c r="E703" s="4"/>
      <c r="F703" s="4"/>
      <c r="G703" s="4"/>
      <c r="H703" s="4"/>
      <c r="I703" s="4"/>
      <c r="J703" s="4"/>
      <c r="K703" s="4"/>
      <c r="L703" s="4"/>
      <c r="M703" s="4"/>
      <c r="N703" s="4"/>
      <c r="O703" s="4"/>
      <c r="P703" s="4"/>
      <c r="Q703" s="4"/>
      <c r="R703" s="4"/>
      <c r="S703" s="4"/>
      <c r="T703" s="4"/>
      <c r="U703" s="4"/>
      <c r="V703" s="4"/>
      <c r="W703" s="4"/>
      <c r="X703" s="4"/>
      <c r="Y703" s="4"/>
    </row>
    <row r="704" ht="15.75" customHeight="1">
      <c r="A704" s="4"/>
      <c r="B704" s="19"/>
      <c r="C704" s="4"/>
      <c r="D704" s="4"/>
      <c r="E704" s="4"/>
      <c r="F704" s="4"/>
      <c r="G704" s="4"/>
      <c r="H704" s="4"/>
      <c r="I704" s="4"/>
      <c r="J704" s="4"/>
      <c r="K704" s="4"/>
      <c r="L704" s="4"/>
      <c r="M704" s="4"/>
      <c r="N704" s="4"/>
      <c r="O704" s="4"/>
      <c r="P704" s="4"/>
      <c r="Q704" s="4"/>
      <c r="R704" s="4"/>
      <c r="S704" s="4"/>
      <c r="T704" s="4"/>
      <c r="U704" s="4"/>
      <c r="V704" s="4"/>
      <c r="W704" s="4"/>
      <c r="X704" s="4"/>
      <c r="Y704" s="4"/>
    </row>
    <row r="705" ht="15.75" customHeight="1">
      <c r="A705" s="4"/>
      <c r="B705" s="19"/>
      <c r="C705" s="4"/>
      <c r="D705" s="4"/>
      <c r="E705" s="4"/>
      <c r="F705" s="4"/>
      <c r="G705" s="4"/>
      <c r="H705" s="4"/>
      <c r="I705" s="4"/>
      <c r="J705" s="4"/>
      <c r="K705" s="4"/>
      <c r="L705" s="4"/>
      <c r="M705" s="4"/>
      <c r="N705" s="4"/>
      <c r="O705" s="4"/>
      <c r="P705" s="4"/>
      <c r="Q705" s="4"/>
      <c r="R705" s="4"/>
      <c r="S705" s="4"/>
      <c r="T705" s="4"/>
      <c r="U705" s="4"/>
      <c r="V705" s="4"/>
      <c r="W705" s="4"/>
      <c r="X705" s="4"/>
      <c r="Y705" s="4"/>
    </row>
    <row r="706" ht="15.75" customHeight="1">
      <c r="A706" s="4"/>
      <c r="B706" s="19"/>
      <c r="C706" s="4"/>
      <c r="D706" s="4"/>
      <c r="E706" s="4"/>
      <c r="F706" s="4"/>
      <c r="G706" s="4"/>
      <c r="H706" s="4"/>
      <c r="I706" s="4"/>
      <c r="J706" s="4"/>
      <c r="K706" s="4"/>
      <c r="L706" s="4"/>
      <c r="M706" s="4"/>
      <c r="N706" s="4"/>
      <c r="O706" s="4"/>
      <c r="P706" s="4"/>
      <c r="Q706" s="4"/>
      <c r="R706" s="4"/>
      <c r="S706" s="4"/>
      <c r="T706" s="4"/>
      <c r="U706" s="4"/>
      <c r="V706" s="4"/>
      <c r="W706" s="4"/>
      <c r="X706" s="4"/>
      <c r="Y706" s="4"/>
    </row>
    <row r="707" ht="15.75" customHeight="1">
      <c r="A707" s="4"/>
      <c r="B707" s="19"/>
      <c r="C707" s="4"/>
      <c r="D707" s="4"/>
      <c r="E707" s="4"/>
      <c r="F707" s="4"/>
      <c r="G707" s="4"/>
      <c r="H707" s="4"/>
      <c r="I707" s="4"/>
      <c r="J707" s="4"/>
      <c r="K707" s="4"/>
      <c r="L707" s="4"/>
      <c r="M707" s="4"/>
      <c r="N707" s="4"/>
      <c r="O707" s="4"/>
      <c r="P707" s="4"/>
      <c r="Q707" s="4"/>
      <c r="R707" s="4"/>
      <c r="S707" s="4"/>
      <c r="T707" s="4"/>
      <c r="U707" s="4"/>
      <c r="V707" s="4"/>
      <c r="W707" s="4"/>
      <c r="X707" s="4"/>
      <c r="Y707" s="4"/>
    </row>
    <row r="708" ht="15.75" customHeight="1">
      <c r="A708" s="4"/>
      <c r="B708" s="19"/>
      <c r="C708" s="4"/>
      <c r="D708" s="4"/>
      <c r="E708" s="4"/>
      <c r="F708" s="4"/>
      <c r="G708" s="4"/>
      <c r="H708" s="4"/>
      <c r="I708" s="4"/>
      <c r="J708" s="4"/>
      <c r="K708" s="4"/>
      <c r="L708" s="4"/>
      <c r="M708" s="4"/>
      <c r="N708" s="4"/>
      <c r="O708" s="4"/>
      <c r="P708" s="4"/>
      <c r="Q708" s="4"/>
      <c r="R708" s="4"/>
      <c r="S708" s="4"/>
      <c r="T708" s="4"/>
      <c r="U708" s="4"/>
      <c r="V708" s="4"/>
      <c r="W708" s="4"/>
      <c r="X708" s="4"/>
      <c r="Y708" s="4"/>
    </row>
    <row r="709" ht="15.75" customHeight="1">
      <c r="A709" s="4"/>
      <c r="B709" s="19"/>
      <c r="C709" s="4"/>
      <c r="D709" s="4"/>
      <c r="E709" s="4"/>
      <c r="F709" s="4"/>
      <c r="G709" s="4"/>
      <c r="H709" s="4"/>
      <c r="I709" s="4"/>
      <c r="J709" s="4"/>
      <c r="K709" s="4"/>
      <c r="L709" s="4"/>
      <c r="M709" s="4"/>
      <c r="N709" s="4"/>
      <c r="O709" s="4"/>
      <c r="P709" s="4"/>
      <c r="Q709" s="4"/>
      <c r="R709" s="4"/>
      <c r="S709" s="4"/>
      <c r="T709" s="4"/>
      <c r="U709" s="4"/>
      <c r="V709" s="4"/>
      <c r="W709" s="4"/>
      <c r="X709" s="4"/>
      <c r="Y709" s="4"/>
    </row>
    <row r="710" ht="15.75" customHeight="1">
      <c r="A710" s="4"/>
      <c r="B710" s="19"/>
      <c r="C710" s="4"/>
      <c r="D710" s="4"/>
      <c r="E710" s="4"/>
      <c r="F710" s="4"/>
      <c r="G710" s="4"/>
      <c r="H710" s="4"/>
      <c r="I710" s="4"/>
      <c r="J710" s="4"/>
      <c r="K710" s="4"/>
      <c r="L710" s="4"/>
      <c r="M710" s="4"/>
      <c r="N710" s="4"/>
      <c r="O710" s="4"/>
      <c r="P710" s="4"/>
      <c r="Q710" s="4"/>
      <c r="R710" s="4"/>
      <c r="S710" s="4"/>
      <c r="T710" s="4"/>
      <c r="U710" s="4"/>
      <c r="V710" s="4"/>
      <c r="W710" s="4"/>
      <c r="X710" s="4"/>
      <c r="Y710" s="4"/>
    </row>
    <row r="711" ht="15.75" customHeight="1">
      <c r="A711" s="4"/>
      <c r="B711" s="19"/>
      <c r="C711" s="4"/>
      <c r="D711" s="4"/>
      <c r="E711" s="4"/>
      <c r="F711" s="4"/>
      <c r="G711" s="4"/>
      <c r="H711" s="4"/>
      <c r="I711" s="4"/>
      <c r="J711" s="4"/>
      <c r="K711" s="4"/>
      <c r="L711" s="4"/>
      <c r="M711" s="4"/>
      <c r="N711" s="4"/>
      <c r="O711" s="4"/>
      <c r="P711" s="4"/>
      <c r="Q711" s="4"/>
      <c r="R711" s="4"/>
      <c r="S711" s="4"/>
      <c r="T711" s="4"/>
      <c r="U711" s="4"/>
      <c r="V711" s="4"/>
      <c r="W711" s="4"/>
      <c r="X711" s="4"/>
      <c r="Y711" s="4"/>
    </row>
    <row r="712" ht="15.75" customHeight="1">
      <c r="A712" s="4"/>
      <c r="B712" s="19"/>
      <c r="C712" s="4"/>
      <c r="D712" s="4"/>
      <c r="E712" s="4"/>
      <c r="F712" s="4"/>
      <c r="G712" s="4"/>
      <c r="H712" s="4"/>
      <c r="I712" s="4"/>
      <c r="J712" s="4"/>
      <c r="K712" s="4"/>
      <c r="L712" s="4"/>
      <c r="M712" s="4"/>
      <c r="N712" s="4"/>
      <c r="O712" s="4"/>
      <c r="P712" s="4"/>
      <c r="Q712" s="4"/>
      <c r="R712" s="4"/>
      <c r="S712" s="4"/>
      <c r="T712" s="4"/>
      <c r="U712" s="4"/>
      <c r="V712" s="4"/>
      <c r="W712" s="4"/>
      <c r="X712" s="4"/>
      <c r="Y712" s="4"/>
    </row>
    <row r="713" ht="15.75" customHeight="1">
      <c r="A713" s="4"/>
      <c r="B713" s="19"/>
      <c r="C713" s="4"/>
      <c r="D713" s="4"/>
      <c r="E713" s="4"/>
      <c r="F713" s="4"/>
      <c r="G713" s="4"/>
      <c r="H713" s="4"/>
      <c r="I713" s="4"/>
      <c r="J713" s="4"/>
      <c r="K713" s="4"/>
      <c r="L713" s="4"/>
      <c r="M713" s="4"/>
      <c r="N713" s="4"/>
      <c r="O713" s="4"/>
      <c r="P713" s="4"/>
      <c r="Q713" s="4"/>
      <c r="R713" s="4"/>
      <c r="S713" s="4"/>
      <c r="T713" s="4"/>
      <c r="U713" s="4"/>
      <c r="V713" s="4"/>
      <c r="W713" s="4"/>
      <c r="X713" s="4"/>
      <c r="Y713" s="4"/>
    </row>
    <row r="714" ht="15.75" customHeight="1">
      <c r="A714" s="4"/>
      <c r="B714" s="19"/>
      <c r="C714" s="4"/>
      <c r="D714" s="4"/>
      <c r="E714" s="4"/>
      <c r="F714" s="4"/>
      <c r="G714" s="4"/>
      <c r="H714" s="4"/>
      <c r="I714" s="4"/>
      <c r="J714" s="4"/>
      <c r="K714" s="4"/>
      <c r="L714" s="4"/>
      <c r="M714" s="4"/>
      <c r="N714" s="4"/>
      <c r="O714" s="4"/>
      <c r="P714" s="4"/>
      <c r="Q714" s="4"/>
      <c r="R714" s="4"/>
      <c r="S714" s="4"/>
      <c r="T714" s="4"/>
      <c r="U714" s="4"/>
      <c r="V714" s="4"/>
      <c r="W714" s="4"/>
      <c r="X714" s="4"/>
      <c r="Y714" s="4"/>
    </row>
    <row r="715" ht="15.75" customHeight="1">
      <c r="A715" s="4"/>
      <c r="B715" s="19"/>
      <c r="C715" s="4"/>
      <c r="D715" s="4"/>
      <c r="E715" s="4"/>
      <c r="F715" s="4"/>
      <c r="G715" s="4"/>
      <c r="H715" s="4"/>
      <c r="I715" s="4"/>
      <c r="J715" s="4"/>
      <c r="K715" s="4"/>
      <c r="L715" s="4"/>
      <c r="M715" s="4"/>
      <c r="N715" s="4"/>
      <c r="O715" s="4"/>
      <c r="P715" s="4"/>
      <c r="Q715" s="4"/>
      <c r="R715" s="4"/>
      <c r="S715" s="4"/>
      <c r="T715" s="4"/>
      <c r="U715" s="4"/>
      <c r="V715" s="4"/>
      <c r="W715" s="4"/>
      <c r="X715" s="4"/>
      <c r="Y715" s="4"/>
    </row>
    <row r="716" ht="15.75" customHeight="1">
      <c r="A716" s="4"/>
      <c r="B716" s="19"/>
      <c r="C716" s="4"/>
      <c r="D716" s="4"/>
      <c r="E716" s="4"/>
      <c r="F716" s="4"/>
      <c r="G716" s="4"/>
      <c r="H716" s="4"/>
      <c r="I716" s="4"/>
      <c r="J716" s="4"/>
      <c r="K716" s="4"/>
      <c r="L716" s="4"/>
      <c r="M716" s="4"/>
      <c r="N716" s="4"/>
      <c r="O716" s="4"/>
      <c r="P716" s="4"/>
      <c r="Q716" s="4"/>
      <c r="R716" s="4"/>
      <c r="S716" s="4"/>
      <c r="T716" s="4"/>
      <c r="U716" s="4"/>
      <c r="V716" s="4"/>
      <c r="W716" s="4"/>
      <c r="X716" s="4"/>
      <c r="Y716" s="4"/>
    </row>
    <row r="717" ht="15.75" customHeight="1">
      <c r="A717" s="4"/>
      <c r="B717" s="19"/>
      <c r="C717" s="4"/>
      <c r="D717" s="4"/>
      <c r="E717" s="4"/>
      <c r="F717" s="4"/>
      <c r="G717" s="4"/>
      <c r="H717" s="4"/>
      <c r="I717" s="4"/>
      <c r="J717" s="4"/>
      <c r="K717" s="4"/>
      <c r="L717" s="4"/>
      <c r="M717" s="4"/>
      <c r="N717" s="4"/>
      <c r="O717" s="4"/>
      <c r="P717" s="4"/>
      <c r="Q717" s="4"/>
      <c r="R717" s="4"/>
      <c r="S717" s="4"/>
      <c r="T717" s="4"/>
      <c r="U717" s="4"/>
      <c r="V717" s="4"/>
      <c r="W717" s="4"/>
      <c r="X717" s="4"/>
      <c r="Y717" s="4"/>
    </row>
    <row r="718" ht="15.75" customHeight="1">
      <c r="A718" s="4"/>
      <c r="B718" s="19"/>
      <c r="C718" s="4"/>
      <c r="D718" s="4"/>
      <c r="E718" s="4"/>
      <c r="F718" s="4"/>
      <c r="G718" s="4"/>
      <c r="H718" s="4"/>
      <c r="I718" s="4"/>
      <c r="J718" s="4"/>
      <c r="K718" s="4"/>
      <c r="L718" s="4"/>
      <c r="M718" s="4"/>
      <c r="N718" s="4"/>
      <c r="O718" s="4"/>
      <c r="P718" s="4"/>
      <c r="Q718" s="4"/>
      <c r="R718" s="4"/>
      <c r="S718" s="4"/>
      <c r="T718" s="4"/>
      <c r="U718" s="4"/>
      <c r="V718" s="4"/>
      <c r="W718" s="4"/>
      <c r="X718" s="4"/>
      <c r="Y718" s="4"/>
    </row>
    <row r="719" ht="15.75" customHeight="1">
      <c r="A719" s="4"/>
      <c r="B719" s="19"/>
      <c r="C719" s="4"/>
      <c r="D719" s="4"/>
      <c r="E719" s="4"/>
      <c r="F719" s="4"/>
      <c r="G719" s="4"/>
      <c r="H719" s="4"/>
      <c r="I719" s="4"/>
      <c r="J719" s="4"/>
      <c r="K719" s="4"/>
      <c r="L719" s="4"/>
      <c r="M719" s="4"/>
      <c r="N719" s="4"/>
      <c r="O719" s="4"/>
      <c r="P719" s="4"/>
      <c r="Q719" s="4"/>
      <c r="R719" s="4"/>
      <c r="S719" s="4"/>
      <c r="T719" s="4"/>
      <c r="U719" s="4"/>
      <c r="V719" s="4"/>
      <c r="W719" s="4"/>
      <c r="X719" s="4"/>
      <c r="Y719" s="4"/>
    </row>
    <row r="720" ht="15.75" customHeight="1">
      <c r="A720" s="4"/>
      <c r="B720" s="19"/>
      <c r="C720" s="4"/>
      <c r="D720" s="4"/>
      <c r="E720" s="4"/>
      <c r="F720" s="4"/>
      <c r="G720" s="4"/>
      <c r="H720" s="4"/>
      <c r="I720" s="4"/>
      <c r="J720" s="4"/>
      <c r="K720" s="4"/>
      <c r="L720" s="4"/>
      <c r="M720" s="4"/>
      <c r="N720" s="4"/>
      <c r="O720" s="4"/>
      <c r="P720" s="4"/>
      <c r="Q720" s="4"/>
      <c r="R720" s="4"/>
      <c r="S720" s="4"/>
      <c r="T720" s="4"/>
      <c r="U720" s="4"/>
      <c r="V720" s="4"/>
      <c r="W720" s="4"/>
      <c r="X720" s="4"/>
      <c r="Y720" s="4"/>
    </row>
    <row r="721" ht="15.75" customHeight="1">
      <c r="A721" s="4"/>
      <c r="B721" s="19"/>
      <c r="C721" s="4"/>
      <c r="D721" s="4"/>
      <c r="E721" s="4"/>
      <c r="F721" s="4"/>
      <c r="G721" s="4"/>
      <c r="H721" s="4"/>
      <c r="I721" s="4"/>
      <c r="J721" s="4"/>
      <c r="K721" s="4"/>
      <c r="L721" s="4"/>
      <c r="M721" s="4"/>
      <c r="N721" s="4"/>
      <c r="O721" s="4"/>
      <c r="P721" s="4"/>
      <c r="Q721" s="4"/>
      <c r="R721" s="4"/>
      <c r="S721" s="4"/>
      <c r="T721" s="4"/>
      <c r="U721" s="4"/>
      <c r="V721" s="4"/>
      <c r="W721" s="4"/>
      <c r="X721" s="4"/>
      <c r="Y721" s="4"/>
    </row>
    <row r="722" ht="15.75" customHeight="1">
      <c r="A722" s="4"/>
      <c r="B722" s="19"/>
      <c r="C722" s="4"/>
      <c r="D722" s="4"/>
      <c r="E722" s="4"/>
      <c r="F722" s="4"/>
      <c r="G722" s="4"/>
      <c r="H722" s="4"/>
      <c r="I722" s="4"/>
      <c r="J722" s="4"/>
      <c r="K722" s="4"/>
      <c r="L722" s="4"/>
      <c r="M722" s="4"/>
      <c r="N722" s="4"/>
      <c r="O722" s="4"/>
      <c r="P722" s="4"/>
      <c r="Q722" s="4"/>
      <c r="R722" s="4"/>
      <c r="S722" s="4"/>
      <c r="T722" s="4"/>
      <c r="U722" s="4"/>
      <c r="V722" s="4"/>
      <c r="W722" s="4"/>
      <c r="X722" s="4"/>
      <c r="Y722" s="4"/>
    </row>
    <row r="723" ht="15.75" customHeight="1">
      <c r="A723" s="4"/>
      <c r="B723" s="19"/>
      <c r="C723" s="4"/>
      <c r="D723" s="4"/>
      <c r="E723" s="4"/>
      <c r="F723" s="4"/>
      <c r="G723" s="4"/>
      <c r="H723" s="4"/>
      <c r="I723" s="4"/>
      <c r="J723" s="4"/>
      <c r="K723" s="4"/>
      <c r="L723" s="4"/>
      <c r="M723" s="4"/>
      <c r="N723" s="4"/>
      <c r="O723" s="4"/>
      <c r="P723" s="4"/>
      <c r="Q723" s="4"/>
      <c r="R723" s="4"/>
      <c r="S723" s="4"/>
      <c r="T723" s="4"/>
      <c r="U723" s="4"/>
      <c r="V723" s="4"/>
      <c r="W723" s="4"/>
      <c r="X723" s="4"/>
      <c r="Y723" s="4"/>
    </row>
    <row r="724" ht="15.75" customHeight="1">
      <c r="A724" s="4"/>
      <c r="B724" s="19"/>
      <c r="C724" s="4"/>
      <c r="D724" s="4"/>
      <c r="E724" s="4"/>
      <c r="F724" s="4"/>
      <c r="G724" s="4"/>
      <c r="H724" s="4"/>
      <c r="I724" s="4"/>
      <c r="J724" s="4"/>
      <c r="K724" s="4"/>
      <c r="L724" s="4"/>
      <c r="M724" s="4"/>
      <c r="N724" s="4"/>
      <c r="O724" s="4"/>
      <c r="P724" s="4"/>
      <c r="Q724" s="4"/>
      <c r="R724" s="4"/>
      <c r="S724" s="4"/>
      <c r="T724" s="4"/>
      <c r="U724" s="4"/>
      <c r="V724" s="4"/>
      <c r="W724" s="4"/>
      <c r="X724" s="4"/>
      <c r="Y724" s="4"/>
    </row>
    <row r="725" ht="15.75" customHeight="1">
      <c r="A725" s="4"/>
      <c r="B725" s="19"/>
      <c r="C725" s="4"/>
      <c r="D725" s="4"/>
      <c r="E725" s="4"/>
      <c r="F725" s="4"/>
      <c r="G725" s="4"/>
      <c r="H725" s="4"/>
      <c r="I725" s="4"/>
      <c r="J725" s="4"/>
      <c r="K725" s="4"/>
      <c r="L725" s="4"/>
      <c r="M725" s="4"/>
      <c r="N725" s="4"/>
      <c r="O725" s="4"/>
      <c r="P725" s="4"/>
      <c r="Q725" s="4"/>
      <c r="R725" s="4"/>
      <c r="S725" s="4"/>
      <c r="T725" s="4"/>
      <c r="U725" s="4"/>
      <c r="V725" s="4"/>
      <c r="W725" s="4"/>
      <c r="X725" s="4"/>
      <c r="Y725" s="4"/>
    </row>
    <row r="726" ht="15.75" customHeight="1">
      <c r="A726" s="4"/>
      <c r="B726" s="19"/>
      <c r="C726" s="4"/>
      <c r="D726" s="4"/>
      <c r="E726" s="4"/>
      <c r="F726" s="4"/>
      <c r="G726" s="4"/>
      <c r="H726" s="4"/>
      <c r="I726" s="4"/>
      <c r="J726" s="4"/>
      <c r="K726" s="4"/>
      <c r="L726" s="4"/>
      <c r="M726" s="4"/>
      <c r="N726" s="4"/>
      <c r="O726" s="4"/>
      <c r="P726" s="4"/>
      <c r="Q726" s="4"/>
      <c r="R726" s="4"/>
      <c r="S726" s="4"/>
      <c r="T726" s="4"/>
      <c r="U726" s="4"/>
      <c r="V726" s="4"/>
      <c r="W726" s="4"/>
      <c r="X726" s="4"/>
      <c r="Y726" s="4"/>
    </row>
    <row r="727" ht="15.75" customHeight="1">
      <c r="A727" s="4"/>
      <c r="B727" s="19"/>
      <c r="C727" s="4"/>
      <c r="D727" s="4"/>
      <c r="E727" s="4"/>
      <c r="F727" s="4"/>
      <c r="G727" s="4"/>
      <c r="H727" s="4"/>
      <c r="I727" s="4"/>
      <c r="J727" s="4"/>
      <c r="K727" s="4"/>
      <c r="L727" s="4"/>
      <c r="M727" s="4"/>
      <c r="N727" s="4"/>
      <c r="O727" s="4"/>
      <c r="P727" s="4"/>
      <c r="Q727" s="4"/>
      <c r="R727" s="4"/>
      <c r="S727" s="4"/>
      <c r="T727" s="4"/>
      <c r="U727" s="4"/>
      <c r="V727" s="4"/>
      <c r="W727" s="4"/>
      <c r="X727" s="4"/>
      <c r="Y727" s="4"/>
    </row>
    <row r="728" ht="15.75" customHeight="1">
      <c r="A728" s="4"/>
      <c r="B728" s="19"/>
      <c r="C728" s="4"/>
      <c r="D728" s="4"/>
      <c r="E728" s="4"/>
      <c r="F728" s="4"/>
      <c r="G728" s="4"/>
      <c r="H728" s="4"/>
      <c r="I728" s="4"/>
      <c r="J728" s="4"/>
      <c r="K728" s="4"/>
      <c r="L728" s="4"/>
      <c r="M728" s="4"/>
      <c r="N728" s="4"/>
      <c r="O728" s="4"/>
      <c r="P728" s="4"/>
      <c r="Q728" s="4"/>
      <c r="R728" s="4"/>
      <c r="S728" s="4"/>
      <c r="T728" s="4"/>
      <c r="U728" s="4"/>
      <c r="V728" s="4"/>
      <c r="W728" s="4"/>
      <c r="X728" s="4"/>
      <c r="Y728" s="4"/>
    </row>
    <row r="729" ht="15.75" customHeight="1">
      <c r="A729" s="4"/>
      <c r="B729" s="19"/>
      <c r="C729" s="4"/>
      <c r="D729" s="4"/>
      <c r="E729" s="4"/>
      <c r="F729" s="4"/>
      <c r="G729" s="4"/>
      <c r="H729" s="4"/>
      <c r="I729" s="4"/>
      <c r="J729" s="4"/>
      <c r="K729" s="4"/>
      <c r="L729" s="4"/>
      <c r="M729" s="4"/>
      <c r="N729" s="4"/>
      <c r="O729" s="4"/>
      <c r="P729" s="4"/>
      <c r="Q729" s="4"/>
      <c r="R729" s="4"/>
      <c r="S729" s="4"/>
      <c r="T729" s="4"/>
      <c r="U729" s="4"/>
      <c r="V729" s="4"/>
      <c r="W729" s="4"/>
      <c r="X729" s="4"/>
      <c r="Y729" s="4"/>
    </row>
    <row r="730" ht="15.75" customHeight="1">
      <c r="A730" s="4"/>
      <c r="B730" s="19"/>
      <c r="C730" s="4"/>
      <c r="D730" s="4"/>
      <c r="E730" s="4"/>
      <c r="F730" s="4"/>
      <c r="G730" s="4"/>
      <c r="H730" s="4"/>
      <c r="I730" s="4"/>
      <c r="J730" s="4"/>
      <c r="K730" s="4"/>
      <c r="L730" s="4"/>
      <c r="M730" s="4"/>
      <c r="N730" s="4"/>
      <c r="O730" s="4"/>
      <c r="P730" s="4"/>
      <c r="Q730" s="4"/>
      <c r="R730" s="4"/>
      <c r="S730" s="4"/>
      <c r="T730" s="4"/>
      <c r="U730" s="4"/>
      <c r="V730" s="4"/>
      <c r="W730" s="4"/>
      <c r="X730" s="4"/>
      <c r="Y730" s="4"/>
    </row>
    <row r="731" ht="15.75" customHeight="1">
      <c r="A731" s="4"/>
      <c r="B731" s="19"/>
      <c r="C731" s="4"/>
      <c r="D731" s="4"/>
      <c r="E731" s="4"/>
      <c r="F731" s="4"/>
      <c r="G731" s="4"/>
      <c r="H731" s="4"/>
      <c r="I731" s="4"/>
      <c r="J731" s="4"/>
      <c r="K731" s="4"/>
      <c r="L731" s="4"/>
      <c r="M731" s="4"/>
      <c r="N731" s="4"/>
      <c r="O731" s="4"/>
      <c r="P731" s="4"/>
      <c r="Q731" s="4"/>
      <c r="R731" s="4"/>
      <c r="S731" s="4"/>
      <c r="T731" s="4"/>
      <c r="U731" s="4"/>
      <c r="V731" s="4"/>
      <c r="W731" s="4"/>
      <c r="X731" s="4"/>
      <c r="Y731" s="4"/>
    </row>
    <row r="732" ht="15.75" customHeight="1">
      <c r="A732" s="4"/>
      <c r="B732" s="19"/>
      <c r="C732" s="4"/>
      <c r="D732" s="4"/>
      <c r="E732" s="4"/>
      <c r="F732" s="4"/>
      <c r="G732" s="4"/>
      <c r="H732" s="4"/>
      <c r="I732" s="4"/>
      <c r="J732" s="4"/>
      <c r="K732" s="4"/>
      <c r="L732" s="4"/>
      <c r="M732" s="4"/>
      <c r="N732" s="4"/>
      <c r="O732" s="4"/>
      <c r="P732" s="4"/>
      <c r="Q732" s="4"/>
      <c r="R732" s="4"/>
      <c r="S732" s="4"/>
      <c r="T732" s="4"/>
      <c r="U732" s="4"/>
      <c r="V732" s="4"/>
      <c r="W732" s="4"/>
      <c r="X732" s="4"/>
      <c r="Y732" s="4"/>
    </row>
    <row r="733" ht="15.75" customHeight="1">
      <c r="A733" s="4"/>
      <c r="B733" s="19"/>
      <c r="C733" s="4"/>
      <c r="D733" s="4"/>
      <c r="E733" s="4"/>
      <c r="F733" s="4"/>
      <c r="G733" s="4"/>
      <c r="H733" s="4"/>
      <c r="I733" s="4"/>
      <c r="J733" s="4"/>
      <c r="K733" s="4"/>
      <c r="L733" s="4"/>
      <c r="M733" s="4"/>
      <c r="N733" s="4"/>
      <c r="O733" s="4"/>
      <c r="P733" s="4"/>
      <c r="Q733" s="4"/>
      <c r="R733" s="4"/>
      <c r="S733" s="4"/>
      <c r="T733" s="4"/>
      <c r="U733" s="4"/>
      <c r="V733" s="4"/>
      <c r="W733" s="4"/>
      <c r="X733" s="4"/>
      <c r="Y733" s="4"/>
    </row>
    <row r="734" ht="15.75" customHeight="1">
      <c r="A734" s="4"/>
      <c r="B734" s="19"/>
      <c r="C734" s="4"/>
      <c r="D734" s="4"/>
      <c r="E734" s="4"/>
      <c r="F734" s="4"/>
      <c r="G734" s="4"/>
      <c r="H734" s="4"/>
      <c r="I734" s="4"/>
      <c r="J734" s="4"/>
      <c r="K734" s="4"/>
      <c r="L734" s="4"/>
      <c r="M734" s="4"/>
      <c r="N734" s="4"/>
      <c r="O734" s="4"/>
      <c r="P734" s="4"/>
      <c r="Q734" s="4"/>
      <c r="R734" s="4"/>
      <c r="S734" s="4"/>
      <c r="T734" s="4"/>
      <c r="U734" s="4"/>
      <c r="V734" s="4"/>
      <c r="W734" s="4"/>
      <c r="X734" s="4"/>
      <c r="Y734" s="4"/>
    </row>
    <row r="735" ht="15.75" customHeight="1">
      <c r="A735" s="4"/>
      <c r="B735" s="19"/>
      <c r="C735" s="4"/>
      <c r="D735" s="4"/>
      <c r="E735" s="4"/>
      <c r="F735" s="4"/>
      <c r="G735" s="4"/>
      <c r="H735" s="4"/>
      <c r="I735" s="4"/>
      <c r="J735" s="4"/>
      <c r="K735" s="4"/>
      <c r="L735" s="4"/>
      <c r="M735" s="4"/>
      <c r="N735" s="4"/>
      <c r="O735" s="4"/>
      <c r="P735" s="4"/>
      <c r="Q735" s="4"/>
      <c r="R735" s="4"/>
      <c r="S735" s="4"/>
      <c r="T735" s="4"/>
      <c r="U735" s="4"/>
      <c r="V735" s="4"/>
      <c r="W735" s="4"/>
      <c r="X735" s="4"/>
      <c r="Y735" s="4"/>
    </row>
    <row r="736" ht="15.75" customHeight="1">
      <c r="A736" s="4"/>
      <c r="B736" s="19"/>
      <c r="C736" s="4"/>
      <c r="D736" s="4"/>
      <c r="E736" s="4"/>
      <c r="F736" s="4"/>
      <c r="G736" s="4"/>
      <c r="H736" s="4"/>
      <c r="I736" s="4"/>
      <c r="J736" s="4"/>
      <c r="K736" s="4"/>
      <c r="L736" s="4"/>
      <c r="M736" s="4"/>
      <c r="N736" s="4"/>
      <c r="O736" s="4"/>
      <c r="P736" s="4"/>
      <c r="Q736" s="4"/>
      <c r="R736" s="4"/>
      <c r="S736" s="4"/>
      <c r="T736" s="4"/>
      <c r="U736" s="4"/>
      <c r="V736" s="4"/>
      <c r="W736" s="4"/>
      <c r="X736" s="4"/>
      <c r="Y736" s="4"/>
    </row>
    <row r="737" ht="15.75" customHeight="1">
      <c r="A737" s="4"/>
      <c r="B737" s="19"/>
      <c r="C737" s="4"/>
      <c r="D737" s="4"/>
      <c r="E737" s="4"/>
      <c r="F737" s="4"/>
      <c r="G737" s="4"/>
      <c r="H737" s="4"/>
      <c r="I737" s="4"/>
      <c r="J737" s="4"/>
      <c r="K737" s="4"/>
      <c r="L737" s="4"/>
      <c r="M737" s="4"/>
      <c r="N737" s="4"/>
      <c r="O737" s="4"/>
      <c r="P737" s="4"/>
      <c r="Q737" s="4"/>
      <c r="R737" s="4"/>
      <c r="S737" s="4"/>
      <c r="T737" s="4"/>
      <c r="U737" s="4"/>
      <c r="V737" s="4"/>
      <c r="W737" s="4"/>
      <c r="X737" s="4"/>
      <c r="Y737" s="4"/>
    </row>
    <row r="738" ht="15.75" customHeight="1">
      <c r="A738" s="4"/>
      <c r="B738" s="19"/>
      <c r="C738" s="4"/>
      <c r="D738" s="4"/>
      <c r="E738" s="4"/>
      <c r="F738" s="4"/>
      <c r="G738" s="4"/>
      <c r="H738" s="4"/>
      <c r="I738" s="4"/>
      <c r="J738" s="4"/>
      <c r="K738" s="4"/>
      <c r="L738" s="4"/>
      <c r="M738" s="4"/>
      <c r="N738" s="4"/>
      <c r="O738" s="4"/>
      <c r="P738" s="4"/>
      <c r="Q738" s="4"/>
      <c r="R738" s="4"/>
      <c r="S738" s="4"/>
      <c r="T738" s="4"/>
      <c r="U738" s="4"/>
      <c r="V738" s="4"/>
      <c r="W738" s="4"/>
      <c r="X738" s="4"/>
      <c r="Y738" s="4"/>
    </row>
    <row r="739" ht="15.75" customHeight="1">
      <c r="A739" s="4"/>
      <c r="B739" s="19"/>
      <c r="C739" s="4"/>
      <c r="D739" s="4"/>
      <c r="E739" s="4"/>
      <c r="F739" s="4"/>
      <c r="G739" s="4"/>
      <c r="H739" s="4"/>
      <c r="I739" s="4"/>
      <c r="J739" s="4"/>
      <c r="K739" s="4"/>
      <c r="L739" s="4"/>
      <c r="M739" s="4"/>
      <c r="N739" s="4"/>
      <c r="O739" s="4"/>
      <c r="P739" s="4"/>
      <c r="Q739" s="4"/>
      <c r="R739" s="4"/>
      <c r="S739" s="4"/>
      <c r="T739" s="4"/>
      <c r="U739" s="4"/>
      <c r="V739" s="4"/>
      <c r="W739" s="4"/>
      <c r="X739" s="4"/>
      <c r="Y739" s="4"/>
    </row>
    <row r="740" ht="15.75" customHeight="1">
      <c r="A740" s="4"/>
      <c r="B740" s="19"/>
      <c r="C740" s="4"/>
      <c r="D740" s="4"/>
      <c r="E740" s="4"/>
      <c r="F740" s="4"/>
      <c r="G740" s="4"/>
      <c r="H740" s="4"/>
      <c r="I740" s="4"/>
      <c r="J740" s="4"/>
      <c r="K740" s="4"/>
      <c r="L740" s="4"/>
      <c r="M740" s="4"/>
      <c r="N740" s="4"/>
      <c r="O740" s="4"/>
      <c r="P740" s="4"/>
      <c r="Q740" s="4"/>
      <c r="R740" s="4"/>
      <c r="S740" s="4"/>
      <c r="T740" s="4"/>
      <c r="U740" s="4"/>
      <c r="V740" s="4"/>
      <c r="W740" s="4"/>
      <c r="X740" s="4"/>
      <c r="Y740" s="4"/>
    </row>
    <row r="741" ht="15.75" customHeight="1">
      <c r="A741" s="4"/>
      <c r="B741" s="19"/>
      <c r="C741" s="4"/>
      <c r="D741" s="4"/>
      <c r="E741" s="4"/>
      <c r="F741" s="4"/>
      <c r="G741" s="4"/>
      <c r="H741" s="4"/>
      <c r="I741" s="4"/>
      <c r="J741" s="4"/>
      <c r="K741" s="4"/>
      <c r="L741" s="4"/>
      <c r="M741" s="4"/>
      <c r="N741" s="4"/>
      <c r="O741" s="4"/>
      <c r="P741" s="4"/>
      <c r="Q741" s="4"/>
      <c r="R741" s="4"/>
      <c r="S741" s="4"/>
      <c r="T741" s="4"/>
      <c r="U741" s="4"/>
      <c r="V741" s="4"/>
      <c r="W741" s="4"/>
      <c r="X741" s="4"/>
      <c r="Y741" s="4"/>
    </row>
    <row r="742" ht="15.75" customHeight="1">
      <c r="A742" s="4"/>
      <c r="B742" s="19"/>
      <c r="C742" s="4"/>
      <c r="D742" s="4"/>
      <c r="E742" s="4"/>
      <c r="F742" s="4"/>
      <c r="G742" s="4"/>
      <c r="H742" s="4"/>
      <c r="I742" s="4"/>
      <c r="J742" s="4"/>
      <c r="K742" s="4"/>
      <c r="L742" s="4"/>
      <c r="M742" s="4"/>
      <c r="N742" s="4"/>
      <c r="O742" s="4"/>
      <c r="P742" s="4"/>
      <c r="Q742" s="4"/>
      <c r="R742" s="4"/>
      <c r="S742" s="4"/>
      <c r="T742" s="4"/>
      <c r="U742" s="4"/>
      <c r="V742" s="4"/>
      <c r="W742" s="4"/>
      <c r="X742" s="4"/>
      <c r="Y742" s="4"/>
    </row>
    <row r="743" ht="15.75" customHeight="1">
      <c r="A743" s="4"/>
      <c r="B743" s="19"/>
      <c r="C743" s="4"/>
      <c r="D743" s="4"/>
      <c r="E743" s="4"/>
      <c r="F743" s="4"/>
      <c r="G743" s="4"/>
      <c r="H743" s="4"/>
      <c r="I743" s="4"/>
      <c r="J743" s="4"/>
      <c r="K743" s="4"/>
      <c r="L743" s="4"/>
      <c r="M743" s="4"/>
      <c r="N743" s="4"/>
      <c r="O743" s="4"/>
      <c r="P743" s="4"/>
      <c r="Q743" s="4"/>
      <c r="R743" s="4"/>
      <c r="S743" s="4"/>
      <c r="T743" s="4"/>
      <c r="U743" s="4"/>
      <c r="V743" s="4"/>
      <c r="W743" s="4"/>
      <c r="X743" s="4"/>
      <c r="Y743" s="4"/>
    </row>
    <row r="744" ht="15.75" customHeight="1">
      <c r="A744" s="4"/>
      <c r="B744" s="19"/>
      <c r="C744" s="4"/>
      <c r="D744" s="4"/>
      <c r="E744" s="4"/>
      <c r="F744" s="4"/>
      <c r="G744" s="4"/>
      <c r="H744" s="4"/>
      <c r="I744" s="4"/>
      <c r="J744" s="4"/>
      <c r="K744" s="4"/>
      <c r="L744" s="4"/>
      <c r="M744" s="4"/>
      <c r="N744" s="4"/>
      <c r="O744" s="4"/>
      <c r="P744" s="4"/>
      <c r="Q744" s="4"/>
      <c r="R744" s="4"/>
      <c r="S744" s="4"/>
      <c r="T744" s="4"/>
      <c r="U744" s="4"/>
      <c r="V744" s="4"/>
      <c r="W744" s="4"/>
      <c r="X744" s="4"/>
      <c r="Y744" s="4"/>
    </row>
    <row r="745" ht="15.75" customHeight="1">
      <c r="A745" s="4"/>
      <c r="B745" s="19"/>
      <c r="C745" s="4"/>
      <c r="D745" s="4"/>
      <c r="E745" s="4"/>
      <c r="F745" s="4"/>
      <c r="G745" s="4"/>
      <c r="H745" s="4"/>
      <c r="I745" s="4"/>
      <c r="J745" s="4"/>
      <c r="K745" s="4"/>
      <c r="L745" s="4"/>
      <c r="M745" s="4"/>
      <c r="N745" s="4"/>
      <c r="O745" s="4"/>
      <c r="P745" s="4"/>
      <c r="Q745" s="4"/>
      <c r="R745" s="4"/>
      <c r="S745" s="4"/>
      <c r="T745" s="4"/>
      <c r="U745" s="4"/>
      <c r="V745" s="4"/>
      <c r="W745" s="4"/>
      <c r="X745" s="4"/>
      <c r="Y745" s="4"/>
    </row>
    <row r="746" ht="15.75" customHeight="1">
      <c r="A746" s="4"/>
      <c r="B746" s="19"/>
      <c r="C746" s="4"/>
      <c r="D746" s="4"/>
      <c r="E746" s="4"/>
      <c r="F746" s="4"/>
      <c r="G746" s="4"/>
      <c r="H746" s="4"/>
      <c r="I746" s="4"/>
      <c r="J746" s="4"/>
      <c r="K746" s="4"/>
      <c r="L746" s="4"/>
      <c r="M746" s="4"/>
      <c r="N746" s="4"/>
      <c r="O746" s="4"/>
      <c r="P746" s="4"/>
      <c r="Q746" s="4"/>
      <c r="R746" s="4"/>
      <c r="S746" s="4"/>
      <c r="T746" s="4"/>
      <c r="U746" s="4"/>
      <c r="V746" s="4"/>
      <c r="W746" s="4"/>
      <c r="X746" s="4"/>
      <c r="Y746" s="4"/>
    </row>
    <row r="747" ht="15.75" customHeight="1">
      <c r="A747" s="4"/>
      <c r="B747" s="19"/>
      <c r="C747" s="4"/>
      <c r="D747" s="4"/>
      <c r="E747" s="4"/>
      <c r="F747" s="4"/>
      <c r="G747" s="4"/>
      <c r="H747" s="4"/>
      <c r="I747" s="4"/>
      <c r="J747" s="4"/>
      <c r="K747" s="4"/>
      <c r="L747" s="4"/>
      <c r="M747" s="4"/>
      <c r="N747" s="4"/>
      <c r="O747" s="4"/>
      <c r="P747" s="4"/>
      <c r="Q747" s="4"/>
      <c r="R747" s="4"/>
      <c r="S747" s="4"/>
      <c r="T747" s="4"/>
      <c r="U747" s="4"/>
      <c r="V747" s="4"/>
      <c r="W747" s="4"/>
      <c r="X747" s="4"/>
      <c r="Y747" s="4"/>
    </row>
    <row r="748" ht="15.75" customHeight="1">
      <c r="A748" s="4"/>
      <c r="B748" s="19"/>
      <c r="C748" s="4"/>
      <c r="D748" s="4"/>
      <c r="E748" s="4"/>
      <c r="F748" s="4"/>
      <c r="G748" s="4"/>
      <c r="H748" s="4"/>
      <c r="I748" s="4"/>
      <c r="J748" s="4"/>
      <c r="K748" s="4"/>
      <c r="L748" s="4"/>
      <c r="M748" s="4"/>
      <c r="N748" s="4"/>
      <c r="O748" s="4"/>
      <c r="P748" s="4"/>
      <c r="Q748" s="4"/>
      <c r="R748" s="4"/>
      <c r="S748" s="4"/>
      <c r="T748" s="4"/>
      <c r="U748" s="4"/>
      <c r="V748" s="4"/>
      <c r="W748" s="4"/>
      <c r="X748" s="4"/>
      <c r="Y748" s="4"/>
    </row>
    <row r="749" ht="15.75" customHeight="1">
      <c r="A749" s="4"/>
      <c r="B749" s="19"/>
      <c r="C749" s="4"/>
      <c r="D749" s="4"/>
      <c r="E749" s="4"/>
      <c r="F749" s="4"/>
      <c r="G749" s="4"/>
      <c r="H749" s="4"/>
      <c r="I749" s="4"/>
      <c r="J749" s="4"/>
      <c r="K749" s="4"/>
      <c r="L749" s="4"/>
      <c r="M749" s="4"/>
      <c r="N749" s="4"/>
      <c r="O749" s="4"/>
      <c r="P749" s="4"/>
      <c r="Q749" s="4"/>
      <c r="R749" s="4"/>
      <c r="S749" s="4"/>
      <c r="T749" s="4"/>
      <c r="U749" s="4"/>
      <c r="V749" s="4"/>
      <c r="W749" s="4"/>
      <c r="X749" s="4"/>
      <c r="Y749" s="4"/>
    </row>
    <row r="750" ht="15.75" customHeight="1">
      <c r="A750" s="4"/>
      <c r="B750" s="19"/>
      <c r="C750" s="4"/>
      <c r="D750" s="4"/>
      <c r="E750" s="4"/>
      <c r="F750" s="4"/>
      <c r="G750" s="4"/>
      <c r="H750" s="4"/>
      <c r="I750" s="4"/>
      <c r="J750" s="4"/>
      <c r="K750" s="4"/>
      <c r="L750" s="4"/>
      <c r="M750" s="4"/>
      <c r="N750" s="4"/>
      <c r="O750" s="4"/>
      <c r="P750" s="4"/>
      <c r="Q750" s="4"/>
      <c r="R750" s="4"/>
      <c r="S750" s="4"/>
      <c r="T750" s="4"/>
      <c r="U750" s="4"/>
      <c r="V750" s="4"/>
      <c r="W750" s="4"/>
      <c r="X750" s="4"/>
      <c r="Y750" s="4"/>
    </row>
    <row r="751" ht="15.75" customHeight="1">
      <c r="A751" s="4"/>
      <c r="B751" s="19"/>
      <c r="C751" s="4"/>
      <c r="D751" s="4"/>
      <c r="E751" s="4"/>
      <c r="F751" s="4"/>
      <c r="G751" s="4"/>
      <c r="H751" s="4"/>
      <c r="I751" s="4"/>
      <c r="J751" s="4"/>
      <c r="K751" s="4"/>
      <c r="L751" s="4"/>
      <c r="M751" s="4"/>
      <c r="N751" s="4"/>
      <c r="O751" s="4"/>
      <c r="P751" s="4"/>
      <c r="Q751" s="4"/>
      <c r="R751" s="4"/>
      <c r="S751" s="4"/>
      <c r="T751" s="4"/>
      <c r="U751" s="4"/>
      <c r="V751" s="4"/>
      <c r="W751" s="4"/>
      <c r="X751" s="4"/>
      <c r="Y751" s="4"/>
    </row>
    <row r="752" ht="15.75" customHeight="1">
      <c r="A752" s="4"/>
      <c r="B752" s="19"/>
      <c r="C752" s="4"/>
      <c r="D752" s="4"/>
      <c r="E752" s="4"/>
      <c r="F752" s="4"/>
      <c r="G752" s="4"/>
      <c r="H752" s="4"/>
      <c r="I752" s="4"/>
      <c r="J752" s="4"/>
      <c r="K752" s="4"/>
      <c r="L752" s="4"/>
      <c r="M752" s="4"/>
      <c r="N752" s="4"/>
      <c r="O752" s="4"/>
      <c r="P752" s="4"/>
      <c r="Q752" s="4"/>
      <c r="R752" s="4"/>
      <c r="S752" s="4"/>
      <c r="T752" s="4"/>
      <c r="U752" s="4"/>
      <c r="V752" s="4"/>
      <c r="W752" s="4"/>
      <c r="X752" s="4"/>
      <c r="Y752" s="4"/>
    </row>
    <row r="753" ht="15.75" customHeight="1">
      <c r="A753" s="4"/>
      <c r="B753" s="19"/>
      <c r="C753" s="4"/>
      <c r="D753" s="4"/>
      <c r="E753" s="4"/>
      <c r="F753" s="4"/>
      <c r="G753" s="4"/>
      <c r="H753" s="4"/>
      <c r="I753" s="4"/>
      <c r="J753" s="4"/>
      <c r="K753" s="4"/>
      <c r="L753" s="4"/>
      <c r="M753" s="4"/>
      <c r="N753" s="4"/>
      <c r="O753" s="4"/>
      <c r="P753" s="4"/>
      <c r="Q753" s="4"/>
      <c r="R753" s="4"/>
      <c r="S753" s="4"/>
      <c r="T753" s="4"/>
      <c r="U753" s="4"/>
      <c r="V753" s="4"/>
      <c r="W753" s="4"/>
      <c r="X753" s="4"/>
      <c r="Y753" s="4"/>
    </row>
    <row r="754" ht="15.75" customHeight="1">
      <c r="A754" s="4"/>
      <c r="B754" s="19"/>
      <c r="C754" s="4"/>
      <c r="D754" s="4"/>
      <c r="E754" s="4"/>
      <c r="F754" s="4"/>
      <c r="G754" s="4"/>
      <c r="H754" s="4"/>
      <c r="I754" s="4"/>
      <c r="J754" s="4"/>
      <c r="K754" s="4"/>
      <c r="L754" s="4"/>
      <c r="M754" s="4"/>
      <c r="N754" s="4"/>
      <c r="O754" s="4"/>
      <c r="P754" s="4"/>
      <c r="Q754" s="4"/>
      <c r="R754" s="4"/>
      <c r="S754" s="4"/>
      <c r="T754" s="4"/>
      <c r="U754" s="4"/>
      <c r="V754" s="4"/>
      <c r="W754" s="4"/>
      <c r="X754" s="4"/>
      <c r="Y754" s="4"/>
    </row>
    <row r="755" ht="15.75" customHeight="1">
      <c r="A755" s="4"/>
      <c r="B755" s="19"/>
      <c r="C755" s="4"/>
      <c r="D755" s="4"/>
      <c r="E755" s="4"/>
      <c r="F755" s="4"/>
      <c r="G755" s="4"/>
      <c r="H755" s="4"/>
      <c r="I755" s="4"/>
      <c r="J755" s="4"/>
      <c r="K755" s="4"/>
      <c r="L755" s="4"/>
      <c r="M755" s="4"/>
      <c r="N755" s="4"/>
      <c r="O755" s="4"/>
      <c r="P755" s="4"/>
      <c r="Q755" s="4"/>
      <c r="R755" s="4"/>
      <c r="S755" s="4"/>
      <c r="T755" s="4"/>
      <c r="U755" s="4"/>
      <c r="V755" s="4"/>
      <c r="W755" s="4"/>
      <c r="X755" s="4"/>
      <c r="Y755" s="4"/>
    </row>
    <row r="756" ht="15.75" customHeight="1">
      <c r="A756" s="4"/>
      <c r="B756" s="19"/>
      <c r="C756" s="4"/>
      <c r="D756" s="4"/>
      <c r="E756" s="4"/>
      <c r="F756" s="4"/>
      <c r="G756" s="4"/>
      <c r="H756" s="4"/>
      <c r="I756" s="4"/>
      <c r="J756" s="4"/>
      <c r="K756" s="4"/>
      <c r="L756" s="4"/>
      <c r="M756" s="4"/>
      <c r="N756" s="4"/>
      <c r="O756" s="4"/>
      <c r="P756" s="4"/>
      <c r="Q756" s="4"/>
      <c r="R756" s="4"/>
      <c r="S756" s="4"/>
      <c r="T756" s="4"/>
      <c r="U756" s="4"/>
      <c r="V756" s="4"/>
      <c r="W756" s="4"/>
      <c r="X756" s="4"/>
      <c r="Y756" s="4"/>
    </row>
    <row r="757" ht="15.75" customHeight="1">
      <c r="A757" s="4"/>
      <c r="B757" s="19"/>
      <c r="C757" s="4"/>
      <c r="D757" s="4"/>
      <c r="E757" s="4"/>
      <c r="F757" s="4"/>
      <c r="G757" s="4"/>
      <c r="H757" s="4"/>
      <c r="I757" s="4"/>
      <c r="J757" s="4"/>
      <c r="K757" s="4"/>
      <c r="L757" s="4"/>
      <c r="M757" s="4"/>
      <c r="N757" s="4"/>
      <c r="O757" s="4"/>
      <c r="P757" s="4"/>
      <c r="Q757" s="4"/>
      <c r="R757" s="4"/>
      <c r="S757" s="4"/>
      <c r="T757" s="4"/>
      <c r="U757" s="4"/>
      <c r="V757" s="4"/>
      <c r="W757" s="4"/>
      <c r="X757" s="4"/>
      <c r="Y757" s="4"/>
    </row>
    <row r="758" ht="15.75" customHeight="1">
      <c r="A758" s="4"/>
      <c r="B758" s="19"/>
      <c r="C758" s="4"/>
      <c r="D758" s="4"/>
      <c r="E758" s="4"/>
      <c r="F758" s="4"/>
      <c r="G758" s="4"/>
      <c r="H758" s="4"/>
      <c r="I758" s="4"/>
      <c r="J758" s="4"/>
      <c r="K758" s="4"/>
      <c r="L758" s="4"/>
      <c r="M758" s="4"/>
      <c r="N758" s="4"/>
      <c r="O758" s="4"/>
      <c r="P758" s="4"/>
      <c r="Q758" s="4"/>
      <c r="R758" s="4"/>
      <c r="S758" s="4"/>
      <c r="T758" s="4"/>
      <c r="U758" s="4"/>
      <c r="V758" s="4"/>
      <c r="W758" s="4"/>
      <c r="X758" s="4"/>
      <c r="Y758" s="4"/>
    </row>
    <row r="759" ht="15.75" customHeight="1">
      <c r="A759" s="4"/>
      <c r="B759" s="19"/>
      <c r="C759" s="4"/>
      <c r="D759" s="4"/>
      <c r="E759" s="4"/>
      <c r="F759" s="4"/>
      <c r="G759" s="4"/>
      <c r="H759" s="4"/>
      <c r="I759" s="4"/>
      <c r="J759" s="4"/>
      <c r="K759" s="4"/>
      <c r="L759" s="4"/>
      <c r="M759" s="4"/>
      <c r="N759" s="4"/>
      <c r="O759" s="4"/>
      <c r="P759" s="4"/>
      <c r="Q759" s="4"/>
      <c r="R759" s="4"/>
      <c r="S759" s="4"/>
      <c r="T759" s="4"/>
      <c r="U759" s="4"/>
      <c r="V759" s="4"/>
      <c r="W759" s="4"/>
      <c r="X759" s="4"/>
      <c r="Y759" s="4"/>
    </row>
    <row r="760" ht="15.75" customHeight="1">
      <c r="A760" s="4"/>
      <c r="B760" s="19"/>
      <c r="C760" s="4"/>
      <c r="D760" s="4"/>
      <c r="E760" s="4"/>
      <c r="F760" s="4"/>
      <c r="G760" s="4"/>
      <c r="H760" s="4"/>
      <c r="I760" s="4"/>
      <c r="J760" s="4"/>
      <c r="K760" s="4"/>
      <c r="L760" s="4"/>
      <c r="M760" s="4"/>
      <c r="N760" s="4"/>
      <c r="O760" s="4"/>
      <c r="P760" s="4"/>
      <c r="Q760" s="4"/>
      <c r="R760" s="4"/>
      <c r="S760" s="4"/>
      <c r="T760" s="4"/>
      <c r="U760" s="4"/>
      <c r="V760" s="4"/>
      <c r="W760" s="4"/>
      <c r="X760" s="4"/>
      <c r="Y760" s="4"/>
    </row>
    <row r="761" ht="15.75" customHeight="1">
      <c r="A761" s="4"/>
      <c r="B761" s="19"/>
      <c r="C761" s="4"/>
      <c r="D761" s="4"/>
      <c r="E761" s="4"/>
      <c r="F761" s="4"/>
      <c r="G761" s="4"/>
      <c r="H761" s="4"/>
      <c r="I761" s="4"/>
      <c r="J761" s="4"/>
      <c r="K761" s="4"/>
      <c r="L761" s="4"/>
      <c r="M761" s="4"/>
      <c r="N761" s="4"/>
      <c r="O761" s="4"/>
      <c r="P761" s="4"/>
      <c r="Q761" s="4"/>
      <c r="R761" s="4"/>
      <c r="S761" s="4"/>
      <c r="T761" s="4"/>
      <c r="U761" s="4"/>
      <c r="V761" s="4"/>
      <c r="W761" s="4"/>
      <c r="X761" s="4"/>
      <c r="Y761" s="4"/>
    </row>
    <row r="762" ht="15.75" customHeight="1">
      <c r="A762" s="4"/>
      <c r="B762" s="19"/>
      <c r="C762" s="4"/>
      <c r="D762" s="4"/>
      <c r="E762" s="4"/>
      <c r="F762" s="4"/>
      <c r="G762" s="4"/>
      <c r="H762" s="4"/>
      <c r="I762" s="4"/>
      <c r="J762" s="4"/>
      <c r="K762" s="4"/>
      <c r="L762" s="4"/>
      <c r="M762" s="4"/>
      <c r="N762" s="4"/>
      <c r="O762" s="4"/>
      <c r="P762" s="4"/>
      <c r="Q762" s="4"/>
      <c r="R762" s="4"/>
      <c r="S762" s="4"/>
      <c r="T762" s="4"/>
      <c r="U762" s="4"/>
      <c r="V762" s="4"/>
      <c r="W762" s="4"/>
      <c r="X762" s="4"/>
      <c r="Y762" s="4"/>
    </row>
    <row r="763" ht="15.75" customHeight="1">
      <c r="A763" s="4"/>
      <c r="B763" s="19"/>
      <c r="C763" s="4"/>
      <c r="D763" s="4"/>
      <c r="E763" s="4"/>
      <c r="F763" s="4"/>
      <c r="G763" s="4"/>
      <c r="H763" s="4"/>
      <c r="I763" s="4"/>
      <c r="J763" s="4"/>
      <c r="K763" s="4"/>
      <c r="L763" s="4"/>
      <c r="M763" s="4"/>
      <c r="N763" s="4"/>
      <c r="O763" s="4"/>
      <c r="P763" s="4"/>
      <c r="Q763" s="4"/>
      <c r="R763" s="4"/>
      <c r="S763" s="4"/>
      <c r="T763" s="4"/>
      <c r="U763" s="4"/>
      <c r="V763" s="4"/>
      <c r="W763" s="4"/>
      <c r="X763" s="4"/>
      <c r="Y763" s="4"/>
    </row>
    <row r="764" ht="15.75" customHeight="1">
      <c r="A764" s="4"/>
      <c r="B764" s="19"/>
      <c r="C764" s="4"/>
      <c r="D764" s="4"/>
      <c r="E764" s="4"/>
      <c r="F764" s="4"/>
      <c r="G764" s="4"/>
      <c r="H764" s="4"/>
      <c r="I764" s="4"/>
      <c r="J764" s="4"/>
      <c r="K764" s="4"/>
      <c r="L764" s="4"/>
      <c r="M764" s="4"/>
      <c r="N764" s="4"/>
      <c r="O764" s="4"/>
      <c r="P764" s="4"/>
      <c r="Q764" s="4"/>
      <c r="R764" s="4"/>
      <c r="S764" s="4"/>
      <c r="T764" s="4"/>
      <c r="U764" s="4"/>
      <c r="V764" s="4"/>
      <c r="W764" s="4"/>
      <c r="X764" s="4"/>
      <c r="Y764" s="4"/>
    </row>
    <row r="765" ht="15.75" customHeight="1">
      <c r="A765" s="4"/>
      <c r="B765" s="19"/>
      <c r="C765" s="4"/>
      <c r="D765" s="4"/>
      <c r="E765" s="4"/>
      <c r="F765" s="4"/>
      <c r="G765" s="4"/>
      <c r="H765" s="4"/>
      <c r="I765" s="4"/>
      <c r="J765" s="4"/>
      <c r="K765" s="4"/>
      <c r="L765" s="4"/>
      <c r="M765" s="4"/>
      <c r="N765" s="4"/>
      <c r="O765" s="4"/>
      <c r="P765" s="4"/>
      <c r="Q765" s="4"/>
      <c r="R765" s="4"/>
      <c r="S765" s="4"/>
      <c r="T765" s="4"/>
      <c r="U765" s="4"/>
      <c r="V765" s="4"/>
      <c r="W765" s="4"/>
      <c r="X765" s="4"/>
      <c r="Y765" s="4"/>
    </row>
    <row r="766" ht="15.75" customHeight="1">
      <c r="A766" s="4"/>
      <c r="B766" s="19"/>
      <c r="C766" s="4"/>
      <c r="D766" s="4"/>
      <c r="E766" s="4"/>
      <c r="F766" s="4"/>
      <c r="G766" s="4"/>
      <c r="H766" s="4"/>
      <c r="I766" s="4"/>
      <c r="J766" s="4"/>
      <c r="K766" s="4"/>
      <c r="L766" s="4"/>
      <c r="M766" s="4"/>
      <c r="N766" s="4"/>
      <c r="O766" s="4"/>
      <c r="P766" s="4"/>
      <c r="Q766" s="4"/>
      <c r="R766" s="4"/>
      <c r="S766" s="4"/>
      <c r="T766" s="4"/>
      <c r="U766" s="4"/>
      <c r="V766" s="4"/>
      <c r="W766" s="4"/>
      <c r="X766" s="4"/>
      <c r="Y766" s="4"/>
    </row>
    <row r="767" ht="15.75" customHeight="1">
      <c r="A767" s="4"/>
      <c r="B767" s="19"/>
      <c r="C767" s="4"/>
      <c r="D767" s="4"/>
      <c r="E767" s="4"/>
      <c r="F767" s="4"/>
      <c r="G767" s="4"/>
      <c r="H767" s="4"/>
      <c r="I767" s="4"/>
      <c r="J767" s="4"/>
      <c r="K767" s="4"/>
      <c r="L767" s="4"/>
      <c r="M767" s="4"/>
      <c r="N767" s="4"/>
      <c r="O767" s="4"/>
      <c r="P767" s="4"/>
      <c r="Q767" s="4"/>
      <c r="R767" s="4"/>
      <c r="S767" s="4"/>
      <c r="T767" s="4"/>
      <c r="U767" s="4"/>
      <c r="V767" s="4"/>
      <c r="W767" s="4"/>
      <c r="X767" s="4"/>
      <c r="Y767" s="4"/>
    </row>
    <row r="768" ht="15.75" customHeight="1">
      <c r="A768" s="4"/>
      <c r="B768" s="19"/>
      <c r="C768" s="4"/>
      <c r="D768" s="4"/>
      <c r="E768" s="4"/>
      <c r="F768" s="4"/>
      <c r="G768" s="4"/>
      <c r="H768" s="4"/>
      <c r="I768" s="4"/>
      <c r="J768" s="4"/>
      <c r="K768" s="4"/>
      <c r="L768" s="4"/>
      <c r="M768" s="4"/>
      <c r="N768" s="4"/>
      <c r="O768" s="4"/>
      <c r="P768" s="4"/>
      <c r="Q768" s="4"/>
      <c r="R768" s="4"/>
      <c r="S768" s="4"/>
      <c r="T768" s="4"/>
      <c r="U768" s="4"/>
      <c r="V768" s="4"/>
      <c r="W768" s="4"/>
      <c r="X768" s="4"/>
      <c r="Y768" s="4"/>
    </row>
    <row r="769" ht="15.75" customHeight="1">
      <c r="A769" s="4"/>
      <c r="B769" s="19"/>
      <c r="C769" s="4"/>
      <c r="D769" s="4"/>
      <c r="E769" s="4"/>
      <c r="F769" s="4"/>
      <c r="G769" s="4"/>
      <c r="H769" s="4"/>
      <c r="I769" s="4"/>
      <c r="J769" s="4"/>
      <c r="K769" s="4"/>
      <c r="L769" s="4"/>
      <c r="M769" s="4"/>
      <c r="N769" s="4"/>
      <c r="O769" s="4"/>
      <c r="P769" s="4"/>
      <c r="Q769" s="4"/>
      <c r="R769" s="4"/>
      <c r="S769" s="4"/>
      <c r="T769" s="4"/>
      <c r="U769" s="4"/>
      <c r="V769" s="4"/>
      <c r="W769" s="4"/>
      <c r="X769" s="4"/>
      <c r="Y769" s="4"/>
    </row>
    <row r="770" ht="15.75" customHeight="1">
      <c r="A770" s="4"/>
      <c r="B770" s="19"/>
      <c r="C770" s="4"/>
      <c r="D770" s="4"/>
      <c r="E770" s="4"/>
      <c r="F770" s="4"/>
      <c r="G770" s="4"/>
      <c r="H770" s="4"/>
      <c r="I770" s="4"/>
      <c r="J770" s="4"/>
      <c r="K770" s="4"/>
      <c r="L770" s="4"/>
      <c r="M770" s="4"/>
      <c r="N770" s="4"/>
      <c r="O770" s="4"/>
      <c r="P770" s="4"/>
      <c r="Q770" s="4"/>
      <c r="R770" s="4"/>
      <c r="S770" s="4"/>
      <c r="T770" s="4"/>
      <c r="U770" s="4"/>
      <c r="V770" s="4"/>
      <c r="W770" s="4"/>
      <c r="X770" s="4"/>
      <c r="Y770" s="4"/>
    </row>
    <row r="771" ht="15.75" customHeight="1">
      <c r="A771" s="4"/>
      <c r="B771" s="19"/>
      <c r="C771" s="4"/>
      <c r="D771" s="4"/>
      <c r="E771" s="4"/>
      <c r="F771" s="4"/>
      <c r="G771" s="4"/>
      <c r="H771" s="4"/>
      <c r="I771" s="4"/>
      <c r="J771" s="4"/>
      <c r="K771" s="4"/>
      <c r="L771" s="4"/>
      <c r="M771" s="4"/>
      <c r="N771" s="4"/>
      <c r="O771" s="4"/>
      <c r="P771" s="4"/>
      <c r="Q771" s="4"/>
      <c r="R771" s="4"/>
      <c r="S771" s="4"/>
      <c r="T771" s="4"/>
      <c r="U771" s="4"/>
      <c r="V771" s="4"/>
      <c r="W771" s="4"/>
      <c r="X771" s="4"/>
      <c r="Y771" s="4"/>
    </row>
    <row r="772" ht="15.75" customHeight="1">
      <c r="A772" s="4"/>
      <c r="B772" s="19"/>
      <c r="C772" s="4"/>
      <c r="D772" s="4"/>
      <c r="E772" s="4"/>
      <c r="F772" s="4"/>
      <c r="G772" s="4"/>
      <c r="H772" s="4"/>
      <c r="I772" s="4"/>
      <c r="J772" s="4"/>
      <c r="K772" s="4"/>
      <c r="L772" s="4"/>
      <c r="M772" s="4"/>
      <c r="N772" s="4"/>
      <c r="O772" s="4"/>
      <c r="P772" s="4"/>
      <c r="Q772" s="4"/>
      <c r="R772" s="4"/>
      <c r="S772" s="4"/>
      <c r="T772" s="4"/>
      <c r="U772" s="4"/>
      <c r="V772" s="4"/>
      <c r="W772" s="4"/>
      <c r="X772" s="4"/>
      <c r="Y772" s="4"/>
    </row>
    <row r="773" ht="15.75" customHeight="1">
      <c r="A773" s="4"/>
      <c r="B773" s="19"/>
      <c r="C773" s="4"/>
      <c r="D773" s="4"/>
      <c r="E773" s="4"/>
      <c r="F773" s="4"/>
      <c r="G773" s="4"/>
      <c r="H773" s="4"/>
      <c r="I773" s="4"/>
      <c r="J773" s="4"/>
      <c r="K773" s="4"/>
      <c r="L773" s="4"/>
      <c r="M773" s="4"/>
      <c r="N773" s="4"/>
      <c r="O773" s="4"/>
      <c r="P773" s="4"/>
      <c r="Q773" s="4"/>
      <c r="R773" s="4"/>
      <c r="S773" s="4"/>
      <c r="T773" s="4"/>
      <c r="U773" s="4"/>
      <c r="V773" s="4"/>
      <c r="W773" s="4"/>
      <c r="X773" s="4"/>
      <c r="Y773" s="4"/>
    </row>
    <row r="774" ht="15.75" customHeight="1">
      <c r="A774" s="4"/>
      <c r="B774" s="19"/>
      <c r="C774" s="4"/>
      <c r="D774" s="4"/>
      <c r="E774" s="4"/>
      <c r="F774" s="4"/>
      <c r="G774" s="4"/>
      <c r="H774" s="4"/>
      <c r="I774" s="4"/>
      <c r="J774" s="4"/>
      <c r="K774" s="4"/>
      <c r="L774" s="4"/>
      <c r="M774" s="4"/>
      <c r="N774" s="4"/>
      <c r="O774" s="4"/>
      <c r="P774" s="4"/>
      <c r="Q774" s="4"/>
      <c r="R774" s="4"/>
      <c r="S774" s="4"/>
      <c r="T774" s="4"/>
      <c r="U774" s="4"/>
      <c r="V774" s="4"/>
      <c r="W774" s="4"/>
      <c r="X774" s="4"/>
      <c r="Y774" s="4"/>
    </row>
    <row r="775" ht="15.75" customHeight="1">
      <c r="A775" s="4"/>
      <c r="B775" s="19"/>
      <c r="C775" s="4"/>
      <c r="D775" s="4"/>
      <c r="E775" s="4"/>
      <c r="F775" s="4"/>
      <c r="G775" s="4"/>
      <c r="H775" s="4"/>
      <c r="I775" s="4"/>
      <c r="J775" s="4"/>
      <c r="K775" s="4"/>
      <c r="L775" s="4"/>
      <c r="M775" s="4"/>
      <c r="N775" s="4"/>
      <c r="O775" s="4"/>
      <c r="P775" s="4"/>
      <c r="Q775" s="4"/>
      <c r="R775" s="4"/>
      <c r="S775" s="4"/>
      <c r="T775" s="4"/>
      <c r="U775" s="4"/>
      <c r="V775" s="4"/>
      <c r="W775" s="4"/>
      <c r="X775" s="4"/>
      <c r="Y775" s="4"/>
    </row>
    <row r="776" ht="15.75" customHeight="1">
      <c r="A776" s="4"/>
      <c r="B776" s="19"/>
      <c r="C776" s="4"/>
      <c r="D776" s="4"/>
      <c r="E776" s="4"/>
      <c r="F776" s="4"/>
      <c r="G776" s="4"/>
      <c r="H776" s="4"/>
      <c r="I776" s="4"/>
      <c r="J776" s="4"/>
      <c r="K776" s="4"/>
      <c r="L776" s="4"/>
      <c r="M776" s="4"/>
      <c r="N776" s="4"/>
      <c r="O776" s="4"/>
      <c r="P776" s="4"/>
      <c r="Q776" s="4"/>
      <c r="R776" s="4"/>
      <c r="S776" s="4"/>
      <c r="T776" s="4"/>
      <c r="U776" s="4"/>
      <c r="V776" s="4"/>
      <c r="W776" s="4"/>
      <c r="X776" s="4"/>
      <c r="Y776" s="4"/>
    </row>
    <row r="777" ht="15.75" customHeight="1">
      <c r="A777" s="4"/>
      <c r="B777" s="19"/>
      <c r="C777" s="4"/>
      <c r="D777" s="4"/>
      <c r="E777" s="4"/>
      <c r="F777" s="4"/>
      <c r="G777" s="4"/>
      <c r="H777" s="4"/>
      <c r="I777" s="4"/>
      <c r="J777" s="4"/>
      <c r="K777" s="4"/>
      <c r="L777" s="4"/>
      <c r="M777" s="4"/>
      <c r="N777" s="4"/>
      <c r="O777" s="4"/>
      <c r="P777" s="4"/>
      <c r="Q777" s="4"/>
      <c r="R777" s="4"/>
      <c r="S777" s="4"/>
      <c r="T777" s="4"/>
      <c r="U777" s="4"/>
      <c r="V777" s="4"/>
      <c r="W777" s="4"/>
      <c r="X777" s="4"/>
      <c r="Y777" s="4"/>
    </row>
    <row r="778" ht="15.75" customHeight="1">
      <c r="A778" s="4"/>
      <c r="B778" s="19"/>
      <c r="C778" s="4"/>
      <c r="D778" s="4"/>
      <c r="E778" s="4"/>
      <c r="F778" s="4"/>
      <c r="G778" s="4"/>
      <c r="H778" s="4"/>
      <c r="I778" s="4"/>
      <c r="J778" s="4"/>
      <c r="K778" s="4"/>
      <c r="L778" s="4"/>
      <c r="M778" s="4"/>
      <c r="N778" s="4"/>
      <c r="O778" s="4"/>
      <c r="P778" s="4"/>
      <c r="Q778" s="4"/>
      <c r="R778" s="4"/>
      <c r="S778" s="4"/>
      <c r="T778" s="4"/>
      <c r="U778" s="4"/>
      <c r="V778" s="4"/>
      <c r="W778" s="4"/>
      <c r="X778" s="4"/>
      <c r="Y778" s="4"/>
    </row>
    <row r="779" ht="15.75" customHeight="1">
      <c r="A779" s="4"/>
      <c r="B779" s="19"/>
      <c r="C779" s="4"/>
      <c r="D779" s="4"/>
      <c r="E779" s="4"/>
      <c r="F779" s="4"/>
      <c r="G779" s="4"/>
      <c r="H779" s="4"/>
      <c r="I779" s="4"/>
      <c r="J779" s="4"/>
      <c r="K779" s="4"/>
      <c r="L779" s="4"/>
      <c r="M779" s="4"/>
      <c r="N779" s="4"/>
      <c r="O779" s="4"/>
      <c r="P779" s="4"/>
      <c r="Q779" s="4"/>
      <c r="R779" s="4"/>
      <c r="S779" s="4"/>
      <c r="T779" s="4"/>
      <c r="U779" s="4"/>
      <c r="V779" s="4"/>
      <c r="W779" s="4"/>
      <c r="X779" s="4"/>
      <c r="Y779" s="4"/>
    </row>
    <row r="780" ht="15.75" customHeight="1">
      <c r="A780" s="4"/>
      <c r="B780" s="19"/>
      <c r="C780" s="4"/>
      <c r="D780" s="4"/>
      <c r="E780" s="4"/>
      <c r="F780" s="4"/>
      <c r="G780" s="4"/>
      <c r="H780" s="4"/>
      <c r="I780" s="4"/>
      <c r="J780" s="4"/>
      <c r="K780" s="4"/>
      <c r="L780" s="4"/>
      <c r="M780" s="4"/>
      <c r="N780" s="4"/>
      <c r="O780" s="4"/>
      <c r="P780" s="4"/>
      <c r="Q780" s="4"/>
      <c r="R780" s="4"/>
      <c r="S780" s="4"/>
      <c r="T780" s="4"/>
      <c r="U780" s="4"/>
      <c r="V780" s="4"/>
      <c r="W780" s="4"/>
      <c r="X780" s="4"/>
      <c r="Y780" s="4"/>
    </row>
    <row r="781" ht="15.75" customHeight="1">
      <c r="A781" s="4"/>
      <c r="B781" s="19"/>
      <c r="C781" s="4"/>
      <c r="D781" s="4"/>
      <c r="E781" s="4"/>
      <c r="F781" s="4"/>
      <c r="G781" s="4"/>
      <c r="H781" s="4"/>
      <c r="I781" s="4"/>
      <c r="J781" s="4"/>
      <c r="K781" s="4"/>
      <c r="L781" s="4"/>
      <c r="M781" s="4"/>
      <c r="N781" s="4"/>
      <c r="O781" s="4"/>
      <c r="P781" s="4"/>
      <c r="Q781" s="4"/>
      <c r="R781" s="4"/>
      <c r="S781" s="4"/>
      <c r="T781" s="4"/>
      <c r="U781" s="4"/>
      <c r="V781" s="4"/>
      <c r="W781" s="4"/>
      <c r="X781" s="4"/>
      <c r="Y781" s="4"/>
    </row>
    <row r="782" ht="15.75" customHeight="1">
      <c r="A782" s="4"/>
      <c r="B782" s="19"/>
      <c r="C782" s="4"/>
      <c r="D782" s="4"/>
      <c r="E782" s="4"/>
      <c r="F782" s="4"/>
      <c r="G782" s="4"/>
      <c r="H782" s="4"/>
      <c r="I782" s="4"/>
      <c r="J782" s="4"/>
      <c r="K782" s="4"/>
      <c r="L782" s="4"/>
      <c r="M782" s="4"/>
      <c r="N782" s="4"/>
      <c r="O782" s="4"/>
      <c r="P782" s="4"/>
      <c r="Q782" s="4"/>
      <c r="R782" s="4"/>
      <c r="S782" s="4"/>
      <c r="T782" s="4"/>
      <c r="U782" s="4"/>
      <c r="V782" s="4"/>
      <c r="W782" s="4"/>
      <c r="X782" s="4"/>
      <c r="Y782" s="4"/>
    </row>
    <row r="783" ht="15.75" customHeight="1">
      <c r="A783" s="4"/>
      <c r="B783" s="19"/>
      <c r="C783" s="4"/>
      <c r="D783" s="4"/>
      <c r="E783" s="4"/>
      <c r="F783" s="4"/>
      <c r="G783" s="4"/>
      <c r="H783" s="4"/>
      <c r="I783" s="4"/>
      <c r="J783" s="4"/>
      <c r="K783" s="4"/>
      <c r="L783" s="4"/>
      <c r="M783" s="4"/>
      <c r="N783" s="4"/>
      <c r="O783" s="4"/>
      <c r="P783" s="4"/>
      <c r="Q783" s="4"/>
      <c r="R783" s="4"/>
      <c r="S783" s="4"/>
      <c r="T783" s="4"/>
      <c r="U783" s="4"/>
      <c r="V783" s="4"/>
      <c r="W783" s="4"/>
      <c r="X783" s="4"/>
      <c r="Y783" s="4"/>
    </row>
    <row r="784" ht="15.75" customHeight="1">
      <c r="A784" s="4"/>
      <c r="B784" s="19"/>
      <c r="C784" s="4"/>
      <c r="D784" s="4"/>
      <c r="E784" s="4"/>
      <c r="F784" s="4"/>
      <c r="G784" s="4"/>
      <c r="H784" s="4"/>
      <c r="I784" s="4"/>
      <c r="J784" s="4"/>
      <c r="K784" s="4"/>
      <c r="L784" s="4"/>
      <c r="M784" s="4"/>
      <c r="N784" s="4"/>
      <c r="O784" s="4"/>
      <c r="P784" s="4"/>
      <c r="Q784" s="4"/>
      <c r="R784" s="4"/>
      <c r="S784" s="4"/>
      <c r="T784" s="4"/>
      <c r="U784" s="4"/>
      <c r="V784" s="4"/>
      <c r="W784" s="4"/>
      <c r="X784" s="4"/>
      <c r="Y784" s="4"/>
    </row>
    <row r="785" ht="15.75" customHeight="1">
      <c r="A785" s="4"/>
      <c r="B785" s="19"/>
      <c r="C785" s="4"/>
      <c r="D785" s="4"/>
      <c r="E785" s="4"/>
      <c r="F785" s="4"/>
      <c r="G785" s="4"/>
      <c r="H785" s="4"/>
      <c r="I785" s="4"/>
      <c r="J785" s="4"/>
      <c r="K785" s="4"/>
      <c r="L785" s="4"/>
      <c r="M785" s="4"/>
      <c r="N785" s="4"/>
      <c r="O785" s="4"/>
      <c r="P785" s="4"/>
      <c r="Q785" s="4"/>
      <c r="R785" s="4"/>
      <c r="S785" s="4"/>
      <c r="T785" s="4"/>
      <c r="U785" s="4"/>
      <c r="V785" s="4"/>
      <c r="W785" s="4"/>
      <c r="X785" s="4"/>
      <c r="Y785" s="4"/>
    </row>
    <row r="786" ht="15.75" customHeight="1">
      <c r="A786" s="4"/>
      <c r="B786" s="19"/>
      <c r="C786" s="4"/>
      <c r="D786" s="4"/>
      <c r="E786" s="4"/>
      <c r="F786" s="4"/>
      <c r="G786" s="4"/>
      <c r="H786" s="4"/>
      <c r="I786" s="4"/>
      <c r="J786" s="4"/>
      <c r="K786" s="4"/>
      <c r="L786" s="4"/>
      <c r="M786" s="4"/>
      <c r="N786" s="4"/>
      <c r="O786" s="4"/>
      <c r="P786" s="4"/>
      <c r="Q786" s="4"/>
      <c r="R786" s="4"/>
      <c r="S786" s="4"/>
      <c r="T786" s="4"/>
      <c r="U786" s="4"/>
      <c r="V786" s="4"/>
      <c r="W786" s="4"/>
      <c r="X786" s="4"/>
      <c r="Y786" s="4"/>
    </row>
    <row r="787" ht="15.75" customHeight="1">
      <c r="A787" s="4"/>
      <c r="B787" s="19"/>
      <c r="C787" s="4"/>
      <c r="D787" s="4"/>
      <c r="E787" s="4"/>
      <c r="F787" s="4"/>
      <c r="G787" s="4"/>
      <c r="H787" s="4"/>
      <c r="I787" s="4"/>
      <c r="J787" s="4"/>
      <c r="K787" s="4"/>
      <c r="L787" s="4"/>
      <c r="M787" s="4"/>
      <c r="N787" s="4"/>
      <c r="O787" s="4"/>
      <c r="P787" s="4"/>
      <c r="Q787" s="4"/>
      <c r="R787" s="4"/>
      <c r="S787" s="4"/>
      <c r="T787" s="4"/>
      <c r="U787" s="4"/>
      <c r="V787" s="4"/>
      <c r="W787" s="4"/>
      <c r="X787" s="4"/>
      <c r="Y787" s="4"/>
    </row>
    <row r="788" ht="15.75" customHeight="1">
      <c r="A788" s="4"/>
      <c r="B788" s="19"/>
      <c r="C788" s="4"/>
      <c r="D788" s="4"/>
      <c r="E788" s="4"/>
      <c r="F788" s="4"/>
      <c r="G788" s="4"/>
      <c r="H788" s="4"/>
      <c r="I788" s="4"/>
      <c r="J788" s="4"/>
      <c r="K788" s="4"/>
      <c r="L788" s="4"/>
      <c r="M788" s="4"/>
      <c r="N788" s="4"/>
      <c r="O788" s="4"/>
      <c r="P788" s="4"/>
      <c r="Q788" s="4"/>
      <c r="R788" s="4"/>
      <c r="S788" s="4"/>
      <c r="T788" s="4"/>
      <c r="U788" s="4"/>
      <c r="V788" s="4"/>
      <c r="W788" s="4"/>
      <c r="X788" s="4"/>
      <c r="Y788" s="4"/>
    </row>
    <row r="789" ht="15.75" customHeight="1">
      <c r="A789" s="4"/>
      <c r="B789" s="19"/>
      <c r="C789" s="4"/>
      <c r="D789" s="4"/>
      <c r="E789" s="4"/>
      <c r="F789" s="4"/>
      <c r="G789" s="4"/>
      <c r="H789" s="4"/>
      <c r="I789" s="4"/>
      <c r="J789" s="4"/>
      <c r="K789" s="4"/>
      <c r="L789" s="4"/>
      <c r="M789" s="4"/>
      <c r="N789" s="4"/>
      <c r="O789" s="4"/>
      <c r="P789" s="4"/>
      <c r="Q789" s="4"/>
      <c r="R789" s="4"/>
      <c r="S789" s="4"/>
      <c r="T789" s="4"/>
      <c r="U789" s="4"/>
      <c r="V789" s="4"/>
      <c r="W789" s="4"/>
      <c r="X789" s="4"/>
      <c r="Y789" s="4"/>
    </row>
    <row r="790" ht="15.75" customHeight="1">
      <c r="A790" s="4"/>
      <c r="B790" s="19"/>
      <c r="C790" s="4"/>
      <c r="D790" s="4"/>
      <c r="E790" s="4"/>
      <c r="F790" s="4"/>
      <c r="G790" s="4"/>
      <c r="H790" s="4"/>
      <c r="I790" s="4"/>
      <c r="J790" s="4"/>
      <c r="K790" s="4"/>
      <c r="L790" s="4"/>
      <c r="M790" s="4"/>
      <c r="N790" s="4"/>
      <c r="O790" s="4"/>
      <c r="P790" s="4"/>
      <c r="Q790" s="4"/>
      <c r="R790" s="4"/>
      <c r="S790" s="4"/>
      <c r="T790" s="4"/>
      <c r="U790" s="4"/>
      <c r="V790" s="4"/>
      <c r="W790" s="4"/>
      <c r="X790" s="4"/>
      <c r="Y790" s="4"/>
    </row>
    <row r="791" ht="15.75" customHeight="1">
      <c r="A791" s="4"/>
      <c r="B791" s="19"/>
      <c r="C791" s="4"/>
      <c r="D791" s="4"/>
      <c r="E791" s="4"/>
      <c r="F791" s="4"/>
      <c r="G791" s="4"/>
      <c r="H791" s="4"/>
      <c r="I791" s="4"/>
      <c r="J791" s="4"/>
      <c r="K791" s="4"/>
      <c r="L791" s="4"/>
      <c r="M791" s="4"/>
      <c r="N791" s="4"/>
      <c r="O791" s="4"/>
      <c r="P791" s="4"/>
      <c r="Q791" s="4"/>
      <c r="R791" s="4"/>
      <c r="S791" s="4"/>
      <c r="T791" s="4"/>
      <c r="U791" s="4"/>
      <c r="V791" s="4"/>
      <c r="W791" s="4"/>
      <c r="X791" s="4"/>
      <c r="Y791" s="4"/>
    </row>
    <row r="792" ht="15.75" customHeight="1">
      <c r="A792" s="4"/>
      <c r="B792" s="19"/>
      <c r="C792" s="4"/>
      <c r="D792" s="4"/>
      <c r="E792" s="4"/>
      <c r="F792" s="4"/>
      <c r="G792" s="4"/>
      <c r="H792" s="4"/>
      <c r="I792" s="4"/>
      <c r="J792" s="4"/>
      <c r="K792" s="4"/>
      <c r="L792" s="4"/>
      <c r="M792" s="4"/>
      <c r="N792" s="4"/>
      <c r="O792" s="4"/>
      <c r="P792" s="4"/>
      <c r="Q792" s="4"/>
      <c r="R792" s="4"/>
      <c r="S792" s="4"/>
      <c r="T792" s="4"/>
      <c r="U792" s="4"/>
      <c r="V792" s="4"/>
      <c r="W792" s="4"/>
      <c r="X792" s="4"/>
      <c r="Y792" s="4"/>
    </row>
    <row r="793" ht="15.75" customHeight="1">
      <c r="A793" s="4"/>
      <c r="B793" s="19"/>
      <c r="C793" s="4"/>
      <c r="D793" s="4"/>
      <c r="E793" s="4"/>
      <c r="F793" s="4"/>
      <c r="G793" s="4"/>
      <c r="H793" s="4"/>
      <c r="I793" s="4"/>
      <c r="J793" s="4"/>
      <c r="K793" s="4"/>
      <c r="L793" s="4"/>
      <c r="M793" s="4"/>
      <c r="N793" s="4"/>
      <c r="O793" s="4"/>
      <c r="P793" s="4"/>
      <c r="Q793" s="4"/>
      <c r="R793" s="4"/>
      <c r="S793" s="4"/>
      <c r="T793" s="4"/>
      <c r="U793" s="4"/>
      <c r="V793" s="4"/>
      <c r="W793" s="4"/>
      <c r="X793" s="4"/>
      <c r="Y793" s="4"/>
    </row>
    <row r="794" ht="15.75" customHeight="1">
      <c r="A794" s="4"/>
      <c r="B794" s="19"/>
      <c r="C794" s="4"/>
      <c r="D794" s="4"/>
      <c r="E794" s="4"/>
      <c r="F794" s="4"/>
      <c r="G794" s="4"/>
      <c r="H794" s="4"/>
      <c r="I794" s="4"/>
      <c r="J794" s="4"/>
      <c r="K794" s="4"/>
      <c r="L794" s="4"/>
      <c r="M794" s="4"/>
      <c r="N794" s="4"/>
      <c r="O794" s="4"/>
      <c r="P794" s="4"/>
      <c r="Q794" s="4"/>
      <c r="R794" s="4"/>
      <c r="S794" s="4"/>
      <c r="T794" s="4"/>
      <c r="U794" s="4"/>
      <c r="V794" s="4"/>
      <c r="W794" s="4"/>
      <c r="X794" s="4"/>
      <c r="Y794" s="4"/>
    </row>
    <row r="795" ht="15.75" customHeight="1">
      <c r="A795" s="4"/>
      <c r="B795" s="19"/>
      <c r="C795" s="4"/>
      <c r="D795" s="4"/>
      <c r="E795" s="4"/>
      <c r="F795" s="4"/>
      <c r="G795" s="4"/>
      <c r="H795" s="4"/>
      <c r="I795" s="4"/>
      <c r="J795" s="4"/>
      <c r="K795" s="4"/>
      <c r="L795" s="4"/>
      <c r="M795" s="4"/>
      <c r="N795" s="4"/>
      <c r="O795" s="4"/>
      <c r="P795" s="4"/>
      <c r="Q795" s="4"/>
      <c r="R795" s="4"/>
      <c r="S795" s="4"/>
      <c r="T795" s="4"/>
      <c r="U795" s="4"/>
      <c r="V795" s="4"/>
      <c r="W795" s="4"/>
      <c r="X795" s="4"/>
      <c r="Y795" s="4"/>
    </row>
    <row r="796" ht="15.75" customHeight="1">
      <c r="A796" s="4"/>
      <c r="B796" s="19"/>
      <c r="C796" s="4"/>
      <c r="D796" s="4"/>
      <c r="E796" s="4"/>
      <c r="F796" s="4"/>
      <c r="G796" s="4"/>
      <c r="H796" s="4"/>
      <c r="I796" s="4"/>
      <c r="J796" s="4"/>
      <c r="K796" s="4"/>
      <c r="L796" s="4"/>
      <c r="M796" s="4"/>
      <c r="N796" s="4"/>
      <c r="O796" s="4"/>
      <c r="P796" s="4"/>
      <c r="Q796" s="4"/>
      <c r="R796" s="4"/>
      <c r="S796" s="4"/>
      <c r="T796" s="4"/>
      <c r="U796" s="4"/>
      <c r="V796" s="4"/>
      <c r="W796" s="4"/>
      <c r="X796" s="4"/>
      <c r="Y796" s="4"/>
    </row>
    <row r="797" ht="15.75" customHeight="1">
      <c r="A797" s="4"/>
      <c r="B797" s="19"/>
      <c r="C797" s="4"/>
      <c r="D797" s="4"/>
      <c r="E797" s="4"/>
      <c r="F797" s="4"/>
      <c r="G797" s="4"/>
      <c r="H797" s="4"/>
      <c r="I797" s="4"/>
      <c r="J797" s="4"/>
      <c r="K797" s="4"/>
      <c r="L797" s="4"/>
      <c r="M797" s="4"/>
      <c r="N797" s="4"/>
      <c r="O797" s="4"/>
      <c r="P797" s="4"/>
      <c r="Q797" s="4"/>
      <c r="R797" s="4"/>
      <c r="S797" s="4"/>
      <c r="T797" s="4"/>
      <c r="U797" s="4"/>
      <c r="V797" s="4"/>
      <c r="W797" s="4"/>
      <c r="X797" s="4"/>
      <c r="Y797" s="4"/>
    </row>
    <row r="798" ht="15.75" customHeight="1">
      <c r="A798" s="4"/>
      <c r="B798" s="19"/>
      <c r="C798" s="4"/>
      <c r="D798" s="4"/>
      <c r="E798" s="4"/>
      <c r="F798" s="4"/>
      <c r="G798" s="4"/>
      <c r="H798" s="4"/>
      <c r="I798" s="4"/>
      <c r="J798" s="4"/>
      <c r="K798" s="4"/>
      <c r="L798" s="4"/>
      <c r="M798" s="4"/>
      <c r="N798" s="4"/>
      <c r="O798" s="4"/>
      <c r="P798" s="4"/>
      <c r="Q798" s="4"/>
      <c r="R798" s="4"/>
      <c r="S798" s="4"/>
      <c r="T798" s="4"/>
      <c r="U798" s="4"/>
      <c r="V798" s="4"/>
      <c r="W798" s="4"/>
      <c r="X798" s="4"/>
      <c r="Y798" s="4"/>
    </row>
    <row r="799" ht="15.75" customHeight="1">
      <c r="A799" s="4"/>
      <c r="B799" s="19"/>
      <c r="C799" s="4"/>
      <c r="D799" s="4"/>
      <c r="E799" s="4"/>
      <c r="F799" s="4"/>
      <c r="G799" s="4"/>
      <c r="H799" s="4"/>
      <c r="I799" s="4"/>
      <c r="J799" s="4"/>
      <c r="K799" s="4"/>
      <c r="L799" s="4"/>
      <c r="M799" s="4"/>
      <c r="N799" s="4"/>
      <c r="O799" s="4"/>
      <c r="P799" s="4"/>
      <c r="Q799" s="4"/>
      <c r="R799" s="4"/>
      <c r="S799" s="4"/>
      <c r="T799" s="4"/>
      <c r="U799" s="4"/>
      <c r="V799" s="4"/>
      <c r="W799" s="4"/>
      <c r="X799" s="4"/>
      <c r="Y799" s="4"/>
    </row>
    <row r="800" ht="15.75" customHeight="1">
      <c r="A800" s="4"/>
      <c r="B800" s="19"/>
      <c r="C800" s="4"/>
      <c r="D800" s="4"/>
      <c r="E800" s="4"/>
      <c r="F800" s="4"/>
      <c r="G800" s="4"/>
      <c r="H800" s="4"/>
      <c r="I800" s="4"/>
      <c r="J800" s="4"/>
      <c r="K800" s="4"/>
      <c r="L800" s="4"/>
      <c r="M800" s="4"/>
      <c r="N800" s="4"/>
      <c r="O800" s="4"/>
      <c r="P800" s="4"/>
      <c r="Q800" s="4"/>
      <c r="R800" s="4"/>
      <c r="S800" s="4"/>
      <c r="T800" s="4"/>
      <c r="U800" s="4"/>
      <c r="V800" s="4"/>
      <c r="W800" s="4"/>
      <c r="X800" s="4"/>
      <c r="Y800" s="4"/>
    </row>
    <row r="801" ht="15.75" customHeight="1">
      <c r="A801" s="4"/>
      <c r="B801" s="19"/>
      <c r="C801" s="4"/>
      <c r="D801" s="4"/>
      <c r="E801" s="4"/>
      <c r="F801" s="4"/>
      <c r="G801" s="4"/>
      <c r="H801" s="4"/>
      <c r="I801" s="4"/>
      <c r="J801" s="4"/>
      <c r="K801" s="4"/>
      <c r="L801" s="4"/>
      <c r="M801" s="4"/>
      <c r="N801" s="4"/>
      <c r="O801" s="4"/>
      <c r="P801" s="4"/>
      <c r="Q801" s="4"/>
      <c r="R801" s="4"/>
      <c r="S801" s="4"/>
      <c r="T801" s="4"/>
      <c r="U801" s="4"/>
      <c r="V801" s="4"/>
      <c r="W801" s="4"/>
      <c r="X801" s="4"/>
      <c r="Y801" s="4"/>
    </row>
    <row r="802" ht="15.75" customHeight="1">
      <c r="A802" s="4"/>
      <c r="B802" s="19"/>
      <c r="C802" s="4"/>
      <c r="D802" s="4"/>
      <c r="E802" s="4"/>
      <c r="F802" s="4"/>
      <c r="G802" s="4"/>
      <c r="H802" s="4"/>
      <c r="I802" s="4"/>
      <c r="J802" s="4"/>
      <c r="K802" s="4"/>
      <c r="L802" s="4"/>
      <c r="M802" s="4"/>
      <c r="N802" s="4"/>
      <c r="O802" s="4"/>
      <c r="P802" s="4"/>
      <c r="Q802" s="4"/>
      <c r="R802" s="4"/>
      <c r="S802" s="4"/>
      <c r="T802" s="4"/>
      <c r="U802" s="4"/>
      <c r="V802" s="4"/>
      <c r="W802" s="4"/>
      <c r="X802" s="4"/>
      <c r="Y802" s="4"/>
    </row>
    <row r="803" ht="15.75" customHeight="1">
      <c r="A803" s="4"/>
      <c r="B803" s="19"/>
      <c r="C803" s="4"/>
      <c r="D803" s="4"/>
      <c r="E803" s="4"/>
      <c r="F803" s="4"/>
      <c r="G803" s="4"/>
      <c r="H803" s="4"/>
      <c r="I803" s="4"/>
      <c r="J803" s="4"/>
      <c r="K803" s="4"/>
      <c r="L803" s="4"/>
      <c r="M803" s="4"/>
      <c r="N803" s="4"/>
      <c r="O803" s="4"/>
      <c r="P803" s="4"/>
      <c r="Q803" s="4"/>
      <c r="R803" s="4"/>
      <c r="S803" s="4"/>
      <c r="T803" s="4"/>
      <c r="U803" s="4"/>
      <c r="V803" s="4"/>
      <c r="W803" s="4"/>
      <c r="X803" s="4"/>
      <c r="Y803" s="4"/>
    </row>
    <row r="804" ht="15.75" customHeight="1">
      <c r="A804" s="4"/>
      <c r="B804" s="19"/>
      <c r="C804" s="4"/>
      <c r="D804" s="4"/>
      <c r="E804" s="4"/>
      <c r="F804" s="4"/>
      <c r="G804" s="4"/>
      <c r="H804" s="4"/>
      <c r="I804" s="4"/>
      <c r="J804" s="4"/>
      <c r="K804" s="4"/>
      <c r="L804" s="4"/>
      <c r="M804" s="4"/>
      <c r="N804" s="4"/>
      <c r="O804" s="4"/>
      <c r="P804" s="4"/>
      <c r="Q804" s="4"/>
      <c r="R804" s="4"/>
      <c r="S804" s="4"/>
      <c r="T804" s="4"/>
      <c r="U804" s="4"/>
      <c r="V804" s="4"/>
      <c r="W804" s="4"/>
      <c r="X804" s="4"/>
      <c r="Y804" s="4"/>
    </row>
    <row r="805" ht="15.75" customHeight="1">
      <c r="A805" s="4"/>
      <c r="B805" s="19"/>
      <c r="C805" s="4"/>
      <c r="D805" s="4"/>
      <c r="E805" s="4"/>
      <c r="F805" s="4"/>
      <c r="G805" s="4"/>
      <c r="H805" s="4"/>
      <c r="I805" s="4"/>
      <c r="J805" s="4"/>
      <c r="K805" s="4"/>
      <c r="L805" s="4"/>
      <c r="M805" s="4"/>
      <c r="N805" s="4"/>
      <c r="O805" s="4"/>
      <c r="P805" s="4"/>
      <c r="Q805" s="4"/>
      <c r="R805" s="4"/>
      <c r="S805" s="4"/>
      <c r="T805" s="4"/>
      <c r="U805" s="4"/>
      <c r="V805" s="4"/>
      <c r="W805" s="4"/>
      <c r="X805" s="4"/>
      <c r="Y805" s="4"/>
    </row>
    <row r="806" ht="15.75" customHeight="1">
      <c r="A806" s="4"/>
      <c r="B806" s="19"/>
      <c r="C806" s="4"/>
      <c r="D806" s="4"/>
      <c r="E806" s="4"/>
      <c r="F806" s="4"/>
      <c r="G806" s="4"/>
      <c r="H806" s="4"/>
      <c r="I806" s="4"/>
      <c r="J806" s="4"/>
      <c r="K806" s="4"/>
      <c r="L806" s="4"/>
      <c r="M806" s="4"/>
      <c r="N806" s="4"/>
      <c r="O806" s="4"/>
      <c r="P806" s="4"/>
      <c r="Q806" s="4"/>
      <c r="R806" s="4"/>
      <c r="S806" s="4"/>
      <c r="T806" s="4"/>
      <c r="U806" s="4"/>
      <c r="V806" s="4"/>
      <c r="W806" s="4"/>
      <c r="X806" s="4"/>
      <c r="Y806" s="4"/>
    </row>
    <row r="807" ht="15.75" customHeight="1">
      <c r="A807" s="4"/>
      <c r="B807" s="19"/>
      <c r="C807" s="4"/>
      <c r="D807" s="4"/>
      <c r="E807" s="4"/>
      <c r="F807" s="4"/>
      <c r="G807" s="4"/>
      <c r="H807" s="4"/>
      <c r="I807" s="4"/>
      <c r="J807" s="4"/>
      <c r="K807" s="4"/>
      <c r="L807" s="4"/>
      <c r="M807" s="4"/>
      <c r="N807" s="4"/>
      <c r="O807" s="4"/>
      <c r="P807" s="4"/>
      <c r="Q807" s="4"/>
      <c r="R807" s="4"/>
      <c r="S807" s="4"/>
      <c r="T807" s="4"/>
      <c r="U807" s="4"/>
      <c r="V807" s="4"/>
      <c r="W807" s="4"/>
      <c r="X807" s="4"/>
      <c r="Y807" s="4"/>
    </row>
    <row r="808" ht="15.75" customHeight="1">
      <c r="A808" s="4"/>
      <c r="B808" s="19"/>
      <c r="C808" s="4"/>
      <c r="D808" s="4"/>
      <c r="E808" s="4"/>
      <c r="F808" s="4"/>
      <c r="G808" s="4"/>
      <c r="H808" s="4"/>
      <c r="I808" s="4"/>
      <c r="J808" s="4"/>
      <c r="K808" s="4"/>
      <c r="L808" s="4"/>
      <c r="M808" s="4"/>
      <c r="N808" s="4"/>
      <c r="O808" s="4"/>
      <c r="P808" s="4"/>
      <c r="Q808" s="4"/>
      <c r="R808" s="4"/>
      <c r="S808" s="4"/>
      <c r="T808" s="4"/>
      <c r="U808" s="4"/>
      <c r="V808" s="4"/>
      <c r="W808" s="4"/>
      <c r="X808" s="4"/>
      <c r="Y808" s="4"/>
    </row>
    <row r="809" ht="15.75" customHeight="1">
      <c r="A809" s="4"/>
      <c r="B809" s="19"/>
      <c r="C809" s="4"/>
      <c r="D809" s="4"/>
      <c r="E809" s="4"/>
      <c r="F809" s="4"/>
      <c r="G809" s="4"/>
      <c r="H809" s="4"/>
      <c r="I809" s="4"/>
      <c r="J809" s="4"/>
      <c r="K809" s="4"/>
      <c r="L809" s="4"/>
      <c r="M809" s="4"/>
      <c r="N809" s="4"/>
      <c r="O809" s="4"/>
      <c r="P809" s="4"/>
      <c r="Q809" s="4"/>
      <c r="R809" s="4"/>
      <c r="S809" s="4"/>
      <c r="T809" s="4"/>
      <c r="U809" s="4"/>
      <c r="V809" s="4"/>
      <c r="W809" s="4"/>
      <c r="X809" s="4"/>
      <c r="Y809" s="4"/>
    </row>
    <row r="810" ht="15.75" customHeight="1">
      <c r="A810" s="4"/>
      <c r="B810" s="19"/>
      <c r="C810" s="4"/>
      <c r="D810" s="4"/>
      <c r="E810" s="4"/>
      <c r="F810" s="4"/>
      <c r="G810" s="4"/>
      <c r="H810" s="4"/>
      <c r="I810" s="4"/>
      <c r="J810" s="4"/>
      <c r="K810" s="4"/>
      <c r="L810" s="4"/>
      <c r="M810" s="4"/>
      <c r="N810" s="4"/>
      <c r="O810" s="4"/>
      <c r="P810" s="4"/>
      <c r="Q810" s="4"/>
      <c r="R810" s="4"/>
      <c r="S810" s="4"/>
      <c r="T810" s="4"/>
      <c r="U810" s="4"/>
      <c r="V810" s="4"/>
      <c r="W810" s="4"/>
      <c r="X810" s="4"/>
      <c r="Y810" s="4"/>
    </row>
    <row r="811" ht="15.75" customHeight="1">
      <c r="A811" s="4"/>
      <c r="B811" s="19"/>
      <c r="C811" s="4"/>
      <c r="D811" s="4"/>
      <c r="E811" s="4"/>
      <c r="F811" s="4"/>
      <c r="G811" s="4"/>
      <c r="H811" s="4"/>
      <c r="I811" s="4"/>
      <c r="J811" s="4"/>
      <c r="K811" s="4"/>
      <c r="L811" s="4"/>
      <c r="M811" s="4"/>
      <c r="N811" s="4"/>
      <c r="O811" s="4"/>
      <c r="P811" s="4"/>
      <c r="Q811" s="4"/>
      <c r="R811" s="4"/>
      <c r="S811" s="4"/>
      <c r="T811" s="4"/>
      <c r="U811" s="4"/>
      <c r="V811" s="4"/>
      <c r="W811" s="4"/>
      <c r="X811" s="4"/>
      <c r="Y811" s="4"/>
    </row>
    <row r="812" ht="15.75" customHeight="1">
      <c r="A812" s="4"/>
      <c r="B812" s="19"/>
      <c r="C812" s="4"/>
      <c r="D812" s="4"/>
      <c r="E812" s="4"/>
      <c r="F812" s="4"/>
      <c r="G812" s="4"/>
      <c r="H812" s="4"/>
      <c r="I812" s="4"/>
      <c r="J812" s="4"/>
      <c r="K812" s="4"/>
      <c r="L812" s="4"/>
      <c r="M812" s="4"/>
      <c r="N812" s="4"/>
      <c r="O812" s="4"/>
      <c r="P812" s="4"/>
      <c r="Q812" s="4"/>
      <c r="R812" s="4"/>
      <c r="S812" s="4"/>
      <c r="T812" s="4"/>
      <c r="U812" s="4"/>
      <c r="V812" s="4"/>
      <c r="W812" s="4"/>
      <c r="X812" s="4"/>
      <c r="Y812" s="4"/>
    </row>
    <row r="813" ht="15.75" customHeight="1">
      <c r="A813" s="4"/>
      <c r="B813" s="19"/>
      <c r="C813" s="4"/>
      <c r="D813" s="4"/>
      <c r="E813" s="4"/>
      <c r="F813" s="4"/>
      <c r="G813" s="4"/>
      <c r="H813" s="4"/>
      <c r="I813" s="4"/>
      <c r="J813" s="4"/>
      <c r="K813" s="4"/>
      <c r="L813" s="4"/>
      <c r="M813" s="4"/>
      <c r="N813" s="4"/>
      <c r="O813" s="4"/>
      <c r="P813" s="4"/>
      <c r="Q813" s="4"/>
      <c r="R813" s="4"/>
      <c r="S813" s="4"/>
      <c r="T813" s="4"/>
      <c r="U813" s="4"/>
      <c r="V813" s="4"/>
      <c r="W813" s="4"/>
      <c r="X813" s="4"/>
      <c r="Y813" s="4"/>
    </row>
    <row r="814" ht="15.75" customHeight="1">
      <c r="A814" s="4"/>
      <c r="B814" s="19"/>
      <c r="C814" s="4"/>
      <c r="D814" s="4"/>
      <c r="E814" s="4"/>
      <c r="F814" s="4"/>
      <c r="G814" s="4"/>
      <c r="H814" s="4"/>
      <c r="I814" s="4"/>
      <c r="J814" s="4"/>
      <c r="K814" s="4"/>
      <c r="L814" s="4"/>
      <c r="M814" s="4"/>
      <c r="N814" s="4"/>
      <c r="O814" s="4"/>
      <c r="P814" s="4"/>
      <c r="Q814" s="4"/>
      <c r="R814" s="4"/>
      <c r="S814" s="4"/>
      <c r="T814" s="4"/>
      <c r="U814" s="4"/>
      <c r="V814" s="4"/>
      <c r="W814" s="4"/>
      <c r="X814" s="4"/>
      <c r="Y814" s="4"/>
    </row>
    <row r="815" ht="15.75" customHeight="1">
      <c r="A815" s="4"/>
      <c r="B815" s="19"/>
      <c r="C815" s="4"/>
      <c r="D815" s="4"/>
      <c r="E815" s="4"/>
      <c r="F815" s="4"/>
      <c r="G815" s="4"/>
      <c r="H815" s="4"/>
      <c r="I815" s="4"/>
      <c r="J815" s="4"/>
      <c r="K815" s="4"/>
      <c r="L815" s="4"/>
      <c r="M815" s="4"/>
      <c r="N815" s="4"/>
      <c r="O815" s="4"/>
      <c r="P815" s="4"/>
      <c r="Q815" s="4"/>
      <c r="R815" s="4"/>
      <c r="S815" s="4"/>
      <c r="T815" s="4"/>
      <c r="U815" s="4"/>
      <c r="V815" s="4"/>
      <c r="W815" s="4"/>
      <c r="X815" s="4"/>
      <c r="Y815" s="4"/>
    </row>
    <row r="816" ht="15.75" customHeight="1">
      <c r="A816" s="4"/>
      <c r="B816" s="19"/>
      <c r="C816" s="4"/>
      <c r="D816" s="4"/>
      <c r="E816" s="4"/>
      <c r="F816" s="4"/>
      <c r="G816" s="4"/>
      <c r="H816" s="4"/>
      <c r="I816" s="4"/>
      <c r="J816" s="4"/>
      <c r="K816" s="4"/>
      <c r="L816" s="4"/>
      <c r="M816" s="4"/>
      <c r="N816" s="4"/>
      <c r="O816" s="4"/>
      <c r="P816" s="4"/>
      <c r="Q816" s="4"/>
      <c r="R816" s="4"/>
      <c r="S816" s="4"/>
      <c r="T816" s="4"/>
      <c r="U816" s="4"/>
      <c r="V816" s="4"/>
      <c r="W816" s="4"/>
      <c r="X816" s="4"/>
      <c r="Y816" s="4"/>
    </row>
    <row r="817" ht="15.75" customHeight="1">
      <c r="A817" s="4"/>
      <c r="B817" s="19"/>
      <c r="C817" s="4"/>
      <c r="D817" s="4"/>
      <c r="E817" s="4"/>
      <c r="F817" s="4"/>
      <c r="G817" s="4"/>
      <c r="H817" s="4"/>
      <c r="I817" s="4"/>
      <c r="J817" s="4"/>
      <c r="K817" s="4"/>
      <c r="L817" s="4"/>
      <c r="M817" s="4"/>
      <c r="N817" s="4"/>
      <c r="O817" s="4"/>
      <c r="P817" s="4"/>
      <c r="Q817" s="4"/>
      <c r="R817" s="4"/>
      <c r="S817" s="4"/>
      <c r="T817" s="4"/>
      <c r="U817" s="4"/>
      <c r="V817" s="4"/>
      <c r="W817" s="4"/>
      <c r="X817" s="4"/>
      <c r="Y817" s="4"/>
    </row>
    <row r="818" ht="15.75" customHeight="1">
      <c r="A818" s="4"/>
      <c r="B818" s="19"/>
      <c r="C818" s="4"/>
      <c r="D818" s="4"/>
      <c r="E818" s="4"/>
      <c r="F818" s="4"/>
      <c r="G818" s="4"/>
      <c r="H818" s="4"/>
      <c r="I818" s="4"/>
      <c r="J818" s="4"/>
      <c r="K818" s="4"/>
      <c r="L818" s="4"/>
      <c r="M818" s="4"/>
      <c r="N818" s="4"/>
      <c r="O818" s="4"/>
      <c r="P818" s="4"/>
      <c r="Q818" s="4"/>
      <c r="R818" s="4"/>
      <c r="S818" s="4"/>
      <c r="T818" s="4"/>
      <c r="U818" s="4"/>
      <c r="V818" s="4"/>
      <c r="W818" s="4"/>
      <c r="X818" s="4"/>
      <c r="Y818" s="4"/>
    </row>
    <row r="819" ht="15.75" customHeight="1">
      <c r="A819" s="4"/>
      <c r="B819" s="19"/>
      <c r="C819" s="4"/>
      <c r="D819" s="4"/>
      <c r="E819" s="4"/>
      <c r="F819" s="4"/>
      <c r="G819" s="4"/>
      <c r="H819" s="4"/>
      <c r="I819" s="4"/>
      <c r="J819" s="4"/>
      <c r="K819" s="4"/>
      <c r="L819" s="4"/>
      <c r="M819" s="4"/>
      <c r="N819" s="4"/>
      <c r="O819" s="4"/>
      <c r="P819" s="4"/>
      <c r="Q819" s="4"/>
      <c r="R819" s="4"/>
      <c r="S819" s="4"/>
      <c r="T819" s="4"/>
      <c r="U819" s="4"/>
      <c r="V819" s="4"/>
      <c r="W819" s="4"/>
      <c r="X819" s="4"/>
      <c r="Y819" s="4"/>
    </row>
    <row r="820" ht="15.75" customHeight="1">
      <c r="A820" s="4"/>
      <c r="B820" s="19"/>
      <c r="C820" s="4"/>
      <c r="D820" s="4"/>
      <c r="E820" s="4"/>
      <c r="F820" s="4"/>
      <c r="G820" s="4"/>
      <c r="H820" s="4"/>
      <c r="I820" s="4"/>
      <c r="J820" s="4"/>
      <c r="K820" s="4"/>
      <c r="L820" s="4"/>
      <c r="M820" s="4"/>
      <c r="N820" s="4"/>
      <c r="O820" s="4"/>
      <c r="P820" s="4"/>
      <c r="Q820" s="4"/>
      <c r="R820" s="4"/>
      <c r="S820" s="4"/>
      <c r="T820" s="4"/>
      <c r="U820" s="4"/>
      <c r="V820" s="4"/>
      <c r="W820" s="4"/>
      <c r="X820" s="4"/>
      <c r="Y820" s="4"/>
    </row>
    <row r="821" ht="15.75" customHeight="1">
      <c r="A821" s="4"/>
      <c r="B821" s="19"/>
      <c r="C821" s="4"/>
      <c r="D821" s="4"/>
      <c r="E821" s="4"/>
      <c r="F821" s="4"/>
      <c r="G821" s="4"/>
      <c r="H821" s="4"/>
      <c r="I821" s="4"/>
      <c r="J821" s="4"/>
      <c r="K821" s="4"/>
      <c r="L821" s="4"/>
      <c r="M821" s="4"/>
      <c r="N821" s="4"/>
      <c r="O821" s="4"/>
      <c r="P821" s="4"/>
      <c r="Q821" s="4"/>
      <c r="R821" s="4"/>
      <c r="S821" s="4"/>
      <c r="T821" s="4"/>
      <c r="U821" s="4"/>
      <c r="V821" s="4"/>
      <c r="W821" s="4"/>
      <c r="X821" s="4"/>
      <c r="Y821" s="4"/>
    </row>
    <row r="822" ht="15.75" customHeight="1">
      <c r="A822" s="4"/>
      <c r="B822" s="19"/>
      <c r="C822" s="4"/>
      <c r="D822" s="4"/>
      <c r="E822" s="4"/>
      <c r="F822" s="4"/>
      <c r="G822" s="4"/>
      <c r="H822" s="4"/>
      <c r="I822" s="4"/>
      <c r="J822" s="4"/>
      <c r="K822" s="4"/>
      <c r="L822" s="4"/>
      <c r="M822" s="4"/>
      <c r="N822" s="4"/>
      <c r="O822" s="4"/>
      <c r="P822" s="4"/>
      <c r="Q822" s="4"/>
      <c r="R822" s="4"/>
      <c r="S822" s="4"/>
      <c r="T822" s="4"/>
      <c r="U822" s="4"/>
      <c r="V822" s="4"/>
      <c r="W822" s="4"/>
      <c r="X822" s="4"/>
      <c r="Y822" s="4"/>
    </row>
    <row r="823" ht="15.75" customHeight="1">
      <c r="A823" s="4"/>
      <c r="B823" s="19"/>
      <c r="C823" s="4"/>
      <c r="D823" s="4"/>
      <c r="E823" s="4"/>
      <c r="F823" s="4"/>
      <c r="G823" s="4"/>
      <c r="H823" s="4"/>
      <c r="I823" s="4"/>
      <c r="J823" s="4"/>
      <c r="K823" s="4"/>
      <c r="L823" s="4"/>
      <c r="M823" s="4"/>
      <c r="N823" s="4"/>
      <c r="O823" s="4"/>
      <c r="P823" s="4"/>
      <c r="Q823" s="4"/>
      <c r="R823" s="4"/>
      <c r="S823" s="4"/>
      <c r="T823" s="4"/>
      <c r="U823" s="4"/>
      <c r="V823" s="4"/>
      <c r="W823" s="4"/>
      <c r="X823" s="4"/>
      <c r="Y823" s="4"/>
    </row>
    <row r="824" ht="15.75" customHeight="1">
      <c r="A824" s="4"/>
      <c r="B824" s="19"/>
      <c r="C824" s="4"/>
      <c r="D824" s="4"/>
      <c r="E824" s="4"/>
      <c r="F824" s="4"/>
      <c r="G824" s="4"/>
      <c r="H824" s="4"/>
      <c r="I824" s="4"/>
      <c r="J824" s="4"/>
      <c r="K824" s="4"/>
      <c r="L824" s="4"/>
      <c r="M824" s="4"/>
      <c r="N824" s="4"/>
      <c r="O824" s="4"/>
      <c r="P824" s="4"/>
      <c r="Q824" s="4"/>
      <c r="R824" s="4"/>
      <c r="S824" s="4"/>
      <c r="T824" s="4"/>
      <c r="U824" s="4"/>
      <c r="V824" s="4"/>
      <c r="W824" s="4"/>
      <c r="X824" s="4"/>
      <c r="Y824" s="4"/>
    </row>
    <row r="825" ht="15.75" customHeight="1">
      <c r="A825" s="4"/>
      <c r="B825" s="19"/>
      <c r="C825" s="4"/>
      <c r="D825" s="4"/>
      <c r="E825" s="4"/>
      <c r="F825" s="4"/>
      <c r="G825" s="4"/>
      <c r="H825" s="4"/>
      <c r="I825" s="4"/>
      <c r="J825" s="4"/>
      <c r="K825" s="4"/>
      <c r="L825" s="4"/>
      <c r="M825" s="4"/>
      <c r="N825" s="4"/>
      <c r="O825" s="4"/>
      <c r="P825" s="4"/>
      <c r="Q825" s="4"/>
      <c r="R825" s="4"/>
      <c r="S825" s="4"/>
      <c r="T825" s="4"/>
      <c r="U825" s="4"/>
      <c r="V825" s="4"/>
      <c r="W825" s="4"/>
      <c r="X825" s="4"/>
      <c r="Y825" s="4"/>
    </row>
    <row r="826" ht="15.75" customHeight="1">
      <c r="A826" s="4"/>
      <c r="B826" s="19"/>
      <c r="C826" s="4"/>
      <c r="D826" s="4"/>
      <c r="E826" s="4"/>
      <c r="F826" s="4"/>
      <c r="G826" s="4"/>
      <c r="H826" s="4"/>
      <c r="I826" s="4"/>
      <c r="J826" s="4"/>
      <c r="K826" s="4"/>
      <c r="L826" s="4"/>
      <c r="M826" s="4"/>
      <c r="N826" s="4"/>
      <c r="O826" s="4"/>
      <c r="P826" s="4"/>
      <c r="Q826" s="4"/>
      <c r="R826" s="4"/>
      <c r="S826" s="4"/>
      <c r="T826" s="4"/>
      <c r="U826" s="4"/>
      <c r="V826" s="4"/>
      <c r="W826" s="4"/>
      <c r="X826" s="4"/>
      <c r="Y826" s="4"/>
    </row>
    <row r="827" ht="15.75" customHeight="1">
      <c r="A827" s="4"/>
      <c r="B827" s="19"/>
      <c r="C827" s="4"/>
      <c r="D827" s="4"/>
      <c r="E827" s="4"/>
      <c r="F827" s="4"/>
      <c r="G827" s="4"/>
      <c r="H827" s="4"/>
      <c r="I827" s="4"/>
      <c r="J827" s="4"/>
      <c r="K827" s="4"/>
      <c r="L827" s="4"/>
      <c r="M827" s="4"/>
      <c r="N827" s="4"/>
      <c r="O827" s="4"/>
      <c r="P827" s="4"/>
      <c r="Q827" s="4"/>
      <c r="R827" s="4"/>
      <c r="S827" s="4"/>
      <c r="T827" s="4"/>
      <c r="U827" s="4"/>
      <c r="V827" s="4"/>
      <c r="W827" s="4"/>
      <c r="X827" s="4"/>
      <c r="Y827" s="4"/>
    </row>
    <row r="828" ht="15.75" customHeight="1">
      <c r="A828" s="4"/>
      <c r="B828" s="19"/>
      <c r="C828" s="4"/>
      <c r="D828" s="4"/>
      <c r="E828" s="4"/>
      <c r="F828" s="4"/>
      <c r="G828" s="4"/>
      <c r="H828" s="4"/>
      <c r="I828" s="4"/>
      <c r="J828" s="4"/>
      <c r="K828" s="4"/>
      <c r="L828" s="4"/>
      <c r="M828" s="4"/>
      <c r="N828" s="4"/>
      <c r="O828" s="4"/>
      <c r="P828" s="4"/>
      <c r="Q828" s="4"/>
      <c r="R828" s="4"/>
      <c r="S828" s="4"/>
      <c r="T828" s="4"/>
      <c r="U828" s="4"/>
      <c r="V828" s="4"/>
      <c r="W828" s="4"/>
      <c r="X828" s="4"/>
      <c r="Y828" s="4"/>
    </row>
    <row r="829" ht="15.75" customHeight="1">
      <c r="A829" s="4"/>
      <c r="B829" s="19"/>
      <c r="C829" s="4"/>
      <c r="D829" s="4"/>
      <c r="E829" s="4"/>
      <c r="F829" s="4"/>
      <c r="G829" s="4"/>
      <c r="H829" s="4"/>
      <c r="I829" s="4"/>
      <c r="J829" s="4"/>
      <c r="K829" s="4"/>
      <c r="L829" s="4"/>
      <c r="M829" s="4"/>
      <c r="N829" s="4"/>
      <c r="O829" s="4"/>
      <c r="P829" s="4"/>
      <c r="Q829" s="4"/>
      <c r="R829" s="4"/>
      <c r="S829" s="4"/>
      <c r="T829" s="4"/>
      <c r="U829" s="4"/>
      <c r="V829" s="4"/>
      <c r="W829" s="4"/>
      <c r="X829" s="4"/>
      <c r="Y829" s="4"/>
    </row>
    <row r="830" ht="15.75" customHeight="1">
      <c r="A830" s="4"/>
      <c r="B830" s="19"/>
      <c r="C830" s="4"/>
      <c r="D830" s="4"/>
      <c r="E830" s="4"/>
      <c r="F830" s="4"/>
      <c r="G830" s="4"/>
      <c r="H830" s="4"/>
      <c r="I830" s="4"/>
      <c r="J830" s="4"/>
      <c r="K830" s="4"/>
      <c r="L830" s="4"/>
      <c r="M830" s="4"/>
      <c r="N830" s="4"/>
      <c r="O830" s="4"/>
      <c r="P830" s="4"/>
      <c r="Q830" s="4"/>
      <c r="R830" s="4"/>
      <c r="S830" s="4"/>
      <c r="T830" s="4"/>
      <c r="U830" s="4"/>
      <c r="V830" s="4"/>
      <c r="W830" s="4"/>
      <c r="X830" s="4"/>
      <c r="Y830" s="4"/>
    </row>
    <row r="831" ht="15.75" customHeight="1">
      <c r="A831" s="4"/>
      <c r="B831" s="19"/>
      <c r="C831" s="4"/>
      <c r="D831" s="4"/>
      <c r="E831" s="4"/>
      <c r="F831" s="4"/>
      <c r="G831" s="4"/>
      <c r="H831" s="4"/>
      <c r="I831" s="4"/>
      <c r="J831" s="4"/>
      <c r="K831" s="4"/>
      <c r="L831" s="4"/>
      <c r="M831" s="4"/>
      <c r="N831" s="4"/>
      <c r="O831" s="4"/>
      <c r="P831" s="4"/>
      <c r="Q831" s="4"/>
      <c r="R831" s="4"/>
      <c r="S831" s="4"/>
      <c r="T831" s="4"/>
      <c r="U831" s="4"/>
      <c r="V831" s="4"/>
      <c r="W831" s="4"/>
      <c r="X831" s="4"/>
      <c r="Y831" s="4"/>
    </row>
    <row r="832" ht="15.75" customHeight="1">
      <c r="A832" s="4"/>
      <c r="B832" s="19"/>
      <c r="C832" s="4"/>
      <c r="D832" s="4"/>
      <c r="E832" s="4"/>
      <c r="F832" s="4"/>
      <c r="G832" s="4"/>
      <c r="H832" s="4"/>
      <c r="I832" s="4"/>
      <c r="J832" s="4"/>
      <c r="K832" s="4"/>
      <c r="L832" s="4"/>
      <c r="M832" s="4"/>
      <c r="N832" s="4"/>
      <c r="O832" s="4"/>
      <c r="P832" s="4"/>
      <c r="Q832" s="4"/>
      <c r="R832" s="4"/>
      <c r="S832" s="4"/>
      <c r="T832" s="4"/>
      <c r="U832" s="4"/>
      <c r="V832" s="4"/>
      <c r="W832" s="4"/>
      <c r="X832" s="4"/>
      <c r="Y832" s="4"/>
    </row>
    <row r="833" ht="15.75" customHeight="1">
      <c r="A833" s="4"/>
      <c r="B833" s="19"/>
      <c r="C833" s="4"/>
      <c r="D833" s="4"/>
      <c r="E833" s="4"/>
      <c r="F833" s="4"/>
      <c r="G833" s="4"/>
      <c r="H833" s="4"/>
      <c r="I833" s="4"/>
      <c r="J833" s="4"/>
      <c r="K833" s="4"/>
      <c r="L833" s="4"/>
      <c r="M833" s="4"/>
      <c r="N833" s="4"/>
      <c r="O833" s="4"/>
      <c r="P833" s="4"/>
      <c r="Q833" s="4"/>
      <c r="R833" s="4"/>
      <c r="S833" s="4"/>
      <c r="T833" s="4"/>
      <c r="U833" s="4"/>
      <c r="V833" s="4"/>
      <c r="W833" s="4"/>
      <c r="X833" s="4"/>
      <c r="Y833" s="4"/>
    </row>
    <row r="834" ht="15.75" customHeight="1">
      <c r="A834" s="4"/>
      <c r="B834" s="19"/>
      <c r="C834" s="4"/>
      <c r="D834" s="4"/>
      <c r="E834" s="4"/>
      <c r="F834" s="4"/>
      <c r="G834" s="4"/>
      <c r="H834" s="4"/>
      <c r="I834" s="4"/>
      <c r="J834" s="4"/>
      <c r="K834" s="4"/>
      <c r="L834" s="4"/>
      <c r="M834" s="4"/>
      <c r="N834" s="4"/>
      <c r="O834" s="4"/>
      <c r="P834" s="4"/>
      <c r="Q834" s="4"/>
      <c r="R834" s="4"/>
      <c r="S834" s="4"/>
      <c r="T834" s="4"/>
      <c r="U834" s="4"/>
      <c r="V834" s="4"/>
      <c r="W834" s="4"/>
      <c r="X834" s="4"/>
      <c r="Y834" s="4"/>
    </row>
    <row r="835" ht="15.75" customHeight="1">
      <c r="A835" s="4"/>
      <c r="B835" s="19"/>
      <c r="C835" s="4"/>
      <c r="D835" s="4"/>
      <c r="E835" s="4"/>
      <c r="F835" s="4"/>
      <c r="G835" s="4"/>
      <c r="H835" s="4"/>
      <c r="I835" s="4"/>
      <c r="J835" s="4"/>
      <c r="K835" s="4"/>
      <c r="L835" s="4"/>
      <c r="M835" s="4"/>
      <c r="N835" s="4"/>
      <c r="O835" s="4"/>
      <c r="P835" s="4"/>
      <c r="Q835" s="4"/>
      <c r="R835" s="4"/>
      <c r="S835" s="4"/>
      <c r="T835" s="4"/>
      <c r="U835" s="4"/>
      <c r="V835" s="4"/>
      <c r="W835" s="4"/>
      <c r="X835" s="4"/>
      <c r="Y835" s="4"/>
    </row>
    <row r="836" ht="15.75" customHeight="1">
      <c r="A836" s="4"/>
      <c r="B836" s="19"/>
      <c r="C836" s="4"/>
      <c r="D836" s="4"/>
      <c r="E836" s="4"/>
      <c r="F836" s="4"/>
      <c r="G836" s="4"/>
      <c r="H836" s="4"/>
      <c r="I836" s="4"/>
      <c r="J836" s="4"/>
      <c r="K836" s="4"/>
      <c r="L836" s="4"/>
      <c r="M836" s="4"/>
      <c r="N836" s="4"/>
      <c r="O836" s="4"/>
      <c r="P836" s="4"/>
      <c r="Q836" s="4"/>
      <c r="R836" s="4"/>
      <c r="S836" s="4"/>
      <c r="T836" s="4"/>
      <c r="U836" s="4"/>
      <c r="V836" s="4"/>
      <c r="W836" s="4"/>
      <c r="X836" s="4"/>
      <c r="Y836" s="4"/>
    </row>
    <row r="837" ht="15.75" customHeight="1">
      <c r="A837" s="4"/>
      <c r="B837" s="19"/>
      <c r="C837" s="4"/>
      <c r="D837" s="4"/>
      <c r="E837" s="4"/>
      <c r="F837" s="4"/>
      <c r="G837" s="4"/>
      <c r="H837" s="4"/>
      <c r="I837" s="4"/>
      <c r="J837" s="4"/>
      <c r="K837" s="4"/>
      <c r="L837" s="4"/>
      <c r="M837" s="4"/>
      <c r="N837" s="4"/>
      <c r="O837" s="4"/>
      <c r="P837" s="4"/>
      <c r="Q837" s="4"/>
      <c r="R837" s="4"/>
      <c r="S837" s="4"/>
      <c r="T837" s="4"/>
      <c r="U837" s="4"/>
      <c r="V837" s="4"/>
      <c r="W837" s="4"/>
      <c r="X837" s="4"/>
      <c r="Y837" s="4"/>
    </row>
    <row r="838" ht="15.75" customHeight="1">
      <c r="A838" s="4"/>
      <c r="B838" s="19"/>
      <c r="C838" s="4"/>
      <c r="D838" s="4"/>
      <c r="E838" s="4"/>
      <c r="F838" s="4"/>
      <c r="G838" s="4"/>
      <c r="H838" s="4"/>
      <c r="I838" s="4"/>
      <c r="J838" s="4"/>
      <c r="K838" s="4"/>
      <c r="L838" s="4"/>
      <c r="M838" s="4"/>
      <c r="N838" s="4"/>
      <c r="O838" s="4"/>
      <c r="P838" s="4"/>
      <c r="Q838" s="4"/>
      <c r="R838" s="4"/>
      <c r="S838" s="4"/>
      <c r="T838" s="4"/>
      <c r="U838" s="4"/>
      <c r="V838" s="4"/>
      <c r="W838" s="4"/>
      <c r="X838" s="4"/>
      <c r="Y838" s="4"/>
    </row>
    <row r="839" ht="15.75" customHeight="1">
      <c r="A839" s="4"/>
      <c r="B839" s="19"/>
      <c r="C839" s="4"/>
      <c r="D839" s="4"/>
      <c r="E839" s="4"/>
      <c r="F839" s="4"/>
      <c r="G839" s="4"/>
      <c r="H839" s="4"/>
      <c r="I839" s="4"/>
      <c r="J839" s="4"/>
      <c r="K839" s="4"/>
      <c r="L839" s="4"/>
      <c r="M839" s="4"/>
      <c r="N839" s="4"/>
      <c r="O839" s="4"/>
      <c r="P839" s="4"/>
      <c r="Q839" s="4"/>
      <c r="R839" s="4"/>
      <c r="S839" s="4"/>
      <c r="T839" s="4"/>
      <c r="U839" s="4"/>
      <c r="V839" s="4"/>
      <c r="W839" s="4"/>
      <c r="X839" s="4"/>
      <c r="Y839" s="4"/>
    </row>
    <row r="840" ht="15.75" customHeight="1">
      <c r="A840" s="4"/>
      <c r="B840" s="19"/>
      <c r="C840" s="4"/>
      <c r="D840" s="4"/>
      <c r="E840" s="4"/>
      <c r="F840" s="4"/>
      <c r="G840" s="4"/>
      <c r="H840" s="4"/>
      <c r="I840" s="4"/>
      <c r="J840" s="4"/>
      <c r="K840" s="4"/>
      <c r="L840" s="4"/>
      <c r="M840" s="4"/>
      <c r="N840" s="4"/>
      <c r="O840" s="4"/>
      <c r="P840" s="4"/>
      <c r="Q840" s="4"/>
      <c r="R840" s="4"/>
      <c r="S840" s="4"/>
      <c r="T840" s="4"/>
      <c r="U840" s="4"/>
      <c r="V840" s="4"/>
      <c r="W840" s="4"/>
      <c r="X840" s="4"/>
      <c r="Y840" s="4"/>
    </row>
    <row r="841" ht="15.75" customHeight="1">
      <c r="A841" s="4"/>
      <c r="B841" s="19"/>
      <c r="C841" s="4"/>
      <c r="D841" s="4"/>
      <c r="E841" s="4"/>
      <c r="F841" s="4"/>
      <c r="G841" s="4"/>
      <c r="H841" s="4"/>
      <c r="I841" s="4"/>
      <c r="J841" s="4"/>
      <c r="K841" s="4"/>
      <c r="L841" s="4"/>
      <c r="M841" s="4"/>
      <c r="N841" s="4"/>
      <c r="O841" s="4"/>
      <c r="P841" s="4"/>
      <c r="Q841" s="4"/>
      <c r="R841" s="4"/>
      <c r="S841" s="4"/>
      <c r="T841" s="4"/>
      <c r="U841" s="4"/>
      <c r="V841" s="4"/>
      <c r="W841" s="4"/>
      <c r="X841" s="4"/>
      <c r="Y841" s="4"/>
    </row>
    <row r="842" ht="15.75" customHeight="1">
      <c r="A842" s="4"/>
      <c r="B842" s="19"/>
      <c r="C842" s="4"/>
      <c r="D842" s="4"/>
      <c r="E842" s="4"/>
      <c r="F842" s="4"/>
      <c r="G842" s="4"/>
      <c r="H842" s="4"/>
      <c r="I842" s="4"/>
      <c r="J842" s="4"/>
      <c r="K842" s="4"/>
      <c r="L842" s="4"/>
      <c r="M842" s="4"/>
      <c r="N842" s="4"/>
      <c r="O842" s="4"/>
      <c r="P842" s="4"/>
      <c r="Q842" s="4"/>
      <c r="R842" s="4"/>
      <c r="S842" s="4"/>
      <c r="T842" s="4"/>
      <c r="U842" s="4"/>
      <c r="V842" s="4"/>
      <c r="W842" s="4"/>
      <c r="X842" s="4"/>
      <c r="Y842" s="4"/>
    </row>
    <row r="843" ht="15.75" customHeight="1">
      <c r="A843" s="4"/>
      <c r="B843" s="19"/>
      <c r="C843" s="4"/>
      <c r="D843" s="4"/>
      <c r="E843" s="4"/>
      <c r="F843" s="4"/>
      <c r="G843" s="4"/>
      <c r="H843" s="4"/>
      <c r="I843" s="4"/>
      <c r="J843" s="4"/>
      <c r="K843" s="4"/>
      <c r="L843" s="4"/>
      <c r="M843" s="4"/>
      <c r="N843" s="4"/>
      <c r="O843" s="4"/>
      <c r="P843" s="4"/>
      <c r="Q843" s="4"/>
      <c r="R843" s="4"/>
      <c r="S843" s="4"/>
      <c r="T843" s="4"/>
      <c r="U843" s="4"/>
      <c r="V843" s="4"/>
      <c r="W843" s="4"/>
      <c r="X843" s="4"/>
      <c r="Y843" s="4"/>
    </row>
    <row r="844" ht="15.75" customHeight="1">
      <c r="A844" s="4"/>
      <c r="B844" s="19"/>
      <c r="C844" s="4"/>
      <c r="D844" s="4"/>
      <c r="E844" s="4"/>
      <c r="F844" s="4"/>
      <c r="G844" s="4"/>
      <c r="H844" s="4"/>
      <c r="I844" s="4"/>
      <c r="J844" s="4"/>
      <c r="K844" s="4"/>
      <c r="L844" s="4"/>
      <c r="M844" s="4"/>
      <c r="N844" s="4"/>
      <c r="O844" s="4"/>
      <c r="P844" s="4"/>
      <c r="Q844" s="4"/>
      <c r="R844" s="4"/>
      <c r="S844" s="4"/>
      <c r="T844" s="4"/>
      <c r="U844" s="4"/>
      <c r="V844" s="4"/>
      <c r="W844" s="4"/>
      <c r="X844" s="4"/>
      <c r="Y844" s="4"/>
    </row>
    <row r="845" ht="15.75" customHeight="1">
      <c r="A845" s="4"/>
      <c r="B845" s="19"/>
      <c r="C845" s="4"/>
      <c r="D845" s="4"/>
      <c r="E845" s="4"/>
      <c r="F845" s="4"/>
      <c r="G845" s="4"/>
      <c r="H845" s="4"/>
      <c r="I845" s="4"/>
      <c r="J845" s="4"/>
      <c r="K845" s="4"/>
      <c r="L845" s="4"/>
      <c r="M845" s="4"/>
      <c r="N845" s="4"/>
      <c r="O845" s="4"/>
      <c r="P845" s="4"/>
      <c r="Q845" s="4"/>
      <c r="R845" s="4"/>
      <c r="S845" s="4"/>
      <c r="T845" s="4"/>
      <c r="U845" s="4"/>
      <c r="V845" s="4"/>
      <c r="W845" s="4"/>
      <c r="X845" s="4"/>
      <c r="Y845" s="4"/>
    </row>
    <row r="846" ht="15.75" customHeight="1">
      <c r="A846" s="4"/>
      <c r="B846" s="19"/>
      <c r="C846" s="4"/>
      <c r="D846" s="4"/>
      <c r="E846" s="4"/>
      <c r="F846" s="4"/>
      <c r="G846" s="4"/>
      <c r="H846" s="4"/>
      <c r="I846" s="4"/>
      <c r="J846" s="4"/>
      <c r="K846" s="4"/>
      <c r="L846" s="4"/>
      <c r="M846" s="4"/>
      <c r="N846" s="4"/>
      <c r="O846" s="4"/>
      <c r="P846" s="4"/>
      <c r="Q846" s="4"/>
      <c r="R846" s="4"/>
      <c r="S846" s="4"/>
      <c r="T846" s="4"/>
      <c r="U846" s="4"/>
      <c r="V846" s="4"/>
      <c r="W846" s="4"/>
      <c r="X846" s="4"/>
      <c r="Y846" s="4"/>
    </row>
    <row r="847" ht="15.75" customHeight="1">
      <c r="A847" s="4"/>
      <c r="B847" s="19"/>
      <c r="C847" s="4"/>
      <c r="D847" s="4"/>
      <c r="E847" s="4"/>
      <c r="F847" s="4"/>
      <c r="G847" s="4"/>
      <c r="H847" s="4"/>
      <c r="I847" s="4"/>
      <c r="J847" s="4"/>
      <c r="K847" s="4"/>
      <c r="L847" s="4"/>
      <c r="M847" s="4"/>
      <c r="N847" s="4"/>
      <c r="O847" s="4"/>
      <c r="P847" s="4"/>
      <c r="Q847" s="4"/>
      <c r="R847" s="4"/>
      <c r="S847" s="4"/>
      <c r="T847" s="4"/>
      <c r="U847" s="4"/>
      <c r="V847" s="4"/>
      <c r="W847" s="4"/>
      <c r="X847" s="4"/>
      <c r="Y847" s="4"/>
    </row>
    <row r="848" ht="15.75" customHeight="1">
      <c r="A848" s="4"/>
      <c r="B848" s="19"/>
      <c r="C848" s="4"/>
      <c r="D848" s="4"/>
      <c r="E848" s="4"/>
      <c r="F848" s="4"/>
      <c r="G848" s="4"/>
      <c r="H848" s="4"/>
      <c r="I848" s="4"/>
      <c r="J848" s="4"/>
      <c r="K848" s="4"/>
      <c r="L848" s="4"/>
      <c r="M848" s="4"/>
      <c r="N848" s="4"/>
      <c r="O848" s="4"/>
      <c r="P848" s="4"/>
      <c r="Q848" s="4"/>
      <c r="R848" s="4"/>
      <c r="S848" s="4"/>
      <c r="T848" s="4"/>
      <c r="U848" s="4"/>
      <c r="V848" s="4"/>
      <c r="W848" s="4"/>
      <c r="X848" s="4"/>
      <c r="Y848" s="4"/>
    </row>
    <row r="849" ht="15.75" customHeight="1">
      <c r="A849" s="4"/>
      <c r="B849" s="19"/>
      <c r="C849" s="4"/>
      <c r="D849" s="4"/>
      <c r="E849" s="4"/>
      <c r="F849" s="4"/>
      <c r="G849" s="4"/>
      <c r="H849" s="4"/>
      <c r="I849" s="4"/>
      <c r="J849" s="4"/>
      <c r="K849" s="4"/>
      <c r="L849" s="4"/>
      <c r="M849" s="4"/>
      <c r="N849" s="4"/>
      <c r="O849" s="4"/>
      <c r="P849" s="4"/>
      <c r="Q849" s="4"/>
      <c r="R849" s="4"/>
      <c r="S849" s="4"/>
      <c r="T849" s="4"/>
      <c r="U849" s="4"/>
      <c r="V849" s="4"/>
      <c r="W849" s="4"/>
      <c r="X849" s="4"/>
      <c r="Y849" s="4"/>
    </row>
    <row r="850" ht="15.75" customHeight="1">
      <c r="A850" s="4"/>
      <c r="B850" s="19"/>
      <c r="C850" s="4"/>
      <c r="D850" s="4"/>
      <c r="E850" s="4"/>
      <c r="F850" s="4"/>
      <c r="G850" s="4"/>
      <c r="H850" s="4"/>
      <c r="I850" s="4"/>
      <c r="J850" s="4"/>
      <c r="K850" s="4"/>
      <c r="L850" s="4"/>
      <c r="M850" s="4"/>
      <c r="N850" s="4"/>
      <c r="O850" s="4"/>
      <c r="P850" s="4"/>
      <c r="Q850" s="4"/>
      <c r="R850" s="4"/>
      <c r="S850" s="4"/>
      <c r="T850" s="4"/>
      <c r="U850" s="4"/>
      <c r="V850" s="4"/>
      <c r="W850" s="4"/>
      <c r="X850" s="4"/>
      <c r="Y850" s="4"/>
    </row>
    <row r="851" ht="15.75" customHeight="1">
      <c r="A851" s="4"/>
      <c r="B851" s="19"/>
      <c r="C851" s="4"/>
      <c r="D851" s="4"/>
      <c r="E851" s="4"/>
      <c r="F851" s="4"/>
      <c r="G851" s="4"/>
      <c r="H851" s="4"/>
      <c r="I851" s="4"/>
      <c r="J851" s="4"/>
      <c r="K851" s="4"/>
      <c r="L851" s="4"/>
      <c r="M851" s="4"/>
      <c r="N851" s="4"/>
      <c r="O851" s="4"/>
      <c r="P851" s="4"/>
      <c r="Q851" s="4"/>
      <c r="R851" s="4"/>
      <c r="S851" s="4"/>
      <c r="T851" s="4"/>
      <c r="U851" s="4"/>
      <c r="V851" s="4"/>
      <c r="W851" s="4"/>
      <c r="X851" s="4"/>
      <c r="Y851" s="4"/>
    </row>
    <row r="852" ht="15.75" customHeight="1">
      <c r="A852" s="4"/>
      <c r="B852" s="19"/>
      <c r="C852" s="4"/>
      <c r="D852" s="4"/>
      <c r="E852" s="4"/>
      <c r="F852" s="4"/>
      <c r="G852" s="4"/>
      <c r="H852" s="4"/>
      <c r="I852" s="4"/>
      <c r="J852" s="4"/>
      <c r="K852" s="4"/>
      <c r="L852" s="4"/>
      <c r="M852" s="4"/>
      <c r="N852" s="4"/>
      <c r="O852" s="4"/>
      <c r="P852" s="4"/>
      <c r="Q852" s="4"/>
      <c r="R852" s="4"/>
      <c r="S852" s="4"/>
      <c r="T852" s="4"/>
      <c r="U852" s="4"/>
      <c r="V852" s="4"/>
      <c r="W852" s="4"/>
      <c r="X852" s="4"/>
      <c r="Y852" s="4"/>
    </row>
    <row r="853" ht="15.75" customHeight="1">
      <c r="A853" s="4"/>
      <c r="B853" s="19"/>
      <c r="C853" s="4"/>
      <c r="D853" s="4"/>
      <c r="E853" s="4"/>
      <c r="F853" s="4"/>
      <c r="G853" s="4"/>
      <c r="H853" s="4"/>
      <c r="I853" s="4"/>
      <c r="J853" s="4"/>
      <c r="K853" s="4"/>
      <c r="L853" s="4"/>
      <c r="M853" s="4"/>
      <c r="N853" s="4"/>
      <c r="O853" s="4"/>
      <c r="P853" s="4"/>
      <c r="Q853" s="4"/>
      <c r="R853" s="4"/>
      <c r="S853" s="4"/>
      <c r="T853" s="4"/>
      <c r="U853" s="4"/>
      <c r="V853" s="4"/>
      <c r="W853" s="4"/>
      <c r="X853" s="4"/>
      <c r="Y853" s="4"/>
    </row>
    <row r="854" ht="15.75" customHeight="1">
      <c r="A854" s="4"/>
      <c r="B854" s="19"/>
      <c r="C854" s="4"/>
      <c r="D854" s="4"/>
      <c r="E854" s="4"/>
      <c r="F854" s="4"/>
      <c r="G854" s="4"/>
      <c r="H854" s="4"/>
      <c r="I854" s="4"/>
      <c r="J854" s="4"/>
      <c r="K854" s="4"/>
      <c r="L854" s="4"/>
      <c r="M854" s="4"/>
      <c r="N854" s="4"/>
      <c r="O854" s="4"/>
      <c r="P854" s="4"/>
      <c r="Q854" s="4"/>
      <c r="R854" s="4"/>
      <c r="S854" s="4"/>
      <c r="T854" s="4"/>
      <c r="U854" s="4"/>
      <c r="V854" s="4"/>
      <c r="W854" s="4"/>
      <c r="X854" s="4"/>
      <c r="Y854" s="4"/>
    </row>
    <row r="855" ht="15.75" customHeight="1">
      <c r="A855" s="4"/>
      <c r="B855" s="19"/>
      <c r="C855" s="4"/>
      <c r="D855" s="4"/>
      <c r="E855" s="4"/>
      <c r="F855" s="4"/>
      <c r="G855" s="4"/>
      <c r="H855" s="4"/>
      <c r="I855" s="4"/>
      <c r="J855" s="4"/>
      <c r="K855" s="4"/>
      <c r="L855" s="4"/>
      <c r="M855" s="4"/>
      <c r="N855" s="4"/>
      <c r="O855" s="4"/>
      <c r="P855" s="4"/>
      <c r="Q855" s="4"/>
      <c r="R855" s="4"/>
      <c r="S855" s="4"/>
      <c r="T855" s="4"/>
      <c r="U855" s="4"/>
      <c r="V855" s="4"/>
      <c r="W855" s="4"/>
      <c r="X855" s="4"/>
      <c r="Y855" s="4"/>
    </row>
    <row r="856" ht="15.75" customHeight="1">
      <c r="A856" s="4"/>
      <c r="B856" s="19"/>
      <c r="C856" s="4"/>
      <c r="D856" s="4"/>
      <c r="E856" s="4"/>
      <c r="F856" s="4"/>
      <c r="G856" s="4"/>
      <c r="H856" s="4"/>
      <c r="I856" s="4"/>
      <c r="J856" s="4"/>
      <c r="K856" s="4"/>
      <c r="L856" s="4"/>
      <c r="M856" s="4"/>
      <c r="N856" s="4"/>
      <c r="O856" s="4"/>
      <c r="P856" s="4"/>
      <c r="Q856" s="4"/>
      <c r="R856" s="4"/>
      <c r="S856" s="4"/>
      <c r="T856" s="4"/>
      <c r="U856" s="4"/>
      <c r="V856" s="4"/>
      <c r="W856" s="4"/>
      <c r="X856" s="4"/>
      <c r="Y856" s="4"/>
    </row>
    <row r="857" ht="15.75" customHeight="1">
      <c r="A857" s="4"/>
      <c r="B857" s="19"/>
      <c r="C857" s="4"/>
      <c r="D857" s="4"/>
      <c r="E857" s="4"/>
      <c r="F857" s="4"/>
      <c r="G857" s="4"/>
      <c r="H857" s="4"/>
      <c r="I857" s="4"/>
      <c r="J857" s="4"/>
      <c r="K857" s="4"/>
      <c r="L857" s="4"/>
      <c r="M857" s="4"/>
      <c r="N857" s="4"/>
      <c r="O857" s="4"/>
      <c r="P857" s="4"/>
      <c r="Q857" s="4"/>
      <c r="R857" s="4"/>
      <c r="S857" s="4"/>
      <c r="T857" s="4"/>
      <c r="U857" s="4"/>
      <c r="V857" s="4"/>
      <c r="W857" s="4"/>
      <c r="X857" s="4"/>
      <c r="Y857" s="4"/>
    </row>
    <row r="858" ht="15.75" customHeight="1">
      <c r="A858" s="4"/>
      <c r="B858" s="19"/>
      <c r="C858" s="4"/>
      <c r="D858" s="4"/>
      <c r="E858" s="4"/>
      <c r="F858" s="4"/>
      <c r="G858" s="4"/>
      <c r="H858" s="4"/>
      <c r="I858" s="4"/>
      <c r="J858" s="4"/>
      <c r="K858" s="4"/>
      <c r="L858" s="4"/>
      <c r="M858" s="4"/>
      <c r="N858" s="4"/>
      <c r="O858" s="4"/>
      <c r="P858" s="4"/>
      <c r="Q858" s="4"/>
      <c r="R858" s="4"/>
      <c r="S858" s="4"/>
      <c r="T858" s="4"/>
      <c r="U858" s="4"/>
      <c r="V858" s="4"/>
      <c r="W858" s="4"/>
      <c r="X858" s="4"/>
      <c r="Y858" s="4"/>
    </row>
    <row r="859" ht="15.75" customHeight="1">
      <c r="A859" s="4"/>
      <c r="B859" s="19"/>
      <c r="C859" s="4"/>
      <c r="D859" s="4"/>
      <c r="E859" s="4"/>
      <c r="F859" s="4"/>
      <c r="G859" s="4"/>
      <c r="H859" s="4"/>
      <c r="I859" s="4"/>
      <c r="J859" s="4"/>
      <c r="K859" s="4"/>
      <c r="L859" s="4"/>
      <c r="M859" s="4"/>
      <c r="N859" s="4"/>
      <c r="O859" s="4"/>
      <c r="P859" s="4"/>
      <c r="Q859" s="4"/>
      <c r="R859" s="4"/>
      <c r="S859" s="4"/>
      <c r="T859" s="4"/>
      <c r="U859" s="4"/>
      <c r="V859" s="4"/>
      <c r="W859" s="4"/>
      <c r="X859" s="4"/>
      <c r="Y859" s="4"/>
    </row>
    <row r="860" ht="15.75" customHeight="1">
      <c r="A860" s="4"/>
      <c r="B860" s="19"/>
      <c r="C860" s="4"/>
      <c r="D860" s="4"/>
      <c r="E860" s="4"/>
      <c r="F860" s="4"/>
      <c r="G860" s="4"/>
      <c r="H860" s="4"/>
      <c r="I860" s="4"/>
      <c r="J860" s="4"/>
      <c r="K860" s="4"/>
      <c r="L860" s="4"/>
      <c r="M860" s="4"/>
      <c r="N860" s="4"/>
      <c r="O860" s="4"/>
      <c r="P860" s="4"/>
      <c r="Q860" s="4"/>
      <c r="R860" s="4"/>
      <c r="S860" s="4"/>
      <c r="T860" s="4"/>
      <c r="U860" s="4"/>
      <c r="V860" s="4"/>
      <c r="W860" s="4"/>
      <c r="X860" s="4"/>
      <c r="Y860" s="4"/>
    </row>
    <row r="861" ht="15.75" customHeight="1">
      <c r="A861" s="4"/>
      <c r="B861" s="19"/>
      <c r="C861" s="4"/>
      <c r="D861" s="4"/>
      <c r="E861" s="4"/>
      <c r="F861" s="4"/>
      <c r="G861" s="4"/>
      <c r="H861" s="4"/>
      <c r="I861" s="4"/>
      <c r="J861" s="4"/>
      <c r="K861" s="4"/>
      <c r="L861" s="4"/>
      <c r="M861" s="4"/>
      <c r="N861" s="4"/>
      <c r="O861" s="4"/>
      <c r="P861" s="4"/>
      <c r="Q861" s="4"/>
      <c r="R861" s="4"/>
      <c r="S861" s="4"/>
      <c r="T861" s="4"/>
      <c r="U861" s="4"/>
      <c r="V861" s="4"/>
      <c r="W861" s="4"/>
      <c r="X861" s="4"/>
      <c r="Y861" s="4"/>
    </row>
    <row r="862" ht="15.75" customHeight="1">
      <c r="A862" s="4"/>
      <c r="B862" s="19"/>
      <c r="C862" s="4"/>
      <c r="D862" s="4"/>
      <c r="E862" s="4"/>
      <c r="F862" s="4"/>
      <c r="G862" s="4"/>
      <c r="H862" s="4"/>
      <c r="I862" s="4"/>
      <c r="J862" s="4"/>
      <c r="K862" s="4"/>
      <c r="L862" s="4"/>
      <c r="M862" s="4"/>
      <c r="N862" s="4"/>
      <c r="O862" s="4"/>
      <c r="P862" s="4"/>
      <c r="Q862" s="4"/>
      <c r="R862" s="4"/>
      <c r="S862" s="4"/>
      <c r="T862" s="4"/>
      <c r="U862" s="4"/>
      <c r="V862" s="4"/>
      <c r="W862" s="4"/>
      <c r="X862" s="4"/>
      <c r="Y862" s="4"/>
    </row>
    <row r="863" ht="15.75" customHeight="1">
      <c r="A863" s="4"/>
      <c r="B863" s="19"/>
      <c r="C863" s="4"/>
      <c r="D863" s="4"/>
      <c r="E863" s="4"/>
      <c r="F863" s="4"/>
      <c r="G863" s="4"/>
      <c r="H863" s="4"/>
      <c r="I863" s="4"/>
      <c r="J863" s="4"/>
      <c r="K863" s="4"/>
      <c r="L863" s="4"/>
      <c r="M863" s="4"/>
      <c r="N863" s="4"/>
      <c r="O863" s="4"/>
      <c r="P863" s="4"/>
      <c r="Q863" s="4"/>
      <c r="R863" s="4"/>
      <c r="S863" s="4"/>
      <c r="T863" s="4"/>
      <c r="U863" s="4"/>
      <c r="V863" s="4"/>
      <c r="W863" s="4"/>
      <c r="X863" s="4"/>
      <c r="Y863" s="4"/>
    </row>
    <row r="864" ht="15.75" customHeight="1">
      <c r="A864" s="4"/>
      <c r="B864" s="19"/>
      <c r="C864" s="4"/>
      <c r="D864" s="4"/>
      <c r="E864" s="4"/>
      <c r="F864" s="4"/>
      <c r="G864" s="4"/>
      <c r="H864" s="4"/>
      <c r="I864" s="4"/>
      <c r="J864" s="4"/>
      <c r="K864" s="4"/>
      <c r="L864" s="4"/>
      <c r="M864" s="4"/>
      <c r="N864" s="4"/>
      <c r="O864" s="4"/>
      <c r="P864" s="4"/>
      <c r="Q864" s="4"/>
      <c r="R864" s="4"/>
      <c r="S864" s="4"/>
      <c r="T864" s="4"/>
      <c r="U864" s="4"/>
      <c r="V864" s="4"/>
      <c r="W864" s="4"/>
      <c r="X864" s="4"/>
      <c r="Y864" s="4"/>
    </row>
    <row r="865" ht="15.75" customHeight="1">
      <c r="A865" s="4"/>
      <c r="B865" s="19"/>
      <c r="C865" s="4"/>
      <c r="D865" s="4"/>
      <c r="E865" s="4"/>
      <c r="F865" s="4"/>
      <c r="G865" s="4"/>
      <c r="H865" s="4"/>
      <c r="I865" s="4"/>
      <c r="J865" s="4"/>
      <c r="K865" s="4"/>
      <c r="L865" s="4"/>
      <c r="M865" s="4"/>
      <c r="N865" s="4"/>
      <c r="O865" s="4"/>
      <c r="P865" s="4"/>
      <c r="Q865" s="4"/>
      <c r="R865" s="4"/>
      <c r="S865" s="4"/>
      <c r="T865" s="4"/>
      <c r="U865" s="4"/>
      <c r="V865" s="4"/>
      <c r="W865" s="4"/>
      <c r="X865" s="4"/>
      <c r="Y865" s="4"/>
    </row>
    <row r="866" ht="15.75" customHeight="1">
      <c r="A866" s="4"/>
      <c r="B866" s="19"/>
      <c r="C866" s="4"/>
      <c r="D866" s="4"/>
      <c r="E866" s="4"/>
      <c r="F866" s="4"/>
      <c r="G866" s="4"/>
      <c r="H866" s="4"/>
      <c r="I866" s="4"/>
      <c r="J866" s="4"/>
      <c r="K866" s="4"/>
      <c r="L866" s="4"/>
      <c r="M866" s="4"/>
      <c r="N866" s="4"/>
      <c r="O866" s="4"/>
      <c r="P866" s="4"/>
      <c r="Q866" s="4"/>
      <c r="R866" s="4"/>
      <c r="S866" s="4"/>
      <c r="T866" s="4"/>
      <c r="U866" s="4"/>
      <c r="V866" s="4"/>
      <c r="W866" s="4"/>
      <c r="X866" s="4"/>
      <c r="Y866" s="4"/>
    </row>
    <row r="867" ht="15.75" customHeight="1">
      <c r="A867" s="4"/>
      <c r="B867" s="19"/>
      <c r="C867" s="4"/>
      <c r="D867" s="4"/>
      <c r="E867" s="4"/>
      <c r="F867" s="4"/>
      <c r="G867" s="4"/>
      <c r="H867" s="4"/>
      <c r="I867" s="4"/>
      <c r="J867" s="4"/>
      <c r="K867" s="4"/>
      <c r="L867" s="4"/>
      <c r="M867" s="4"/>
      <c r="N867" s="4"/>
      <c r="O867" s="4"/>
      <c r="P867" s="4"/>
      <c r="Q867" s="4"/>
      <c r="R867" s="4"/>
      <c r="S867" s="4"/>
      <c r="T867" s="4"/>
      <c r="U867" s="4"/>
      <c r="V867" s="4"/>
      <c r="W867" s="4"/>
      <c r="X867" s="4"/>
      <c r="Y867" s="4"/>
    </row>
    <row r="868" ht="15.75" customHeight="1">
      <c r="A868" s="4"/>
      <c r="B868" s="19"/>
      <c r="C868" s="4"/>
      <c r="D868" s="4"/>
      <c r="E868" s="4"/>
      <c r="F868" s="4"/>
      <c r="G868" s="4"/>
      <c r="H868" s="4"/>
      <c r="I868" s="4"/>
      <c r="J868" s="4"/>
      <c r="K868" s="4"/>
      <c r="L868" s="4"/>
      <c r="M868" s="4"/>
      <c r="N868" s="4"/>
      <c r="O868" s="4"/>
      <c r="P868" s="4"/>
      <c r="Q868" s="4"/>
      <c r="R868" s="4"/>
      <c r="S868" s="4"/>
      <c r="T868" s="4"/>
      <c r="U868" s="4"/>
      <c r="V868" s="4"/>
      <c r="W868" s="4"/>
      <c r="X868" s="4"/>
      <c r="Y868" s="4"/>
    </row>
    <row r="869" ht="15.75" customHeight="1">
      <c r="A869" s="4"/>
      <c r="B869" s="19"/>
      <c r="C869" s="4"/>
      <c r="D869" s="4"/>
      <c r="E869" s="4"/>
      <c r="F869" s="4"/>
      <c r="G869" s="4"/>
      <c r="H869" s="4"/>
      <c r="I869" s="4"/>
      <c r="J869" s="4"/>
      <c r="K869" s="4"/>
      <c r="L869" s="4"/>
      <c r="M869" s="4"/>
      <c r="N869" s="4"/>
      <c r="O869" s="4"/>
      <c r="P869" s="4"/>
      <c r="Q869" s="4"/>
      <c r="R869" s="4"/>
      <c r="S869" s="4"/>
      <c r="T869" s="4"/>
      <c r="U869" s="4"/>
      <c r="V869" s="4"/>
      <c r="W869" s="4"/>
      <c r="X869" s="4"/>
      <c r="Y869" s="4"/>
    </row>
    <row r="870" ht="15.75" customHeight="1">
      <c r="A870" s="4"/>
      <c r="B870" s="19"/>
      <c r="C870" s="4"/>
      <c r="D870" s="4"/>
      <c r="E870" s="4"/>
      <c r="F870" s="4"/>
      <c r="G870" s="4"/>
      <c r="H870" s="4"/>
      <c r="I870" s="4"/>
      <c r="J870" s="4"/>
      <c r="K870" s="4"/>
      <c r="L870" s="4"/>
      <c r="M870" s="4"/>
      <c r="N870" s="4"/>
      <c r="O870" s="4"/>
      <c r="P870" s="4"/>
      <c r="Q870" s="4"/>
      <c r="R870" s="4"/>
      <c r="S870" s="4"/>
      <c r="T870" s="4"/>
      <c r="U870" s="4"/>
      <c r="V870" s="4"/>
      <c r="W870" s="4"/>
      <c r="X870" s="4"/>
      <c r="Y870" s="4"/>
    </row>
    <row r="871" ht="15.75" customHeight="1">
      <c r="A871" s="4"/>
      <c r="B871" s="19"/>
      <c r="C871" s="4"/>
      <c r="D871" s="4"/>
      <c r="E871" s="4"/>
      <c r="F871" s="4"/>
      <c r="G871" s="4"/>
      <c r="H871" s="4"/>
      <c r="I871" s="4"/>
      <c r="J871" s="4"/>
      <c r="K871" s="4"/>
      <c r="L871" s="4"/>
      <c r="M871" s="4"/>
      <c r="N871" s="4"/>
      <c r="O871" s="4"/>
      <c r="P871" s="4"/>
      <c r="Q871" s="4"/>
      <c r="R871" s="4"/>
      <c r="S871" s="4"/>
      <c r="T871" s="4"/>
      <c r="U871" s="4"/>
      <c r="V871" s="4"/>
      <c r="W871" s="4"/>
      <c r="X871" s="4"/>
      <c r="Y871" s="4"/>
    </row>
    <row r="872" ht="15.75" customHeight="1">
      <c r="A872" s="4"/>
      <c r="B872" s="19"/>
      <c r="C872" s="4"/>
      <c r="D872" s="4"/>
      <c r="E872" s="4"/>
      <c r="F872" s="4"/>
      <c r="G872" s="4"/>
      <c r="H872" s="4"/>
      <c r="I872" s="4"/>
      <c r="J872" s="4"/>
      <c r="K872" s="4"/>
      <c r="L872" s="4"/>
      <c r="M872" s="4"/>
      <c r="N872" s="4"/>
      <c r="O872" s="4"/>
      <c r="P872" s="4"/>
      <c r="Q872" s="4"/>
      <c r="R872" s="4"/>
      <c r="S872" s="4"/>
      <c r="T872" s="4"/>
      <c r="U872" s="4"/>
      <c r="V872" s="4"/>
      <c r="W872" s="4"/>
      <c r="X872" s="4"/>
      <c r="Y872" s="4"/>
    </row>
    <row r="873" ht="15.75" customHeight="1">
      <c r="A873" s="4"/>
      <c r="B873" s="19"/>
      <c r="C873" s="4"/>
      <c r="D873" s="4"/>
      <c r="E873" s="4"/>
      <c r="F873" s="4"/>
      <c r="G873" s="4"/>
      <c r="H873" s="4"/>
      <c r="I873" s="4"/>
      <c r="J873" s="4"/>
      <c r="K873" s="4"/>
      <c r="L873" s="4"/>
      <c r="M873" s="4"/>
      <c r="N873" s="4"/>
      <c r="O873" s="4"/>
      <c r="P873" s="4"/>
      <c r="Q873" s="4"/>
      <c r="R873" s="4"/>
      <c r="S873" s="4"/>
      <c r="T873" s="4"/>
      <c r="U873" s="4"/>
      <c r="V873" s="4"/>
      <c r="W873" s="4"/>
      <c r="X873" s="4"/>
      <c r="Y873" s="4"/>
    </row>
    <row r="874" ht="15.75" customHeight="1">
      <c r="A874" s="4"/>
      <c r="B874" s="19"/>
      <c r="C874" s="4"/>
      <c r="D874" s="4"/>
      <c r="E874" s="4"/>
      <c r="F874" s="4"/>
      <c r="G874" s="4"/>
      <c r="H874" s="4"/>
      <c r="I874" s="4"/>
      <c r="J874" s="4"/>
      <c r="K874" s="4"/>
      <c r="L874" s="4"/>
      <c r="M874" s="4"/>
      <c r="N874" s="4"/>
      <c r="O874" s="4"/>
      <c r="P874" s="4"/>
      <c r="Q874" s="4"/>
      <c r="R874" s="4"/>
      <c r="S874" s="4"/>
      <c r="T874" s="4"/>
      <c r="U874" s="4"/>
      <c r="V874" s="4"/>
      <c r="W874" s="4"/>
      <c r="X874" s="4"/>
      <c r="Y874" s="4"/>
    </row>
    <row r="875" ht="15.75" customHeight="1">
      <c r="A875" s="4"/>
      <c r="B875" s="19"/>
      <c r="C875" s="4"/>
      <c r="D875" s="4"/>
      <c r="E875" s="4"/>
      <c r="F875" s="4"/>
      <c r="G875" s="4"/>
      <c r="H875" s="4"/>
      <c r="I875" s="4"/>
      <c r="J875" s="4"/>
      <c r="K875" s="4"/>
      <c r="L875" s="4"/>
      <c r="M875" s="4"/>
      <c r="N875" s="4"/>
      <c r="O875" s="4"/>
      <c r="P875" s="4"/>
      <c r="Q875" s="4"/>
      <c r="R875" s="4"/>
      <c r="S875" s="4"/>
      <c r="T875" s="4"/>
      <c r="U875" s="4"/>
      <c r="V875" s="4"/>
      <c r="W875" s="4"/>
      <c r="X875" s="4"/>
      <c r="Y875" s="4"/>
    </row>
    <row r="876" ht="15.75" customHeight="1">
      <c r="A876" s="4"/>
      <c r="B876" s="19"/>
      <c r="C876" s="4"/>
      <c r="D876" s="4"/>
      <c r="E876" s="4"/>
      <c r="F876" s="4"/>
      <c r="G876" s="4"/>
      <c r="H876" s="4"/>
      <c r="I876" s="4"/>
      <c r="J876" s="4"/>
      <c r="K876" s="4"/>
      <c r="L876" s="4"/>
      <c r="M876" s="4"/>
      <c r="N876" s="4"/>
      <c r="O876" s="4"/>
      <c r="P876" s="4"/>
      <c r="Q876" s="4"/>
      <c r="R876" s="4"/>
      <c r="S876" s="4"/>
      <c r="T876" s="4"/>
      <c r="U876" s="4"/>
      <c r="V876" s="4"/>
      <c r="W876" s="4"/>
      <c r="X876" s="4"/>
      <c r="Y876" s="4"/>
    </row>
    <row r="877" ht="15.75" customHeight="1">
      <c r="A877" s="4"/>
      <c r="B877" s="19"/>
      <c r="C877" s="4"/>
      <c r="D877" s="4"/>
      <c r="E877" s="4"/>
      <c r="F877" s="4"/>
      <c r="G877" s="4"/>
      <c r="H877" s="4"/>
      <c r="I877" s="4"/>
      <c r="J877" s="4"/>
      <c r="K877" s="4"/>
      <c r="L877" s="4"/>
      <c r="M877" s="4"/>
      <c r="N877" s="4"/>
      <c r="O877" s="4"/>
      <c r="P877" s="4"/>
      <c r="Q877" s="4"/>
      <c r="R877" s="4"/>
      <c r="S877" s="4"/>
      <c r="T877" s="4"/>
      <c r="U877" s="4"/>
      <c r="V877" s="4"/>
      <c r="W877" s="4"/>
      <c r="X877" s="4"/>
      <c r="Y877" s="4"/>
    </row>
    <row r="878" ht="15.75" customHeight="1">
      <c r="A878" s="4"/>
      <c r="B878" s="19"/>
      <c r="C878" s="4"/>
      <c r="D878" s="4"/>
      <c r="E878" s="4"/>
      <c r="F878" s="4"/>
      <c r="G878" s="4"/>
      <c r="H878" s="4"/>
      <c r="I878" s="4"/>
      <c r="J878" s="4"/>
      <c r="K878" s="4"/>
      <c r="L878" s="4"/>
      <c r="M878" s="4"/>
      <c r="N878" s="4"/>
      <c r="O878" s="4"/>
      <c r="P878" s="4"/>
      <c r="Q878" s="4"/>
      <c r="R878" s="4"/>
      <c r="S878" s="4"/>
      <c r="T878" s="4"/>
      <c r="U878" s="4"/>
      <c r="V878" s="4"/>
      <c r="W878" s="4"/>
      <c r="X878" s="4"/>
      <c r="Y878" s="4"/>
    </row>
    <row r="879" ht="15.75" customHeight="1">
      <c r="A879" s="4"/>
      <c r="B879" s="19"/>
      <c r="C879" s="4"/>
      <c r="D879" s="4"/>
      <c r="E879" s="4"/>
      <c r="F879" s="4"/>
      <c r="G879" s="4"/>
      <c r="H879" s="4"/>
      <c r="I879" s="4"/>
      <c r="J879" s="4"/>
      <c r="K879" s="4"/>
      <c r="L879" s="4"/>
      <c r="M879" s="4"/>
      <c r="N879" s="4"/>
      <c r="O879" s="4"/>
      <c r="P879" s="4"/>
      <c r="Q879" s="4"/>
      <c r="R879" s="4"/>
      <c r="S879" s="4"/>
      <c r="T879" s="4"/>
      <c r="U879" s="4"/>
      <c r="V879" s="4"/>
      <c r="W879" s="4"/>
      <c r="X879" s="4"/>
      <c r="Y879" s="4"/>
    </row>
    <row r="880" ht="15.75" customHeight="1">
      <c r="A880" s="4"/>
      <c r="B880" s="19"/>
      <c r="C880" s="4"/>
      <c r="D880" s="4"/>
      <c r="E880" s="4"/>
      <c r="F880" s="4"/>
      <c r="G880" s="4"/>
      <c r="H880" s="4"/>
      <c r="I880" s="4"/>
      <c r="J880" s="4"/>
      <c r="K880" s="4"/>
      <c r="L880" s="4"/>
      <c r="M880" s="4"/>
      <c r="N880" s="4"/>
      <c r="O880" s="4"/>
      <c r="P880" s="4"/>
      <c r="Q880" s="4"/>
      <c r="R880" s="4"/>
      <c r="S880" s="4"/>
      <c r="T880" s="4"/>
      <c r="U880" s="4"/>
      <c r="V880" s="4"/>
      <c r="W880" s="4"/>
      <c r="X880" s="4"/>
      <c r="Y880" s="4"/>
    </row>
    <row r="881" ht="15.75" customHeight="1">
      <c r="A881" s="4"/>
      <c r="B881" s="19"/>
      <c r="C881" s="4"/>
      <c r="D881" s="4"/>
      <c r="E881" s="4"/>
      <c r="F881" s="4"/>
      <c r="G881" s="4"/>
      <c r="H881" s="4"/>
      <c r="I881" s="4"/>
      <c r="J881" s="4"/>
      <c r="K881" s="4"/>
      <c r="L881" s="4"/>
      <c r="M881" s="4"/>
      <c r="N881" s="4"/>
      <c r="O881" s="4"/>
      <c r="P881" s="4"/>
      <c r="Q881" s="4"/>
      <c r="R881" s="4"/>
      <c r="S881" s="4"/>
      <c r="T881" s="4"/>
      <c r="U881" s="4"/>
      <c r="V881" s="4"/>
      <c r="W881" s="4"/>
      <c r="X881" s="4"/>
      <c r="Y881" s="4"/>
    </row>
    <row r="882" ht="15.75" customHeight="1">
      <c r="A882" s="4"/>
      <c r="B882" s="19"/>
      <c r="C882" s="4"/>
      <c r="D882" s="4"/>
      <c r="E882" s="4"/>
      <c r="F882" s="4"/>
      <c r="G882" s="4"/>
      <c r="H882" s="4"/>
      <c r="I882" s="4"/>
      <c r="J882" s="4"/>
      <c r="K882" s="4"/>
      <c r="L882" s="4"/>
      <c r="M882" s="4"/>
      <c r="N882" s="4"/>
      <c r="O882" s="4"/>
      <c r="P882" s="4"/>
      <c r="Q882" s="4"/>
      <c r="R882" s="4"/>
      <c r="S882" s="4"/>
      <c r="T882" s="4"/>
      <c r="U882" s="4"/>
      <c r="V882" s="4"/>
      <c r="W882" s="4"/>
      <c r="X882" s="4"/>
      <c r="Y882" s="4"/>
    </row>
    <row r="883" ht="15.75" customHeight="1">
      <c r="A883" s="4"/>
      <c r="B883" s="19"/>
      <c r="C883" s="4"/>
      <c r="D883" s="4"/>
      <c r="E883" s="4"/>
      <c r="F883" s="4"/>
      <c r="G883" s="4"/>
      <c r="H883" s="4"/>
      <c r="I883" s="4"/>
      <c r="J883" s="4"/>
      <c r="K883" s="4"/>
      <c r="L883" s="4"/>
      <c r="M883" s="4"/>
      <c r="N883" s="4"/>
      <c r="O883" s="4"/>
      <c r="P883" s="4"/>
      <c r="Q883" s="4"/>
      <c r="R883" s="4"/>
      <c r="S883" s="4"/>
      <c r="T883" s="4"/>
      <c r="U883" s="4"/>
      <c r="V883" s="4"/>
      <c r="W883" s="4"/>
      <c r="X883" s="4"/>
      <c r="Y883" s="4"/>
    </row>
    <row r="884" ht="15.75" customHeight="1">
      <c r="A884" s="4"/>
      <c r="B884" s="19"/>
      <c r="C884" s="4"/>
      <c r="D884" s="4"/>
      <c r="E884" s="4"/>
      <c r="F884" s="4"/>
      <c r="G884" s="4"/>
      <c r="H884" s="4"/>
      <c r="I884" s="4"/>
      <c r="J884" s="4"/>
      <c r="K884" s="4"/>
      <c r="L884" s="4"/>
      <c r="M884" s="4"/>
      <c r="N884" s="4"/>
      <c r="O884" s="4"/>
      <c r="P884" s="4"/>
      <c r="Q884" s="4"/>
      <c r="R884" s="4"/>
      <c r="S884" s="4"/>
      <c r="T884" s="4"/>
      <c r="U884" s="4"/>
      <c r="V884" s="4"/>
      <c r="W884" s="4"/>
      <c r="X884" s="4"/>
      <c r="Y884" s="4"/>
    </row>
    <row r="885" ht="15.75" customHeight="1">
      <c r="A885" s="4"/>
      <c r="B885" s="19"/>
      <c r="C885" s="4"/>
      <c r="D885" s="4"/>
      <c r="E885" s="4"/>
      <c r="F885" s="4"/>
      <c r="G885" s="4"/>
      <c r="H885" s="4"/>
      <c r="I885" s="4"/>
      <c r="J885" s="4"/>
      <c r="K885" s="4"/>
      <c r="L885" s="4"/>
      <c r="M885" s="4"/>
      <c r="N885" s="4"/>
      <c r="O885" s="4"/>
      <c r="P885" s="4"/>
      <c r="Q885" s="4"/>
      <c r="R885" s="4"/>
      <c r="S885" s="4"/>
      <c r="T885" s="4"/>
      <c r="U885" s="4"/>
      <c r="V885" s="4"/>
      <c r="W885" s="4"/>
      <c r="X885" s="4"/>
      <c r="Y885" s="4"/>
    </row>
    <row r="886" ht="15.75" customHeight="1">
      <c r="A886" s="4"/>
      <c r="B886" s="19"/>
      <c r="C886" s="4"/>
      <c r="D886" s="4"/>
      <c r="E886" s="4"/>
      <c r="F886" s="4"/>
      <c r="G886" s="4"/>
      <c r="H886" s="4"/>
      <c r="I886" s="4"/>
      <c r="J886" s="4"/>
      <c r="K886" s="4"/>
      <c r="L886" s="4"/>
      <c r="M886" s="4"/>
      <c r="N886" s="4"/>
      <c r="O886" s="4"/>
      <c r="P886" s="4"/>
      <c r="Q886" s="4"/>
      <c r="R886" s="4"/>
      <c r="S886" s="4"/>
      <c r="T886" s="4"/>
      <c r="U886" s="4"/>
      <c r="V886" s="4"/>
      <c r="W886" s="4"/>
      <c r="X886" s="4"/>
      <c r="Y886" s="4"/>
    </row>
    <row r="887" ht="15.75" customHeight="1">
      <c r="A887" s="4"/>
      <c r="B887" s="19"/>
      <c r="C887" s="4"/>
      <c r="D887" s="4"/>
      <c r="E887" s="4"/>
      <c r="F887" s="4"/>
      <c r="G887" s="4"/>
      <c r="H887" s="4"/>
      <c r="I887" s="4"/>
      <c r="J887" s="4"/>
      <c r="K887" s="4"/>
      <c r="L887" s="4"/>
      <c r="M887" s="4"/>
      <c r="N887" s="4"/>
      <c r="O887" s="4"/>
      <c r="P887" s="4"/>
      <c r="Q887" s="4"/>
      <c r="R887" s="4"/>
      <c r="S887" s="4"/>
      <c r="T887" s="4"/>
      <c r="U887" s="4"/>
      <c r="V887" s="4"/>
      <c r="W887" s="4"/>
      <c r="X887" s="4"/>
      <c r="Y887" s="4"/>
    </row>
    <row r="888" ht="15.75" customHeight="1">
      <c r="A888" s="4"/>
      <c r="B888" s="19"/>
      <c r="C888" s="4"/>
      <c r="D888" s="4"/>
      <c r="E888" s="4"/>
      <c r="F888" s="4"/>
      <c r="G888" s="4"/>
      <c r="H888" s="4"/>
      <c r="I888" s="4"/>
      <c r="J888" s="4"/>
      <c r="K888" s="4"/>
      <c r="L888" s="4"/>
      <c r="M888" s="4"/>
      <c r="N888" s="4"/>
      <c r="O888" s="4"/>
      <c r="P888" s="4"/>
      <c r="Q888" s="4"/>
      <c r="R888" s="4"/>
      <c r="S888" s="4"/>
      <c r="T888" s="4"/>
      <c r="U888" s="4"/>
      <c r="V888" s="4"/>
      <c r="W888" s="4"/>
      <c r="X888" s="4"/>
      <c r="Y888" s="4"/>
    </row>
    <row r="889" ht="15.75" customHeight="1">
      <c r="A889" s="4"/>
      <c r="B889" s="19"/>
      <c r="C889" s="4"/>
      <c r="D889" s="4"/>
      <c r="E889" s="4"/>
      <c r="F889" s="4"/>
      <c r="G889" s="4"/>
      <c r="H889" s="4"/>
      <c r="I889" s="4"/>
      <c r="J889" s="4"/>
      <c r="K889" s="4"/>
      <c r="L889" s="4"/>
      <c r="M889" s="4"/>
      <c r="N889" s="4"/>
      <c r="O889" s="4"/>
      <c r="P889" s="4"/>
      <c r="Q889" s="4"/>
      <c r="R889" s="4"/>
      <c r="S889" s="4"/>
      <c r="T889" s="4"/>
      <c r="U889" s="4"/>
      <c r="V889" s="4"/>
      <c r="W889" s="4"/>
      <c r="X889" s="4"/>
      <c r="Y889" s="4"/>
    </row>
    <row r="890" ht="15.75" customHeight="1">
      <c r="A890" s="4"/>
      <c r="B890" s="19"/>
      <c r="C890" s="4"/>
      <c r="D890" s="4"/>
      <c r="E890" s="4"/>
      <c r="F890" s="4"/>
      <c r="G890" s="4"/>
      <c r="H890" s="4"/>
      <c r="I890" s="4"/>
      <c r="J890" s="4"/>
      <c r="K890" s="4"/>
      <c r="L890" s="4"/>
      <c r="M890" s="4"/>
      <c r="N890" s="4"/>
      <c r="O890" s="4"/>
      <c r="P890" s="4"/>
      <c r="Q890" s="4"/>
      <c r="R890" s="4"/>
      <c r="S890" s="4"/>
      <c r="T890" s="4"/>
      <c r="U890" s="4"/>
      <c r="V890" s="4"/>
      <c r="W890" s="4"/>
      <c r="X890" s="4"/>
      <c r="Y890" s="4"/>
    </row>
    <row r="891" ht="15.75" customHeight="1">
      <c r="A891" s="4"/>
      <c r="B891" s="19"/>
      <c r="C891" s="4"/>
      <c r="D891" s="4"/>
      <c r="E891" s="4"/>
      <c r="F891" s="4"/>
      <c r="G891" s="4"/>
      <c r="H891" s="4"/>
      <c r="I891" s="4"/>
      <c r="J891" s="4"/>
      <c r="K891" s="4"/>
      <c r="L891" s="4"/>
      <c r="M891" s="4"/>
      <c r="N891" s="4"/>
      <c r="O891" s="4"/>
      <c r="P891" s="4"/>
      <c r="Q891" s="4"/>
      <c r="R891" s="4"/>
      <c r="S891" s="4"/>
      <c r="T891" s="4"/>
      <c r="U891" s="4"/>
      <c r="V891" s="4"/>
      <c r="W891" s="4"/>
      <c r="X891" s="4"/>
      <c r="Y891" s="4"/>
    </row>
    <row r="892" ht="15.75" customHeight="1">
      <c r="A892" s="4"/>
      <c r="B892" s="19"/>
      <c r="C892" s="4"/>
      <c r="D892" s="4"/>
      <c r="E892" s="4"/>
      <c r="F892" s="4"/>
      <c r="G892" s="4"/>
      <c r="H892" s="4"/>
      <c r="I892" s="4"/>
      <c r="J892" s="4"/>
      <c r="K892" s="4"/>
      <c r="L892" s="4"/>
      <c r="M892" s="4"/>
      <c r="N892" s="4"/>
      <c r="O892" s="4"/>
      <c r="P892" s="4"/>
      <c r="Q892" s="4"/>
      <c r="R892" s="4"/>
      <c r="S892" s="4"/>
      <c r="T892" s="4"/>
      <c r="U892" s="4"/>
      <c r="V892" s="4"/>
      <c r="W892" s="4"/>
      <c r="X892" s="4"/>
      <c r="Y892" s="4"/>
    </row>
    <row r="893" ht="15.75" customHeight="1">
      <c r="A893" s="4"/>
      <c r="B893" s="19"/>
      <c r="C893" s="4"/>
      <c r="D893" s="4"/>
      <c r="E893" s="4"/>
      <c r="F893" s="4"/>
      <c r="G893" s="4"/>
      <c r="H893" s="4"/>
      <c r="I893" s="4"/>
      <c r="J893" s="4"/>
      <c r="K893" s="4"/>
      <c r="L893" s="4"/>
      <c r="M893" s="4"/>
      <c r="N893" s="4"/>
      <c r="O893" s="4"/>
      <c r="P893" s="4"/>
      <c r="Q893" s="4"/>
      <c r="R893" s="4"/>
      <c r="S893" s="4"/>
      <c r="T893" s="4"/>
      <c r="U893" s="4"/>
      <c r="V893" s="4"/>
      <c r="W893" s="4"/>
      <c r="X893" s="4"/>
      <c r="Y893" s="4"/>
    </row>
    <row r="894" ht="15.75" customHeight="1">
      <c r="A894" s="4"/>
      <c r="B894" s="19"/>
      <c r="C894" s="4"/>
      <c r="D894" s="4"/>
      <c r="E894" s="4"/>
      <c r="F894" s="4"/>
      <c r="G894" s="4"/>
      <c r="H894" s="4"/>
      <c r="I894" s="4"/>
      <c r="J894" s="4"/>
      <c r="K894" s="4"/>
      <c r="L894" s="4"/>
      <c r="M894" s="4"/>
      <c r="N894" s="4"/>
      <c r="O894" s="4"/>
      <c r="P894" s="4"/>
      <c r="Q894" s="4"/>
      <c r="R894" s="4"/>
      <c r="S894" s="4"/>
      <c r="T894" s="4"/>
      <c r="U894" s="4"/>
      <c r="V894" s="4"/>
      <c r="W894" s="4"/>
      <c r="X894" s="4"/>
      <c r="Y894" s="4"/>
    </row>
    <row r="895" ht="15.75" customHeight="1">
      <c r="A895" s="4"/>
      <c r="B895" s="19"/>
      <c r="C895" s="4"/>
      <c r="D895" s="4"/>
      <c r="E895" s="4"/>
      <c r="F895" s="4"/>
      <c r="G895" s="4"/>
      <c r="H895" s="4"/>
      <c r="I895" s="4"/>
      <c r="J895" s="4"/>
      <c r="K895" s="4"/>
      <c r="L895" s="4"/>
      <c r="M895" s="4"/>
      <c r="N895" s="4"/>
      <c r="O895" s="4"/>
      <c r="P895" s="4"/>
      <c r="Q895" s="4"/>
      <c r="R895" s="4"/>
      <c r="S895" s="4"/>
      <c r="T895" s="4"/>
      <c r="U895" s="4"/>
      <c r="V895" s="4"/>
      <c r="W895" s="4"/>
      <c r="X895" s="4"/>
      <c r="Y895" s="4"/>
    </row>
    <row r="896" ht="15.75" customHeight="1">
      <c r="A896" s="4"/>
      <c r="B896" s="19"/>
      <c r="C896" s="4"/>
      <c r="D896" s="4"/>
      <c r="E896" s="4"/>
      <c r="F896" s="4"/>
      <c r="G896" s="4"/>
      <c r="H896" s="4"/>
      <c r="I896" s="4"/>
      <c r="J896" s="4"/>
      <c r="K896" s="4"/>
      <c r="L896" s="4"/>
      <c r="M896" s="4"/>
      <c r="N896" s="4"/>
      <c r="O896" s="4"/>
      <c r="P896" s="4"/>
      <c r="Q896" s="4"/>
      <c r="R896" s="4"/>
      <c r="S896" s="4"/>
      <c r="T896" s="4"/>
      <c r="U896" s="4"/>
      <c r="V896" s="4"/>
      <c r="W896" s="4"/>
      <c r="X896" s="4"/>
      <c r="Y896" s="4"/>
    </row>
    <row r="897" ht="15.75" customHeight="1">
      <c r="A897" s="4"/>
      <c r="B897" s="19"/>
      <c r="C897" s="4"/>
      <c r="D897" s="4"/>
      <c r="E897" s="4"/>
      <c r="F897" s="4"/>
      <c r="G897" s="4"/>
      <c r="H897" s="4"/>
      <c r="I897" s="4"/>
      <c r="J897" s="4"/>
      <c r="K897" s="4"/>
      <c r="L897" s="4"/>
      <c r="M897" s="4"/>
      <c r="N897" s="4"/>
      <c r="O897" s="4"/>
      <c r="P897" s="4"/>
      <c r="Q897" s="4"/>
      <c r="R897" s="4"/>
      <c r="S897" s="4"/>
      <c r="T897" s="4"/>
      <c r="U897" s="4"/>
      <c r="V897" s="4"/>
      <c r="W897" s="4"/>
      <c r="X897" s="4"/>
      <c r="Y897" s="4"/>
    </row>
    <row r="898" ht="15.75" customHeight="1">
      <c r="A898" s="4"/>
      <c r="B898" s="19"/>
      <c r="C898" s="4"/>
      <c r="D898" s="4"/>
      <c r="E898" s="4"/>
      <c r="F898" s="4"/>
      <c r="G898" s="4"/>
      <c r="H898" s="4"/>
      <c r="I898" s="4"/>
      <c r="J898" s="4"/>
      <c r="K898" s="4"/>
      <c r="L898" s="4"/>
      <c r="M898" s="4"/>
      <c r="N898" s="4"/>
      <c r="O898" s="4"/>
      <c r="P898" s="4"/>
      <c r="Q898" s="4"/>
      <c r="R898" s="4"/>
      <c r="S898" s="4"/>
      <c r="T898" s="4"/>
      <c r="U898" s="4"/>
      <c r="V898" s="4"/>
      <c r="W898" s="4"/>
      <c r="X898" s="4"/>
      <c r="Y898" s="4"/>
    </row>
    <row r="899" ht="15.75" customHeight="1">
      <c r="A899" s="4"/>
      <c r="B899" s="19"/>
      <c r="C899" s="4"/>
      <c r="D899" s="4"/>
      <c r="E899" s="4"/>
      <c r="F899" s="4"/>
      <c r="G899" s="4"/>
      <c r="H899" s="4"/>
      <c r="I899" s="4"/>
      <c r="J899" s="4"/>
      <c r="K899" s="4"/>
      <c r="L899" s="4"/>
      <c r="M899" s="4"/>
      <c r="N899" s="4"/>
      <c r="O899" s="4"/>
      <c r="P899" s="4"/>
      <c r="Q899" s="4"/>
      <c r="R899" s="4"/>
      <c r="S899" s="4"/>
      <c r="T899" s="4"/>
      <c r="U899" s="4"/>
      <c r="V899" s="4"/>
      <c r="W899" s="4"/>
      <c r="X899" s="4"/>
      <c r="Y899" s="4"/>
    </row>
    <row r="900" ht="15.75" customHeight="1">
      <c r="A900" s="4"/>
      <c r="B900" s="19"/>
      <c r="C900" s="4"/>
      <c r="D900" s="4"/>
      <c r="E900" s="4"/>
      <c r="F900" s="4"/>
      <c r="G900" s="4"/>
      <c r="H900" s="4"/>
      <c r="I900" s="4"/>
      <c r="J900" s="4"/>
      <c r="K900" s="4"/>
      <c r="L900" s="4"/>
      <c r="M900" s="4"/>
      <c r="N900" s="4"/>
      <c r="O900" s="4"/>
      <c r="P900" s="4"/>
      <c r="Q900" s="4"/>
      <c r="R900" s="4"/>
      <c r="S900" s="4"/>
      <c r="T900" s="4"/>
      <c r="U900" s="4"/>
      <c r="V900" s="4"/>
      <c r="W900" s="4"/>
      <c r="X900" s="4"/>
      <c r="Y900" s="4"/>
    </row>
    <row r="901" ht="15.75" customHeight="1">
      <c r="A901" s="4"/>
      <c r="B901" s="19"/>
      <c r="C901" s="4"/>
      <c r="D901" s="4"/>
      <c r="E901" s="4"/>
      <c r="F901" s="4"/>
      <c r="G901" s="4"/>
      <c r="H901" s="4"/>
      <c r="I901" s="4"/>
      <c r="J901" s="4"/>
      <c r="K901" s="4"/>
      <c r="L901" s="4"/>
      <c r="M901" s="4"/>
      <c r="N901" s="4"/>
      <c r="O901" s="4"/>
      <c r="P901" s="4"/>
      <c r="Q901" s="4"/>
      <c r="R901" s="4"/>
      <c r="S901" s="4"/>
      <c r="T901" s="4"/>
      <c r="U901" s="4"/>
      <c r="V901" s="4"/>
      <c r="W901" s="4"/>
      <c r="X901" s="4"/>
      <c r="Y901" s="4"/>
    </row>
    <row r="902" ht="15.75" customHeight="1">
      <c r="A902" s="4"/>
      <c r="B902" s="19"/>
      <c r="C902" s="4"/>
      <c r="D902" s="4"/>
      <c r="E902" s="4"/>
      <c r="F902" s="4"/>
      <c r="G902" s="4"/>
      <c r="H902" s="4"/>
      <c r="I902" s="4"/>
      <c r="J902" s="4"/>
      <c r="K902" s="4"/>
      <c r="L902" s="4"/>
      <c r="M902" s="4"/>
      <c r="N902" s="4"/>
      <c r="O902" s="4"/>
      <c r="P902" s="4"/>
      <c r="Q902" s="4"/>
      <c r="R902" s="4"/>
      <c r="S902" s="4"/>
      <c r="T902" s="4"/>
      <c r="U902" s="4"/>
      <c r="V902" s="4"/>
      <c r="W902" s="4"/>
      <c r="X902" s="4"/>
      <c r="Y902" s="4"/>
    </row>
    <row r="903" ht="15.75" customHeight="1">
      <c r="A903" s="4"/>
      <c r="B903" s="19"/>
      <c r="C903" s="4"/>
      <c r="D903" s="4"/>
      <c r="E903" s="4"/>
      <c r="F903" s="4"/>
      <c r="G903" s="4"/>
      <c r="H903" s="4"/>
      <c r="I903" s="4"/>
      <c r="J903" s="4"/>
      <c r="K903" s="4"/>
      <c r="L903" s="4"/>
      <c r="M903" s="4"/>
      <c r="N903" s="4"/>
      <c r="O903" s="4"/>
      <c r="P903" s="4"/>
      <c r="Q903" s="4"/>
      <c r="R903" s="4"/>
      <c r="S903" s="4"/>
      <c r="T903" s="4"/>
      <c r="U903" s="4"/>
      <c r="V903" s="4"/>
      <c r="W903" s="4"/>
      <c r="X903" s="4"/>
      <c r="Y903" s="4"/>
    </row>
    <row r="904" ht="15.75" customHeight="1">
      <c r="A904" s="4"/>
      <c r="B904" s="19"/>
      <c r="C904" s="4"/>
      <c r="D904" s="4"/>
      <c r="E904" s="4"/>
      <c r="F904" s="4"/>
      <c r="G904" s="4"/>
      <c r="H904" s="4"/>
      <c r="I904" s="4"/>
      <c r="J904" s="4"/>
      <c r="K904" s="4"/>
      <c r="L904" s="4"/>
      <c r="M904" s="4"/>
      <c r="N904" s="4"/>
      <c r="O904" s="4"/>
      <c r="P904" s="4"/>
      <c r="Q904" s="4"/>
      <c r="R904" s="4"/>
      <c r="S904" s="4"/>
      <c r="T904" s="4"/>
      <c r="U904" s="4"/>
      <c r="V904" s="4"/>
      <c r="W904" s="4"/>
      <c r="X904" s="4"/>
      <c r="Y904" s="4"/>
    </row>
    <row r="905" ht="15.75" customHeight="1">
      <c r="A905" s="4"/>
      <c r="B905" s="19"/>
      <c r="C905" s="4"/>
      <c r="D905" s="4"/>
      <c r="E905" s="4"/>
      <c r="F905" s="4"/>
      <c r="G905" s="4"/>
      <c r="H905" s="4"/>
      <c r="I905" s="4"/>
      <c r="J905" s="4"/>
      <c r="K905" s="4"/>
      <c r="L905" s="4"/>
      <c r="M905" s="4"/>
      <c r="N905" s="4"/>
      <c r="O905" s="4"/>
      <c r="P905" s="4"/>
      <c r="Q905" s="4"/>
      <c r="R905" s="4"/>
      <c r="S905" s="4"/>
      <c r="T905" s="4"/>
      <c r="U905" s="4"/>
      <c r="V905" s="4"/>
      <c r="W905" s="4"/>
      <c r="X905" s="4"/>
      <c r="Y905" s="4"/>
    </row>
    <row r="906" ht="15.75" customHeight="1">
      <c r="A906" s="4"/>
      <c r="B906" s="19"/>
      <c r="C906" s="4"/>
      <c r="D906" s="4"/>
      <c r="E906" s="4"/>
      <c r="F906" s="4"/>
      <c r="G906" s="4"/>
      <c r="H906" s="4"/>
      <c r="I906" s="4"/>
      <c r="J906" s="4"/>
      <c r="K906" s="4"/>
      <c r="L906" s="4"/>
      <c r="M906" s="4"/>
      <c r="N906" s="4"/>
      <c r="O906" s="4"/>
      <c r="P906" s="4"/>
      <c r="Q906" s="4"/>
      <c r="R906" s="4"/>
      <c r="S906" s="4"/>
      <c r="T906" s="4"/>
      <c r="U906" s="4"/>
      <c r="V906" s="4"/>
      <c r="W906" s="4"/>
      <c r="X906" s="4"/>
      <c r="Y906" s="4"/>
    </row>
    <row r="907" ht="15.75" customHeight="1">
      <c r="A907" s="4"/>
      <c r="B907" s="19"/>
      <c r="C907" s="4"/>
      <c r="D907" s="4"/>
      <c r="E907" s="4"/>
      <c r="F907" s="4"/>
      <c r="G907" s="4"/>
      <c r="H907" s="4"/>
      <c r="I907" s="4"/>
      <c r="J907" s="4"/>
      <c r="K907" s="4"/>
      <c r="L907" s="4"/>
      <c r="M907" s="4"/>
      <c r="N907" s="4"/>
      <c r="O907" s="4"/>
      <c r="P907" s="4"/>
      <c r="Q907" s="4"/>
      <c r="R907" s="4"/>
      <c r="S907" s="4"/>
      <c r="T907" s="4"/>
      <c r="U907" s="4"/>
      <c r="V907" s="4"/>
      <c r="W907" s="4"/>
      <c r="X907" s="4"/>
      <c r="Y907" s="4"/>
    </row>
    <row r="908" ht="15.75" customHeight="1">
      <c r="A908" s="4"/>
      <c r="B908" s="19"/>
      <c r="C908" s="4"/>
      <c r="D908" s="4"/>
      <c r="E908" s="4"/>
      <c r="F908" s="4"/>
      <c r="G908" s="4"/>
      <c r="H908" s="4"/>
      <c r="I908" s="4"/>
      <c r="J908" s="4"/>
      <c r="K908" s="4"/>
      <c r="L908" s="4"/>
      <c r="M908" s="4"/>
      <c r="N908" s="4"/>
      <c r="O908" s="4"/>
      <c r="P908" s="4"/>
      <c r="Q908" s="4"/>
      <c r="R908" s="4"/>
      <c r="S908" s="4"/>
      <c r="T908" s="4"/>
      <c r="U908" s="4"/>
      <c r="V908" s="4"/>
      <c r="W908" s="4"/>
      <c r="X908" s="4"/>
      <c r="Y908" s="4"/>
    </row>
    <row r="909" ht="15.75" customHeight="1">
      <c r="A909" s="4"/>
      <c r="B909" s="19"/>
      <c r="C909" s="4"/>
      <c r="D909" s="4"/>
      <c r="E909" s="4"/>
      <c r="F909" s="4"/>
      <c r="G909" s="4"/>
      <c r="H909" s="4"/>
      <c r="I909" s="4"/>
      <c r="J909" s="4"/>
      <c r="K909" s="4"/>
      <c r="L909" s="4"/>
      <c r="M909" s="4"/>
      <c r="N909" s="4"/>
      <c r="O909" s="4"/>
      <c r="P909" s="4"/>
      <c r="Q909" s="4"/>
      <c r="R909" s="4"/>
      <c r="S909" s="4"/>
      <c r="T909" s="4"/>
      <c r="U909" s="4"/>
      <c r="V909" s="4"/>
      <c r="W909" s="4"/>
      <c r="X909" s="4"/>
      <c r="Y909" s="4"/>
    </row>
    <row r="910" ht="15.75" customHeight="1">
      <c r="A910" s="4"/>
      <c r="B910" s="19"/>
      <c r="C910" s="4"/>
      <c r="D910" s="4"/>
      <c r="E910" s="4"/>
      <c r="F910" s="4"/>
      <c r="G910" s="4"/>
      <c r="H910" s="4"/>
      <c r="I910" s="4"/>
      <c r="J910" s="4"/>
      <c r="K910" s="4"/>
      <c r="L910" s="4"/>
      <c r="M910" s="4"/>
      <c r="N910" s="4"/>
      <c r="O910" s="4"/>
      <c r="P910" s="4"/>
      <c r="Q910" s="4"/>
      <c r="R910" s="4"/>
      <c r="S910" s="4"/>
      <c r="T910" s="4"/>
      <c r="U910" s="4"/>
      <c r="V910" s="4"/>
      <c r="W910" s="4"/>
      <c r="X910" s="4"/>
      <c r="Y910" s="4"/>
    </row>
    <row r="911" ht="15.75" customHeight="1">
      <c r="A911" s="4"/>
      <c r="B911" s="19"/>
      <c r="C911" s="4"/>
      <c r="D911" s="4"/>
      <c r="E911" s="4"/>
      <c r="F911" s="4"/>
      <c r="G911" s="4"/>
      <c r="H911" s="4"/>
      <c r="I911" s="4"/>
      <c r="J911" s="4"/>
      <c r="K911" s="4"/>
      <c r="L911" s="4"/>
      <c r="M911" s="4"/>
      <c r="N911" s="4"/>
      <c r="O911" s="4"/>
      <c r="P911" s="4"/>
      <c r="Q911" s="4"/>
      <c r="R911" s="4"/>
      <c r="S911" s="4"/>
      <c r="T911" s="4"/>
      <c r="U911" s="4"/>
      <c r="V911" s="4"/>
      <c r="W911" s="4"/>
      <c r="X911" s="4"/>
      <c r="Y911" s="4"/>
    </row>
    <row r="912" ht="15.75" customHeight="1">
      <c r="A912" s="4"/>
      <c r="B912" s="19"/>
      <c r="C912" s="4"/>
      <c r="D912" s="4"/>
      <c r="E912" s="4"/>
      <c r="F912" s="4"/>
      <c r="G912" s="4"/>
      <c r="H912" s="4"/>
      <c r="I912" s="4"/>
      <c r="J912" s="4"/>
      <c r="K912" s="4"/>
      <c r="L912" s="4"/>
      <c r="M912" s="4"/>
      <c r="N912" s="4"/>
      <c r="O912" s="4"/>
      <c r="P912" s="4"/>
      <c r="Q912" s="4"/>
      <c r="R912" s="4"/>
      <c r="S912" s="4"/>
      <c r="T912" s="4"/>
      <c r="U912" s="4"/>
      <c r="V912" s="4"/>
      <c r="W912" s="4"/>
      <c r="X912" s="4"/>
      <c r="Y912" s="4"/>
    </row>
    <row r="913" ht="15.75" customHeight="1">
      <c r="A913" s="4"/>
      <c r="B913" s="19"/>
      <c r="C913" s="4"/>
      <c r="D913" s="4"/>
      <c r="E913" s="4"/>
      <c r="F913" s="4"/>
      <c r="G913" s="4"/>
      <c r="H913" s="4"/>
      <c r="I913" s="4"/>
      <c r="J913" s="4"/>
      <c r="K913" s="4"/>
      <c r="L913" s="4"/>
      <c r="M913" s="4"/>
      <c r="N913" s="4"/>
      <c r="O913" s="4"/>
      <c r="P913" s="4"/>
      <c r="Q913" s="4"/>
      <c r="R913" s="4"/>
      <c r="S913" s="4"/>
      <c r="T913" s="4"/>
      <c r="U913" s="4"/>
      <c r="V913" s="4"/>
      <c r="W913" s="4"/>
      <c r="X913" s="4"/>
      <c r="Y913" s="4"/>
    </row>
    <row r="914" ht="15.75" customHeight="1">
      <c r="A914" s="4"/>
      <c r="B914" s="19"/>
      <c r="C914" s="4"/>
      <c r="D914" s="4"/>
      <c r="E914" s="4"/>
      <c r="F914" s="4"/>
      <c r="G914" s="4"/>
      <c r="H914" s="4"/>
      <c r="I914" s="4"/>
      <c r="J914" s="4"/>
      <c r="K914" s="4"/>
      <c r="L914" s="4"/>
      <c r="M914" s="4"/>
      <c r="N914" s="4"/>
      <c r="O914" s="4"/>
      <c r="P914" s="4"/>
      <c r="Q914" s="4"/>
      <c r="R914" s="4"/>
      <c r="S914" s="4"/>
      <c r="T914" s="4"/>
      <c r="U914" s="4"/>
      <c r="V914" s="4"/>
      <c r="W914" s="4"/>
      <c r="X914" s="4"/>
      <c r="Y914" s="4"/>
    </row>
    <row r="915" ht="15.75" customHeight="1">
      <c r="A915" s="4"/>
      <c r="B915" s="19"/>
      <c r="C915" s="4"/>
      <c r="D915" s="4"/>
      <c r="E915" s="4"/>
      <c r="F915" s="4"/>
      <c r="G915" s="4"/>
      <c r="H915" s="4"/>
      <c r="I915" s="4"/>
      <c r="J915" s="4"/>
      <c r="K915" s="4"/>
      <c r="L915" s="4"/>
      <c r="M915" s="4"/>
      <c r="N915" s="4"/>
      <c r="O915" s="4"/>
      <c r="P915" s="4"/>
      <c r="Q915" s="4"/>
      <c r="R915" s="4"/>
      <c r="S915" s="4"/>
      <c r="T915" s="4"/>
      <c r="U915" s="4"/>
      <c r="V915" s="4"/>
      <c r="W915" s="4"/>
      <c r="X915" s="4"/>
      <c r="Y915" s="4"/>
    </row>
    <row r="916" ht="15.75" customHeight="1">
      <c r="A916" s="4"/>
      <c r="B916" s="19"/>
      <c r="C916" s="4"/>
      <c r="D916" s="4"/>
      <c r="E916" s="4"/>
      <c r="F916" s="4"/>
      <c r="G916" s="4"/>
      <c r="H916" s="4"/>
      <c r="I916" s="4"/>
      <c r="J916" s="4"/>
      <c r="K916" s="4"/>
      <c r="L916" s="4"/>
      <c r="M916" s="4"/>
      <c r="N916" s="4"/>
      <c r="O916" s="4"/>
      <c r="P916" s="4"/>
      <c r="Q916" s="4"/>
      <c r="R916" s="4"/>
      <c r="S916" s="4"/>
      <c r="T916" s="4"/>
      <c r="U916" s="4"/>
      <c r="V916" s="4"/>
      <c r="W916" s="4"/>
      <c r="X916" s="4"/>
      <c r="Y916" s="4"/>
    </row>
    <row r="917" ht="15.75" customHeight="1">
      <c r="A917" s="4"/>
      <c r="B917" s="19"/>
      <c r="C917" s="4"/>
      <c r="D917" s="4"/>
      <c r="E917" s="4"/>
      <c r="F917" s="4"/>
      <c r="G917" s="4"/>
      <c r="H917" s="4"/>
      <c r="I917" s="4"/>
      <c r="J917" s="4"/>
      <c r="K917" s="4"/>
      <c r="L917" s="4"/>
      <c r="M917" s="4"/>
      <c r="N917" s="4"/>
      <c r="O917" s="4"/>
      <c r="P917" s="4"/>
      <c r="Q917" s="4"/>
      <c r="R917" s="4"/>
      <c r="S917" s="4"/>
      <c r="T917" s="4"/>
      <c r="U917" s="4"/>
      <c r="V917" s="4"/>
      <c r="W917" s="4"/>
      <c r="X917" s="4"/>
      <c r="Y917" s="4"/>
    </row>
    <row r="918" ht="15.75" customHeight="1">
      <c r="A918" s="4"/>
      <c r="B918" s="19"/>
      <c r="C918" s="4"/>
      <c r="D918" s="4"/>
      <c r="E918" s="4"/>
      <c r="F918" s="4"/>
      <c r="G918" s="4"/>
      <c r="H918" s="4"/>
      <c r="I918" s="4"/>
      <c r="J918" s="4"/>
      <c r="K918" s="4"/>
      <c r="L918" s="4"/>
      <c r="M918" s="4"/>
      <c r="N918" s="4"/>
      <c r="O918" s="4"/>
      <c r="P918" s="4"/>
      <c r="Q918" s="4"/>
      <c r="R918" s="4"/>
      <c r="S918" s="4"/>
      <c r="T918" s="4"/>
      <c r="U918" s="4"/>
      <c r="V918" s="4"/>
      <c r="W918" s="4"/>
      <c r="X918" s="4"/>
      <c r="Y918" s="4"/>
    </row>
    <row r="919" ht="15.75" customHeight="1">
      <c r="A919" s="4"/>
      <c r="B919" s="19"/>
      <c r="C919" s="4"/>
      <c r="D919" s="4"/>
      <c r="E919" s="4"/>
      <c r="F919" s="4"/>
      <c r="G919" s="4"/>
      <c r="H919" s="4"/>
      <c r="I919" s="4"/>
      <c r="J919" s="4"/>
      <c r="K919" s="4"/>
      <c r="L919" s="4"/>
      <c r="M919" s="4"/>
      <c r="N919" s="4"/>
      <c r="O919" s="4"/>
      <c r="P919" s="4"/>
      <c r="Q919" s="4"/>
      <c r="R919" s="4"/>
      <c r="S919" s="4"/>
      <c r="T919" s="4"/>
      <c r="U919" s="4"/>
      <c r="V919" s="4"/>
      <c r="W919" s="4"/>
      <c r="X919" s="4"/>
      <c r="Y919" s="4"/>
    </row>
    <row r="920" ht="15.75" customHeight="1">
      <c r="A920" s="4"/>
      <c r="B920" s="19"/>
      <c r="C920" s="4"/>
      <c r="D920" s="4"/>
      <c r="E920" s="4"/>
      <c r="F920" s="4"/>
      <c r="G920" s="4"/>
      <c r="H920" s="4"/>
      <c r="I920" s="4"/>
      <c r="J920" s="4"/>
      <c r="K920" s="4"/>
      <c r="L920" s="4"/>
      <c r="M920" s="4"/>
      <c r="N920" s="4"/>
      <c r="O920" s="4"/>
      <c r="P920" s="4"/>
      <c r="Q920" s="4"/>
      <c r="R920" s="4"/>
      <c r="S920" s="4"/>
      <c r="T920" s="4"/>
      <c r="U920" s="4"/>
      <c r="V920" s="4"/>
      <c r="W920" s="4"/>
      <c r="X920" s="4"/>
      <c r="Y920" s="4"/>
    </row>
    <row r="921" ht="15.75" customHeight="1">
      <c r="A921" s="4"/>
      <c r="B921" s="19"/>
      <c r="C921" s="4"/>
      <c r="D921" s="4"/>
      <c r="E921" s="4"/>
      <c r="F921" s="4"/>
      <c r="G921" s="4"/>
      <c r="H921" s="4"/>
      <c r="I921" s="4"/>
      <c r="J921" s="4"/>
      <c r="K921" s="4"/>
      <c r="L921" s="4"/>
      <c r="M921" s="4"/>
      <c r="N921" s="4"/>
      <c r="O921" s="4"/>
      <c r="P921" s="4"/>
      <c r="Q921" s="4"/>
      <c r="R921" s="4"/>
      <c r="S921" s="4"/>
      <c r="T921" s="4"/>
      <c r="U921" s="4"/>
      <c r="V921" s="4"/>
      <c r="W921" s="4"/>
      <c r="X921" s="4"/>
      <c r="Y921" s="4"/>
    </row>
    <row r="922" ht="15.75" customHeight="1">
      <c r="A922" s="4"/>
      <c r="B922" s="19"/>
      <c r="C922" s="4"/>
      <c r="D922" s="4"/>
      <c r="E922" s="4"/>
      <c r="F922" s="4"/>
      <c r="G922" s="4"/>
      <c r="H922" s="4"/>
      <c r="I922" s="4"/>
      <c r="J922" s="4"/>
      <c r="K922" s="4"/>
      <c r="L922" s="4"/>
      <c r="M922" s="4"/>
      <c r="N922" s="4"/>
      <c r="O922" s="4"/>
      <c r="P922" s="4"/>
      <c r="Q922" s="4"/>
      <c r="R922" s="4"/>
      <c r="S922" s="4"/>
      <c r="T922" s="4"/>
      <c r="U922" s="4"/>
      <c r="V922" s="4"/>
      <c r="W922" s="4"/>
      <c r="X922" s="4"/>
      <c r="Y922" s="4"/>
    </row>
    <row r="923" ht="15.75" customHeight="1">
      <c r="A923" s="4"/>
      <c r="B923" s="19"/>
      <c r="C923" s="4"/>
      <c r="D923" s="4"/>
      <c r="E923" s="4"/>
      <c r="F923" s="4"/>
      <c r="G923" s="4"/>
      <c r="H923" s="4"/>
      <c r="I923" s="4"/>
      <c r="J923" s="4"/>
      <c r="K923" s="4"/>
      <c r="L923" s="4"/>
      <c r="M923" s="4"/>
      <c r="N923" s="4"/>
      <c r="O923" s="4"/>
      <c r="P923" s="4"/>
      <c r="Q923" s="4"/>
      <c r="R923" s="4"/>
      <c r="S923" s="4"/>
      <c r="T923" s="4"/>
      <c r="U923" s="4"/>
      <c r="V923" s="4"/>
      <c r="W923" s="4"/>
      <c r="X923" s="4"/>
      <c r="Y923" s="4"/>
    </row>
    <row r="924" ht="15.75" customHeight="1">
      <c r="A924" s="4"/>
      <c r="B924" s="19"/>
      <c r="C924" s="4"/>
      <c r="D924" s="4"/>
      <c r="E924" s="4"/>
      <c r="F924" s="4"/>
      <c r="G924" s="4"/>
      <c r="H924" s="4"/>
      <c r="I924" s="4"/>
      <c r="J924" s="4"/>
      <c r="K924" s="4"/>
      <c r="L924" s="4"/>
      <c r="M924" s="4"/>
      <c r="N924" s="4"/>
      <c r="O924" s="4"/>
      <c r="P924" s="4"/>
      <c r="Q924" s="4"/>
      <c r="R924" s="4"/>
      <c r="S924" s="4"/>
      <c r="T924" s="4"/>
      <c r="U924" s="4"/>
      <c r="V924" s="4"/>
      <c r="W924" s="4"/>
      <c r="X924" s="4"/>
      <c r="Y924" s="4"/>
    </row>
    <row r="925" ht="15.75" customHeight="1">
      <c r="A925" s="4"/>
      <c r="B925" s="19"/>
      <c r="C925" s="4"/>
      <c r="D925" s="4"/>
      <c r="E925" s="4"/>
      <c r="F925" s="4"/>
      <c r="G925" s="4"/>
      <c r="H925" s="4"/>
      <c r="I925" s="4"/>
      <c r="J925" s="4"/>
      <c r="K925" s="4"/>
      <c r="L925" s="4"/>
      <c r="M925" s="4"/>
      <c r="N925" s="4"/>
      <c r="O925" s="4"/>
      <c r="P925" s="4"/>
      <c r="Q925" s="4"/>
      <c r="R925" s="4"/>
      <c r="S925" s="4"/>
      <c r="T925" s="4"/>
      <c r="U925" s="4"/>
      <c r="V925" s="4"/>
      <c r="W925" s="4"/>
      <c r="X925" s="4"/>
      <c r="Y925" s="4"/>
    </row>
    <row r="926" ht="15.75" customHeight="1">
      <c r="A926" s="4"/>
      <c r="B926" s="19"/>
      <c r="C926" s="4"/>
      <c r="D926" s="4"/>
      <c r="E926" s="4"/>
      <c r="F926" s="4"/>
      <c r="G926" s="4"/>
      <c r="H926" s="4"/>
      <c r="I926" s="4"/>
      <c r="J926" s="4"/>
      <c r="K926" s="4"/>
      <c r="L926" s="4"/>
      <c r="M926" s="4"/>
      <c r="N926" s="4"/>
      <c r="O926" s="4"/>
      <c r="P926" s="4"/>
      <c r="Q926" s="4"/>
      <c r="R926" s="4"/>
      <c r="S926" s="4"/>
      <c r="T926" s="4"/>
      <c r="U926" s="4"/>
      <c r="V926" s="4"/>
      <c r="W926" s="4"/>
      <c r="X926" s="4"/>
      <c r="Y926" s="4"/>
    </row>
    <row r="927" ht="15.75" customHeight="1">
      <c r="A927" s="4"/>
      <c r="B927" s="19"/>
      <c r="C927" s="4"/>
      <c r="D927" s="4"/>
      <c r="E927" s="4"/>
      <c r="F927" s="4"/>
      <c r="G927" s="4"/>
      <c r="H927" s="4"/>
      <c r="I927" s="4"/>
      <c r="J927" s="4"/>
      <c r="K927" s="4"/>
      <c r="L927" s="4"/>
      <c r="M927" s="4"/>
      <c r="N927" s="4"/>
      <c r="O927" s="4"/>
      <c r="P927" s="4"/>
      <c r="Q927" s="4"/>
      <c r="R927" s="4"/>
      <c r="S927" s="4"/>
      <c r="T927" s="4"/>
      <c r="U927" s="4"/>
      <c r="V927" s="4"/>
      <c r="W927" s="4"/>
      <c r="X927" s="4"/>
      <c r="Y927" s="4"/>
    </row>
    <row r="928" ht="15.75" customHeight="1">
      <c r="A928" s="4"/>
      <c r="B928" s="19"/>
      <c r="C928" s="4"/>
      <c r="D928" s="4"/>
      <c r="E928" s="4"/>
      <c r="F928" s="4"/>
      <c r="G928" s="4"/>
      <c r="H928" s="4"/>
      <c r="I928" s="4"/>
      <c r="J928" s="4"/>
      <c r="K928" s="4"/>
      <c r="L928" s="4"/>
      <c r="M928" s="4"/>
      <c r="N928" s="4"/>
      <c r="O928" s="4"/>
      <c r="P928" s="4"/>
      <c r="Q928" s="4"/>
      <c r="R928" s="4"/>
      <c r="S928" s="4"/>
      <c r="T928" s="4"/>
      <c r="U928" s="4"/>
      <c r="V928" s="4"/>
      <c r="W928" s="4"/>
      <c r="X928" s="4"/>
      <c r="Y928" s="4"/>
    </row>
    <row r="929" ht="15.75" customHeight="1">
      <c r="A929" s="4"/>
      <c r="B929" s="19"/>
      <c r="C929" s="4"/>
      <c r="D929" s="4"/>
      <c r="E929" s="4"/>
      <c r="F929" s="4"/>
      <c r="G929" s="4"/>
      <c r="H929" s="4"/>
      <c r="I929" s="4"/>
      <c r="J929" s="4"/>
      <c r="K929" s="4"/>
      <c r="L929" s="4"/>
      <c r="M929" s="4"/>
      <c r="N929" s="4"/>
      <c r="O929" s="4"/>
      <c r="P929" s="4"/>
      <c r="Q929" s="4"/>
      <c r="R929" s="4"/>
      <c r="S929" s="4"/>
      <c r="T929" s="4"/>
      <c r="U929" s="4"/>
      <c r="V929" s="4"/>
      <c r="W929" s="4"/>
      <c r="X929" s="4"/>
      <c r="Y929" s="4"/>
    </row>
    <row r="930" ht="15.75" customHeight="1">
      <c r="A930" s="4"/>
      <c r="B930" s="19"/>
      <c r="C930" s="4"/>
      <c r="D930" s="4"/>
      <c r="E930" s="4"/>
      <c r="F930" s="4"/>
      <c r="G930" s="4"/>
      <c r="H930" s="4"/>
      <c r="I930" s="4"/>
      <c r="J930" s="4"/>
      <c r="K930" s="4"/>
      <c r="L930" s="4"/>
      <c r="M930" s="4"/>
      <c r="N930" s="4"/>
      <c r="O930" s="4"/>
      <c r="P930" s="4"/>
      <c r="Q930" s="4"/>
      <c r="R930" s="4"/>
      <c r="S930" s="4"/>
      <c r="T930" s="4"/>
      <c r="U930" s="4"/>
      <c r="V930" s="4"/>
      <c r="W930" s="4"/>
      <c r="X930" s="4"/>
      <c r="Y930" s="4"/>
    </row>
    <row r="931" ht="15.75" customHeight="1">
      <c r="A931" s="4"/>
      <c r="B931" s="19"/>
      <c r="C931" s="4"/>
      <c r="D931" s="4"/>
      <c r="E931" s="4"/>
      <c r="F931" s="4"/>
      <c r="G931" s="4"/>
      <c r="H931" s="4"/>
      <c r="I931" s="4"/>
      <c r="J931" s="4"/>
      <c r="K931" s="4"/>
      <c r="L931" s="4"/>
      <c r="M931" s="4"/>
      <c r="N931" s="4"/>
      <c r="O931" s="4"/>
      <c r="P931" s="4"/>
      <c r="Q931" s="4"/>
      <c r="R931" s="4"/>
      <c r="S931" s="4"/>
      <c r="T931" s="4"/>
      <c r="U931" s="4"/>
      <c r="V931" s="4"/>
      <c r="W931" s="4"/>
      <c r="X931" s="4"/>
      <c r="Y931" s="4"/>
    </row>
    <row r="932" ht="15.75" customHeight="1">
      <c r="A932" s="4"/>
      <c r="B932" s="19"/>
      <c r="C932" s="4"/>
      <c r="D932" s="4"/>
      <c r="E932" s="4"/>
      <c r="F932" s="4"/>
      <c r="G932" s="4"/>
      <c r="H932" s="4"/>
      <c r="I932" s="4"/>
      <c r="J932" s="4"/>
      <c r="K932" s="4"/>
      <c r="L932" s="4"/>
      <c r="M932" s="4"/>
      <c r="N932" s="4"/>
      <c r="O932" s="4"/>
      <c r="P932" s="4"/>
      <c r="Q932" s="4"/>
      <c r="R932" s="4"/>
      <c r="S932" s="4"/>
      <c r="T932" s="4"/>
      <c r="U932" s="4"/>
      <c r="V932" s="4"/>
      <c r="W932" s="4"/>
      <c r="X932" s="4"/>
      <c r="Y932" s="4"/>
    </row>
    <row r="933" ht="15.75" customHeight="1">
      <c r="A933" s="4"/>
      <c r="B933" s="19"/>
      <c r="C933" s="4"/>
      <c r="D933" s="4"/>
      <c r="E933" s="4"/>
      <c r="F933" s="4"/>
      <c r="G933" s="4"/>
      <c r="H933" s="4"/>
      <c r="I933" s="4"/>
      <c r="J933" s="4"/>
      <c r="K933" s="4"/>
      <c r="L933" s="4"/>
      <c r="M933" s="4"/>
      <c r="N933" s="4"/>
      <c r="O933" s="4"/>
      <c r="P933" s="4"/>
      <c r="Q933" s="4"/>
      <c r="R933" s="4"/>
      <c r="S933" s="4"/>
      <c r="T933" s="4"/>
      <c r="U933" s="4"/>
      <c r="V933" s="4"/>
      <c r="W933" s="4"/>
      <c r="X933" s="4"/>
      <c r="Y933" s="4"/>
    </row>
    <row r="934" ht="15.75" customHeight="1">
      <c r="A934" s="4"/>
      <c r="B934" s="19"/>
      <c r="C934" s="4"/>
      <c r="D934" s="4"/>
      <c r="E934" s="4"/>
      <c r="F934" s="4"/>
      <c r="G934" s="4"/>
      <c r="H934" s="4"/>
      <c r="I934" s="4"/>
      <c r="J934" s="4"/>
      <c r="K934" s="4"/>
      <c r="L934" s="4"/>
      <c r="M934" s="4"/>
      <c r="N934" s="4"/>
      <c r="O934" s="4"/>
      <c r="P934" s="4"/>
      <c r="Q934" s="4"/>
      <c r="R934" s="4"/>
      <c r="S934" s="4"/>
      <c r="T934" s="4"/>
      <c r="U934" s="4"/>
      <c r="V934" s="4"/>
      <c r="W934" s="4"/>
      <c r="X934" s="4"/>
      <c r="Y934" s="4"/>
    </row>
    <row r="935" ht="15.75" customHeight="1">
      <c r="A935" s="4"/>
      <c r="B935" s="19"/>
      <c r="C935" s="4"/>
      <c r="D935" s="4"/>
      <c r="E935" s="4"/>
      <c r="F935" s="4"/>
      <c r="G935" s="4"/>
      <c r="H935" s="4"/>
      <c r="I935" s="4"/>
      <c r="J935" s="4"/>
      <c r="K935" s="4"/>
      <c r="L935" s="4"/>
      <c r="M935" s="4"/>
      <c r="N935" s="4"/>
      <c r="O935" s="4"/>
      <c r="P935" s="4"/>
      <c r="Q935" s="4"/>
      <c r="R935" s="4"/>
      <c r="S935" s="4"/>
      <c r="T935" s="4"/>
      <c r="U935" s="4"/>
      <c r="V935" s="4"/>
      <c r="W935" s="4"/>
      <c r="X935" s="4"/>
      <c r="Y935" s="4"/>
    </row>
    <row r="936" ht="15.75" customHeight="1">
      <c r="A936" s="4"/>
      <c r="B936" s="19"/>
      <c r="C936" s="4"/>
      <c r="D936" s="4"/>
      <c r="E936" s="4"/>
      <c r="F936" s="4"/>
      <c r="G936" s="4"/>
      <c r="H936" s="4"/>
      <c r="I936" s="4"/>
      <c r="J936" s="4"/>
      <c r="K936" s="4"/>
      <c r="L936" s="4"/>
      <c r="M936" s="4"/>
      <c r="N936" s="4"/>
      <c r="O936" s="4"/>
      <c r="P936" s="4"/>
      <c r="Q936" s="4"/>
      <c r="R936" s="4"/>
      <c r="S936" s="4"/>
      <c r="T936" s="4"/>
      <c r="U936" s="4"/>
      <c r="V936" s="4"/>
      <c r="W936" s="4"/>
      <c r="X936" s="4"/>
      <c r="Y936" s="4"/>
    </row>
    <row r="937" ht="15.75" customHeight="1">
      <c r="A937" s="4"/>
      <c r="B937" s="19"/>
      <c r="C937" s="4"/>
      <c r="D937" s="4"/>
      <c r="E937" s="4"/>
      <c r="F937" s="4"/>
      <c r="G937" s="4"/>
      <c r="H937" s="4"/>
      <c r="I937" s="4"/>
      <c r="J937" s="4"/>
      <c r="K937" s="4"/>
      <c r="L937" s="4"/>
      <c r="M937" s="4"/>
      <c r="N937" s="4"/>
      <c r="O937" s="4"/>
      <c r="P937" s="4"/>
      <c r="Q937" s="4"/>
      <c r="R937" s="4"/>
      <c r="S937" s="4"/>
      <c r="T937" s="4"/>
      <c r="U937" s="4"/>
      <c r="V937" s="4"/>
      <c r="W937" s="4"/>
      <c r="X937" s="4"/>
      <c r="Y937" s="4"/>
    </row>
    <row r="938" ht="15.75" customHeight="1">
      <c r="A938" s="4"/>
      <c r="B938" s="19"/>
      <c r="C938" s="4"/>
      <c r="D938" s="4"/>
      <c r="E938" s="4"/>
      <c r="F938" s="4"/>
      <c r="G938" s="4"/>
      <c r="H938" s="4"/>
      <c r="I938" s="4"/>
      <c r="J938" s="4"/>
      <c r="K938" s="4"/>
      <c r="L938" s="4"/>
      <c r="M938" s="4"/>
      <c r="N938" s="4"/>
      <c r="O938" s="4"/>
      <c r="P938" s="4"/>
      <c r="Q938" s="4"/>
      <c r="R938" s="4"/>
      <c r="S938" s="4"/>
      <c r="T938" s="4"/>
      <c r="U938" s="4"/>
      <c r="V938" s="4"/>
      <c r="W938" s="4"/>
      <c r="X938" s="4"/>
      <c r="Y938" s="4"/>
    </row>
    <row r="939" ht="15.75" customHeight="1">
      <c r="A939" s="4"/>
      <c r="B939" s="19"/>
      <c r="C939" s="4"/>
      <c r="D939" s="4"/>
      <c r="E939" s="4"/>
      <c r="F939" s="4"/>
      <c r="G939" s="4"/>
      <c r="H939" s="4"/>
      <c r="I939" s="4"/>
      <c r="J939" s="4"/>
      <c r="K939" s="4"/>
      <c r="L939" s="4"/>
      <c r="M939" s="4"/>
      <c r="N939" s="4"/>
      <c r="O939" s="4"/>
      <c r="P939" s="4"/>
      <c r="Q939" s="4"/>
      <c r="R939" s="4"/>
      <c r="S939" s="4"/>
      <c r="T939" s="4"/>
      <c r="U939" s="4"/>
      <c r="V939" s="4"/>
      <c r="W939" s="4"/>
      <c r="X939" s="4"/>
      <c r="Y939" s="4"/>
    </row>
    <row r="940" ht="15.75" customHeight="1">
      <c r="A940" s="4"/>
      <c r="B940" s="19"/>
      <c r="C940" s="4"/>
      <c r="D940" s="4"/>
      <c r="E940" s="4"/>
      <c r="F940" s="4"/>
      <c r="G940" s="4"/>
      <c r="H940" s="4"/>
      <c r="I940" s="4"/>
      <c r="J940" s="4"/>
      <c r="K940" s="4"/>
      <c r="L940" s="4"/>
      <c r="M940" s="4"/>
      <c r="N940" s="4"/>
      <c r="O940" s="4"/>
      <c r="P940" s="4"/>
      <c r="Q940" s="4"/>
      <c r="R940" s="4"/>
      <c r="S940" s="4"/>
      <c r="T940" s="4"/>
      <c r="U940" s="4"/>
      <c r="V940" s="4"/>
      <c r="W940" s="4"/>
      <c r="X940" s="4"/>
      <c r="Y940" s="4"/>
    </row>
    <row r="941" ht="15.75" customHeight="1">
      <c r="A941" s="4"/>
      <c r="B941" s="19"/>
      <c r="C941" s="4"/>
      <c r="D941" s="4"/>
      <c r="E941" s="4"/>
      <c r="F941" s="4"/>
      <c r="G941" s="4"/>
      <c r="H941" s="4"/>
      <c r="I941" s="4"/>
      <c r="J941" s="4"/>
      <c r="K941" s="4"/>
      <c r="L941" s="4"/>
      <c r="M941" s="4"/>
      <c r="N941" s="4"/>
      <c r="O941" s="4"/>
      <c r="P941" s="4"/>
      <c r="Q941" s="4"/>
      <c r="R941" s="4"/>
      <c r="S941" s="4"/>
      <c r="T941" s="4"/>
      <c r="U941" s="4"/>
      <c r="V941" s="4"/>
      <c r="W941" s="4"/>
      <c r="X941" s="4"/>
      <c r="Y941" s="4"/>
    </row>
    <row r="942" ht="15.75" customHeight="1">
      <c r="A942" s="4"/>
      <c r="B942" s="19"/>
      <c r="C942" s="4"/>
      <c r="D942" s="4"/>
      <c r="E942" s="4"/>
      <c r="F942" s="4"/>
      <c r="G942" s="4"/>
      <c r="H942" s="4"/>
      <c r="I942" s="4"/>
      <c r="J942" s="4"/>
      <c r="K942" s="4"/>
      <c r="L942" s="4"/>
      <c r="M942" s="4"/>
      <c r="N942" s="4"/>
      <c r="O942" s="4"/>
      <c r="P942" s="4"/>
      <c r="Q942" s="4"/>
      <c r="R942" s="4"/>
      <c r="S942" s="4"/>
      <c r="T942" s="4"/>
      <c r="U942" s="4"/>
      <c r="V942" s="4"/>
      <c r="W942" s="4"/>
      <c r="X942" s="4"/>
      <c r="Y942" s="4"/>
    </row>
    <row r="943" ht="15.75" customHeight="1">
      <c r="A943" s="4"/>
      <c r="B943" s="19"/>
      <c r="C943" s="4"/>
      <c r="D943" s="4"/>
      <c r="E943" s="4"/>
      <c r="F943" s="4"/>
      <c r="G943" s="4"/>
      <c r="H943" s="4"/>
      <c r="I943" s="4"/>
      <c r="J943" s="4"/>
      <c r="K943" s="4"/>
      <c r="L943" s="4"/>
      <c r="M943" s="4"/>
      <c r="N943" s="4"/>
      <c r="O943" s="4"/>
      <c r="P943" s="4"/>
      <c r="Q943" s="4"/>
      <c r="R943" s="4"/>
      <c r="S943" s="4"/>
      <c r="T943" s="4"/>
      <c r="U943" s="4"/>
      <c r="V943" s="4"/>
      <c r="W943" s="4"/>
      <c r="X943" s="4"/>
      <c r="Y943" s="4"/>
    </row>
    <row r="944" ht="15.75" customHeight="1">
      <c r="A944" s="4"/>
      <c r="B944" s="19"/>
      <c r="C944" s="4"/>
      <c r="D944" s="4"/>
      <c r="E944" s="4"/>
      <c r="F944" s="4"/>
      <c r="G944" s="4"/>
      <c r="H944" s="4"/>
      <c r="I944" s="4"/>
      <c r="J944" s="4"/>
      <c r="K944" s="4"/>
      <c r="L944" s="4"/>
      <c r="M944" s="4"/>
      <c r="N944" s="4"/>
      <c r="O944" s="4"/>
      <c r="P944" s="4"/>
      <c r="Q944" s="4"/>
      <c r="R944" s="4"/>
      <c r="S944" s="4"/>
      <c r="T944" s="4"/>
      <c r="U944" s="4"/>
      <c r="V944" s="4"/>
      <c r="W944" s="4"/>
      <c r="X944" s="4"/>
      <c r="Y944" s="4"/>
    </row>
    <row r="945" ht="15.75" customHeight="1">
      <c r="A945" s="4"/>
      <c r="B945" s="19"/>
      <c r="C945" s="4"/>
      <c r="D945" s="4"/>
      <c r="E945" s="4"/>
      <c r="F945" s="4"/>
      <c r="G945" s="4"/>
      <c r="H945" s="4"/>
      <c r="I945" s="4"/>
      <c r="J945" s="4"/>
      <c r="K945" s="4"/>
      <c r="L945" s="4"/>
      <c r="M945" s="4"/>
      <c r="N945" s="4"/>
      <c r="O945" s="4"/>
      <c r="P945" s="4"/>
      <c r="Q945" s="4"/>
      <c r="R945" s="4"/>
      <c r="S945" s="4"/>
      <c r="T945" s="4"/>
      <c r="U945" s="4"/>
      <c r="V945" s="4"/>
      <c r="W945" s="4"/>
      <c r="X945" s="4"/>
      <c r="Y945" s="4"/>
    </row>
    <row r="946" ht="15.75" customHeight="1">
      <c r="A946" s="4"/>
      <c r="B946" s="19"/>
      <c r="C946" s="4"/>
      <c r="D946" s="4"/>
      <c r="E946" s="4"/>
      <c r="F946" s="4"/>
      <c r="G946" s="4"/>
      <c r="H946" s="4"/>
      <c r="I946" s="4"/>
      <c r="J946" s="4"/>
      <c r="K946" s="4"/>
      <c r="L946" s="4"/>
      <c r="M946" s="4"/>
      <c r="N946" s="4"/>
      <c r="O946" s="4"/>
      <c r="P946" s="4"/>
      <c r="Q946" s="4"/>
      <c r="R946" s="4"/>
      <c r="S946" s="4"/>
      <c r="T946" s="4"/>
      <c r="U946" s="4"/>
      <c r="V946" s="4"/>
      <c r="W946" s="4"/>
      <c r="X946" s="4"/>
      <c r="Y946" s="4"/>
    </row>
    <row r="947" ht="15.75" customHeight="1">
      <c r="A947" s="4"/>
      <c r="B947" s="19"/>
      <c r="C947" s="4"/>
      <c r="D947" s="4"/>
      <c r="E947" s="4"/>
      <c r="F947" s="4"/>
      <c r="G947" s="4"/>
      <c r="H947" s="4"/>
      <c r="I947" s="4"/>
      <c r="J947" s="4"/>
      <c r="K947" s="4"/>
      <c r="L947" s="4"/>
      <c r="M947" s="4"/>
      <c r="N947" s="4"/>
      <c r="O947" s="4"/>
      <c r="P947" s="4"/>
      <c r="Q947" s="4"/>
      <c r="R947" s="4"/>
      <c r="S947" s="4"/>
      <c r="T947" s="4"/>
      <c r="U947" s="4"/>
      <c r="V947" s="4"/>
      <c r="W947" s="4"/>
      <c r="X947" s="4"/>
      <c r="Y947" s="4"/>
    </row>
    <row r="948" ht="15.75" customHeight="1">
      <c r="A948" s="4"/>
      <c r="B948" s="19"/>
      <c r="C948" s="4"/>
      <c r="D948" s="4"/>
      <c r="E948" s="4"/>
      <c r="F948" s="4"/>
      <c r="G948" s="4"/>
      <c r="H948" s="4"/>
      <c r="I948" s="4"/>
      <c r="J948" s="4"/>
      <c r="K948" s="4"/>
      <c r="L948" s="4"/>
      <c r="M948" s="4"/>
      <c r="N948" s="4"/>
      <c r="O948" s="4"/>
      <c r="P948" s="4"/>
      <c r="Q948" s="4"/>
      <c r="R948" s="4"/>
      <c r="S948" s="4"/>
      <c r="T948" s="4"/>
      <c r="U948" s="4"/>
      <c r="V948" s="4"/>
      <c r="W948" s="4"/>
      <c r="X948" s="4"/>
      <c r="Y948" s="4"/>
    </row>
    <row r="949" ht="15.75" customHeight="1">
      <c r="A949" s="4"/>
      <c r="B949" s="19"/>
      <c r="C949" s="4"/>
      <c r="D949" s="4"/>
      <c r="E949" s="4"/>
      <c r="F949" s="4"/>
      <c r="G949" s="4"/>
      <c r="H949" s="4"/>
      <c r="I949" s="4"/>
      <c r="J949" s="4"/>
      <c r="K949" s="4"/>
      <c r="L949" s="4"/>
      <c r="M949" s="4"/>
      <c r="N949" s="4"/>
      <c r="O949" s="4"/>
      <c r="P949" s="4"/>
      <c r="Q949" s="4"/>
      <c r="R949" s="4"/>
      <c r="S949" s="4"/>
      <c r="T949" s="4"/>
      <c r="U949" s="4"/>
      <c r="V949" s="4"/>
      <c r="W949" s="4"/>
      <c r="X949" s="4"/>
      <c r="Y949" s="4"/>
    </row>
    <row r="950" ht="15.75" customHeight="1">
      <c r="A950" s="4"/>
      <c r="B950" s="19"/>
      <c r="C950" s="4"/>
      <c r="D950" s="4"/>
      <c r="E950" s="4"/>
      <c r="F950" s="4"/>
      <c r="G950" s="4"/>
      <c r="H950" s="4"/>
      <c r="I950" s="4"/>
      <c r="J950" s="4"/>
      <c r="K950" s="4"/>
      <c r="L950" s="4"/>
      <c r="M950" s="4"/>
      <c r="N950" s="4"/>
      <c r="O950" s="4"/>
      <c r="P950" s="4"/>
      <c r="Q950" s="4"/>
      <c r="R950" s="4"/>
      <c r="S950" s="4"/>
      <c r="T950" s="4"/>
      <c r="U950" s="4"/>
      <c r="V950" s="4"/>
      <c r="W950" s="4"/>
      <c r="X950" s="4"/>
      <c r="Y950" s="4"/>
    </row>
    <row r="951" ht="15.75" customHeight="1">
      <c r="A951" s="4"/>
      <c r="B951" s="19"/>
      <c r="C951" s="4"/>
      <c r="D951" s="4"/>
      <c r="E951" s="4"/>
      <c r="F951" s="4"/>
      <c r="G951" s="4"/>
      <c r="H951" s="4"/>
      <c r="I951" s="4"/>
      <c r="J951" s="4"/>
      <c r="K951" s="4"/>
      <c r="L951" s="4"/>
      <c r="M951" s="4"/>
      <c r="N951" s="4"/>
      <c r="O951" s="4"/>
      <c r="P951" s="4"/>
      <c r="Q951" s="4"/>
      <c r="R951" s="4"/>
      <c r="S951" s="4"/>
      <c r="T951" s="4"/>
      <c r="U951" s="4"/>
      <c r="V951" s="4"/>
      <c r="W951" s="4"/>
      <c r="X951" s="4"/>
      <c r="Y951" s="4"/>
    </row>
    <row r="952" ht="15.75" customHeight="1">
      <c r="A952" s="4"/>
      <c r="B952" s="19"/>
      <c r="C952" s="4"/>
      <c r="D952" s="4"/>
      <c r="E952" s="4"/>
      <c r="F952" s="4"/>
      <c r="G952" s="4"/>
      <c r="H952" s="4"/>
      <c r="I952" s="4"/>
      <c r="J952" s="4"/>
      <c r="K952" s="4"/>
      <c r="L952" s="4"/>
      <c r="M952" s="4"/>
      <c r="N952" s="4"/>
      <c r="O952" s="4"/>
      <c r="P952" s="4"/>
      <c r="Q952" s="4"/>
      <c r="R952" s="4"/>
      <c r="S952" s="4"/>
      <c r="T952" s="4"/>
      <c r="U952" s="4"/>
      <c r="V952" s="4"/>
      <c r="W952" s="4"/>
      <c r="X952" s="4"/>
      <c r="Y952" s="4"/>
    </row>
    <row r="953" ht="15.75" customHeight="1">
      <c r="A953" s="4"/>
      <c r="B953" s="19"/>
      <c r="C953" s="4"/>
      <c r="D953" s="4"/>
      <c r="E953" s="4"/>
      <c r="F953" s="4"/>
      <c r="G953" s="4"/>
      <c r="H953" s="4"/>
      <c r="I953" s="4"/>
      <c r="J953" s="4"/>
      <c r="K953" s="4"/>
      <c r="L953" s="4"/>
      <c r="M953" s="4"/>
      <c r="N953" s="4"/>
      <c r="O953" s="4"/>
      <c r="P953" s="4"/>
      <c r="Q953" s="4"/>
      <c r="R953" s="4"/>
      <c r="S953" s="4"/>
      <c r="T953" s="4"/>
      <c r="U953" s="4"/>
      <c r="V953" s="4"/>
      <c r="W953" s="4"/>
      <c r="X953" s="4"/>
      <c r="Y953" s="4"/>
    </row>
    <row r="954" ht="15.75" customHeight="1">
      <c r="A954" s="4"/>
      <c r="B954" s="19"/>
      <c r="C954" s="4"/>
      <c r="D954" s="4"/>
      <c r="E954" s="4"/>
      <c r="F954" s="4"/>
      <c r="G954" s="4"/>
      <c r="H954" s="4"/>
      <c r="I954" s="4"/>
      <c r="J954" s="4"/>
      <c r="K954" s="4"/>
      <c r="L954" s="4"/>
      <c r="M954" s="4"/>
      <c r="N954" s="4"/>
      <c r="O954" s="4"/>
      <c r="P954" s="4"/>
      <c r="Q954" s="4"/>
      <c r="R954" s="4"/>
      <c r="S954" s="4"/>
      <c r="T954" s="4"/>
      <c r="U954" s="4"/>
      <c r="V954" s="4"/>
      <c r="W954" s="4"/>
      <c r="X954" s="4"/>
      <c r="Y954" s="4"/>
    </row>
    <row r="955" ht="15.75" customHeight="1">
      <c r="A955" s="4"/>
      <c r="B955" s="19"/>
      <c r="C955" s="4"/>
      <c r="D955" s="4"/>
      <c r="E955" s="4"/>
      <c r="F955" s="4"/>
      <c r="G955" s="4"/>
      <c r="H955" s="4"/>
      <c r="I955" s="4"/>
      <c r="J955" s="4"/>
      <c r="K955" s="4"/>
      <c r="L955" s="4"/>
      <c r="M955" s="4"/>
      <c r="N955" s="4"/>
      <c r="O955" s="4"/>
      <c r="P955" s="4"/>
      <c r="Q955" s="4"/>
      <c r="R955" s="4"/>
      <c r="S955" s="4"/>
      <c r="T955" s="4"/>
      <c r="U955" s="4"/>
      <c r="V955" s="4"/>
      <c r="W955" s="4"/>
      <c r="X955" s="4"/>
      <c r="Y955" s="4"/>
    </row>
    <row r="956" ht="15.75" customHeight="1">
      <c r="A956" s="4"/>
      <c r="B956" s="19"/>
      <c r="C956" s="4"/>
      <c r="D956" s="4"/>
      <c r="E956" s="4"/>
      <c r="F956" s="4"/>
      <c r="G956" s="4"/>
      <c r="H956" s="4"/>
      <c r="I956" s="4"/>
      <c r="J956" s="4"/>
      <c r="K956" s="4"/>
      <c r="L956" s="4"/>
      <c r="M956" s="4"/>
      <c r="N956" s="4"/>
      <c r="O956" s="4"/>
      <c r="P956" s="4"/>
      <c r="Q956" s="4"/>
      <c r="R956" s="4"/>
      <c r="S956" s="4"/>
      <c r="T956" s="4"/>
      <c r="U956" s="4"/>
      <c r="V956" s="4"/>
      <c r="W956" s="4"/>
      <c r="X956" s="4"/>
      <c r="Y956" s="4"/>
    </row>
    <row r="957" ht="15.75" customHeight="1">
      <c r="A957" s="4"/>
      <c r="B957" s="19"/>
      <c r="C957" s="4"/>
      <c r="D957" s="4"/>
      <c r="E957" s="4"/>
      <c r="F957" s="4"/>
      <c r="G957" s="4"/>
      <c r="H957" s="4"/>
      <c r="I957" s="4"/>
      <c r="J957" s="4"/>
      <c r="K957" s="4"/>
      <c r="L957" s="4"/>
      <c r="M957" s="4"/>
      <c r="N957" s="4"/>
      <c r="O957" s="4"/>
      <c r="P957" s="4"/>
      <c r="Q957" s="4"/>
      <c r="R957" s="4"/>
      <c r="S957" s="4"/>
      <c r="T957" s="4"/>
      <c r="U957" s="4"/>
      <c r="V957" s="4"/>
      <c r="W957" s="4"/>
      <c r="X957" s="4"/>
      <c r="Y957" s="4"/>
    </row>
    <row r="958" ht="15.75" customHeight="1">
      <c r="A958" s="4"/>
      <c r="B958" s="19"/>
      <c r="C958" s="4"/>
      <c r="D958" s="4"/>
      <c r="E958" s="4"/>
      <c r="F958" s="4"/>
      <c r="G958" s="4"/>
      <c r="H958" s="4"/>
      <c r="I958" s="4"/>
      <c r="J958" s="4"/>
      <c r="K958" s="4"/>
      <c r="L958" s="4"/>
      <c r="M958" s="4"/>
      <c r="N958" s="4"/>
      <c r="O958" s="4"/>
      <c r="P958" s="4"/>
      <c r="Q958" s="4"/>
      <c r="R958" s="4"/>
      <c r="S958" s="4"/>
      <c r="T958" s="4"/>
      <c r="U958" s="4"/>
      <c r="V958" s="4"/>
      <c r="W958" s="4"/>
      <c r="X958" s="4"/>
      <c r="Y958" s="4"/>
    </row>
    <row r="959" ht="15.75" customHeight="1">
      <c r="A959" s="4"/>
      <c r="B959" s="19"/>
      <c r="C959" s="4"/>
      <c r="D959" s="4"/>
      <c r="E959" s="4"/>
      <c r="F959" s="4"/>
      <c r="G959" s="4"/>
      <c r="H959" s="4"/>
      <c r="I959" s="4"/>
      <c r="J959" s="4"/>
      <c r="K959" s="4"/>
      <c r="L959" s="4"/>
      <c r="M959" s="4"/>
      <c r="N959" s="4"/>
      <c r="O959" s="4"/>
      <c r="P959" s="4"/>
      <c r="Q959" s="4"/>
      <c r="R959" s="4"/>
      <c r="S959" s="4"/>
      <c r="T959" s="4"/>
      <c r="U959" s="4"/>
      <c r="V959" s="4"/>
      <c r="W959" s="4"/>
      <c r="X959" s="4"/>
      <c r="Y959" s="4"/>
    </row>
    <row r="960" ht="15.75" customHeight="1">
      <c r="A960" s="4"/>
      <c r="B960" s="19"/>
      <c r="C960" s="4"/>
      <c r="D960" s="4"/>
      <c r="E960" s="4"/>
      <c r="F960" s="4"/>
      <c r="G960" s="4"/>
      <c r="H960" s="4"/>
      <c r="I960" s="4"/>
      <c r="J960" s="4"/>
      <c r="K960" s="4"/>
      <c r="L960" s="4"/>
      <c r="M960" s="4"/>
      <c r="N960" s="4"/>
      <c r="O960" s="4"/>
      <c r="P960" s="4"/>
      <c r="Q960" s="4"/>
      <c r="R960" s="4"/>
      <c r="S960" s="4"/>
      <c r="T960" s="4"/>
      <c r="U960" s="4"/>
      <c r="V960" s="4"/>
      <c r="W960" s="4"/>
      <c r="X960" s="4"/>
      <c r="Y960" s="4"/>
    </row>
    <row r="961" ht="15.75" customHeight="1">
      <c r="A961" s="4"/>
      <c r="B961" s="19"/>
      <c r="C961" s="4"/>
      <c r="D961" s="4"/>
      <c r="E961" s="4"/>
      <c r="F961" s="4"/>
      <c r="G961" s="4"/>
      <c r="H961" s="4"/>
      <c r="I961" s="4"/>
      <c r="J961" s="4"/>
      <c r="K961" s="4"/>
      <c r="L961" s="4"/>
      <c r="M961" s="4"/>
      <c r="N961" s="4"/>
      <c r="O961" s="4"/>
      <c r="P961" s="4"/>
      <c r="Q961" s="4"/>
      <c r="R961" s="4"/>
      <c r="S961" s="4"/>
      <c r="T961" s="4"/>
      <c r="U961" s="4"/>
      <c r="V961" s="4"/>
      <c r="W961" s="4"/>
      <c r="X961" s="4"/>
      <c r="Y961" s="4"/>
    </row>
    <row r="962" ht="15.75" customHeight="1">
      <c r="A962" s="4"/>
      <c r="B962" s="19"/>
      <c r="C962" s="4"/>
      <c r="D962" s="4"/>
      <c r="E962" s="4"/>
      <c r="F962" s="4"/>
      <c r="G962" s="4"/>
      <c r="H962" s="4"/>
      <c r="I962" s="4"/>
      <c r="J962" s="4"/>
      <c r="K962" s="4"/>
      <c r="L962" s="4"/>
      <c r="M962" s="4"/>
      <c r="N962" s="4"/>
      <c r="O962" s="4"/>
      <c r="P962" s="4"/>
      <c r="Q962" s="4"/>
      <c r="R962" s="4"/>
      <c r="S962" s="4"/>
      <c r="T962" s="4"/>
      <c r="U962" s="4"/>
      <c r="V962" s="4"/>
      <c r="W962" s="4"/>
      <c r="X962" s="4"/>
      <c r="Y962" s="4"/>
    </row>
    <row r="963" ht="15.75" customHeight="1">
      <c r="A963" s="4"/>
      <c r="B963" s="19"/>
      <c r="C963" s="4"/>
      <c r="D963" s="4"/>
      <c r="E963" s="4"/>
      <c r="F963" s="4"/>
      <c r="G963" s="4"/>
      <c r="H963" s="4"/>
      <c r="I963" s="4"/>
      <c r="J963" s="4"/>
      <c r="K963" s="4"/>
      <c r="L963" s="4"/>
      <c r="M963" s="4"/>
      <c r="N963" s="4"/>
      <c r="O963" s="4"/>
      <c r="P963" s="4"/>
      <c r="Q963" s="4"/>
      <c r="R963" s="4"/>
      <c r="S963" s="4"/>
      <c r="T963" s="4"/>
      <c r="U963" s="4"/>
      <c r="V963" s="4"/>
      <c r="W963" s="4"/>
      <c r="X963" s="4"/>
      <c r="Y963" s="4"/>
    </row>
    <row r="964" ht="15.75" customHeight="1">
      <c r="A964" s="4"/>
      <c r="B964" s="19"/>
      <c r="C964" s="4"/>
      <c r="D964" s="4"/>
      <c r="E964" s="4"/>
      <c r="F964" s="4"/>
      <c r="G964" s="4"/>
      <c r="H964" s="4"/>
      <c r="I964" s="4"/>
      <c r="J964" s="4"/>
      <c r="K964" s="4"/>
      <c r="L964" s="4"/>
      <c r="M964" s="4"/>
      <c r="N964" s="4"/>
      <c r="O964" s="4"/>
      <c r="P964" s="4"/>
      <c r="Q964" s="4"/>
      <c r="R964" s="4"/>
      <c r="S964" s="4"/>
      <c r="T964" s="4"/>
      <c r="U964" s="4"/>
      <c r="V964" s="4"/>
      <c r="W964" s="4"/>
      <c r="X964" s="4"/>
      <c r="Y964" s="4"/>
    </row>
    <row r="965" ht="15.75" customHeight="1">
      <c r="A965" s="4"/>
      <c r="B965" s="19"/>
      <c r="C965" s="4"/>
      <c r="D965" s="4"/>
      <c r="E965" s="4"/>
      <c r="F965" s="4"/>
      <c r="G965" s="4"/>
      <c r="H965" s="4"/>
      <c r="I965" s="4"/>
      <c r="J965" s="4"/>
      <c r="K965" s="4"/>
      <c r="L965" s="4"/>
      <c r="M965" s="4"/>
      <c r="N965" s="4"/>
      <c r="O965" s="4"/>
      <c r="P965" s="4"/>
      <c r="Q965" s="4"/>
      <c r="R965" s="4"/>
      <c r="S965" s="4"/>
      <c r="T965" s="4"/>
      <c r="U965" s="4"/>
      <c r="V965" s="4"/>
      <c r="W965" s="4"/>
      <c r="X965" s="4"/>
      <c r="Y965" s="4"/>
    </row>
    <row r="966" ht="15.75" customHeight="1">
      <c r="A966" s="4"/>
      <c r="B966" s="19"/>
      <c r="C966" s="4"/>
      <c r="D966" s="4"/>
      <c r="E966" s="4"/>
      <c r="F966" s="4"/>
      <c r="G966" s="4"/>
      <c r="H966" s="4"/>
      <c r="I966" s="4"/>
      <c r="J966" s="4"/>
      <c r="K966" s="4"/>
      <c r="L966" s="4"/>
      <c r="M966" s="4"/>
      <c r="N966" s="4"/>
      <c r="O966" s="4"/>
      <c r="P966" s="4"/>
      <c r="Q966" s="4"/>
      <c r="R966" s="4"/>
      <c r="S966" s="4"/>
      <c r="T966" s="4"/>
      <c r="U966" s="4"/>
      <c r="V966" s="4"/>
      <c r="W966" s="4"/>
      <c r="X966" s="4"/>
      <c r="Y966" s="4"/>
    </row>
    <row r="967" ht="15.75" customHeight="1">
      <c r="A967" s="4"/>
      <c r="B967" s="19"/>
      <c r="C967" s="4"/>
      <c r="D967" s="4"/>
      <c r="E967" s="4"/>
      <c r="F967" s="4"/>
      <c r="G967" s="4"/>
      <c r="H967" s="4"/>
      <c r="I967" s="4"/>
      <c r="J967" s="4"/>
      <c r="K967" s="4"/>
      <c r="L967" s="4"/>
      <c r="M967" s="4"/>
      <c r="N967" s="4"/>
      <c r="O967" s="4"/>
      <c r="P967" s="4"/>
      <c r="Q967" s="4"/>
      <c r="R967" s="4"/>
      <c r="S967" s="4"/>
      <c r="T967" s="4"/>
      <c r="U967" s="4"/>
      <c r="V967" s="4"/>
      <c r="W967" s="4"/>
      <c r="X967" s="4"/>
      <c r="Y967" s="4"/>
    </row>
    <row r="968" ht="15.75" customHeight="1">
      <c r="A968" s="4"/>
      <c r="B968" s="19"/>
      <c r="C968" s="4"/>
      <c r="D968" s="4"/>
      <c r="E968" s="4"/>
      <c r="F968" s="4"/>
      <c r="G968" s="4"/>
      <c r="H968" s="4"/>
      <c r="I968" s="4"/>
      <c r="J968" s="4"/>
      <c r="K968" s="4"/>
      <c r="L968" s="4"/>
      <c r="M968" s="4"/>
      <c r="N968" s="4"/>
      <c r="O968" s="4"/>
      <c r="P968" s="4"/>
      <c r="Q968" s="4"/>
      <c r="R968" s="4"/>
      <c r="S968" s="4"/>
      <c r="T968" s="4"/>
      <c r="U968" s="4"/>
      <c r="V968" s="4"/>
      <c r="W968" s="4"/>
      <c r="X968" s="4"/>
      <c r="Y968" s="4"/>
    </row>
    <row r="969" ht="15.75" customHeight="1">
      <c r="A969" s="4"/>
      <c r="B969" s="19"/>
      <c r="C969" s="4"/>
      <c r="D969" s="4"/>
      <c r="E969" s="4"/>
      <c r="F969" s="4"/>
      <c r="G969" s="4"/>
      <c r="H969" s="4"/>
      <c r="I969" s="4"/>
      <c r="J969" s="4"/>
      <c r="K969" s="4"/>
      <c r="L969" s="4"/>
      <c r="M969" s="4"/>
      <c r="N969" s="4"/>
      <c r="O969" s="4"/>
      <c r="P969" s="4"/>
      <c r="Q969" s="4"/>
      <c r="R969" s="4"/>
      <c r="S969" s="4"/>
      <c r="T969" s="4"/>
      <c r="U969" s="4"/>
      <c r="V969" s="4"/>
      <c r="W969" s="4"/>
      <c r="X969" s="4"/>
      <c r="Y969" s="4"/>
    </row>
    <row r="970" ht="15.75" customHeight="1">
      <c r="A970" s="4"/>
      <c r="B970" s="19"/>
      <c r="C970" s="4"/>
      <c r="D970" s="4"/>
      <c r="E970" s="4"/>
      <c r="F970" s="4"/>
      <c r="G970" s="4"/>
      <c r="H970" s="4"/>
      <c r="I970" s="4"/>
      <c r="J970" s="4"/>
      <c r="K970" s="4"/>
      <c r="L970" s="4"/>
      <c r="M970" s="4"/>
      <c r="N970" s="4"/>
      <c r="O970" s="4"/>
      <c r="P970" s="4"/>
      <c r="Q970" s="4"/>
      <c r="R970" s="4"/>
      <c r="S970" s="4"/>
      <c r="T970" s="4"/>
      <c r="U970" s="4"/>
      <c r="V970" s="4"/>
      <c r="W970" s="4"/>
      <c r="X970" s="4"/>
      <c r="Y970" s="4"/>
    </row>
    <row r="971" ht="15.75" customHeight="1">
      <c r="A971" s="4"/>
      <c r="B971" s="19"/>
      <c r="C971" s="4"/>
      <c r="D971" s="4"/>
      <c r="E971" s="4"/>
      <c r="F971" s="4"/>
      <c r="G971" s="4"/>
      <c r="H971" s="4"/>
      <c r="I971" s="4"/>
      <c r="J971" s="4"/>
      <c r="K971" s="4"/>
      <c r="L971" s="4"/>
      <c r="M971" s="4"/>
      <c r="N971" s="4"/>
      <c r="O971" s="4"/>
      <c r="P971" s="4"/>
      <c r="Q971" s="4"/>
      <c r="R971" s="4"/>
      <c r="S971" s="4"/>
      <c r="T971" s="4"/>
      <c r="U971" s="4"/>
      <c r="V971" s="4"/>
      <c r="W971" s="4"/>
      <c r="X971" s="4"/>
      <c r="Y971" s="4"/>
    </row>
    <row r="972" ht="15.75" customHeight="1">
      <c r="A972" s="4"/>
      <c r="B972" s="19"/>
      <c r="C972" s="4"/>
      <c r="D972" s="4"/>
      <c r="E972" s="4"/>
      <c r="F972" s="4"/>
      <c r="G972" s="4"/>
      <c r="H972" s="4"/>
      <c r="I972" s="4"/>
      <c r="J972" s="4"/>
      <c r="K972" s="4"/>
      <c r="L972" s="4"/>
      <c r="M972" s="4"/>
      <c r="N972" s="4"/>
      <c r="O972" s="4"/>
      <c r="P972" s="4"/>
      <c r="Q972" s="4"/>
      <c r="R972" s="4"/>
      <c r="S972" s="4"/>
      <c r="T972" s="4"/>
      <c r="U972" s="4"/>
      <c r="V972" s="4"/>
      <c r="W972" s="4"/>
      <c r="X972" s="4"/>
      <c r="Y972" s="4"/>
    </row>
    <row r="973" ht="15.75" customHeight="1">
      <c r="A973" s="4"/>
      <c r="B973" s="19"/>
      <c r="C973" s="4"/>
      <c r="D973" s="4"/>
      <c r="E973" s="4"/>
      <c r="F973" s="4"/>
      <c r="G973" s="4"/>
      <c r="H973" s="4"/>
      <c r="I973" s="4"/>
      <c r="J973" s="4"/>
      <c r="K973" s="4"/>
      <c r="L973" s="4"/>
      <c r="M973" s="4"/>
      <c r="N973" s="4"/>
      <c r="O973" s="4"/>
      <c r="P973" s="4"/>
      <c r="Q973" s="4"/>
      <c r="R973" s="4"/>
      <c r="S973" s="4"/>
      <c r="T973" s="4"/>
      <c r="U973" s="4"/>
      <c r="V973" s="4"/>
      <c r="W973" s="4"/>
      <c r="X973" s="4"/>
      <c r="Y973" s="4"/>
    </row>
    <row r="974" ht="15.75" customHeight="1">
      <c r="A974" s="4"/>
      <c r="B974" s="19"/>
      <c r="C974" s="4"/>
      <c r="D974" s="4"/>
      <c r="E974" s="4"/>
      <c r="F974" s="4"/>
      <c r="G974" s="4"/>
      <c r="H974" s="4"/>
      <c r="I974" s="4"/>
      <c r="J974" s="4"/>
      <c r="K974" s="4"/>
      <c r="L974" s="4"/>
      <c r="M974" s="4"/>
      <c r="N974" s="4"/>
      <c r="O974" s="4"/>
      <c r="P974" s="4"/>
      <c r="Q974" s="4"/>
      <c r="R974" s="4"/>
      <c r="S974" s="4"/>
      <c r="T974" s="4"/>
      <c r="U974" s="4"/>
      <c r="V974" s="4"/>
      <c r="W974" s="4"/>
      <c r="X974" s="4"/>
      <c r="Y974" s="4"/>
    </row>
    <row r="975" ht="15.75" customHeight="1">
      <c r="A975" s="4"/>
      <c r="B975" s="19"/>
      <c r="C975" s="4"/>
      <c r="D975" s="4"/>
      <c r="E975" s="4"/>
      <c r="F975" s="4"/>
      <c r="G975" s="4"/>
      <c r="H975" s="4"/>
      <c r="I975" s="4"/>
      <c r="J975" s="4"/>
      <c r="K975" s="4"/>
      <c r="L975" s="4"/>
      <c r="M975" s="4"/>
      <c r="N975" s="4"/>
      <c r="O975" s="4"/>
      <c r="P975" s="4"/>
      <c r="Q975" s="4"/>
      <c r="R975" s="4"/>
      <c r="S975" s="4"/>
      <c r="T975" s="4"/>
      <c r="U975" s="4"/>
      <c r="V975" s="4"/>
      <c r="W975" s="4"/>
      <c r="X975" s="4"/>
      <c r="Y975" s="4"/>
    </row>
    <row r="976" ht="15.75" customHeight="1">
      <c r="A976" s="4"/>
      <c r="B976" s="19"/>
      <c r="C976" s="4"/>
      <c r="D976" s="4"/>
      <c r="E976" s="4"/>
      <c r="F976" s="4"/>
      <c r="G976" s="4"/>
      <c r="H976" s="4"/>
      <c r="I976" s="4"/>
      <c r="J976" s="4"/>
      <c r="K976" s="4"/>
      <c r="L976" s="4"/>
      <c r="M976" s="4"/>
      <c r="N976" s="4"/>
      <c r="O976" s="4"/>
      <c r="P976" s="4"/>
      <c r="Q976" s="4"/>
      <c r="R976" s="4"/>
      <c r="S976" s="4"/>
      <c r="T976" s="4"/>
      <c r="U976" s="4"/>
      <c r="V976" s="4"/>
      <c r="W976" s="4"/>
      <c r="X976" s="4"/>
      <c r="Y976" s="4"/>
    </row>
    <row r="977" ht="15.75" customHeight="1">
      <c r="A977" s="4"/>
      <c r="B977" s="19"/>
      <c r="C977" s="4"/>
      <c r="D977" s="4"/>
      <c r="E977" s="4"/>
      <c r="F977" s="4"/>
      <c r="G977" s="4"/>
      <c r="H977" s="4"/>
      <c r="I977" s="4"/>
      <c r="J977" s="4"/>
      <c r="K977" s="4"/>
      <c r="L977" s="4"/>
      <c r="M977" s="4"/>
      <c r="N977" s="4"/>
      <c r="O977" s="4"/>
      <c r="P977" s="4"/>
      <c r="Q977" s="4"/>
      <c r="R977" s="4"/>
      <c r="S977" s="4"/>
      <c r="T977" s="4"/>
      <c r="U977" s="4"/>
      <c r="V977" s="4"/>
      <c r="W977" s="4"/>
      <c r="X977" s="4"/>
      <c r="Y977" s="4"/>
    </row>
    <row r="978" ht="15.75" customHeight="1">
      <c r="A978" s="4"/>
      <c r="B978" s="19"/>
      <c r="C978" s="4"/>
      <c r="D978" s="4"/>
      <c r="E978" s="4"/>
      <c r="F978" s="4"/>
      <c r="G978" s="4"/>
      <c r="H978" s="4"/>
      <c r="I978" s="4"/>
      <c r="J978" s="4"/>
      <c r="K978" s="4"/>
      <c r="L978" s="4"/>
      <c r="M978" s="4"/>
      <c r="N978" s="4"/>
      <c r="O978" s="4"/>
      <c r="P978" s="4"/>
      <c r="Q978" s="4"/>
      <c r="R978" s="4"/>
      <c r="S978" s="4"/>
      <c r="T978" s="4"/>
      <c r="U978" s="4"/>
      <c r="V978" s="4"/>
      <c r="W978" s="4"/>
      <c r="X978" s="4"/>
      <c r="Y978" s="4"/>
    </row>
    <row r="979" ht="15.75" customHeight="1">
      <c r="A979" s="4"/>
      <c r="B979" s="19"/>
      <c r="C979" s="4"/>
      <c r="D979" s="4"/>
      <c r="E979" s="4"/>
      <c r="F979" s="4"/>
      <c r="G979" s="4"/>
      <c r="H979" s="4"/>
      <c r="I979" s="4"/>
      <c r="J979" s="4"/>
      <c r="K979" s="4"/>
      <c r="L979" s="4"/>
      <c r="M979" s="4"/>
      <c r="N979" s="4"/>
      <c r="O979" s="4"/>
      <c r="P979" s="4"/>
      <c r="Q979" s="4"/>
      <c r="R979" s="4"/>
      <c r="S979" s="4"/>
      <c r="T979" s="4"/>
      <c r="U979" s="4"/>
      <c r="V979" s="4"/>
      <c r="W979" s="4"/>
      <c r="X979" s="4"/>
      <c r="Y979" s="4"/>
    </row>
    <row r="980" ht="15.75" customHeight="1">
      <c r="A980" s="4"/>
      <c r="B980" s="19"/>
      <c r="C980" s="4"/>
      <c r="D980" s="4"/>
      <c r="E980" s="4"/>
      <c r="F980" s="4"/>
      <c r="G980" s="4"/>
      <c r="H980" s="4"/>
      <c r="I980" s="4"/>
      <c r="J980" s="4"/>
      <c r="K980" s="4"/>
      <c r="L980" s="4"/>
      <c r="M980" s="4"/>
      <c r="N980" s="4"/>
      <c r="O980" s="4"/>
      <c r="P980" s="4"/>
      <c r="Q980" s="4"/>
      <c r="R980" s="4"/>
      <c r="S980" s="4"/>
      <c r="T980" s="4"/>
      <c r="U980" s="4"/>
      <c r="V980" s="4"/>
      <c r="W980" s="4"/>
      <c r="X980" s="4"/>
      <c r="Y980" s="4"/>
    </row>
    <row r="981" ht="15.75" customHeight="1">
      <c r="A981" s="4"/>
      <c r="B981" s="19"/>
      <c r="C981" s="4"/>
      <c r="D981" s="4"/>
      <c r="E981" s="4"/>
      <c r="F981" s="4"/>
      <c r="G981" s="4"/>
      <c r="H981" s="4"/>
      <c r="I981" s="4"/>
      <c r="J981" s="4"/>
      <c r="K981" s="4"/>
      <c r="L981" s="4"/>
      <c r="M981" s="4"/>
      <c r="N981" s="4"/>
      <c r="O981" s="4"/>
      <c r="P981" s="4"/>
      <c r="Q981" s="4"/>
      <c r="R981" s="4"/>
      <c r="S981" s="4"/>
      <c r="T981" s="4"/>
      <c r="U981" s="4"/>
      <c r="V981" s="4"/>
      <c r="W981" s="4"/>
      <c r="X981" s="4"/>
      <c r="Y981" s="4"/>
    </row>
    <row r="982" ht="15.75" customHeight="1">
      <c r="A982" s="4"/>
      <c r="B982" s="19"/>
      <c r="C982" s="4"/>
      <c r="D982" s="4"/>
      <c r="E982" s="4"/>
      <c r="F982" s="4"/>
      <c r="G982" s="4"/>
      <c r="H982" s="4"/>
      <c r="I982" s="4"/>
      <c r="J982" s="4"/>
      <c r="K982" s="4"/>
      <c r="L982" s="4"/>
      <c r="M982" s="4"/>
      <c r="N982" s="4"/>
      <c r="O982" s="4"/>
      <c r="P982" s="4"/>
      <c r="Q982" s="4"/>
      <c r="R982" s="4"/>
      <c r="S982" s="4"/>
      <c r="T982" s="4"/>
      <c r="U982" s="4"/>
      <c r="V982" s="4"/>
      <c r="W982" s="4"/>
      <c r="X982" s="4"/>
      <c r="Y982" s="4"/>
    </row>
    <row r="983" ht="15.75" customHeight="1">
      <c r="A983" s="4"/>
      <c r="B983" s="19"/>
      <c r="C983" s="4"/>
      <c r="D983" s="4"/>
      <c r="E983" s="4"/>
      <c r="F983" s="4"/>
      <c r="G983" s="4"/>
      <c r="H983" s="4"/>
      <c r="I983" s="4"/>
      <c r="J983" s="4"/>
      <c r="K983" s="4"/>
      <c r="L983" s="4"/>
      <c r="M983" s="4"/>
      <c r="N983" s="4"/>
      <c r="O983" s="4"/>
      <c r="P983" s="4"/>
      <c r="Q983" s="4"/>
      <c r="R983" s="4"/>
      <c r="S983" s="4"/>
      <c r="T983" s="4"/>
      <c r="U983" s="4"/>
      <c r="V983" s="4"/>
      <c r="W983" s="4"/>
      <c r="X983" s="4"/>
      <c r="Y983" s="4"/>
    </row>
    <row r="984" ht="15.75" customHeight="1">
      <c r="A984" s="4"/>
      <c r="B984" s="19"/>
      <c r="C984" s="4"/>
      <c r="D984" s="4"/>
      <c r="E984" s="4"/>
      <c r="F984" s="4"/>
      <c r="G984" s="4"/>
      <c r="H984" s="4"/>
      <c r="I984" s="4"/>
      <c r="J984" s="4"/>
      <c r="K984" s="4"/>
      <c r="L984" s="4"/>
      <c r="M984" s="4"/>
      <c r="N984" s="4"/>
      <c r="O984" s="4"/>
      <c r="P984" s="4"/>
      <c r="Q984" s="4"/>
      <c r="R984" s="4"/>
      <c r="S984" s="4"/>
      <c r="T984" s="4"/>
      <c r="U984" s="4"/>
      <c r="V984" s="4"/>
      <c r="W984" s="4"/>
      <c r="X984" s="4"/>
      <c r="Y984" s="4"/>
    </row>
    <row r="985" ht="15.75" customHeight="1">
      <c r="A985" s="4"/>
      <c r="B985" s="19"/>
      <c r="C985" s="4"/>
      <c r="D985" s="4"/>
      <c r="E985" s="4"/>
      <c r="F985" s="4"/>
      <c r="G985" s="4"/>
      <c r="H985" s="4"/>
      <c r="I985" s="4"/>
      <c r="J985" s="4"/>
      <c r="K985" s="4"/>
      <c r="L985" s="4"/>
      <c r="M985" s="4"/>
      <c r="N985" s="4"/>
      <c r="O985" s="4"/>
      <c r="P985" s="4"/>
      <c r="Q985" s="4"/>
      <c r="R985" s="4"/>
      <c r="S985" s="4"/>
      <c r="T985" s="4"/>
      <c r="U985" s="4"/>
      <c r="V985" s="4"/>
      <c r="W985" s="4"/>
      <c r="X985" s="4"/>
      <c r="Y985" s="4"/>
    </row>
    <row r="986" ht="15.75" customHeight="1">
      <c r="A986" s="4"/>
      <c r="B986" s="19"/>
      <c r="C986" s="4"/>
      <c r="D986" s="4"/>
      <c r="E986" s="4"/>
      <c r="F986" s="4"/>
      <c r="G986" s="4"/>
      <c r="H986" s="4"/>
      <c r="I986" s="4"/>
      <c r="J986" s="4"/>
      <c r="K986" s="4"/>
      <c r="L986" s="4"/>
      <c r="M986" s="4"/>
      <c r="N986" s="4"/>
      <c r="O986" s="4"/>
      <c r="P986" s="4"/>
      <c r="Q986" s="4"/>
      <c r="R986" s="4"/>
      <c r="S986" s="4"/>
      <c r="T986" s="4"/>
      <c r="U986" s="4"/>
      <c r="V986" s="4"/>
      <c r="W986" s="4"/>
      <c r="X986" s="4"/>
      <c r="Y986" s="4"/>
    </row>
    <row r="987" ht="15.75" customHeight="1">
      <c r="A987" s="4"/>
      <c r="B987" s="19"/>
      <c r="C987" s="4"/>
      <c r="D987" s="4"/>
      <c r="E987" s="4"/>
      <c r="F987" s="4"/>
      <c r="G987" s="4"/>
      <c r="H987" s="4"/>
      <c r="I987" s="4"/>
      <c r="J987" s="4"/>
      <c r="K987" s="4"/>
      <c r="L987" s="4"/>
      <c r="M987" s="4"/>
      <c r="N987" s="4"/>
      <c r="O987" s="4"/>
      <c r="P987" s="4"/>
      <c r="Q987" s="4"/>
      <c r="R987" s="4"/>
      <c r="S987" s="4"/>
      <c r="T987" s="4"/>
      <c r="U987" s="4"/>
      <c r="V987" s="4"/>
      <c r="W987" s="4"/>
      <c r="X987" s="4"/>
      <c r="Y987" s="4"/>
    </row>
    <row r="988" ht="15.75" customHeight="1">
      <c r="A988" s="4"/>
      <c r="B988" s="19"/>
      <c r="C988" s="4"/>
      <c r="D988" s="4"/>
      <c r="E988" s="4"/>
      <c r="F988" s="4"/>
      <c r="G988" s="4"/>
      <c r="H988" s="4"/>
      <c r="I988" s="4"/>
      <c r="J988" s="4"/>
      <c r="K988" s="4"/>
      <c r="L988" s="4"/>
      <c r="M988" s="4"/>
      <c r="N988" s="4"/>
      <c r="O988" s="4"/>
      <c r="P988" s="4"/>
      <c r="Q988" s="4"/>
      <c r="R988" s="4"/>
      <c r="S988" s="4"/>
      <c r="T988" s="4"/>
      <c r="U988" s="4"/>
      <c r="V988" s="4"/>
      <c r="W988" s="4"/>
      <c r="X988" s="4"/>
      <c r="Y988" s="4"/>
    </row>
    <row r="989" ht="15.75" customHeight="1">
      <c r="A989" s="4"/>
      <c r="B989" s="19"/>
      <c r="C989" s="4"/>
      <c r="D989" s="4"/>
      <c r="E989" s="4"/>
      <c r="F989" s="4"/>
      <c r="G989" s="4"/>
      <c r="H989" s="4"/>
      <c r="I989" s="4"/>
      <c r="J989" s="4"/>
      <c r="K989" s="4"/>
      <c r="L989" s="4"/>
      <c r="M989" s="4"/>
      <c r="N989" s="4"/>
      <c r="O989" s="4"/>
      <c r="P989" s="4"/>
      <c r="Q989" s="4"/>
      <c r="R989" s="4"/>
      <c r="S989" s="4"/>
      <c r="T989" s="4"/>
      <c r="U989" s="4"/>
      <c r="V989" s="4"/>
      <c r="W989" s="4"/>
      <c r="X989" s="4"/>
      <c r="Y989" s="4"/>
    </row>
    <row r="990" ht="15.75" customHeight="1">
      <c r="A990" s="4"/>
      <c r="B990" s="19"/>
      <c r="C990" s="4"/>
      <c r="D990" s="4"/>
      <c r="E990" s="4"/>
      <c r="F990" s="4"/>
      <c r="G990" s="4"/>
      <c r="H990" s="4"/>
      <c r="I990" s="4"/>
      <c r="J990" s="4"/>
      <c r="K990" s="4"/>
      <c r="L990" s="4"/>
      <c r="M990" s="4"/>
      <c r="N990" s="4"/>
      <c r="O990" s="4"/>
      <c r="P990" s="4"/>
      <c r="Q990" s="4"/>
      <c r="R990" s="4"/>
      <c r="S990" s="4"/>
      <c r="T990" s="4"/>
      <c r="U990" s="4"/>
      <c r="V990" s="4"/>
      <c r="W990" s="4"/>
      <c r="X990" s="4"/>
      <c r="Y990" s="4"/>
    </row>
    <row r="991" ht="15.75" customHeight="1">
      <c r="A991" s="4"/>
      <c r="B991" s="19"/>
      <c r="C991" s="4"/>
      <c r="D991" s="4"/>
      <c r="E991" s="4"/>
      <c r="F991" s="4"/>
      <c r="G991" s="4"/>
      <c r="H991" s="4"/>
      <c r="I991" s="4"/>
      <c r="J991" s="4"/>
      <c r="K991" s="4"/>
      <c r="L991" s="4"/>
      <c r="M991" s="4"/>
      <c r="N991" s="4"/>
      <c r="O991" s="4"/>
      <c r="P991" s="4"/>
      <c r="Q991" s="4"/>
      <c r="R991" s="4"/>
      <c r="S991" s="4"/>
      <c r="T991" s="4"/>
      <c r="U991" s="4"/>
      <c r="V991" s="4"/>
      <c r="W991" s="4"/>
      <c r="X991" s="4"/>
      <c r="Y991" s="4"/>
    </row>
    <row r="992" ht="15.75" customHeight="1">
      <c r="A992" s="4"/>
      <c r="B992" s="19"/>
      <c r="C992" s="4"/>
      <c r="D992" s="4"/>
      <c r="E992" s="4"/>
      <c r="F992" s="4"/>
      <c r="G992" s="4"/>
      <c r="H992" s="4"/>
      <c r="I992" s="4"/>
      <c r="J992" s="4"/>
      <c r="K992" s="4"/>
      <c r="L992" s="4"/>
      <c r="M992" s="4"/>
      <c r="N992" s="4"/>
      <c r="O992" s="4"/>
      <c r="P992" s="4"/>
      <c r="Q992" s="4"/>
      <c r="R992" s="4"/>
      <c r="S992" s="4"/>
      <c r="T992" s="4"/>
      <c r="U992" s="4"/>
      <c r="V992" s="4"/>
      <c r="W992" s="4"/>
      <c r="X992" s="4"/>
      <c r="Y992" s="4"/>
    </row>
    <row r="993" ht="15.75" customHeight="1">
      <c r="A993" s="4"/>
      <c r="B993" s="19"/>
      <c r="C993" s="4"/>
      <c r="D993" s="4"/>
      <c r="E993" s="4"/>
      <c r="F993" s="4"/>
      <c r="G993" s="4"/>
      <c r="H993" s="4"/>
      <c r="I993" s="4"/>
      <c r="J993" s="4"/>
      <c r="K993" s="4"/>
      <c r="L993" s="4"/>
      <c r="M993" s="4"/>
      <c r="N993" s="4"/>
      <c r="O993" s="4"/>
      <c r="P993" s="4"/>
      <c r="Q993" s="4"/>
      <c r="R993" s="4"/>
      <c r="S993" s="4"/>
      <c r="T993" s="4"/>
      <c r="U993" s="4"/>
      <c r="V993" s="4"/>
      <c r="W993" s="4"/>
      <c r="X993" s="4"/>
      <c r="Y993" s="4"/>
    </row>
    <row r="994" ht="15.75" customHeight="1">
      <c r="A994" s="4"/>
      <c r="B994" s="19"/>
      <c r="C994" s="4"/>
      <c r="D994" s="4"/>
      <c r="E994" s="4"/>
      <c r="F994" s="4"/>
      <c r="G994" s="4"/>
      <c r="H994" s="4"/>
      <c r="I994" s="4"/>
      <c r="J994" s="4"/>
      <c r="K994" s="4"/>
      <c r="L994" s="4"/>
      <c r="M994" s="4"/>
      <c r="N994" s="4"/>
      <c r="O994" s="4"/>
      <c r="P994" s="4"/>
      <c r="Q994" s="4"/>
      <c r="R994" s="4"/>
      <c r="S994" s="4"/>
      <c r="T994" s="4"/>
      <c r="U994" s="4"/>
      <c r="V994" s="4"/>
      <c r="W994" s="4"/>
      <c r="X994" s="4"/>
      <c r="Y994" s="4"/>
    </row>
    <row r="995" ht="15.75" customHeight="1">
      <c r="A995" s="4"/>
      <c r="B995" s="19"/>
      <c r="C995" s="4"/>
      <c r="D995" s="4"/>
      <c r="E995" s="4"/>
      <c r="F995" s="4"/>
      <c r="G995" s="4"/>
      <c r="H995" s="4"/>
      <c r="I995" s="4"/>
      <c r="J995" s="4"/>
      <c r="K995" s="4"/>
      <c r="L995" s="4"/>
      <c r="M995" s="4"/>
      <c r="N995" s="4"/>
      <c r="O995" s="4"/>
      <c r="P995" s="4"/>
      <c r="Q995" s="4"/>
      <c r="R995" s="4"/>
      <c r="S995" s="4"/>
      <c r="T995" s="4"/>
      <c r="U995" s="4"/>
      <c r="V995" s="4"/>
      <c r="W995" s="4"/>
      <c r="X995" s="4"/>
      <c r="Y995" s="4"/>
    </row>
    <row r="996" ht="15.75" customHeight="1">
      <c r="A996" s="4"/>
      <c r="B996" s="19"/>
      <c r="C996" s="4"/>
      <c r="D996" s="4"/>
      <c r="E996" s="4"/>
      <c r="F996" s="4"/>
      <c r="G996" s="4"/>
      <c r="H996" s="4"/>
      <c r="I996" s="4"/>
      <c r="J996" s="4"/>
      <c r="K996" s="4"/>
      <c r="L996" s="4"/>
      <c r="M996" s="4"/>
      <c r="N996" s="4"/>
      <c r="O996" s="4"/>
      <c r="P996" s="4"/>
      <c r="Q996" s="4"/>
      <c r="R996" s="4"/>
      <c r="S996" s="4"/>
      <c r="T996" s="4"/>
      <c r="U996" s="4"/>
      <c r="V996" s="4"/>
      <c r="W996" s="4"/>
      <c r="X996" s="4"/>
      <c r="Y996" s="4"/>
    </row>
    <row r="997" ht="15.75" customHeight="1">
      <c r="A997" s="4"/>
      <c r="B997" s="19"/>
      <c r="C997" s="4"/>
      <c r="D997" s="4"/>
      <c r="E997" s="4"/>
      <c r="F997" s="4"/>
      <c r="G997" s="4"/>
      <c r="H997" s="4"/>
      <c r="I997" s="4"/>
      <c r="J997" s="4"/>
      <c r="K997" s="4"/>
      <c r="L997" s="4"/>
      <c r="M997" s="4"/>
      <c r="N997" s="4"/>
      <c r="O997" s="4"/>
      <c r="P997" s="4"/>
      <c r="Q997" s="4"/>
      <c r="R997" s="4"/>
      <c r="S997" s="4"/>
      <c r="T997" s="4"/>
      <c r="U997" s="4"/>
      <c r="V997" s="4"/>
      <c r="W997" s="4"/>
      <c r="X997" s="4"/>
      <c r="Y997" s="4"/>
    </row>
    <row r="998" ht="15.75" customHeight="1">
      <c r="A998" s="4"/>
      <c r="B998" s="19"/>
      <c r="C998" s="4"/>
      <c r="D998" s="4"/>
      <c r="E998" s="4"/>
      <c r="F998" s="4"/>
      <c r="G998" s="4"/>
      <c r="H998" s="4"/>
      <c r="I998" s="4"/>
      <c r="J998" s="4"/>
      <c r="K998" s="4"/>
      <c r="L998" s="4"/>
      <c r="M998" s="4"/>
      <c r="N998" s="4"/>
      <c r="O998" s="4"/>
      <c r="P998" s="4"/>
      <c r="Q998" s="4"/>
      <c r="R998" s="4"/>
      <c r="S998" s="4"/>
      <c r="T998" s="4"/>
      <c r="U998" s="4"/>
      <c r="V998" s="4"/>
      <c r="W998" s="4"/>
      <c r="X998" s="4"/>
      <c r="Y998" s="4"/>
    </row>
    <row r="999" ht="15.75" customHeight="1">
      <c r="A999" s="4"/>
      <c r="B999" s="19"/>
      <c r="C999" s="4"/>
      <c r="D999" s="4"/>
      <c r="E999" s="4"/>
      <c r="F999" s="4"/>
      <c r="G999" s="4"/>
      <c r="H999" s="4"/>
      <c r="I999" s="4"/>
      <c r="J999" s="4"/>
      <c r="K999" s="4"/>
      <c r="L999" s="4"/>
      <c r="M999" s="4"/>
      <c r="N999" s="4"/>
      <c r="O999" s="4"/>
      <c r="P999" s="4"/>
      <c r="Q999" s="4"/>
      <c r="R999" s="4"/>
      <c r="S999" s="4"/>
      <c r="T999" s="4"/>
      <c r="U999" s="4"/>
      <c r="V999" s="4"/>
      <c r="W999" s="4"/>
      <c r="X999" s="4"/>
      <c r="Y999" s="4"/>
    </row>
  </sheetData>
  <mergeCells count="3">
    <mergeCell ref="A1:B1"/>
    <mergeCell ref="A3:B3"/>
    <mergeCell ref="A12:B12"/>
  </mergeCells>
  <dataValidations>
    <dataValidation type="list" allowBlank="1" showErrorMessage="1" sqref="B13">
      <formula1>"Lift &amp; Shift,Migration Projects,Revamp,Custom (Scratch)"</formula1>
    </dataValidation>
    <dataValidation type="list" allowBlank="1" showErrorMessage="1" sqref="B30">
      <formula1>"P1,P2,P3"</formula1>
    </dataValidation>
    <dataValidation type="list" allowBlank="1" showErrorMessage="1" sqref="B29">
      <formula1>"&lt;50%,50%,60%,70%,80%,90%"</formula1>
    </dataValidation>
    <dataValidation type="list" allowBlank="1" showErrorMessage="1" sqref="B11">
      <formula1>"Simple,Medium,Complex"</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6.5"/>
    <col customWidth="1" min="2" max="2" width="19.0"/>
    <col customWidth="1" min="3" max="3" width="31.13"/>
    <col customWidth="1" min="4" max="4" width="43.5"/>
    <col customWidth="1" min="5" max="5" width="45.0"/>
    <col customWidth="1" min="6" max="6" width="36.25"/>
    <col customWidth="1" min="7" max="7" width="12.63"/>
  </cols>
  <sheetData>
    <row r="1">
      <c r="A1" s="20" t="s">
        <v>34</v>
      </c>
      <c r="F1" s="3"/>
      <c r="G1" s="3"/>
      <c r="H1" s="3"/>
      <c r="I1" s="3"/>
      <c r="J1" s="3"/>
      <c r="K1" s="3"/>
      <c r="L1" s="3"/>
      <c r="M1" s="3"/>
      <c r="N1" s="3"/>
      <c r="O1" s="3"/>
      <c r="P1" s="3"/>
      <c r="Q1" s="3"/>
      <c r="R1" s="3"/>
      <c r="S1" s="3"/>
      <c r="T1" s="3"/>
      <c r="U1" s="3"/>
      <c r="V1" s="3"/>
      <c r="W1" s="3"/>
      <c r="X1" s="3"/>
      <c r="Y1" s="3"/>
    </row>
    <row r="2">
      <c r="A2" s="21" t="s">
        <v>35</v>
      </c>
      <c r="B2" s="22" t="s">
        <v>36</v>
      </c>
      <c r="C2" s="23" t="s">
        <v>37</v>
      </c>
      <c r="D2" s="24" t="s">
        <v>38</v>
      </c>
      <c r="E2" s="25" t="s">
        <v>39</v>
      </c>
      <c r="F2" s="25" t="s">
        <v>40</v>
      </c>
      <c r="G2" s="3"/>
      <c r="H2" s="3"/>
      <c r="I2" s="3"/>
      <c r="J2" s="3"/>
      <c r="K2" s="3"/>
      <c r="L2" s="3"/>
      <c r="M2" s="3"/>
      <c r="N2" s="3"/>
      <c r="O2" s="3"/>
      <c r="P2" s="3"/>
      <c r="Q2" s="3"/>
      <c r="R2" s="3"/>
      <c r="S2" s="3"/>
      <c r="T2" s="3"/>
      <c r="U2" s="3"/>
      <c r="V2" s="3"/>
      <c r="W2" s="3"/>
      <c r="X2" s="3"/>
      <c r="Y2" s="3"/>
    </row>
    <row r="3">
      <c r="A3" s="26"/>
      <c r="B3" s="27"/>
      <c r="C3" s="27"/>
      <c r="D3" s="27"/>
      <c r="E3" s="27"/>
      <c r="F3" s="3"/>
      <c r="G3" s="3"/>
      <c r="H3" s="3"/>
      <c r="I3" s="3"/>
      <c r="J3" s="3"/>
      <c r="K3" s="3"/>
      <c r="L3" s="3"/>
      <c r="M3" s="3"/>
      <c r="N3" s="3"/>
      <c r="O3" s="3"/>
      <c r="P3" s="3"/>
      <c r="Q3" s="3"/>
      <c r="R3" s="3"/>
      <c r="S3" s="3"/>
      <c r="T3" s="3"/>
      <c r="U3" s="3"/>
      <c r="V3" s="3"/>
      <c r="W3" s="3"/>
      <c r="X3" s="3"/>
      <c r="Y3" s="3"/>
    </row>
    <row r="4">
      <c r="A4" s="26"/>
      <c r="B4" s="27"/>
      <c r="C4" s="27"/>
      <c r="D4" s="28"/>
      <c r="E4" s="27"/>
      <c r="F4" s="3"/>
      <c r="G4" s="3"/>
      <c r="H4" s="3"/>
      <c r="I4" s="3"/>
      <c r="J4" s="3"/>
      <c r="K4" s="3"/>
      <c r="L4" s="3"/>
      <c r="M4" s="3"/>
      <c r="N4" s="3"/>
      <c r="O4" s="3"/>
      <c r="P4" s="3"/>
      <c r="Q4" s="3"/>
      <c r="R4" s="3"/>
      <c r="S4" s="3"/>
      <c r="T4" s="3"/>
      <c r="U4" s="3"/>
      <c r="V4" s="3"/>
      <c r="W4" s="3"/>
      <c r="X4" s="3"/>
      <c r="Y4" s="3"/>
    </row>
    <row r="5">
      <c r="C5" s="27"/>
      <c r="D5" s="27"/>
      <c r="E5" s="27"/>
      <c r="F5" s="3"/>
      <c r="G5" s="3"/>
      <c r="H5" s="3"/>
      <c r="I5" s="3"/>
      <c r="J5" s="3"/>
      <c r="K5" s="3"/>
      <c r="L5" s="3"/>
      <c r="M5" s="3"/>
      <c r="N5" s="3"/>
      <c r="O5" s="3"/>
      <c r="P5" s="3"/>
      <c r="Q5" s="3"/>
      <c r="R5" s="3"/>
      <c r="S5" s="3"/>
      <c r="T5" s="3"/>
      <c r="U5" s="3"/>
      <c r="V5" s="3"/>
      <c r="W5" s="3"/>
      <c r="X5" s="3"/>
      <c r="Y5" s="3"/>
    </row>
    <row r="6">
      <c r="A6" s="26"/>
      <c r="B6" s="27"/>
      <c r="C6" s="27"/>
      <c r="D6" s="27"/>
      <c r="E6" s="27"/>
      <c r="F6" s="3"/>
      <c r="G6" s="3"/>
      <c r="H6" s="3"/>
      <c r="I6" s="3"/>
      <c r="J6" s="3"/>
      <c r="K6" s="3"/>
      <c r="L6" s="3"/>
      <c r="M6" s="3"/>
      <c r="N6" s="3"/>
      <c r="O6" s="3"/>
      <c r="P6" s="3"/>
      <c r="Q6" s="3"/>
      <c r="R6" s="3"/>
      <c r="S6" s="3"/>
      <c r="T6" s="3"/>
      <c r="U6" s="3"/>
      <c r="V6" s="3"/>
      <c r="W6" s="3"/>
      <c r="X6" s="3"/>
      <c r="Y6" s="3"/>
    </row>
    <row r="7">
      <c r="A7" s="26"/>
      <c r="C7" s="27"/>
      <c r="D7" s="27"/>
      <c r="E7" s="27"/>
      <c r="F7" s="3"/>
      <c r="G7" s="3"/>
      <c r="H7" s="3"/>
      <c r="I7" s="3"/>
      <c r="J7" s="3"/>
      <c r="K7" s="3"/>
      <c r="L7" s="3"/>
      <c r="M7" s="3"/>
      <c r="N7" s="3"/>
      <c r="O7" s="3"/>
      <c r="P7" s="3"/>
      <c r="Q7" s="3"/>
      <c r="R7" s="3"/>
      <c r="S7" s="3"/>
      <c r="T7" s="3"/>
      <c r="U7" s="3"/>
      <c r="V7" s="3"/>
      <c r="W7" s="3"/>
      <c r="X7" s="3"/>
      <c r="Y7" s="3"/>
    </row>
    <row r="8">
      <c r="B8" s="27"/>
      <c r="C8" s="27"/>
      <c r="D8" s="28"/>
      <c r="E8" s="27"/>
      <c r="F8" s="3"/>
      <c r="G8" s="3"/>
      <c r="H8" s="3"/>
      <c r="I8" s="3"/>
      <c r="J8" s="3"/>
      <c r="K8" s="3"/>
      <c r="L8" s="3"/>
      <c r="M8" s="3"/>
      <c r="N8" s="3"/>
      <c r="O8" s="3"/>
      <c r="P8" s="3"/>
      <c r="Q8" s="3"/>
      <c r="R8" s="3"/>
      <c r="S8" s="3"/>
      <c r="T8" s="3"/>
      <c r="U8" s="3"/>
      <c r="V8" s="3"/>
      <c r="W8" s="3"/>
      <c r="X8" s="3"/>
      <c r="Y8" s="3"/>
    </row>
    <row r="9">
      <c r="A9" s="26"/>
      <c r="B9" s="27"/>
      <c r="C9" s="27"/>
      <c r="D9" s="27"/>
      <c r="E9" s="27"/>
      <c r="F9" s="3"/>
      <c r="G9" s="3"/>
      <c r="H9" s="3"/>
      <c r="I9" s="3"/>
      <c r="J9" s="3"/>
      <c r="K9" s="3"/>
      <c r="L9" s="3"/>
      <c r="M9" s="3"/>
      <c r="N9" s="3"/>
      <c r="O9" s="3"/>
      <c r="P9" s="3"/>
      <c r="Q9" s="3"/>
      <c r="R9" s="3"/>
      <c r="S9" s="3"/>
      <c r="T9" s="3"/>
      <c r="U9" s="3"/>
      <c r="V9" s="3"/>
      <c r="W9" s="3"/>
      <c r="X9" s="3"/>
      <c r="Y9" s="3"/>
    </row>
    <row r="10">
      <c r="A10" s="26"/>
      <c r="B10" s="28"/>
      <c r="C10" s="28"/>
      <c r="D10" s="28"/>
      <c r="E10" s="27"/>
      <c r="F10" s="3"/>
      <c r="G10" s="3"/>
      <c r="H10" s="3"/>
      <c r="I10" s="3"/>
      <c r="J10" s="3"/>
      <c r="K10" s="3"/>
      <c r="L10" s="3"/>
      <c r="M10" s="3"/>
      <c r="N10" s="3"/>
      <c r="O10" s="3"/>
      <c r="P10" s="3"/>
      <c r="Q10" s="3"/>
      <c r="R10" s="3"/>
      <c r="S10" s="3"/>
      <c r="T10" s="3"/>
      <c r="U10" s="3"/>
      <c r="V10" s="3"/>
      <c r="W10" s="3"/>
      <c r="X10" s="3"/>
      <c r="Y10" s="3"/>
    </row>
    <row r="11">
      <c r="B11" s="27"/>
      <c r="C11" s="27"/>
      <c r="D11" s="28"/>
      <c r="E11" s="27"/>
      <c r="F11" s="3"/>
      <c r="G11" s="3"/>
      <c r="H11" s="3"/>
      <c r="I11" s="3"/>
      <c r="J11" s="3"/>
      <c r="K11" s="3"/>
      <c r="L11" s="3"/>
      <c r="M11" s="3"/>
      <c r="N11" s="3"/>
      <c r="O11" s="3"/>
      <c r="P11" s="3"/>
      <c r="Q11" s="3"/>
      <c r="R11" s="3"/>
      <c r="S11" s="3"/>
      <c r="T11" s="3"/>
      <c r="U11" s="3"/>
      <c r="V11" s="3"/>
      <c r="W11" s="3"/>
      <c r="X11" s="3"/>
      <c r="Y11" s="3"/>
    </row>
    <row r="12">
      <c r="A12" s="26"/>
      <c r="B12" s="27"/>
      <c r="C12" s="27"/>
      <c r="D12" s="28"/>
      <c r="E12" s="27"/>
      <c r="F12" s="3"/>
      <c r="G12" s="3"/>
      <c r="H12" s="3"/>
      <c r="I12" s="3"/>
      <c r="J12" s="3"/>
      <c r="K12" s="3"/>
      <c r="L12" s="3"/>
      <c r="M12" s="3"/>
      <c r="N12" s="3"/>
      <c r="O12" s="3"/>
      <c r="P12" s="3"/>
      <c r="Q12" s="3"/>
      <c r="R12" s="3"/>
      <c r="S12" s="3"/>
      <c r="T12" s="3"/>
      <c r="U12" s="3"/>
      <c r="V12" s="3"/>
      <c r="W12" s="3"/>
      <c r="X12" s="3"/>
      <c r="Y12" s="3"/>
    </row>
    <row r="13">
      <c r="A13" s="26"/>
      <c r="B13" s="27"/>
      <c r="C13" s="27"/>
      <c r="D13" s="27"/>
      <c r="E13" s="27"/>
      <c r="F13" s="3"/>
      <c r="G13" s="3"/>
      <c r="H13" s="3"/>
      <c r="I13" s="3"/>
      <c r="J13" s="3"/>
      <c r="K13" s="3"/>
      <c r="L13" s="3"/>
      <c r="M13" s="3"/>
      <c r="N13" s="3"/>
      <c r="O13" s="3"/>
      <c r="P13" s="3"/>
      <c r="Q13" s="3"/>
      <c r="R13" s="3"/>
      <c r="S13" s="3"/>
      <c r="T13" s="3"/>
      <c r="U13" s="3"/>
      <c r="V13" s="3"/>
      <c r="W13" s="3"/>
      <c r="X13" s="3"/>
      <c r="Y13" s="3"/>
    </row>
    <row r="14">
      <c r="C14" s="27"/>
      <c r="E14" s="27"/>
      <c r="F14" s="3"/>
      <c r="G14" s="3"/>
      <c r="H14" s="3"/>
      <c r="I14" s="3"/>
      <c r="J14" s="3"/>
      <c r="K14" s="3"/>
      <c r="L14" s="3"/>
      <c r="M14" s="3"/>
      <c r="N14" s="3"/>
      <c r="O14" s="3"/>
      <c r="P14" s="3"/>
      <c r="Q14" s="3"/>
      <c r="R14" s="3"/>
      <c r="S14" s="3"/>
      <c r="T14" s="3"/>
      <c r="U14" s="3"/>
      <c r="V14" s="3"/>
      <c r="W14" s="3"/>
      <c r="X14" s="3"/>
      <c r="Y14" s="3"/>
    </row>
    <row r="15">
      <c r="A15" s="26"/>
      <c r="B15" s="28"/>
      <c r="C15" s="28"/>
      <c r="D15" s="28"/>
      <c r="E15" s="27"/>
      <c r="F15" s="3"/>
      <c r="G15" s="3"/>
      <c r="H15" s="3"/>
      <c r="I15" s="3"/>
      <c r="J15" s="3"/>
      <c r="K15" s="3"/>
      <c r="L15" s="3"/>
      <c r="M15" s="3"/>
      <c r="N15" s="3"/>
      <c r="O15" s="3"/>
      <c r="P15" s="3"/>
      <c r="Q15" s="3"/>
      <c r="R15" s="3"/>
      <c r="S15" s="3"/>
      <c r="T15" s="3"/>
      <c r="U15" s="3"/>
      <c r="V15" s="3"/>
      <c r="W15" s="3"/>
      <c r="X15" s="3"/>
      <c r="Y15" s="3"/>
    </row>
    <row r="16" ht="15.75" customHeight="1">
      <c r="A16" s="26"/>
      <c r="B16" s="28"/>
      <c r="C16" s="28"/>
      <c r="D16" s="28"/>
      <c r="E16" s="27"/>
      <c r="F16" s="3"/>
      <c r="G16" s="3"/>
      <c r="H16" s="3"/>
      <c r="I16" s="3"/>
      <c r="J16" s="3"/>
      <c r="K16" s="3"/>
      <c r="L16" s="3"/>
      <c r="M16" s="3"/>
      <c r="N16" s="3"/>
      <c r="O16" s="3"/>
      <c r="P16" s="3"/>
      <c r="Q16" s="3"/>
      <c r="R16" s="3"/>
      <c r="S16" s="3"/>
      <c r="T16" s="3"/>
      <c r="U16" s="3"/>
      <c r="V16" s="3"/>
      <c r="W16" s="3"/>
      <c r="X16" s="3"/>
      <c r="Y16" s="3"/>
    </row>
    <row r="17" ht="15.75" customHeight="1">
      <c r="B17" s="29"/>
      <c r="C17" s="29"/>
      <c r="D17" s="30"/>
      <c r="E17" s="31"/>
      <c r="F17" s="3"/>
      <c r="G17" s="3"/>
      <c r="H17" s="3"/>
      <c r="I17" s="3"/>
      <c r="J17" s="3"/>
      <c r="K17" s="3"/>
      <c r="L17" s="3"/>
      <c r="M17" s="3"/>
      <c r="N17" s="3"/>
      <c r="O17" s="3"/>
      <c r="P17" s="3"/>
      <c r="Q17" s="3"/>
      <c r="R17" s="3"/>
      <c r="S17" s="3"/>
      <c r="T17" s="3"/>
      <c r="U17" s="3"/>
      <c r="V17" s="3"/>
      <c r="W17" s="3"/>
      <c r="X17" s="3"/>
      <c r="Y17" s="3"/>
    </row>
    <row r="18" ht="15.75" customHeight="1">
      <c r="A18" s="26"/>
      <c r="B18" s="29"/>
      <c r="C18" s="29"/>
      <c r="D18" s="30"/>
      <c r="E18" s="31"/>
      <c r="F18" s="3"/>
      <c r="G18" s="3"/>
      <c r="H18" s="3"/>
      <c r="I18" s="3"/>
      <c r="J18" s="3"/>
      <c r="K18" s="3"/>
      <c r="L18" s="3"/>
      <c r="M18" s="3"/>
      <c r="N18" s="3"/>
      <c r="O18" s="3"/>
      <c r="P18" s="3"/>
      <c r="Q18" s="3"/>
      <c r="R18" s="3"/>
      <c r="S18" s="3"/>
      <c r="T18" s="3"/>
      <c r="U18" s="3"/>
      <c r="V18" s="3"/>
      <c r="W18" s="3"/>
      <c r="X18" s="3"/>
      <c r="Y18" s="3"/>
    </row>
    <row r="19" ht="15.75" customHeight="1">
      <c r="A19" s="26"/>
      <c r="B19" s="32"/>
      <c r="C19" s="32"/>
      <c r="D19" s="30"/>
      <c r="E19" s="31"/>
      <c r="F19" s="3"/>
      <c r="G19" s="3"/>
      <c r="H19" s="3"/>
      <c r="I19" s="3"/>
      <c r="J19" s="3"/>
      <c r="K19" s="3"/>
      <c r="L19" s="3"/>
      <c r="M19" s="3"/>
      <c r="N19" s="3"/>
      <c r="O19" s="3"/>
      <c r="P19" s="3"/>
      <c r="Q19" s="3"/>
      <c r="R19" s="3"/>
      <c r="S19" s="3"/>
      <c r="T19" s="3"/>
      <c r="U19" s="3"/>
      <c r="V19" s="3"/>
      <c r="W19" s="3"/>
      <c r="X19" s="3"/>
      <c r="Y19" s="3"/>
    </row>
    <row r="20" ht="15.75" customHeight="1">
      <c r="B20" s="32"/>
      <c r="C20" s="32"/>
      <c r="D20" s="30"/>
      <c r="E20" s="31"/>
      <c r="F20" s="3"/>
      <c r="G20" s="3"/>
      <c r="H20" s="3"/>
      <c r="I20" s="3"/>
      <c r="J20" s="3"/>
      <c r="K20" s="3"/>
      <c r="L20" s="3"/>
      <c r="M20" s="3"/>
      <c r="N20" s="3"/>
      <c r="O20" s="3"/>
      <c r="P20" s="3"/>
      <c r="Q20" s="3"/>
      <c r="R20" s="3"/>
      <c r="S20" s="3"/>
      <c r="T20" s="3"/>
      <c r="U20" s="3"/>
      <c r="V20" s="3"/>
      <c r="W20" s="3"/>
      <c r="X20" s="3"/>
      <c r="Y20" s="3"/>
    </row>
    <row r="21" ht="15.75" customHeight="1">
      <c r="A21" s="26"/>
      <c r="B21" s="32"/>
      <c r="C21" s="32"/>
      <c r="D21" s="30"/>
      <c r="E21" s="31"/>
      <c r="F21" s="3"/>
      <c r="G21" s="3"/>
      <c r="H21" s="3"/>
      <c r="I21" s="3"/>
      <c r="J21" s="3"/>
      <c r="K21" s="3"/>
      <c r="L21" s="3"/>
      <c r="M21" s="3"/>
      <c r="N21" s="3"/>
      <c r="O21" s="3"/>
      <c r="P21" s="3"/>
      <c r="Q21" s="3"/>
      <c r="R21" s="3"/>
      <c r="S21" s="3"/>
      <c r="T21" s="3"/>
      <c r="U21" s="3"/>
      <c r="V21" s="3"/>
      <c r="W21" s="3"/>
      <c r="X21" s="3"/>
      <c r="Y21" s="3"/>
    </row>
    <row r="22" ht="15.75" customHeight="1">
      <c r="A22" s="26"/>
      <c r="B22" s="32"/>
      <c r="C22" s="32"/>
      <c r="D22" s="30"/>
      <c r="E22" s="31"/>
      <c r="F22" s="3"/>
      <c r="G22" s="3"/>
      <c r="H22" s="3"/>
      <c r="I22" s="3"/>
      <c r="J22" s="3"/>
      <c r="K22" s="3"/>
      <c r="L22" s="3"/>
      <c r="M22" s="3"/>
      <c r="N22" s="3"/>
      <c r="O22" s="3"/>
      <c r="P22" s="3"/>
      <c r="Q22" s="3"/>
      <c r="R22" s="3"/>
      <c r="S22" s="3"/>
      <c r="T22" s="3"/>
      <c r="U22" s="3"/>
      <c r="V22" s="3"/>
      <c r="W22" s="3"/>
      <c r="X22" s="3"/>
      <c r="Y22" s="3"/>
    </row>
    <row r="23" ht="15.75" customHeight="1">
      <c r="A23" s="26"/>
      <c r="B23" s="32"/>
      <c r="C23" s="32"/>
      <c r="D23" s="30"/>
      <c r="E23" s="31"/>
      <c r="F23" s="3"/>
      <c r="G23" s="3"/>
      <c r="H23" s="3"/>
      <c r="I23" s="3"/>
      <c r="J23" s="3"/>
      <c r="K23" s="3"/>
      <c r="L23" s="3"/>
      <c r="M23" s="3"/>
      <c r="N23" s="3"/>
      <c r="O23" s="3"/>
      <c r="P23" s="3"/>
      <c r="Q23" s="3"/>
      <c r="R23" s="3"/>
      <c r="S23" s="3"/>
      <c r="T23" s="3"/>
      <c r="U23" s="3"/>
      <c r="V23" s="3"/>
      <c r="W23" s="3"/>
      <c r="X23" s="3"/>
      <c r="Y23" s="3"/>
    </row>
    <row r="24" ht="15.75" customHeight="1">
      <c r="A24" s="26"/>
      <c r="B24" s="32"/>
      <c r="C24" s="32"/>
      <c r="D24" s="30"/>
      <c r="E24" s="31"/>
      <c r="F24" s="3"/>
      <c r="G24" s="3"/>
      <c r="H24" s="3"/>
      <c r="I24" s="3"/>
      <c r="J24" s="3"/>
      <c r="K24" s="3"/>
      <c r="L24" s="3"/>
      <c r="M24" s="3"/>
      <c r="N24" s="3"/>
      <c r="O24" s="3"/>
      <c r="P24" s="3"/>
      <c r="Q24" s="3"/>
      <c r="R24" s="3"/>
      <c r="S24" s="3"/>
      <c r="T24" s="3"/>
      <c r="U24" s="3"/>
      <c r="V24" s="3"/>
      <c r="W24" s="3"/>
      <c r="X24" s="3"/>
      <c r="Y24" s="3"/>
    </row>
    <row r="25" ht="15.75" customHeight="1">
      <c r="A25" s="26"/>
      <c r="B25" s="32"/>
      <c r="C25" s="32"/>
      <c r="D25" s="30"/>
      <c r="E25" s="31"/>
      <c r="F25" s="3"/>
      <c r="G25" s="3"/>
      <c r="H25" s="3"/>
      <c r="I25" s="3"/>
      <c r="J25" s="3"/>
      <c r="K25" s="3"/>
      <c r="L25" s="3"/>
      <c r="M25" s="3"/>
      <c r="N25" s="3"/>
      <c r="O25" s="3"/>
      <c r="P25" s="3"/>
      <c r="Q25" s="3"/>
      <c r="R25" s="3"/>
      <c r="S25" s="3"/>
      <c r="T25" s="3"/>
      <c r="U25" s="3"/>
      <c r="V25" s="3"/>
      <c r="W25" s="3"/>
      <c r="X25" s="3"/>
      <c r="Y25" s="3"/>
    </row>
    <row r="26" ht="15.75" customHeight="1">
      <c r="A26" s="26"/>
      <c r="B26" s="32"/>
      <c r="C26" s="32"/>
      <c r="D26" s="30"/>
      <c r="E26" s="31"/>
      <c r="F26" s="3"/>
      <c r="G26" s="3"/>
      <c r="H26" s="3"/>
      <c r="I26" s="3"/>
      <c r="J26" s="3"/>
      <c r="K26" s="3"/>
      <c r="L26" s="3"/>
      <c r="M26" s="3"/>
      <c r="N26" s="3"/>
      <c r="O26" s="3"/>
      <c r="P26" s="3"/>
      <c r="Q26" s="3"/>
      <c r="R26" s="3"/>
      <c r="S26" s="3"/>
      <c r="T26" s="3"/>
      <c r="U26" s="3"/>
      <c r="V26" s="3"/>
      <c r="W26" s="3"/>
      <c r="X26" s="3"/>
      <c r="Y26" s="3"/>
    </row>
    <row r="27" ht="15.75" customHeight="1">
      <c r="A27" s="26"/>
      <c r="B27" s="32"/>
      <c r="C27" s="32"/>
      <c r="D27" s="30"/>
      <c r="E27" s="31"/>
      <c r="F27" s="3"/>
      <c r="G27" s="3"/>
      <c r="H27" s="3"/>
      <c r="I27" s="3"/>
      <c r="J27" s="3"/>
      <c r="K27" s="3"/>
      <c r="L27" s="3"/>
      <c r="M27" s="3"/>
      <c r="N27" s="3"/>
      <c r="O27" s="3"/>
      <c r="P27" s="3"/>
      <c r="Q27" s="3"/>
      <c r="R27" s="3"/>
      <c r="S27" s="3"/>
      <c r="T27" s="3"/>
      <c r="U27" s="3"/>
      <c r="V27" s="3"/>
      <c r="W27" s="3"/>
      <c r="X27" s="3"/>
      <c r="Y27" s="3"/>
    </row>
    <row r="28" ht="15.75" customHeight="1">
      <c r="A28" s="26"/>
      <c r="B28" s="32"/>
      <c r="C28" s="32"/>
      <c r="D28" s="30"/>
      <c r="E28" s="31"/>
      <c r="F28" s="3"/>
      <c r="G28" s="3"/>
      <c r="H28" s="3"/>
      <c r="I28" s="3"/>
      <c r="J28" s="3"/>
      <c r="K28" s="3"/>
      <c r="L28" s="3"/>
      <c r="M28" s="3"/>
      <c r="N28" s="3"/>
      <c r="O28" s="3"/>
      <c r="P28" s="3"/>
      <c r="Q28" s="3"/>
      <c r="R28" s="3"/>
      <c r="S28" s="3"/>
      <c r="T28" s="3"/>
      <c r="U28" s="3"/>
      <c r="V28" s="3"/>
      <c r="W28" s="3"/>
      <c r="X28" s="3"/>
      <c r="Y28" s="3"/>
    </row>
    <row r="29" ht="15.75" customHeight="1">
      <c r="A29" s="26"/>
      <c r="B29" s="32"/>
      <c r="C29" s="32"/>
      <c r="D29" s="30"/>
      <c r="E29" s="31"/>
      <c r="F29" s="3"/>
      <c r="G29" s="3"/>
      <c r="H29" s="3"/>
      <c r="I29" s="3"/>
      <c r="J29" s="3"/>
      <c r="K29" s="3"/>
      <c r="L29" s="3"/>
      <c r="M29" s="3"/>
      <c r="N29" s="3"/>
      <c r="O29" s="3"/>
      <c r="P29" s="3"/>
      <c r="Q29" s="3"/>
      <c r="R29" s="3"/>
      <c r="S29" s="3"/>
      <c r="T29" s="3"/>
      <c r="U29" s="3"/>
      <c r="V29" s="3"/>
      <c r="W29" s="3"/>
      <c r="X29" s="3"/>
      <c r="Y29" s="3"/>
    </row>
    <row r="30" ht="15.75" customHeight="1">
      <c r="A30" s="26"/>
      <c r="B30" s="32"/>
      <c r="C30" s="32"/>
      <c r="D30" s="30"/>
      <c r="E30" s="31"/>
      <c r="F30" s="3"/>
      <c r="G30" s="3"/>
      <c r="H30" s="3"/>
      <c r="I30" s="3"/>
      <c r="J30" s="3"/>
      <c r="K30" s="3"/>
      <c r="L30" s="3"/>
      <c r="M30" s="3"/>
      <c r="N30" s="3"/>
      <c r="O30" s="3"/>
      <c r="P30" s="3"/>
      <c r="Q30" s="3"/>
      <c r="R30" s="3"/>
      <c r="S30" s="3"/>
      <c r="T30" s="3"/>
      <c r="U30" s="3"/>
      <c r="V30" s="3"/>
      <c r="W30" s="3"/>
      <c r="X30" s="3"/>
      <c r="Y30" s="3"/>
    </row>
    <row r="31" ht="15.75" customHeight="1">
      <c r="A31" s="26"/>
      <c r="B31" s="32"/>
      <c r="C31" s="32"/>
      <c r="D31" s="30"/>
      <c r="E31" s="31"/>
      <c r="F31" s="3"/>
      <c r="G31" s="3"/>
      <c r="H31" s="3"/>
      <c r="I31" s="3"/>
      <c r="J31" s="3"/>
      <c r="K31" s="3"/>
      <c r="L31" s="3"/>
      <c r="M31" s="3"/>
      <c r="N31" s="3"/>
      <c r="O31" s="3"/>
      <c r="P31" s="3"/>
      <c r="Q31" s="3"/>
      <c r="R31" s="3"/>
      <c r="S31" s="3"/>
      <c r="T31" s="3"/>
      <c r="U31" s="3"/>
      <c r="V31" s="3"/>
      <c r="W31" s="3"/>
      <c r="X31" s="3"/>
      <c r="Y31" s="3"/>
    </row>
    <row r="32" ht="15.75" customHeight="1">
      <c r="A32" s="26"/>
      <c r="B32" s="32"/>
      <c r="C32" s="32"/>
      <c r="D32" s="30"/>
      <c r="E32" s="31"/>
      <c r="F32" s="3"/>
      <c r="G32" s="3"/>
      <c r="H32" s="3"/>
      <c r="I32" s="3"/>
      <c r="J32" s="3"/>
      <c r="K32" s="3"/>
      <c r="L32" s="3"/>
      <c r="M32" s="3"/>
      <c r="N32" s="3"/>
      <c r="O32" s="3"/>
      <c r="P32" s="3"/>
      <c r="Q32" s="3"/>
      <c r="R32" s="3"/>
      <c r="S32" s="3"/>
      <c r="T32" s="3"/>
      <c r="U32" s="3"/>
      <c r="V32" s="3"/>
      <c r="W32" s="3"/>
      <c r="X32" s="3"/>
      <c r="Y32" s="3"/>
    </row>
    <row r="33" ht="15.75" customHeight="1">
      <c r="A33" s="26"/>
      <c r="B33" s="32"/>
      <c r="C33" s="32"/>
      <c r="D33" s="30"/>
      <c r="E33" s="31"/>
      <c r="F33" s="3"/>
      <c r="G33" s="3"/>
      <c r="H33" s="3"/>
      <c r="I33" s="3"/>
      <c r="J33" s="3"/>
      <c r="K33" s="3"/>
      <c r="L33" s="3"/>
      <c r="M33" s="3"/>
      <c r="N33" s="3"/>
      <c r="O33" s="3"/>
      <c r="P33" s="3"/>
      <c r="Q33" s="3"/>
      <c r="R33" s="3"/>
      <c r="S33" s="3"/>
      <c r="T33" s="3"/>
      <c r="U33" s="3"/>
      <c r="V33" s="3"/>
      <c r="W33" s="3"/>
      <c r="X33" s="3"/>
      <c r="Y33" s="3"/>
    </row>
    <row r="34" ht="15.75" customHeight="1">
      <c r="A34" s="26"/>
      <c r="B34" s="32"/>
      <c r="C34" s="32"/>
      <c r="D34" s="30"/>
      <c r="E34" s="31"/>
      <c r="F34" s="3"/>
      <c r="G34" s="3"/>
      <c r="H34" s="3"/>
      <c r="I34" s="3"/>
      <c r="J34" s="3"/>
      <c r="K34" s="3"/>
      <c r="L34" s="3"/>
      <c r="M34" s="3"/>
      <c r="N34" s="3"/>
      <c r="O34" s="3"/>
      <c r="P34" s="3"/>
      <c r="Q34" s="3"/>
      <c r="R34" s="3"/>
      <c r="S34" s="3"/>
      <c r="T34" s="3"/>
      <c r="U34" s="3"/>
      <c r="V34" s="3"/>
      <c r="W34" s="3"/>
      <c r="X34" s="3"/>
      <c r="Y34" s="3"/>
    </row>
    <row r="35" ht="15.75" customHeight="1">
      <c r="A35" s="26"/>
      <c r="B35" s="32"/>
      <c r="C35" s="32"/>
      <c r="D35" s="30"/>
      <c r="E35" s="31"/>
      <c r="F35" s="3"/>
      <c r="G35" s="3"/>
      <c r="H35" s="3"/>
      <c r="I35" s="3"/>
      <c r="J35" s="3"/>
      <c r="K35" s="3"/>
      <c r="L35" s="3"/>
      <c r="M35" s="3"/>
      <c r="N35" s="3"/>
      <c r="O35" s="3"/>
      <c r="P35" s="3"/>
      <c r="Q35" s="3"/>
      <c r="R35" s="3"/>
      <c r="S35" s="3"/>
      <c r="T35" s="3"/>
      <c r="U35" s="3"/>
      <c r="V35" s="3"/>
      <c r="W35" s="3"/>
      <c r="X35" s="3"/>
      <c r="Y35" s="3"/>
    </row>
    <row r="36" ht="15.75" customHeight="1">
      <c r="A36" s="26"/>
      <c r="B36" s="32"/>
      <c r="C36" s="32"/>
      <c r="D36" s="30"/>
      <c r="E36" s="31"/>
      <c r="F36" s="3"/>
      <c r="G36" s="3"/>
      <c r="H36" s="3"/>
      <c r="I36" s="3"/>
      <c r="J36" s="3"/>
      <c r="K36" s="3"/>
      <c r="L36" s="3"/>
      <c r="M36" s="3"/>
      <c r="N36" s="3"/>
      <c r="O36" s="3"/>
      <c r="P36" s="3"/>
      <c r="Q36" s="3"/>
      <c r="R36" s="3"/>
      <c r="S36" s="3"/>
      <c r="T36" s="3"/>
      <c r="U36" s="3"/>
      <c r="V36" s="3"/>
      <c r="W36" s="3"/>
      <c r="X36" s="3"/>
      <c r="Y36" s="3"/>
    </row>
    <row r="37" ht="15.75" customHeight="1">
      <c r="A37" s="26"/>
      <c r="B37" s="32"/>
      <c r="C37" s="32"/>
      <c r="D37" s="30"/>
      <c r="E37" s="31"/>
      <c r="F37" s="3"/>
      <c r="G37" s="3"/>
      <c r="H37" s="3"/>
      <c r="I37" s="3"/>
      <c r="J37" s="3"/>
      <c r="K37" s="3"/>
      <c r="L37" s="3"/>
      <c r="M37" s="3"/>
      <c r="N37" s="3"/>
      <c r="O37" s="3"/>
      <c r="P37" s="3"/>
      <c r="Q37" s="3"/>
      <c r="R37" s="3"/>
      <c r="S37" s="3"/>
      <c r="T37" s="3"/>
      <c r="U37" s="3"/>
      <c r="V37" s="3"/>
      <c r="W37" s="3"/>
      <c r="X37" s="3"/>
      <c r="Y37" s="3"/>
    </row>
    <row r="38" ht="15.75" customHeight="1">
      <c r="A38" s="26"/>
      <c r="B38" s="32"/>
      <c r="C38" s="32"/>
      <c r="D38" s="30"/>
      <c r="E38" s="31"/>
      <c r="F38" s="3"/>
      <c r="G38" s="3"/>
      <c r="H38" s="3"/>
      <c r="I38" s="3"/>
      <c r="J38" s="3"/>
      <c r="K38" s="3"/>
      <c r="L38" s="3"/>
      <c r="M38" s="3"/>
      <c r="N38" s="3"/>
      <c r="O38" s="3"/>
      <c r="P38" s="3"/>
      <c r="Q38" s="3"/>
      <c r="R38" s="3"/>
      <c r="S38" s="3"/>
      <c r="T38" s="3"/>
      <c r="U38" s="3"/>
      <c r="V38" s="3"/>
      <c r="W38" s="3"/>
      <c r="X38" s="3"/>
      <c r="Y38" s="3"/>
    </row>
    <row r="39" ht="15.75" customHeight="1">
      <c r="A39" s="26"/>
      <c r="B39" s="32"/>
      <c r="C39" s="32"/>
      <c r="D39" s="30"/>
      <c r="E39" s="31"/>
      <c r="F39" s="3"/>
      <c r="G39" s="3"/>
      <c r="H39" s="3"/>
      <c r="I39" s="3"/>
      <c r="J39" s="3"/>
      <c r="K39" s="3"/>
      <c r="L39" s="3"/>
      <c r="M39" s="3"/>
      <c r="N39" s="3"/>
      <c r="O39" s="3"/>
      <c r="P39" s="3"/>
      <c r="Q39" s="3"/>
      <c r="R39" s="3"/>
      <c r="S39" s="3"/>
      <c r="T39" s="3"/>
      <c r="U39" s="3"/>
      <c r="V39" s="3"/>
      <c r="W39" s="3"/>
      <c r="X39" s="3"/>
      <c r="Y39" s="3"/>
    </row>
    <row r="40" ht="15.75" customHeight="1">
      <c r="A40" s="26"/>
      <c r="B40" s="32"/>
      <c r="C40" s="32"/>
      <c r="D40" s="30"/>
      <c r="E40" s="31"/>
      <c r="F40" s="3"/>
      <c r="G40" s="3"/>
      <c r="H40" s="3"/>
      <c r="I40" s="3"/>
      <c r="J40" s="3"/>
      <c r="K40" s="3"/>
      <c r="L40" s="3"/>
      <c r="M40" s="3"/>
      <c r="N40" s="3"/>
      <c r="O40" s="3"/>
      <c r="P40" s="3"/>
      <c r="Q40" s="3"/>
      <c r="R40" s="3"/>
      <c r="S40" s="3"/>
      <c r="T40" s="3"/>
      <c r="U40" s="3"/>
      <c r="V40" s="3"/>
      <c r="W40" s="3"/>
      <c r="X40" s="3"/>
      <c r="Y40" s="3"/>
    </row>
    <row r="41" ht="15.75" customHeight="1">
      <c r="A41" s="26"/>
      <c r="B41" s="32"/>
      <c r="C41" s="32"/>
      <c r="D41" s="30"/>
      <c r="E41" s="31"/>
      <c r="F41" s="3"/>
      <c r="G41" s="3"/>
      <c r="H41" s="3"/>
      <c r="I41" s="3"/>
      <c r="J41" s="3"/>
      <c r="K41" s="3"/>
      <c r="L41" s="3"/>
      <c r="M41" s="3"/>
      <c r="N41" s="3"/>
      <c r="O41" s="3"/>
      <c r="P41" s="3"/>
      <c r="Q41" s="3"/>
      <c r="R41" s="3"/>
      <c r="S41" s="3"/>
      <c r="T41" s="3"/>
      <c r="U41" s="3"/>
      <c r="V41" s="3"/>
      <c r="W41" s="3"/>
      <c r="X41" s="3"/>
      <c r="Y41" s="3"/>
    </row>
    <row r="42" ht="15.75" customHeight="1">
      <c r="A42" s="26"/>
      <c r="B42" s="32"/>
      <c r="C42" s="32"/>
      <c r="D42" s="30"/>
      <c r="E42" s="31"/>
      <c r="F42" s="3"/>
      <c r="G42" s="3"/>
      <c r="H42" s="3"/>
      <c r="I42" s="3"/>
      <c r="J42" s="3"/>
      <c r="K42" s="3"/>
      <c r="L42" s="3"/>
      <c r="M42" s="3"/>
      <c r="N42" s="3"/>
      <c r="O42" s="3"/>
      <c r="P42" s="3"/>
      <c r="Q42" s="3"/>
      <c r="R42" s="3"/>
      <c r="S42" s="3"/>
      <c r="T42" s="3"/>
      <c r="U42" s="3"/>
      <c r="V42" s="3"/>
      <c r="W42" s="3"/>
      <c r="X42" s="3"/>
      <c r="Y42" s="3"/>
    </row>
    <row r="43" ht="15.75" customHeight="1">
      <c r="A43" s="26"/>
      <c r="B43" s="32"/>
      <c r="C43" s="32"/>
      <c r="D43" s="30"/>
      <c r="E43" s="31"/>
      <c r="F43" s="3"/>
      <c r="G43" s="3"/>
      <c r="H43" s="3"/>
      <c r="I43" s="3"/>
      <c r="J43" s="3"/>
      <c r="K43" s="3"/>
      <c r="L43" s="3"/>
      <c r="M43" s="3"/>
      <c r="N43" s="3"/>
      <c r="O43" s="3"/>
      <c r="P43" s="3"/>
      <c r="Q43" s="3"/>
      <c r="R43" s="3"/>
      <c r="S43" s="3"/>
      <c r="T43" s="3"/>
      <c r="U43" s="3"/>
      <c r="V43" s="3"/>
      <c r="W43" s="3"/>
      <c r="X43" s="3"/>
      <c r="Y43" s="3"/>
    </row>
    <row r="44" ht="15.75" customHeight="1">
      <c r="A44" s="26"/>
      <c r="B44" s="32"/>
      <c r="C44" s="32"/>
      <c r="D44" s="30"/>
      <c r="E44" s="31"/>
      <c r="F44" s="3"/>
      <c r="G44" s="3"/>
      <c r="H44" s="3"/>
      <c r="I44" s="3"/>
      <c r="J44" s="3"/>
      <c r="K44" s="3"/>
      <c r="L44" s="3"/>
      <c r="M44" s="3"/>
      <c r="N44" s="3"/>
      <c r="O44" s="3"/>
      <c r="P44" s="3"/>
      <c r="Q44" s="3"/>
      <c r="R44" s="3"/>
      <c r="S44" s="3"/>
      <c r="T44" s="3"/>
      <c r="U44" s="3"/>
      <c r="V44" s="3"/>
      <c r="W44" s="3"/>
      <c r="X44" s="3"/>
      <c r="Y44" s="3"/>
    </row>
    <row r="45" ht="15.75" customHeight="1">
      <c r="A45" s="26"/>
      <c r="B45" s="32"/>
      <c r="C45" s="32"/>
      <c r="D45" s="30"/>
      <c r="E45" s="31"/>
      <c r="F45" s="3"/>
      <c r="G45" s="3"/>
      <c r="H45" s="3"/>
      <c r="I45" s="3"/>
      <c r="J45" s="3"/>
      <c r="K45" s="3"/>
      <c r="L45" s="3"/>
      <c r="M45" s="3"/>
      <c r="N45" s="3"/>
      <c r="O45" s="3"/>
      <c r="P45" s="3"/>
      <c r="Q45" s="3"/>
      <c r="R45" s="3"/>
      <c r="S45" s="3"/>
      <c r="T45" s="3"/>
      <c r="U45" s="3"/>
      <c r="V45" s="3"/>
      <c r="W45" s="3"/>
      <c r="X45" s="3"/>
      <c r="Y45" s="3"/>
    </row>
    <row r="46" ht="15.75" customHeight="1">
      <c r="A46" s="26"/>
      <c r="B46" s="32"/>
      <c r="C46" s="32"/>
      <c r="D46" s="30"/>
      <c r="E46" s="31"/>
      <c r="F46" s="3"/>
      <c r="G46" s="3"/>
      <c r="H46" s="3"/>
      <c r="I46" s="3"/>
      <c r="J46" s="3"/>
      <c r="K46" s="3"/>
      <c r="L46" s="3"/>
      <c r="M46" s="3"/>
      <c r="N46" s="3"/>
      <c r="O46" s="3"/>
      <c r="P46" s="3"/>
      <c r="Q46" s="3"/>
      <c r="R46" s="3"/>
      <c r="S46" s="3"/>
      <c r="T46" s="3"/>
      <c r="U46" s="3"/>
      <c r="V46" s="3"/>
      <c r="W46" s="3"/>
      <c r="X46" s="3"/>
      <c r="Y46" s="3"/>
    </row>
    <row r="47" ht="15.75" customHeight="1">
      <c r="A47" s="26"/>
      <c r="B47" s="32"/>
      <c r="C47" s="32"/>
      <c r="D47" s="30"/>
      <c r="E47" s="31"/>
      <c r="F47" s="3"/>
      <c r="G47" s="3"/>
      <c r="H47" s="3"/>
      <c r="I47" s="3"/>
      <c r="J47" s="3"/>
      <c r="K47" s="3"/>
      <c r="L47" s="3"/>
      <c r="M47" s="3"/>
      <c r="N47" s="3"/>
      <c r="O47" s="3"/>
      <c r="P47" s="3"/>
      <c r="Q47" s="3"/>
      <c r="R47" s="3"/>
      <c r="S47" s="3"/>
      <c r="T47" s="3"/>
      <c r="U47" s="3"/>
      <c r="V47" s="3"/>
      <c r="W47" s="3"/>
      <c r="X47" s="3"/>
      <c r="Y47" s="3"/>
    </row>
    <row r="48" ht="15.75" customHeight="1">
      <c r="A48" s="26"/>
      <c r="B48" s="32"/>
      <c r="C48" s="32"/>
      <c r="D48" s="30"/>
      <c r="E48" s="31"/>
      <c r="F48" s="3"/>
      <c r="G48" s="3"/>
      <c r="H48" s="3"/>
      <c r="I48" s="3"/>
      <c r="J48" s="3"/>
      <c r="K48" s="3"/>
      <c r="L48" s="3"/>
      <c r="M48" s="3"/>
      <c r="N48" s="3"/>
      <c r="O48" s="3"/>
      <c r="P48" s="3"/>
      <c r="Q48" s="3"/>
      <c r="R48" s="3"/>
      <c r="S48" s="3"/>
      <c r="T48" s="3"/>
      <c r="U48" s="3"/>
      <c r="V48" s="3"/>
      <c r="W48" s="3"/>
      <c r="X48" s="3"/>
      <c r="Y48" s="3"/>
    </row>
    <row r="49" ht="15.75" customHeight="1">
      <c r="A49" s="26"/>
      <c r="B49" s="32"/>
      <c r="C49" s="32"/>
      <c r="D49" s="30"/>
      <c r="E49" s="31"/>
      <c r="F49" s="3"/>
      <c r="G49" s="3"/>
      <c r="H49" s="3"/>
      <c r="I49" s="3"/>
      <c r="J49" s="3"/>
      <c r="K49" s="3"/>
      <c r="L49" s="3"/>
      <c r="M49" s="3"/>
      <c r="N49" s="3"/>
      <c r="O49" s="3"/>
      <c r="P49" s="3"/>
      <c r="Q49" s="3"/>
      <c r="R49" s="3"/>
      <c r="S49" s="3"/>
      <c r="T49" s="3"/>
      <c r="U49" s="3"/>
      <c r="V49" s="3"/>
      <c r="W49" s="3"/>
      <c r="X49" s="3"/>
      <c r="Y49" s="3"/>
    </row>
    <row r="50" ht="15.75" customHeight="1">
      <c r="A50" s="26"/>
      <c r="B50" s="32"/>
      <c r="C50" s="32"/>
      <c r="D50" s="30"/>
      <c r="E50" s="31"/>
      <c r="F50" s="3"/>
      <c r="G50" s="3"/>
      <c r="H50" s="3"/>
      <c r="I50" s="3"/>
      <c r="J50" s="3"/>
      <c r="K50" s="3"/>
      <c r="L50" s="3"/>
      <c r="M50" s="3"/>
      <c r="N50" s="3"/>
      <c r="O50" s="3"/>
      <c r="P50" s="3"/>
      <c r="Q50" s="3"/>
      <c r="R50" s="3"/>
      <c r="S50" s="3"/>
      <c r="T50" s="3"/>
      <c r="U50" s="3"/>
      <c r="V50" s="3"/>
      <c r="W50" s="3"/>
      <c r="X50" s="3"/>
      <c r="Y50" s="3"/>
    </row>
    <row r="51" ht="15.75" customHeight="1">
      <c r="A51" s="26"/>
      <c r="B51" s="32"/>
      <c r="C51" s="32"/>
      <c r="D51" s="30"/>
      <c r="E51" s="31"/>
      <c r="F51" s="3"/>
      <c r="G51" s="3"/>
      <c r="H51" s="3"/>
      <c r="I51" s="3"/>
      <c r="J51" s="3"/>
      <c r="K51" s="3"/>
      <c r="L51" s="3"/>
      <c r="M51" s="3"/>
      <c r="N51" s="3"/>
      <c r="O51" s="3"/>
      <c r="P51" s="3"/>
      <c r="Q51" s="3"/>
      <c r="R51" s="3"/>
      <c r="S51" s="3"/>
      <c r="T51" s="3"/>
      <c r="U51" s="3"/>
      <c r="V51" s="3"/>
      <c r="W51" s="3"/>
      <c r="X51" s="3"/>
      <c r="Y51" s="3"/>
    </row>
    <row r="52" ht="15.75" customHeight="1">
      <c r="A52" s="26"/>
      <c r="B52" s="32"/>
      <c r="C52" s="32"/>
      <c r="D52" s="30"/>
      <c r="E52" s="31"/>
      <c r="F52" s="3"/>
      <c r="G52" s="3"/>
      <c r="H52" s="3"/>
      <c r="I52" s="3"/>
      <c r="J52" s="3"/>
      <c r="K52" s="3"/>
      <c r="L52" s="3"/>
      <c r="M52" s="3"/>
      <c r="N52" s="3"/>
      <c r="O52" s="3"/>
      <c r="P52" s="3"/>
      <c r="Q52" s="3"/>
      <c r="R52" s="3"/>
      <c r="S52" s="3"/>
      <c r="T52" s="3"/>
      <c r="U52" s="3"/>
      <c r="V52" s="3"/>
      <c r="W52" s="3"/>
      <c r="X52" s="3"/>
      <c r="Y52" s="3"/>
    </row>
    <row r="53" ht="15.75" customHeight="1">
      <c r="A53" s="26"/>
      <c r="B53" s="32"/>
      <c r="C53" s="32"/>
      <c r="D53" s="30"/>
      <c r="E53" s="31"/>
      <c r="F53" s="3"/>
      <c r="G53" s="3"/>
      <c r="H53" s="3"/>
      <c r="I53" s="3"/>
      <c r="J53" s="3"/>
      <c r="K53" s="3"/>
      <c r="L53" s="3"/>
      <c r="M53" s="3"/>
      <c r="N53" s="3"/>
      <c r="O53" s="3"/>
      <c r="P53" s="3"/>
      <c r="Q53" s="3"/>
      <c r="R53" s="3"/>
      <c r="S53" s="3"/>
      <c r="T53" s="3"/>
      <c r="U53" s="3"/>
      <c r="V53" s="3"/>
      <c r="W53" s="3"/>
      <c r="X53" s="3"/>
      <c r="Y53" s="3"/>
    </row>
    <row r="54" ht="15.75" customHeight="1">
      <c r="A54" s="26"/>
      <c r="B54" s="32"/>
      <c r="C54" s="32"/>
      <c r="D54" s="30"/>
      <c r="E54" s="31"/>
      <c r="F54" s="3"/>
      <c r="G54" s="3"/>
      <c r="H54" s="3"/>
      <c r="I54" s="3"/>
      <c r="J54" s="3"/>
      <c r="K54" s="3"/>
      <c r="L54" s="3"/>
      <c r="M54" s="3"/>
      <c r="N54" s="3"/>
      <c r="O54" s="3"/>
      <c r="P54" s="3"/>
      <c r="Q54" s="3"/>
      <c r="R54" s="3"/>
      <c r="S54" s="3"/>
      <c r="T54" s="3"/>
      <c r="U54" s="3"/>
      <c r="V54" s="3"/>
      <c r="W54" s="3"/>
      <c r="X54" s="3"/>
      <c r="Y54" s="3"/>
    </row>
    <row r="55" ht="15.75" customHeight="1">
      <c r="A55" s="26"/>
      <c r="B55" s="32"/>
      <c r="C55" s="32"/>
      <c r="D55" s="30"/>
      <c r="E55" s="31"/>
      <c r="F55" s="3"/>
      <c r="G55" s="3"/>
      <c r="H55" s="3"/>
      <c r="I55" s="3"/>
      <c r="J55" s="3"/>
      <c r="K55" s="3"/>
      <c r="L55" s="3"/>
      <c r="M55" s="3"/>
      <c r="N55" s="3"/>
      <c r="O55" s="3"/>
      <c r="P55" s="3"/>
      <c r="Q55" s="3"/>
      <c r="R55" s="3"/>
      <c r="S55" s="3"/>
      <c r="T55" s="3"/>
      <c r="U55" s="3"/>
      <c r="V55" s="3"/>
      <c r="W55" s="3"/>
      <c r="X55" s="3"/>
      <c r="Y55" s="3"/>
    </row>
    <row r="56" ht="15.75" customHeight="1">
      <c r="A56" s="26"/>
      <c r="B56" s="32"/>
      <c r="C56" s="32"/>
      <c r="D56" s="30"/>
      <c r="E56" s="31"/>
      <c r="F56" s="3"/>
      <c r="G56" s="3"/>
      <c r="H56" s="3"/>
      <c r="I56" s="3"/>
      <c r="J56" s="3"/>
      <c r="K56" s="3"/>
      <c r="L56" s="3"/>
      <c r="M56" s="3"/>
      <c r="N56" s="3"/>
      <c r="O56" s="3"/>
      <c r="P56" s="3"/>
      <c r="Q56" s="3"/>
      <c r="R56" s="3"/>
      <c r="S56" s="3"/>
      <c r="T56" s="3"/>
      <c r="U56" s="3"/>
      <c r="V56" s="3"/>
      <c r="W56" s="3"/>
      <c r="X56" s="3"/>
      <c r="Y56" s="3"/>
    </row>
    <row r="57" ht="15.75" customHeight="1">
      <c r="A57" s="26"/>
      <c r="B57" s="32"/>
      <c r="C57" s="32"/>
      <c r="D57" s="30"/>
      <c r="E57" s="31"/>
      <c r="F57" s="3"/>
      <c r="G57" s="3"/>
      <c r="H57" s="3"/>
      <c r="I57" s="3"/>
      <c r="J57" s="3"/>
      <c r="K57" s="3"/>
      <c r="L57" s="3"/>
      <c r="M57" s="3"/>
      <c r="N57" s="3"/>
      <c r="O57" s="3"/>
      <c r="P57" s="3"/>
      <c r="Q57" s="3"/>
      <c r="R57" s="3"/>
      <c r="S57" s="3"/>
      <c r="T57" s="3"/>
      <c r="U57" s="3"/>
      <c r="V57" s="3"/>
      <c r="W57" s="3"/>
      <c r="X57" s="3"/>
      <c r="Y57" s="3"/>
    </row>
    <row r="58" ht="15.75" customHeight="1">
      <c r="A58" s="26"/>
      <c r="B58" s="32"/>
      <c r="C58" s="32"/>
      <c r="D58" s="30"/>
      <c r="E58" s="31"/>
      <c r="F58" s="3"/>
      <c r="G58" s="3"/>
      <c r="H58" s="3"/>
      <c r="I58" s="3"/>
      <c r="J58" s="3"/>
      <c r="K58" s="3"/>
      <c r="L58" s="3"/>
      <c r="M58" s="3"/>
      <c r="N58" s="3"/>
      <c r="O58" s="3"/>
      <c r="P58" s="3"/>
      <c r="Q58" s="3"/>
      <c r="R58" s="3"/>
      <c r="S58" s="3"/>
      <c r="T58" s="3"/>
      <c r="U58" s="3"/>
      <c r="V58" s="3"/>
      <c r="W58" s="3"/>
      <c r="X58" s="3"/>
      <c r="Y58" s="3"/>
    </row>
    <row r="59" ht="15.75" customHeight="1">
      <c r="A59" s="26"/>
      <c r="B59" s="32"/>
      <c r="C59" s="32"/>
      <c r="D59" s="30"/>
      <c r="E59" s="31"/>
      <c r="F59" s="3"/>
      <c r="G59" s="3"/>
      <c r="H59" s="3"/>
      <c r="I59" s="3"/>
      <c r="J59" s="3"/>
      <c r="K59" s="3"/>
      <c r="L59" s="3"/>
      <c r="M59" s="3"/>
      <c r="N59" s="3"/>
      <c r="O59" s="3"/>
      <c r="P59" s="3"/>
      <c r="Q59" s="3"/>
      <c r="R59" s="3"/>
      <c r="S59" s="3"/>
      <c r="T59" s="3"/>
      <c r="U59" s="3"/>
      <c r="V59" s="3"/>
      <c r="W59" s="3"/>
      <c r="X59" s="3"/>
      <c r="Y59" s="3"/>
    </row>
    <row r="60" ht="15.75" customHeight="1">
      <c r="A60" s="26"/>
      <c r="B60" s="32"/>
      <c r="C60" s="32"/>
      <c r="D60" s="30"/>
      <c r="E60" s="31"/>
      <c r="F60" s="3"/>
      <c r="G60" s="3"/>
      <c r="H60" s="3"/>
      <c r="I60" s="3"/>
      <c r="J60" s="3"/>
      <c r="K60" s="3"/>
      <c r="L60" s="3"/>
      <c r="M60" s="3"/>
      <c r="N60" s="3"/>
      <c r="O60" s="3"/>
      <c r="P60" s="3"/>
      <c r="Q60" s="3"/>
      <c r="R60" s="3"/>
      <c r="S60" s="3"/>
      <c r="T60" s="3"/>
      <c r="U60" s="3"/>
      <c r="V60" s="3"/>
      <c r="W60" s="3"/>
      <c r="X60" s="3"/>
      <c r="Y60" s="3"/>
    </row>
    <row r="61" ht="15.75" customHeight="1">
      <c r="A61" s="26"/>
      <c r="B61" s="32"/>
      <c r="C61" s="32"/>
      <c r="D61" s="30"/>
      <c r="E61" s="31"/>
      <c r="F61" s="3"/>
      <c r="G61" s="3"/>
      <c r="H61" s="3"/>
      <c r="I61" s="3"/>
      <c r="J61" s="3"/>
      <c r="K61" s="3"/>
      <c r="L61" s="3"/>
      <c r="M61" s="3"/>
      <c r="N61" s="3"/>
      <c r="O61" s="3"/>
      <c r="P61" s="3"/>
      <c r="Q61" s="3"/>
      <c r="R61" s="3"/>
      <c r="S61" s="3"/>
      <c r="T61" s="3"/>
      <c r="U61" s="3"/>
      <c r="V61" s="3"/>
      <c r="W61" s="3"/>
      <c r="X61" s="3"/>
      <c r="Y61" s="3"/>
    </row>
    <row r="62" ht="15.75" customHeight="1">
      <c r="A62" s="26"/>
      <c r="B62" s="32"/>
      <c r="C62" s="32"/>
      <c r="D62" s="30"/>
      <c r="E62" s="31"/>
      <c r="F62" s="3"/>
      <c r="G62" s="3"/>
      <c r="H62" s="3"/>
      <c r="I62" s="3"/>
      <c r="J62" s="3"/>
      <c r="K62" s="3"/>
      <c r="L62" s="3"/>
      <c r="M62" s="3"/>
      <c r="N62" s="3"/>
      <c r="O62" s="3"/>
      <c r="P62" s="3"/>
      <c r="Q62" s="3"/>
      <c r="R62" s="3"/>
      <c r="S62" s="3"/>
      <c r="T62" s="3"/>
      <c r="U62" s="3"/>
      <c r="V62" s="3"/>
      <c r="W62" s="3"/>
      <c r="X62" s="3"/>
      <c r="Y62" s="3"/>
    </row>
    <row r="63" ht="15.75" customHeight="1">
      <c r="A63" s="26"/>
      <c r="B63" s="32"/>
      <c r="C63" s="32"/>
      <c r="D63" s="30"/>
      <c r="E63" s="31"/>
      <c r="F63" s="3"/>
      <c r="G63" s="3"/>
      <c r="H63" s="3"/>
      <c r="I63" s="3"/>
      <c r="J63" s="3"/>
      <c r="K63" s="3"/>
      <c r="L63" s="3"/>
      <c r="M63" s="3"/>
      <c r="N63" s="3"/>
      <c r="O63" s="3"/>
      <c r="P63" s="3"/>
      <c r="Q63" s="3"/>
      <c r="R63" s="3"/>
      <c r="S63" s="3"/>
      <c r="T63" s="3"/>
      <c r="U63" s="3"/>
      <c r="V63" s="3"/>
      <c r="W63" s="3"/>
      <c r="X63" s="3"/>
      <c r="Y63" s="3"/>
    </row>
    <row r="64" ht="15.75" customHeight="1">
      <c r="A64" s="26"/>
      <c r="B64" s="32"/>
      <c r="C64" s="32"/>
      <c r="D64" s="30"/>
      <c r="E64" s="31"/>
      <c r="F64" s="3"/>
      <c r="G64" s="3"/>
      <c r="H64" s="3"/>
      <c r="I64" s="3"/>
      <c r="J64" s="3"/>
      <c r="K64" s="3"/>
      <c r="L64" s="3"/>
      <c r="M64" s="3"/>
      <c r="N64" s="3"/>
      <c r="O64" s="3"/>
      <c r="P64" s="3"/>
      <c r="Q64" s="3"/>
      <c r="R64" s="3"/>
      <c r="S64" s="3"/>
      <c r="T64" s="3"/>
      <c r="U64" s="3"/>
      <c r="V64" s="3"/>
      <c r="W64" s="3"/>
      <c r="X64" s="3"/>
      <c r="Y64" s="3"/>
    </row>
    <row r="65" ht="15.75" customHeight="1">
      <c r="A65" s="26"/>
      <c r="B65" s="32"/>
      <c r="C65" s="32"/>
      <c r="D65" s="30"/>
      <c r="E65" s="31"/>
      <c r="F65" s="3"/>
      <c r="G65" s="3"/>
      <c r="H65" s="3"/>
      <c r="I65" s="3"/>
      <c r="J65" s="3"/>
      <c r="K65" s="3"/>
      <c r="L65" s="3"/>
      <c r="M65" s="3"/>
      <c r="N65" s="3"/>
      <c r="O65" s="3"/>
      <c r="P65" s="3"/>
      <c r="Q65" s="3"/>
      <c r="R65" s="3"/>
      <c r="S65" s="3"/>
      <c r="T65" s="3"/>
      <c r="U65" s="3"/>
      <c r="V65" s="3"/>
      <c r="W65" s="3"/>
      <c r="X65" s="3"/>
      <c r="Y65" s="3"/>
    </row>
    <row r="66" ht="15.75" customHeight="1">
      <c r="A66" s="26"/>
      <c r="B66" s="32"/>
      <c r="C66" s="32"/>
      <c r="D66" s="30"/>
      <c r="E66" s="31"/>
      <c r="F66" s="3"/>
      <c r="G66" s="3"/>
      <c r="H66" s="3"/>
      <c r="I66" s="3"/>
      <c r="J66" s="3"/>
      <c r="K66" s="3"/>
      <c r="L66" s="3"/>
      <c r="M66" s="3"/>
      <c r="N66" s="3"/>
      <c r="O66" s="3"/>
      <c r="P66" s="3"/>
      <c r="Q66" s="3"/>
      <c r="R66" s="3"/>
      <c r="S66" s="3"/>
      <c r="T66" s="3"/>
      <c r="U66" s="3"/>
      <c r="V66" s="3"/>
      <c r="W66" s="3"/>
      <c r="X66" s="3"/>
      <c r="Y66" s="3"/>
    </row>
    <row r="67" ht="15.75" customHeight="1">
      <c r="A67" s="26"/>
      <c r="B67" s="32"/>
      <c r="C67" s="32"/>
      <c r="D67" s="30"/>
      <c r="E67" s="31"/>
      <c r="F67" s="3"/>
      <c r="G67" s="3"/>
      <c r="H67" s="3"/>
      <c r="I67" s="3"/>
      <c r="J67" s="3"/>
      <c r="K67" s="3"/>
      <c r="L67" s="3"/>
      <c r="M67" s="3"/>
      <c r="N67" s="3"/>
      <c r="O67" s="3"/>
      <c r="P67" s="3"/>
      <c r="Q67" s="3"/>
      <c r="R67" s="3"/>
      <c r="S67" s="3"/>
      <c r="T67" s="3"/>
      <c r="U67" s="3"/>
      <c r="V67" s="3"/>
      <c r="W67" s="3"/>
      <c r="X67" s="3"/>
      <c r="Y67" s="3"/>
    </row>
    <row r="68" ht="15.75" customHeight="1">
      <c r="A68" s="26"/>
      <c r="B68" s="32"/>
      <c r="C68" s="32"/>
      <c r="D68" s="30"/>
      <c r="E68" s="31"/>
      <c r="F68" s="3"/>
      <c r="G68" s="3"/>
      <c r="H68" s="3"/>
      <c r="I68" s="3"/>
      <c r="J68" s="3"/>
      <c r="K68" s="3"/>
      <c r="L68" s="3"/>
      <c r="M68" s="3"/>
      <c r="N68" s="3"/>
      <c r="O68" s="3"/>
      <c r="P68" s="3"/>
      <c r="Q68" s="3"/>
      <c r="R68" s="3"/>
      <c r="S68" s="3"/>
      <c r="T68" s="3"/>
      <c r="U68" s="3"/>
      <c r="V68" s="3"/>
      <c r="W68" s="3"/>
      <c r="X68" s="3"/>
      <c r="Y68" s="3"/>
    </row>
    <row r="69" ht="15.75" customHeight="1">
      <c r="A69" s="26"/>
      <c r="B69" s="32"/>
      <c r="C69" s="32"/>
      <c r="D69" s="30"/>
      <c r="E69" s="31"/>
      <c r="F69" s="3"/>
      <c r="G69" s="3"/>
      <c r="H69" s="3"/>
      <c r="I69" s="3"/>
      <c r="J69" s="3"/>
      <c r="K69" s="3"/>
      <c r="L69" s="3"/>
      <c r="M69" s="3"/>
      <c r="N69" s="3"/>
      <c r="O69" s="3"/>
      <c r="P69" s="3"/>
      <c r="Q69" s="3"/>
      <c r="R69" s="3"/>
      <c r="S69" s="3"/>
      <c r="T69" s="3"/>
      <c r="U69" s="3"/>
      <c r="V69" s="3"/>
      <c r="W69" s="3"/>
      <c r="X69" s="3"/>
      <c r="Y69" s="3"/>
    </row>
    <row r="70" ht="15.75" customHeight="1">
      <c r="A70" s="26"/>
      <c r="B70" s="32"/>
      <c r="C70" s="32"/>
      <c r="D70" s="30"/>
      <c r="E70" s="31"/>
      <c r="F70" s="3"/>
      <c r="G70" s="3"/>
      <c r="H70" s="3"/>
      <c r="I70" s="3"/>
      <c r="J70" s="3"/>
      <c r="K70" s="3"/>
      <c r="L70" s="3"/>
      <c r="M70" s="3"/>
      <c r="N70" s="3"/>
      <c r="O70" s="3"/>
      <c r="P70" s="3"/>
      <c r="Q70" s="3"/>
      <c r="R70" s="3"/>
      <c r="S70" s="3"/>
      <c r="T70" s="3"/>
      <c r="U70" s="3"/>
      <c r="V70" s="3"/>
      <c r="W70" s="3"/>
      <c r="X70" s="3"/>
      <c r="Y70" s="3"/>
    </row>
    <row r="71" ht="15.75" customHeight="1">
      <c r="A71" s="26"/>
      <c r="B71" s="32"/>
      <c r="C71" s="32"/>
      <c r="D71" s="30"/>
      <c r="E71" s="31"/>
      <c r="F71" s="3"/>
      <c r="G71" s="3"/>
      <c r="H71" s="3"/>
      <c r="I71" s="3"/>
      <c r="J71" s="3"/>
      <c r="K71" s="3"/>
      <c r="L71" s="3"/>
      <c r="M71" s="3"/>
      <c r="N71" s="3"/>
      <c r="O71" s="3"/>
      <c r="P71" s="3"/>
      <c r="Q71" s="3"/>
      <c r="R71" s="3"/>
      <c r="S71" s="3"/>
      <c r="T71" s="3"/>
      <c r="U71" s="3"/>
      <c r="V71" s="3"/>
      <c r="W71" s="3"/>
      <c r="X71" s="3"/>
      <c r="Y71" s="3"/>
    </row>
    <row r="72" ht="15.75" customHeight="1">
      <c r="A72" s="26"/>
      <c r="B72" s="32"/>
      <c r="C72" s="32"/>
      <c r="D72" s="30"/>
      <c r="E72" s="31"/>
      <c r="F72" s="3"/>
      <c r="G72" s="3"/>
      <c r="H72" s="3"/>
      <c r="I72" s="3"/>
      <c r="J72" s="3"/>
      <c r="K72" s="3"/>
      <c r="L72" s="3"/>
      <c r="M72" s="3"/>
      <c r="N72" s="3"/>
      <c r="O72" s="3"/>
      <c r="P72" s="3"/>
      <c r="Q72" s="3"/>
      <c r="R72" s="3"/>
      <c r="S72" s="3"/>
      <c r="T72" s="3"/>
      <c r="U72" s="3"/>
      <c r="V72" s="3"/>
      <c r="W72" s="3"/>
      <c r="X72" s="3"/>
      <c r="Y72" s="3"/>
    </row>
    <row r="73" ht="15.75" customHeight="1">
      <c r="A73" s="26"/>
      <c r="B73" s="32"/>
      <c r="C73" s="32"/>
      <c r="D73" s="30"/>
      <c r="E73" s="31"/>
      <c r="F73" s="3"/>
      <c r="G73" s="3"/>
      <c r="H73" s="3"/>
      <c r="I73" s="3"/>
      <c r="J73" s="3"/>
      <c r="K73" s="3"/>
      <c r="L73" s="3"/>
      <c r="M73" s="3"/>
      <c r="N73" s="3"/>
      <c r="O73" s="3"/>
      <c r="P73" s="3"/>
      <c r="Q73" s="3"/>
      <c r="R73" s="3"/>
      <c r="S73" s="3"/>
      <c r="T73" s="3"/>
      <c r="U73" s="3"/>
      <c r="V73" s="3"/>
      <c r="W73" s="3"/>
      <c r="X73" s="3"/>
      <c r="Y73" s="3"/>
    </row>
    <row r="74" ht="15.75" customHeight="1">
      <c r="A74" s="26"/>
      <c r="B74" s="32"/>
      <c r="C74" s="32"/>
      <c r="D74" s="30"/>
      <c r="E74" s="31"/>
      <c r="F74" s="3"/>
      <c r="G74" s="3"/>
      <c r="H74" s="3"/>
      <c r="I74" s="3"/>
      <c r="J74" s="3"/>
      <c r="K74" s="3"/>
      <c r="L74" s="3"/>
      <c r="M74" s="3"/>
      <c r="N74" s="3"/>
      <c r="O74" s="3"/>
      <c r="P74" s="3"/>
      <c r="Q74" s="3"/>
      <c r="R74" s="3"/>
      <c r="S74" s="3"/>
      <c r="T74" s="3"/>
      <c r="U74" s="3"/>
      <c r="V74" s="3"/>
      <c r="W74" s="3"/>
      <c r="X74" s="3"/>
      <c r="Y74" s="3"/>
    </row>
    <row r="75" ht="15.75" customHeight="1">
      <c r="A75" s="26"/>
      <c r="B75" s="32"/>
      <c r="C75" s="32"/>
      <c r="D75" s="30"/>
      <c r="E75" s="31"/>
      <c r="F75" s="3"/>
      <c r="G75" s="3"/>
      <c r="H75" s="3"/>
      <c r="I75" s="3"/>
      <c r="J75" s="3"/>
      <c r="K75" s="3"/>
      <c r="L75" s="3"/>
      <c r="M75" s="3"/>
      <c r="N75" s="3"/>
      <c r="O75" s="3"/>
      <c r="P75" s="3"/>
      <c r="Q75" s="3"/>
      <c r="R75" s="3"/>
      <c r="S75" s="3"/>
      <c r="T75" s="3"/>
      <c r="U75" s="3"/>
      <c r="V75" s="3"/>
      <c r="W75" s="3"/>
      <c r="X75" s="3"/>
      <c r="Y75" s="3"/>
    </row>
    <row r="76" ht="15.75" customHeight="1">
      <c r="A76" s="26"/>
      <c r="B76" s="32"/>
      <c r="C76" s="32"/>
      <c r="D76" s="30"/>
      <c r="E76" s="31"/>
      <c r="F76" s="3"/>
      <c r="G76" s="3"/>
      <c r="H76" s="3"/>
      <c r="I76" s="3"/>
      <c r="J76" s="3"/>
      <c r="K76" s="3"/>
      <c r="L76" s="3"/>
      <c r="M76" s="3"/>
      <c r="N76" s="3"/>
      <c r="O76" s="3"/>
      <c r="P76" s="3"/>
      <c r="Q76" s="3"/>
      <c r="R76" s="3"/>
      <c r="S76" s="3"/>
      <c r="T76" s="3"/>
      <c r="U76" s="3"/>
      <c r="V76" s="3"/>
      <c r="W76" s="3"/>
      <c r="X76" s="3"/>
      <c r="Y76" s="3"/>
    </row>
    <row r="77" ht="15.75" customHeight="1">
      <c r="A77" s="26"/>
      <c r="B77" s="32"/>
      <c r="C77" s="32"/>
      <c r="D77" s="30"/>
      <c r="E77" s="31"/>
      <c r="F77" s="3"/>
      <c r="G77" s="3"/>
      <c r="H77" s="3"/>
      <c r="I77" s="3"/>
      <c r="J77" s="3"/>
      <c r="K77" s="3"/>
      <c r="L77" s="3"/>
      <c r="M77" s="3"/>
      <c r="N77" s="3"/>
      <c r="O77" s="3"/>
      <c r="P77" s="3"/>
      <c r="Q77" s="3"/>
      <c r="R77" s="3"/>
      <c r="S77" s="3"/>
      <c r="T77" s="3"/>
      <c r="U77" s="3"/>
      <c r="V77" s="3"/>
      <c r="W77" s="3"/>
      <c r="X77" s="3"/>
      <c r="Y77" s="3"/>
    </row>
    <row r="78" ht="15.75" customHeight="1">
      <c r="A78" s="26"/>
      <c r="B78" s="32"/>
      <c r="C78" s="32"/>
      <c r="D78" s="30"/>
      <c r="E78" s="31"/>
      <c r="F78" s="3"/>
      <c r="G78" s="3"/>
      <c r="H78" s="3"/>
      <c r="I78" s="3"/>
      <c r="J78" s="3"/>
      <c r="K78" s="3"/>
      <c r="L78" s="3"/>
      <c r="M78" s="3"/>
      <c r="N78" s="3"/>
      <c r="O78" s="3"/>
      <c r="P78" s="3"/>
      <c r="Q78" s="3"/>
      <c r="R78" s="3"/>
      <c r="S78" s="3"/>
      <c r="T78" s="3"/>
      <c r="U78" s="3"/>
      <c r="V78" s="3"/>
      <c r="W78" s="3"/>
      <c r="X78" s="3"/>
      <c r="Y78" s="3"/>
    </row>
    <row r="79" ht="15.75" customHeight="1">
      <c r="A79" s="26"/>
      <c r="B79" s="32"/>
      <c r="C79" s="32"/>
      <c r="D79" s="30"/>
      <c r="E79" s="31"/>
      <c r="F79" s="3"/>
      <c r="G79" s="3"/>
      <c r="H79" s="3"/>
      <c r="I79" s="3"/>
      <c r="J79" s="3"/>
      <c r="K79" s="3"/>
      <c r="L79" s="3"/>
      <c r="M79" s="3"/>
      <c r="N79" s="3"/>
      <c r="O79" s="3"/>
      <c r="P79" s="3"/>
      <c r="Q79" s="3"/>
      <c r="R79" s="3"/>
      <c r="S79" s="3"/>
      <c r="T79" s="3"/>
      <c r="U79" s="3"/>
      <c r="V79" s="3"/>
      <c r="W79" s="3"/>
      <c r="X79" s="3"/>
      <c r="Y79" s="3"/>
    </row>
    <row r="80" ht="15.75" customHeight="1">
      <c r="A80" s="26"/>
      <c r="B80" s="32"/>
      <c r="C80" s="32"/>
      <c r="D80" s="30"/>
      <c r="E80" s="31"/>
      <c r="F80" s="3"/>
      <c r="G80" s="3"/>
      <c r="H80" s="3"/>
      <c r="I80" s="3"/>
      <c r="J80" s="3"/>
      <c r="K80" s="3"/>
      <c r="L80" s="3"/>
      <c r="M80" s="3"/>
      <c r="N80" s="3"/>
      <c r="O80" s="3"/>
      <c r="P80" s="3"/>
      <c r="Q80" s="3"/>
      <c r="R80" s="3"/>
      <c r="S80" s="3"/>
      <c r="T80" s="3"/>
      <c r="U80" s="3"/>
      <c r="V80" s="3"/>
      <c r="W80" s="3"/>
      <c r="X80" s="3"/>
      <c r="Y80" s="3"/>
    </row>
    <row r="81" ht="15.75" customHeight="1">
      <c r="A81" s="26"/>
      <c r="B81" s="32"/>
      <c r="C81" s="32"/>
      <c r="D81" s="30"/>
      <c r="E81" s="31"/>
      <c r="F81" s="3"/>
      <c r="G81" s="3"/>
      <c r="H81" s="3"/>
      <c r="I81" s="3"/>
      <c r="J81" s="3"/>
      <c r="K81" s="3"/>
      <c r="L81" s="3"/>
      <c r="M81" s="3"/>
      <c r="N81" s="3"/>
      <c r="O81" s="3"/>
      <c r="P81" s="3"/>
      <c r="Q81" s="3"/>
      <c r="R81" s="3"/>
      <c r="S81" s="3"/>
      <c r="T81" s="3"/>
      <c r="U81" s="3"/>
      <c r="V81" s="3"/>
      <c r="W81" s="3"/>
      <c r="X81" s="3"/>
      <c r="Y81" s="3"/>
    </row>
    <row r="82" ht="15.75" customHeight="1">
      <c r="A82" s="26"/>
      <c r="B82" s="32"/>
      <c r="C82" s="32"/>
      <c r="D82" s="30"/>
      <c r="E82" s="31"/>
      <c r="F82" s="3"/>
      <c r="G82" s="3"/>
      <c r="H82" s="3"/>
      <c r="I82" s="3"/>
      <c r="J82" s="3"/>
      <c r="K82" s="3"/>
      <c r="L82" s="3"/>
      <c r="M82" s="3"/>
      <c r="N82" s="3"/>
      <c r="O82" s="3"/>
      <c r="P82" s="3"/>
      <c r="Q82" s="3"/>
      <c r="R82" s="3"/>
      <c r="S82" s="3"/>
      <c r="T82" s="3"/>
      <c r="U82" s="3"/>
      <c r="V82" s="3"/>
      <c r="W82" s="3"/>
      <c r="X82" s="3"/>
      <c r="Y82" s="3"/>
    </row>
    <row r="83" ht="15.75" customHeight="1">
      <c r="A83" s="26"/>
      <c r="B83" s="32"/>
      <c r="C83" s="32"/>
      <c r="D83" s="30"/>
      <c r="E83" s="31"/>
      <c r="F83" s="3"/>
      <c r="G83" s="3"/>
      <c r="H83" s="3"/>
      <c r="I83" s="3"/>
      <c r="J83" s="3"/>
      <c r="K83" s="3"/>
      <c r="L83" s="3"/>
      <c r="M83" s="3"/>
      <c r="N83" s="3"/>
      <c r="O83" s="3"/>
      <c r="P83" s="3"/>
      <c r="Q83" s="3"/>
      <c r="R83" s="3"/>
      <c r="S83" s="3"/>
      <c r="T83" s="3"/>
      <c r="U83" s="3"/>
      <c r="V83" s="3"/>
      <c r="W83" s="3"/>
      <c r="X83" s="3"/>
      <c r="Y83" s="3"/>
    </row>
    <row r="84" ht="15.75" customHeight="1">
      <c r="A84" s="26"/>
      <c r="B84" s="32"/>
      <c r="C84" s="32"/>
      <c r="D84" s="30"/>
      <c r="E84" s="31"/>
      <c r="F84" s="3"/>
      <c r="G84" s="3"/>
      <c r="H84" s="3"/>
      <c r="I84" s="3"/>
      <c r="J84" s="3"/>
      <c r="K84" s="3"/>
      <c r="L84" s="3"/>
      <c r="M84" s="3"/>
      <c r="N84" s="3"/>
      <c r="O84" s="3"/>
      <c r="P84" s="3"/>
      <c r="Q84" s="3"/>
      <c r="R84" s="3"/>
      <c r="S84" s="3"/>
      <c r="T84" s="3"/>
      <c r="U84" s="3"/>
      <c r="V84" s="3"/>
      <c r="W84" s="3"/>
      <c r="X84" s="3"/>
      <c r="Y84" s="3"/>
    </row>
    <row r="85" ht="15.75" customHeight="1">
      <c r="A85" s="26"/>
      <c r="B85" s="32"/>
      <c r="C85" s="32"/>
      <c r="D85" s="30"/>
      <c r="E85" s="31"/>
      <c r="F85" s="3"/>
      <c r="G85" s="3"/>
      <c r="H85" s="3"/>
      <c r="I85" s="3"/>
      <c r="J85" s="3"/>
      <c r="K85" s="3"/>
      <c r="L85" s="3"/>
      <c r="M85" s="3"/>
      <c r="N85" s="3"/>
      <c r="O85" s="3"/>
      <c r="P85" s="3"/>
      <c r="Q85" s="3"/>
      <c r="R85" s="3"/>
      <c r="S85" s="3"/>
      <c r="T85" s="3"/>
      <c r="U85" s="3"/>
      <c r="V85" s="3"/>
      <c r="W85" s="3"/>
      <c r="X85" s="3"/>
      <c r="Y85" s="3"/>
    </row>
    <row r="86" ht="15.75" customHeight="1">
      <c r="A86" s="26"/>
      <c r="B86" s="32"/>
      <c r="C86" s="32"/>
      <c r="D86" s="30"/>
      <c r="E86" s="31"/>
      <c r="F86" s="3"/>
      <c r="G86" s="3"/>
      <c r="H86" s="3"/>
      <c r="I86" s="3"/>
      <c r="J86" s="3"/>
      <c r="K86" s="3"/>
      <c r="L86" s="3"/>
      <c r="M86" s="3"/>
      <c r="N86" s="3"/>
      <c r="O86" s="3"/>
      <c r="P86" s="3"/>
      <c r="Q86" s="3"/>
      <c r="R86" s="3"/>
      <c r="S86" s="3"/>
      <c r="T86" s="3"/>
      <c r="U86" s="3"/>
      <c r="V86" s="3"/>
      <c r="W86" s="3"/>
      <c r="X86" s="3"/>
      <c r="Y86" s="3"/>
    </row>
    <row r="87" ht="15.75" customHeight="1">
      <c r="A87" s="26"/>
      <c r="B87" s="32"/>
      <c r="C87" s="32"/>
      <c r="D87" s="30"/>
      <c r="E87" s="31"/>
      <c r="F87" s="3"/>
      <c r="G87" s="3"/>
      <c r="H87" s="3"/>
      <c r="I87" s="3"/>
      <c r="J87" s="3"/>
      <c r="K87" s="3"/>
      <c r="L87" s="3"/>
      <c r="M87" s="3"/>
      <c r="N87" s="3"/>
      <c r="O87" s="3"/>
      <c r="P87" s="3"/>
      <c r="Q87" s="3"/>
      <c r="R87" s="3"/>
      <c r="S87" s="3"/>
      <c r="T87" s="3"/>
      <c r="U87" s="3"/>
      <c r="V87" s="3"/>
      <c r="W87" s="3"/>
      <c r="X87" s="3"/>
      <c r="Y87" s="3"/>
    </row>
    <row r="88" ht="15.75" customHeight="1">
      <c r="A88" s="26"/>
      <c r="B88" s="32"/>
      <c r="C88" s="32"/>
      <c r="D88" s="30"/>
      <c r="E88" s="31"/>
      <c r="F88" s="3"/>
      <c r="G88" s="3"/>
      <c r="H88" s="3"/>
      <c r="I88" s="3"/>
      <c r="J88" s="3"/>
      <c r="K88" s="3"/>
      <c r="L88" s="3"/>
      <c r="M88" s="3"/>
      <c r="N88" s="3"/>
      <c r="O88" s="3"/>
      <c r="P88" s="3"/>
      <c r="Q88" s="3"/>
      <c r="R88" s="3"/>
      <c r="S88" s="3"/>
      <c r="T88" s="3"/>
      <c r="U88" s="3"/>
      <c r="V88" s="3"/>
      <c r="W88" s="3"/>
      <c r="X88" s="3"/>
      <c r="Y88" s="3"/>
    </row>
    <row r="89" ht="15.75" customHeight="1">
      <c r="A89" s="26"/>
      <c r="B89" s="32"/>
      <c r="C89" s="32"/>
      <c r="D89" s="30"/>
      <c r="E89" s="31"/>
      <c r="F89" s="3"/>
      <c r="G89" s="3"/>
      <c r="H89" s="3"/>
      <c r="I89" s="3"/>
      <c r="J89" s="3"/>
      <c r="K89" s="3"/>
      <c r="L89" s="3"/>
      <c r="M89" s="3"/>
      <c r="N89" s="3"/>
      <c r="O89" s="3"/>
      <c r="P89" s="3"/>
      <c r="Q89" s="3"/>
      <c r="R89" s="3"/>
      <c r="S89" s="3"/>
      <c r="T89" s="3"/>
      <c r="U89" s="3"/>
      <c r="V89" s="3"/>
      <c r="W89" s="3"/>
      <c r="X89" s="3"/>
      <c r="Y89" s="3"/>
    </row>
    <row r="90" ht="15.75" customHeight="1">
      <c r="A90" s="26"/>
      <c r="B90" s="32"/>
      <c r="C90" s="32"/>
      <c r="D90" s="30"/>
      <c r="E90" s="31"/>
      <c r="F90" s="3"/>
      <c r="G90" s="3"/>
      <c r="H90" s="3"/>
      <c r="I90" s="3"/>
      <c r="J90" s="3"/>
      <c r="K90" s="3"/>
      <c r="L90" s="3"/>
      <c r="M90" s="3"/>
      <c r="N90" s="3"/>
      <c r="O90" s="3"/>
      <c r="P90" s="3"/>
      <c r="Q90" s="3"/>
      <c r="R90" s="3"/>
      <c r="S90" s="3"/>
      <c r="T90" s="3"/>
      <c r="U90" s="3"/>
      <c r="V90" s="3"/>
      <c r="W90" s="3"/>
      <c r="X90" s="3"/>
      <c r="Y90" s="3"/>
    </row>
    <row r="91" ht="15.75" customHeight="1">
      <c r="A91" s="26"/>
      <c r="B91" s="32"/>
      <c r="C91" s="32"/>
      <c r="D91" s="30"/>
      <c r="E91" s="31"/>
      <c r="F91" s="3"/>
      <c r="G91" s="3"/>
      <c r="H91" s="3"/>
      <c r="I91" s="3"/>
      <c r="J91" s="3"/>
      <c r="K91" s="3"/>
      <c r="L91" s="3"/>
      <c r="M91" s="3"/>
      <c r="N91" s="3"/>
      <c r="O91" s="3"/>
      <c r="P91" s="3"/>
      <c r="Q91" s="3"/>
      <c r="R91" s="3"/>
      <c r="S91" s="3"/>
      <c r="T91" s="3"/>
      <c r="U91" s="3"/>
      <c r="V91" s="3"/>
      <c r="W91" s="3"/>
      <c r="X91" s="3"/>
      <c r="Y91" s="3"/>
    </row>
    <row r="92" ht="15.75" customHeight="1">
      <c r="A92" s="26"/>
      <c r="B92" s="32"/>
      <c r="C92" s="32"/>
      <c r="D92" s="30"/>
      <c r="E92" s="31"/>
      <c r="F92" s="3"/>
      <c r="G92" s="3"/>
      <c r="H92" s="3"/>
      <c r="I92" s="3"/>
      <c r="J92" s="3"/>
      <c r="K92" s="3"/>
      <c r="L92" s="3"/>
      <c r="M92" s="3"/>
      <c r="N92" s="3"/>
      <c r="O92" s="3"/>
      <c r="P92" s="3"/>
      <c r="Q92" s="3"/>
      <c r="R92" s="3"/>
      <c r="S92" s="3"/>
      <c r="T92" s="3"/>
      <c r="U92" s="3"/>
      <c r="V92" s="3"/>
      <c r="W92" s="3"/>
      <c r="X92" s="3"/>
      <c r="Y92" s="3"/>
    </row>
    <row r="93" ht="15.75" customHeight="1">
      <c r="A93" s="26"/>
      <c r="B93" s="32"/>
      <c r="C93" s="32"/>
      <c r="D93" s="30"/>
      <c r="E93" s="31"/>
      <c r="F93" s="3"/>
      <c r="G93" s="3"/>
      <c r="H93" s="3"/>
      <c r="I93" s="3"/>
      <c r="J93" s="3"/>
      <c r="K93" s="3"/>
      <c r="L93" s="3"/>
      <c r="M93" s="3"/>
      <c r="N93" s="3"/>
      <c r="O93" s="3"/>
      <c r="P93" s="3"/>
      <c r="Q93" s="3"/>
      <c r="R93" s="3"/>
      <c r="S93" s="3"/>
      <c r="T93" s="3"/>
      <c r="U93" s="3"/>
      <c r="V93" s="3"/>
      <c r="W93" s="3"/>
      <c r="X93" s="3"/>
      <c r="Y93" s="3"/>
    </row>
    <row r="94" ht="15.75" customHeight="1">
      <c r="A94" s="26"/>
      <c r="B94" s="32"/>
      <c r="C94" s="32"/>
      <c r="D94" s="30"/>
      <c r="E94" s="31"/>
      <c r="F94" s="3"/>
      <c r="G94" s="3"/>
      <c r="H94" s="3"/>
      <c r="I94" s="3"/>
      <c r="J94" s="3"/>
      <c r="K94" s="3"/>
      <c r="L94" s="3"/>
      <c r="M94" s="3"/>
      <c r="N94" s="3"/>
      <c r="O94" s="3"/>
      <c r="P94" s="3"/>
      <c r="Q94" s="3"/>
      <c r="R94" s="3"/>
      <c r="S94" s="3"/>
      <c r="T94" s="3"/>
      <c r="U94" s="3"/>
      <c r="V94" s="3"/>
      <c r="W94" s="3"/>
      <c r="X94" s="3"/>
      <c r="Y94" s="3"/>
    </row>
    <row r="95" ht="15.75" customHeight="1">
      <c r="A95" s="26"/>
      <c r="B95" s="32"/>
      <c r="C95" s="32"/>
      <c r="D95" s="30"/>
      <c r="E95" s="31"/>
      <c r="F95" s="3"/>
      <c r="G95" s="3"/>
      <c r="H95" s="3"/>
      <c r="I95" s="3"/>
      <c r="J95" s="3"/>
      <c r="K95" s="3"/>
      <c r="L95" s="3"/>
      <c r="M95" s="3"/>
      <c r="N95" s="3"/>
      <c r="O95" s="3"/>
      <c r="P95" s="3"/>
      <c r="Q95" s="3"/>
      <c r="R95" s="3"/>
      <c r="S95" s="3"/>
      <c r="T95" s="3"/>
      <c r="U95" s="3"/>
      <c r="V95" s="3"/>
      <c r="W95" s="3"/>
      <c r="X95" s="3"/>
      <c r="Y95" s="3"/>
    </row>
    <row r="96" ht="15.75" customHeight="1">
      <c r="A96" s="26"/>
      <c r="B96" s="32"/>
      <c r="C96" s="32"/>
      <c r="D96" s="30"/>
      <c r="E96" s="31"/>
      <c r="F96" s="3"/>
      <c r="G96" s="3"/>
      <c r="H96" s="3"/>
      <c r="I96" s="3"/>
      <c r="J96" s="3"/>
      <c r="K96" s="3"/>
      <c r="L96" s="3"/>
      <c r="M96" s="3"/>
      <c r="N96" s="3"/>
      <c r="O96" s="3"/>
      <c r="P96" s="3"/>
      <c r="Q96" s="3"/>
      <c r="R96" s="3"/>
      <c r="S96" s="3"/>
      <c r="T96" s="3"/>
      <c r="U96" s="3"/>
      <c r="V96" s="3"/>
      <c r="W96" s="3"/>
      <c r="X96" s="3"/>
      <c r="Y96" s="3"/>
    </row>
    <row r="97" ht="15.75" customHeight="1">
      <c r="A97" s="26"/>
      <c r="B97" s="32"/>
      <c r="C97" s="32"/>
      <c r="D97" s="30"/>
      <c r="E97" s="31"/>
      <c r="F97" s="3"/>
      <c r="G97" s="3"/>
      <c r="H97" s="3"/>
      <c r="I97" s="3"/>
      <c r="J97" s="3"/>
      <c r="K97" s="3"/>
      <c r="L97" s="3"/>
      <c r="M97" s="3"/>
      <c r="N97" s="3"/>
      <c r="O97" s="3"/>
      <c r="P97" s="3"/>
      <c r="Q97" s="3"/>
      <c r="R97" s="3"/>
      <c r="S97" s="3"/>
      <c r="T97" s="3"/>
      <c r="U97" s="3"/>
      <c r="V97" s="3"/>
      <c r="W97" s="3"/>
      <c r="X97" s="3"/>
      <c r="Y97" s="3"/>
    </row>
    <row r="98" ht="15.75" customHeight="1">
      <c r="A98" s="26"/>
      <c r="B98" s="32"/>
      <c r="C98" s="32"/>
      <c r="D98" s="30"/>
      <c r="E98" s="31"/>
      <c r="F98" s="3"/>
      <c r="G98" s="3"/>
      <c r="H98" s="3"/>
      <c r="I98" s="3"/>
      <c r="J98" s="3"/>
      <c r="K98" s="3"/>
      <c r="L98" s="3"/>
      <c r="M98" s="3"/>
      <c r="N98" s="3"/>
      <c r="O98" s="3"/>
      <c r="P98" s="3"/>
      <c r="Q98" s="3"/>
      <c r="R98" s="3"/>
      <c r="S98" s="3"/>
      <c r="T98" s="3"/>
      <c r="U98" s="3"/>
      <c r="V98" s="3"/>
      <c r="W98" s="3"/>
      <c r="X98" s="3"/>
      <c r="Y98" s="3"/>
    </row>
    <row r="99" ht="15.75" customHeight="1">
      <c r="A99" s="26"/>
      <c r="B99" s="32"/>
      <c r="C99" s="32"/>
      <c r="D99" s="30"/>
      <c r="E99" s="31"/>
      <c r="F99" s="3"/>
      <c r="G99" s="3"/>
      <c r="H99" s="3"/>
      <c r="I99" s="3"/>
      <c r="J99" s="3"/>
      <c r="K99" s="3"/>
      <c r="L99" s="3"/>
      <c r="M99" s="3"/>
      <c r="N99" s="3"/>
      <c r="O99" s="3"/>
      <c r="P99" s="3"/>
      <c r="Q99" s="3"/>
      <c r="R99" s="3"/>
      <c r="S99" s="3"/>
      <c r="T99" s="3"/>
      <c r="U99" s="3"/>
      <c r="V99" s="3"/>
      <c r="W99" s="3"/>
      <c r="X99" s="3"/>
      <c r="Y99" s="3"/>
    </row>
    <row r="100" ht="15.75" customHeight="1">
      <c r="A100" s="26"/>
      <c r="B100" s="32"/>
      <c r="C100" s="32"/>
      <c r="D100" s="30"/>
      <c r="E100" s="31"/>
      <c r="F100" s="3"/>
      <c r="G100" s="3"/>
      <c r="H100" s="3"/>
      <c r="I100" s="3"/>
      <c r="J100" s="3"/>
      <c r="K100" s="3"/>
      <c r="L100" s="3"/>
      <c r="M100" s="3"/>
      <c r="N100" s="3"/>
      <c r="O100" s="3"/>
      <c r="P100" s="3"/>
      <c r="Q100" s="3"/>
      <c r="R100" s="3"/>
      <c r="S100" s="3"/>
      <c r="T100" s="3"/>
      <c r="U100" s="3"/>
      <c r="V100" s="3"/>
      <c r="W100" s="3"/>
      <c r="X100" s="3"/>
      <c r="Y100" s="3"/>
    </row>
    <row r="101" ht="15.75" customHeight="1">
      <c r="A101" s="26"/>
      <c r="B101" s="32"/>
      <c r="C101" s="32"/>
      <c r="D101" s="30"/>
      <c r="E101" s="31"/>
      <c r="F101" s="3"/>
      <c r="G101" s="3"/>
      <c r="H101" s="3"/>
      <c r="I101" s="3"/>
      <c r="J101" s="3"/>
      <c r="K101" s="3"/>
      <c r="L101" s="3"/>
      <c r="M101" s="3"/>
      <c r="N101" s="3"/>
      <c r="O101" s="3"/>
      <c r="P101" s="3"/>
      <c r="Q101" s="3"/>
      <c r="R101" s="3"/>
      <c r="S101" s="3"/>
      <c r="T101" s="3"/>
      <c r="U101" s="3"/>
      <c r="V101" s="3"/>
      <c r="W101" s="3"/>
      <c r="X101" s="3"/>
      <c r="Y101" s="3"/>
    </row>
    <row r="102" ht="15.75" customHeight="1">
      <c r="A102" s="26"/>
      <c r="B102" s="32"/>
      <c r="C102" s="32"/>
      <c r="D102" s="30"/>
      <c r="E102" s="31"/>
      <c r="F102" s="3"/>
      <c r="G102" s="3"/>
      <c r="H102" s="3"/>
      <c r="I102" s="3"/>
      <c r="J102" s="3"/>
      <c r="K102" s="3"/>
      <c r="L102" s="3"/>
      <c r="M102" s="3"/>
      <c r="N102" s="3"/>
      <c r="O102" s="3"/>
      <c r="P102" s="3"/>
      <c r="Q102" s="3"/>
      <c r="R102" s="3"/>
      <c r="S102" s="3"/>
      <c r="T102" s="3"/>
      <c r="U102" s="3"/>
      <c r="V102" s="3"/>
      <c r="W102" s="3"/>
      <c r="X102" s="3"/>
      <c r="Y102" s="3"/>
    </row>
    <row r="103" ht="15.75" customHeight="1">
      <c r="A103" s="26"/>
      <c r="B103" s="32"/>
      <c r="C103" s="32"/>
      <c r="D103" s="30"/>
      <c r="E103" s="31"/>
      <c r="F103" s="3"/>
      <c r="G103" s="3"/>
      <c r="H103" s="3"/>
      <c r="I103" s="3"/>
      <c r="J103" s="3"/>
      <c r="K103" s="3"/>
      <c r="L103" s="3"/>
      <c r="M103" s="3"/>
      <c r="N103" s="3"/>
      <c r="O103" s="3"/>
      <c r="P103" s="3"/>
      <c r="Q103" s="3"/>
      <c r="R103" s="3"/>
      <c r="S103" s="3"/>
      <c r="T103" s="3"/>
      <c r="U103" s="3"/>
      <c r="V103" s="3"/>
      <c r="W103" s="3"/>
      <c r="X103" s="3"/>
      <c r="Y103" s="3"/>
    </row>
    <row r="104" ht="15.75" customHeight="1">
      <c r="A104" s="26"/>
      <c r="B104" s="32"/>
      <c r="C104" s="32"/>
      <c r="D104" s="30"/>
      <c r="E104" s="31"/>
      <c r="F104" s="3"/>
      <c r="G104" s="3"/>
      <c r="H104" s="3"/>
      <c r="I104" s="3"/>
      <c r="J104" s="3"/>
      <c r="K104" s="3"/>
      <c r="L104" s="3"/>
      <c r="M104" s="3"/>
      <c r="N104" s="3"/>
      <c r="O104" s="3"/>
      <c r="P104" s="3"/>
      <c r="Q104" s="3"/>
      <c r="R104" s="3"/>
      <c r="S104" s="3"/>
      <c r="T104" s="3"/>
      <c r="U104" s="3"/>
      <c r="V104" s="3"/>
      <c r="W104" s="3"/>
      <c r="X104" s="3"/>
      <c r="Y104" s="3"/>
    </row>
    <row r="105" ht="15.75" customHeight="1">
      <c r="A105" s="26"/>
      <c r="B105" s="32"/>
      <c r="C105" s="32"/>
      <c r="D105" s="30"/>
      <c r="E105" s="31"/>
      <c r="F105" s="3"/>
      <c r="G105" s="3"/>
      <c r="H105" s="3"/>
      <c r="I105" s="3"/>
      <c r="J105" s="3"/>
      <c r="K105" s="3"/>
      <c r="L105" s="3"/>
      <c r="M105" s="3"/>
      <c r="N105" s="3"/>
      <c r="O105" s="3"/>
      <c r="P105" s="3"/>
      <c r="Q105" s="3"/>
      <c r="R105" s="3"/>
      <c r="S105" s="3"/>
      <c r="T105" s="3"/>
      <c r="U105" s="3"/>
      <c r="V105" s="3"/>
      <c r="W105" s="3"/>
      <c r="X105" s="3"/>
      <c r="Y105" s="3"/>
    </row>
    <row r="106" ht="15.75" customHeight="1">
      <c r="A106" s="26"/>
      <c r="B106" s="32"/>
      <c r="C106" s="32"/>
      <c r="D106" s="30"/>
      <c r="E106" s="31"/>
      <c r="F106" s="3"/>
      <c r="G106" s="3"/>
      <c r="H106" s="3"/>
      <c r="I106" s="3"/>
      <c r="J106" s="3"/>
      <c r="K106" s="3"/>
      <c r="L106" s="3"/>
      <c r="M106" s="3"/>
      <c r="N106" s="3"/>
      <c r="O106" s="3"/>
      <c r="P106" s="3"/>
      <c r="Q106" s="3"/>
      <c r="R106" s="3"/>
      <c r="S106" s="3"/>
      <c r="T106" s="3"/>
      <c r="U106" s="3"/>
      <c r="V106" s="3"/>
      <c r="W106" s="3"/>
      <c r="X106" s="3"/>
      <c r="Y106" s="3"/>
    </row>
    <row r="107" ht="15.75" customHeight="1">
      <c r="A107" s="26"/>
      <c r="B107" s="32"/>
      <c r="C107" s="32"/>
      <c r="D107" s="30"/>
      <c r="E107" s="31"/>
      <c r="F107" s="3"/>
      <c r="G107" s="3"/>
      <c r="H107" s="3"/>
      <c r="I107" s="3"/>
      <c r="J107" s="3"/>
      <c r="K107" s="3"/>
      <c r="L107" s="3"/>
      <c r="M107" s="3"/>
      <c r="N107" s="3"/>
      <c r="O107" s="3"/>
      <c r="P107" s="3"/>
      <c r="Q107" s="3"/>
      <c r="R107" s="3"/>
      <c r="S107" s="3"/>
      <c r="T107" s="3"/>
      <c r="U107" s="3"/>
      <c r="V107" s="3"/>
      <c r="W107" s="3"/>
      <c r="X107" s="3"/>
      <c r="Y107" s="3"/>
    </row>
    <row r="108" ht="15.75" customHeight="1">
      <c r="A108" s="26"/>
      <c r="B108" s="32"/>
      <c r="C108" s="32"/>
      <c r="D108" s="30"/>
      <c r="E108" s="31"/>
      <c r="F108" s="3"/>
      <c r="G108" s="3"/>
      <c r="H108" s="3"/>
      <c r="I108" s="3"/>
      <c r="J108" s="3"/>
      <c r="K108" s="3"/>
      <c r="L108" s="3"/>
      <c r="M108" s="3"/>
      <c r="N108" s="3"/>
      <c r="O108" s="3"/>
      <c r="P108" s="3"/>
      <c r="Q108" s="3"/>
      <c r="R108" s="3"/>
      <c r="S108" s="3"/>
      <c r="T108" s="3"/>
      <c r="U108" s="3"/>
      <c r="V108" s="3"/>
      <c r="W108" s="3"/>
      <c r="X108" s="3"/>
      <c r="Y108" s="3"/>
    </row>
    <row r="109" ht="15.75" customHeight="1">
      <c r="A109" s="26"/>
      <c r="B109" s="32"/>
      <c r="C109" s="32"/>
      <c r="D109" s="30"/>
      <c r="E109" s="31"/>
      <c r="F109" s="3"/>
      <c r="G109" s="3"/>
      <c r="H109" s="3"/>
      <c r="I109" s="3"/>
      <c r="J109" s="3"/>
      <c r="K109" s="3"/>
      <c r="L109" s="3"/>
      <c r="M109" s="3"/>
      <c r="N109" s="3"/>
      <c r="O109" s="3"/>
      <c r="P109" s="3"/>
      <c r="Q109" s="3"/>
      <c r="R109" s="3"/>
      <c r="S109" s="3"/>
      <c r="T109" s="3"/>
      <c r="U109" s="3"/>
      <c r="V109" s="3"/>
      <c r="W109" s="3"/>
      <c r="X109" s="3"/>
      <c r="Y109" s="3"/>
    </row>
    <row r="110" ht="15.75" customHeight="1">
      <c r="A110" s="26"/>
      <c r="B110" s="32"/>
      <c r="C110" s="32"/>
      <c r="D110" s="30"/>
      <c r="E110" s="31"/>
      <c r="F110" s="3"/>
      <c r="G110" s="3"/>
      <c r="H110" s="3"/>
      <c r="I110" s="3"/>
      <c r="J110" s="3"/>
      <c r="K110" s="3"/>
      <c r="L110" s="3"/>
      <c r="M110" s="3"/>
      <c r="N110" s="3"/>
      <c r="O110" s="3"/>
      <c r="P110" s="3"/>
      <c r="Q110" s="3"/>
      <c r="R110" s="3"/>
      <c r="S110" s="3"/>
      <c r="T110" s="3"/>
      <c r="U110" s="3"/>
      <c r="V110" s="3"/>
      <c r="W110" s="3"/>
      <c r="X110" s="3"/>
      <c r="Y110" s="3"/>
    </row>
    <row r="111" ht="15.75" customHeight="1">
      <c r="A111" s="26"/>
      <c r="B111" s="32"/>
      <c r="C111" s="32"/>
      <c r="D111" s="30"/>
      <c r="E111" s="31"/>
      <c r="F111" s="3"/>
      <c r="G111" s="3"/>
      <c r="H111" s="3"/>
      <c r="I111" s="3"/>
      <c r="J111" s="3"/>
      <c r="K111" s="3"/>
      <c r="L111" s="3"/>
      <c r="M111" s="3"/>
      <c r="N111" s="3"/>
      <c r="O111" s="3"/>
      <c r="P111" s="3"/>
      <c r="Q111" s="3"/>
      <c r="R111" s="3"/>
      <c r="S111" s="3"/>
      <c r="T111" s="3"/>
      <c r="U111" s="3"/>
      <c r="V111" s="3"/>
      <c r="W111" s="3"/>
      <c r="X111" s="3"/>
      <c r="Y111" s="3"/>
    </row>
    <row r="112" ht="15.75" customHeight="1">
      <c r="A112" s="26"/>
      <c r="B112" s="32"/>
      <c r="C112" s="32"/>
      <c r="D112" s="30"/>
      <c r="E112" s="31"/>
      <c r="F112" s="3"/>
      <c r="G112" s="3"/>
      <c r="H112" s="3"/>
      <c r="I112" s="3"/>
      <c r="J112" s="3"/>
      <c r="K112" s="3"/>
      <c r="L112" s="3"/>
      <c r="M112" s="3"/>
      <c r="N112" s="3"/>
      <c r="O112" s="3"/>
      <c r="P112" s="3"/>
      <c r="Q112" s="3"/>
      <c r="R112" s="3"/>
      <c r="S112" s="3"/>
      <c r="T112" s="3"/>
      <c r="U112" s="3"/>
      <c r="V112" s="3"/>
      <c r="W112" s="3"/>
      <c r="X112" s="3"/>
      <c r="Y112" s="3"/>
    </row>
    <row r="113" ht="15.75" customHeight="1">
      <c r="A113" s="26"/>
      <c r="B113" s="32"/>
      <c r="C113" s="32"/>
      <c r="D113" s="30"/>
      <c r="E113" s="31"/>
      <c r="F113" s="3"/>
      <c r="G113" s="3"/>
      <c r="H113" s="3"/>
      <c r="I113" s="3"/>
      <c r="J113" s="3"/>
      <c r="K113" s="3"/>
      <c r="L113" s="3"/>
      <c r="M113" s="3"/>
      <c r="N113" s="3"/>
      <c r="O113" s="3"/>
      <c r="P113" s="3"/>
      <c r="Q113" s="3"/>
      <c r="R113" s="3"/>
      <c r="S113" s="3"/>
      <c r="T113" s="3"/>
      <c r="U113" s="3"/>
      <c r="V113" s="3"/>
      <c r="W113" s="3"/>
      <c r="X113" s="3"/>
      <c r="Y113" s="3"/>
    </row>
    <row r="114" ht="15.75" customHeight="1">
      <c r="A114" s="26"/>
      <c r="B114" s="32"/>
      <c r="C114" s="32"/>
      <c r="D114" s="30"/>
      <c r="E114" s="31"/>
      <c r="F114" s="3"/>
      <c r="G114" s="3"/>
      <c r="H114" s="3"/>
      <c r="I114" s="3"/>
      <c r="J114" s="3"/>
      <c r="K114" s="3"/>
      <c r="L114" s="3"/>
      <c r="M114" s="3"/>
      <c r="N114" s="3"/>
      <c r="O114" s="3"/>
      <c r="P114" s="3"/>
      <c r="Q114" s="3"/>
      <c r="R114" s="3"/>
      <c r="S114" s="3"/>
      <c r="T114" s="3"/>
      <c r="U114" s="3"/>
      <c r="V114" s="3"/>
      <c r="W114" s="3"/>
      <c r="X114" s="3"/>
      <c r="Y114" s="3"/>
    </row>
    <row r="115" ht="15.75" customHeight="1">
      <c r="A115" s="26"/>
      <c r="B115" s="32"/>
      <c r="C115" s="32"/>
      <c r="D115" s="30"/>
      <c r="E115" s="31"/>
      <c r="F115" s="3"/>
      <c r="G115" s="3"/>
      <c r="H115" s="3"/>
      <c r="I115" s="3"/>
      <c r="J115" s="3"/>
      <c r="K115" s="3"/>
      <c r="L115" s="3"/>
      <c r="M115" s="3"/>
      <c r="N115" s="3"/>
      <c r="O115" s="3"/>
      <c r="P115" s="3"/>
      <c r="Q115" s="3"/>
      <c r="R115" s="3"/>
      <c r="S115" s="3"/>
      <c r="T115" s="3"/>
      <c r="U115" s="3"/>
      <c r="V115" s="3"/>
      <c r="W115" s="3"/>
      <c r="X115" s="3"/>
      <c r="Y115" s="3"/>
    </row>
    <row r="116" ht="15.75" customHeight="1">
      <c r="A116" s="26"/>
      <c r="B116" s="32"/>
      <c r="C116" s="32"/>
      <c r="D116" s="30"/>
      <c r="E116" s="31"/>
      <c r="F116" s="3"/>
      <c r="G116" s="3"/>
      <c r="H116" s="3"/>
      <c r="I116" s="3"/>
      <c r="J116" s="3"/>
      <c r="K116" s="3"/>
      <c r="L116" s="3"/>
      <c r="M116" s="3"/>
      <c r="N116" s="3"/>
      <c r="O116" s="3"/>
      <c r="P116" s="3"/>
      <c r="Q116" s="3"/>
      <c r="R116" s="3"/>
      <c r="S116" s="3"/>
      <c r="T116" s="3"/>
      <c r="U116" s="3"/>
      <c r="V116" s="3"/>
      <c r="W116" s="3"/>
      <c r="X116" s="3"/>
      <c r="Y116" s="3"/>
    </row>
    <row r="117" ht="15.75" customHeight="1">
      <c r="A117" s="26"/>
      <c r="B117" s="32"/>
      <c r="C117" s="32"/>
      <c r="D117" s="30"/>
      <c r="E117" s="31"/>
      <c r="F117" s="3"/>
      <c r="G117" s="3"/>
      <c r="H117" s="3"/>
      <c r="I117" s="3"/>
      <c r="J117" s="3"/>
      <c r="K117" s="3"/>
      <c r="L117" s="3"/>
      <c r="M117" s="3"/>
      <c r="N117" s="3"/>
      <c r="O117" s="3"/>
      <c r="P117" s="3"/>
      <c r="Q117" s="3"/>
      <c r="R117" s="3"/>
      <c r="S117" s="3"/>
      <c r="T117" s="3"/>
      <c r="U117" s="3"/>
      <c r="V117" s="3"/>
      <c r="W117" s="3"/>
      <c r="X117" s="3"/>
      <c r="Y117" s="3"/>
    </row>
    <row r="118" ht="15.75" customHeight="1">
      <c r="A118" s="26"/>
      <c r="B118" s="32"/>
      <c r="C118" s="32"/>
      <c r="D118" s="30"/>
      <c r="E118" s="31"/>
      <c r="F118" s="3"/>
      <c r="G118" s="3"/>
      <c r="H118" s="3"/>
      <c r="I118" s="3"/>
      <c r="J118" s="3"/>
      <c r="K118" s="3"/>
      <c r="L118" s="3"/>
      <c r="M118" s="3"/>
      <c r="N118" s="3"/>
      <c r="O118" s="3"/>
      <c r="P118" s="3"/>
      <c r="Q118" s="3"/>
      <c r="R118" s="3"/>
      <c r="S118" s="3"/>
      <c r="T118" s="3"/>
      <c r="U118" s="3"/>
      <c r="V118" s="3"/>
      <c r="W118" s="3"/>
      <c r="X118" s="3"/>
      <c r="Y118" s="3"/>
    </row>
    <row r="119" ht="15.75" customHeight="1">
      <c r="A119" s="26"/>
      <c r="B119" s="32"/>
      <c r="C119" s="32"/>
      <c r="D119" s="30"/>
      <c r="E119" s="31"/>
      <c r="F119" s="3"/>
      <c r="G119" s="3"/>
      <c r="H119" s="3"/>
      <c r="I119" s="3"/>
      <c r="J119" s="3"/>
      <c r="K119" s="3"/>
      <c r="L119" s="3"/>
      <c r="M119" s="3"/>
      <c r="N119" s="3"/>
      <c r="O119" s="3"/>
      <c r="P119" s="3"/>
      <c r="Q119" s="3"/>
      <c r="R119" s="3"/>
      <c r="S119" s="3"/>
      <c r="T119" s="3"/>
      <c r="U119" s="3"/>
      <c r="V119" s="3"/>
      <c r="W119" s="3"/>
      <c r="X119" s="3"/>
      <c r="Y119" s="3"/>
    </row>
    <row r="120" ht="15.75" customHeight="1">
      <c r="A120" s="26"/>
      <c r="B120" s="32"/>
      <c r="C120" s="32"/>
      <c r="D120" s="30"/>
      <c r="E120" s="31"/>
      <c r="F120" s="3"/>
      <c r="G120" s="3"/>
      <c r="H120" s="3"/>
      <c r="I120" s="3"/>
      <c r="J120" s="3"/>
      <c r="K120" s="3"/>
      <c r="L120" s="3"/>
      <c r="M120" s="3"/>
      <c r="N120" s="3"/>
      <c r="O120" s="3"/>
      <c r="P120" s="3"/>
      <c r="Q120" s="3"/>
      <c r="R120" s="3"/>
      <c r="S120" s="3"/>
      <c r="T120" s="3"/>
      <c r="U120" s="3"/>
      <c r="V120" s="3"/>
      <c r="W120" s="3"/>
      <c r="X120" s="3"/>
      <c r="Y120" s="3"/>
    </row>
    <row r="121" ht="15.75" customHeight="1">
      <c r="A121" s="26"/>
      <c r="B121" s="32"/>
      <c r="C121" s="32"/>
      <c r="D121" s="30"/>
      <c r="E121" s="31"/>
      <c r="F121" s="3"/>
      <c r="G121" s="3"/>
      <c r="H121" s="3"/>
      <c r="I121" s="3"/>
      <c r="J121" s="3"/>
      <c r="K121" s="3"/>
      <c r="L121" s="3"/>
      <c r="M121" s="3"/>
      <c r="N121" s="3"/>
      <c r="O121" s="3"/>
      <c r="P121" s="3"/>
      <c r="Q121" s="3"/>
      <c r="R121" s="3"/>
      <c r="S121" s="3"/>
      <c r="T121" s="3"/>
      <c r="U121" s="3"/>
      <c r="V121" s="3"/>
      <c r="W121" s="3"/>
      <c r="X121" s="3"/>
      <c r="Y121" s="3"/>
    </row>
    <row r="122" ht="15.75" customHeight="1">
      <c r="A122" s="26"/>
      <c r="B122" s="32"/>
      <c r="C122" s="32"/>
      <c r="D122" s="30"/>
      <c r="E122" s="31"/>
      <c r="F122" s="3"/>
      <c r="G122" s="3"/>
      <c r="H122" s="3"/>
      <c r="I122" s="3"/>
      <c r="J122" s="3"/>
      <c r="K122" s="3"/>
      <c r="L122" s="3"/>
      <c r="M122" s="3"/>
      <c r="N122" s="3"/>
      <c r="O122" s="3"/>
      <c r="P122" s="3"/>
      <c r="Q122" s="3"/>
      <c r="R122" s="3"/>
      <c r="S122" s="3"/>
      <c r="T122" s="3"/>
      <c r="U122" s="3"/>
      <c r="V122" s="3"/>
      <c r="W122" s="3"/>
      <c r="X122" s="3"/>
      <c r="Y122" s="3"/>
    </row>
    <row r="123" ht="15.75" customHeight="1">
      <c r="A123" s="26"/>
      <c r="B123" s="32"/>
      <c r="C123" s="32"/>
      <c r="D123" s="30"/>
      <c r="E123" s="31"/>
      <c r="F123" s="3"/>
      <c r="G123" s="3"/>
      <c r="H123" s="3"/>
      <c r="I123" s="3"/>
      <c r="J123" s="3"/>
      <c r="K123" s="3"/>
      <c r="L123" s="3"/>
      <c r="M123" s="3"/>
      <c r="N123" s="3"/>
      <c r="O123" s="3"/>
      <c r="P123" s="3"/>
      <c r="Q123" s="3"/>
      <c r="R123" s="3"/>
      <c r="S123" s="3"/>
      <c r="T123" s="3"/>
      <c r="U123" s="3"/>
      <c r="V123" s="3"/>
      <c r="W123" s="3"/>
      <c r="X123" s="3"/>
      <c r="Y123" s="3"/>
    </row>
    <row r="124" ht="15.75" customHeight="1">
      <c r="A124" s="26"/>
      <c r="B124" s="32"/>
      <c r="C124" s="32"/>
      <c r="D124" s="30"/>
      <c r="E124" s="31"/>
      <c r="F124" s="3"/>
      <c r="G124" s="3"/>
      <c r="H124" s="3"/>
      <c r="I124" s="3"/>
      <c r="J124" s="3"/>
      <c r="K124" s="3"/>
      <c r="L124" s="3"/>
      <c r="M124" s="3"/>
      <c r="N124" s="3"/>
      <c r="O124" s="3"/>
      <c r="P124" s="3"/>
      <c r="Q124" s="3"/>
      <c r="R124" s="3"/>
      <c r="S124" s="3"/>
      <c r="T124" s="3"/>
      <c r="U124" s="3"/>
      <c r="V124" s="3"/>
      <c r="W124" s="3"/>
      <c r="X124" s="3"/>
      <c r="Y124" s="3"/>
    </row>
    <row r="125" ht="15.75" customHeight="1">
      <c r="A125" s="26"/>
      <c r="B125" s="32"/>
      <c r="C125" s="32"/>
      <c r="D125" s="30"/>
      <c r="E125" s="31"/>
      <c r="F125" s="3"/>
      <c r="G125" s="3"/>
      <c r="H125" s="3"/>
      <c r="I125" s="3"/>
      <c r="J125" s="3"/>
      <c r="K125" s="3"/>
      <c r="L125" s="3"/>
      <c r="M125" s="3"/>
      <c r="N125" s="3"/>
      <c r="O125" s="3"/>
      <c r="P125" s="3"/>
      <c r="Q125" s="3"/>
      <c r="R125" s="3"/>
      <c r="S125" s="3"/>
      <c r="T125" s="3"/>
      <c r="U125" s="3"/>
      <c r="V125" s="3"/>
      <c r="W125" s="3"/>
      <c r="X125" s="3"/>
      <c r="Y125" s="3"/>
    </row>
    <row r="126" ht="15.75" customHeight="1">
      <c r="A126" s="26"/>
      <c r="B126" s="32"/>
      <c r="C126" s="32"/>
      <c r="D126" s="30"/>
      <c r="E126" s="31"/>
      <c r="F126" s="3"/>
      <c r="G126" s="3"/>
      <c r="H126" s="3"/>
      <c r="I126" s="3"/>
      <c r="J126" s="3"/>
      <c r="K126" s="3"/>
      <c r="L126" s="3"/>
      <c r="M126" s="3"/>
      <c r="N126" s="3"/>
      <c r="O126" s="3"/>
      <c r="P126" s="3"/>
      <c r="Q126" s="3"/>
      <c r="R126" s="3"/>
      <c r="S126" s="3"/>
      <c r="T126" s="3"/>
      <c r="U126" s="3"/>
      <c r="V126" s="3"/>
      <c r="W126" s="3"/>
      <c r="X126" s="3"/>
      <c r="Y126" s="3"/>
    </row>
    <row r="127" ht="15.75" customHeight="1">
      <c r="A127" s="26"/>
      <c r="B127" s="32"/>
      <c r="C127" s="32"/>
      <c r="D127" s="30"/>
      <c r="E127" s="31"/>
      <c r="F127" s="3"/>
      <c r="G127" s="3"/>
      <c r="H127" s="3"/>
      <c r="I127" s="3"/>
      <c r="J127" s="3"/>
      <c r="K127" s="3"/>
      <c r="L127" s="3"/>
      <c r="M127" s="3"/>
      <c r="N127" s="3"/>
      <c r="O127" s="3"/>
      <c r="P127" s="3"/>
      <c r="Q127" s="3"/>
      <c r="R127" s="3"/>
      <c r="S127" s="3"/>
      <c r="T127" s="3"/>
      <c r="U127" s="3"/>
      <c r="V127" s="3"/>
      <c r="W127" s="3"/>
      <c r="X127" s="3"/>
      <c r="Y127" s="3"/>
    </row>
    <row r="128" ht="15.75" customHeight="1">
      <c r="A128" s="26"/>
      <c r="B128" s="32"/>
      <c r="C128" s="32"/>
      <c r="D128" s="30"/>
      <c r="E128" s="31"/>
      <c r="F128" s="3"/>
      <c r="G128" s="3"/>
      <c r="H128" s="3"/>
      <c r="I128" s="3"/>
      <c r="J128" s="3"/>
      <c r="K128" s="3"/>
      <c r="L128" s="3"/>
      <c r="M128" s="3"/>
      <c r="N128" s="3"/>
      <c r="O128" s="3"/>
      <c r="P128" s="3"/>
      <c r="Q128" s="3"/>
      <c r="R128" s="3"/>
      <c r="S128" s="3"/>
      <c r="T128" s="3"/>
      <c r="U128" s="3"/>
      <c r="V128" s="3"/>
      <c r="W128" s="3"/>
      <c r="X128" s="3"/>
      <c r="Y128" s="3"/>
    </row>
    <row r="129" ht="15.75" customHeight="1">
      <c r="A129" s="26"/>
      <c r="B129" s="32"/>
      <c r="C129" s="32"/>
      <c r="D129" s="30"/>
      <c r="E129" s="31"/>
      <c r="F129" s="3"/>
      <c r="G129" s="3"/>
      <c r="H129" s="3"/>
      <c r="I129" s="3"/>
      <c r="J129" s="3"/>
      <c r="K129" s="3"/>
      <c r="L129" s="3"/>
      <c r="M129" s="3"/>
      <c r="N129" s="3"/>
      <c r="O129" s="3"/>
      <c r="P129" s="3"/>
      <c r="Q129" s="3"/>
      <c r="R129" s="3"/>
      <c r="S129" s="3"/>
      <c r="T129" s="3"/>
      <c r="U129" s="3"/>
      <c r="V129" s="3"/>
      <c r="W129" s="3"/>
      <c r="X129" s="3"/>
      <c r="Y129" s="3"/>
    </row>
    <row r="130" ht="15.75" customHeight="1">
      <c r="A130" s="26"/>
      <c r="B130" s="32"/>
      <c r="C130" s="32"/>
      <c r="D130" s="30"/>
      <c r="E130" s="31"/>
      <c r="F130" s="3"/>
      <c r="G130" s="3"/>
      <c r="H130" s="3"/>
      <c r="I130" s="3"/>
      <c r="J130" s="3"/>
      <c r="K130" s="3"/>
      <c r="L130" s="3"/>
      <c r="M130" s="3"/>
      <c r="N130" s="3"/>
      <c r="O130" s="3"/>
      <c r="P130" s="3"/>
      <c r="Q130" s="3"/>
      <c r="R130" s="3"/>
      <c r="S130" s="3"/>
      <c r="T130" s="3"/>
      <c r="U130" s="3"/>
      <c r="V130" s="3"/>
      <c r="W130" s="3"/>
      <c r="X130" s="3"/>
      <c r="Y130" s="3"/>
    </row>
    <row r="131" ht="15.75" customHeight="1">
      <c r="A131" s="26"/>
      <c r="B131" s="32"/>
      <c r="C131" s="32"/>
      <c r="D131" s="30"/>
      <c r="E131" s="31"/>
      <c r="F131" s="3"/>
      <c r="G131" s="3"/>
      <c r="H131" s="3"/>
      <c r="I131" s="3"/>
      <c r="J131" s="3"/>
      <c r="K131" s="3"/>
      <c r="L131" s="3"/>
      <c r="M131" s="3"/>
      <c r="N131" s="3"/>
      <c r="O131" s="3"/>
      <c r="P131" s="3"/>
      <c r="Q131" s="3"/>
      <c r="R131" s="3"/>
      <c r="S131" s="3"/>
      <c r="T131" s="3"/>
      <c r="U131" s="3"/>
      <c r="V131" s="3"/>
      <c r="W131" s="3"/>
      <c r="X131" s="3"/>
      <c r="Y131" s="3"/>
    </row>
    <row r="132" ht="15.75" customHeight="1">
      <c r="A132" s="26"/>
      <c r="B132" s="32"/>
      <c r="C132" s="32"/>
      <c r="D132" s="30"/>
      <c r="E132" s="31"/>
      <c r="F132" s="3"/>
      <c r="G132" s="3"/>
      <c r="H132" s="3"/>
      <c r="I132" s="3"/>
      <c r="J132" s="3"/>
      <c r="K132" s="3"/>
      <c r="L132" s="3"/>
      <c r="M132" s="3"/>
      <c r="N132" s="3"/>
      <c r="O132" s="3"/>
      <c r="P132" s="3"/>
      <c r="Q132" s="3"/>
      <c r="R132" s="3"/>
      <c r="S132" s="3"/>
      <c r="T132" s="3"/>
      <c r="U132" s="3"/>
      <c r="V132" s="3"/>
      <c r="W132" s="3"/>
      <c r="X132" s="3"/>
      <c r="Y132" s="3"/>
    </row>
    <row r="133" ht="15.75" customHeight="1">
      <c r="A133" s="26"/>
      <c r="B133" s="32"/>
      <c r="C133" s="32"/>
      <c r="D133" s="30"/>
      <c r="E133" s="31"/>
      <c r="F133" s="3"/>
      <c r="G133" s="3"/>
      <c r="H133" s="3"/>
      <c r="I133" s="3"/>
      <c r="J133" s="3"/>
      <c r="K133" s="3"/>
      <c r="L133" s="3"/>
      <c r="M133" s="3"/>
      <c r="N133" s="3"/>
      <c r="O133" s="3"/>
      <c r="P133" s="3"/>
      <c r="Q133" s="3"/>
      <c r="R133" s="3"/>
      <c r="S133" s="3"/>
      <c r="T133" s="3"/>
      <c r="U133" s="3"/>
      <c r="V133" s="3"/>
      <c r="W133" s="3"/>
      <c r="X133" s="3"/>
      <c r="Y133" s="3"/>
    </row>
    <row r="134" ht="15.75" customHeight="1">
      <c r="A134" s="26"/>
      <c r="B134" s="32"/>
      <c r="C134" s="32"/>
      <c r="D134" s="30"/>
      <c r="E134" s="31"/>
      <c r="F134" s="3"/>
      <c r="G134" s="3"/>
      <c r="H134" s="3"/>
      <c r="I134" s="3"/>
      <c r="J134" s="3"/>
      <c r="K134" s="3"/>
      <c r="L134" s="3"/>
      <c r="M134" s="3"/>
      <c r="N134" s="3"/>
      <c r="O134" s="3"/>
      <c r="P134" s="3"/>
      <c r="Q134" s="3"/>
      <c r="R134" s="3"/>
      <c r="S134" s="3"/>
      <c r="T134" s="3"/>
      <c r="U134" s="3"/>
      <c r="V134" s="3"/>
      <c r="W134" s="3"/>
      <c r="X134" s="3"/>
      <c r="Y134" s="3"/>
    </row>
    <row r="135" ht="15.75" customHeight="1">
      <c r="A135" s="26"/>
      <c r="B135" s="32"/>
      <c r="C135" s="32"/>
      <c r="D135" s="30"/>
      <c r="E135" s="31"/>
      <c r="F135" s="3"/>
      <c r="G135" s="3"/>
      <c r="H135" s="3"/>
      <c r="I135" s="3"/>
      <c r="J135" s="3"/>
      <c r="K135" s="3"/>
      <c r="L135" s="3"/>
      <c r="M135" s="3"/>
      <c r="N135" s="3"/>
      <c r="O135" s="3"/>
      <c r="P135" s="3"/>
      <c r="Q135" s="3"/>
      <c r="R135" s="3"/>
      <c r="S135" s="3"/>
      <c r="T135" s="3"/>
      <c r="U135" s="3"/>
      <c r="V135" s="3"/>
      <c r="W135" s="3"/>
      <c r="X135" s="3"/>
      <c r="Y135" s="3"/>
    </row>
    <row r="136" ht="15.75" customHeight="1">
      <c r="A136" s="26"/>
      <c r="B136" s="32"/>
      <c r="C136" s="32"/>
      <c r="D136" s="30"/>
      <c r="E136" s="31"/>
      <c r="F136" s="3"/>
      <c r="G136" s="3"/>
      <c r="H136" s="3"/>
      <c r="I136" s="3"/>
      <c r="J136" s="3"/>
      <c r="K136" s="3"/>
      <c r="L136" s="3"/>
      <c r="M136" s="3"/>
      <c r="N136" s="3"/>
      <c r="O136" s="3"/>
      <c r="P136" s="3"/>
      <c r="Q136" s="3"/>
      <c r="R136" s="3"/>
      <c r="S136" s="3"/>
      <c r="T136" s="3"/>
      <c r="U136" s="3"/>
      <c r="V136" s="3"/>
      <c r="W136" s="3"/>
      <c r="X136" s="3"/>
      <c r="Y136" s="3"/>
    </row>
    <row r="137" ht="15.75" customHeight="1">
      <c r="A137" s="26"/>
      <c r="B137" s="32"/>
      <c r="C137" s="32"/>
      <c r="D137" s="30"/>
      <c r="E137" s="31"/>
      <c r="F137" s="3"/>
      <c r="G137" s="3"/>
      <c r="H137" s="3"/>
      <c r="I137" s="3"/>
      <c r="J137" s="3"/>
      <c r="K137" s="3"/>
      <c r="L137" s="3"/>
      <c r="M137" s="3"/>
      <c r="N137" s="3"/>
      <c r="O137" s="3"/>
      <c r="P137" s="3"/>
      <c r="Q137" s="3"/>
      <c r="R137" s="3"/>
      <c r="S137" s="3"/>
      <c r="T137" s="3"/>
      <c r="U137" s="3"/>
      <c r="V137" s="3"/>
      <c r="W137" s="3"/>
      <c r="X137" s="3"/>
      <c r="Y137" s="3"/>
    </row>
    <row r="138" ht="15.75" customHeight="1">
      <c r="A138" s="26"/>
      <c r="B138" s="32"/>
      <c r="C138" s="32"/>
      <c r="D138" s="30"/>
      <c r="E138" s="31"/>
      <c r="F138" s="3"/>
      <c r="G138" s="3"/>
      <c r="H138" s="3"/>
      <c r="I138" s="3"/>
      <c r="J138" s="3"/>
      <c r="K138" s="3"/>
      <c r="L138" s="3"/>
      <c r="M138" s="3"/>
      <c r="N138" s="3"/>
      <c r="O138" s="3"/>
      <c r="P138" s="3"/>
      <c r="Q138" s="3"/>
      <c r="R138" s="3"/>
      <c r="S138" s="3"/>
      <c r="T138" s="3"/>
      <c r="U138" s="3"/>
      <c r="V138" s="3"/>
      <c r="W138" s="3"/>
      <c r="X138" s="3"/>
      <c r="Y138" s="3"/>
    </row>
    <row r="139" ht="15.75" customHeight="1">
      <c r="A139" s="26"/>
      <c r="B139" s="32"/>
      <c r="C139" s="32"/>
      <c r="D139" s="30"/>
      <c r="E139" s="31"/>
      <c r="F139" s="3"/>
      <c r="G139" s="3"/>
      <c r="H139" s="3"/>
      <c r="I139" s="3"/>
      <c r="J139" s="3"/>
      <c r="K139" s="3"/>
      <c r="L139" s="3"/>
      <c r="M139" s="3"/>
      <c r="N139" s="3"/>
      <c r="O139" s="3"/>
      <c r="P139" s="3"/>
      <c r="Q139" s="3"/>
      <c r="R139" s="3"/>
      <c r="S139" s="3"/>
      <c r="T139" s="3"/>
      <c r="U139" s="3"/>
      <c r="V139" s="3"/>
      <c r="W139" s="3"/>
      <c r="X139" s="3"/>
      <c r="Y139" s="3"/>
    </row>
    <row r="140" ht="15.75" customHeight="1">
      <c r="A140" s="26"/>
      <c r="B140" s="32"/>
      <c r="C140" s="32"/>
      <c r="D140" s="30"/>
      <c r="E140" s="31"/>
      <c r="F140" s="3"/>
      <c r="G140" s="3"/>
      <c r="H140" s="3"/>
      <c r="I140" s="3"/>
      <c r="J140" s="3"/>
      <c r="K140" s="3"/>
      <c r="L140" s="3"/>
      <c r="M140" s="3"/>
      <c r="N140" s="3"/>
      <c r="O140" s="3"/>
      <c r="P140" s="3"/>
      <c r="Q140" s="3"/>
      <c r="R140" s="3"/>
      <c r="S140" s="3"/>
      <c r="T140" s="3"/>
      <c r="U140" s="3"/>
      <c r="V140" s="3"/>
      <c r="W140" s="3"/>
      <c r="X140" s="3"/>
      <c r="Y140" s="3"/>
    </row>
    <row r="141" ht="15.75" customHeight="1">
      <c r="A141" s="26"/>
      <c r="B141" s="32"/>
      <c r="C141" s="32"/>
      <c r="D141" s="30"/>
      <c r="E141" s="31"/>
      <c r="F141" s="3"/>
      <c r="G141" s="3"/>
      <c r="H141" s="3"/>
      <c r="I141" s="3"/>
      <c r="J141" s="3"/>
      <c r="K141" s="3"/>
      <c r="L141" s="3"/>
      <c r="M141" s="3"/>
      <c r="N141" s="3"/>
      <c r="O141" s="3"/>
      <c r="P141" s="3"/>
      <c r="Q141" s="3"/>
      <c r="R141" s="3"/>
      <c r="S141" s="3"/>
      <c r="T141" s="3"/>
      <c r="U141" s="3"/>
      <c r="V141" s="3"/>
      <c r="W141" s="3"/>
      <c r="X141" s="3"/>
      <c r="Y141" s="3"/>
    </row>
    <row r="142" ht="15.75" customHeight="1">
      <c r="A142" s="26"/>
      <c r="B142" s="32"/>
      <c r="C142" s="32"/>
      <c r="D142" s="30"/>
      <c r="E142" s="31"/>
      <c r="F142" s="3"/>
      <c r="G142" s="3"/>
      <c r="H142" s="3"/>
      <c r="I142" s="3"/>
      <c r="J142" s="3"/>
      <c r="K142" s="3"/>
      <c r="L142" s="3"/>
      <c r="M142" s="3"/>
      <c r="N142" s="3"/>
      <c r="O142" s="3"/>
      <c r="P142" s="3"/>
      <c r="Q142" s="3"/>
      <c r="R142" s="3"/>
      <c r="S142" s="3"/>
      <c r="T142" s="3"/>
      <c r="U142" s="3"/>
      <c r="V142" s="3"/>
      <c r="W142" s="3"/>
      <c r="X142" s="3"/>
      <c r="Y142" s="3"/>
    </row>
    <row r="143" ht="15.75" customHeight="1">
      <c r="A143" s="26"/>
      <c r="B143" s="32"/>
      <c r="C143" s="32"/>
      <c r="D143" s="30"/>
      <c r="E143" s="31"/>
      <c r="F143" s="3"/>
      <c r="G143" s="3"/>
      <c r="H143" s="3"/>
      <c r="I143" s="3"/>
      <c r="J143" s="3"/>
      <c r="K143" s="3"/>
      <c r="L143" s="3"/>
      <c r="M143" s="3"/>
      <c r="N143" s="3"/>
      <c r="O143" s="3"/>
      <c r="P143" s="3"/>
      <c r="Q143" s="3"/>
      <c r="R143" s="3"/>
      <c r="S143" s="3"/>
      <c r="T143" s="3"/>
      <c r="U143" s="3"/>
      <c r="V143" s="3"/>
      <c r="W143" s="3"/>
      <c r="X143" s="3"/>
      <c r="Y143" s="3"/>
    </row>
    <row r="144" ht="15.75" customHeight="1">
      <c r="A144" s="26"/>
      <c r="B144" s="32"/>
      <c r="C144" s="32"/>
      <c r="D144" s="30"/>
      <c r="E144" s="31"/>
      <c r="F144" s="3"/>
      <c r="G144" s="3"/>
      <c r="H144" s="3"/>
      <c r="I144" s="3"/>
      <c r="J144" s="3"/>
      <c r="K144" s="3"/>
      <c r="L144" s="3"/>
      <c r="M144" s="3"/>
      <c r="N144" s="3"/>
      <c r="O144" s="3"/>
      <c r="P144" s="3"/>
      <c r="Q144" s="3"/>
      <c r="R144" s="3"/>
      <c r="S144" s="3"/>
      <c r="T144" s="3"/>
      <c r="U144" s="3"/>
      <c r="V144" s="3"/>
      <c r="W144" s="3"/>
      <c r="X144" s="3"/>
      <c r="Y144" s="3"/>
    </row>
    <row r="145" ht="15.75" customHeight="1">
      <c r="A145" s="26"/>
      <c r="B145" s="32"/>
      <c r="C145" s="32"/>
      <c r="D145" s="30"/>
      <c r="E145" s="31"/>
      <c r="F145" s="3"/>
      <c r="G145" s="3"/>
      <c r="H145" s="3"/>
      <c r="I145" s="3"/>
      <c r="J145" s="3"/>
      <c r="K145" s="3"/>
      <c r="L145" s="3"/>
      <c r="M145" s="3"/>
      <c r="N145" s="3"/>
      <c r="O145" s="3"/>
      <c r="P145" s="3"/>
      <c r="Q145" s="3"/>
      <c r="R145" s="3"/>
      <c r="S145" s="3"/>
      <c r="T145" s="3"/>
      <c r="U145" s="3"/>
      <c r="V145" s="3"/>
      <c r="W145" s="3"/>
      <c r="X145" s="3"/>
      <c r="Y145" s="3"/>
    </row>
    <row r="146" ht="15.75" customHeight="1">
      <c r="A146" s="26"/>
      <c r="B146" s="32"/>
      <c r="C146" s="32"/>
      <c r="D146" s="30"/>
      <c r="E146" s="31"/>
      <c r="F146" s="3"/>
      <c r="G146" s="3"/>
      <c r="H146" s="3"/>
      <c r="I146" s="3"/>
      <c r="J146" s="3"/>
      <c r="K146" s="3"/>
      <c r="L146" s="3"/>
      <c r="M146" s="3"/>
      <c r="N146" s="3"/>
      <c r="O146" s="3"/>
      <c r="P146" s="3"/>
      <c r="Q146" s="3"/>
      <c r="R146" s="3"/>
      <c r="S146" s="3"/>
      <c r="T146" s="3"/>
      <c r="U146" s="3"/>
      <c r="V146" s="3"/>
      <c r="W146" s="3"/>
      <c r="X146" s="3"/>
      <c r="Y146" s="3"/>
    </row>
    <row r="147" ht="15.75" customHeight="1">
      <c r="A147" s="26"/>
      <c r="B147" s="32"/>
      <c r="C147" s="32"/>
      <c r="D147" s="30"/>
      <c r="E147" s="31"/>
      <c r="F147" s="3"/>
      <c r="G147" s="3"/>
      <c r="H147" s="3"/>
      <c r="I147" s="3"/>
      <c r="J147" s="3"/>
      <c r="K147" s="3"/>
      <c r="L147" s="3"/>
      <c r="M147" s="3"/>
      <c r="N147" s="3"/>
      <c r="O147" s="3"/>
      <c r="P147" s="3"/>
      <c r="Q147" s="3"/>
      <c r="R147" s="3"/>
      <c r="S147" s="3"/>
      <c r="T147" s="3"/>
      <c r="U147" s="3"/>
      <c r="V147" s="3"/>
      <c r="W147" s="3"/>
      <c r="X147" s="3"/>
      <c r="Y147" s="3"/>
    </row>
    <row r="148" ht="15.75" customHeight="1">
      <c r="A148" s="26"/>
      <c r="B148" s="32"/>
      <c r="C148" s="32"/>
      <c r="D148" s="30"/>
      <c r="E148" s="31"/>
      <c r="F148" s="3"/>
      <c r="G148" s="3"/>
      <c r="H148" s="3"/>
      <c r="I148" s="3"/>
      <c r="J148" s="3"/>
      <c r="K148" s="3"/>
      <c r="L148" s="3"/>
      <c r="M148" s="3"/>
      <c r="N148" s="3"/>
      <c r="O148" s="3"/>
      <c r="P148" s="3"/>
      <c r="Q148" s="3"/>
      <c r="R148" s="3"/>
      <c r="S148" s="3"/>
      <c r="T148" s="3"/>
      <c r="U148" s="3"/>
      <c r="V148" s="3"/>
      <c r="W148" s="3"/>
      <c r="X148" s="3"/>
      <c r="Y148" s="3"/>
    </row>
    <row r="149" ht="15.75" customHeight="1">
      <c r="A149" s="26"/>
      <c r="B149" s="32"/>
      <c r="C149" s="32"/>
      <c r="D149" s="30"/>
      <c r="E149" s="31"/>
      <c r="F149" s="3"/>
      <c r="G149" s="3"/>
      <c r="H149" s="3"/>
      <c r="I149" s="3"/>
      <c r="J149" s="3"/>
      <c r="K149" s="3"/>
      <c r="L149" s="3"/>
      <c r="M149" s="3"/>
      <c r="N149" s="3"/>
      <c r="O149" s="3"/>
      <c r="P149" s="3"/>
      <c r="Q149" s="3"/>
      <c r="R149" s="3"/>
      <c r="S149" s="3"/>
      <c r="T149" s="3"/>
      <c r="U149" s="3"/>
      <c r="V149" s="3"/>
      <c r="W149" s="3"/>
      <c r="X149" s="3"/>
      <c r="Y149" s="3"/>
    </row>
    <row r="150" ht="15.75" customHeight="1">
      <c r="A150" s="26"/>
      <c r="B150" s="32"/>
      <c r="C150" s="32"/>
      <c r="D150" s="30"/>
      <c r="E150" s="31"/>
      <c r="F150" s="3"/>
      <c r="G150" s="3"/>
      <c r="H150" s="3"/>
      <c r="I150" s="3"/>
      <c r="J150" s="3"/>
      <c r="K150" s="3"/>
      <c r="L150" s="3"/>
      <c r="M150" s="3"/>
      <c r="N150" s="3"/>
      <c r="O150" s="3"/>
      <c r="P150" s="3"/>
      <c r="Q150" s="3"/>
      <c r="R150" s="3"/>
      <c r="S150" s="3"/>
      <c r="T150" s="3"/>
      <c r="U150" s="3"/>
      <c r="V150" s="3"/>
      <c r="W150" s="3"/>
      <c r="X150" s="3"/>
      <c r="Y150" s="3"/>
    </row>
    <row r="151" ht="15.75" customHeight="1">
      <c r="A151" s="26"/>
      <c r="B151" s="32"/>
      <c r="C151" s="32"/>
      <c r="D151" s="30"/>
      <c r="E151" s="31"/>
      <c r="F151" s="3"/>
      <c r="G151" s="3"/>
      <c r="H151" s="3"/>
      <c r="I151" s="3"/>
      <c r="J151" s="3"/>
      <c r="K151" s="3"/>
      <c r="L151" s="3"/>
      <c r="M151" s="3"/>
      <c r="N151" s="3"/>
      <c r="O151" s="3"/>
      <c r="P151" s="3"/>
      <c r="Q151" s="3"/>
      <c r="R151" s="3"/>
      <c r="S151" s="3"/>
      <c r="T151" s="3"/>
      <c r="U151" s="3"/>
      <c r="V151" s="3"/>
      <c r="W151" s="3"/>
      <c r="X151" s="3"/>
      <c r="Y151" s="3"/>
    </row>
    <row r="152" ht="15.75" customHeight="1">
      <c r="A152" s="26"/>
      <c r="B152" s="32"/>
      <c r="C152" s="32"/>
      <c r="D152" s="30"/>
      <c r="E152" s="31"/>
      <c r="F152" s="3"/>
      <c r="G152" s="3"/>
      <c r="H152" s="3"/>
      <c r="I152" s="3"/>
      <c r="J152" s="3"/>
      <c r="K152" s="3"/>
      <c r="L152" s="3"/>
      <c r="M152" s="3"/>
      <c r="N152" s="3"/>
      <c r="O152" s="3"/>
      <c r="P152" s="3"/>
      <c r="Q152" s="3"/>
      <c r="R152" s="3"/>
      <c r="S152" s="3"/>
      <c r="T152" s="3"/>
      <c r="U152" s="3"/>
      <c r="V152" s="3"/>
      <c r="W152" s="3"/>
      <c r="X152" s="3"/>
      <c r="Y152" s="3"/>
    </row>
    <row r="153" ht="15.75" customHeight="1">
      <c r="A153" s="26"/>
      <c r="B153" s="32"/>
      <c r="C153" s="32"/>
      <c r="D153" s="30"/>
      <c r="E153" s="31"/>
      <c r="F153" s="3"/>
      <c r="G153" s="3"/>
      <c r="H153" s="3"/>
      <c r="I153" s="3"/>
      <c r="J153" s="3"/>
      <c r="K153" s="3"/>
      <c r="L153" s="3"/>
      <c r="M153" s="3"/>
      <c r="N153" s="3"/>
      <c r="O153" s="3"/>
      <c r="P153" s="3"/>
      <c r="Q153" s="3"/>
      <c r="R153" s="3"/>
      <c r="S153" s="3"/>
      <c r="T153" s="3"/>
      <c r="U153" s="3"/>
      <c r="V153" s="3"/>
      <c r="W153" s="3"/>
      <c r="X153" s="3"/>
      <c r="Y153" s="3"/>
    </row>
    <row r="154" ht="15.75" customHeight="1">
      <c r="A154" s="26"/>
      <c r="B154" s="32"/>
      <c r="C154" s="32"/>
      <c r="D154" s="30"/>
      <c r="E154" s="31"/>
      <c r="F154" s="3"/>
      <c r="G154" s="3"/>
      <c r="H154" s="3"/>
      <c r="I154" s="3"/>
      <c r="J154" s="3"/>
      <c r="K154" s="3"/>
      <c r="L154" s="3"/>
      <c r="M154" s="3"/>
      <c r="N154" s="3"/>
      <c r="O154" s="3"/>
      <c r="P154" s="3"/>
      <c r="Q154" s="3"/>
      <c r="R154" s="3"/>
      <c r="S154" s="3"/>
      <c r="T154" s="3"/>
      <c r="U154" s="3"/>
      <c r="V154" s="3"/>
      <c r="W154" s="3"/>
      <c r="X154" s="3"/>
      <c r="Y154" s="3"/>
    </row>
    <row r="155" ht="15.75" customHeight="1">
      <c r="A155" s="26"/>
      <c r="B155" s="32"/>
      <c r="C155" s="32"/>
      <c r="D155" s="30"/>
      <c r="E155" s="31"/>
      <c r="F155" s="3"/>
      <c r="G155" s="3"/>
      <c r="H155" s="3"/>
      <c r="I155" s="3"/>
      <c r="J155" s="3"/>
      <c r="K155" s="3"/>
      <c r="L155" s="3"/>
      <c r="M155" s="3"/>
      <c r="N155" s="3"/>
      <c r="O155" s="3"/>
      <c r="P155" s="3"/>
      <c r="Q155" s="3"/>
      <c r="R155" s="3"/>
      <c r="S155" s="3"/>
      <c r="T155" s="3"/>
      <c r="U155" s="3"/>
      <c r="V155" s="3"/>
      <c r="W155" s="3"/>
      <c r="X155" s="3"/>
      <c r="Y155" s="3"/>
    </row>
    <row r="156" ht="15.75" customHeight="1">
      <c r="A156" s="26"/>
      <c r="B156" s="32"/>
      <c r="C156" s="32"/>
      <c r="D156" s="30"/>
      <c r="E156" s="31"/>
      <c r="F156" s="3"/>
      <c r="G156" s="3"/>
      <c r="H156" s="3"/>
      <c r="I156" s="3"/>
      <c r="J156" s="3"/>
      <c r="K156" s="3"/>
      <c r="L156" s="3"/>
      <c r="M156" s="3"/>
      <c r="N156" s="3"/>
      <c r="O156" s="3"/>
      <c r="P156" s="3"/>
      <c r="Q156" s="3"/>
      <c r="R156" s="3"/>
      <c r="S156" s="3"/>
      <c r="T156" s="3"/>
      <c r="U156" s="3"/>
      <c r="V156" s="3"/>
      <c r="W156" s="3"/>
      <c r="X156" s="3"/>
      <c r="Y156" s="3"/>
    </row>
    <row r="157" ht="15.75" customHeight="1">
      <c r="A157" s="26"/>
      <c r="B157" s="32"/>
      <c r="C157" s="32"/>
      <c r="D157" s="30"/>
      <c r="E157" s="31"/>
      <c r="F157" s="3"/>
      <c r="G157" s="3"/>
      <c r="H157" s="3"/>
      <c r="I157" s="3"/>
      <c r="J157" s="3"/>
      <c r="K157" s="3"/>
      <c r="L157" s="3"/>
      <c r="M157" s="3"/>
      <c r="N157" s="3"/>
      <c r="O157" s="3"/>
      <c r="P157" s="3"/>
      <c r="Q157" s="3"/>
      <c r="R157" s="3"/>
      <c r="S157" s="3"/>
      <c r="T157" s="3"/>
      <c r="U157" s="3"/>
      <c r="V157" s="3"/>
      <c r="W157" s="3"/>
      <c r="X157" s="3"/>
      <c r="Y157" s="3"/>
    </row>
    <row r="158" ht="15.75" customHeight="1">
      <c r="A158" s="26"/>
      <c r="B158" s="32"/>
      <c r="C158" s="32"/>
      <c r="D158" s="30"/>
      <c r="E158" s="31"/>
      <c r="F158" s="3"/>
      <c r="G158" s="3"/>
      <c r="H158" s="3"/>
      <c r="I158" s="3"/>
      <c r="J158" s="3"/>
      <c r="K158" s="3"/>
      <c r="L158" s="3"/>
      <c r="M158" s="3"/>
      <c r="N158" s="3"/>
      <c r="O158" s="3"/>
      <c r="P158" s="3"/>
      <c r="Q158" s="3"/>
      <c r="R158" s="3"/>
      <c r="S158" s="3"/>
      <c r="T158" s="3"/>
      <c r="U158" s="3"/>
      <c r="V158" s="3"/>
      <c r="W158" s="3"/>
      <c r="X158" s="3"/>
      <c r="Y158" s="3"/>
    </row>
    <row r="159" ht="15.75" customHeight="1">
      <c r="A159" s="26"/>
      <c r="B159" s="32"/>
      <c r="C159" s="32"/>
      <c r="D159" s="30"/>
      <c r="E159" s="31"/>
      <c r="F159" s="3"/>
      <c r="G159" s="3"/>
      <c r="H159" s="3"/>
      <c r="I159" s="3"/>
      <c r="J159" s="3"/>
      <c r="K159" s="3"/>
      <c r="L159" s="3"/>
      <c r="M159" s="3"/>
      <c r="N159" s="3"/>
      <c r="O159" s="3"/>
      <c r="P159" s="3"/>
      <c r="Q159" s="3"/>
      <c r="R159" s="3"/>
      <c r="S159" s="3"/>
      <c r="T159" s="3"/>
      <c r="U159" s="3"/>
      <c r="V159" s="3"/>
      <c r="W159" s="3"/>
      <c r="X159" s="3"/>
      <c r="Y159" s="3"/>
    </row>
    <row r="160" ht="15.75" customHeight="1">
      <c r="A160" s="26"/>
      <c r="B160" s="32"/>
      <c r="C160" s="32"/>
      <c r="D160" s="30"/>
      <c r="E160" s="31"/>
      <c r="F160" s="3"/>
      <c r="G160" s="3"/>
      <c r="H160" s="3"/>
      <c r="I160" s="3"/>
      <c r="J160" s="3"/>
      <c r="K160" s="3"/>
      <c r="L160" s="3"/>
      <c r="M160" s="3"/>
      <c r="N160" s="3"/>
      <c r="O160" s="3"/>
      <c r="P160" s="3"/>
      <c r="Q160" s="3"/>
      <c r="R160" s="3"/>
      <c r="S160" s="3"/>
      <c r="T160" s="3"/>
      <c r="U160" s="3"/>
      <c r="V160" s="3"/>
      <c r="W160" s="3"/>
      <c r="X160" s="3"/>
      <c r="Y160" s="3"/>
    </row>
    <row r="161" ht="15.75" customHeight="1">
      <c r="A161" s="26"/>
      <c r="B161" s="32"/>
      <c r="C161" s="32"/>
      <c r="D161" s="30"/>
      <c r="E161" s="31"/>
      <c r="F161" s="3"/>
      <c r="G161" s="3"/>
      <c r="H161" s="3"/>
      <c r="I161" s="3"/>
      <c r="J161" s="3"/>
      <c r="K161" s="3"/>
      <c r="L161" s="3"/>
      <c r="M161" s="3"/>
      <c r="N161" s="3"/>
      <c r="O161" s="3"/>
      <c r="P161" s="3"/>
      <c r="Q161" s="3"/>
      <c r="R161" s="3"/>
      <c r="S161" s="3"/>
      <c r="T161" s="3"/>
      <c r="U161" s="3"/>
      <c r="V161" s="3"/>
      <c r="W161" s="3"/>
      <c r="X161" s="3"/>
      <c r="Y161" s="3"/>
    </row>
    <row r="162" ht="15.75" customHeight="1">
      <c r="A162" s="26"/>
      <c r="B162" s="32"/>
      <c r="C162" s="32"/>
      <c r="D162" s="30"/>
      <c r="E162" s="31"/>
      <c r="F162" s="3"/>
      <c r="G162" s="3"/>
      <c r="H162" s="3"/>
      <c r="I162" s="3"/>
      <c r="J162" s="3"/>
      <c r="K162" s="3"/>
      <c r="L162" s="3"/>
      <c r="M162" s="3"/>
      <c r="N162" s="3"/>
      <c r="O162" s="3"/>
      <c r="P162" s="3"/>
      <c r="Q162" s="3"/>
      <c r="R162" s="3"/>
      <c r="S162" s="3"/>
      <c r="T162" s="3"/>
      <c r="U162" s="3"/>
      <c r="V162" s="3"/>
      <c r="W162" s="3"/>
      <c r="X162" s="3"/>
      <c r="Y162" s="3"/>
    </row>
    <row r="163" ht="15.75" customHeight="1">
      <c r="A163" s="26"/>
      <c r="B163" s="32"/>
      <c r="C163" s="32"/>
      <c r="D163" s="30"/>
      <c r="E163" s="31"/>
      <c r="F163" s="3"/>
      <c r="G163" s="3"/>
      <c r="H163" s="3"/>
      <c r="I163" s="3"/>
      <c r="J163" s="3"/>
      <c r="K163" s="3"/>
      <c r="L163" s="3"/>
      <c r="M163" s="3"/>
      <c r="N163" s="3"/>
      <c r="O163" s="3"/>
      <c r="P163" s="3"/>
      <c r="Q163" s="3"/>
      <c r="R163" s="3"/>
      <c r="S163" s="3"/>
      <c r="T163" s="3"/>
      <c r="U163" s="3"/>
      <c r="V163" s="3"/>
      <c r="W163" s="3"/>
      <c r="X163" s="3"/>
      <c r="Y163" s="3"/>
    </row>
    <row r="164" ht="15.75" customHeight="1">
      <c r="A164" s="26"/>
      <c r="B164" s="32"/>
      <c r="C164" s="32"/>
      <c r="D164" s="30"/>
      <c r="E164" s="31"/>
      <c r="F164" s="3"/>
      <c r="G164" s="3"/>
      <c r="H164" s="3"/>
      <c r="I164" s="3"/>
      <c r="J164" s="3"/>
      <c r="K164" s="3"/>
      <c r="L164" s="3"/>
      <c r="M164" s="3"/>
      <c r="N164" s="3"/>
      <c r="O164" s="3"/>
      <c r="P164" s="3"/>
      <c r="Q164" s="3"/>
      <c r="R164" s="3"/>
      <c r="S164" s="3"/>
      <c r="T164" s="3"/>
      <c r="U164" s="3"/>
      <c r="V164" s="3"/>
      <c r="W164" s="3"/>
      <c r="X164" s="3"/>
      <c r="Y164" s="3"/>
    </row>
    <row r="165" ht="15.75" customHeight="1">
      <c r="A165" s="26"/>
      <c r="B165" s="32"/>
      <c r="C165" s="32"/>
      <c r="D165" s="30"/>
      <c r="E165" s="31"/>
      <c r="F165" s="3"/>
      <c r="G165" s="3"/>
      <c r="H165" s="3"/>
      <c r="I165" s="3"/>
      <c r="J165" s="3"/>
      <c r="K165" s="3"/>
      <c r="L165" s="3"/>
      <c r="M165" s="3"/>
      <c r="N165" s="3"/>
      <c r="O165" s="3"/>
      <c r="P165" s="3"/>
      <c r="Q165" s="3"/>
      <c r="R165" s="3"/>
      <c r="S165" s="3"/>
      <c r="T165" s="3"/>
      <c r="U165" s="3"/>
      <c r="V165" s="3"/>
      <c r="W165" s="3"/>
      <c r="X165" s="3"/>
      <c r="Y165" s="3"/>
    </row>
    <row r="166" ht="15.75" customHeight="1">
      <c r="A166" s="26"/>
      <c r="B166" s="32"/>
      <c r="C166" s="32"/>
      <c r="D166" s="30"/>
      <c r="E166" s="31"/>
      <c r="F166" s="3"/>
      <c r="G166" s="3"/>
      <c r="H166" s="3"/>
      <c r="I166" s="3"/>
      <c r="J166" s="3"/>
      <c r="K166" s="3"/>
      <c r="L166" s="3"/>
      <c r="M166" s="3"/>
      <c r="N166" s="3"/>
      <c r="O166" s="3"/>
      <c r="P166" s="3"/>
      <c r="Q166" s="3"/>
      <c r="R166" s="3"/>
      <c r="S166" s="3"/>
      <c r="T166" s="3"/>
      <c r="U166" s="3"/>
      <c r="V166" s="3"/>
      <c r="W166" s="3"/>
      <c r="X166" s="3"/>
      <c r="Y166" s="3"/>
    </row>
    <row r="167" ht="15.75" customHeight="1">
      <c r="A167" s="26"/>
      <c r="B167" s="32"/>
      <c r="C167" s="32"/>
      <c r="D167" s="30"/>
      <c r="E167" s="31"/>
      <c r="F167" s="3"/>
      <c r="G167" s="3"/>
      <c r="H167" s="3"/>
      <c r="I167" s="3"/>
      <c r="J167" s="3"/>
      <c r="K167" s="3"/>
      <c r="L167" s="3"/>
      <c r="M167" s="3"/>
      <c r="N167" s="3"/>
      <c r="O167" s="3"/>
      <c r="P167" s="3"/>
      <c r="Q167" s="3"/>
      <c r="R167" s="3"/>
      <c r="S167" s="3"/>
      <c r="T167" s="3"/>
      <c r="U167" s="3"/>
      <c r="V167" s="3"/>
      <c r="W167" s="3"/>
      <c r="X167" s="3"/>
      <c r="Y167" s="3"/>
    </row>
    <row r="168" ht="15.75" customHeight="1">
      <c r="A168" s="26"/>
      <c r="B168" s="32"/>
      <c r="C168" s="32"/>
      <c r="D168" s="30"/>
      <c r="E168" s="31"/>
      <c r="F168" s="3"/>
      <c r="G168" s="3"/>
      <c r="H168" s="3"/>
      <c r="I168" s="3"/>
      <c r="J168" s="3"/>
      <c r="K168" s="3"/>
      <c r="L168" s="3"/>
      <c r="M168" s="3"/>
      <c r="N168" s="3"/>
      <c r="O168" s="3"/>
      <c r="P168" s="3"/>
      <c r="Q168" s="3"/>
      <c r="R168" s="3"/>
      <c r="S168" s="3"/>
      <c r="T168" s="3"/>
      <c r="U168" s="3"/>
      <c r="V168" s="3"/>
      <c r="W168" s="3"/>
      <c r="X168" s="3"/>
      <c r="Y168" s="3"/>
    </row>
    <row r="169" ht="15.75" customHeight="1">
      <c r="A169" s="26"/>
      <c r="B169" s="32"/>
      <c r="C169" s="32"/>
      <c r="D169" s="30"/>
      <c r="E169" s="31"/>
      <c r="F169" s="3"/>
      <c r="G169" s="3"/>
      <c r="H169" s="3"/>
      <c r="I169" s="3"/>
      <c r="J169" s="3"/>
      <c r="K169" s="3"/>
      <c r="L169" s="3"/>
      <c r="M169" s="3"/>
      <c r="N169" s="3"/>
      <c r="O169" s="3"/>
      <c r="P169" s="3"/>
      <c r="Q169" s="3"/>
      <c r="R169" s="3"/>
      <c r="S169" s="3"/>
      <c r="T169" s="3"/>
      <c r="U169" s="3"/>
      <c r="V169" s="3"/>
      <c r="W169" s="3"/>
      <c r="X169" s="3"/>
      <c r="Y169" s="3"/>
    </row>
    <row r="170" ht="15.75" customHeight="1">
      <c r="A170" s="26"/>
      <c r="B170" s="32"/>
      <c r="C170" s="32"/>
      <c r="D170" s="30"/>
      <c r="E170" s="31"/>
      <c r="F170" s="3"/>
      <c r="G170" s="3"/>
      <c r="H170" s="3"/>
      <c r="I170" s="3"/>
      <c r="J170" s="3"/>
      <c r="K170" s="3"/>
      <c r="L170" s="3"/>
      <c r="M170" s="3"/>
      <c r="N170" s="3"/>
      <c r="O170" s="3"/>
      <c r="P170" s="3"/>
      <c r="Q170" s="3"/>
      <c r="R170" s="3"/>
      <c r="S170" s="3"/>
      <c r="T170" s="3"/>
      <c r="U170" s="3"/>
      <c r="V170" s="3"/>
      <c r="W170" s="3"/>
      <c r="X170" s="3"/>
      <c r="Y170" s="3"/>
    </row>
    <row r="171" ht="15.75" customHeight="1">
      <c r="A171" s="26"/>
      <c r="B171" s="32"/>
      <c r="C171" s="32"/>
      <c r="D171" s="30"/>
      <c r="E171" s="31"/>
      <c r="F171" s="3"/>
      <c r="G171" s="3"/>
      <c r="H171" s="3"/>
      <c r="I171" s="3"/>
      <c r="J171" s="3"/>
      <c r="K171" s="3"/>
      <c r="L171" s="3"/>
      <c r="M171" s="3"/>
      <c r="N171" s="3"/>
      <c r="O171" s="3"/>
      <c r="P171" s="3"/>
      <c r="Q171" s="3"/>
      <c r="R171" s="3"/>
      <c r="S171" s="3"/>
      <c r="T171" s="3"/>
      <c r="U171" s="3"/>
      <c r="V171" s="3"/>
      <c r="W171" s="3"/>
      <c r="X171" s="3"/>
      <c r="Y171" s="3"/>
    </row>
    <row r="172" ht="15.75" customHeight="1">
      <c r="A172" s="26"/>
      <c r="B172" s="32"/>
      <c r="C172" s="32"/>
      <c r="D172" s="30"/>
      <c r="E172" s="31"/>
      <c r="F172" s="3"/>
      <c r="G172" s="3"/>
      <c r="H172" s="3"/>
      <c r="I172" s="3"/>
      <c r="J172" s="3"/>
      <c r="K172" s="3"/>
      <c r="L172" s="3"/>
      <c r="M172" s="3"/>
      <c r="N172" s="3"/>
      <c r="O172" s="3"/>
      <c r="P172" s="3"/>
      <c r="Q172" s="3"/>
      <c r="R172" s="3"/>
      <c r="S172" s="3"/>
      <c r="T172" s="3"/>
      <c r="U172" s="3"/>
      <c r="V172" s="3"/>
      <c r="W172" s="3"/>
      <c r="X172" s="3"/>
      <c r="Y172" s="3"/>
    </row>
    <row r="173" ht="15.75" customHeight="1">
      <c r="A173" s="26"/>
      <c r="B173" s="32"/>
      <c r="C173" s="32"/>
      <c r="D173" s="30"/>
      <c r="E173" s="31"/>
      <c r="F173" s="3"/>
      <c r="G173" s="3"/>
      <c r="H173" s="3"/>
      <c r="I173" s="3"/>
      <c r="J173" s="3"/>
      <c r="K173" s="3"/>
      <c r="L173" s="3"/>
      <c r="M173" s="3"/>
      <c r="N173" s="3"/>
      <c r="O173" s="3"/>
      <c r="P173" s="3"/>
      <c r="Q173" s="3"/>
      <c r="R173" s="3"/>
      <c r="S173" s="3"/>
      <c r="T173" s="3"/>
      <c r="U173" s="3"/>
      <c r="V173" s="3"/>
      <c r="W173" s="3"/>
      <c r="X173" s="3"/>
      <c r="Y173" s="3"/>
    </row>
    <row r="174" ht="15.75" customHeight="1">
      <c r="A174" s="26"/>
      <c r="B174" s="32"/>
      <c r="C174" s="32"/>
      <c r="D174" s="30"/>
      <c r="E174" s="31"/>
      <c r="F174" s="3"/>
      <c r="G174" s="3"/>
      <c r="H174" s="3"/>
      <c r="I174" s="3"/>
      <c r="J174" s="3"/>
      <c r="K174" s="3"/>
      <c r="L174" s="3"/>
      <c r="M174" s="3"/>
      <c r="N174" s="3"/>
      <c r="O174" s="3"/>
      <c r="P174" s="3"/>
      <c r="Q174" s="3"/>
      <c r="R174" s="3"/>
      <c r="S174" s="3"/>
      <c r="T174" s="3"/>
      <c r="U174" s="3"/>
      <c r="V174" s="3"/>
      <c r="W174" s="3"/>
      <c r="X174" s="3"/>
      <c r="Y174" s="3"/>
    </row>
    <row r="175" ht="15.75" customHeight="1">
      <c r="A175" s="26"/>
      <c r="B175" s="32"/>
      <c r="C175" s="32"/>
      <c r="D175" s="30"/>
      <c r="E175" s="31"/>
      <c r="F175" s="3"/>
      <c r="G175" s="3"/>
      <c r="H175" s="3"/>
      <c r="I175" s="3"/>
      <c r="J175" s="3"/>
      <c r="K175" s="3"/>
      <c r="L175" s="3"/>
      <c r="M175" s="3"/>
      <c r="N175" s="3"/>
      <c r="O175" s="3"/>
      <c r="P175" s="3"/>
      <c r="Q175" s="3"/>
      <c r="R175" s="3"/>
      <c r="S175" s="3"/>
      <c r="T175" s="3"/>
      <c r="U175" s="3"/>
      <c r="V175" s="3"/>
      <c r="W175" s="3"/>
      <c r="X175" s="3"/>
      <c r="Y175" s="3"/>
    </row>
    <row r="176" ht="15.75" customHeight="1">
      <c r="A176" s="26"/>
      <c r="B176" s="32"/>
      <c r="C176" s="32"/>
      <c r="D176" s="30"/>
      <c r="E176" s="31"/>
      <c r="F176" s="3"/>
      <c r="G176" s="3"/>
      <c r="H176" s="3"/>
      <c r="I176" s="3"/>
      <c r="J176" s="3"/>
      <c r="K176" s="3"/>
      <c r="L176" s="3"/>
      <c r="M176" s="3"/>
      <c r="N176" s="3"/>
      <c r="O176" s="3"/>
      <c r="P176" s="3"/>
      <c r="Q176" s="3"/>
      <c r="R176" s="3"/>
      <c r="S176" s="3"/>
      <c r="T176" s="3"/>
      <c r="U176" s="3"/>
      <c r="V176" s="3"/>
      <c r="W176" s="3"/>
      <c r="X176" s="3"/>
      <c r="Y176" s="3"/>
    </row>
    <row r="177" ht="15.75" customHeight="1">
      <c r="A177" s="26"/>
      <c r="B177" s="32"/>
      <c r="C177" s="32"/>
      <c r="D177" s="30"/>
      <c r="E177" s="31"/>
      <c r="F177" s="3"/>
      <c r="G177" s="3"/>
      <c r="H177" s="3"/>
      <c r="I177" s="3"/>
      <c r="J177" s="3"/>
      <c r="K177" s="3"/>
      <c r="L177" s="3"/>
      <c r="M177" s="3"/>
      <c r="N177" s="3"/>
      <c r="O177" s="3"/>
      <c r="P177" s="3"/>
      <c r="Q177" s="3"/>
      <c r="R177" s="3"/>
      <c r="S177" s="3"/>
      <c r="T177" s="3"/>
      <c r="U177" s="3"/>
      <c r="V177" s="3"/>
      <c r="W177" s="3"/>
      <c r="X177" s="3"/>
      <c r="Y177" s="3"/>
    </row>
    <row r="178" ht="15.75" customHeight="1">
      <c r="A178" s="26"/>
      <c r="B178" s="32"/>
      <c r="C178" s="32"/>
      <c r="D178" s="30"/>
      <c r="E178" s="31"/>
      <c r="F178" s="3"/>
      <c r="G178" s="3"/>
      <c r="H178" s="3"/>
      <c r="I178" s="3"/>
      <c r="J178" s="3"/>
      <c r="K178" s="3"/>
      <c r="L178" s="3"/>
      <c r="M178" s="3"/>
      <c r="N178" s="3"/>
      <c r="O178" s="3"/>
      <c r="P178" s="3"/>
      <c r="Q178" s="3"/>
      <c r="R178" s="3"/>
      <c r="S178" s="3"/>
      <c r="T178" s="3"/>
      <c r="U178" s="3"/>
      <c r="V178" s="3"/>
      <c r="W178" s="3"/>
      <c r="X178" s="3"/>
      <c r="Y178" s="3"/>
    </row>
    <row r="179" ht="15.75" customHeight="1">
      <c r="A179" s="26"/>
      <c r="B179" s="32"/>
      <c r="C179" s="32"/>
      <c r="D179" s="30"/>
      <c r="E179" s="31"/>
      <c r="F179" s="3"/>
      <c r="G179" s="3"/>
      <c r="H179" s="3"/>
      <c r="I179" s="3"/>
      <c r="J179" s="3"/>
      <c r="K179" s="3"/>
      <c r="L179" s="3"/>
      <c r="M179" s="3"/>
      <c r="N179" s="3"/>
      <c r="O179" s="3"/>
      <c r="P179" s="3"/>
      <c r="Q179" s="3"/>
      <c r="R179" s="3"/>
      <c r="S179" s="3"/>
      <c r="T179" s="3"/>
      <c r="U179" s="3"/>
      <c r="V179" s="3"/>
      <c r="W179" s="3"/>
      <c r="X179" s="3"/>
      <c r="Y179" s="3"/>
    </row>
    <row r="180" ht="15.75" customHeight="1">
      <c r="A180" s="26"/>
      <c r="B180" s="32"/>
      <c r="C180" s="32"/>
      <c r="D180" s="30"/>
      <c r="E180" s="31"/>
      <c r="F180" s="3"/>
      <c r="G180" s="3"/>
      <c r="H180" s="3"/>
      <c r="I180" s="3"/>
      <c r="J180" s="3"/>
      <c r="K180" s="3"/>
      <c r="L180" s="3"/>
      <c r="M180" s="3"/>
      <c r="N180" s="3"/>
      <c r="O180" s="3"/>
      <c r="P180" s="3"/>
      <c r="Q180" s="3"/>
      <c r="R180" s="3"/>
      <c r="S180" s="3"/>
      <c r="T180" s="3"/>
      <c r="U180" s="3"/>
      <c r="V180" s="3"/>
      <c r="W180" s="3"/>
      <c r="X180" s="3"/>
      <c r="Y180" s="3"/>
    </row>
    <row r="181" ht="15.75" customHeight="1">
      <c r="A181" s="26"/>
      <c r="B181" s="32"/>
      <c r="C181" s="32"/>
      <c r="D181" s="30"/>
      <c r="E181" s="31"/>
      <c r="F181" s="3"/>
      <c r="G181" s="3"/>
      <c r="H181" s="3"/>
      <c r="I181" s="3"/>
      <c r="J181" s="3"/>
      <c r="K181" s="3"/>
      <c r="L181" s="3"/>
      <c r="M181" s="3"/>
      <c r="N181" s="3"/>
      <c r="O181" s="3"/>
      <c r="P181" s="3"/>
      <c r="Q181" s="3"/>
      <c r="R181" s="3"/>
      <c r="S181" s="3"/>
      <c r="T181" s="3"/>
      <c r="U181" s="3"/>
      <c r="V181" s="3"/>
      <c r="W181" s="3"/>
      <c r="X181" s="3"/>
      <c r="Y181" s="3"/>
    </row>
    <row r="182" ht="15.75" customHeight="1">
      <c r="A182" s="26"/>
      <c r="B182" s="32"/>
      <c r="C182" s="32"/>
      <c r="D182" s="30"/>
      <c r="E182" s="31"/>
      <c r="F182" s="3"/>
      <c r="G182" s="3"/>
      <c r="H182" s="3"/>
      <c r="I182" s="3"/>
      <c r="J182" s="3"/>
      <c r="K182" s="3"/>
      <c r="L182" s="3"/>
      <c r="M182" s="3"/>
      <c r="N182" s="3"/>
      <c r="O182" s="3"/>
      <c r="P182" s="3"/>
      <c r="Q182" s="3"/>
      <c r="R182" s="3"/>
      <c r="S182" s="3"/>
      <c r="T182" s="3"/>
      <c r="U182" s="3"/>
      <c r="V182" s="3"/>
      <c r="W182" s="3"/>
      <c r="X182" s="3"/>
      <c r="Y182" s="3"/>
    </row>
    <row r="183" ht="15.75" customHeight="1">
      <c r="A183" s="26"/>
      <c r="B183" s="32"/>
      <c r="C183" s="32"/>
      <c r="D183" s="30"/>
      <c r="E183" s="31"/>
      <c r="F183" s="3"/>
      <c r="G183" s="3"/>
      <c r="H183" s="3"/>
      <c r="I183" s="3"/>
      <c r="J183" s="3"/>
      <c r="K183" s="3"/>
      <c r="L183" s="3"/>
      <c r="M183" s="3"/>
      <c r="N183" s="3"/>
      <c r="O183" s="3"/>
      <c r="P183" s="3"/>
      <c r="Q183" s="3"/>
      <c r="R183" s="3"/>
      <c r="S183" s="3"/>
      <c r="T183" s="3"/>
      <c r="U183" s="3"/>
      <c r="V183" s="3"/>
      <c r="W183" s="3"/>
      <c r="X183" s="3"/>
      <c r="Y183" s="3"/>
    </row>
    <row r="184" ht="15.75" customHeight="1">
      <c r="A184" s="26"/>
      <c r="B184" s="32"/>
      <c r="C184" s="32"/>
      <c r="D184" s="30"/>
      <c r="E184" s="31"/>
      <c r="F184" s="3"/>
      <c r="G184" s="3"/>
      <c r="H184" s="3"/>
      <c r="I184" s="3"/>
      <c r="J184" s="3"/>
      <c r="K184" s="3"/>
      <c r="L184" s="3"/>
      <c r="M184" s="3"/>
      <c r="N184" s="3"/>
      <c r="O184" s="3"/>
      <c r="P184" s="3"/>
      <c r="Q184" s="3"/>
      <c r="R184" s="3"/>
      <c r="S184" s="3"/>
      <c r="T184" s="3"/>
      <c r="U184" s="3"/>
      <c r="V184" s="3"/>
      <c r="W184" s="3"/>
      <c r="X184" s="3"/>
      <c r="Y184" s="3"/>
    </row>
    <row r="185" ht="15.75" customHeight="1">
      <c r="A185" s="26"/>
      <c r="B185" s="32"/>
      <c r="C185" s="32"/>
      <c r="D185" s="30"/>
      <c r="E185" s="31"/>
      <c r="F185" s="3"/>
      <c r="G185" s="3"/>
      <c r="H185" s="3"/>
      <c r="I185" s="3"/>
      <c r="J185" s="3"/>
      <c r="K185" s="3"/>
      <c r="L185" s="3"/>
      <c r="M185" s="3"/>
      <c r="N185" s="3"/>
      <c r="O185" s="3"/>
      <c r="P185" s="3"/>
      <c r="Q185" s="3"/>
      <c r="R185" s="3"/>
      <c r="S185" s="3"/>
      <c r="T185" s="3"/>
      <c r="U185" s="3"/>
      <c r="V185" s="3"/>
      <c r="W185" s="3"/>
      <c r="X185" s="3"/>
      <c r="Y185" s="3"/>
    </row>
    <row r="186" ht="15.75" customHeight="1">
      <c r="A186" s="26"/>
      <c r="B186" s="32"/>
      <c r="C186" s="32"/>
      <c r="D186" s="30"/>
      <c r="E186" s="31"/>
      <c r="F186" s="3"/>
      <c r="G186" s="3"/>
      <c r="H186" s="3"/>
      <c r="I186" s="3"/>
      <c r="J186" s="3"/>
      <c r="K186" s="3"/>
      <c r="L186" s="3"/>
      <c r="M186" s="3"/>
      <c r="N186" s="3"/>
      <c r="O186" s="3"/>
      <c r="P186" s="3"/>
      <c r="Q186" s="3"/>
      <c r="R186" s="3"/>
      <c r="S186" s="3"/>
      <c r="T186" s="3"/>
      <c r="U186" s="3"/>
      <c r="V186" s="3"/>
      <c r="W186" s="3"/>
      <c r="X186" s="3"/>
      <c r="Y186" s="3"/>
    </row>
    <row r="187" ht="15.75" customHeight="1">
      <c r="A187" s="26"/>
      <c r="B187" s="32"/>
      <c r="C187" s="32"/>
      <c r="D187" s="30"/>
      <c r="E187" s="31"/>
      <c r="F187" s="3"/>
      <c r="G187" s="3"/>
      <c r="H187" s="3"/>
      <c r="I187" s="3"/>
      <c r="J187" s="3"/>
      <c r="K187" s="3"/>
      <c r="L187" s="3"/>
      <c r="M187" s="3"/>
      <c r="N187" s="3"/>
      <c r="O187" s="3"/>
      <c r="P187" s="3"/>
      <c r="Q187" s="3"/>
      <c r="R187" s="3"/>
      <c r="S187" s="3"/>
      <c r="T187" s="3"/>
      <c r="U187" s="3"/>
      <c r="V187" s="3"/>
      <c r="W187" s="3"/>
      <c r="X187" s="3"/>
      <c r="Y187" s="3"/>
    </row>
    <row r="188" ht="15.75" customHeight="1">
      <c r="A188" s="26"/>
      <c r="B188" s="32"/>
      <c r="C188" s="32"/>
      <c r="D188" s="30"/>
      <c r="E188" s="31"/>
      <c r="F188" s="3"/>
      <c r="G188" s="3"/>
      <c r="H188" s="3"/>
      <c r="I188" s="3"/>
      <c r="J188" s="3"/>
      <c r="K188" s="3"/>
      <c r="L188" s="3"/>
      <c r="M188" s="3"/>
      <c r="N188" s="3"/>
      <c r="O188" s="3"/>
      <c r="P188" s="3"/>
      <c r="Q188" s="3"/>
      <c r="R188" s="3"/>
      <c r="S188" s="3"/>
      <c r="T188" s="3"/>
      <c r="U188" s="3"/>
      <c r="V188" s="3"/>
      <c r="W188" s="3"/>
      <c r="X188" s="3"/>
      <c r="Y188" s="3"/>
    </row>
    <row r="189" ht="15.75" customHeight="1">
      <c r="D189" s="33"/>
      <c r="E189" s="34"/>
    </row>
    <row r="190" ht="15.75" customHeight="1">
      <c r="D190" s="33"/>
      <c r="E190" s="34"/>
    </row>
    <row r="191" ht="15.75" customHeight="1">
      <c r="D191" s="33"/>
      <c r="E191" s="34"/>
    </row>
    <row r="192" ht="15.75" customHeight="1">
      <c r="D192" s="33"/>
      <c r="E192" s="34"/>
    </row>
    <row r="193" ht="15.75" customHeight="1">
      <c r="D193" s="33"/>
      <c r="E193" s="34"/>
    </row>
    <row r="194" ht="15.75" customHeight="1">
      <c r="D194" s="33"/>
      <c r="E194" s="34"/>
    </row>
    <row r="195" ht="15.75" customHeight="1">
      <c r="D195" s="33"/>
      <c r="E195" s="34"/>
    </row>
    <row r="196" ht="15.75" customHeight="1">
      <c r="D196" s="33"/>
      <c r="E196" s="34"/>
    </row>
    <row r="197" ht="15.75" customHeight="1">
      <c r="D197" s="33"/>
      <c r="E197" s="34"/>
    </row>
    <row r="198" ht="15.75" customHeight="1">
      <c r="D198" s="33"/>
      <c r="E198" s="34"/>
    </row>
    <row r="199" ht="15.75" customHeight="1">
      <c r="D199" s="33"/>
      <c r="E199" s="34"/>
    </row>
    <row r="200" ht="15.75" customHeight="1">
      <c r="D200" s="33"/>
      <c r="E200" s="34"/>
    </row>
    <row r="201" ht="15.75" customHeight="1">
      <c r="D201" s="33"/>
      <c r="E201" s="34"/>
    </row>
    <row r="202" ht="15.75" customHeight="1">
      <c r="D202" s="33"/>
      <c r="E202" s="34"/>
    </row>
    <row r="203" ht="15.75" customHeight="1">
      <c r="D203" s="33"/>
      <c r="E203" s="34"/>
    </row>
    <row r="204" ht="15.75" customHeight="1">
      <c r="D204" s="33"/>
      <c r="E204" s="34"/>
    </row>
    <row r="205" ht="15.75" customHeight="1">
      <c r="D205" s="33"/>
      <c r="E205" s="34"/>
    </row>
    <row r="206" ht="15.75" customHeight="1">
      <c r="D206" s="33"/>
      <c r="E206" s="34"/>
    </row>
    <row r="207" ht="15.75" customHeight="1">
      <c r="D207" s="33"/>
      <c r="E207" s="34"/>
    </row>
    <row r="208" ht="15.75" customHeight="1">
      <c r="D208" s="33"/>
      <c r="E208" s="34"/>
    </row>
    <row r="209" ht="15.75" customHeight="1">
      <c r="D209" s="33"/>
      <c r="E209" s="34"/>
    </row>
    <row r="210" ht="15.75" customHeight="1">
      <c r="D210" s="33"/>
      <c r="E210" s="34"/>
    </row>
    <row r="211" ht="15.75" customHeight="1">
      <c r="D211" s="33"/>
      <c r="E211" s="34"/>
    </row>
    <row r="212" ht="15.75" customHeight="1">
      <c r="D212" s="33"/>
      <c r="E212" s="34"/>
    </row>
    <row r="213" ht="15.75" customHeight="1">
      <c r="D213" s="33"/>
      <c r="E213" s="34"/>
    </row>
    <row r="214" ht="15.75" customHeight="1">
      <c r="D214" s="33"/>
      <c r="E214" s="34"/>
    </row>
    <row r="215" ht="15.75" customHeight="1">
      <c r="D215" s="33"/>
      <c r="E215" s="34"/>
    </row>
    <row r="216" ht="15.75" customHeight="1">
      <c r="D216" s="33"/>
      <c r="E216" s="34"/>
    </row>
    <row r="217" ht="15.75" customHeight="1">
      <c r="D217" s="33"/>
      <c r="E217" s="34"/>
    </row>
    <row r="218" ht="15.75" customHeight="1">
      <c r="D218" s="33"/>
      <c r="E218" s="34"/>
    </row>
    <row r="219" ht="15.75" customHeight="1">
      <c r="D219" s="33"/>
      <c r="E219" s="34"/>
    </row>
    <row r="220" ht="15.75" customHeight="1">
      <c r="D220" s="33"/>
      <c r="E220" s="34"/>
    </row>
    <row r="221" ht="15.75" customHeight="1">
      <c r="D221" s="33"/>
      <c r="E221" s="34"/>
    </row>
    <row r="222" ht="15.75" customHeight="1">
      <c r="D222" s="33"/>
      <c r="E222" s="34"/>
    </row>
    <row r="223" ht="15.75" customHeight="1">
      <c r="D223" s="33"/>
      <c r="E223" s="34"/>
    </row>
    <row r="224" ht="15.75" customHeight="1">
      <c r="D224" s="33"/>
      <c r="E224" s="34"/>
    </row>
    <row r="225" ht="15.75" customHeight="1">
      <c r="D225" s="33"/>
      <c r="E225" s="34"/>
    </row>
    <row r="226" ht="15.75" customHeight="1">
      <c r="D226" s="33"/>
      <c r="E226" s="34"/>
    </row>
    <row r="227" ht="15.75" customHeight="1">
      <c r="D227" s="33"/>
      <c r="E227" s="34"/>
    </row>
    <row r="228" ht="15.75" customHeight="1">
      <c r="D228" s="33"/>
      <c r="E228" s="34"/>
    </row>
    <row r="229" ht="15.75" customHeight="1">
      <c r="D229" s="33"/>
      <c r="E229" s="34"/>
    </row>
    <row r="230" ht="15.75" customHeight="1">
      <c r="D230" s="33"/>
      <c r="E230" s="34"/>
    </row>
    <row r="231" ht="15.75" customHeight="1">
      <c r="D231" s="33"/>
      <c r="E231" s="34"/>
    </row>
    <row r="232" ht="15.75" customHeight="1">
      <c r="D232" s="33"/>
      <c r="E232" s="34"/>
    </row>
    <row r="233" ht="15.75" customHeight="1">
      <c r="D233" s="33"/>
      <c r="E233" s="34"/>
    </row>
    <row r="234" ht="15.75" customHeight="1">
      <c r="D234" s="33"/>
      <c r="E234" s="34"/>
    </row>
    <row r="235" ht="15.75" customHeight="1">
      <c r="D235" s="33"/>
      <c r="E235" s="34"/>
    </row>
    <row r="236" ht="15.75" customHeight="1">
      <c r="D236" s="33"/>
      <c r="E236" s="34"/>
    </row>
    <row r="237" ht="15.75" customHeight="1">
      <c r="D237" s="33"/>
      <c r="E237" s="34"/>
    </row>
    <row r="238" ht="15.75" customHeight="1">
      <c r="D238" s="33"/>
      <c r="E238" s="34"/>
    </row>
    <row r="239" ht="15.75" customHeight="1">
      <c r="D239" s="33"/>
      <c r="E239" s="34"/>
    </row>
    <row r="240" ht="15.75" customHeight="1">
      <c r="D240" s="33"/>
      <c r="E240" s="34"/>
    </row>
    <row r="241" ht="15.75" customHeight="1">
      <c r="D241" s="33"/>
      <c r="E241" s="34"/>
    </row>
    <row r="242" ht="15.75" customHeight="1">
      <c r="D242" s="33"/>
      <c r="E242" s="34"/>
    </row>
    <row r="243" ht="15.75" customHeight="1">
      <c r="D243" s="33"/>
      <c r="E243" s="34"/>
    </row>
    <row r="244" ht="15.75" customHeight="1">
      <c r="D244" s="33"/>
      <c r="E244" s="34"/>
    </row>
    <row r="245" ht="15.75" customHeight="1">
      <c r="D245" s="33"/>
      <c r="E245" s="34"/>
    </row>
    <row r="246" ht="15.75" customHeight="1">
      <c r="D246" s="33"/>
      <c r="E246" s="34"/>
    </row>
    <row r="247" ht="15.75" customHeight="1">
      <c r="D247" s="33"/>
      <c r="E247" s="34"/>
    </row>
    <row r="248" ht="15.75" customHeight="1">
      <c r="D248" s="33"/>
      <c r="E248" s="34"/>
    </row>
    <row r="249" ht="15.75" customHeight="1">
      <c r="D249" s="33"/>
      <c r="E249" s="34"/>
    </row>
    <row r="250" ht="15.75" customHeight="1">
      <c r="D250" s="33"/>
      <c r="E250" s="34"/>
    </row>
    <row r="251" ht="15.75" customHeight="1">
      <c r="D251" s="33"/>
      <c r="E251" s="34"/>
    </row>
    <row r="252" ht="15.75" customHeight="1">
      <c r="D252" s="33"/>
      <c r="E252" s="34"/>
    </row>
    <row r="253" ht="15.75" customHeight="1">
      <c r="D253" s="33"/>
      <c r="E253" s="34"/>
    </row>
    <row r="254" ht="15.75" customHeight="1">
      <c r="D254" s="33"/>
      <c r="E254" s="34"/>
    </row>
    <row r="255" ht="15.75" customHeight="1">
      <c r="D255" s="33"/>
      <c r="E255" s="34"/>
    </row>
    <row r="256" ht="15.75" customHeight="1">
      <c r="D256" s="33"/>
      <c r="E256" s="34"/>
    </row>
    <row r="257" ht="15.75" customHeight="1">
      <c r="D257" s="33"/>
      <c r="E257" s="34"/>
    </row>
    <row r="258" ht="15.75" customHeight="1">
      <c r="D258" s="33"/>
      <c r="E258" s="34"/>
    </row>
    <row r="259" ht="15.75" customHeight="1">
      <c r="D259" s="33"/>
      <c r="E259" s="34"/>
    </row>
    <row r="260" ht="15.75" customHeight="1">
      <c r="D260" s="33"/>
      <c r="E260" s="34"/>
    </row>
    <row r="261" ht="15.75" customHeight="1">
      <c r="D261" s="33"/>
      <c r="E261" s="34"/>
    </row>
    <row r="262" ht="15.75" customHeight="1">
      <c r="D262" s="33"/>
      <c r="E262" s="34"/>
    </row>
    <row r="263" ht="15.75" customHeight="1">
      <c r="D263" s="33"/>
      <c r="E263" s="34"/>
    </row>
    <row r="264" ht="15.75" customHeight="1">
      <c r="D264" s="33"/>
      <c r="E264" s="34"/>
    </row>
    <row r="265" ht="15.75" customHeight="1">
      <c r="D265" s="33"/>
      <c r="E265" s="34"/>
    </row>
    <row r="266" ht="15.75" customHeight="1">
      <c r="D266" s="33"/>
      <c r="E266" s="34"/>
    </row>
    <row r="267" ht="15.75" customHeight="1">
      <c r="D267" s="33"/>
      <c r="E267" s="34"/>
    </row>
    <row r="268" ht="15.75" customHeight="1">
      <c r="D268" s="33"/>
      <c r="E268" s="34"/>
    </row>
    <row r="269" ht="15.75" customHeight="1">
      <c r="D269" s="33"/>
      <c r="E269" s="34"/>
    </row>
    <row r="270" ht="15.75" customHeight="1">
      <c r="D270" s="33"/>
      <c r="E270" s="34"/>
    </row>
    <row r="271" ht="15.75" customHeight="1">
      <c r="D271" s="33"/>
      <c r="E271" s="34"/>
    </row>
    <row r="272" ht="15.75" customHeight="1">
      <c r="D272" s="33"/>
      <c r="E272" s="34"/>
    </row>
    <row r="273" ht="15.75" customHeight="1">
      <c r="D273" s="33"/>
      <c r="E273" s="34"/>
    </row>
    <row r="274" ht="15.75" customHeight="1">
      <c r="D274" s="33"/>
      <c r="E274" s="34"/>
    </row>
    <row r="275" ht="15.75" customHeight="1">
      <c r="D275" s="33"/>
      <c r="E275" s="34"/>
    </row>
    <row r="276" ht="15.75" customHeight="1">
      <c r="D276" s="33"/>
      <c r="E276" s="34"/>
    </row>
    <row r="277" ht="15.75" customHeight="1">
      <c r="D277" s="33"/>
      <c r="E277" s="34"/>
    </row>
    <row r="278" ht="15.75" customHeight="1">
      <c r="D278" s="33"/>
      <c r="E278" s="34"/>
    </row>
    <row r="279" ht="15.75" customHeight="1">
      <c r="D279" s="33"/>
      <c r="E279" s="34"/>
    </row>
    <row r="280" ht="15.75" customHeight="1">
      <c r="D280" s="33"/>
      <c r="E280" s="34"/>
    </row>
    <row r="281" ht="15.75" customHeight="1">
      <c r="D281" s="33"/>
      <c r="E281" s="34"/>
    </row>
    <row r="282" ht="15.75" customHeight="1">
      <c r="D282" s="33"/>
      <c r="E282" s="34"/>
    </row>
    <row r="283" ht="15.75" customHeight="1">
      <c r="D283" s="33"/>
      <c r="E283" s="34"/>
    </row>
    <row r="284" ht="15.75" customHeight="1">
      <c r="D284" s="33"/>
      <c r="E284" s="34"/>
    </row>
    <row r="285" ht="15.75" customHeight="1">
      <c r="D285" s="33"/>
      <c r="E285" s="34"/>
    </row>
    <row r="286" ht="15.75" customHeight="1">
      <c r="D286" s="33"/>
      <c r="E286" s="34"/>
    </row>
    <row r="287" ht="15.75" customHeight="1">
      <c r="D287" s="33"/>
      <c r="E287" s="34"/>
    </row>
    <row r="288" ht="15.75" customHeight="1">
      <c r="D288" s="33"/>
      <c r="E288" s="34"/>
    </row>
    <row r="289" ht="15.75" customHeight="1">
      <c r="D289" s="33"/>
      <c r="E289" s="34"/>
    </row>
    <row r="290" ht="15.75" customHeight="1">
      <c r="D290" s="33"/>
      <c r="E290" s="34"/>
    </row>
    <row r="291" ht="15.75" customHeight="1">
      <c r="D291" s="33"/>
      <c r="E291" s="34"/>
    </row>
    <row r="292" ht="15.75" customHeight="1">
      <c r="D292" s="33"/>
      <c r="E292" s="34"/>
    </row>
    <row r="293" ht="15.75" customHeight="1">
      <c r="D293" s="33"/>
      <c r="E293" s="34"/>
    </row>
    <row r="294" ht="15.75" customHeight="1">
      <c r="D294" s="33"/>
      <c r="E294" s="34"/>
    </row>
    <row r="295" ht="15.75" customHeight="1">
      <c r="D295" s="33"/>
      <c r="E295" s="34"/>
    </row>
    <row r="296" ht="15.75" customHeight="1">
      <c r="D296" s="33"/>
      <c r="E296" s="34"/>
    </row>
    <row r="297" ht="15.75" customHeight="1">
      <c r="D297" s="33"/>
      <c r="E297" s="34"/>
    </row>
    <row r="298" ht="15.75" customHeight="1">
      <c r="D298" s="33"/>
      <c r="E298" s="34"/>
    </row>
    <row r="299" ht="15.75" customHeight="1">
      <c r="D299" s="33"/>
      <c r="E299" s="34"/>
    </row>
    <row r="300" ht="15.75" customHeight="1">
      <c r="D300" s="33"/>
      <c r="E300" s="34"/>
    </row>
    <row r="301" ht="15.75" customHeight="1">
      <c r="D301" s="33"/>
      <c r="E301" s="34"/>
    </row>
    <row r="302" ht="15.75" customHeight="1">
      <c r="D302" s="33"/>
      <c r="E302" s="34"/>
    </row>
    <row r="303" ht="15.75" customHeight="1">
      <c r="D303" s="33"/>
      <c r="E303" s="34"/>
    </row>
    <row r="304" ht="15.75" customHeight="1">
      <c r="D304" s="33"/>
      <c r="E304" s="34"/>
    </row>
    <row r="305" ht="15.75" customHeight="1">
      <c r="D305" s="33"/>
      <c r="E305" s="34"/>
    </row>
    <row r="306" ht="15.75" customHeight="1">
      <c r="D306" s="33"/>
      <c r="E306" s="34"/>
    </row>
    <row r="307" ht="15.75" customHeight="1">
      <c r="D307" s="33"/>
      <c r="E307" s="34"/>
    </row>
    <row r="308" ht="15.75" customHeight="1">
      <c r="D308" s="33"/>
      <c r="E308" s="34"/>
    </row>
    <row r="309" ht="15.75" customHeight="1">
      <c r="D309" s="33"/>
      <c r="E309" s="34"/>
    </row>
    <row r="310" ht="15.75" customHeight="1">
      <c r="D310" s="33"/>
      <c r="E310" s="34"/>
    </row>
    <row r="311" ht="15.75" customHeight="1">
      <c r="D311" s="33"/>
      <c r="E311" s="34"/>
    </row>
    <row r="312" ht="15.75" customHeight="1">
      <c r="D312" s="33"/>
      <c r="E312" s="34"/>
    </row>
    <row r="313" ht="15.75" customHeight="1">
      <c r="D313" s="33"/>
      <c r="E313" s="34"/>
    </row>
    <row r="314" ht="15.75" customHeight="1">
      <c r="D314" s="33"/>
      <c r="E314" s="34"/>
    </row>
    <row r="315" ht="15.75" customHeight="1">
      <c r="D315" s="33"/>
      <c r="E315" s="34"/>
    </row>
    <row r="316" ht="15.75" customHeight="1">
      <c r="D316" s="33"/>
      <c r="E316" s="34"/>
    </row>
    <row r="317" ht="15.75" customHeight="1">
      <c r="D317" s="33"/>
      <c r="E317" s="34"/>
    </row>
    <row r="318" ht="15.75" customHeight="1">
      <c r="D318" s="33"/>
      <c r="E318" s="34"/>
    </row>
    <row r="319" ht="15.75" customHeight="1">
      <c r="D319" s="33"/>
      <c r="E319" s="34"/>
    </row>
    <row r="320" ht="15.75" customHeight="1">
      <c r="D320" s="33"/>
      <c r="E320" s="34"/>
    </row>
    <row r="321" ht="15.75" customHeight="1">
      <c r="D321" s="33"/>
      <c r="E321" s="34"/>
    </row>
    <row r="322" ht="15.75" customHeight="1">
      <c r="D322" s="33"/>
      <c r="E322" s="34"/>
    </row>
    <row r="323" ht="15.75" customHeight="1">
      <c r="D323" s="33"/>
      <c r="E323" s="34"/>
    </row>
    <row r="324" ht="15.75" customHeight="1">
      <c r="D324" s="33"/>
      <c r="E324" s="34"/>
    </row>
    <row r="325" ht="15.75" customHeight="1">
      <c r="D325" s="33"/>
      <c r="E325" s="34"/>
    </row>
    <row r="326" ht="15.75" customHeight="1">
      <c r="D326" s="33"/>
      <c r="E326" s="34"/>
    </row>
    <row r="327" ht="15.75" customHeight="1">
      <c r="D327" s="33"/>
      <c r="E327" s="34"/>
    </row>
    <row r="328" ht="15.75" customHeight="1">
      <c r="D328" s="33"/>
      <c r="E328" s="34"/>
    </row>
    <row r="329" ht="15.75" customHeight="1">
      <c r="D329" s="33"/>
      <c r="E329" s="34"/>
    </row>
    <row r="330" ht="15.75" customHeight="1">
      <c r="D330" s="33"/>
      <c r="E330" s="34"/>
    </row>
    <row r="331" ht="15.75" customHeight="1">
      <c r="D331" s="33"/>
      <c r="E331" s="34"/>
    </row>
    <row r="332" ht="15.75" customHeight="1">
      <c r="D332" s="33"/>
      <c r="E332" s="34"/>
    </row>
    <row r="333" ht="15.75" customHeight="1">
      <c r="D333" s="33"/>
      <c r="E333" s="34"/>
    </row>
    <row r="334" ht="15.75" customHeight="1">
      <c r="D334" s="33"/>
      <c r="E334" s="34"/>
    </row>
    <row r="335" ht="15.75" customHeight="1">
      <c r="D335" s="33"/>
      <c r="E335" s="34"/>
    </row>
    <row r="336" ht="15.75" customHeight="1">
      <c r="D336" s="33"/>
      <c r="E336" s="34"/>
    </row>
    <row r="337" ht="15.75" customHeight="1">
      <c r="D337" s="33"/>
      <c r="E337" s="34"/>
    </row>
    <row r="338" ht="15.75" customHeight="1">
      <c r="D338" s="33"/>
      <c r="E338" s="34"/>
    </row>
    <row r="339" ht="15.75" customHeight="1">
      <c r="D339" s="33"/>
      <c r="E339" s="34"/>
    </row>
    <row r="340" ht="15.75" customHeight="1">
      <c r="D340" s="33"/>
      <c r="E340" s="34"/>
    </row>
    <row r="341" ht="15.75" customHeight="1">
      <c r="D341" s="33"/>
      <c r="E341" s="34"/>
    </row>
    <row r="342" ht="15.75" customHeight="1">
      <c r="D342" s="33"/>
      <c r="E342" s="34"/>
    </row>
    <row r="343" ht="15.75" customHeight="1">
      <c r="D343" s="33"/>
      <c r="E343" s="34"/>
    </row>
    <row r="344" ht="15.75" customHeight="1">
      <c r="D344" s="33"/>
      <c r="E344" s="34"/>
    </row>
    <row r="345" ht="15.75" customHeight="1">
      <c r="D345" s="33"/>
      <c r="E345" s="34"/>
    </row>
    <row r="346" ht="15.75" customHeight="1">
      <c r="D346" s="33"/>
      <c r="E346" s="34"/>
    </row>
    <row r="347" ht="15.75" customHeight="1">
      <c r="D347" s="33"/>
      <c r="E347" s="34"/>
    </row>
    <row r="348" ht="15.75" customHeight="1">
      <c r="D348" s="33"/>
      <c r="E348" s="34"/>
    </row>
    <row r="349" ht="15.75" customHeight="1">
      <c r="D349" s="33"/>
      <c r="E349" s="34"/>
    </row>
    <row r="350" ht="15.75" customHeight="1">
      <c r="D350" s="33"/>
      <c r="E350" s="34"/>
    </row>
    <row r="351" ht="15.75" customHeight="1">
      <c r="D351" s="33"/>
      <c r="E351" s="34"/>
    </row>
    <row r="352" ht="15.75" customHeight="1">
      <c r="D352" s="33"/>
      <c r="E352" s="34"/>
    </row>
    <row r="353" ht="15.75" customHeight="1">
      <c r="D353" s="33"/>
      <c r="E353" s="34"/>
    </row>
    <row r="354" ht="15.75" customHeight="1">
      <c r="D354" s="33"/>
      <c r="E354" s="34"/>
    </row>
    <row r="355" ht="15.75" customHeight="1">
      <c r="D355" s="33"/>
      <c r="E355" s="34"/>
    </row>
    <row r="356" ht="15.75" customHeight="1">
      <c r="D356" s="33"/>
      <c r="E356" s="34"/>
    </row>
    <row r="357" ht="15.75" customHeight="1">
      <c r="D357" s="33"/>
      <c r="E357" s="34"/>
    </row>
    <row r="358" ht="15.75" customHeight="1">
      <c r="D358" s="33"/>
      <c r="E358" s="34"/>
    </row>
    <row r="359" ht="15.75" customHeight="1">
      <c r="D359" s="33"/>
      <c r="E359" s="34"/>
    </row>
    <row r="360" ht="15.75" customHeight="1">
      <c r="D360" s="33"/>
      <c r="E360" s="34"/>
    </row>
    <row r="361" ht="15.75" customHeight="1">
      <c r="D361" s="33"/>
      <c r="E361" s="34"/>
    </row>
    <row r="362" ht="15.75" customHeight="1">
      <c r="D362" s="33"/>
      <c r="E362" s="34"/>
    </row>
    <row r="363" ht="15.75" customHeight="1">
      <c r="D363" s="33"/>
      <c r="E363" s="34"/>
    </row>
    <row r="364" ht="15.75" customHeight="1">
      <c r="D364" s="33"/>
      <c r="E364" s="34"/>
    </row>
    <row r="365" ht="15.75" customHeight="1">
      <c r="D365" s="33"/>
      <c r="E365" s="34"/>
    </row>
    <row r="366" ht="15.75" customHeight="1">
      <c r="D366" s="33"/>
      <c r="E366" s="34"/>
    </row>
    <row r="367" ht="15.75" customHeight="1">
      <c r="D367" s="33"/>
      <c r="E367" s="34"/>
    </row>
    <row r="368" ht="15.75" customHeight="1">
      <c r="D368" s="33"/>
      <c r="E368" s="34"/>
    </row>
    <row r="369" ht="15.75" customHeight="1">
      <c r="D369" s="33"/>
      <c r="E369" s="34"/>
    </row>
    <row r="370" ht="15.75" customHeight="1">
      <c r="D370" s="33"/>
      <c r="E370" s="34"/>
    </row>
    <row r="371" ht="15.75" customHeight="1">
      <c r="D371" s="33"/>
      <c r="E371" s="34"/>
    </row>
    <row r="372" ht="15.75" customHeight="1">
      <c r="D372" s="33"/>
      <c r="E372" s="34"/>
    </row>
    <row r="373" ht="15.75" customHeight="1">
      <c r="D373" s="33"/>
      <c r="E373" s="34"/>
    </row>
    <row r="374" ht="15.75" customHeight="1">
      <c r="D374" s="33"/>
      <c r="E374" s="34"/>
    </row>
    <row r="375" ht="15.75" customHeight="1">
      <c r="D375" s="33"/>
      <c r="E375" s="34"/>
    </row>
    <row r="376" ht="15.75" customHeight="1">
      <c r="D376" s="33"/>
      <c r="E376" s="34"/>
    </row>
    <row r="377" ht="15.75" customHeight="1">
      <c r="D377" s="33"/>
      <c r="E377" s="34"/>
    </row>
    <row r="378" ht="15.75" customHeight="1">
      <c r="D378" s="33"/>
      <c r="E378" s="34"/>
    </row>
    <row r="379" ht="15.75" customHeight="1">
      <c r="D379" s="33"/>
      <c r="E379" s="34"/>
    </row>
    <row r="380" ht="15.75" customHeight="1">
      <c r="D380" s="33"/>
      <c r="E380" s="34"/>
    </row>
    <row r="381" ht="15.75" customHeight="1">
      <c r="D381" s="33"/>
      <c r="E381" s="34"/>
    </row>
    <row r="382" ht="15.75" customHeight="1">
      <c r="D382" s="33"/>
      <c r="E382" s="34"/>
    </row>
    <row r="383" ht="15.75" customHeight="1">
      <c r="D383" s="33"/>
      <c r="E383" s="34"/>
    </row>
    <row r="384" ht="15.75" customHeight="1">
      <c r="D384" s="33"/>
      <c r="E384" s="34"/>
    </row>
    <row r="385" ht="15.75" customHeight="1">
      <c r="D385" s="33"/>
      <c r="E385" s="34"/>
    </row>
    <row r="386" ht="15.75" customHeight="1">
      <c r="D386" s="33"/>
      <c r="E386" s="34"/>
    </row>
    <row r="387" ht="15.75" customHeight="1">
      <c r="D387" s="33"/>
      <c r="E387" s="34"/>
    </row>
    <row r="388" ht="15.75" customHeight="1">
      <c r="D388" s="33"/>
      <c r="E388" s="34"/>
    </row>
    <row r="389" ht="15.75" customHeight="1">
      <c r="D389" s="33"/>
      <c r="E389" s="34"/>
    </row>
    <row r="390" ht="15.75" customHeight="1">
      <c r="D390" s="33"/>
      <c r="E390" s="34"/>
    </row>
    <row r="391" ht="15.75" customHeight="1">
      <c r="D391" s="33"/>
      <c r="E391" s="34"/>
    </row>
    <row r="392" ht="15.75" customHeight="1">
      <c r="D392" s="33"/>
      <c r="E392" s="34"/>
    </row>
    <row r="393" ht="15.75" customHeight="1">
      <c r="D393" s="33"/>
      <c r="E393" s="34"/>
    </row>
    <row r="394" ht="15.75" customHeight="1">
      <c r="D394" s="33"/>
      <c r="E394" s="34"/>
    </row>
    <row r="395" ht="15.75" customHeight="1">
      <c r="D395" s="33"/>
      <c r="E395" s="34"/>
    </row>
    <row r="396" ht="15.75" customHeight="1">
      <c r="D396" s="33"/>
      <c r="E396" s="34"/>
    </row>
    <row r="397" ht="15.75" customHeight="1">
      <c r="D397" s="33"/>
      <c r="E397" s="34"/>
    </row>
    <row r="398" ht="15.75" customHeight="1">
      <c r="D398" s="33"/>
      <c r="E398" s="34"/>
    </row>
    <row r="399" ht="15.75" customHeight="1">
      <c r="D399" s="33"/>
      <c r="E399" s="34"/>
    </row>
    <row r="400" ht="15.75" customHeight="1">
      <c r="D400" s="33"/>
      <c r="E400" s="34"/>
    </row>
    <row r="401" ht="15.75" customHeight="1">
      <c r="D401" s="33"/>
      <c r="E401" s="34"/>
    </row>
    <row r="402" ht="15.75" customHeight="1">
      <c r="D402" s="33"/>
      <c r="E402" s="34"/>
    </row>
    <row r="403" ht="15.75" customHeight="1">
      <c r="D403" s="33"/>
      <c r="E403" s="34"/>
    </row>
    <row r="404" ht="15.75" customHeight="1">
      <c r="D404" s="33"/>
      <c r="E404" s="34"/>
    </row>
    <row r="405" ht="15.75" customHeight="1">
      <c r="D405" s="33"/>
      <c r="E405" s="34"/>
    </row>
    <row r="406" ht="15.75" customHeight="1">
      <c r="D406" s="33"/>
      <c r="E406" s="34"/>
    </row>
    <row r="407" ht="15.75" customHeight="1">
      <c r="D407" s="33"/>
      <c r="E407" s="34"/>
    </row>
    <row r="408" ht="15.75" customHeight="1">
      <c r="D408" s="33"/>
      <c r="E408" s="34"/>
    </row>
    <row r="409" ht="15.75" customHeight="1">
      <c r="D409" s="33"/>
      <c r="E409" s="34"/>
    </row>
    <row r="410" ht="15.75" customHeight="1">
      <c r="D410" s="33"/>
      <c r="E410" s="34"/>
    </row>
    <row r="411" ht="15.75" customHeight="1">
      <c r="D411" s="33"/>
      <c r="E411" s="34"/>
    </row>
    <row r="412" ht="15.75" customHeight="1">
      <c r="D412" s="33"/>
      <c r="E412" s="34"/>
    </row>
    <row r="413" ht="15.75" customHeight="1">
      <c r="D413" s="33"/>
      <c r="E413" s="34"/>
    </row>
    <row r="414" ht="15.75" customHeight="1">
      <c r="D414" s="33"/>
      <c r="E414" s="34"/>
    </row>
    <row r="415" ht="15.75" customHeight="1">
      <c r="D415" s="33"/>
      <c r="E415" s="34"/>
    </row>
    <row r="416" ht="15.75" customHeight="1">
      <c r="D416" s="33"/>
      <c r="E416" s="34"/>
    </row>
    <row r="417" ht="15.75" customHeight="1">
      <c r="D417" s="33"/>
      <c r="E417" s="34"/>
    </row>
    <row r="418" ht="15.75" customHeight="1">
      <c r="D418" s="33"/>
      <c r="E418" s="34"/>
    </row>
    <row r="419" ht="15.75" customHeight="1">
      <c r="D419" s="33"/>
      <c r="E419" s="34"/>
    </row>
    <row r="420" ht="15.75" customHeight="1">
      <c r="D420" s="33"/>
      <c r="E420" s="34"/>
    </row>
    <row r="421" ht="15.75" customHeight="1">
      <c r="D421" s="33"/>
      <c r="E421" s="34"/>
    </row>
    <row r="422" ht="15.75" customHeight="1">
      <c r="D422" s="33"/>
      <c r="E422" s="34"/>
    </row>
    <row r="423" ht="15.75" customHeight="1">
      <c r="D423" s="33"/>
      <c r="E423" s="34"/>
    </row>
    <row r="424" ht="15.75" customHeight="1">
      <c r="D424" s="33"/>
      <c r="E424" s="34"/>
    </row>
    <row r="425" ht="15.75" customHeight="1">
      <c r="D425" s="33"/>
      <c r="E425" s="34"/>
    </row>
    <row r="426" ht="15.75" customHeight="1">
      <c r="D426" s="33"/>
      <c r="E426" s="34"/>
    </row>
    <row r="427" ht="15.75" customHeight="1">
      <c r="D427" s="33"/>
      <c r="E427" s="34"/>
    </row>
    <row r="428" ht="15.75" customHeight="1">
      <c r="D428" s="33"/>
      <c r="E428" s="34"/>
    </row>
    <row r="429" ht="15.75" customHeight="1">
      <c r="D429" s="33"/>
      <c r="E429" s="34"/>
    </row>
    <row r="430" ht="15.75" customHeight="1">
      <c r="D430" s="33"/>
      <c r="E430" s="34"/>
    </row>
    <row r="431" ht="15.75" customHeight="1">
      <c r="D431" s="33"/>
      <c r="E431" s="34"/>
    </row>
    <row r="432" ht="15.75" customHeight="1">
      <c r="D432" s="33"/>
      <c r="E432" s="34"/>
    </row>
    <row r="433" ht="15.75" customHeight="1">
      <c r="D433" s="33"/>
      <c r="E433" s="34"/>
    </row>
    <row r="434" ht="15.75" customHeight="1">
      <c r="D434" s="33"/>
      <c r="E434" s="34"/>
    </row>
    <row r="435" ht="15.75" customHeight="1">
      <c r="D435" s="33"/>
      <c r="E435" s="34"/>
    </row>
    <row r="436" ht="15.75" customHeight="1">
      <c r="D436" s="33"/>
      <c r="E436" s="34"/>
    </row>
    <row r="437" ht="15.75" customHeight="1">
      <c r="D437" s="33"/>
      <c r="E437" s="34"/>
    </row>
    <row r="438" ht="15.75" customHeight="1">
      <c r="D438" s="33"/>
      <c r="E438" s="34"/>
    </row>
    <row r="439" ht="15.75" customHeight="1">
      <c r="D439" s="33"/>
      <c r="E439" s="34"/>
    </row>
    <row r="440" ht="15.75" customHeight="1">
      <c r="D440" s="33"/>
      <c r="E440" s="34"/>
    </row>
    <row r="441" ht="15.75" customHeight="1">
      <c r="D441" s="33"/>
      <c r="E441" s="34"/>
    </row>
    <row r="442" ht="15.75" customHeight="1">
      <c r="D442" s="33"/>
      <c r="E442" s="34"/>
    </row>
    <row r="443" ht="15.75" customHeight="1">
      <c r="D443" s="33"/>
      <c r="E443" s="34"/>
    </row>
    <row r="444" ht="15.75" customHeight="1">
      <c r="D444" s="33"/>
      <c r="E444" s="34"/>
    </row>
    <row r="445" ht="15.75" customHeight="1">
      <c r="D445" s="33"/>
      <c r="E445" s="34"/>
    </row>
    <row r="446" ht="15.75" customHeight="1">
      <c r="D446" s="33"/>
      <c r="E446" s="34"/>
    </row>
    <row r="447" ht="15.75" customHeight="1">
      <c r="D447" s="33"/>
      <c r="E447" s="34"/>
    </row>
    <row r="448" ht="15.75" customHeight="1">
      <c r="D448" s="33"/>
      <c r="E448" s="34"/>
    </row>
    <row r="449" ht="15.75" customHeight="1">
      <c r="D449" s="33"/>
      <c r="E449" s="34"/>
    </row>
    <row r="450" ht="15.75" customHeight="1">
      <c r="D450" s="33"/>
      <c r="E450" s="34"/>
    </row>
    <row r="451" ht="15.75" customHeight="1">
      <c r="D451" s="33"/>
      <c r="E451" s="34"/>
    </row>
    <row r="452" ht="15.75" customHeight="1">
      <c r="D452" s="33"/>
      <c r="E452" s="34"/>
    </row>
    <row r="453" ht="15.75" customHeight="1">
      <c r="D453" s="33"/>
      <c r="E453" s="34"/>
    </row>
    <row r="454" ht="15.75" customHeight="1">
      <c r="D454" s="33"/>
      <c r="E454" s="34"/>
    </row>
    <row r="455" ht="15.75" customHeight="1">
      <c r="D455" s="33"/>
      <c r="E455" s="34"/>
    </row>
    <row r="456" ht="15.75" customHeight="1">
      <c r="D456" s="33"/>
      <c r="E456" s="34"/>
    </row>
    <row r="457" ht="15.75" customHeight="1">
      <c r="D457" s="33"/>
      <c r="E457" s="34"/>
    </row>
    <row r="458" ht="15.75" customHeight="1">
      <c r="D458" s="33"/>
      <c r="E458" s="34"/>
    </row>
    <row r="459" ht="15.75" customHeight="1">
      <c r="D459" s="33"/>
      <c r="E459" s="34"/>
    </row>
    <row r="460" ht="15.75" customHeight="1">
      <c r="D460" s="33"/>
      <c r="E460" s="34"/>
    </row>
    <row r="461" ht="15.75" customHeight="1">
      <c r="D461" s="33"/>
      <c r="E461" s="34"/>
    </row>
    <row r="462" ht="15.75" customHeight="1">
      <c r="D462" s="33"/>
      <c r="E462" s="34"/>
    </row>
    <row r="463" ht="15.75" customHeight="1">
      <c r="D463" s="33"/>
      <c r="E463" s="34"/>
    </row>
    <row r="464" ht="15.75" customHeight="1">
      <c r="D464" s="33"/>
      <c r="E464" s="34"/>
    </row>
    <row r="465" ht="15.75" customHeight="1">
      <c r="D465" s="33"/>
      <c r="E465" s="34"/>
    </row>
    <row r="466" ht="15.75" customHeight="1">
      <c r="D466" s="33"/>
      <c r="E466" s="34"/>
    </row>
    <row r="467" ht="15.75" customHeight="1">
      <c r="D467" s="33"/>
      <c r="E467" s="34"/>
    </row>
    <row r="468" ht="15.75" customHeight="1">
      <c r="D468" s="33"/>
      <c r="E468" s="34"/>
    </row>
    <row r="469" ht="15.75" customHeight="1">
      <c r="D469" s="33"/>
      <c r="E469" s="34"/>
    </row>
    <row r="470" ht="15.75" customHeight="1">
      <c r="D470" s="33"/>
      <c r="E470" s="34"/>
    </row>
    <row r="471" ht="15.75" customHeight="1">
      <c r="D471" s="33"/>
      <c r="E471" s="34"/>
    </row>
    <row r="472" ht="15.75" customHeight="1">
      <c r="D472" s="33"/>
      <c r="E472" s="34"/>
    </row>
    <row r="473" ht="15.75" customHeight="1">
      <c r="D473" s="33"/>
      <c r="E473" s="34"/>
    </row>
    <row r="474" ht="15.75" customHeight="1">
      <c r="D474" s="33"/>
      <c r="E474" s="34"/>
    </row>
    <row r="475" ht="15.75" customHeight="1">
      <c r="D475" s="33"/>
      <c r="E475" s="34"/>
    </row>
    <row r="476" ht="15.75" customHeight="1">
      <c r="D476" s="33"/>
      <c r="E476" s="34"/>
    </row>
    <row r="477" ht="15.75" customHeight="1">
      <c r="D477" s="33"/>
      <c r="E477" s="34"/>
    </row>
    <row r="478" ht="15.75" customHeight="1">
      <c r="D478" s="33"/>
      <c r="E478" s="34"/>
    </row>
    <row r="479" ht="15.75" customHeight="1">
      <c r="D479" s="33"/>
      <c r="E479" s="34"/>
    </row>
    <row r="480" ht="15.75" customHeight="1">
      <c r="D480" s="33"/>
      <c r="E480" s="34"/>
    </row>
    <row r="481" ht="15.75" customHeight="1">
      <c r="D481" s="33"/>
      <c r="E481" s="34"/>
    </row>
    <row r="482" ht="15.75" customHeight="1">
      <c r="D482" s="33"/>
      <c r="E482" s="34"/>
    </row>
    <row r="483" ht="15.75" customHeight="1">
      <c r="D483" s="33"/>
      <c r="E483" s="34"/>
    </row>
    <row r="484" ht="15.75" customHeight="1">
      <c r="D484" s="33"/>
      <c r="E484" s="34"/>
    </row>
    <row r="485" ht="15.75" customHeight="1">
      <c r="D485" s="33"/>
      <c r="E485" s="34"/>
    </row>
    <row r="486" ht="15.75" customHeight="1">
      <c r="D486" s="33"/>
      <c r="E486" s="34"/>
    </row>
    <row r="487" ht="15.75" customHeight="1">
      <c r="D487" s="33"/>
      <c r="E487" s="34"/>
    </row>
    <row r="488" ht="15.75" customHeight="1">
      <c r="D488" s="33"/>
      <c r="E488" s="34"/>
    </row>
    <row r="489" ht="15.75" customHeight="1">
      <c r="D489" s="33"/>
      <c r="E489" s="34"/>
    </row>
    <row r="490" ht="15.75" customHeight="1">
      <c r="D490" s="33"/>
      <c r="E490" s="34"/>
    </row>
    <row r="491" ht="15.75" customHeight="1">
      <c r="D491" s="33"/>
      <c r="E491" s="34"/>
    </row>
    <row r="492" ht="15.75" customHeight="1">
      <c r="D492" s="33"/>
      <c r="E492" s="34"/>
    </row>
    <row r="493" ht="15.75" customHeight="1">
      <c r="D493" s="33"/>
      <c r="E493" s="34"/>
    </row>
    <row r="494" ht="15.75" customHeight="1">
      <c r="D494" s="33"/>
      <c r="E494" s="34"/>
    </row>
    <row r="495" ht="15.75" customHeight="1">
      <c r="D495" s="33"/>
      <c r="E495" s="34"/>
    </row>
    <row r="496" ht="15.75" customHeight="1">
      <c r="D496" s="33"/>
      <c r="E496" s="34"/>
    </row>
    <row r="497" ht="15.75" customHeight="1">
      <c r="D497" s="33"/>
      <c r="E497" s="34"/>
    </row>
    <row r="498" ht="15.75" customHeight="1">
      <c r="D498" s="33"/>
      <c r="E498" s="34"/>
    </row>
    <row r="499" ht="15.75" customHeight="1">
      <c r="D499" s="33"/>
      <c r="E499" s="34"/>
    </row>
    <row r="500" ht="15.75" customHeight="1">
      <c r="D500" s="33"/>
      <c r="E500" s="34"/>
    </row>
    <row r="501" ht="15.75" customHeight="1">
      <c r="D501" s="33"/>
      <c r="E501" s="34"/>
    </row>
    <row r="502" ht="15.75" customHeight="1">
      <c r="D502" s="33"/>
      <c r="E502" s="34"/>
    </row>
    <row r="503" ht="15.75" customHeight="1">
      <c r="D503" s="33"/>
      <c r="E503" s="34"/>
    </row>
    <row r="504" ht="15.75" customHeight="1">
      <c r="D504" s="33"/>
      <c r="E504" s="34"/>
    </row>
    <row r="505" ht="15.75" customHeight="1">
      <c r="D505" s="33"/>
      <c r="E505" s="34"/>
    </row>
    <row r="506" ht="15.75" customHeight="1">
      <c r="D506" s="33"/>
      <c r="E506" s="34"/>
    </row>
    <row r="507" ht="15.75" customHeight="1">
      <c r="D507" s="33"/>
      <c r="E507" s="34"/>
    </row>
    <row r="508" ht="15.75" customHeight="1">
      <c r="D508" s="33"/>
      <c r="E508" s="34"/>
    </row>
    <row r="509" ht="15.75" customHeight="1">
      <c r="D509" s="33"/>
      <c r="E509" s="34"/>
    </row>
    <row r="510" ht="15.75" customHeight="1">
      <c r="D510" s="33"/>
      <c r="E510" s="34"/>
    </row>
    <row r="511" ht="15.75" customHeight="1">
      <c r="D511" s="33"/>
      <c r="E511" s="34"/>
    </row>
    <row r="512" ht="15.75" customHeight="1">
      <c r="D512" s="33"/>
      <c r="E512" s="34"/>
    </row>
    <row r="513" ht="15.75" customHeight="1">
      <c r="D513" s="33"/>
      <c r="E513" s="34"/>
    </row>
    <row r="514" ht="15.75" customHeight="1">
      <c r="D514" s="33"/>
      <c r="E514" s="34"/>
    </row>
    <row r="515" ht="15.75" customHeight="1">
      <c r="D515" s="33"/>
      <c r="E515" s="34"/>
    </row>
    <row r="516" ht="15.75" customHeight="1">
      <c r="D516" s="33"/>
      <c r="E516" s="34"/>
    </row>
    <row r="517" ht="15.75" customHeight="1">
      <c r="D517" s="33"/>
      <c r="E517" s="34"/>
    </row>
    <row r="518" ht="15.75" customHeight="1">
      <c r="D518" s="33"/>
      <c r="E518" s="34"/>
    </row>
    <row r="519" ht="15.75" customHeight="1">
      <c r="D519" s="33"/>
      <c r="E519" s="34"/>
    </row>
    <row r="520" ht="15.75" customHeight="1">
      <c r="D520" s="33"/>
      <c r="E520" s="34"/>
    </row>
    <row r="521" ht="15.75" customHeight="1">
      <c r="D521" s="33"/>
      <c r="E521" s="34"/>
    </row>
    <row r="522" ht="15.75" customHeight="1">
      <c r="D522" s="33"/>
      <c r="E522" s="34"/>
    </row>
    <row r="523" ht="15.75" customHeight="1">
      <c r="D523" s="33"/>
      <c r="E523" s="34"/>
    </row>
    <row r="524" ht="15.75" customHeight="1">
      <c r="D524" s="33"/>
      <c r="E524" s="34"/>
    </row>
    <row r="525" ht="15.75" customHeight="1">
      <c r="D525" s="33"/>
      <c r="E525" s="34"/>
    </row>
    <row r="526" ht="15.75" customHeight="1">
      <c r="D526" s="33"/>
      <c r="E526" s="34"/>
    </row>
    <row r="527" ht="15.75" customHeight="1">
      <c r="D527" s="33"/>
      <c r="E527" s="34"/>
    </row>
    <row r="528" ht="15.75" customHeight="1">
      <c r="D528" s="33"/>
      <c r="E528" s="34"/>
    </row>
    <row r="529" ht="15.75" customHeight="1">
      <c r="D529" s="33"/>
      <c r="E529" s="34"/>
    </row>
    <row r="530" ht="15.75" customHeight="1">
      <c r="D530" s="33"/>
      <c r="E530" s="34"/>
    </row>
    <row r="531" ht="15.75" customHeight="1">
      <c r="D531" s="33"/>
      <c r="E531" s="34"/>
    </row>
    <row r="532" ht="15.75" customHeight="1">
      <c r="D532" s="33"/>
      <c r="E532" s="34"/>
    </row>
    <row r="533" ht="15.75" customHeight="1">
      <c r="D533" s="33"/>
      <c r="E533" s="34"/>
    </row>
    <row r="534" ht="15.75" customHeight="1">
      <c r="D534" s="33"/>
      <c r="E534" s="34"/>
    </row>
    <row r="535" ht="15.75" customHeight="1">
      <c r="D535" s="33"/>
      <c r="E535" s="34"/>
    </row>
    <row r="536" ht="15.75" customHeight="1">
      <c r="D536" s="33"/>
      <c r="E536" s="34"/>
    </row>
    <row r="537" ht="15.75" customHeight="1">
      <c r="D537" s="33"/>
      <c r="E537" s="34"/>
    </row>
    <row r="538" ht="15.75" customHeight="1">
      <c r="D538" s="33"/>
      <c r="E538" s="34"/>
    </row>
    <row r="539" ht="15.75" customHeight="1">
      <c r="D539" s="33"/>
      <c r="E539" s="34"/>
    </row>
    <row r="540" ht="15.75" customHeight="1">
      <c r="D540" s="33"/>
      <c r="E540" s="34"/>
    </row>
    <row r="541" ht="15.75" customHeight="1">
      <c r="D541" s="33"/>
      <c r="E541" s="34"/>
    </row>
    <row r="542" ht="15.75" customHeight="1">
      <c r="D542" s="33"/>
      <c r="E542" s="34"/>
    </row>
    <row r="543" ht="15.75" customHeight="1">
      <c r="D543" s="33"/>
      <c r="E543" s="34"/>
    </row>
    <row r="544" ht="15.75" customHeight="1">
      <c r="D544" s="33"/>
      <c r="E544" s="34"/>
    </row>
    <row r="545" ht="15.75" customHeight="1">
      <c r="D545" s="33"/>
      <c r="E545" s="34"/>
    </row>
    <row r="546" ht="15.75" customHeight="1">
      <c r="D546" s="33"/>
      <c r="E546" s="34"/>
    </row>
    <row r="547" ht="15.75" customHeight="1">
      <c r="D547" s="33"/>
      <c r="E547" s="34"/>
    </row>
    <row r="548" ht="15.75" customHeight="1">
      <c r="D548" s="33"/>
      <c r="E548" s="34"/>
    </row>
    <row r="549" ht="15.75" customHeight="1">
      <c r="D549" s="33"/>
      <c r="E549" s="34"/>
    </row>
    <row r="550" ht="15.75" customHeight="1">
      <c r="D550" s="33"/>
      <c r="E550" s="34"/>
    </row>
    <row r="551" ht="15.75" customHeight="1">
      <c r="D551" s="33"/>
      <c r="E551" s="34"/>
    </row>
    <row r="552" ht="15.75" customHeight="1">
      <c r="D552" s="33"/>
      <c r="E552" s="34"/>
    </row>
    <row r="553" ht="15.75" customHeight="1">
      <c r="D553" s="33"/>
      <c r="E553" s="34"/>
    </row>
    <row r="554" ht="15.75" customHeight="1">
      <c r="D554" s="33"/>
      <c r="E554" s="34"/>
    </row>
    <row r="555" ht="15.75" customHeight="1">
      <c r="D555" s="33"/>
      <c r="E555" s="34"/>
    </row>
    <row r="556" ht="15.75" customHeight="1">
      <c r="D556" s="33"/>
      <c r="E556" s="34"/>
    </row>
    <row r="557" ht="15.75" customHeight="1">
      <c r="D557" s="33"/>
      <c r="E557" s="34"/>
    </row>
    <row r="558" ht="15.75" customHeight="1">
      <c r="D558" s="33"/>
      <c r="E558" s="34"/>
    </row>
    <row r="559" ht="15.75" customHeight="1">
      <c r="D559" s="33"/>
      <c r="E559" s="34"/>
    </row>
    <row r="560" ht="15.75" customHeight="1">
      <c r="D560" s="33"/>
      <c r="E560" s="34"/>
    </row>
    <row r="561" ht="15.75" customHeight="1">
      <c r="D561" s="33"/>
      <c r="E561" s="34"/>
    </row>
    <row r="562" ht="15.75" customHeight="1">
      <c r="D562" s="33"/>
      <c r="E562" s="34"/>
    </row>
    <row r="563" ht="15.75" customHeight="1">
      <c r="D563" s="33"/>
      <c r="E563" s="34"/>
    </row>
    <row r="564" ht="15.75" customHeight="1">
      <c r="D564" s="33"/>
      <c r="E564" s="34"/>
    </row>
    <row r="565" ht="15.75" customHeight="1">
      <c r="D565" s="33"/>
      <c r="E565" s="34"/>
    </row>
    <row r="566" ht="15.75" customHeight="1">
      <c r="D566" s="33"/>
      <c r="E566" s="34"/>
    </row>
    <row r="567" ht="15.75" customHeight="1">
      <c r="D567" s="33"/>
      <c r="E567" s="34"/>
    </row>
    <row r="568" ht="15.75" customHeight="1">
      <c r="D568" s="33"/>
      <c r="E568" s="34"/>
    </row>
    <row r="569" ht="15.75" customHeight="1">
      <c r="D569" s="33"/>
      <c r="E569" s="34"/>
    </row>
    <row r="570" ht="15.75" customHeight="1">
      <c r="D570" s="33"/>
      <c r="E570" s="34"/>
    </row>
    <row r="571" ht="15.75" customHeight="1">
      <c r="D571" s="33"/>
      <c r="E571" s="34"/>
    </row>
    <row r="572" ht="15.75" customHeight="1">
      <c r="D572" s="33"/>
      <c r="E572" s="34"/>
    </row>
    <row r="573" ht="15.75" customHeight="1">
      <c r="D573" s="33"/>
      <c r="E573" s="34"/>
    </row>
    <row r="574" ht="15.75" customHeight="1">
      <c r="D574" s="33"/>
      <c r="E574" s="34"/>
    </row>
    <row r="575" ht="15.75" customHeight="1">
      <c r="D575" s="33"/>
      <c r="E575" s="34"/>
    </row>
    <row r="576" ht="15.75" customHeight="1">
      <c r="D576" s="33"/>
      <c r="E576" s="34"/>
    </row>
    <row r="577" ht="15.75" customHeight="1">
      <c r="D577" s="33"/>
      <c r="E577" s="34"/>
    </row>
    <row r="578" ht="15.75" customHeight="1">
      <c r="D578" s="33"/>
      <c r="E578" s="34"/>
    </row>
    <row r="579" ht="15.75" customHeight="1">
      <c r="D579" s="33"/>
      <c r="E579" s="34"/>
    </row>
    <row r="580" ht="15.75" customHeight="1">
      <c r="D580" s="33"/>
      <c r="E580" s="34"/>
    </row>
    <row r="581" ht="15.75" customHeight="1">
      <c r="D581" s="33"/>
      <c r="E581" s="34"/>
    </row>
    <row r="582" ht="15.75" customHeight="1">
      <c r="D582" s="33"/>
      <c r="E582" s="34"/>
    </row>
    <row r="583" ht="15.75" customHeight="1">
      <c r="D583" s="33"/>
      <c r="E583" s="34"/>
    </row>
    <row r="584" ht="15.75" customHeight="1">
      <c r="D584" s="33"/>
      <c r="E584" s="34"/>
    </row>
    <row r="585" ht="15.75" customHeight="1">
      <c r="D585" s="33"/>
      <c r="E585" s="34"/>
    </row>
    <row r="586" ht="15.75" customHeight="1">
      <c r="D586" s="33"/>
      <c r="E586" s="34"/>
    </row>
    <row r="587" ht="15.75" customHeight="1">
      <c r="D587" s="33"/>
      <c r="E587" s="34"/>
    </row>
    <row r="588" ht="15.75" customHeight="1">
      <c r="D588" s="33"/>
      <c r="E588" s="34"/>
    </row>
    <row r="589" ht="15.75" customHeight="1">
      <c r="D589" s="33"/>
      <c r="E589" s="34"/>
    </row>
    <row r="590" ht="15.75" customHeight="1">
      <c r="D590" s="33"/>
      <c r="E590" s="34"/>
    </row>
    <row r="591" ht="15.75" customHeight="1">
      <c r="D591" s="33"/>
      <c r="E591" s="34"/>
    </row>
    <row r="592" ht="15.75" customHeight="1">
      <c r="D592" s="33"/>
      <c r="E592" s="34"/>
    </row>
    <row r="593" ht="15.75" customHeight="1">
      <c r="D593" s="33"/>
      <c r="E593" s="34"/>
    </row>
    <row r="594" ht="15.75" customHeight="1">
      <c r="D594" s="33"/>
      <c r="E594" s="34"/>
    </row>
    <row r="595" ht="15.75" customHeight="1">
      <c r="D595" s="33"/>
      <c r="E595" s="34"/>
    </row>
    <row r="596" ht="15.75" customHeight="1">
      <c r="D596" s="33"/>
      <c r="E596" s="34"/>
    </row>
    <row r="597" ht="15.75" customHeight="1">
      <c r="D597" s="33"/>
      <c r="E597" s="34"/>
    </row>
    <row r="598" ht="15.75" customHeight="1">
      <c r="D598" s="33"/>
      <c r="E598" s="34"/>
    </row>
    <row r="599" ht="15.75" customHeight="1">
      <c r="D599" s="33"/>
      <c r="E599" s="34"/>
    </row>
    <row r="600" ht="15.75" customHeight="1">
      <c r="D600" s="33"/>
      <c r="E600" s="34"/>
    </row>
    <row r="601" ht="15.75" customHeight="1">
      <c r="D601" s="33"/>
      <c r="E601" s="34"/>
    </row>
    <row r="602" ht="15.75" customHeight="1">
      <c r="D602" s="33"/>
      <c r="E602" s="34"/>
    </row>
    <row r="603" ht="15.75" customHeight="1">
      <c r="D603" s="33"/>
      <c r="E603" s="34"/>
    </row>
    <row r="604" ht="15.75" customHeight="1">
      <c r="D604" s="33"/>
      <c r="E604" s="34"/>
    </row>
    <row r="605" ht="15.75" customHeight="1">
      <c r="D605" s="33"/>
      <c r="E605" s="34"/>
    </row>
    <row r="606" ht="15.75" customHeight="1">
      <c r="D606" s="33"/>
      <c r="E606" s="34"/>
    </row>
    <row r="607" ht="15.75" customHeight="1">
      <c r="D607" s="33"/>
      <c r="E607" s="34"/>
    </row>
    <row r="608" ht="15.75" customHeight="1">
      <c r="D608" s="33"/>
      <c r="E608" s="34"/>
    </row>
    <row r="609" ht="15.75" customHeight="1">
      <c r="D609" s="33"/>
      <c r="E609" s="34"/>
    </row>
    <row r="610" ht="15.75" customHeight="1">
      <c r="D610" s="33"/>
      <c r="E610" s="34"/>
    </row>
    <row r="611" ht="15.75" customHeight="1">
      <c r="D611" s="33"/>
      <c r="E611" s="34"/>
    </row>
    <row r="612" ht="15.75" customHeight="1">
      <c r="D612" s="33"/>
      <c r="E612" s="34"/>
    </row>
    <row r="613" ht="15.75" customHeight="1">
      <c r="D613" s="33"/>
      <c r="E613" s="34"/>
    </row>
    <row r="614" ht="15.75" customHeight="1">
      <c r="D614" s="33"/>
      <c r="E614" s="34"/>
    </row>
    <row r="615" ht="15.75" customHeight="1">
      <c r="D615" s="33"/>
      <c r="E615" s="34"/>
    </row>
    <row r="616" ht="15.75" customHeight="1">
      <c r="D616" s="33"/>
      <c r="E616" s="34"/>
    </row>
    <row r="617" ht="15.75" customHeight="1">
      <c r="D617" s="33"/>
      <c r="E617" s="34"/>
    </row>
    <row r="618" ht="15.75" customHeight="1">
      <c r="D618" s="33"/>
      <c r="E618" s="34"/>
    </row>
    <row r="619" ht="15.75" customHeight="1">
      <c r="D619" s="33"/>
      <c r="E619" s="34"/>
    </row>
    <row r="620" ht="15.75" customHeight="1">
      <c r="D620" s="33"/>
      <c r="E620" s="34"/>
    </row>
    <row r="621" ht="15.75" customHeight="1">
      <c r="D621" s="33"/>
      <c r="E621" s="34"/>
    </row>
    <row r="622" ht="15.75" customHeight="1">
      <c r="D622" s="33"/>
      <c r="E622" s="34"/>
    </row>
    <row r="623" ht="15.75" customHeight="1">
      <c r="D623" s="33"/>
      <c r="E623" s="34"/>
    </row>
    <row r="624" ht="15.75" customHeight="1">
      <c r="D624" s="33"/>
      <c r="E624" s="34"/>
    </row>
    <row r="625" ht="15.75" customHeight="1">
      <c r="D625" s="33"/>
      <c r="E625" s="34"/>
    </row>
    <row r="626" ht="15.75" customHeight="1">
      <c r="D626" s="33"/>
      <c r="E626" s="34"/>
    </row>
    <row r="627" ht="15.75" customHeight="1">
      <c r="D627" s="33"/>
      <c r="E627" s="34"/>
    </row>
    <row r="628" ht="15.75" customHeight="1">
      <c r="D628" s="33"/>
      <c r="E628" s="34"/>
    </row>
    <row r="629" ht="15.75" customHeight="1">
      <c r="D629" s="33"/>
      <c r="E629" s="34"/>
    </row>
    <row r="630" ht="15.75" customHeight="1">
      <c r="D630" s="33"/>
      <c r="E630" s="34"/>
    </row>
    <row r="631" ht="15.75" customHeight="1">
      <c r="D631" s="33"/>
      <c r="E631" s="34"/>
    </row>
    <row r="632" ht="15.75" customHeight="1">
      <c r="D632" s="33"/>
      <c r="E632" s="34"/>
    </row>
    <row r="633" ht="15.75" customHeight="1">
      <c r="D633" s="33"/>
      <c r="E633" s="34"/>
    </row>
    <row r="634" ht="15.75" customHeight="1">
      <c r="D634" s="33"/>
      <c r="E634" s="34"/>
    </row>
    <row r="635" ht="15.75" customHeight="1">
      <c r="D635" s="33"/>
      <c r="E635" s="34"/>
    </row>
    <row r="636" ht="15.75" customHeight="1">
      <c r="D636" s="33"/>
      <c r="E636" s="34"/>
    </row>
    <row r="637" ht="15.75" customHeight="1">
      <c r="D637" s="33"/>
      <c r="E637" s="34"/>
    </row>
    <row r="638" ht="15.75" customHeight="1">
      <c r="D638" s="33"/>
      <c r="E638" s="34"/>
    </row>
    <row r="639" ht="15.75" customHeight="1">
      <c r="D639" s="33"/>
      <c r="E639" s="34"/>
    </row>
    <row r="640" ht="15.75" customHeight="1">
      <c r="D640" s="33"/>
      <c r="E640" s="34"/>
    </row>
    <row r="641" ht="15.75" customHeight="1">
      <c r="D641" s="33"/>
      <c r="E641" s="34"/>
    </row>
    <row r="642" ht="15.75" customHeight="1">
      <c r="D642" s="33"/>
      <c r="E642" s="34"/>
    </row>
    <row r="643" ht="15.75" customHeight="1">
      <c r="D643" s="33"/>
      <c r="E643" s="34"/>
    </row>
    <row r="644" ht="15.75" customHeight="1">
      <c r="D644" s="33"/>
      <c r="E644" s="34"/>
    </row>
    <row r="645" ht="15.75" customHeight="1">
      <c r="D645" s="33"/>
      <c r="E645" s="34"/>
    </row>
    <row r="646" ht="15.75" customHeight="1">
      <c r="D646" s="33"/>
      <c r="E646" s="34"/>
    </row>
    <row r="647" ht="15.75" customHeight="1">
      <c r="D647" s="33"/>
      <c r="E647" s="34"/>
    </row>
    <row r="648" ht="15.75" customHeight="1">
      <c r="D648" s="33"/>
      <c r="E648" s="34"/>
    </row>
    <row r="649" ht="15.75" customHeight="1">
      <c r="D649" s="33"/>
      <c r="E649" s="34"/>
    </row>
    <row r="650" ht="15.75" customHeight="1">
      <c r="D650" s="33"/>
      <c r="E650" s="34"/>
    </row>
    <row r="651" ht="15.75" customHeight="1">
      <c r="D651" s="33"/>
      <c r="E651" s="34"/>
    </row>
    <row r="652" ht="15.75" customHeight="1">
      <c r="D652" s="33"/>
      <c r="E652" s="34"/>
    </row>
    <row r="653" ht="15.75" customHeight="1">
      <c r="D653" s="33"/>
      <c r="E653" s="34"/>
    </row>
    <row r="654" ht="15.75" customHeight="1">
      <c r="D654" s="33"/>
      <c r="E654" s="34"/>
    </row>
    <row r="655" ht="15.75" customHeight="1">
      <c r="D655" s="33"/>
      <c r="E655" s="34"/>
    </row>
    <row r="656" ht="15.75" customHeight="1">
      <c r="D656" s="33"/>
      <c r="E656" s="34"/>
    </row>
    <row r="657" ht="15.75" customHeight="1">
      <c r="D657" s="33"/>
      <c r="E657" s="34"/>
    </row>
    <row r="658" ht="15.75" customHeight="1">
      <c r="D658" s="33"/>
      <c r="E658" s="34"/>
    </row>
    <row r="659" ht="15.75" customHeight="1">
      <c r="D659" s="33"/>
      <c r="E659" s="34"/>
    </row>
    <row r="660" ht="15.75" customHeight="1">
      <c r="D660" s="33"/>
      <c r="E660" s="34"/>
    </row>
    <row r="661" ht="15.75" customHeight="1">
      <c r="D661" s="33"/>
      <c r="E661" s="34"/>
    </row>
    <row r="662" ht="15.75" customHeight="1">
      <c r="D662" s="33"/>
      <c r="E662" s="34"/>
    </row>
    <row r="663" ht="15.75" customHeight="1">
      <c r="D663" s="33"/>
      <c r="E663" s="34"/>
    </row>
    <row r="664" ht="15.75" customHeight="1">
      <c r="D664" s="33"/>
      <c r="E664" s="34"/>
    </row>
    <row r="665" ht="15.75" customHeight="1">
      <c r="D665" s="33"/>
      <c r="E665" s="34"/>
    </row>
    <row r="666" ht="15.75" customHeight="1">
      <c r="D666" s="33"/>
      <c r="E666" s="34"/>
    </row>
    <row r="667" ht="15.75" customHeight="1">
      <c r="D667" s="33"/>
      <c r="E667" s="34"/>
    </row>
    <row r="668" ht="15.75" customHeight="1">
      <c r="D668" s="33"/>
      <c r="E668" s="34"/>
    </row>
    <row r="669" ht="15.75" customHeight="1">
      <c r="D669" s="33"/>
      <c r="E669" s="34"/>
    </row>
    <row r="670" ht="15.75" customHeight="1">
      <c r="D670" s="33"/>
      <c r="E670" s="34"/>
    </row>
    <row r="671" ht="15.75" customHeight="1">
      <c r="D671" s="33"/>
      <c r="E671" s="34"/>
    </row>
    <row r="672" ht="15.75" customHeight="1">
      <c r="D672" s="33"/>
      <c r="E672" s="34"/>
    </row>
    <row r="673" ht="15.75" customHeight="1">
      <c r="D673" s="33"/>
      <c r="E673" s="34"/>
    </row>
    <row r="674" ht="15.75" customHeight="1">
      <c r="D674" s="33"/>
      <c r="E674" s="34"/>
    </row>
    <row r="675" ht="15.75" customHeight="1">
      <c r="D675" s="33"/>
      <c r="E675" s="34"/>
    </row>
    <row r="676" ht="15.75" customHeight="1">
      <c r="D676" s="33"/>
      <c r="E676" s="34"/>
    </row>
    <row r="677" ht="15.75" customHeight="1">
      <c r="D677" s="33"/>
      <c r="E677" s="34"/>
    </row>
    <row r="678" ht="15.75" customHeight="1">
      <c r="D678" s="33"/>
      <c r="E678" s="34"/>
    </row>
    <row r="679" ht="15.75" customHeight="1">
      <c r="D679" s="33"/>
      <c r="E679" s="34"/>
    </row>
    <row r="680" ht="15.75" customHeight="1">
      <c r="D680" s="33"/>
      <c r="E680" s="34"/>
    </row>
    <row r="681" ht="15.75" customHeight="1">
      <c r="D681" s="33"/>
      <c r="E681" s="34"/>
    </row>
    <row r="682" ht="15.75" customHeight="1">
      <c r="D682" s="33"/>
      <c r="E682" s="34"/>
    </row>
    <row r="683" ht="15.75" customHeight="1">
      <c r="D683" s="33"/>
      <c r="E683" s="34"/>
    </row>
    <row r="684" ht="15.75" customHeight="1">
      <c r="D684" s="33"/>
      <c r="E684" s="34"/>
    </row>
    <row r="685" ht="15.75" customHeight="1">
      <c r="D685" s="33"/>
      <c r="E685" s="34"/>
    </row>
    <row r="686" ht="15.75" customHeight="1">
      <c r="D686" s="33"/>
      <c r="E686" s="34"/>
    </row>
    <row r="687" ht="15.75" customHeight="1">
      <c r="D687" s="33"/>
      <c r="E687" s="34"/>
    </row>
    <row r="688" ht="15.75" customHeight="1">
      <c r="D688" s="33"/>
      <c r="E688" s="34"/>
    </row>
    <row r="689" ht="15.75" customHeight="1">
      <c r="D689" s="33"/>
      <c r="E689" s="34"/>
    </row>
    <row r="690" ht="15.75" customHeight="1">
      <c r="D690" s="33"/>
      <c r="E690" s="34"/>
    </row>
    <row r="691" ht="15.75" customHeight="1">
      <c r="D691" s="33"/>
      <c r="E691" s="34"/>
    </row>
    <row r="692" ht="15.75" customHeight="1">
      <c r="D692" s="33"/>
      <c r="E692" s="34"/>
    </row>
    <row r="693" ht="15.75" customHeight="1">
      <c r="D693" s="33"/>
      <c r="E693" s="34"/>
    </row>
    <row r="694" ht="15.75" customHeight="1">
      <c r="D694" s="33"/>
      <c r="E694" s="34"/>
    </row>
    <row r="695" ht="15.75" customHeight="1">
      <c r="D695" s="33"/>
      <c r="E695" s="34"/>
    </row>
    <row r="696" ht="15.75" customHeight="1">
      <c r="D696" s="33"/>
      <c r="E696" s="34"/>
    </row>
    <row r="697" ht="15.75" customHeight="1">
      <c r="D697" s="33"/>
      <c r="E697" s="34"/>
    </row>
    <row r="698" ht="15.75" customHeight="1">
      <c r="D698" s="33"/>
      <c r="E698" s="34"/>
    </row>
    <row r="699" ht="15.75" customHeight="1">
      <c r="D699" s="33"/>
      <c r="E699" s="34"/>
    </row>
    <row r="700" ht="15.75" customHeight="1">
      <c r="D700" s="33"/>
      <c r="E700" s="34"/>
    </row>
    <row r="701" ht="15.75" customHeight="1">
      <c r="D701" s="33"/>
      <c r="E701" s="34"/>
    </row>
    <row r="702" ht="15.75" customHeight="1">
      <c r="D702" s="33"/>
      <c r="E702" s="34"/>
    </row>
    <row r="703" ht="15.75" customHeight="1">
      <c r="D703" s="33"/>
      <c r="E703" s="34"/>
    </row>
    <row r="704" ht="15.75" customHeight="1">
      <c r="D704" s="33"/>
      <c r="E704" s="34"/>
    </row>
    <row r="705" ht="15.75" customHeight="1">
      <c r="D705" s="33"/>
      <c r="E705" s="34"/>
    </row>
    <row r="706" ht="15.75" customHeight="1">
      <c r="D706" s="33"/>
      <c r="E706" s="34"/>
    </row>
    <row r="707" ht="15.75" customHeight="1">
      <c r="D707" s="33"/>
      <c r="E707" s="34"/>
    </row>
    <row r="708" ht="15.75" customHeight="1">
      <c r="D708" s="33"/>
      <c r="E708" s="34"/>
    </row>
    <row r="709" ht="15.75" customHeight="1">
      <c r="D709" s="33"/>
      <c r="E709" s="34"/>
    </row>
    <row r="710" ht="15.75" customHeight="1">
      <c r="D710" s="33"/>
      <c r="E710" s="34"/>
    </row>
    <row r="711" ht="15.75" customHeight="1">
      <c r="D711" s="33"/>
      <c r="E711" s="34"/>
    </row>
    <row r="712" ht="15.75" customHeight="1">
      <c r="D712" s="33"/>
      <c r="E712" s="34"/>
    </row>
    <row r="713" ht="15.75" customHeight="1">
      <c r="D713" s="33"/>
      <c r="E713" s="34"/>
    </row>
    <row r="714" ht="15.75" customHeight="1">
      <c r="D714" s="33"/>
      <c r="E714" s="34"/>
    </row>
    <row r="715" ht="15.75" customHeight="1">
      <c r="D715" s="33"/>
      <c r="E715" s="34"/>
    </row>
    <row r="716" ht="15.75" customHeight="1">
      <c r="D716" s="33"/>
      <c r="E716" s="34"/>
    </row>
    <row r="717" ht="15.75" customHeight="1">
      <c r="D717" s="33"/>
      <c r="E717" s="34"/>
    </row>
    <row r="718" ht="15.75" customHeight="1">
      <c r="D718" s="33"/>
      <c r="E718" s="34"/>
    </row>
    <row r="719" ht="15.75" customHeight="1">
      <c r="D719" s="33"/>
      <c r="E719" s="34"/>
    </row>
    <row r="720" ht="15.75" customHeight="1">
      <c r="D720" s="33"/>
      <c r="E720" s="34"/>
    </row>
    <row r="721" ht="15.75" customHeight="1">
      <c r="D721" s="33"/>
      <c r="E721" s="34"/>
    </row>
    <row r="722" ht="15.75" customHeight="1">
      <c r="D722" s="33"/>
      <c r="E722" s="34"/>
    </row>
    <row r="723" ht="15.75" customHeight="1">
      <c r="D723" s="33"/>
      <c r="E723" s="34"/>
    </row>
    <row r="724" ht="15.75" customHeight="1">
      <c r="D724" s="33"/>
      <c r="E724" s="34"/>
    </row>
    <row r="725" ht="15.75" customHeight="1">
      <c r="D725" s="33"/>
      <c r="E725" s="34"/>
    </row>
    <row r="726" ht="15.75" customHeight="1">
      <c r="D726" s="33"/>
      <c r="E726" s="34"/>
    </row>
    <row r="727" ht="15.75" customHeight="1">
      <c r="D727" s="33"/>
      <c r="E727" s="34"/>
    </row>
    <row r="728" ht="15.75" customHeight="1">
      <c r="D728" s="33"/>
      <c r="E728" s="34"/>
    </row>
    <row r="729" ht="15.75" customHeight="1">
      <c r="D729" s="33"/>
      <c r="E729" s="34"/>
    </row>
    <row r="730" ht="15.75" customHeight="1">
      <c r="D730" s="33"/>
      <c r="E730" s="34"/>
    </row>
    <row r="731" ht="15.75" customHeight="1">
      <c r="D731" s="33"/>
      <c r="E731" s="34"/>
    </row>
    <row r="732" ht="15.75" customHeight="1">
      <c r="D732" s="33"/>
      <c r="E732" s="34"/>
    </row>
    <row r="733" ht="15.75" customHeight="1">
      <c r="D733" s="33"/>
      <c r="E733" s="34"/>
    </row>
    <row r="734" ht="15.75" customHeight="1">
      <c r="D734" s="33"/>
      <c r="E734" s="34"/>
    </row>
    <row r="735" ht="15.75" customHeight="1">
      <c r="D735" s="33"/>
      <c r="E735" s="34"/>
    </row>
    <row r="736" ht="15.75" customHeight="1">
      <c r="D736" s="33"/>
      <c r="E736" s="34"/>
    </row>
    <row r="737" ht="15.75" customHeight="1">
      <c r="D737" s="33"/>
      <c r="E737" s="34"/>
    </row>
    <row r="738" ht="15.75" customHeight="1">
      <c r="D738" s="33"/>
      <c r="E738" s="34"/>
    </row>
    <row r="739" ht="15.75" customHeight="1">
      <c r="D739" s="33"/>
      <c r="E739" s="34"/>
    </row>
    <row r="740" ht="15.75" customHeight="1">
      <c r="D740" s="33"/>
      <c r="E740" s="34"/>
    </row>
    <row r="741" ht="15.75" customHeight="1">
      <c r="D741" s="33"/>
      <c r="E741" s="34"/>
    </row>
    <row r="742" ht="15.75" customHeight="1">
      <c r="D742" s="33"/>
      <c r="E742" s="34"/>
    </row>
    <row r="743" ht="15.75" customHeight="1">
      <c r="D743" s="33"/>
      <c r="E743" s="34"/>
    </row>
    <row r="744" ht="15.75" customHeight="1">
      <c r="D744" s="33"/>
      <c r="E744" s="34"/>
    </row>
    <row r="745" ht="15.75" customHeight="1">
      <c r="D745" s="33"/>
      <c r="E745" s="34"/>
    </row>
    <row r="746" ht="15.75" customHeight="1">
      <c r="D746" s="33"/>
      <c r="E746" s="34"/>
    </row>
    <row r="747" ht="15.75" customHeight="1">
      <c r="D747" s="33"/>
      <c r="E747" s="34"/>
    </row>
    <row r="748" ht="15.75" customHeight="1">
      <c r="D748" s="33"/>
      <c r="E748" s="34"/>
    </row>
    <row r="749" ht="15.75" customHeight="1">
      <c r="D749" s="33"/>
      <c r="E749" s="34"/>
    </row>
    <row r="750" ht="15.75" customHeight="1">
      <c r="D750" s="33"/>
      <c r="E750" s="34"/>
    </row>
    <row r="751" ht="15.75" customHeight="1">
      <c r="D751" s="33"/>
      <c r="E751" s="34"/>
    </row>
    <row r="752" ht="15.75" customHeight="1">
      <c r="D752" s="33"/>
      <c r="E752" s="34"/>
    </row>
    <row r="753" ht="15.75" customHeight="1">
      <c r="D753" s="33"/>
      <c r="E753" s="34"/>
    </row>
    <row r="754" ht="15.75" customHeight="1">
      <c r="D754" s="33"/>
      <c r="E754" s="34"/>
    </row>
    <row r="755" ht="15.75" customHeight="1">
      <c r="D755" s="33"/>
      <c r="E755" s="34"/>
    </row>
    <row r="756" ht="15.75" customHeight="1">
      <c r="D756" s="33"/>
      <c r="E756" s="34"/>
    </row>
    <row r="757" ht="15.75" customHeight="1">
      <c r="D757" s="33"/>
      <c r="E757" s="34"/>
    </row>
    <row r="758" ht="15.75" customHeight="1">
      <c r="D758" s="33"/>
      <c r="E758" s="34"/>
    </row>
    <row r="759" ht="15.75" customHeight="1">
      <c r="D759" s="33"/>
      <c r="E759" s="34"/>
    </row>
    <row r="760" ht="15.75" customHeight="1">
      <c r="D760" s="33"/>
      <c r="E760" s="34"/>
    </row>
    <row r="761" ht="15.75" customHeight="1">
      <c r="D761" s="33"/>
      <c r="E761" s="34"/>
    </row>
    <row r="762" ht="15.75" customHeight="1">
      <c r="D762" s="33"/>
      <c r="E762" s="34"/>
    </row>
    <row r="763" ht="15.75" customHeight="1">
      <c r="D763" s="33"/>
      <c r="E763" s="34"/>
    </row>
    <row r="764" ht="15.75" customHeight="1">
      <c r="D764" s="33"/>
      <c r="E764" s="34"/>
    </row>
    <row r="765" ht="15.75" customHeight="1">
      <c r="D765" s="33"/>
      <c r="E765" s="34"/>
    </row>
    <row r="766" ht="15.75" customHeight="1">
      <c r="D766" s="33"/>
      <c r="E766" s="34"/>
    </row>
    <row r="767" ht="15.75" customHeight="1">
      <c r="D767" s="33"/>
      <c r="E767" s="34"/>
    </row>
    <row r="768" ht="15.75" customHeight="1">
      <c r="D768" s="33"/>
      <c r="E768" s="34"/>
    </row>
    <row r="769" ht="15.75" customHeight="1">
      <c r="D769" s="33"/>
      <c r="E769" s="34"/>
    </row>
    <row r="770" ht="15.75" customHeight="1">
      <c r="D770" s="33"/>
      <c r="E770" s="34"/>
    </row>
    <row r="771" ht="15.75" customHeight="1">
      <c r="D771" s="33"/>
      <c r="E771" s="34"/>
    </row>
    <row r="772" ht="15.75" customHeight="1">
      <c r="D772" s="33"/>
      <c r="E772" s="34"/>
    </row>
    <row r="773" ht="15.75" customHeight="1">
      <c r="D773" s="33"/>
      <c r="E773" s="34"/>
    </row>
    <row r="774" ht="15.75" customHeight="1">
      <c r="D774" s="33"/>
      <c r="E774" s="34"/>
    </row>
    <row r="775" ht="15.75" customHeight="1">
      <c r="D775" s="33"/>
      <c r="E775" s="34"/>
    </row>
    <row r="776" ht="15.75" customHeight="1">
      <c r="D776" s="33"/>
      <c r="E776" s="34"/>
    </row>
    <row r="777" ht="15.75" customHeight="1">
      <c r="D777" s="33"/>
      <c r="E777" s="34"/>
    </row>
    <row r="778" ht="15.75" customHeight="1">
      <c r="D778" s="33"/>
      <c r="E778" s="34"/>
    </row>
    <row r="779" ht="15.75" customHeight="1">
      <c r="D779" s="33"/>
      <c r="E779" s="34"/>
    </row>
    <row r="780" ht="15.75" customHeight="1">
      <c r="D780" s="33"/>
      <c r="E780" s="34"/>
    </row>
    <row r="781" ht="15.75" customHeight="1">
      <c r="D781" s="33"/>
      <c r="E781" s="34"/>
    </row>
    <row r="782" ht="15.75" customHeight="1">
      <c r="D782" s="33"/>
      <c r="E782" s="34"/>
    </row>
    <row r="783" ht="15.75" customHeight="1">
      <c r="D783" s="33"/>
      <c r="E783" s="34"/>
    </row>
    <row r="784" ht="15.75" customHeight="1">
      <c r="D784" s="33"/>
      <c r="E784" s="34"/>
    </row>
    <row r="785" ht="15.75" customHeight="1">
      <c r="D785" s="33"/>
      <c r="E785" s="34"/>
    </row>
    <row r="786" ht="15.75" customHeight="1">
      <c r="D786" s="33"/>
      <c r="E786" s="34"/>
    </row>
    <row r="787" ht="15.75" customHeight="1">
      <c r="D787" s="33"/>
      <c r="E787" s="34"/>
    </row>
    <row r="788" ht="15.75" customHeight="1">
      <c r="D788" s="33"/>
      <c r="E788" s="34"/>
    </row>
    <row r="789" ht="15.75" customHeight="1">
      <c r="D789" s="33"/>
      <c r="E789" s="34"/>
    </row>
    <row r="790" ht="15.75" customHeight="1">
      <c r="D790" s="33"/>
      <c r="E790" s="34"/>
    </row>
    <row r="791" ht="15.75" customHeight="1">
      <c r="D791" s="33"/>
      <c r="E791" s="34"/>
    </row>
    <row r="792" ht="15.75" customHeight="1">
      <c r="D792" s="33"/>
      <c r="E792" s="34"/>
    </row>
    <row r="793" ht="15.75" customHeight="1">
      <c r="D793" s="33"/>
      <c r="E793" s="34"/>
    </row>
    <row r="794" ht="15.75" customHeight="1">
      <c r="D794" s="33"/>
      <c r="E794" s="34"/>
    </row>
    <row r="795" ht="15.75" customHeight="1">
      <c r="D795" s="33"/>
      <c r="E795" s="34"/>
    </row>
    <row r="796" ht="15.75" customHeight="1">
      <c r="D796" s="33"/>
      <c r="E796" s="34"/>
    </row>
    <row r="797" ht="15.75" customHeight="1">
      <c r="D797" s="33"/>
      <c r="E797" s="34"/>
    </row>
    <row r="798" ht="15.75" customHeight="1">
      <c r="D798" s="33"/>
      <c r="E798" s="34"/>
    </row>
    <row r="799" ht="15.75" customHeight="1">
      <c r="D799" s="33"/>
      <c r="E799" s="34"/>
    </row>
    <row r="800" ht="15.75" customHeight="1">
      <c r="D800" s="33"/>
      <c r="E800" s="34"/>
    </row>
    <row r="801" ht="15.75" customHeight="1">
      <c r="D801" s="33"/>
      <c r="E801" s="34"/>
    </row>
    <row r="802" ht="15.75" customHeight="1">
      <c r="D802" s="33"/>
      <c r="E802" s="34"/>
    </row>
    <row r="803" ht="15.75" customHeight="1">
      <c r="D803" s="33"/>
      <c r="E803" s="34"/>
    </row>
    <row r="804" ht="15.75" customHeight="1">
      <c r="D804" s="33"/>
      <c r="E804" s="34"/>
    </row>
    <row r="805" ht="15.75" customHeight="1">
      <c r="D805" s="33"/>
      <c r="E805" s="34"/>
    </row>
    <row r="806" ht="15.75" customHeight="1">
      <c r="D806" s="33"/>
      <c r="E806" s="34"/>
    </row>
    <row r="807" ht="15.75" customHeight="1">
      <c r="D807" s="33"/>
      <c r="E807" s="34"/>
    </row>
    <row r="808" ht="15.75" customHeight="1">
      <c r="D808" s="33"/>
      <c r="E808" s="34"/>
    </row>
    <row r="809" ht="15.75" customHeight="1">
      <c r="D809" s="33"/>
      <c r="E809" s="34"/>
    </row>
    <row r="810" ht="15.75" customHeight="1">
      <c r="D810" s="33"/>
      <c r="E810" s="34"/>
    </row>
    <row r="811" ht="15.75" customHeight="1">
      <c r="D811" s="33"/>
      <c r="E811" s="34"/>
    </row>
    <row r="812" ht="15.75" customHeight="1">
      <c r="D812" s="33"/>
      <c r="E812" s="34"/>
    </row>
    <row r="813" ht="15.75" customHeight="1">
      <c r="D813" s="33"/>
      <c r="E813" s="34"/>
    </row>
    <row r="814" ht="15.75" customHeight="1">
      <c r="D814" s="33"/>
      <c r="E814" s="34"/>
    </row>
    <row r="815" ht="15.75" customHeight="1">
      <c r="D815" s="33"/>
      <c r="E815" s="34"/>
    </row>
    <row r="816" ht="15.75" customHeight="1">
      <c r="D816" s="33"/>
      <c r="E816" s="34"/>
    </row>
    <row r="817" ht="15.75" customHeight="1">
      <c r="D817" s="33"/>
      <c r="E817" s="34"/>
    </row>
    <row r="818" ht="15.75" customHeight="1">
      <c r="D818" s="33"/>
      <c r="E818" s="34"/>
    </row>
    <row r="819" ht="15.75" customHeight="1">
      <c r="D819" s="33"/>
      <c r="E819" s="34"/>
    </row>
    <row r="820" ht="15.75" customHeight="1">
      <c r="D820" s="33"/>
      <c r="E820" s="34"/>
    </row>
    <row r="821" ht="15.75" customHeight="1">
      <c r="D821" s="33"/>
      <c r="E821" s="34"/>
    </row>
    <row r="822" ht="15.75" customHeight="1">
      <c r="D822" s="33"/>
      <c r="E822" s="34"/>
    </row>
    <row r="823" ht="15.75" customHeight="1">
      <c r="D823" s="33"/>
      <c r="E823" s="34"/>
    </row>
    <row r="824" ht="15.75" customHeight="1">
      <c r="D824" s="33"/>
      <c r="E824" s="34"/>
    </row>
    <row r="825" ht="15.75" customHeight="1">
      <c r="D825" s="33"/>
      <c r="E825" s="34"/>
    </row>
    <row r="826" ht="15.75" customHeight="1">
      <c r="D826" s="33"/>
      <c r="E826" s="34"/>
    </row>
    <row r="827" ht="15.75" customHeight="1">
      <c r="D827" s="33"/>
      <c r="E827" s="34"/>
    </row>
    <row r="828" ht="15.75" customHeight="1">
      <c r="D828" s="33"/>
      <c r="E828" s="34"/>
    </row>
    <row r="829" ht="15.75" customHeight="1">
      <c r="D829" s="33"/>
      <c r="E829" s="34"/>
    </row>
    <row r="830" ht="15.75" customHeight="1">
      <c r="D830" s="33"/>
      <c r="E830" s="34"/>
    </row>
    <row r="831" ht="15.75" customHeight="1">
      <c r="D831" s="33"/>
      <c r="E831" s="34"/>
    </row>
    <row r="832" ht="15.75" customHeight="1">
      <c r="D832" s="33"/>
      <c r="E832" s="34"/>
    </row>
    <row r="833" ht="15.75" customHeight="1">
      <c r="D833" s="33"/>
      <c r="E833" s="34"/>
    </row>
    <row r="834" ht="15.75" customHeight="1">
      <c r="D834" s="33"/>
      <c r="E834" s="34"/>
    </row>
    <row r="835" ht="15.75" customHeight="1">
      <c r="D835" s="33"/>
      <c r="E835" s="34"/>
    </row>
    <row r="836" ht="15.75" customHeight="1">
      <c r="D836" s="33"/>
      <c r="E836" s="34"/>
    </row>
    <row r="837" ht="15.75" customHeight="1">
      <c r="D837" s="33"/>
      <c r="E837" s="34"/>
    </row>
    <row r="838" ht="15.75" customHeight="1">
      <c r="D838" s="33"/>
      <c r="E838" s="34"/>
    </row>
    <row r="839" ht="15.75" customHeight="1">
      <c r="D839" s="33"/>
      <c r="E839" s="34"/>
    </row>
    <row r="840" ht="15.75" customHeight="1">
      <c r="D840" s="33"/>
      <c r="E840" s="34"/>
    </row>
    <row r="841" ht="15.75" customHeight="1">
      <c r="D841" s="33"/>
      <c r="E841" s="34"/>
    </row>
    <row r="842" ht="15.75" customHeight="1">
      <c r="D842" s="33"/>
      <c r="E842" s="34"/>
    </row>
    <row r="843" ht="15.75" customHeight="1">
      <c r="D843" s="33"/>
      <c r="E843" s="34"/>
    </row>
    <row r="844" ht="15.75" customHeight="1">
      <c r="D844" s="33"/>
      <c r="E844" s="34"/>
    </row>
    <row r="845" ht="15.75" customHeight="1">
      <c r="D845" s="33"/>
      <c r="E845" s="34"/>
    </row>
    <row r="846" ht="15.75" customHeight="1">
      <c r="D846" s="33"/>
      <c r="E846" s="34"/>
    </row>
    <row r="847" ht="15.75" customHeight="1">
      <c r="D847" s="33"/>
      <c r="E847" s="34"/>
    </row>
    <row r="848" ht="15.75" customHeight="1">
      <c r="D848" s="33"/>
      <c r="E848" s="34"/>
    </row>
    <row r="849" ht="15.75" customHeight="1">
      <c r="D849" s="33"/>
      <c r="E849" s="34"/>
    </row>
    <row r="850" ht="15.75" customHeight="1">
      <c r="D850" s="33"/>
      <c r="E850" s="34"/>
    </row>
    <row r="851" ht="15.75" customHeight="1">
      <c r="D851" s="33"/>
      <c r="E851" s="34"/>
    </row>
    <row r="852" ht="15.75" customHeight="1">
      <c r="D852" s="33"/>
      <c r="E852" s="34"/>
    </row>
    <row r="853" ht="15.75" customHeight="1">
      <c r="D853" s="33"/>
      <c r="E853" s="34"/>
    </row>
    <row r="854" ht="15.75" customHeight="1">
      <c r="D854" s="33"/>
      <c r="E854" s="34"/>
    </row>
    <row r="855" ht="15.75" customHeight="1">
      <c r="D855" s="33"/>
      <c r="E855" s="34"/>
    </row>
    <row r="856" ht="15.75" customHeight="1">
      <c r="D856" s="33"/>
      <c r="E856" s="34"/>
    </row>
    <row r="857" ht="15.75" customHeight="1">
      <c r="D857" s="33"/>
      <c r="E857" s="34"/>
    </row>
    <row r="858" ht="15.75" customHeight="1">
      <c r="D858" s="33"/>
      <c r="E858" s="34"/>
    </row>
    <row r="859" ht="15.75" customHeight="1">
      <c r="D859" s="33"/>
      <c r="E859" s="34"/>
    </row>
    <row r="860" ht="15.75" customHeight="1">
      <c r="D860" s="33"/>
      <c r="E860" s="34"/>
    </row>
    <row r="861" ht="15.75" customHeight="1">
      <c r="D861" s="33"/>
      <c r="E861" s="34"/>
    </row>
    <row r="862" ht="15.75" customHeight="1">
      <c r="D862" s="33"/>
      <c r="E862" s="34"/>
    </row>
    <row r="863" ht="15.75" customHeight="1">
      <c r="D863" s="33"/>
      <c r="E863" s="34"/>
    </row>
    <row r="864" ht="15.75" customHeight="1">
      <c r="D864" s="33"/>
      <c r="E864" s="34"/>
    </row>
    <row r="865" ht="15.75" customHeight="1">
      <c r="D865" s="33"/>
      <c r="E865" s="34"/>
    </row>
    <row r="866" ht="15.75" customHeight="1">
      <c r="D866" s="33"/>
      <c r="E866" s="34"/>
    </row>
    <row r="867" ht="15.75" customHeight="1">
      <c r="D867" s="33"/>
      <c r="E867" s="34"/>
    </row>
    <row r="868" ht="15.75" customHeight="1">
      <c r="D868" s="33"/>
      <c r="E868" s="34"/>
    </row>
    <row r="869" ht="15.75" customHeight="1">
      <c r="D869" s="33"/>
      <c r="E869" s="34"/>
    </row>
    <row r="870" ht="15.75" customHeight="1">
      <c r="D870" s="33"/>
      <c r="E870" s="34"/>
    </row>
    <row r="871" ht="15.75" customHeight="1">
      <c r="D871" s="33"/>
      <c r="E871" s="34"/>
    </row>
    <row r="872" ht="15.75" customHeight="1">
      <c r="D872" s="33"/>
      <c r="E872" s="34"/>
    </row>
    <row r="873" ht="15.75" customHeight="1">
      <c r="D873" s="33"/>
      <c r="E873" s="34"/>
    </row>
    <row r="874" ht="15.75" customHeight="1">
      <c r="D874" s="33"/>
      <c r="E874" s="34"/>
    </row>
    <row r="875" ht="15.75" customHeight="1">
      <c r="D875" s="33"/>
      <c r="E875" s="34"/>
    </row>
    <row r="876" ht="15.75" customHeight="1">
      <c r="D876" s="33"/>
      <c r="E876" s="34"/>
    </row>
    <row r="877" ht="15.75" customHeight="1">
      <c r="D877" s="33"/>
      <c r="E877" s="34"/>
    </row>
    <row r="878" ht="15.75" customHeight="1">
      <c r="D878" s="33"/>
      <c r="E878" s="34"/>
    </row>
    <row r="879" ht="15.75" customHeight="1">
      <c r="D879" s="33"/>
      <c r="E879" s="34"/>
    </row>
    <row r="880" ht="15.75" customHeight="1">
      <c r="D880" s="33"/>
      <c r="E880" s="34"/>
    </row>
    <row r="881" ht="15.75" customHeight="1">
      <c r="D881" s="33"/>
      <c r="E881" s="34"/>
    </row>
    <row r="882" ht="15.75" customHeight="1">
      <c r="D882" s="33"/>
      <c r="E882" s="34"/>
    </row>
    <row r="883" ht="15.75" customHeight="1">
      <c r="D883" s="33"/>
      <c r="E883" s="34"/>
    </row>
    <row r="884" ht="15.75" customHeight="1">
      <c r="D884" s="33"/>
      <c r="E884" s="34"/>
    </row>
    <row r="885" ht="15.75" customHeight="1">
      <c r="D885" s="33"/>
      <c r="E885" s="34"/>
    </row>
    <row r="886" ht="15.75" customHeight="1">
      <c r="D886" s="33"/>
      <c r="E886" s="34"/>
    </row>
    <row r="887" ht="15.75" customHeight="1">
      <c r="D887" s="33"/>
      <c r="E887" s="34"/>
    </row>
    <row r="888" ht="15.75" customHeight="1">
      <c r="D888" s="33"/>
      <c r="E888" s="34"/>
    </row>
    <row r="889" ht="15.75" customHeight="1">
      <c r="D889" s="33"/>
      <c r="E889" s="34"/>
    </row>
    <row r="890" ht="15.75" customHeight="1">
      <c r="D890" s="33"/>
      <c r="E890" s="34"/>
    </row>
    <row r="891" ht="15.75" customHeight="1">
      <c r="D891" s="33"/>
      <c r="E891" s="34"/>
    </row>
    <row r="892" ht="15.75" customHeight="1">
      <c r="D892" s="33"/>
      <c r="E892" s="34"/>
    </row>
    <row r="893" ht="15.75" customHeight="1">
      <c r="D893" s="33"/>
      <c r="E893" s="34"/>
    </row>
    <row r="894" ht="15.75" customHeight="1">
      <c r="D894" s="33"/>
      <c r="E894" s="34"/>
    </row>
    <row r="895" ht="15.75" customHeight="1">
      <c r="D895" s="33"/>
      <c r="E895" s="34"/>
    </row>
    <row r="896" ht="15.75" customHeight="1">
      <c r="D896" s="33"/>
      <c r="E896" s="34"/>
    </row>
    <row r="897" ht="15.75" customHeight="1">
      <c r="D897" s="33"/>
      <c r="E897" s="34"/>
    </row>
    <row r="898" ht="15.75" customHeight="1">
      <c r="D898" s="33"/>
      <c r="E898" s="34"/>
    </row>
    <row r="899" ht="15.75" customHeight="1">
      <c r="D899" s="33"/>
      <c r="E899" s="34"/>
    </row>
    <row r="900" ht="15.75" customHeight="1">
      <c r="D900" s="33"/>
      <c r="E900" s="34"/>
    </row>
    <row r="901" ht="15.75" customHeight="1">
      <c r="D901" s="33"/>
      <c r="E901" s="34"/>
    </row>
    <row r="902" ht="15.75" customHeight="1">
      <c r="D902" s="33"/>
      <c r="E902" s="34"/>
    </row>
    <row r="903" ht="15.75" customHeight="1">
      <c r="D903" s="33"/>
      <c r="E903" s="34"/>
    </row>
    <row r="904" ht="15.75" customHeight="1">
      <c r="D904" s="33"/>
      <c r="E904" s="34"/>
    </row>
    <row r="905" ht="15.75" customHeight="1">
      <c r="D905" s="33"/>
      <c r="E905" s="34"/>
    </row>
    <row r="906" ht="15.75" customHeight="1">
      <c r="D906" s="33"/>
      <c r="E906" s="34"/>
    </row>
    <row r="907" ht="15.75" customHeight="1">
      <c r="D907" s="33"/>
      <c r="E907" s="34"/>
    </row>
    <row r="908" ht="15.75" customHeight="1">
      <c r="D908" s="33"/>
      <c r="E908" s="34"/>
    </row>
    <row r="909" ht="15.75" customHeight="1">
      <c r="D909" s="33"/>
      <c r="E909" s="34"/>
    </row>
    <row r="910" ht="15.75" customHeight="1">
      <c r="D910" s="33"/>
      <c r="E910" s="34"/>
    </row>
    <row r="911" ht="15.75" customHeight="1">
      <c r="D911" s="33"/>
      <c r="E911" s="34"/>
    </row>
    <row r="912" ht="15.75" customHeight="1">
      <c r="D912" s="33"/>
      <c r="E912" s="34"/>
    </row>
    <row r="913" ht="15.75" customHeight="1">
      <c r="D913" s="33"/>
      <c r="E913" s="34"/>
    </row>
    <row r="914" ht="15.75" customHeight="1">
      <c r="D914" s="33"/>
      <c r="E914" s="34"/>
    </row>
    <row r="915" ht="15.75" customHeight="1">
      <c r="D915" s="33"/>
      <c r="E915" s="34"/>
    </row>
    <row r="916" ht="15.75" customHeight="1">
      <c r="D916" s="33"/>
      <c r="E916" s="34"/>
    </row>
    <row r="917" ht="15.75" customHeight="1">
      <c r="D917" s="33"/>
      <c r="E917" s="34"/>
    </row>
    <row r="918" ht="15.75" customHeight="1">
      <c r="D918" s="33"/>
      <c r="E918" s="34"/>
    </row>
    <row r="919" ht="15.75" customHeight="1">
      <c r="D919" s="33"/>
      <c r="E919" s="34"/>
    </row>
    <row r="920" ht="15.75" customHeight="1">
      <c r="D920" s="33"/>
      <c r="E920" s="34"/>
    </row>
    <row r="921" ht="15.75" customHeight="1">
      <c r="D921" s="33"/>
      <c r="E921" s="34"/>
    </row>
    <row r="922" ht="15.75" customHeight="1">
      <c r="D922" s="33"/>
      <c r="E922" s="34"/>
    </row>
    <row r="923" ht="15.75" customHeight="1">
      <c r="D923" s="33"/>
      <c r="E923" s="34"/>
    </row>
    <row r="924" ht="15.75" customHeight="1">
      <c r="D924" s="33"/>
      <c r="E924" s="34"/>
    </row>
    <row r="925" ht="15.75" customHeight="1">
      <c r="D925" s="33"/>
      <c r="E925" s="34"/>
    </row>
    <row r="926" ht="15.75" customHeight="1">
      <c r="D926" s="33"/>
      <c r="E926" s="34"/>
    </row>
    <row r="927" ht="15.75" customHeight="1">
      <c r="D927" s="33"/>
      <c r="E927" s="34"/>
    </row>
    <row r="928" ht="15.75" customHeight="1">
      <c r="D928" s="33"/>
      <c r="E928" s="34"/>
    </row>
    <row r="929" ht="15.75" customHeight="1">
      <c r="D929" s="33"/>
      <c r="E929" s="34"/>
    </row>
    <row r="930" ht="15.75" customHeight="1">
      <c r="D930" s="33"/>
      <c r="E930" s="34"/>
    </row>
    <row r="931" ht="15.75" customHeight="1">
      <c r="D931" s="33"/>
      <c r="E931" s="34"/>
    </row>
    <row r="932" ht="15.75" customHeight="1">
      <c r="D932" s="33"/>
      <c r="E932" s="34"/>
    </row>
    <row r="933" ht="15.75" customHeight="1">
      <c r="D933" s="33"/>
      <c r="E933" s="34"/>
    </row>
    <row r="934" ht="15.75" customHeight="1">
      <c r="D934" s="33"/>
      <c r="E934" s="34"/>
    </row>
    <row r="935" ht="15.75" customHeight="1">
      <c r="D935" s="33"/>
      <c r="E935" s="34"/>
    </row>
    <row r="936" ht="15.75" customHeight="1">
      <c r="D936" s="33"/>
      <c r="E936" s="34"/>
    </row>
    <row r="937" ht="15.75" customHeight="1">
      <c r="D937" s="33"/>
      <c r="E937" s="34"/>
    </row>
    <row r="938" ht="15.75" customHeight="1">
      <c r="D938" s="33"/>
      <c r="E938" s="34"/>
    </row>
    <row r="939" ht="15.75" customHeight="1">
      <c r="D939" s="33"/>
      <c r="E939" s="34"/>
    </row>
    <row r="940" ht="15.75" customHeight="1">
      <c r="D940" s="33"/>
      <c r="E940" s="34"/>
    </row>
    <row r="941" ht="15.75" customHeight="1">
      <c r="D941" s="33"/>
      <c r="E941" s="34"/>
    </row>
    <row r="942" ht="15.75" customHeight="1">
      <c r="D942" s="33"/>
      <c r="E942" s="34"/>
    </row>
    <row r="943" ht="15.75" customHeight="1">
      <c r="D943" s="33"/>
      <c r="E943" s="34"/>
    </row>
    <row r="944" ht="15.75" customHeight="1">
      <c r="D944" s="33"/>
      <c r="E944" s="34"/>
    </row>
    <row r="945" ht="15.75" customHeight="1">
      <c r="D945" s="33"/>
      <c r="E945" s="34"/>
    </row>
    <row r="946" ht="15.75" customHeight="1">
      <c r="D946" s="33"/>
      <c r="E946" s="34"/>
    </row>
    <row r="947" ht="15.75" customHeight="1">
      <c r="D947" s="33"/>
      <c r="E947" s="34"/>
    </row>
    <row r="948" ht="15.75" customHeight="1">
      <c r="D948" s="33"/>
      <c r="E948" s="34"/>
    </row>
    <row r="949" ht="15.75" customHeight="1">
      <c r="D949" s="33"/>
      <c r="E949" s="34"/>
    </row>
    <row r="950" ht="15.75" customHeight="1">
      <c r="D950" s="33"/>
      <c r="E950" s="34"/>
    </row>
    <row r="951" ht="15.75" customHeight="1">
      <c r="D951" s="33"/>
      <c r="E951" s="34"/>
    </row>
    <row r="952" ht="15.75" customHeight="1">
      <c r="D952" s="33"/>
      <c r="E952" s="34"/>
    </row>
    <row r="953" ht="15.75" customHeight="1">
      <c r="D953" s="33"/>
      <c r="E953" s="34"/>
    </row>
    <row r="954" ht="15.75" customHeight="1">
      <c r="D954" s="33"/>
      <c r="E954" s="34"/>
    </row>
    <row r="955" ht="15.75" customHeight="1">
      <c r="D955" s="33"/>
      <c r="E955" s="34"/>
    </row>
    <row r="956" ht="15.75" customHeight="1">
      <c r="D956" s="33"/>
      <c r="E956" s="34"/>
    </row>
    <row r="957" ht="15.75" customHeight="1">
      <c r="D957" s="33"/>
      <c r="E957" s="34"/>
    </row>
    <row r="958" ht="15.75" customHeight="1">
      <c r="D958" s="33"/>
      <c r="E958" s="34"/>
    </row>
    <row r="959" ht="15.75" customHeight="1">
      <c r="D959" s="33"/>
      <c r="E959" s="34"/>
    </row>
    <row r="960" ht="15.75" customHeight="1">
      <c r="D960" s="33"/>
      <c r="E960" s="34"/>
    </row>
    <row r="961" ht="15.75" customHeight="1">
      <c r="D961" s="33"/>
      <c r="E961" s="34"/>
    </row>
    <row r="962" ht="15.75" customHeight="1">
      <c r="D962" s="33"/>
      <c r="E962" s="34"/>
    </row>
    <row r="963" ht="15.75" customHeight="1">
      <c r="D963" s="33"/>
      <c r="E963" s="34"/>
    </row>
    <row r="964" ht="15.75" customHeight="1">
      <c r="D964" s="33"/>
      <c r="E964" s="34"/>
    </row>
    <row r="965" ht="15.75" customHeight="1">
      <c r="D965" s="33"/>
      <c r="E965" s="34"/>
    </row>
    <row r="966" ht="15.75" customHeight="1">
      <c r="D966" s="33"/>
      <c r="E966" s="34"/>
    </row>
    <row r="967" ht="15.75" customHeight="1">
      <c r="D967" s="33"/>
      <c r="E967" s="34"/>
    </row>
    <row r="968" ht="15.75" customHeight="1">
      <c r="D968" s="33"/>
      <c r="E968" s="34"/>
    </row>
  </sheetData>
  <mergeCells count="11">
    <mergeCell ref="B13:B14"/>
    <mergeCell ref="D13:D14"/>
    <mergeCell ref="A16:A17"/>
    <mergeCell ref="A19:A20"/>
    <mergeCell ref="A4:A5"/>
    <mergeCell ref="B4:B5"/>
    <mergeCell ref="B6:B7"/>
    <mergeCell ref="A7:A8"/>
    <mergeCell ref="A10:A11"/>
    <mergeCell ref="A13:A14"/>
    <mergeCell ref="A1:E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topLeftCell="G1" activePane="topRight" state="frozen"/>
      <selection activeCell="H2" sqref="H2" pane="topRight"/>
    </sheetView>
  </sheetViews>
  <sheetFormatPr customHeight="1" defaultColWidth="12.63" defaultRowHeight="15.0"/>
  <cols>
    <col customWidth="1" min="1" max="1" width="6.75"/>
    <col customWidth="1" min="2" max="2" width="34.38"/>
    <col customWidth="1" min="3" max="5" width="10.88"/>
    <col customWidth="1" min="6" max="6" width="8.63"/>
    <col customWidth="1" min="7" max="48" width="3.13"/>
  </cols>
  <sheetData>
    <row r="1" ht="22.5" customHeight="1">
      <c r="A1" s="35"/>
      <c r="B1" s="36" t="s">
        <v>41</v>
      </c>
      <c r="C1" s="37">
        <v>45013.0</v>
      </c>
      <c r="D1" s="35"/>
      <c r="E1" s="35"/>
      <c r="F1" s="26"/>
      <c r="G1" s="38">
        <f>G2</f>
        <v>45012</v>
      </c>
      <c r="N1" s="38">
        <f>N2</f>
        <v>45019</v>
      </c>
      <c r="Q1" s="38">
        <f>Q2</f>
        <v>45022</v>
      </c>
      <c r="U1" s="38">
        <f>U2</f>
        <v>45026</v>
      </c>
      <c r="AB1" s="38">
        <f>AB2</f>
        <v>45033</v>
      </c>
      <c r="AI1" s="38">
        <f>AI2</f>
        <v>45040</v>
      </c>
      <c r="AP1" s="38">
        <f>AP2</f>
        <v>45047</v>
      </c>
    </row>
    <row r="2">
      <c r="A2" s="39" t="s">
        <v>42</v>
      </c>
      <c r="B2" s="40" t="s">
        <v>43</v>
      </c>
      <c r="C2" s="40" t="s">
        <v>44</v>
      </c>
      <c r="D2" s="39" t="s">
        <v>45</v>
      </c>
      <c r="E2" s="39" t="s">
        <v>46</v>
      </c>
      <c r="F2" s="39" t="s">
        <v>47</v>
      </c>
      <c r="G2" s="41">
        <f>C1-WEEKDAY(C1,3)</f>
        <v>45012</v>
      </c>
      <c r="H2" s="41">
        <f t="shared" ref="H2:AV2" si="1">G2+1</f>
        <v>45013</v>
      </c>
      <c r="I2" s="41">
        <f t="shared" si="1"/>
        <v>45014</v>
      </c>
      <c r="J2" s="41">
        <f t="shared" si="1"/>
        <v>45015</v>
      </c>
      <c r="K2" s="41">
        <f t="shared" si="1"/>
        <v>45016</v>
      </c>
      <c r="L2" s="42">
        <f t="shared" si="1"/>
        <v>45017</v>
      </c>
      <c r="M2" s="42">
        <f t="shared" si="1"/>
        <v>45018</v>
      </c>
      <c r="N2" s="41">
        <f t="shared" si="1"/>
        <v>45019</v>
      </c>
      <c r="O2" s="41">
        <f t="shared" si="1"/>
        <v>45020</v>
      </c>
      <c r="P2" s="41">
        <f t="shared" si="1"/>
        <v>45021</v>
      </c>
      <c r="Q2" s="41">
        <f t="shared" si="1"/>
        <v>45022</v>
      </c>
      <c r="R2" s="41">
        <f t="shared" si="1"/>
        <v>45023</v>
      </c>
      <c r="S2" s="42">
        <f t="shared" si="1"/>
        <v>45024</v>
      </c>
      <c r="T2" s="42">
        <f t="shared" si="1"/>
        <v>45025</v>
      </c>
      <c r="U2" s="41">
        <f t="shared" si="1"/>
        <v>45026</v>
      </c>
      <c r="V2" s="41">
        <f t="shared" si="1"/>
        <v>45027</v>
      </c>
      <c r="W2" s="41">
        <f t="shared" si="1"/>
        <v>45028</v>
      </c>
      <c r="X2" s="41">
        <f t="shared" si="1"/>
        <v>45029</v>
      </c>
      <c r="Y2" s="41">
        <f t="shared" si="1"/>
        <v>45030</v>
      </c>
      <c r="Z2" s="41">
        <f t="shared" si="1"/>
        <v>45031</v>
      </c>
      <c r="AA2" s="41">
        <f t="shared" si="1"/>
        <v>45032</v>
      </c>
      <c r="AB2" s="41">
        <f t="shared" si="1"/>
        <v>45033</v>
      </c>
      <c r="AC2" s="41">
        <f t="shared" si="1"/>
        <v>45034</v>
      </c>
      <c r="AD2" s="41">
        <f t="shared" si="1"/>
        <v>45035</v>
      </c>
      <c r="AE2" s="41">
        <f t="shared" si="1"/>
        <v>45036</v>
      </c>
      <c r="AF2" s="41">
        <f t="shared" si="1"/>
        <v>45037</v>
      </c>
      <c r="AG2" s="41">
        <f t="shared" si="1"/>
        <v>45038</v>
      </c>
      <c r="AH2" s="41">
        <f t="shared" si="1"/>
        <v>45039</v>
      </c>
      <c r="AI2" s="41">
        <f t="shared" si="1"/>
        <v>45040</v>
      </c>
      <c r="AJ2" s="41">
        <f t="shared" si="1"/>
        <v>45041</v>
      </c>
      <c r="AK2" s="41">
        <f t="shared" si="1"/>
        <v>45042</v>
      </c>
      <c r="AL2" s="41">
        <f t="shared" si="1"/>
        <v>45043</v>
      </c>
      <c r="AM2" s="41">
        <f t="shared" si="1"/>
        <v>45044</v>
      </c>
      <c r="AN2" s="41">
        <f t="shared" si="1"/>
        <v>45045</v>
      </c>
      <c r="AO2" s="41">
        <f t="shared" si="1"/>
        <v>45046</v>
      </c>
      <c r="AP2" s="41">
        <f t="shared" si="1"/>
        <v>45047</v>
      </c>
      <c r="AQ2" s="41">
        <f t="shared" si="1"/>
        <v>45048</v>
      </c>
      <c r="AR2" s="41">
        <f t="shared" si="1"/>
        <v>45049</v>
      </c>
      <c r="AS2" s="41">
        <f t="shared" si="1"/>
        <v>45050</v>
      </c>
      <c r="AT2" s="41">
        <f t="shared" si="1"/>
        <v>45051</v>
      </c>
      <c r="AU2" s="41">
        <f t="shared" si="1"/>
        <v>45052</v>
      </c>
      <c r="AV2" s="41">
        <f t="shared" si="1"/>
        <v>45053</v>
      </c>
    </row>
    <row r="3" ht="15.75" customHeight="1">
      <c r="A3" s="43"/>
      <c r="B3" s="30"/>
      <c r="C3" s="44"/>
      <c r="D3" s="43"/>
      <c r="E3" s="43"/>
      <c r="F3" s="26"/>
      <c r="G3" s="45" t="str">
        <f t="shared" ref="G3:AV3" si="2">LEFT(TEXT(IF(WEEKDAY(G2,2)&gt;5,"S",WEEKDAY(G2)),"ddd"),1)</f>
        <v>M</v>
      </c>
      <c r="H3" s="45" t="str">
        <f t="shared" si="2"/>
        <v>T</v>
      </c>
      <c r="I3" s="45" t="str">
        <f t="shared" si="2"/>
        <v>W</v>
      </c>
      <c r="J3" s="45" t="str">
        <f t="shared" si="2"/>
        <v>T</v>
      </c>
      <c r="K3" s="45" t="str">
        <f t="shared" si="2"/>
        <v>F</v>
      </c>
      <c r="L3" s="45" t="str">
        <f t="shared" si="2"/>
        <v>S</v>
      </c>
      <c r="M3" s="45" t="str">
        <f t="shared" si="2"/>
        <v>S</v>
      </c>
      <c r="N3" s="45" t="str">
        <f t="shared" si="2"/>
        <v>M</v>
      </c>
      <c r="O3" s="45" t="str">
        <f t="shared" si="2"/>
        <v>T</v>
      </c>
      <c r="P3" s="45" t="str">
        <f t="shared" si="2"/>
        <v>W</v>
      </c>
      <c r="Q3" s="45" t="str">
        <f t="shared" si="2"/>
        <v>T</v>
      </c>
      <c r="R3" s="45" t="str">
        <f t="shared" si="2"/>
        <v>F</v>
      </c>
      <c r="S3" s="45" t="str">
        <f t="shared" si="2"/>
        <v>S</v>
      </c>
      <c r="T3" s="45" t="str">
        <f t="shared" si="2"/>
        <v>S</v>
      </c>
      <c r="U3" s="45" t="str">
        <f t="shared" si="2"/>
        <v>M</v>
      </c>
      <c r="V3" s="45" t="str">
        <f t="shared" si="2"/>
        <v>T</v>
      </c>
      <c r="W3" s="45" t="str">
        <f t="shared" si="2"/>
        <v>W</v>
      </c>
      <c r="X3" s="45" t="str">
        <f t="shared" si="2"/>
        <v>T</v>
      </c>
      <c r="Y3" s="45" t="str">
        <f t="shared" si="2"/>
        <v>F</v>
      </c>
      <c r="Z3" s="45" t="str">
        <f t="shared" si="2"/>
        <v>S</v>
      </c>
      <c r="AA3" s="45" t="str">
        <f t="shared" si="2"/>
        <v>S</v>
      </c>
      <c r="AB3" s="45" t="str">
        <f t="shared" si="2"/>
        <v>M</v>
      </c>
      <c r="AC3" s="45" t="str">
        <f t="shared" si="2"/>
        <v>T</v>
      </c>
      <c r="AD3" s="45" t="str">
        <f t="shared" si="2"/>
        <v>W</v>
      </c>
      <c r="AE3" s="45" t="str">
        <f t="shared" si="2"/>
        <v>T</v>
      </c>
      <c r="AF3" s="45" t="str">
        <f t="shared" si="2"/>
        <v>F</v>
      </c>
      <c r="AG3" s="45" t="str">
        <f t="shared" si="2"/>
        <v>S</v>
      </c>
      <c r="AH3" s="45" t="str">
        <f t="shared" si="2"/>
        <v>S</v>
      </c>
      <c r="AI3" s="45" t="str">
        <f t="shared" si="2"/>
        <v>M</v>
      </c>
      <c r="AJ3" s="45" t="str">
        <f t="shared" si="2"/>
        <v>T</v>
      </c>
      <c r="AK3" s="45" t="str">
        <f t="shared" si="2"/>
        <v>W</v>
      </c>
      <c r="AL3" s="45" t="str">
        <f t="shared" si="2"/>
        <v>T</v>
      </c>
      <c r="AM3" s="45" t="str">
        <f t="shared" si="2"/>
        <v>F</v>
      </c>
      <c r="AN3" s="45" t="str">
        <f t="shared" si="2"/>
        <v>S</v>
      </c>
      <c r="AO3" s="45" t="str">
        <f t="shared" si="2"/>
        <v>S</v>
      </c>
      <c r="AP3" s="45" t="str">
        <f t="shared" si="2"/>
        <v>M</v>
      </c>
      <c r="AQ3" s="45" t="str">
        <f t="shared" si="2"/>
        <v>T</v>
      </c>
      <c r="AR3" s="45" t="str">
        <f t="shared" si="2"/>
        <v>W</v>
      </c>
      <c r="AS3" s="45" t="str">
        <f t="shared" si="2"/>
        <v>T</v>
      </c>
      <c r="AT3" s="45" t="str">
        <f t="shared" si="2"/>
        <v>F</v>
      </c>
      <c r="AU3" s="45" t="str">
        <f t="shared" si="2"/>
        <v>S</v>
      </c>
      <c r="AV3" s="45" t="str">
        <f t="shared" si="2"/>
        <v>S</v>
      </c>
    </row>
    <row r="4" ht="15.75" customHeight="1">
      <c r="A4" s="46">
        <v>1.0</v>
      </c>
      <c r="B4" s="30" t="s">
        <v>48</v>
      </c>
      <c r="C4" s="44">
        <v>1.0</v>
      </c>
      <c r="D4" s="47">
        <f>C1</f>
        <v>45013</v>
      </c>
      <c r="E4" s="47">
        <f>_xlfn.WORKDAY.INTL(D4,0,1)</f>
        <v>45013</v>
      </c>
      <c r="F4" s="26" t="s">
        <v>49</v>
      </c>
      <c r="G4" s="48" t="str">
        <f t="shared" ref="G4:AV4" si="3">IF(AND($F4="Yes",G$2=$E4),"♦","")</f>
        <v/>
      </c>
      <c r="H4" s="48" t="str">
        <f t="shared" si="3"/>
        <v/>
      </c>
      <c r="I4" s="48" t="str">
        <f t="shared" si="3"/>
        <v/>
      </c>
      <c r="J4" s="48" t="str">
        <f t="shared" si="3"/>
        <v/>
      </c>
      <c r="K4" s="48" t="str">
        <f t="shared" si="3"/>
        <v/>
      </c>
      <c r="L4" s="48" t="str">
        <f t="shared" si="3"/>
        <v/>
      </c>
      <c r="M4" s="48" t="str">
        <f t="shared" si="3"/>
        <v/>
      </c>
      <c r="N4" s="48" t="str">
        <f t="shared" si="3"/>
        <v/>
      </c>
      <c r="O4" s="48" t="str">
        <f t="shared" si="3"/>
        <v/>
      </c>
      <c r="P4" s="48" t="str">
        <f t="shared" si="3"/>
        <v/>
      </c>
      <c r="Q4" s="48" t="str">
        <f t="shared" si="3"/>
        <v/>
      </c>
      <c r="R4" s="48" t="str">
        <f t="shared" si="3"/>
        <v/>
      </c>
      <c r="S4" s="48" t="str">
        <f t="shared" si="3"/>
        <v/>
      </c>
      <c r="T4" s="48" t="str">
        <f t="shared" si="3"/>
        <v/>
      </c>
      <c r="U4" s="48" t="str">
        <f t="shared" si="3"/>
        <v/>
      </c>
      <c r="V4" s="48" t="str">
        <f t="shared" si="3"/>
        <v/>
      </c>
      <c r="W4" s="48" t="str">
        <f t="shared" si="3"/>
        <v/>
      </c>
      <c r="X4" s="48" t="str">
        <f t="shared" si="3"/>
        <v/>
      </c>
      <c r="Y4" s="48" t="str">
        <f t="shared" si="3"/>
        <v/>
      </c>
      <c r="Z4" s="48" t="str">
        <f t="shared" si="3"/>
        <v/>
      </c>
      <c r="AA4" s="48" t="str">
        <f t="shared" si="3"/>
        <v/>
      </c>
      <c r="AB4" s="48" t="str">
        <f t="shared" si="3"/>
        <v/>
      </c>
      <c r="AC4" s="48" t="str">
        <f t="shared" si="3"/>
        <v/>
      </c>
      <c r="AD4" s="48" t="str">
        <f t="shared" si="3"/>
        <v/>
      </c>
      <c r="AE4" s="48" t="str">
        <f t="shared" si="3"/>
        <v/>
      </c>
      <c r="AF4" s="48" t="str">
        <f t="shared" si="3"/>
        <v/>
      </c>
      <c r="AG4" s="48" t="str">
        <f t="shared" si="3"/>
        <v/>
      </c>
      <c r="AH4" s="48" t="str">
        <f t="shared" si="3"/>
        <v/>
      </c>
      <c r="AI4" s="48" t="str">
        <f t="shared" si="3"/>
        <v/>
      </c>
      <c r="AJ4" s="48" t="str">
        <f t="shared" si="3"/>
        <v/>
      </c>
      <c r="AK4" s="48" t="str">
        <f t="shared" si="3"/>
        <v/>
      </c>
      <c r="AL4" s="48" t="str">
        <f t="shared" si="3"/>
        <v/>
      </c>
      <c r="AM4" s="48" t="str">
        <f t="shared" si="3"/>
        <v/>
      </c>
      <c r="AN4" s="48" t="str">
        <f t="shared" si="3"/>
        <v/>
      </c>
      <c r="AO4" s="48" t="str">
        <f t="shared" si="3"/>
        <v/>
      </c>
      <c r="AP4" s="48" t="str">
        <f t="shared" si="3"/>
        <v/>
      </c>
      <c r="AQ4" s="48" t="str">
        <f t="shared" si="3"/>
        <v/>
      </c>
      <c r="AR4" s="48" t="str">
        <f t="shared" si="3"/>
        <v/>
      </c>
      <c r="AS4" s="48" t="str">
        <f t="shared" si="3"/>
        <v/>
      </c>
      <c r="AT4" s="48" t="str">
        <f t="shared" si="3"/>
        <v/>
      </c>
      <c r="AU4" s="48" t="str">
        <f t="shared" si="3"/>
        <v/>
      </c>
      <c r="AV4" s="48" t="str">
        <f t="shared" si="3"/>
        <v/>
      </c>
    </row>
    <row r="5" ht="15.75" customHeight="1">
      <c r="A5" s="46">
        <v>2.0</v>
      </c>
      <c r="B5" s="30" t="s">
        <v>50</v>
      </c>
      <c r="C5" s="44">
        <v>5.0</v>
      </c>
      <c r="D5" s="47">
        <f>_xlfn.WORKDAY.INTL(E4,0,1)</f>
        <v>45013</v>
      </c>
      <c r="E5" s="47">
        <f>_xlfn.WORKDAY.INTL(D5,C5,1)</f>
        <v>45020</v>
      </c>
      <c r="F5" s="26" t="s">
        <v>49</v>
      </c>
      <c r="G5" s="48" t="str">
        <f t="shared" ref="G5:AV5" si="4">IF(AND($F5="Yes",G$2=$E5),"♦","")</f>
        <v/>
      </c>
      <c r="H5" s="48" t="str">
        <f t="shared" si="4"/>
        <v/>
      </c>
      <c r="I5" s="48" t="str">
        <f t="shared" si="4"/>
        <v/>
      </c>
      <c r="J5" s="48" t="str">
        <f t="shared" si="4"/>
        <v/>
      </c>
      <c r="K5" s="48" t="str">
        <f t="shared" si="4"/>
        <v/>
      </c>
      <c r="L5" s="48" t="str">
        <f t="shared" si="4"/>
        <v/>
      </c>
      <c r="M5" s="48" t="str">
        <f t="shared" si="4"/>
        <v/>
      </c>
      <c r="N5" s="48" t="str">
        <f t="shared" si="4"/>
        <v/>
      </c>
      <c r="O5" s="48" t="str">
        <f t="shared" si="4"/>
        <v/>
      </c>
      <c r="P5" s="48" t="str">
        <f t="shared" si="4"/>
        <v/>
      </c>
      <c r="Q5" s="48" t="str">
        <f t="shared" si="4"/>
        <v/>
      </c>
      <c r="R5" s="48" t="str">
        <f t="shared" si="4"/>
        <v/>
      </c>
      <c r="S5" s="48" t="str">
        <f t="shared" si="4"/>
        <v/>
      </c>
      <c r="T5" s="48" t="str">
        <f t="shared" si="4"/>
        <v/>
      </c>
      <c r="U5" s="48" t="str">
        <f t="shared" si="4"/>
        <v/>
      </c>
      <c r="V5" s="48" t="str">
        <f t="shared" si="4"/>
        <v/>
      </c>
      <c r="W5" s="48" t="str">
        <f t="shared" si="4"/>
        <v/>
      </c>
      <c r="X5" s="48" t="str">
        <f t="shared" si="4"/>
        <v/>
      </c>
      <c r="Y5" s="48" t="str">
        <f t="shared" si="4"/>
        <v/>
      </c>
      <c r="Z5" s="48" t="str">
        <f t="shared" si="4"/>
        <v/>
      </c>
      <c r="AA5" s="48" t="str">
        <f t="shared" si="4"/>
        <v/>
      </c>
      <c r="AB5" s="48" t="str">
        <f t="shared" si="4"/>
        <v/>
      </c>
      <c r="AC5" s="48" t="str">
        <f t="shared" si="4"/>
        <v/>
      </c>
      <c r="AD5" s="48" t="str">
        <f t="shared" si="4"/>
        <v/>
      </c>
      <c r="AE5" s="48" t="str">
        <f t="shared" si="4"/>
        <v/>
      </c>
      <c r="AF5" s="48" t="str">
        <f t="shared" si="4"/>
        <v/>
      </c>
      <c r="AG5" s="48" t="str">
        <f t="shared" si="4"/>
        <v/>
      </c>
      <c r="AH5" s="48" t="str">
        <f t="shared" si="4"/>
        <v/>
      </c>
      <c r="AI5" s="48" t="str">
        <f t="shared" si="4"/>
        <v/>
      </c>
      <c r="AJ5" s="48" t="str">
        <f t="shared" si="4"/>
        <v/>
      </c>
      <c r="AK5" s="48" t="str">
        <f t="shared" si="4"/>
        <v/>
      </c>
      <c r="AL5" s="48" t="str">
        <f t="shared" si="4"/>
        <v/>
      </c>
      <c r="AM5" s="48" t="str">
        <f t="shared" si="4"/>
        <v/>
      </c>
      <c r="AN5" s="48" t="str">
        <f t="shared" si="4"/>
        <v/>
      </c>
      <c r="AO5" s="48" t="str">
        <f t="shared" si="4"/>
        <v/>
      </c>
      <c r="AP5" s="48" t="str">
        <f t="shared" si="4"/>
        <v/>
      </c>
      <c r="AQ5" s="48" t="str">
        <f t="shared" si="4"/>
        <v/>
      </c>
      <c r="AR5" s="48" t="str">
        <f t="shared" si="4"/>
        <v/>
      </c>
      <c r="AS5" s="48" t="str">
        <f t="shared" si="4"/>
        <v/>
      </c>
      <c r="AT5" s="48" t="str">
        <f t="shared" si="4"/>
        <v/>
      </c>
      <c r="AU5" s="48" t="str">
        <f t="shared" si="4"/>
        <v/>
      </c>
      <c r="AV5" s="48" t="str">
        <f t="shared" si="4"/>
        <v/>
      </c>
    </row>
    <row r="6" ht="15.75" customHeight="1">
      <c r="A6" s="46">
        <v>4.0</v>
      </c>
      <c r="B6" s="30" t="s">
        <v>51</v>
      </c>
      <c r="C6" s="44">
        <v>6.0</v>
      </c>
      <c r="D6" s="47">
        <f>_xlfn.WORKDAY.INTL(D4,0,1)</f>
        <v>45013</v>
      </c>
      <c r="E6" s="47">
        <f t="shared" ref="E6:E7" si="6">_xlfn.WORKDAY.INTL(D6,C6-1,1)</f>
        <v>45020</v>
      </c>
      <c r="F6" s="26" t="s">
        <v>49</v>
      </c>
      <c r="G6" s="48" t="str">
        <f t="shared" ref="G6:AV6" si="5">IF(AND($F6="Yes",G$2=$E6),"♦","")</f>
        <v/>
      </c>
      <c r="H6" s="48" t="str">
        <f t="shared" si="5"/>
        <v/>
      </c>
      <c r="I6" s="48" t="str">
        <f t="shared" si="5"/>
        <v/>
      </c>
      <c r="J6" s="48" t="str">
        <f t="shared" si="5"/>
        <v/>
      </c>
      <c r="K6" s="48" t="str">
        <f t="shared" si="5"/>
        <v/>
      </c>
      <c r="L6" s="48" t="str">
        <f t="shared" si="5"/>
        <v/>
      </c>
      <c r="M6" s="48" t="str">
        <f t="shared" si="5"/>
        <v/>
      </c>
      <c r="N6" s="48" t="str">
        <f t="shared" si="5"/>
        <v/>
      </c>
      <c r="O6" s="48" t="str">
        <f t="shared" si="5"/>
        <v/>
      </c>
      <c r="P6" s="48" t="str">
        <f t="shared" si="5"/>
        <v/>
      </c>
      <c r="Q6" s="48" t="str">
        <f t="shared" si="5"/>
        <v/>
      </c>
      <c r="R6" s="48" t="str">
        <f t="shared" si="5"/>
        <v/>
      </c>
      <c r="S6" s="48" t="str">
        <f t="shared" si="5"/>
        <v/>
      </c>
      <c r="T6" s="48" t="str">
        <f t="shared" si="5"/>
        <v/>
      </c>
      <c r="U6" s="48" t="str">
        <f t="shared" si="5"/>
        <v/>
      </c>
      <c r="V6" s="48" t="str">
        <f t="shared" si="5"/>
        <v/>
      </c>
      <c r="W6" s="48" t="str">
        <f t="shared" si="5"/>
        <v/>
      </c>
      <c r="X6" s="48" t="str">
        <f t="shared" si="5"/>
        <v/>
      </c>
      <c r="Y6" s="48" t="str">
        <f t="shared" si="5"/>
        <v/>
      </c>
      <c r="Z6" s="48" t="str">
        <f t="shared" si="5"/>
        <v/>
      </c>
      <c r="AA6" s="48" t="str">
        <f t="shared" si="5"/>
        <v/>
      </c>
      <c r="AB6" s="48" t="str">
        <f t="shared" si="5"/>
        <v/>
      </c>
      <c r="AC6" s="48" t="str">
        <f t="shared" si="5"/>
        <v/>
      </c>
      <c r="AD6" s="48" t="str">
        <f t="shared" si="5"/>
        <v/>
      </c>
      <c r="AE6" s="48" t="str">
        <f t="shared" si="5"/>
        <v/>
      </c>
      <c r="AF6" s="48" t="str">
        <f t="shared" si="5"/>
        <v/>
      </c>
      <c r="AG6" s="48" t="str">
        <f t="shared" si="5"/>
        <v/>
      </c>
      <c r="AH6" s="48" t="str">
        <f t="shared" si="5"/>
        <v/>
      </c>
      <c r="AI6" s="48" t="str">
        <f t="shared" si="5"/>
        <v/>
      </c>
      <c r="AJ6" s="48" t="str">
        <f t="shared" si="5"/>
        <v/>
      </c>
      <c r="AK6" s="48" t="str">
        <f t="shared" si="5"/>
        <v/>
      </c>
      <c r="AL6" s="48" t="str">
        <f t="shared" si="5"/>
        <v/>
      </c>
      <c r="AM6" s="48" t="str">
        <f t="shared" si="5"/>
        <v/>
      </c>
      <c r="AN6" s="48" t="str">
        <f t="shared" si="5"/>
        <v/>
      </c>
      <c r="AO6" s="48" t="str">
        <f t="shared" si="5"/>
        <v/>
      </c>
      <c r="AP6" s="48" t="str">
        <f t="shared" si="5"/>
        <v/>
      </c>
      <c r="AQ6" s="48" t="str">
        <f t="shared" si="5"/>
        <v/>
      </c>
      <c r="AR6" s="48" t="str">
        <f t="shared" si="5"/>
        <v/>
      </c>
      <c r="AS6" s="48" t="str">
        <f t="shared" si="5"/>
        <v/>
      </c>
      <c r="AT6" s="48" t="str">
        <f t="shared" si="5"/>
        <v/>
      </c>
      <c r="AU6" s="48" t="str">
        <f t="shared" si="5"/>
        <v/>
      </c>
      <c r="AV6" s="48" t="str">
        <f t="shared" si="5"/>
        <v/>
      </c>
    </row>
    <row r="7" ht="15.75" customHeight="1">
      <c r="A7" s="46">
        <v>5.0</v>
      </c>
      <c r="B7" s="30" t="s">
        <v>52</v>
      </c>
      <c r="C7" s="44">
        <v>2.0</v>
      </c>
      <c r="D7" s="47">
        <f t="shared" ref="D7:D8" si="8">_xlfn.WORKDAY.INTL(E6,1,1)</f>
        <v>45021</v>
      </c>
      <c r="E7" s="47">
        <f t="shared" si="6"/>
        <v>45022</v>
      </c>
      <c r="F7" s="26" t="s">
        <v>49</v>
      </c>
      <c r="G7" s="48" t="str">
        <f t="shared" ref="G7:AV7" si="7">IF(AND($F7="Yes",G$2=$E7),"♦","")</f>
        <v/>
      </c>
      <c r="H7" s="48" t="str">
        <f t="shared" si="7"/>
        <v/>
      </c>
      <c r="I7" s="48" t="str">
        <f t="shared" si="7"/>
        <v/>
      </c>
      <c r="J7" s="48" t="str">
        <f t="shared" si="7"/>
        <v/>
      </c>
      <c r="K7" s="48" t="str">
        <f t="shared" si="7"/>
        <v/>
      </c>
      <c r="L7" s="48" t="str">
        <f t="shared" si="7"/>
        <v/>
      </c>
      <c r="M7" s="48" t="str">
        <f t="shared" si="7"/>
        <v/>
      </c>
      <c r="N7" s="48" t="str">
        <f t="shared" si="7"/>
        <v/>
      </c>
      <c r="O7" s="48" t="str">
        <f t="shared" si="7"/>
        <v/>
      </c>
      <c r="P7" s="48" t="str">
        <f t="shared" si="7"/>
        <v/>
      </c>
      <c r="Q7" s="48" t="str">
        <f t="shared" si="7"/>
        <v/>
      </c>
      <c r="R7" s="48" t="str">
        <f t="shared" si="7"/>
        <v/>
      </c>
      <c r="S7" s="48" t="str">
        <f t="shared" si="7"/>
        <v/>
      </c>
      <c r="T7" s="48" t="str">
        <f t="shared" si="7"/>
        <v/>
      </c>
      <c r="U7" s="48" t="str">
        <f t="shared" si="7"/>
        <v/>
      </c>
      <c r="V7" s="48" t="str">
        <f t="shared" si="7"/>
        <v/>
      </c>
      <c r="W7" s="48" t="str">
        <f t="shared" si="7"/>
        <v/>
      </c>
      <c r="X7" s="48" t="str">
        <f t="shared" si="7"/>
        <v/>
      </c>
      <c r="Y7" s="48" t="str">
        <f t="shared" si="7"/>
        <v/>
      </c>
      <c r="Z7" s="48" t="str">
        <f t="shared" si="7"/>
        <v/>
      </c>
      <c r="AA7" s="48" t="str">
        <f t="shared" si="7"/>
        <v/>
      </c>
      <c r="AB7" s="48" t="str">
        <f t="shared" si="7"/>
        <v/>
      </c>
      <c r="AC7" s="48" t="str">
        <f t="shared" si="7"/>
        <v/>
      </c>
      <c r="AD7" s="48" t="str">
        <f t="shared" si="7"/>
        <v/>
      </c>
      <c r="AE7" s="48" t="str">
        <f t="shared" si="7"/>
        <v/>
      </c>
      <c r="AF7" s="48" t="str">
        <f t="shared" si="7"/>
        <v/>
      </c>
      <c r="AG7" s="48" t="str">
        <f t="shared" si="7"/>
        <v/>
      </c>
      <c r="AH7" s="48" t="str">
        <f t="shared" si="7"/>
        <v/>
      </c>
      <c r="AI7" s="48" t="str">
        <f t="shared" si="7"/>
        <v/>
      </c>
      <c r="AJ7" s="48" t="str">
        <f t="shared" si="7"/>
        <v/>
      </c>
      <c r="AK7" s="48" t="str">
        <f t="shared" si="7"/>
        <v/>
      </c>
      <c r="AL7" s="48" t="str">
        <f t="shared" si="7"/>
        <v/>
      </c>
      <c r="AM7" s="48" t="str">
        <f t="shared" si="7"/>
        <v/>
      </c>
      <c r="AN7" s="48" t="str">
        <f t="shared" si="7"/>
        <v/>
      </c>
      <c r="AO7" s="48" t="str">
        <f t="shared" si="7"/>
        <v/>
      </c>
      <c r="AP7" s="48" t="str">
        <f t="shared" si="7"/>
        <v/>
      </c>
      <c r="AQ7" s="48" t="str">
        <f t="shared" si="7"/>
        <v/>
      </c>
      <c r="AR7" s="48" t="str">
        <f t="shared" si="7"/>
        <v/>
      </c>
      <c r="AS7" s="48" t="str">
        <f t="shared" si="7"/>
        <v/>
      </c>
      <c r="AT7" s="48" t="str">
        <f t="shared" si="7"/>
        <v/>
      </c>
      <c r="AU7" s="48" t="str">
        <f t="shared" si="7"/>
        <v/>
      </c>
      <c r="AV7" s="48" t="str">
        <f t="shared" si="7"/>
        <v/>
      </c>
    </row>
    <row r="8" ht="15.75" customHeight="1">
      <c r="A8" s="46">
        <v>6.0</v>
      </c>
      <c r="B8" s="30" t="s">
        <v>53</v>
      </c>
      <c r="C8" s="44">
        <v>0.0</v>
      </c>
      <c r="D8" s="47">
        <f t="shared" si="8"/>
        <v>45023</v>
      </c>
      <c r="E8" s="47">
        <f>_xlfn.WORKDAY.INTL(D8,C8,1)</f>
        <v>45023</v>
      </c>
      <c r="F8" s="26" t="s">
        <v>54</v>
      </c>
      <c r="G8" s="48" t="str">
        <f t="shared" ref="G8:AV8" si="9">IF(AND($F8="Yes",G$2=$E8),"♦","")</f>
        <v/>
      </c>
      <c r="H8" s="48" t="str">
        <f t="shared" si="9"/>
        <v/>
      </c>
      <c r="I8" s="48" t="str">
        <f t="shared" si="9"/>
        <v/>
      </c>
      <c r="J8" s="48" t="str">
        <f t="shared" si="9"/>
        <v/>
      </c>
      <c r="K8" s="48" t="str">
        <f t="shared" si="9"/>
        <v/>
      </c>
      <c r="L8" s="48" t="str">
        <f t="shared" si="9"/>
        <v/>
      </c>
      <c r="M8" s="48" t="str">
        <f t="shared" si="9"/>
        <v/>
      </c>
      <c r="N8" s="48" t="str">
        <f t="shared" si="9"/>
        <v/>
      </c>
      <c r="O8" s="48" t="str">
        <f t="shared" si="9"/>
        <v/>
      </c>
      <c r="P8" s="48" t="str">
        <f t="shared" si="9"/>
        <v/>
      </c>
      <c r="Q8" s="48" t="str">
        <f t="shared" si="9"/>
        <v/>
      </c>
      <c r="R8" s="48" t="str">
        <f t="shared" si="9"/>
        <v>♦</v>
      </c>
      <c r="S8" s="48" t="str">
        <f t="shared" si="9"/>
        <v/>
      </c>
      <c r="T8" s="48" t="str">
        <f t="shared" si="9"/>
        <v/>
      </c>
      <c r="U8" s="48" t="str">
        <f t="shared" si="9"/>
        <v/>
      </c>
      <c r="V8" s="48" t="str">
        <f t="shared" si="9"/>
        <v/>
      </c>
      <c r="W8" s="48" t="str">
        <f t="shared" si="9"/>
        <v/>
      </c>
      <c r="X8" s="48" t="str">
        <f t="shared" si="9"/>
        <v/>
      </c>
      <c r="Y8" s="48" t="str">
        <f t="shared" si="9"/>
        <v/>
      </c>
      <c r="Z8" s="48" t="str">
        <f t="shared" si="9"/>
        <v/>
      </c>
      <c r="AA8" s="48" t="str">
        <f t="shared" si="9"/>
        <v/>
      </c>
      <c r="AB8" s="48" t="str">
        <f t="shared" si="9"/>
        <v/>
      </c>
      <c r="AC8" s="48" t="str">
        <f t="shared" si="9"/>
        <v/>
      </c>
      <c r="AD8" s="48" t="str">
        <f t="shared" si="9"/>
        <v/>
      </c>
      <c r="AE8" s="48" t="str">
        <f t="shared" si="9"/>
        <v/>
      </c>
      <c r="AF8" s="48" t="str">
        <f t="shared" si="9"/>
        <v/>
      </c>
      <c r="AG8" s="48" t="str">
        <f t="shared" si="9"/>
        <v/>
      </c>
      <c r="AH8" s="48" t="str">
        <f t="shared" si="9"/>
        <v/>
      </c>
      <c r="AI8" s="48" t="str">
        <f t="shared" si="9"/>
        <v/>
      </c>
      <c r="AJ8" s="48" t="str">
        <f t="shared" si="9"/>
        <v/>
      </c>
      <c r="AK8" s="48" t="str">
        <f t="shared" si="9"/>
        <v/>
      </c>
      <c r="AL8" s="48" t="str">
        <f t="shared" si="9"/>
        <v/>
      </c>
      <c r="AM8" s="48" t="str">
        <f t="shared" si="9"/>
        <v/>
      </c>
      <c r="AN8" s="48" t="str">
        <f t="shared" si="9"/>
        <v/>
      </c>
      <c r="AO8" s="48" t="str">
        <f t="shared" si="9"/>
        <v/>
      </c>
      <c r="AP8" s="48" t="str">
        <f t="shared" si="9"/>
        <v/>
      </c>
      <c r="AQ8" s="48" t="str">
        <f t="shared" si="9"/>
        <v/>
      </c>
      <c r="AR8" s="48" t="str">
        <f t="shared" si="9"/>
        <v/>
      </c>
      <c r="AS8" s="48" t="str">
        <f t="shared" si="9"/>
        <v/>
      </c>
      <c r="AT8" s="48" t="str">
        <f t="shared" si="9"/>
        <v/>
      </c>
      <c r="AU8" s="48" t="str">
        <f t="shared" si="9"/>
        <v/>
      </c>
      <c r="AV8" s="48" t="str">
        <f t="shared" si="9"/>
        <v/>
      </c>
    </row>
    <row r="9">
      <c r="A9" s="46">
        <v>8.0</v>
      </c>
      <c r="B9" s="49" t="s">
        <v>55</v>
      </c>
      <c r="C9" s="44"/>
      <c r="D9" s="47"/>
      <c r="E9" s="47"/>
      <c r="F9" s="26"/>
      <c r="G9" s="48" t="str">
        <f t="shared" ref="G9:AV9" si="10">IF(AND($F9="Yes",G$2=$E9),"♦","")</f>
        <v/>
      </c>
      <c r="H9" s="48" t="str">
        <f t="shared" si="10"/>
        <v/>
      </c>
      <c r="I9" s="48" t="str">
        <f t="shared" si="10"/>
        <v/>
      </c>
      <c r="J9" s="48" t="str">
        <f t="shared" si="10"/>
        <v/>
      </c>
      <c r="K9" s="48" t="str">
        <f t="shared" si="10"/>
        <v/>
      </c>
      <c r="L9" s="48" t="str">
        <f t="shared" si="10"/>
        <v/>
      </c>
      <c r="M9" s="48" t="str">
        <f t="shared" si="10"/>
        <v/>
      </c>
      <c r="N9" s="48" t="str">
        <f t="shared" si="10"/>
        <v/>
      </c>
      <c r="O9" s="48" t="str">
        <f t="shared" si="10"/>
        <v/>
      </c>
      <c r="P9" s="48" t="str">
        <f t="shared" si="10"/>
        <v/>
      </c>
      <c r="Q9" s="48" t="str">
        <f t="shared" si="10"/>
        <v/>
      </c>
      <c r="R9" s="48" t="str">
        <f t="shared" si="10"/>
        <v/>
      </c>
      <c r="S9" s="48" t="str">
        <f t="shared" si="10"/>
        <v/>
      </c>
      <c r="T9" s="48" t="str">
        <f t="shared" si="10"/>
        <v/>
      </c>
      <c r="U9" s="48" t="str">
        <f t="shared" si="10"/>
        <v/>
      </c>
      <c r="V9" s="48" t="str">
        <f t="shared" si="10"/>
        <v/>
      </c>
      <c r="W9" s="48" t="str">
        <f t="shared" si="10"/>
        <v/>
      </c>
      <c r="X9" s="48" t="str">
        <f t="shared" si="10"/>
        <v/>
      </c>
      <c r="Y9" s="48" t="str">
        <f t="shared" si="10"/>
        <v/>
      </c>
      <c r="Z9" s="48" t="str">
        <f t="shared" si="10"/>
        <v/>
      </c>
      <c r="AA9" s="48" t="str">
        <f t="shared" si="10"/>
        <v/>
      </c>
      <c r="AB9" s="48" t="str">
        <f t="shared" si="10"/>
        <v/>
      </c>
      <c r="AC9" s="48" t="str">
        <f t="shared" si="10"/>
        <v/>
      </c>
      <c r="AD9" s="48" t="str">
        <f t="shared" si="10"/>
        <v/>
      </c>
      <c r="AE9" s="48" t="str">
        <f t="shared" si="10"/>
        <v/>
      </c>
      <c r="AF9" s="48" t="str">
        <f t="shared" si="10"/>
        <v/>
      </c>
      <c r="AG9" s="48" t="str">
        <f t="shared" si="10"/>
        <v/>
      </c>
      <c r="AH9" s="48" t="str">
        <f t="shared" si="10"/>
        <v/>
      </c>
      <c r="AI9" s="48" t="str">
        <f t="shared" si="10"/>
        <v/>
      </c>
      <c r="AJ9" s="48" t="str">
        <f t="shared" si="10"/>
        <v/>
      </c>
      <c r="AK9" s="48" t="str">
        <f t="shared" si="10"/>
        <v/>
      </c>
      <c r="AL9" s="48" t="str">
        <f t="shared" si="10"/>
        <v/>
      </c>
      <c r="AM9" s="48" t="str">
        <f t="shared" si="10"/>
        <v/>
      </c>
      <c r="AN9" s="48" t="str">
        <f t="shared" si="10"/>
        <v/>
      </c>
      <c r="AO9" s="48" t="str">
        <f t="shared" si="10"/>
        <v/>
      </c>
      <c r="AP9" s="48" t="str">
        <f t="shared" si="10"/>
        <v/>
      </c>
      <c r="AQ9" s="48" t="str">
        <f t="shared" si="10"/>
        <v/>
      </c>
      <c r="AR9" s="48" t="str">
        <f t="shared" si="10"/>
        <v/>
      </c>
      <c r="AS9" s="48" t="str">
        <f t="shared" si="10"/>
        <v/>
      </c>
      <c r="AT9" s="48" t="str">
        <f t="shared" si="10"/>
        <v/>
      </c>
      <c r="AU9" s="48" t="str">
        <f t="shared" si="10"/>
        <v/>
      </c>
      <c r="AV9" s="48" t="str">
        <f t="shared" si="10"/>
        <v/>
      </c>
    </row>
    <row r="10" ht="15.75" customHeight="1">
      <c r="A10" s="46">
        <v>9.0</v>
      </c>
      <c r="B10" s="27"/>
      <c r="C10" s="44"/>
      <c r="D10" s="47"/>
      <c r="E10" s="47"/>
      <c r="F10" s="26"/>
      <c r="G10" s="48" t="str">
        <f t="shared" ref="G10:AV10" si="11">IF(AND($F10="Yes",G$2=$E10),"♦","")</f>
        <v/>
      </c>
      <c r="H10" s="48" t="str">
        <f t="shared" si="11"/>
        <v/>
      </c>
      <c r="I10" s="48" t="str">
        <f t="shared" si="11"/>
        <v/>
      </c>
      <c r="J10" s="48" t="str">
        <f t="shared" si="11"/>
        <v/>
      </c>
      <c r="K10" s="48" t="str">
        <f t="shared" si="11"/>
        <v/>
      </c>
      <c r="L10" s="48" t="str">
        <f t="shared" si="11"/>
        <v/>
      </c>
      <c r="M10" s="48" t="str">
        <f t="shared" si="11"/>
        <v/>
      </c>
      <c r="N10" s="48" t="str">
        <f t="shared" si="11"/>
        <v/>
      </c>
      <c r="O10" s="48" t="str">
        <f t="shared" si="11"/>
        <v/>
      </c>
      <c r="P10" s="48" t="str">
        <f t="shared" si="11"/>
        <v/>
      </c>
      <c r="Q10" s="48" t="str">
        <f t="shared" si="11"/>
        <v/>
      </c>
      <c r="R10" s="48" t="str">
        <f t="shared" si="11"/>
        <v/>
      </c>
      <c r="S10" s="48" t="str">
        <f t="shared" si="11"/>
        <v/>
      </c>
      <c r="T10" s="48" t="str">
        <f t="shared" si="11"/>
        <v/>
      </c>
      <c r="U10" s="48" t="str">
        <f t="shared" si="11"/>
        <v/>
      </c>
      <c r="V10" s="48" t="str">
        <f t="shared" si="11"/>
        <v/>
      </c>
      <c r="W10" s="48" t="str">
        <f t="shared" si="11"/>
        <v/>
      </c>
      <c r="X10" s="48" t="str">
        <f t="shared" si="11"/>
        <v/>
      </c>
      <c r="Y10" s="48" t="str">
        <f t="shared" si="11"/>
        <v/>
      </c>
      <c r="Z10" s="48" t="str">
        <f t="shared" si="11"/>
        <v/>
      </c>
      <c r="AA10" s="48" t="str">
        <f t="shared" si="11"/>
        <v/>
      </c>
      <c r="AB10" s="48" t="str">
        <f t="shared" si="11"/>
        <v/>
      </c>
      <c r="AC10" s="48" t="str">
        <f t="shared" si="11"/>
        <v/>
      </c>
      <c r="AD10" s="48" t="str">
        <f t="shared" si="11"/>
        <v/>
      </c>
      <c r="AE10" s="48" t="str">
        <f t="shared" si="11"/>
        <v/>
      </c>
      <c r="AF10" s="48" t="str">
        <f t="shared" si="11"/>
        <v/>
      </c>
      <c r="AG10" s="48" t="str">
        <f t="shared" si="11"/>
        <v/>
      </c>
      <c r="AH10" s="48" t="str">
        <f t="shared" si="11"/>
        <v/>
      </c>
      <c r="AI10" s="48" t="str">
        <f t="shared" si="11"/>
        <v/>
      </c>
      <c r="AJ10" s="48" t="str">
        <f t="shared" si="11"/>
        <v/>
      </c>
      <c r="AK10" s="48" t="str">
        <f t="shared" si="11"/>
        <v/>
      </c>
      <c r="AL10" s="48" t="str">
        <f t="shared" si="11"/>
        <v/>
      </c>
      <c r="AM10" s="48" t="str">
        <f t="shared" si="11"/>
        <v/>
      </c>
      <c r="AN10" s="48" t="str">
        <f t="shared" si="11"/>
        <v/>
      </c>
      <c r="AO10" s="48" t="str">
        <f t="shared" si="11"/>
        <v/>
      </c>
      <c r="AP10" s="48" t="str">
        <f t="shared" si="11"/>
        <v/>
      </c>
      <c r="AQ10" s="48" t="str">
        <f t="shared" si="11"/>
        <v/>
      </c>
      <c r="AR10" s="48" t="str">
        <f t="shared" si="11"/>
        <v/>
      </c>
      <c r="AS10" s="48" t="str">
        <f t="shared" si="11"/>
        <v/>
      </c>
      <c r="AT10" s="48" t="str">
        <f t="shared" si="11"/>
        <v/>
      </c>
      <c r="AU10" s="48" t="str">
        <f t="shared" si="11"/>
        <v/>
      </c>
      <c r="AV10" s="48" t="str">
        <f t="shared" si="11"/>
        <v/>
      </c>
    </row>
    <row r="11" ht="15.75" customHeight="1">
      <c r="A11" s="46">
        <v>10.0</v>
      </c>
      <c r="B11" s="27"/>
      <c r="C11" s="44"/>
      <c r="D11" s="47"/>
      <c r="E11" s="47"/>
      <c r="F11" s="26"/>
      <c r="G11" s="48" t="str">
        <f t="shared" ref="G11:AV11" si="12">IF(AND($F11="Yes",G$2=$E11),"♦","")</f>
        <v/>
      </c>
      <c r="H11" s="48" t="str">
        <f t="shared" si="12"/>
        <v/>
      </c>
      <c r="I11" s="48" t="str">
        <f t="shared" si="12"/>
        <v/>
      </c>
      <c r="J11" s="48" t="str">
        <f t="shared" si="12"/>
        <v/>
      </c>
      <c r="K11" s="48" t="str">
        <f t="shared" si="12"/>
        <v/>
      </c>
      <c r="L11" s="48" t="str">
        <f t="shared" si="12"/>
        <v/>
      </c>
      <c r="M11" s="48" t="str">
        <f t="shared" si="12"/>
        <v/>
      </c>
      <c r="N11" s="48" t="str">
        <f t="shared" si="12"/>
        <v/>
      </c>
      <c r="O11" s="48" t="str">
        <f t="shared" si="12"/>
        <v/>
      </c>
      <c r="P11" s="48" t="str">
        <f t="shared" si="12"/>
        <v/>
      </c>
      <c r="Q11" s="48" t="str">
        <f t="shared" si="12"/>
        <v/>
      </c>
      <c r="R11" s="48" t="str">
        <f t="shared" si="12"/>
        <v/>
      </c>
      <c r="S11" s="48" t="str">
        <f t="shared" si="12"/>
        <v/>
      </c>
      <c r="T11" s="48" t="str">
        <f t="shared" si="12"/>
        <v/>
      </c>
      <c r="U11" s="48" t="str">
        <f t="shared" si="12"/>
        <v/>
      </c>
      <c r="V11" s="48" t="str">
        <f t="shared" si="12"/>
        <v/>
      </c>
      <c r="W11" s="48" t="str">
        <f t="shared" si="12"/>
        <v/>
      </c>
      <c r="X11" s="48" t="str">
        <f t="shared" si="12"/>
        <v/>
      </c>
      <c r="Y11" s="48" t="str">
        <f t="shared" si="12"/>
        <v/>
      </c>
      <c r="Z11" s="48" t="str">
        <f t="shared" si="12"/>
        <v/>
      </c>
      <c r="AA11" s="48" t="str">
        <f t="shared" si="12"/>
        <v/>
      </c>
      <c r="AB11" s="48" t="str">
        <f t="shared" si="12"/>
        <v/>
      </c>
      <c r="AC11" s="48" t="str">
        <f t="shared" si="12"/>
        <v/>
      </c>
      <c r="AD11" s="48" t="str">
        <f t="shared" si="12"/>
        <v/>
      </c>
      <c r="AE11" s="48" t="str">
        <f t="shared" si="12"/>
        <v/>
      </c>
      <c r="AF11" s="48" t="str">
        <f t="shared" si="12"/>
        <v/>
      </c>
      <c r="AG11" s="48" t="str">
        <f t="shared" si="12"/>
        <v/>
      </c>
      <c r="AH11" s="48" t="str">
        <f t="shared" si="12"/>
        <v/>
      </c>
      <c r="AI11" s="48" t="str">
        <f t="shared" si="12"/>
        <v/>
      </c>
      <c r="AJ11" s="48" t="str">
        <f t="shared" si="12"/>
        <v/>
      </c>
      <c r="AK11" s="48" t="str">
        <f t="shared" si="12"/>
        <v/>
      </c>
      <c r="AL11" s="48" t="str">
        <f t="shared" si="12"/>
        <v/>
      </c>
      <c r="AM11" s="48" t="str">
        <f t="shared" si="12"/>
        <v/>
      </c>
      <c r="AN11" s="48" t="str">
        <f t="shared" si="12"/>
        <v/>
      </c>
      <c r="AO11" s="48" t="str">
        <f t="shared" si="12"/>
        <v/>
      </c>
      <c r="AP11" s="48" t="str">
        <f t="shared" si="12"/>
        <v/>
      </c>
      <c r="AQ11" s="48" t="str">
        <f t="shared" si="12"/>
        <v/>
      </c>
      <c r="AR11" s="48" t="str">
        <f t="shared" si="12"/>
        <v/>
      </c>
      <c r="AS11" s="48" t="str">
        <f t="shared" si="12"/>
        <v/>
      </c>
      <c r="AT11" s="48" t="str">
        <f t="shared" si="12"/>
        <v/>
      </c>
      <c r="AU11" s="48" t="str">
        <f t="shared" si="12"/>
        <v/>
      </c>
      <c r="AV11" s="48" t="str">
        <f t="shared" si="12"/>
        <v/>
      </c>
    </row>
    <row r="12" ht="15.75" customHeight="1">
      <c r="A12" s="46">
        <v>11.0</v>
      </c>
      <c r="B12" s="27"/>
      <c r="C12" s="44"/>
      <c r="D12" s="47"/>
      <c r="E12" s="47"/>
      <c r="F12" s="26"/>
      <c r="G12" s="48" t="str">
        <f t="shared" ref="G12:AV12" si="13">IF(AND($F12="Yes",G$2=$E12),"♦","")</f>
        <v/>
      </c>
      <c r="H12" s="48" t="str">
        <f t="shared" si="13"/>
        <v/>
      </c>
      <c r="I12" s="48" t="str">
        <f t="shared" si="13"/>
        <v/>
      </c>
      <c r="J12" s="48" t="str">
        <f t="shared" si="13"/>
        <v/>
      </c>
      <c r="K12" s="48" t="str">
        <f t="shared" si="13"/>
        <v/>
      </c>
      <c r="L12" s="48" t="str">
        <f t="shared" si="13"/>
        <v/>
      </c>
      <c r="M12" s="48" t="str">
        <f t="shared" si="13"/>
        <v/>
      </c>
      <c r="N12" s="48" t="str">
        <f t="shared" si="13"/>
        <v/>
      </c>
      <c r="O12" s="48" t="str">
        <f t="shared" si="13"/>
        <v/>
      </c>
      <c r="P12" s="48" t="str">
        <f t="shared" si="13"/>
        <v/>
      </c>
      <c r="Q12" s="48" t="str">
        <f t="shared" si="13"/>
        <v/>
      </c>
      <c r="R12" s="48" t="str">
        <f t="shared" si="13"/>
        <v/>
      </c>
      <c r="S12" s="48" t="str">
        <f t="shared" si="13"/>
        <v/>
      </c>
      <c r="T12" s="48" t="str">
        <f t="shared" si="13"/>
        <v/>
      </c>
      <c r="U12" s="48" t="str">
        <f t="shared" si="13"/>
        <v/>
      </c>
      <c r="V12" s="48" t="str">
        <f t="shared" si="13"/>
        <v/>
      </c>
      <c r="W12" s="48" t="str">
        <f t="shared" si="13"/>
        <v/>
      </c>
      <c r="X12" s="48" t="str">
        <f t="shared" si="13"/>
        <v/>
      </c>
      <c r="Y12" s="48" t="str">
        <f t="shared" si="13"/>
        <v/>
      </c>
      <c r="Z12" s="48" t="str">
        <f t="shared" si="13"/>
        <v/>
      </c>
      <c r="AA12" s="48" t="str">
        <f t="shared" si="13"/>
        <v/>
      </c>
      <c r="AB12" s="48" t="str">
        <f t="shared" si="13"/>
        <v/>
      </c>
      <c r="AC12" s="48" t="str">
        <f t="shared" si="13"/>
        <v/>
      </c>
      <c r="AD12" s="48" t="str">
        <f t="shared" si="13"/>
        <v/>
      </c>
      <c r="AE12" s="48" t="str">
        <f t="shared" si="13"/>
        <v/>
      </c>
      <c r="AF12" s="48" t="str">
        <f t="shared" si="13"/>
        <v/>
      </c>
      <c r="AG12" s="48" t="str">
        <f t="shared" si="13"/>
        <v/>
      </c>
      <c r="AH12" s="48" t="str">
        <f t="shared" si="13"/>
        <v/>
      </c>
      <c r="AI12" s="48" t="str">
        <f t="shared" si="13"/>
        <v/>
      </c>
      <c r="AJ12" s="48" t="str">
        <f t="shared" si="13"/>
        <v/>
      </c>
      <c r="AK12" s="48" t="str">
        <f t="shared" si="13"/>
        <v/>
      </c>
      <c r="AL12" s="48" t="str">
        <f t="shared" si="13"/>
        <v/>
      </c>
      <c r="AM12" s="48" t="str">
        <f t="shared" si="13"/>
        <v/>
      </c>
      <c r="AN12" s="48" t="str">
        <f t="shared" si="13"/>
        <v/>
      </c>
      <c r="AO12" s="48" t="str">
        <f t="shared" si="13"/>
        <v/>
      </c>
      <c r="AP12" s="48" t="str">
        <f t="shared" si="13"/>
        <v/>
      </c>
      <c r="AQ12" s="48" t="str">
        <f t="shared" si="13"/>
        <v/>
      </c>
      <c r="AR12" s="48" t="str">
        <f t="shared" si="13"/>
        <v/>
      </c>
      <c r="AS12" s="48" t="str">
        <f t="shared" si="13"/>
        <v/>
      </c>
      <c r="AT12" s="48" t="str">
        <f t="shared" si="13"/>
        <v/>
      </c>
      <c r="AU12" s="48" t="str">
        <f t="shared" si="13"/>
        <v/>
      </c>
      <c r="AV12" s="48" t="str">
        <f t="shared" si="13"/>
        <v/>
      </c>
    </row>
    <row r="13" ht="15.75" customHeight="1">
      <c r="A13" s="46">
        <v>12.0</v>
      </c>
      <c r="B13" s="27"/>
      <c r="C13" s="44"/>
      <c r="D13" s="47"/>
      <c r="E13" s="47"/>
      <c r="F13" s="26"/>
      <c r="G13" s="48" t="str">
        <f t="shared" ref="G13:AV13" si="14">IF(AND($F13="Yes",G$2=$E13),"♦","")</f>
        <v/>
      </c>
      <c r="H13" s="48" t="str">
        <f t="shared" si="14"/>
        <v/>
      </c>
      <c r="I13" s="48" t="str">
        <f t="shared" si="14"/>
        <v/>
      </c>
      <c r="J13" s="48" t="str">
        <f t="shared" si="14"/>
        <v/>
      </c>
      <c r="K13" s="48" t="str">
        <f t="shared" si="14"/>
        <v/>
      </c>
      <c r="L13" s="48" t="str">
        <f t="shared" si="14"/>
        <v/>
      </c>
      <c r="M13" s="48" t="str">
        <f t="shared" si="14"/>
        <v/>
      </c>
      <c r="N13" s="48" t="str">
        <f t="shared" si="14"/>
        <v/>
      </c>
      <c r="O13" s="48" t="str">
        <f t="shared" si="14"/>
        <v/>
      </c>
      <c r="P13" s="48" t="str">
        <f t="shared" si="14"/>
        <v/>
      </c>
      <c r="Q13" s="48" t="str">
        <f t="shared" si="14"/>
        <v/>
      </c>
      <c r="R13" s="48" t="str">
        <f t="shared" si="14"/>
        <v/>
      </c>
      <c r="S13" s="48" t="str">
        <f t="shared" si="14"/>
        <v/>
      </c>
      <c r="T13" s="48" t="str">
        <f t="shared" si="14"/>
        <v/>
      </c>
      <c r="U13" s="48" t="str">
        <f t="shared" si="14"/>
        <v/>
      </c>
      <c r="V13" s="48" t="str">
        <f t="shared" si="14"/>
        <v/>
      </c>
      <c r="W13" s="48" t="str">
        <f t="shared" si="14"/>
        <v/>
      </c>
      <c r="X13" s="48" t="str">
        <f t="shared" si="14"/>
        <v/>
      </c>
      <c r="Y13" s="48" t="str">
        <f t="shared" si="14"/>
        <v/>
      </c>
      <c r="Z13" s="48" t="str">
        <f t="shared" si="14"/>
        <v/>
      </c>
      <c r="AA13" s="48" t="str">
        <f t="shared" si="14"/>
        <v/>
      </c>
      <c r="AB13" s="48" t="str">
        <f t="shared" si="14"/>
        <v/>
      </c>
      <c r="AC13" s="48" t="str">
        <f t="shared" si="14"/>
        <v/>
      </c>
      <c r="AD13" s="48" t="str">
        <f t="shared" si="14"/>
        <v/>
      </c>
      <c r="AE13" s="48" t="str">
        <f t="shared" si="14"/>
        <v/>
      </c>
      <c r="AF13" s="48" t="str">
        <f t="shared" si="14"/>
        <v/>
      </c>
      <c r="AG13" s="48" t="str">
        <f t="shared" si="14"/>
        <v/>
      </c>
      <c r="AH13" s="48" t="str">
        <f t="shared" si="14"/>
        <v/>
      </c>
      <c r="AI13" s="48" t="str">
        <f t="shared" si="14"/>
        <v/>
      </c>
      <c r="AJ13" s="48" t="str">
        <f t="shared" si="14"/>
        <v/>
      </c>
      <c r="AK13" s="48" t="str">
        <f t="shared" si="14"/>
        <v/>
      </c>
      <c r="AL13" s="48" t="str">
        <f t="shared" si="14"/>
        <v/>
      </c>
      <c r="AM13" s="48" t="str">
        <f t="shared" si="14"/>
        <v/>
      </c>
      <c r="AN13" s="48" t="str">
        <f t="shared" si="14"/>
        <v/>
      </c>
      <c r="AO13" s="48" t="str">
        <f t="shared" si="14"/>
        <v/>
      </c>
      <c r="AP13" s="48" t="str">
        <f t="shared" si="14"/>
        <v/>
      </c>
      <c r="AQ13" s="48" t="str">
        <f t="shared" si="14"/>
        <v/>
      </c>
      <c r="AR13" s="48" t="str">
        <f t="shared" si="14"/>
        <v/>
      </c>
      <c r="AS13" s="48" t="str">
        <f t="shared" si="14"/>
        <v/>
      </c>
      <c r="AT13" s="48" t="str">
        <f t="shared" si="14"/>
        <v/>
      </c>
      <c r="AU13" s="48" t="str">
        <f t="shared" si="14"/>
        <v/>
      </c>
      <c r="AV13" s="48" t="str">
        <f t="shared" si="14"/>
        <v/>
      </c>
    </row>
    <row r="14" ht="15.75" customHeight="1">
      <c r="A14" s="46">
        <v>13.0</v>
      </c>
      <c r="B14" s="27"/>
      <c r="C14" s="44"/>
      <c r="D14" s="47"/>
      <c r="E14" s="47"/>
      <c r="F14" s="26"/>
      <c r="G14" s="48" t="str">
        <f t="shared" ref="G14:AV14" si="15">IF(AND($F14="Yes",G$2=$E14),"♦","")</f>
        <v/>
      </c>
      <c r="H14" s="48" t="str">
        <f t="shared" si="15"/>
        <v/>
      </c>
      <c r="I14" s="48" t="str">
        <f t="shared" si="15"/>
        <v/>
      </c>
      <c r="J14" s="48" t="str">
        <f t="shared" si="15"/>
        <v/>
      </c>
      <c r="K14" s="48" t="str">
        <f t="shared" si="15"/>
        <v/>
      </c>
      <c r="L14" s="48" t="str">
        <f t="shared" si="15"/>
        <v/>
      </c>
      <c r="M14" s="48" t="str">
        <f t="shared" si="15"/>
        <v/>
      </c>
      <c r="N14" s="48" t="str">
        <f t="shared" si="15"/>
        <v/>
      </c>
      <c r="O14" s="48" t="str">
        <f t="shared" si="15"/>
        <v/>
      </c>
      <c r="P14" s="48" t="str">
        <f t="shared" si="15"/>
        <v/>
      </c>
      <c r="Q14" s="48" t="str">
        <f t="shared" si="15"/>
        <v/>
      </c>
      <c r="R14" s="48" t="str">
        <f t="shared" si="15"/>
        <v/>
      </c>
      <c r="S14" s="48" t="str">
        <f t="shared" si="15"/>
        <v/>
      </c>
      <c r="T14" s="48" t="str">
        <f t="shared" si="15"/>
        <v/>
      </c>
      <c r="U14" s="48" t="str">
        <f t="shared" si="15"/>
        <v/>
      </c>
      <c r="V14" s="48" t="str">
        <f t="shared" si="15"/>
        <v/>
      </c>
      <c r="W14" s="48" t="str">
        <f t="shared" si="15"/>
        <v/>
      </c>
      <c r="X14" s="48" t="str">
        <f t="shared" si="15"/>
        <v/>
      </c>
      <c r="Y14" s="48" t="str">
        <f t="shared" si="15"/>
        <v/>
      </c>
      <c r="Z14" s="48" t="str">
        <f t="shared" si="15"/>
        <v/>
      </c>
      <c r="AA14" s="48" t="str">
        <f t="shared" si="15"/>
        <v/>
      </c>
      <c r="AB14" s="48" t="str">
        <f t="shared" si="15"/>
        <v/>
      </c>
      <c r="AC14" s="48" t="str">
        <f t="shared" si="15"/>
        <v/>
      </c>
      <c r="AD14" s="48" t="str">
        <f t="shared" si="15"/>
        <v/>
      </c>
      <c r="AE14" s="48" t="str">
        <f t="shared" si="15"/>
        <v/>
      </c>
      <c r="AF14" s="48" t="str">
        <f t="shared" si="15"/>
        <v/>
      </c>
      <c r="AG14" s="48" t="str">
        <f t="shared" si="15"/>
        <v/>
      </c>
      <c r="AH14" s="48" t="str">
        <f t="shared" si="15"/>
        <v/>
      </c>
      <c r="AI14" s="48" t="str">
        <f t="shared" si="15"/>
        <v/>
      </c>
      <c r="AJ14" s="48" t="str">
        <f t="shared" si="15"/>
        <v/>
      </c>
      <c r="AK14" s="48" t="str">
        <f t="shared" si="15"/>
        <v/>
      </c>
      <c r="AL14" s="48" t="str">
        <f t="shared" si="15"/>
        <v/>
      </c>
      <c r="AM14" s="48" t="str">
        <f t="shared" si="15"/>
        <v/>
      </c>
      <c r="AN14" s="48" t="str">
        <f t="shared" si="15"/>
        <v/>
      </c>
      <c r="AO14" s="48" t="str">
        <f t="shared" si="15"/>
        <v/>
      </c>
      <c r="AP14" s="48" t="str">
        <f t="shared" si="15"/>
        <v/>
      </c>
      <c r="AQ14" s="48" t="str">
        <f t="shared" si="15"/>
        <v/>
      </c>
      <c r="AR14" s="48" t="str">
        <f t="shared" si="15"/>
        <v/>
      </c>
      <c r="AS14" s="48" t="str">
        <f t="shared" si="15"/>
        <v/>
      </c>
      <c r="AT14" s="48" t="str">
        <f t="shared" si="15"/>
        <v/>
      </c>
      <c r="AU14" s="48" t="str">
        <f t="shared" si="15"/>
        <v/>
      </c>
      <c r="AV14" s="48" t="str">
        <f t="shared" si="15"/>
        <v/>
      </c>
    </row>
    <row r="15" ht="15.75" customHeight="1">
      <c r="A15" s="46">
        <v>14.0</v>
      </c>
      <c r="B15" s="27"/>
      <c r="C15" s="44"/>
      <c r="D15" s="47"/>
      <c r="E15" s="47"/>
      <c r="F15" s="26"/>
      <c r="G15" s="48" t="str">
        <f t="shared" ref="G15:AV15" si="16">IF(AND($F15="Yes",G$2=$E15),"♦","")</f>
        <v/>
      </c>
      <c r="H15" s="48" t="str">
        <f t="shared" si="16"/>
        <v/>
      </c>
      <c r="I15" s="48" t="str">
        <f t="shared" si="16"/>
        <v/>
      </c>
      <c r="J15" s="48" t="str">
        <f t="shared" si="16"/>
        <v/>
      </c>
      <c r="K15" s="48" t="str">
        <f t="shared" si="16"/>
        <v/>
      </c>
      <c r="L15" s="48" t="str">
        <f t="shared" si="16"/>
        <v/>
      </c>
      <c r="M15" s="48" t="str">
        <f t="shared" si="16"/>
        <v/>
      </c>
      <c r="N15" s="48" t="str">
        <f t="shared" si="16"/>
        <v/>
      </c>
      <c r="O15" s="48" t="str">
        <f t="shared" si="16"/>
        <v/>
      </c>
      <c r="P15" s="48" t="str">
        <f t="shared" si="16"/>
        <v/>
      </c>
      <c r="Q15" s="48" t="str">
        <f t="shared" si="16"/>
        <v/>
      </c>
      <c r="R15" s="48" t="str">
        <f t="shared" si="16"/>
        <v/>
      </c>
      <c r="S15" s="48" t="str">
        <f t="shared" si="16"/>
        <v/>
      </c>
      <c r="T15" s="48" t="str">
        <f t="shared" si="16"/>
        <v/>
      </c>
      <c r="U15" s="48" t="str">
        <f t="shared" si="16"/>
        <v/>
      </c>
      <c r="V15" s="48" t="str">
        <f t="shared" si="16"/>
        <v/>
      </c>
      <c r="W15" s="48" t="str">
        <f t="shared" si="16"/>
        <v/>
      </c>
      <c r="X15" s="48" t="str">
        <f t="shared" si="16"/>
        <v/>
      </c>
      <c r="Y15" s="48" t="str">
        <f t="shared" si="16"/>
        <v/>
      </c>
      <c r="Z15" s="48" t="str">
        <f t="shared" si="16"/>
        <v/>
      </c>
      <c r="AA15" s="48" t="str">
        <f t="shared" si="16"/>
        <v/>
      </c>
      <c r="AB15" s="48" t="str">
        <f t="shared" si="16"/>
        <v/>
      </c>
      <c r="AC15" s="48" t="str">
        <f t="shared" si="16"/>
        <v/>
      </c>
      <c r="AD15" s="48" t="str">
        <f t="shared" si="16"/>
        <v/>
      </c>
      <c r="AE15" s="48" t="str">
        <f t="shared" si="16"/>
        <v/>
      </c>
      <c r="AF15" s="48" t="str">
        <f t="shared" si="16"/>
        <v/>
      </c>
      <c r="AG15" s="48" t="str">
        <f t="shared" si="16"/>
        <v/>
      </c>
      <c r="AH15" s="48" t="str">
        <f t="shared" si="16"/>
        <v/>
      </c>
      <c r="AI15" s="48" t="str">
        <f t="shared" si="16"/>
        <v/>
      </c>
      <c r="AJ15" s="48" t="str">
        <f t="shared" si="16"/>
        <v/>
      </c>
      <c r="AK15" s="48" t="str">
        <f t="shared" si="16"/>
        <v/>
      </c>
      <c r="AL15" s="48" t="str">
        <f t="shared" si="16"/>
        <v/>
      </c>
      <c r="AM15" s="48" t="str">
        <f t="shared" si="16"/>
        <v/>
      </c>
      <c r="AN15" s="48" t="str">
        <f t="shared" si="16"/>
        <v/>
      </c>
      <c r="AO15" s="48" t="str">
        <f t="shared" si="16"/>
        <v/>
      </c>
      <c r="AP15" s="48" t="str">
        <f t="shared" si="16"/>
        <v/>
      </c>
      <c r="AQ15" s="48" t="str">
        <f t="shared" si="16"/>
        <v/>
      </c>
      <c r="AR15" s="48" t="str">
        <f t="shared" si="16"/>
        <v/>
      </c>
      <c r="AS15" s="48" t="str">
        <f t="shared" si="16"/>
        <v/>
      </c>
      <c r="AT15" s="48" t="str">
        <f t="shared" si="16"/>
        <v/>
      </c>
      <c r="AU15" s="48" t="str">
        <f t="shared" si="16"/>
        <v/>
      </c>
      <c r="AV15" s="48" t="str">
        <f t="shared" si="16"/>
        <v/>
      </c>
    </row>
    <row r="16" ht="15.75" customHeight="1">
      <c r="A16" s="46">
        <v>15.0</v>
      </c>
      <c r="B16" s="27"/>
      <c r="C16" s="44"/>
      <c r="D16" s="47"/>
      <c r="E16" s="47"/>
      <c r="F16" s="26"/>
      <c r="G16" s="48" t="str">
        <f t="shared" ref="G16:AV16" si="17">IF(AND($F16="Yes",G$2=$E16),"♦","")</f>
        <v/>
      </c>
      <c r="H16" s="48" t="str">
        <f t="shared" si="17"/>
        <v/>
      </c>
      <c r="I16" s="48" t="str">
        <f t="shared" si="17"/>
        <v/>
      </c>
      <c r="J16" s="48" t="str">
        <f t="shared" si="17"/>
        <v/>
      </c>
      <c r="K16" s="48" t="str">
        <f t="shared" si="17"/>
        <v/>
      </c>
      <c r="L16" s="48" t="str">
        <f t="shared" si="17"/>
        <v/>
      </c>
      <c r="M16" s="48" t="str">
        <f t="shared" si="17"/>
        <v/>
      </c>
      <c r="N16" s="48" t="str">
        <f t="shared" si="17"/>
        <v/>
      </c>
      <c r="O16" s="48" t="str">
        <f t="shared" si="17"/>
        <v/>
      </c>
      <c r="P16" s="48" t="str">
        <f t="shared" si="17"/>
        <v/>
      </c>
      <c r="Q16" s="48" t="str">
        <f t="shared" si="17"/>
        <v/>
      </c>
      <c r="R16" s="48" t="str">
        <f t="shared" si="17"/>
        <v/>
      </c>
      <c r="S16" s="48" t="str">
        <f t="shared" si="17"/>
        <v/>
      </c>
      <c r="T16" s="48" t="str">
        <f t="shared" si="17"/>
        <v/>
      </c>
      <c r="U16" s="48" t="str">
        <f t="shared" si="17"/>
        <v/>
      </c>
      <c r="V16" s="48" t="str">
        <f t="shared" si="17"/>
        <v/>
      </c>
      <c r="W16" s="48" t="str">
        <f t="shared" si="17"/>
        <v/>
      </c>
      <c r="X16" s="48" t="str">
        <f t="shared" si="17"/>
        <v/>
      </c>
      <c r="Y16" s="48" t="str">
        <f t="shared" si="17"/>
        <v/>
      </c>
      <c r="Z16" s="48" t="str">
        <f t="shared" si="17"/>
        <v/>
      </c>
      <c r="AA16" s="48" t="str">
        <f t="shared" si="17"/>
        <v/>
      </c>
      <c r="AB16" s="48" t="str">
        <f t="shared" si="17"/>
        <v/>
      </c>
      <c r="AC16" s="48" t="str">
        <f t="shared" si="17"/>
        <v/>
      </c>
      <c r="AD16" s="48" t="str">
        <f t="shared" si="17"/>
        <v/>
      </c>
      <c r="AE16" s="48" t="str">
        <f t="shared" si="17"/>
        <v/>
      </c>
      <c r="AF16" s="48" t="str">
        <f t="shared" si="17"/>
        <v/>
      </c>
      <c r="AG16" s="48" t="str">
        <f t="shared" si="17"/>
        <v/>
      </c>
      <c r="AH16" s="48" t="str">
        <f t="shared" si="17"/>
        <v/>
      </c>
      <c r="AI16" s="48" t="str">
        <f t="shared" si="17"/>
        <v/>
      </c>
      <c r="AJ16" s="48" t="str">
        <f t="shared" si="17"/>
        <v/>
      </c>
      <c r="AK16" s="48" t="str">
        <f t="shared" si="17"/>
        <v/>
      </c>
      <c r="AL16" s="48" t="str">
        <f t="shared" si="17"/>
        <v/>
      </c>
      <c r="AM16" s="48" t="str">
        <f t="shared" si="17"/>
        <v/>
      </c>
      <c r="AN16" s="48" t="str">
        <f t="shared" si="17"/>
        <v/>
      </c>
      <c r="AO16" s="48" t="str">
        <f t="shared" si="17"/>
        <v/>
      </c>
      <c r="AP16" s="48" t="str">
        <f t="shared" si="17"/>
        <v/>
      </c>
      <c r="AQ16" s="48" t="str">
        <f t="shared" si="17"/>
        <v/>
      </c>
      <c r="AR16" s="48" t="str">
        <f t="shared" si="17"/>
        <v/>
      </c>
      <c r="AS16" s="48" t="str">
        <f t="shared" si="17"/>
        <v/>
      </c>
      <c r="AT16" s="48" t="str">
        <f t="shared" si="17"/>
        <v/>
      </c>
      <c r="AU16" s="48" t="str">
        <f t="shared" si="17"/>
        <v/>
      </c>
      <c r="AV16" s="48" t="str">
        <f t="shared" si="17"/>
        <v/>
      </c>
    </row>
    <row r="17" ht="15.75" customHeight="1">
      <c r="A17" s="46">
        <v>16.0</v>
      </c>
      <c r="B17" s="27"/>
      <c r="C17" s="44"/>
      <c r="D17" s="47"/>
      <c r="E17" s="47"/>
      <c r="F17" s="26"/>
      <c r="G17" s="48" t="str">
        <f t="shared" ref="G17:AV17" si="18">IF(AND($F17="Yes",G$2=$E17),"♦","")</f>
        <v/>
      </c>
      <c r="H17" s="48" t="str">
        <f t="shared" si="18"/>
        <v/>
      </c>
      <c r="I17" s="48" t="str">
        <f t="shared" si="18"/>
        <v/>
      </c>
      <c r="J17" s="48" t="str">
        <f t="shared" si="18"/>
        <v/>
      </c>
      <c r="K17" s="48" t="str">
        <f t="shared" si="18"/>
        <v/>
      </c>
      <c r="L17" s="48" t="str">
        <f t="shared" si="18"/>
        <v/>
      </c>
      <c r="M17" s="48" t="str">
        <f t="shared" si="18"/>
        <v/>
      </c>
      <c r="N17" s="48" t="str">
        <f t="shared" si="18"/>
        <v/>
      </c>
      <c r="O17" s="48" t="str">
        <f t="shared" si="18"/>
        <v/>
      </c>
      <c r="P17" s="48" t="str">
        <f t="shared" si="18"/>
        <v/>
      </c>
      <c r="Q17" s="48" t="str">
        <f t="shared" si="18"/>
        <v/>
      </c>
      <c r="R17" s="48" t="str">
        <f t="shared" si="18"/>
        <v/>
      </c>
      <c r="S17" s="48" t="str">
        <f t="shared" si="18"/>
        <v/>
      </c>
      <c r="T17" s="48" t="str">
        <f t="shared" si="18"/>
        <v/>
      </c>
      <c r="U17" s="48" t="str">
        <f t="shared" si="18"/>
        <v/>
      </c>
      <c r="V17" s="48" t="str">
        <f t="shared" si="18"/>
        <v/>
      </c>
      <c r="W17" s="48" t="str">
        <f t="shared" si="18"/>
        <v/>
      </c>
      <c r="X17" s="48" t="str">
        <f t="shared" si="18"/>
        <v/>
      </c>
      <c r="Y17" s="48" t="str">
        <f t="shared" si="18"/>
        <v/>
      </c>
      <c r="Z17" s="48" t="str">
        <f t="shared" si="18"/>
        <v/>
      </c>
      <c r="AA17" s="48" t="str">
        <f t="shared" si="18"/>
        <v/>
      </c>
      <c r="AB17" s="48" t="str">
        <f t="shared" si="18"/>
        <v/>
      </c>
      <c r="AC17" s="48" t="str">
        <f t="shared" si="18"/>
        <v/>
      </c>
      <c r="AD17" s="48" t="str">
        <f t="shared" si="18"/>
        <v/>
      </c>
      <c r="AE17" s="48" t="str">
        <f t="shared" si="18"/>
        <v/>
      </c>
      <c r="AF17" s="48" t="str">
        <f t="shared" si="18"/>
        <v/>
      </c>
      <c r="AG17" s="48" t="str">
        <f t="shared" si="18"/>
        <v/>
      </c>
      <c r="AH17" s="48" t="str">
        <f t="shared" si="18"/>
        <v/>
      </c>
      <c r="AI17" s="48" t="str">
        <f t="shared" si="18"/>
        <v/>
      </c>
      <c r="AJ17" s="48" t="str">
        <f t="shared" si="18"/>
        <v/>
      </c>
      <c r="AK17" s="48" t="str">
        <f t="shared" si="18"/>
        <v/>
      </c>
      <c r="AL17" s="48" t="str">
        <f t="shared" si="18"/>
        <v/>
      </c>
      <c r="AM17" s="48" t="str">
        <f t="shared" si="18"/>
        <v/>
      </c>
      <c r="AN17" s="48" t="str">
        <f t="shared" si="18"/>
        <v/>
      </c>
      <c r="AO17" s="48" t="str">
        <f t="shared" si="18"/>
        <v/>
      </c>
      <c r="AP17" s="48" t="str">
        <f t="shared" si="18"/>
        <v/>
      </c>
      <c r="AQ17" s="48" t="str">
        <f t="shared" si="18"/>
        <v/>
      </c>
      <c r="AR17" s="48" t="str">
        <f t="shared" si="18"/>
        <v/>
      </c>
      <c r="AS17" s="48" t="str">
        <f t="shared" si="18"/>
        <v/>
      </c>
      <c r="AT17" s="48" t="str">
        <f t="shared" si="18"/>
        <v/>
      </c>
      <c r="AU17" s="48" t="str">
        <f t="shared" si="18"/>
        <v/>
      </c>
      <c r="AV17" s="48" t="str">
        <f t="shared" si="18"/>
        <v/>
      </c>
    </row>
    <row r="18" ht="15.75" customHeight="1">
      <c r="A18" s="46">
        <v>17.0</v>
      </c>
      <c r="B18" s="27"/>
      <c r="C18" s="44"/>
      <c r="D18" s="47"/>
      <c r="E18" s="47"/>
      <c r="F18" s="26"/>
      <c r="G18" s="48" t="str">
        <f t="shared" ref="G18:AV18" si="19">IF(AND($F18="Yes",G$2=$E18),"♦","")</f>
        <v/>
      </c>
      <c r="H18" s="48" t="str">
        <f t="shared" si="19"/>
        <v/>
      </c>
      <c r="I18" s="48" t="str">
        <f t="shared" si="19"/>
        <v/>
      </c>
      <c r="J18" s="48" t="str">
        <f t="shared" si="19"/>
        <v/>
      </c>
      <c r="K18" s="48" t="str">
        <f t="shared" si="19"/>
        <v/>
      </c>
      <c r="L18" s="48" t="str">
        <f t="shared" si="19"/>
        <v/>
      </c>
      <c r="M18" s="48" t="str">
        <f t="shared" si="19"/>
        <v/>
      </c>
      <c r="N18" s="48" t="str">
        <f t="shared" si="19"/>
        <v/>
      </c>
      <c r="O18" s="48" t="str">
        <f t="shared" si="19"/>
        <v/>
      </c>
      <c r="P18" s="48" t="str">
        <f t="shared" si="19"/>
        <v/>
      </c>
      <c r="Q18" s="48" t="str">
        <f t="shared" si="19"/>
        <v/>
      </c>
      <c r="R18" s="48" t="str">
        <f t="shared" si="19"/>
        <v/>
      </c>
      <c r="S18" s="48" t="str">
        <f t="shared" si="19"/>
        <v/>
      </c>
      <c r="T18" s="48" t="str">
        <f t="shared" si="19"/>
        <v/>
      </c>
      <c r="U18" s="48" t="str">
        <f t="shared" si="19"/>
        <v/>
      </c>
      <c r="V18" s="48" t="str">
        <f t="shared" si="19"/>
        <v/>
      </c>
      <c r="W18" s="48" t="str">
        <f t="shared" si="19"/>
        <v/>
      </c>
      <c r="X18" s="48" t="str">
        <f t="shared" si="19"/>
        <v/>
      </c>
      <c r="Y18" s="48" t="str">
        <f t="shared" si="19"/>
        <v/>
      </c>
      <c r="Z18" s="48" t="str">
        <f t="shared" si="19"/>
        <v/>
      </c>
      <c r="AA18" s="48" t="str">
        <f t="shared" si="19"/>
        <v/>
      </c>
      <c r="AB18" s="48" t="str">
        <f t="shared" si="19"/>
        <v/>
      </c>
      <c r="AC18" s="48" t="str">
        <f t="shared" si="19"/>
        <v/>
      </c>
      <c r="AD18" s="48" t="str">
        <f t="shared" si="19"/>
        <v/>
      </c>
      <c r="AE18" s="48" t="str">
        <f t="shared" si="19"/>
        <v/>
      </c>
      <c r="AF18" s="48" t="str">
        <f t="shared" si="19"/>
        <v/>
      </c>
      <c r="AG18" s="48" t="str">
        <f t="shared" si="19"/>
        <v/>
      </c>
      <c r="AH18" s="48" t="str">
        <f t="shared" si="19"/>
        <v/>
      </c>
      <c r="AI18" s="48" t="str">
        <f t="shared" si="19"/>
        <v/>
      </c>
      <c r="AJ18" s="48" t="str">
        <f t="shared" si="19"/>
        <v/>
      </c>
      <c r="AK18" s="48" t="str">
        <f t="shared" si="19"/>
        <v/>
      </c>
      <c r="AL18" s="48" t="str">
        <f t="shared" si="19"/>
        <v/>
      </c>
      <c r="AM18" s="48" t="str">
        <f t="shared" si="19"/>
        <v/>
      </c>
      <c r="AN18" s="48" t="str">
        <f t="shared" si="19"/>
        <v/>
      </c>
      <c r="AO18" s="48" t="str">
        <f t="shared" si="19"/>
        <v/>
      </c>
      <c r="AP18" s="48" t="str">
        <f t="shared" si="19"/>
        <v/>
      </c>
      <c r="AQ18" s="48" t="str">
        <f t="shared" si="19"/>
        <v/>
      </c>
      <c r="AR18" s="48" t="str">
        <f t="shared" si="19"/>
        <v/>
      </c>
      <c r="AS18" s="48" t="str">
        <f t="shared" si="19"/>
        <v/>
      </c>
      <c r="AT18" s="48" t="str">
        <f t="shared" si="19"/>
        <v/>
      </c>
      <c r="AU18" s="48" t="str">
        <f t="shared" si="19"/>
        <v/>
      </c>
      <c r="AV18" s="48" t="str">
        <f t="shared" si="19"/>
        <v/>
      </c>
    </row>
    <row r="19" ht="15.75" customHeight="1">
      <c r="A19" s="46">
        <v>18.0</v>
      </c>
      <c r="B19" s="27"/>
      <c r="C19" s="44"/>
      <c r="D19" s="47"/>
      <c r="E19" s="47"/>
      <c r="F19" s="26"/>
      <c r="G19" s="48" t="str">
        <f t="shared" ref="G19:AV19" si="20">IF(AND($F19="Yes",G$2=$E19),"♦","")</f>
        <v/>
      </c>
      <c r="H19" s="48" t="str">
        <f t="shared" si="20"/>
        <v/>
      </c>
      <c r="I19" s="48" t="str">
        <f t="shared" si="20"/>
        <v/>
      </c>
      <c r="J19" s="48" t="str">
        <f t="shared" si="20"/>
        <v/>
      </c>
      <c r="K19" s="48" t="str">
        <f t="shared" si="20"/>
        <v/>
      </c>
      <c r="L19" s="48" t="str">
        <f t="shared" si="20"/>
        <v/>
      </c>
      <c r="M19" s="48" t="str">
        <f t="shared" si="20"/>
        <v/>
      </c>
      <c r="N19" s="48" t="str">
        <f t="shared" si="20"/>
        <v/>
      </c>
      <c r="O19" s="48" t="str">
        <f t="shared" si="20"/>
        <v/>
      </c>
      <c r="P19" s="48" t="str">
        <f t="shared" si="20"/>
        <v/>
      </c>
      <c r="Q19" s="48" t="str">
        <f t="shared" si="20"/>
        <v/>
      </c>
      <c r="R19" s="48" t="str">
        <f t="shared" si="20"/>
        <v/>
      </c>
      <c r="S19" s="48" t="str">
        <f t="shared" si="20"/>
        <v/>
      </c>
      <c r="T19" s="48" t="str">
        <f t="shared" si="20"/>
        <v/>
      </c>
      <c r="U19" s="48" t="str">
        <f t="shared" si="20"/>
        <v/>
      </c>
      <c r="V19" s="48" t="str">
        <f t="shared" si="20"/>
        <v/>
      </c>
      <c r="W19" s="48" t="str">
        <f t="shared" si="20"/>
        <v/>
      </c>
      <c r="X19" s="48" t="str">
        <f t="shared" si="20"/>
        <v/>
      </c>
      <c r="Y19" s="48" t="str">
        <f t="shared" si="20"/>
        <v/>
      </c>
      <c r="Z19" s="48" t="str">
        <f t="shared" si="20"/>
        <v/>
      </c>
      <c r="AA19" s="48" t="str">
        <f t="shared" si="20"/>
        <v/>
      </c>
      <c r="AB19" s="48" t="str">
        <f t="shared" si="20"/>
        <v/>
      </c>
      <c r="AC19" s="48" t="str">
        <f t="shared" si="20"/>
        <v/>
      </c>
      <c r="AD19" s="48" t="str">
        <f t="shared" si="20"/>
        <v/>
      </c>
      <c r="AE19" s="48" t="str">
        <f t="shared" si="20"/>
        <v/>
      </c>
      <c r="AF19" s="48" t="str">
        <f t="shared" si="20"/>
        <v/>
      </c>
      <c r="AG19" s="48" t="str">
        <f t="shared" si="20"/>
        <v/>
      </c>
      <c r="AH19" s="48" t="str">
        <f t="shared" si="20"/>
        <v/>
      </c>
      <c r="AI19" s="48" t="str">
        <f t="shared" si="20"/>
        <v/>
      </c>
      <c r="AJ19" s="48" t="str">
        <f t="shared" si="20"/>
        <v/>
      </c>
      <c r="AK19" s="48" t="str">
        <f t="shared" si="20"/>
        <v/>
      </c>
      <c r="AL19" s="48" t="str">
        <f t="shared" si="20"/>
        <v/>
      </c>
      <c r="AM19" s="48" t="str">
        <f t="shared" si="20"/>
        <v/>
      </c>
      <c r="AN19" s="48" t="str">
        <f t="shared" si="20"/>
        <v/>
      </c>
      <c r="AO19" s="48" t="str">
        <f t="shared" si="20"/>
        <v/>
      </c>
      <c r="AP19" s="48" t="str">
        <f t="shared" si="20"/>
        <v/>
      </c>
      <c r="AQ19" s="48" t="str">
        <f t="shared" si="20"/>
        <v/>
      </c>
      <c r="AR19" s="48" t="str">
        <f t="shared" si="20"/>
        <v/>
      </c>
      <c r="AS19" s="48" t="str">
        <f t="shared" si="20"/>
        <v/>
      </c>
      <c r="AT19" s="48" t="str">
        <f t="shared" si="20"/>
        <v/>
      </c>
      <c r="AU19" s="48" t="str">
        <f t="shared" si="20"/>
        <v/>
      </c>
      <c r="AV19" s="48" t="str">
        <f t="shared" si="20"/>
        <v/>
      </c>
    </row>
    <row r="20" ht="15.75" customHeight="1">
      <c r="A20" s="46">
        <v>19.0</v>
      </c>
      <c r="B20" s="27"/>
      <c r="C20" s="44"/>
      <c r="D20" s="47"/>
      <c r="E20" s="47"/>
      <c r="F20" s="26"/>
      <c r="G20" s="48" t="str">
        <f t="shared" ref="G20:AV20" si="21">IF(AND($F20="Yes",G$2=$E20),"♦","")</f>
        <v/>
      </c>
      <c r="H20" s="48" t="str">
        <f t="shared" si="21"/>
        <v/>
      </c>
      <c r="I20" s="48" t="str">
        <f t="shared" si="21"/>
        <v/>
      </c>
      <c r="J20" s="48" t="str">
        <f t="shared" si="21"/>
        <v/>
      </c>
      <c r="K20" s="48" t="str">
        <f t="shared" si="21"/>
        <v/>
      </c>
      <c r="L20" s="48" t="str">
        <f t="shared" si="21"/>
        <v/>
      </c>
      <c r="M20" s="48" t="str">
        <f t="shared" si="21"/>
        <v/>
      </c>
      <c r="N20" s="48" t="str">
        <f t="shared" si="21"/>
        <v/>
      </c>
      <c r="O20" s="48" t="str">
        <f t="shared" si="21"/>
        <v/>
      </c>
      <c r="P20" s="48" t="str">
        <f t="shared" si="21"/>
        <v/>
      </c>
      <c r="Q20" s="48" t="str">
        <f t="shared" si="21"/>
        <v/>
      </c>
      <c r="R20" s="48" t="str">
        <f t="shared" si="21"/>
        <v/>
      </c>
      <c r="S20" s="48" t="str">
        <f t="shared" si="21"/>
        <v/>
      </c>
      <c r="T20" s="48" t="str">
        <f t="shared" si="21"/>
        <v/>
      </c>
      <c r="U20" s="48" t="str">
        <f t="shared" si="21"/>
        <v/>
      </c>
      <c r="V20" s="48" t="str">
        <f t="shared" si="21"/>
        <v/>
      </c>
      <c r="W20" s="48" t="str">
        <f t="shared" si="21"/>
        <v/>
      </c>
      <c r="X20" s="48" t="str">
        <f t="shared" si="21"/>
        <v/>
      </c>
      <c r="Y20" s="48" t="str">
        <f t="shared" si="21"/>
        <v/>
      </c>
      <c r="Z20" s="48" t="str">
        <f t="shared" si="21"/>
        <v/>
      </c>
      <c r="AA20" s="48" t="str">
        <f t="shared" si="21"/>
        <v/>
      </c>
      <c r="AB20" s="48" t="str">
        <f t="shared" si="21"/>
        <v/>
      </c>
      <c r="AC20" s="48" t="str">
        <f t="shared" si="21"/>
        <v/>
      </c>
      <c r="AD20" s="48" t="str">
        <f t="shared" si="21"/>
        <v/>
      </c>
      <c r="AE20" s="48" t="str">
        <f t="shared" si="21"/>
        <v/>
      </c>
      <c r="AF20" s="48" t="str">
        <f t="shared" si="21"/>
        <v/>
      </c>
      <c r="AG20" s="48" t="str">
        <f t="shared" si="21"/>
        <v/>
      </c>
      <c r="AH20" s="48" t="str">
        <f t="shared" si="21"/>
        <v/>
      </c>
      <c r="AI20" s="48" t="str">
        <f t="shared" si="21"/>
        <v/>
      </c>
      <c r="AJ20" s="48" t="str">
        <f t="shared" si="21"/>
        <v/>
      </c>
      <c r="AK20" s="48" t="str">
        <f t="shared" si="21"/>
        <v/>
      </c>
      <c r="AL20" s="48" t="str">
        <f t="shared" si="21"/>
        <v/>
      </c>
      <c r="AM20" s="48" t="str">
        <f t="shared" si="21"/>
        <v/>
      </c>
      <c r="AN20" s="48" t="str">
        <f t="shared" si="21"/>
        <v/>
      </c>
      <c r="AO20" s="48" t="str">
        <f t="shared" si="21"/>
        <v/>
      </c>
      <c r="AP20" s="48" t="str">
        <f t="shared" si="21"/>
        <v/>
      </c>
      <c r="AQ20" s="48" t="str">
        <f t="shared" si="21"/>
        <v/>
      </c>
      <c r="AR20" s="48" t="str">
        <f t="shared" si="21"/>
        <v/>
      </c>
      <c r="AS20" s="48" t="str">
        <f t="shared" si="21"/>
        <v/>
      </c>
      <c r="AT20" s="48" t="str">
        <f t="shared" si="21"/>
        <v/>
      </c>
      <c r="AU20" s="48" t="str">
        <f t="shared" si="21"/>
        <v/>
      </c>
      <c r="AV20" s="48" t="str">
        <f t="shared" si="21"/>
        <v/>
      </c>
    </row>
    <row r="21" ht="15.75" customHeight="1">
      <c r="A21" s="46">
        <v>20.0</v>
      </c>
      <c r="B21" s="27"/>
      <c r="C21" s="44"/>
      <c r="D21" s="47"/>
      <c r="E21" s="47"/>
      <c r="F21" s="26"/>
      <c r="G21" s="48" t="str">
        <f t="shared" ref="G21:AV21" si="22">IF(AND($F21="Yes",G$2=$E21),"♦","")</f>
        <v/>
      </c>
      <c r="H21" s="48" t="str">
        <f t="shared" si="22"/>
        <v/>
      </c>
      <c r="I21" s="48" t="str">
        <f t="shared" si="22"/>
        <v/>
      </c>
      <c r="J21" s="48" t="str">
        <f t="shared" si="22"/>
        <v/>
      </c>
      <c r="K21" s="48" t="str">
        <f t="shared" si="22"/>
        <v/>
      </c>
      <c r="L21" s="48" t="str">
        <f t="shared" si="22"/>
        <v/>
      </c>
      <c r="M21" s="48" t="str">
        <f t="shared" si="22"/>
        <v/>
      </c>
      <c r="N21" s="48" t="str">
        <f t="shared" si="22"/>
        <v/>
      </c>
      <c r="O21" s="48" t="str">
        <f t="shared" si="22"/>
        <v/>
      </c>
      <c r="P21" s="48" t="str">
        <f t="shared" si="22"/>
        <v/>
      </c>
      <c r="Q21" s="48" t="str">
        <f t="shared" si="22"/>
        <v/>
      </c>
      <c r="R21" s="48" t="str">
        <f t="shared" si="22"/>
        <v/>
      </c>
      <c r="S21" s="48" t="str">
        <f t="shared" si="22"/>
        <v/>
      </c>
      <c r="T21" s="48" t="str">
        <f t="shared" si="22"/>
        <v/>
      </c>
      <c r="U21" s="48" t="str">
        <f t="shared" si="22"/>
        <v/>
      </c>
      <c r="V21" s="48" t="str">
        <f t="shared" si="22"/>
        <v/>
      </c>
      <c r="W21" s="48" t="str">
        <f t="shared" si="22"/>
        <v/>
      </c>
      <c r="X21" s="48" t="str">
        <f t="shared" si="22"/>
        <v/>
      </c>
      <c r="Y21" s="48" t="str">
        <f t="shared" si="22"/>
        <v/>
      </c>
      <c r="Z21" s="48" t="str">
        <f t="shared" si="22"/>
        <v/>
      </c>
      <c r="AA21" s="48" t="str">
        <f t="shared" si="22"/>
        <v/>
      </c>
      <c r="AB21" s="48" t="str">
        <f t="shared" si="22"/>
        <v/>
      </c>
      <c r="AC21" s="48" t="str">
        <f t="shared" si="22"/>
        <v/>
      </c>
      <c r="AD21" s="48" t="str">
        <f t="shared" si="22"/>
        <v/>
      </c>
      <c r="AE21" s="48" t="str">
        <f t="shared" si="22"/>
        <v/>
      </c>
      <c r="AF21" s="48" t="str">
        <f t="shared" si="22"/>
        <v/>
      </c>
      <c r="AG21" s="48" t="str">
        <f t="shared" si="22"/>
        <v/>
      </c>
      <c r="AH21" s="48" t="str">
        <f t="shared" si="22"/>
        <v/>
      </c>
      <c r="AI21" s="48" t="str">
        <f t="shared" si="22"/>
        <v/>
      </c>
      <c r="AJ21" s="48" t="str">
        <f t="shared" si="22"/>
        <v/>
      </c>
      <c r="AK21" s="48" t="str">
        <f t="shared" si="22"/>
        <v/>
      </c>
      <c r="AL21" s="48" t="str">
        <f t="shared" si="22"/>
        <v/>
      </c>
      <c r="AM21" s="48" t="str">
        <f t="shared" si="22"/>
        <v/>
      </c>
      <c r="AN21" s="48" t="str">
        <f t="shared" si="22"/>
        <v/>
      </c>
      <c r="AO21" s="48" t="str">
        <f t="shared" si="22"/>
        <v/>
      </c>
      <c r="AP21" s="48" t="str">
        <f t="shared" si="22"/>
        <v/>
      </c>
      <c r="AQ21" s="48" t="str">
        <f t="shared" si="22"/>
        <v/>
      </c>
      <c r="AR21" s="48" t="str">
        <f t="shared" si="22"/>
        <v/>
      </c>
      <c r="AS21" s="48" t="str">
        <f t="shared" si="22"/>
        <v/>
      </c>
      <c r="AT21" s="48" t="str">
        <f t="shared" si="22"/>
        <v/>
      </c>
      <c r="AU21" s="48" t="str">
        <f t="shared" si="22"/>
        <v/>
      </c>
      <c r="AV21" s="48" t="str">
        <f t="shared" si="22"/>
        <v/>
      </c>
    </row>
    <row r="22" ht="15.75" customHeight="1">
      <c r="A22" s="46">
        <v>21.0</v>
      </c>
      <c r="B22" s="27"/>
      <c r="C22" s="44"/>
      <c r="D22" s="47"/>
      <c r="E22" s="47"/>
      <c r="F22" s="26"/>
      <c r="G22" s="48" t="str">
        <f t="shared" ref="G22:AV22" si="23">IF(AND($F22="Yes",G$2=$E22),"♦","")</f>
        <v/>
      </c>
      <c r="H22" s="48" t="str">
        <f t="shared" si="23"/>
        <v/>
      </c>
      <c r="I22" s="48" t="str">
        <f t="shared" si="23"/>
        <v/>
      </c>
      <c r="J22" s="48" t="str">
        <f t="shared" si="23"/>
        <v/>
      </c>
      <c r="K22" s="48" t="str">
        <f t="shared" si="23"/>
        <v/>
      </c>
      <c r="L22" s="48" t="str">
        <f t="shared" si="23"/>
        <v/>
      </c>
      <c r="M22" s="48" t="str">
        <f t="shared" si="23"/>
        <v/>
      </c>
      <c r="N22" s="48" t="str">
        <f t="shared" si="23"/>
        <v/>
      </c>
      <c r="O22" s="48" t="str">
        <f t="shared" si="23"/>
        <v/>
      </c>
      <c r="P22" s="48" t="str">
        <f t="shared" si="23"/>
        <v/>
      </c>
      <c r="Q22" s="48" t="str">
        <f t="shared" si="23"/>
        <v/>
      </c>
      <c r="R22" s="48" t="str">
        <f t="shared" si="23"/>
        <v/>
      </c>
      <c r="S22" s="48" t="str">
        <f t="shared" si="23"/>
        <v/>
      </c>
      <c r="T22" s="48" t="str">
        <f t="shared" si="23"/>
        <v/>
      </c>
      <c r="U22" s="48" t="str">
        <f t="shared" si="23"/>
        <v/>
      </c>
      <c r="V22" s="48" t="str">
        <f t="shared" si="23"/>
        <v/>
      </c>
      <c r="W22" s="48" t="str">
        <f t="shared" si="23"/>
        <v/>
      </c>
      <c r="X22" s="48" t="str">
        <f t="shared" si="23"/>
        <v/>
      </c>
      <c r="Y22" s="48" t="str">
        <f t="shared" si="23"/>
        <v/>
      </c>
      <c r="Z22" s="48" t="str">
        <f t="shared" si="23"/>
        <v/>
      </c>
      <c r="AA22" s="48" t="str">
        <f t="shared" si="23"/>
        <v/>
      </c>
      <c r="AB22" s="48" t="str">
        <f t="shared" si="23"/>
        <v/>
      </c>
      <c r="AC22" s="48" t="str">
        <f t="shared" si="23"/>
        <v/>
      </c>
      <c r="AD22" s="48" t="str">
        <f t="shared" si="23"/>
        <v/>
      </c>
      <c r="AE22" s="48" t="str">
        <f t="shared" si="23"/>
        <v/>
      </c>
      <c r="AF22" s="48" t="str">
        <f t="shared" si="23"/>
        <v/>
      </c>
      <c r="AG22" s="48" t="str">
        <f t="shared" si="23"/>
        <v/>
      </c>
      <c r="AH22" s="48" t="str">
        <f t="shared" si="23"/>
        <v/>
      </c>
      <c r="AI22" s="48" t="str">
        <f t="shared" si="23"/>
        <v/>
      </c>
      <c r="AJ22" s="48" t="str">
        <f t="shared" si="23"/>
        <v/>
      </c>
      <c r="AK22" s="48" t="str">
        <f t="shared" si="23"/>
        <v/>
      </c>
      <c r="AL22" s="48" t="str">
        <f t="shared" si="23"/>
        <v/>
      </c>
      <c r="AM22" s="48" t="str">
        <f t="shared" si="23"/>
        <v/>
      </c>
      <c r="AN22" s="48" t="str">
        <f t="shared" si="23"/>
        <v/>
      </c>
      <c r="AO22" s="48" t="str">
        <f t="shared" si="23"/>
        <v/>
      </c>
      <c r="AP22" s="48" t="str">
        <f t="shared" si="23"/>
        <v/>
      </c>
      <c r="AQ22" s="48" t="str">
        <f t="shared" si="23"/>
        <v/>
      </c>
      <c r="AR22" s="48" t="str">
        <f t="shared" si="23"/>
        <v/>
      </c>
      <c r="AS22" s="48" t="str">
        <f t="shared" si="23"/>
        <v/>
      </c>
      <c r="AT22" s="48" t="str">
        <f t="shared" si="23"/>
        <v/>
      </c>
      <c r="AU22" s="48" t="str">
        <f t="shared" si="23"/>
        <v/>
      </c>
      <c r="AV22" s="48" t="str">
        <f t="shared" si="23"/>
        <v/>
      </c>
    </row>
    <row r="23" ht="15.75" customHeight="1">
      <c r="A23" s="46">
        <v>22.0</v>
      </c>
      <c r="B23" s="27"/>
      <c r="C23" s="44"/>
      <c r="D23" s="47"/>
      <c r="E23" s="47"/>
      <c r="F23" s="26"/>
      <c r="G23" s="48" t="str">
        <f t="shared" ref="G23:AV23" si="24">IF(AND($F23="Yes",G$2=$E23),"♦","")</f>
        <v/>
      </c>
      <c r="H23" s="48" t="str">
        <f t="shared" si="24"/>
        <v/>
      </c>
      <c r="I23" s="48" t="str">
        <f t="shared" si="24"/>
        <v/>
      </c>
      <c r="J23" s="48" t="str">
        <f t="shared" si="24"/>
        <v/>
      </c>
      <c r="K23" s="48" t="str">
        <f t="shared" si="24"/>
        <v/>
      </c>
      <c r="L23" s="48" t="str">
        <f t="shared" si="24"/>
        <v/>
      </c>
      <c r="M23" s="48" t="str">
        <f t="shared" si="24"/>
        <v/>
      </c>
      <c r="N23" s="48" t="str">
        <f t="shared" si="24"/>
        <v/>
      </c>
      <c r="O23" s="48" t="str">
        <f t="shared" si="24"/>
        <v/>
      </c>
      <c r="P23" s="48" t="str">
        <f t="shared" si="24"/>
        <v/>
      </c>
      <c r="Q23" s="48" t="str">
        <f t="shared" si="24"/>
        <v/>
      </c>
      <c r="R23" s="48" t="str">
        <f t="shared" si="24"/>
        <v/>
      </c>
      <c r="S23" s="48" t="str">
        <f t="shared" si="24"/>
        <v/>
      </c>
      <c r="T23" s="48" t="str">
        <f t="shared" si="24"/>
        <v/>
      </c>
      <c r="U23" s="48" t="str">
        <f t="shared" si="24"/>
        <v/>
      </c>
      <c r="V23" s="48" t="str">
        <f t="shared" si="24"/>
        <v/>
      </c>
      <c r="W23" s="48" t="str">
        <f t="shared" si="24"/>
        <v/>
      </c>
      <c r="X23" s="48" t="str">
        <f t="shared" si="24"/>
        <v/>
      </c>
      <c r="Y23" s="48" t="str">
        <f t="shared" si="24"/>
        <v/>
      </c>
      <c r="Z23" s="48" t="str">
        <f t="shared" si="24"/>
        <v/>
      </c>
      <c r="AA23" s="48" t="str">
        <f t="shared" si="24"/>
        <v/>
      </c>
      <c r="AB23" s="48" t="str">
        <f t="shared" si="24"/>
        <v/>
      </c>
      <c r="AC23" s="48" t="str">
        <f t="shared" si="24"/>
        <v/>
      </c>
      <c r="AD23" s="48" t="str">
        <f t="shared" si="24"/>
        <v/>
      </c>
      <c r="AE23" s="48" t="str">
        <f t="shared" si="24"/>
        <v/>
      </c>
      <c r="AF23" s="48" t="str">
        <f t="shared" si="24"/>
        <v/>
      </c>
      <c r="AG23" s="48" t="str">
        <f t="shared" si="24"/>
        <v/>
      </c>
      <c r="AH23" s="48" t="str">
        <f t="shared" si="24"/>
        <v/>
      </c>
      <c r="AI23" s="48" t="str">
        <f t="shared" si="24"/>
        <v/>
      </c>
      <c r="AJ23" s="48" t="str">
        <f t="shared" si="24"/>
        <v/>
      </c>
      <c r="AK23" s="48" t="str">
        <f t="shared" si="24"/>
        <v/>
      </c>
      <c r="AL23" s="48" t="str">
        <f t="shared" si="24"/>
        <v/>
      </c>
      <c r="AM23" s="48" t="str">
        <f t="shared" si="24"/>
        <v/>
      </c>
      <c r="AN23" s="48" t="str">
        <f t="shared" si="24"/>
        <v/>
      </c>
      <c r="AO23" s="48" t="str">
        <f t="shared" si="24"/>
        <v/>
      </c>
      <c r="AP23" s="48" t="str">
        <f t="shared" si="24"/>
        <v/>
      </c>
      <c r="AQ23" s="48" t="str">
        <f t="shared" si="24"/>
        <v/>
      </c>
      <c r="AR23" s="48" t="str">
        <f t="shared" si="24"/>
        <v/>
      </c>
      <c r="AS23" s="48" t="str">
        <f t="shared" si="24"/>
        <v/>
      </c>
      <c r="AT23" s="48" t="str">
        <f t="shared" si="24"/>
        <v/>
      </c>
      <c r="AU23" s="48" t="str">
        <f t="shared" si="24"/>
        <v/>
      </c>
      <c r="AV23" s="48" t="str">
        <f t="shared" si="24"/>
        <v/>
      </c>
    </row>
    <row r="24" ht="15.75" customHeight="1">
      <c r="A24" s="46">
        <v>23.0</v>
      </c>
      <c r="B24" s="27"/>
      <c r="C24" s="44"/>
      <c r="D24" s="47"/>
      <c r="E24" s="47"/>
      <c r="F24" s="26"/>
      <c r="G24" s="48" t="str">
        <f t="shared" ref="G24:AV24" si="25">IF(AND($F24="Yes",G$2=$E24),"♦","")</f>
        <v/>
      </c>
      <c r="H24" s="48" t="str">
        <f t="shared" si="25"/>
        <v/>
      </c>
      <c r="I24" s="48" t="str">
        <f t="shared" si="25"/>
        <v/>
      </c>
      <c r="J24" s="48" t="str">
        <f t="shared" si="25"/>
        <v/>
      </c>
      <c r="K24" s="48" t="str">
        <f t="shared" si="25"/>
        <v/>
      </c>
      <c r="L24" s="48" t="str">
        <f t="shared" si="25"/>
        <v/>
      </c>
      <c r="M24" s="48" t="str">
        <f t="shared" si="25"/>
        <v/>
      </c>
      <c r="N24" s="48" t="str">
        <f t="shared" si="25"/>
        <v/>
      </c>
      <c r="O24" s="48" t="str">
        <f t="shared" si="25"/>
        <v/>
      </c>
      <c r="P24" s="48" t="str">
        <f t="shared" si="25"/>
        <v/>
      </c>
      <c r="Q24" s="48" t="str">
        <f t="shared" si="25"/>
        <v/>
      </c>
      <c r="R24" s="48" t="str">
        <f t="shared" si="25"/>
        <v/>
      </c>
      <c r="S24" s="48" t="str">
        <f t="shared" si="25"/>
        <v/>
      </c>
      <c r="T24" s="48" t="str">
        <f t="shared" si="25"/>
        <v/>
      </c>
      <c r="U24" s="48" t="str">
        <f t="shared" si="25"/>
        <v/>
      </c>
      <c r="V24" s="48" t="str">
        <f t="shared" si="25"/>
        <v/>
      </c>
      <c r="W24" s="48" t="str">
        <f t="shared" si="25"/>
        <v/>
      </c>
      <c r="X24" s="48" t="str">
        <f t="shared" si="25"/>
        <v/>
      </c>
      <c r="Y24" s="48" t="str">
        <f t="shared" si="25"/>
        <v/>
      </c>
      <c r="Z24" s="48" t="str">
        <f t="shared" si="25"/>
        <v/>
      </c>
      <c r="AA24" s="48" t="str">
        <f t="shared" si="25"/>
        <v/>
      </c>
      <c r="AB24" s="48" t="str">
        <f t="shared" si="25"/>
        <v/>
      </c>
      <c r="AC24" s="48" t="str">
        <f t="shared" si="25"/>
        <v/>
      </c>
      <c r="AD24" s="48" t="str">
        <f t="shared" si="25"/>
        <v/>
      </c>
      <c r="AE24" s="48" t="str">
        <f t="shared" si="25"/>
        <v/>
      </c>
      <c r="AF24" s="48" t="str">
        <f t="shared" si="25"/>
        <v/>
      </c>
      <c r="AG24" s="48" t="str">
        <f t="shared" si="25"/>
        <v/>
      </c>
      <c r="AH24" s="48" t="str">
        <f t="shared" si="25"/>
        <v/>
      </c>
      <c r="AI24" s="48" t="str">
        <f t="shared" si="25"/>
        <v/>
      </c>
      <c r="AJ24" s="48" t="str">
        <f t="shared" si="25"/>
        <v/>
      </c>
      <c r="AK24" s="48" t="str">
        <f t="shared" si="25"/>
        <v/>
      </c>
      <c r="AL24" s="48" t="str">
        <f t="shared" si="25"/>
        <v/>
      </c>
      <c r="AM24" s="48" t="str">
        <f t="shared" si="25"/>
        <v/>
      </c>
      <c r="AN24" s="48" t="str">
        <f t="shared" si="25"/>
        <v/>
      </c>
      <c r="AO24" s="48" t="str">
        <f t="shared" si="25"/>
        <v/>
      </c>
      <c r="AP24" s="48" t="str">
        <f t="shared" si="25"/>
        <v/>
      </c>
      <c r="AQ24" s="48" t="str">
        <f t="shared" si="25"/>
        <v/>
      </c>
      <c r="AR24" s="48" t="str">
        <f t="shared" si="25"/>
        <v/>
      </c>
      <c r="AS24" s="48" t="str">
        <f t="shared" si="25"/>
        <v/>
      </c>
      <c r="AT24" s="48" t="str">
        <f t="shared" si="25"/>
        <v/>
      </c>
      <c r="AU24" s="48" t="str">
        <f t="shared" si="25"/>
        <v/>
      </c>
      <c r="AV24" s="48" t="str">
        <f t="shared" si="25"/>
        <v/>
      </c>
    </row>
    <row r="25" ht="15.75" customHeight="1">
      <c r="A25" s="46">
        <v>24.0</v>
      </c>
      <c r="B25" s="27"/>
      <c r="C25" s="44"/>
      <c r="D25" s="47"/>
      <c r="E25" s="47"/>
      <c r="F25" s="26"/>
      <c r="G25" s="48" t="str">
        <f t="shared" ref="G25:AV25" si="26">IF(AND($F25="Yes",G$2=$E25),"♦","")</f>
        <v/>
      </c>
      <c r="H25" s="48" t="str">
        <f t="shared" si="26"/>
        <v/>
      </c>
      <c r="I25" s="48" t="str">
        <f t="shared" si="26"/>
        <v/>
      </c>
      <c r="J25" s="48" t="str">
        <f t="shared" si="26"/>
        <v/>
      </c>
      <c r="K25" s="48" t="str">
        <f t="shared" si="26"/>
        <v/>
      </c>
      <c r="L25" s="48" t="str">
        <f t="shared" si="26"/>
        <v/>
      </c>
      <c r="M25" s="48" t="str">
        <f t="shared" si="26"/>
        <v/>
      </c>
      <c r="N25" s="48" t="str">
        <f t="shared" si="26"/>
        <v/>
      </c>
      <c r="O25" s="48" t="str">
        <f t="shared" si="26"/>
        <v/>
      </c>
      <c r="P25" s="48" t="str">
        <f t="shared" si="26"/>
        <v/>
      </c>
      <c r="Q25" s="48" t="str">
        <f t="shared" si="26"/>
        <v/>
      </c>
      <c r="R25" s="48" t="str">
        <f t="shared" si="26"/>
        <v/>
      </c>
      <c r="S25" s="48" t="str">
        <f t="shared" si="26"/>
        <v/>
      </c>
      <c r="T25" s="48" t="str">
        <f t="shared" si="26"/>
        <v/>
      </c>
      <c r="U25" s="48" t="str">
        <f t="shared" si="26"/>
        <v/>
      </c>
      <c r="V25" s="48" t="str">
        <f t="shared" si="26"/>
        <v/>
      </c>
      <c r="W25" s="48" t="str">
        <f t="shared" si="26"/>
        <v/>
      </c>
      <c r="X25" s="48" t="str">
        <f t="shared" si="26"/>
        <v/>
      </c>
      <c r="Y25" s="48" t="str">
        <f t="shared" si="26"/>
        <v/>
      </c>
      <c r="Z25" s="48" t="str">
        <f t="shared" si="26"/>
        <v/>
      </c>
      <c r="AA25" s="48" t="str">
        <f t="shared" si="26"/>
        <v/>
      </c>
      <c r="AB25" s="48" t="str">
        <f t="shared" si="26"/>
        <v/>
      </c>
      <c r="AC25" s="48" t="str">
        <f t="shared" si="26"/>
        <v/>
      </c>
      <c r="AD25" s="48" t="str">
        <f t="shared" si="26"/>
        <v/>
      </c>
      <c r="AE25" s="48" t="str">
        <f t="shared" si="26"/>
        <v/>
      </c>
      <c r="AF25" s="48" t="str">
        <f t="shared" si="26"/>
        <v/>
      </c>
      <c r="AG25" s="48" t="str">
        <f t="shared" si="26"/>
        <v/>
      </c>
      <c r="AH25" s="48" t="str">
        <f t="shared" si="26"/>
        <v/>
      </c>
      <c r="AI25" s="48" t="str">
        <f t="shared" si="26"/>
        <v/>
      </c>
      <c r="AJ25" s="48" t="str">
        <f t="shared" si="26"/>
        <v/>
      </c>
      <c r="AK25" s="48" t="str">
        <f t="shared" si="26"/>
        <v/>
      </c>
      <c r="AL25" s="48" t="str">
        <f t="shared" si="26"/>
        <v/>
      </c>
      <c r="AM25" s="48" t="str">
        <f t="shared" si="26"/>
        <v/>
      </c>
      <c r="AN25" s="48" t="str">
        <f t="shared" si="26"/>
        <v/>
      </c>
      <c r="AO25" s="48" t="str">
        <f t="shared" si="26"/>
        <v/>
      </c>
      <c r="AP25" s="48" t="str">
        <f t="shared" si="26"/>
        <v/>
      </c>
      <c r="AQ25" s="48" t="str">
        <f t="shared" si="26"/>
        <v/>
      </c>
      <c r="AR25" s="48" t="str">
        <f t="shared" si="26"/>
        <v/>
      </c>
      <c r="AS25" s="48" t="str">
        <f t="shared" si="26"/>
        <v/>
      </c>
      <c r="AT25" s="48" t="str">
        <f t="shared" si="26"/>
        <v/>
      </c>
      <c r="AU25" s="48" t="str">
        <f t="shared" si="26"/>
        <v/>
      </c>
      <c r="AV25" s="48" t="str">
        <f t="shared" si="26"/>
        <v/>
      </c>
    </row>
    <row r="26" ht="15.75" customHeight="1">
      <c r="A26" s="46">
        <v>25.0</v>
      </c>
      <c r="B26" s="27"/>
      <c r="C26" s="44"/>
      <c r="D26" s="47"/>
      <c r="E26" s="47"/>
      <c r="F26" s="26"/>
      <c r="G26" s="48" t="str">
        <f t="shared" ref="G26:AV26" si="27">IF(AND($F26="Yes",G$2=$E26),"♦","")</f>
        <v/>
      </c>
      <c r="H26" s="48" t="str">
        <f t="shared" si="27"/>
        <v/>
      </c>
      <c r="I26" s="48" t="str">
        <f t="shared" si="27"/>
        <v/>
      </c>
      <c r="J26" s="48" t="str">
        <f t="shared" si="27"/>
        <v/>
      </c>
      <c r="K26" s="48" t="str">
        <f t="shared" si="27"/>
        <v/>
      </c>
      <c r="L26" s="48" t="str">
        <f t="shared" si="27"/>
        <v/>
      </c>
      <c r="M26" s="48" t="str">
        <f t="shared" si="27"/>
        <v/>
      </c>
      <c r="N26" s="48" t="str">
        <f t="shared" si="27"/>
        <v/>
      </c>
      <c r="O26" s="48" t="str">
        <f t="shared" si="27"/>
        <v/>
      </c>
      <c r="P26" s="48" t="str">
        <f t="shared" si="27"/>
        <v/>
      </c>
      <c r="Q26" s="48" t="str">
        <f t="shared" si="27"/>
        <v/>
      </c>
      <c r="R26" s="48" t="str">
        <f t="shared" si="27"/>
        <v/>
      </c>
      <c r="S26" s="48" t="str">
        <f t="shared" si="27"/>
        <v/>
      </c>
      <c r="T26" s="48" t="str">
        <f t="shared" si="27"/>
        <v/>
      </c>
      <c r="U26" s="48" t="str">
        <f t="shared" si="27"/>
        <v/>
      </c>
      <c r="V26" s="48" t="str">
        <f t="shared" si="27"/>
        <v/>
      </c>
      <c r="W26" s="48" t="str">
        <f t="shared" si="27"/>
        <v/>
      </c>
      <c r="X26" s="48" t="str">
        <f t="shared" si="27"/>
        <v/>
      </c>
      <c r="Y26" s="48" t="str">
        <f t="shared" si="27"/>
        <v/>
      </c>
      <c r="Z26" s="48" t="str">
        <f t="shared" si="27"/>
        <v/>
      </c>
      <c r="AA26" s="48" t="str">
        <f t="shared" si="27"/>
        <v/>
      </c>
      <c r="AB26" s="48" t="str">
        <f t="shared" si="27"/>
        <v/>
      </c>
      <c r="AC26" s="48" t="str">
        <f t="shared" si="27"/>
        <v/>
      </c>
      <c r="AD26" s="48" t="str">
        <f t="shared" si="27"/>
        <v/>
      </c>
      <c r="AE26" s="48" t="str">
        <f t="shared" si="27"/>
        <v/>
      </c>
      <c r="AF26" s="48" t="str">
        <f t="shared" si="27"/>
        <v/>
      </c>
      <c r="AG26" s="48" t="str">
        <f t="shared" si="27"/>
        <v/>
      </c>
      <c r="AH26" s="48" t="str">
        <f t="shared" si="27"/>
        <v/>
      </c>
      <c r="AI26" s="48" t="str">
        <f t="shared" si="27"/>
        <v/>
      </c>
      <c r="AJ26" s="48" t="str">
        <f t="shared" si="27"/>
        <v/>
      </c>
      <c r="AK26" s="48" t="str">
        <f t="shared" si="27"/>
        <v/>
      </c>
      <c r="AL26" s="48" t="str">
        <f t="shared" si="27"/>
        <v/>
      </c>
      <c r="AM26" s="48" t="str">
        <f t="shared" si="27"/>
        <v/>
      </c>
      <c r="AN26" s="48" t="str">
        <f t="shared" si="27"/>
        <v/>
      </c>
      <c r="AO26" s="48" t="str">
        <f t="shared" si="27"/>
        <v/>
      </c>
      <c r="AP26" s="48" t="str">
        <f t="shared" si="27"/>
        <v/>
      </c>
      <c r="AQ26" s="48" t="str">
        <f t="shared" si="27"/>
        <v/>
      </c>
      <c r="AR26" s="48" t="str">
        <f t="shared" si="27"/>
        <v/>
      </c>
      <c r="AS26" s="48" t="str">
        <f t="shared" si="27"/>
        <v/>
      </c>
      <c r="AT26" s="48" t="str">
        <f t="shared" si="27"/>
        <v/>
      </c>
      <c r="AU26" s="48" t="str">
        <f t="shared" si="27"/>
        <v/>
      </c>
      <c r="AV26" s="48" t="str">
        <f t="shared" si="27"/>
        <v/>
      </c>
    </row>
    <row r="27" ht="15.75" customHeight="1">
      <c r="A27" s="46">
        <v>26.0</v>
      </c>
      <c r="B27" s="27"/>
      <c r="C27" s="44"/>
      <c r="D27" s="47"/>
      <c r="E27" s="47"/>
      <c r="F27" s="26"/>
      <c r="G27" s="48" t="str">
        <f t="shared" ref="G27:AV27" si="28">IF(AND($F27="Yes",G$2=$E27),"♦","")</f>
        <v/>
      </c>
      <c r="H27" s="48" t="str">
        <f t="shared" si="28"/>
        <v/>
      </c>
      <c r="I27" s="48" t="str">
        <f t="shared" si="28"/>
        <v/>
      </c>
      <c r="J27" s="48" t="str">
        <f t="shared" si="28"/>
        <v/>
      </c>
      <c r="K27" s="48" t="str">
        <f t="shared" si="28"/>
        <v/>
      </c>
      <c r="L27" s="48" t="str">
        <f t="shared" si="28"/>
        <v/>
      </c>
      <c r="M27" s="48" t="str">
        <f t="shared" si="28"/>
        <v/>
      </c>
      <c r="N27" s="48" t="str">
        <f t="shared" si="28"/>
        <v/>
      </c>
      <c r="O27" s="48" t="str">
        <f t="shared" si="28"/>
        <v/>
      </c>
      <c r="P27" s="48" t="str">
        <f t="shared" si="28"/>
        <v/>
      </c>
      <c r="Q27" s="48" t="str">
        <f t="shared" si="28"/>
        <v/>
      </c>
      <c r="R27" s="48" t="str">
        <f t="shared" si="28"/>
        <v/>
      </c>
      <c r="S27" s="48" t="str">
        <f t="shared" si="28"/>
        <v/>
      </c>
      <c r="T27" s="48" t="str">
        <f t="shared" si="28"/>
        <v/>
      </c>
      <c r="U27" s="48" t="str">
        <f t="shared" si="28"/>
        <v/>
      </c>
      <c r="V27" s="48" t="str">
        <f t="shared" si="28"/>
        <v/>
      </c>
      <c r="W27" s="48" t="str">
        <f t="shared" si="28"/>
        <v/>
      </c>
      <c r="X27" s="48" t="str">
        <f t="shared" si="28"/>
        <v/>
      </c>
      <c r="Y27" s="48" t="str">
        <f t="shared" si="28"/>
        <v/>
      </c>
      <c r="Z27" s="48" t="str">
        <f t="shared" si="28"/>
        <v/>
      </c>
      <c r="AA27" s="48" t="str">
        <f t="shared" si="28"/>
        <v/>
      </c>
      <c r="AB27" s="48" t="str">
        <f t="shared" si="28"/>
        <v/>
      </c>
      <c r="AC27" s="48" t="str">
        <f t="shared" si="28"/>
        <v/>
      </c>
      <c r="AD27" s="48" t="str">
        <f t="shared" si="28"/>
        <v/>
      </c>
      <c r="AE27" s="48" t="str">
        <f t="shared" si="28"/>
        <v/>
      </c>
      <c r="AF27" s="48" t="str">
        <f t="shared" si="28"/>
        <v/>
      </c>
      <c r="AG27" s="48" t="str">
        <f t="shared" si="28"/>
        <v/>
      </c>
      <c r="AH27" s="48" t="str">
        <f t="shared" si="28"/>
        <v/>
      </c>
      <c r="AI27" s="48" t="str">
        <f t="shared" si="28"/>
        <v/>
      </c>
      <c r="AJ27" s="48" t="str">
        <f t="shared" si="28"/>
        <v/>
      </c>
      <c r="AK27" s="48" t="str">
        <f t="shared" si="28"/>
        <v/>
      </c>
      <c r="AL27" s="48" t="str">
        <f t="shared" si="28"/>
        <v/>
      </c>
      <c r="AM27" s="48" t="str">
        <f t="shared" si="28"/>
        <v/>
      </c>
      <c r="AN27" s="48" t="str">
        <f t="shared" si="28"/>
        <v/>
      </c>
      <c r="AO27" s="48" t="str">
        <f t="shared" si="28"/>
        <v/>
      </c>
      <c r="AP27" s="48" t="str">
        <f t="shared" si="28"/>
        <v/>
      </c>
      <c r="AQ27" s="48" t="str">
        <f t="shared" si="28"/>
        <v/>
      </c>
      <c r="AR27" s="48" t="str">
        <f t="shared" si="28"/>
        <v/>
      </c>
      <c r="AS27" s="48" t="str">
        <f t="shared" si="28"/>
        <v/>
      </c>
      <c r="AT27" s="48" t="str">
        <f t="shared" si="28"/>
        <v/>
      </c>
      <c r="AU27" s="48" t="str">
        <f t="shared" si="28"/>
        <v/>
      </c>
      <c r="AV27" s="48" t="str">
        <f t="shared" si="28"/>
        <v/>
      </c>
    </row>
    <row r="28" ht="15.75" customHeight="1">
      <c r="A28" s="46">
        <v>27.0</v>
      </c>
      <c r="B28" s="27"/>
      <c r="C28" s="44"/>
      <c r="D28" s="47"/>
      <c r="E28" s="47"/>
      <c r="F28" s="26"/>
      <c r="G28" s="48" t="str">
        <f t="shared" ref="G28:AV28" si="29">IF(AND($F28="Yes",G$2=$E28),"♦","")</f>
        <v/>
      </c>
      <c r="H28" s="48" t="str">
        <f t="shared" si="29"/>
        <v/>
      </c>
      <c r="I28" s="48" t="str">
        <f t="shared" si="29"/>
        <v/>
      </c>
      <c r="J28" s="48" t="str">
        <f t="shared" si="29"/>
        <v/>
      </c>
      <c r="K28" s="48" t="str">
        <f t="shared" si="29"/>
        <v/>
      </c>
      <c r="L28" s="48" t="str">
        <f t="shared" si="29"/>
        <v/>
      </c>
      <c r="M28" s="48" t="str">
        <f t="shared" si="29"/>
        <v/>
      </c>
      <c r="N28" s="48" t="str">
        <f t="shared" si="29"/>
        <v/>
      </c>
      <c r="O28" s="48" t="str">
        <f t="shared" si="29"/>
        <v/>
      </c>
      <c r="P28" s="48" t="str">
        <f t="shared" si="29"/>
        <v/>
      </c>
      <c r="Q28" s="48" t="str">
        <f t="shared" si="29"/>
        <v/>
      </c>
      <c r="R28" s="48" t="str">
        <f t="shared" si="29"/>
        <v/>
      </c>
      <c r="S28" s="48" t="str">
        <f t="shared" si="29"/>
        <v/>
      </c>
      <c r="T28" s="48" t="str">
        <f t="shared" si="29"/>
        <v/>
      </c>
      <c r="U28" s="48" t="str">
        <f t="shared" si="29"/>
        <v/>
      </c>
      <c r="V28" s="48" t="str">
        <f t="shared" si="29"/>
        <v/>
      </c>
      <c r="W28" s="48" t="str">
        <f t="shared" si="29"/>
        <v/>
      </c>
      <c r="X28" s="48" t="str">
        <f t="shared" si="29"/>
        <v/>
      </c>
      <c r="Y28" s="48" t="str">
        <f t="shared" si="29"/>
        <v/>
      </c>
      <c r="Z28" s="48" t="str">
        <f t="shared" si="29"/>
        <v/>
      </c>
      <c r="AA28" s="48" t="str">
        <f t="shared" si="29"/>
        <v/>
      </c>
      <c r="AB28" s="48" t="str">
        <f t="shared" si="29"/>
        <v/>
      </c>
      <c r="AC28" s="48" t="str">
        <f t="shared" si="29"/>
        <v/>
      </c>
      <c r="AD28" s="48" t="str">
        <f t="shared" si="29"/>
        <v/>
      </c>
      <c r="AE28" s="48" t="str">
        <f t="shared" si="29"/>
        <v/>
      </c>
      <c r="AF28" s="48" t="str">
        <f t="shared" si="29"/>
        <v/>
      </c>
      <c r="AG28" s="48" t="str">
        <f t="shared" si="29"/>
        <v/>
      </c>
      <c r="AH28" s="48" t="str">
        <f t="shared" si="29"/>
        <v/>
      </c>
      <c r="AI28" s="48" t="str">
        <f t="shared" si="29"/>
        <v/>
      </c>
      <c r="AJ28" s="48" t="str">
        <f t="shared" si="29"/>
        <v/>
      </c>
      <c r="AK28" s="48" t="str">
        <f t="shared" si="29"/>
        <v/>
      </c>
      <c r="AL28" s="48" t="str">
        <f t="shared" si="29"/>
        <v/>
      </c>
      <c r="AM28" s="48" t="str">
        <f t="shared" si="29"/>
        <v/>
      </c>
      <c r="AN28" s="48" t="str">
        <f t="shared" si="29"/>
        <v/>
      </c>
      <c r="AO28" s="48" t="str">
        <f t="shared" si="29"/>
        <v/>
      </c>
      <c r="AP28" s="48" t="str">
        <f t="shared" si="29"/>
        <v/>
      </c>
      <c r="AQ28" s="48" t="str">
        <f t="shared" si="29"/>
        <v/>
      </c>
      <c r="AR28" s="48" t="str">
        <f t="shared" si="29"/>
        <v/>
      </c>
      <c r="AS28" s="48" t="str">
        <f t="shared" si="29"/>
        <v/>
      </c>
      <c r="AT28" s="48" t="str">
        <f t="shared" si="29"/>
        <v/>
      </c>
      <c r="AU28" s="48" t="str">
        <f t="shared" si="29"/>
        <v/>
      </c>
      <c r="AV28" s="48" t="str">
        <f t="shared" si="29"/>
        <v/>
      </c>
    </row>
    <row r="29" ht="15.75" customHeight="1">
      <c r="A29" s="46">
        <v>28.0</v>
      </c>
      <c r="B29" s="27"/>
      <c r="C29" s="44"/>
      <c r="D29" s="47"/>
      <c r="E29" s="47"/>
      <c r="F29" s="26"/>
      <c r="G29" s="48" t="str">
        <f t="shared" ref="G29:AV29" si="30">IF(AND($F29="Yes",G$2=$E29),"♦","")</f>
        <v/>
      </c>
      <c r="H29" s="48" t="str">
        <f t="shared" si="30"/>
        <v/>
      </c>
      <c r="I29" s="48" t="str">
        <f t="shared" si="30"/>
        <v/>
      </c>
      <c r="J29" s="48" t="str">
        <f t="shared" si="30"/>
        <v/>
      </c>
      <c r="K29" s="48" t="str">
        <f t="shared" si="30"/>
        <v/>
      </c>
      <c r="L29" s="48" t="str">
        <f t="shared" si="30"/>
        <v/>
      </c>
      <c r="M29" s="48" t="str">
        <f t="shared" si="30"/>
        <v/>
      </c>
      <c r="N29" s="48" t="str">
        <f t="shared" si="30"/>
        <v/>
      </c>
      <c r="O29" s="48" t="str">
        <f t="shared" si="30"/>
        <v/>
      </c>
      <c r="P29" s="48" t="str">
        <f t="shared" si="30"/>
        <v/>
      </c>
      <c r="Q29" s="48" t="str">
        <f t="shared" si="30"/>
        <v/>
      </c>
      <c r="R29" s="48" t="str">
        <f t="shared" si="30"/>
        <v/>
      </c>
      <c r="S29" s="48" t="str">
        <f t="shared" si="30"/>
        <v/>
      </c>
      <c r="T29" s="48" t="str">
        <f t="shared" si="30"/>
        <v/>
      </c>
      <c r="U29" s="48" t="str">
        <f t="shared" si="30"/>
        <v/>
      </c>
      <c r="V29" s="48" t="str">
        <f t="shared" si="30"/>
        <v/>
      </c>
      <c r="W29" s="48" t="str">
        <f t="shared" si="30"/>
        <v/>
      </c>
      <c r="X29" s="48" t="str">
        <f t="shared" si="30"/>
        <v/>
      </c>
      <c r="Y29" s="48" t="str">
        <f t="shared" si="30"/>
        <v/>
      </c>
      <c r="Z29" s="48" t="str">
        <f t="shared" si="30"/>
        <v/>
      </c>
      <c r="AA29" s="48" t="str">
        <f t="shared" si="30"/>
        <v/>
      </c>
      <c r="AB29" s="48" t="str">
        <f t="shared" si="30"/>
        <v/>
      </c>
      <c r="AC29" s="48" t="str">
        <f t="shared" si="30"/>
        <v/>
      </c>
      <c r="AD29" s="48" t="str">
        <f t="shared" si="30"/>
        <v/>
      </c>
      <c r="AE29" s="48" t="str">
        <f t="shared" si="30"/>
        <v/>
      </c>
      <c r="AF29" s="48" t="str">
        <f t="shared" si="30"/>
        <v/>
      </c>
      <c r="AG29" s="48" t="str">
        <f t="shared" si="30"/>
        <v/>
      </c>
      <c r="AH29" s="48" t="str">
        <f t="shared" si="30"/>
        <v/>
      </c>
      <c r="AI29" s="48" t="str">
        <f t="shared" si="30"/>
        <v/>
      </c>
      <c r="AJ29" s="48" t="str">
        <f t="shared" si="30"/>
        <v/>
      </c>
      <c r="AK29" s="48" t="str">
        <f t="shared" si="30"/>
        <v/>
      </c>
      <c r="AL29" s="48" t="str">
        <f t="shared" si="30"/>
        <v/>
      </c>
      <c r="AM29" s="48" t="str">
        <f t="shared" si="30"/>
        <v/>
      </c>
      <c r="AN29" s="48" t="str">
        <f t="shared" si="30"/>
        <v/>
      </c>
      <c r="AO29" s="48" t="str">
        <f t="shared" si="30"/>
        <v/>
      </c>
      <c r="AP29" s="48" t="str">
        <f t="shared" si="30"/>
        <v/>
      </c>
      <c r="AQ29" s="48" t="str">
        <f t="shared" si="30"/>
        <v/>
      </c>
      <c r="AR29" s="48" t="str">
        <f t="shared" si="30"/>
        <v/>
      </c>
      <c r="AS29" s="48" t="str">
        <f t="shared" si="30"/>
        <v/>
      </c>
      <c r="AT29" s="48" t="str">
        <f t="shared" si="30"/>
        <v/>
      </c>
      <c r="AU29" s="48" t="str">
        <f t="shared" si="30"/>
        <v/>
      </c>
      <c r="AV29" s="48" t="str">
        <f t="shared" si="30"/>
        <v/>
      </c>
    </row>
    <row r="30" ht="15.75" customHeight="1">
      <c r="A30" s="46">
        <v>29.0</v>
      </c>
      <c r="B30" s="27"/>
      <c r="C30" s="44"/>
      <c r="D30" s="47"/>
      <c r="E30" s="47"/>
      <c r="F30" s="26"/>
      <c r="G30" s="48" t="str">
        <f t="shared" ref="G30:AV30" si="31">IF(AND($F30="Yes",G$2=$E30),"♦","")</f>
        <v/>
      </c>
      <c r="H30" s="48" t="str">
        <f t="shared" si="31"/>
        <v/>
      </c>
      <c r="I30" s="48" t="str">
        <f t="shared" si="31"/>
        <v/>
      </c>
      <c r="J30" s="48" t="str">
        <f t="shared" si="31"/>
        <v/>
      </c>
      <c r="K30" s="48" t="str">
        <f t="shared" si="31"/>
        <v/>
      </c>
      <c r="L30" s="48" t="str">
        <f t="shared" si="31"/>
        <v/>
      </c>
      <c r="M30" s="48" t="str">
        <f t="shared" si="31"/>
        <v/>
      </c>
      <c r="N30" s="48" t="str">
        <f t="shared" si="31"/>
        <v/>
      </c>
      <c r="O30" s="48" t="str">
        <f t="shared" si="31"/>
        <v/>
      </c>
      <c r="P30" s="48" t="str">
        <f t="shared" si="31"/>
        <v/>
      </c>
      <c r="Q30" s="48" t="str">
        <f t="shared" si="31"/>
        <v/>
      </c>
      <c r="R30" s="48" t="str">
        <f t="shared" si="31"/>
        <v/>
      </c>
      <c r="S30" s="48" t="str">
        <f t="shared" si="31"/>
        <v/>
      </c>
      <c r="T30" s="48" t="str">
        <f t="shared" si="31"/>
        <v/>
      </c>
      <c r="U30" s="48" t="str">
        <f t="shared" si="31"/>
        <v/>
      </c>
      <c r="V30" s="48" t="str">
        <f t="shared" si="31"/>
        <v/>
      </c>
      <c r="W30" s="48" t="str">
        <f t="shared" si="31"/>
        <v/>
      </c>
      <c r="X30" s="48" t="str">
        <f t="shared" si="31"/>
        <v/>
      </c>
      <c r="Y30" s="48" t="str">
        <f t="shared" si="31"/>
        <v/>
      </c>
      <c r="Z30" s="48" t="str">
        <f t="shared" si="31"/>
        <v/>
      </c>
      <c r="AA30" s="48" t="str">
        <f t="shared" si="31"/>
        <v/>
      </c>
      <c r="AB30" s="48" t="str">
        <f t="shared" si="31"/>
        <v/>
      </c>
      <c r="AC30" s="48" t="str">
        <f t="shared" si="31"/>
        <v/>
      </c>
      <c r="AD30" s="48" t="str">
        <f t="shared" si="31"/>
        <v/>
      </c>
      <c r="AE30" s="48" t="str">
        <f t="shared" si="31"/>
        <v/>
      </c>
      <c r="AF30" s="48" t="str">
        <f t="shared" si="31"/>
        <v/>
      </c>
      <c r="AG30" s="48" t="str">
        <f t="shared" si="31"/>
        <v/>
      </c>
      <c r="AH30" s="48" t="str">
        <f t="shared" si="31"/>
        <v/>
      </c>
      <c r="AI30" s="48" t="str">
        <f t="shared" si="31"/>
        <v/>
      </c>
      <c r="AJ30" s="48" t="str">
        <f t="shared" si="31"/>
        <v/>
      </c>
      <c r="AK30" s="48" t="str">
        <f t="shared" si="31"/>
        <v/>
      </c>
      <c r="AL30" s="48" t="str">
        <f t="shared" si="31"/>
        <v/>
      </c>
      <c r="AM30" s="48" t="str">
        <f t="shared" si="31"/>
        <v/>
      </c>
      <c r="AN30" s="48" t="str">
        <f t="shared" si="31"/>
        <v/>
      </c>
      <c r="AO30" s="48" t="str">
        <f t="shared" si="31"/>
        <v/>
      </c>
      <c r="AP30" s="48" t="str">
        <f t="shared" si="31"/>
        <v/>
      </c>
      <c r="AQ30" s="48" t="str">
        <f t="shared" si="31"/>
        <v/>
      </c>
      <c r="AR30" s="48" t="str">
        <f t="shared" si="31"/>
        <v/>
      </c>
      <c r="AS30" s="48" t="str">
        <f t="shared" si="31"/>
        <v/>
      </c>
      <c r="AT30" s="48" t="str">
        <f t="shared" si="31"/>
        <v/>
      </c>
      <c r="AU30" s="48" t="str">
        <f t="shared" si="31"/>
        <v/>
      </c>
      <c r="AV30" s="48" t="str">
        <f t="shared" si="31"/>
        <v/>
      </c>
    </row>
    <row r="31" ht="15.75" customHeight="1">
      <c r="A31" s="46">
        <v>30.0</v>
      </c>
      <c r="B31" s="27"/>
      <c r="C31" s="44"/>
      <c r="D31" s="47"/>
      <c r="E31" s="47"/>
      <c r="F31" s="26"/>
      <c r="G31" s="48" t="str">
        <f t="shared" ref="G31:AV31" si="32">IF(AND($F31="Yes",G$2=$E31),"♦","")</f>
        <v/>
      </c>
      <c r="H31" s="48" t="str">
        <f t="shared" si="32"/>
        <v/>
      </c>
      <c r="I31" s="48" t="str">
        <f t="shared" si="32"/>
        <v/>
      </c>
      <c r="J31" s="48" t="str">
        <f t="shared" si="32"/>
        <v/>
      </c>
      <c r="K31" s="48" t="str">
        <f t="shared" si="32"/>
        <v/>
      </c>
      <c r="L31" s="48" t="str">
        <f t="shared" si="32"/>
        <v/>
      </c>
      <c r="M31" s="48" t="str">
        <f t="shared" si="32"/>
        <v/>
      </c>
      <c r="N31" s="48" t="str">
        <f t="shared" si="32"/>
        <v/>
      </c>
      <c r="O31" s="48" t="str">
        <f t="shared" si="32"/>
        <v/>
      </c>
      <c r="P31" s="48" t="str">
        <f t="shared" si="32"/>
        <v/>
      </c>
      <c r="Q31" s="48" t="str">
        <f t="shared" si="32"/>
        <v/>
      </c>
      <c r="R31" s="48" t="str">
        <f t="shared" si="32"/>
        <v/>
      </c>
      <c r="S31" s="48" t="str">
        <f t="shared" si="32"/>
        <v/>
      </c>
      <c r="T31" s="48" t="str">
        <f t="shared" si="32"/>
        <v/>
      </c>
      <c r="U31" s="48" t="str">
        <f t="shared" si="32"/>
        <v/>
      </c>
      <c r="V31" s="48" t="str">
        <f t="shared" si="32"/>
        <v/>
      </c>
      <c r="W31" s="48" t="str">
        <f t="shared" si="32"/>
        <v/>
      </c>
      <c r="X31" s="48" t="str">
        <f t="shared" si="32"/>
        <v/>
      </c>
      <c r="Y31" s="48" t="str">
        <f t="shared" si="32"/>
        <v/>
      </c>
      <c r="Z31" s="48" t="str">
        <f t="shared" si="32"/>
        <v/>
      </c>
      <c r="AA31" s="48" t="str">
        <f t="shared" si="32"/>
        <v/>
      </c>
      <c r="AB31" s="48" t="str">
        <f t="shared" si="32"/>
        <v/>
      </c>
      <c r="AC31" s="48" t="str">
        <f t="shared" si="32"/>
        <v/>
      </c>
      <c r="AD31" s="48" t="str">
        <f t="shared" si="32"/>
        <v/>
      </c>
      <c r="AE31" s="48" t="str">
        <f t="shared" si="32"/>
        <v/>
      </c>
      <c r="AF31" s="48" t="str">
        <f t="shared" si="32"/>
        <v/>
      </c>
      <c r="AG31" s="48" t="str">
        <f t="shared" si="32"/>
        <v/>
      </c>
      <c r="AH31" s="48" t="str">
        <f t="shared" si="32"/>
        <v/>
      </c>
      <c r="AI31" s="48" t="str">
        <f t="shared" si="32"/>
        <v/>
      </c>
      <c r="AJ31" s="48" t="str">
        <f t="shared" si="32"/>
        <v/>
      </c>
      <c r="AK31" s="48" t="str">
        <f t="shared" si="32"/>
        <v/>
      </c>
      <c r="AL31" s="48" t="str">
        <f t="shared" si="32"/>
        <v/>
      </c>
      <c r="AM31" s="48" t="str">
        <f t="shared" si="32"/>
        <v/>
      </c>
      <c r="AN31" s="48" t="str">
        <f t="shared" si="32"/>
        <v/>
      </c>
      <c r="AO31" s="48" t="str">
        <f t="shared" si="32"/>
        <v/>
      </c>
      <c r="AP31" s="48" t="str">
        <f t="shared" si="32"/>
        <v/>
      </c>
      <c r="AQ31" s="48" t="str">
        <f t="shared" si="32"/>
        <v/>
      </c>
      <c r="AR31" s="48" t="str">
        <f t="shared" si="32"/>
        <v/>
      </c>
      <c r="AS31" s="48" t="str">
        <f t="shared" si="32"/>
        <v/>
      </c>
      <c r="AT31" s="48" t="str">
        <f t="shared" si="32"/>
        <v/>
      </c>
      <c r="AU31" s="48" t="str">
        <f t="shared" si="32"/>
        <v/>
      </c>
      <c r="AV31" s="48" t="str">
        <f t="shared" si="32"/>
        <v/>
      </c>
    </row>
    <row r="32" ht="15.75" customHeight="1">
      <c r="A32" s="46">
        <v>31.0</v>
      </c>
      <c r="B32" s="27"/>
      <c r="C32" s="44"/>
      <c r="D32" s="47"/>
      <c r="E32" s="47"/>
      <c r="F32" s="26"/>
      <c r="G32" s="48" t="str">
        <f t="shared" ref="G32:AV32" si="33">IF(AND($F32="Yes",G$2=$E32),"♦","")</f>
        <v/>
      </c>
      <c r="H32" s="48" t="str">
        <f t="shared" si="33"/>
        <v/>
      </c>
      <c r="I32" s="48" t="str">
        <f t="shared" si="33"/>
        <v/>
      </c>
      <c r="J32" s="48" t="str">
        <f t="shared" si="33"/>
        <v/>
      </c>
      <c r="K32" s="48" t="str">
        <f t="shared" si="33"/>
        <v/>
      </c>
      <c r="L32" s="48" t="str">
        <f t="shared" si="33"/>
        <v/>
      </c>
      <c r="M32" s="48" t="str">
        <f t="shared" si="33"/>
        <v/>
      </c>
      <c r="N32" s="48" t="str">
        <f t="shared" si="33"/>
        <v/>
      </c>
      <c r="O32" s="48" t="str">
        <f t="shared" si="33"/>
        <v/>
      </c>
      <c r="P32" s="48" t="str">
        <f t="shared" si="33"/>
        <v/>
      </c>
      <c r="Q32" s="48" t="str">
        <f t="shared" si="33"/>
        <v/>
      </c>
      <c r="R32" s="48" t="str">
        <f t="shared" si="33"/>
        <v/>
      </c>
      <c r="S32" s="48" t="str">
        <f t="shared" si="33"/>
        <v/>
      </c>
      <c r="T32" s="48" t="str">
        <f t="shared" si="33"/>
        <v/>
      </c>
      <c r="U32" s="48" t="str">
        <f t="shared" si="33"/>
        <v/>
      </c>
      <c r="V32" s="48" t="str">
        <f t="shared" si="33"/>
        <v/>
      </c>
      <c r="W32" s="48" t="str">
        <f t="shared" si="33"/>
        <v/>
      </c>
      <c r="X32" s="48" t="str">
        <f t="shared" si="33"/>
        <v/>
      </c>
      <c r="Y32" s="48" t="str">
        <f t="shared" si="33"/>
        <v/>
      </c>
      <c r="Z32" s="48" t="str">
        <f t="shared" si="33"/>
        <v/>
      </c>
      <c r="AA32" s="48" t="str">
        <f t="shared" si="33"/>
        <v/>
      </c>
      <c r="AB32" s="48" t="str">
        <f t="shared" si="33"/>
        <v/>
      </c>
      <c r="AC32" s="48" t="str">
        <f t="shared" si="33"/>
        <v/>
      </c>
      <c r="AD32" s="48" t="str">
        <f t="shared" si="33"/>
        <v/>
      </c>
      <c r="AE32" s="48" t="str">
        <f t="shared" si="33"/>
        <v/>
      </c>
      <c r="AF32" s="48" t="str">
        <f t="shared" si="33"/>
        <v/>
      </c>
      <c r="AG32" s="48" t="str">
        <f t="shared" si="33"/>
        <v/>
      </c>
      <c r="AH32" s="48" t="str">
        <f t="shared" si="33"/>
        <v/>
      </c>
      <c r="AI32" s="48" t="str">
        <f t="shared" si="33"/>
        <v/>
      </c>
      <c r="AJ32" s="48" t="str">
        <f t="shared" si="33"/>
        <v/>
      </c>
      <c r="AK32" s="48" t="str">
        <f t="shared" si="33"/>
        <v/>
      </c>
      <c r="AL32" s="48" t="str">
        <f t="shared" si="33"/>
        <v/>
      </c>
      <c r="AM32" s="48" t="str">
        <f t="shared" si="33"/>
        <v/>
      </c>
      <c r="AN32" s="48" t="str">
        <f t="shared" si="33"/>
        <v/>
      </c>
      <c r="AO32" s="48" t="str">
        <f t="shared" si="33"/>
        <v/>
      </c>
      <c r="AP32" s="48" t="str">
        <f t="shared" si="33"/>
        <v/>
      </c>
      <c r="AQ32" s="48" t="str">
        <f t="shared" si="33"/>
        <v/>
      </c>
      <c r="AR32" s="48" t="str">
        <f t="shared" si="33"/>
        <v/>
      </c>
      <c r="AS32" s="48" t="str">
        <f t="shared" si="33"/>
        <v/>
      </c>
      <c r="AT32" s="48" t="str">
        <f t="shared" si="33"/>
        <v/>
      </c>
      <c r="AU32" s="48" t="str">
        <f t="shared" si="33"/>
        <v/>
      </c>
      <c r="AV32" s="48" t="str">
        <f t="shared" si="33"/>
        <v/>
      </c>
    </row>
    <row r="33" ht="15.75" customHeight="1">
      <c r="A33" s="46">
        <v>32.0</v>
      </c>
      <c r="B33" s="27"/>
      <c r="C33" s="44"/>
      <c r="D33" s="47"/>
      <c r="E33" s="47"/>
      <c r="F33" s="26"/>
      <c r="G33" s="48" t="str">
        <f t="shared" ref="G33:AV33" si="34">IF(AND($F33="Yes",G$2=$E33),"♦","")</f>
        <v/>
      </c>
      <c r="H33" s="48" t="str">
        <f t="shared" si="34"/>
        <v/>
      </c>
      <c r="I33" s="48" t="str">
        <f t="shared" si="34"/>
        <v/>
      </c>
      <c r="J33" s="48" t="str">
        <f t="shared" si="34"/>
        <v/>
      </c>
      <c r="K33" s="48" t="str">
        <f t="shared" si="34"/>
        <v/>
      </c>
      <c r="L33" s="48" t="str">
        <f t="shared" si="34"/>
        <v/>
      </c>
      <c r="M33" s="48" t="str">
        <f t="shared" si="34"/>
        <v/>
      </c>
      <c r="N33" s="48" t="str">
        <f t="shared" si="34"/>
        <v/>
      </c>
      <c r="O33" s="48" t="str">
        <f t="shared" si="34"/>
        <v/>
      </c>
      <c r="P33" s="48" t="str">
        <f t="shared" si="34"/>
        <v/>
      </c>
      <c r="Q33" s="48" t="str">
        <f t="shared" si="34"/>
        <v/>
      </c>
      <c r="R33" s="48" t="str">
        <f t="shared" si="34"/>
        <v/>
      </c>
      <c r="S33" s="48" t="str">
        <f t="shared" si="34"/>
        <v/>
      </c>
      <c r="T33" s="48" t="str">
        <f t="shared" si="34"/>
        <v/>
      </c>
      <c r="U33" s="48" t="str">
        <f t="shared" si="34"/>
        <v/>
      </c>
      <c r="V33" s="48" t="str">
        <f t="shared" si="34"/>
        <v/>
      </c>
      <c r="W33" s="48" t="str">
        <f t="shared" si="34"/>
        <v/>
      </c>
      <c r="X33" s="48" t="str">
        <f t="shared" si="34"/>
        <v/>
      </c>
      <c r="Y33" s="48" t="str">
        <f t="shared" si="34"/>
        <v/>
      </c>
      <c r="Z33" s="48" t="str">
        <f t="shared" si="34"/>
        <v/>
      </c>
      <c r="AA33" s="48" t="str">
        <f t="shared" si="34"/>
        <v/>
      </c>
      <c r="AB33" s="48" t="str">
        <f t="shared" si="34"/>
        <v/>
      </c>
      <c r="AC33" s="48" t="str">
        <f t="shared" si="34"/>
        <v/>
      </c>
      <c r="AD33" s="48" t="str">
        <f t="shared" si="34"/>
        <v/>
      </c>
      <c r="AE33" s="48" t="str">
        <f t="shared" si="34"/>
        <v/>
      </c>
      <c r="AF33" s="48" t="str">
        <f t="shared" si="34"/>
        <v/>
      </c>
      <c r="AG33" s="48" t="str">
        <f t="shared" si="34"/>
        <v/>
      </c>
      <c r="AH33" s="48" t="str">
        <f t="shared" si="34"/>
        <v/>
      </c>
      <c r="AI33" s="48" t="str">
        <f t="shared" si="34"/>
        <v/>
      </c>
      <c r="AJ33" s="48" t="str">
        <f t="shared" si="34"/>
        <v/>
      </c>
      <c r="AK33" s="48" t="str">
        <f t="shared" si="34"/>
        <v/>
      </c>
      <c r="AL33" s="48" t="str">
        <f t="shared" si="34"/>
        <v/>
      </c>
      <c r="AM33" s="48" t="str">
        <f t="shared" si="34"/>
        <v/>
      </c>
      <c r="AN33" s="48" t="str">
        <f t="shared" si="34"/>
        <v/>
      </c>
      <c r="AO33" s="48" t="str">
        <f t="shared" si="34"/>
        <v/>
      </c>
      <c r="AP33" s="48" t="str">
        <f t="shared" si="34"/>
        <v/>
      </c>
      <c r="AQ33" s="48" t="str">
        <f t="shared" si="34"/>
        <v/>
      </c>
      <c r="AR33" s="48" t="str">
        <f t="shared" si="34"/>
        <v/>
      </c>
      <c r="AS33" s="48" t="str">
        <f t="shared" si="34"/>
        <v/>
      </c>
      <c r="AT33" s="48" t="str">
        <f t="shared" si="34"/>
        <v/>
      </c>
      <c r="AU33" s="48" t="str">
        <f t="shared" si="34"/>
        <v/>
      </c>
      <c r="AV33" s="48" t="str">
        <f t="shared" si="34"/>
        <v/>
      </c>
    </row>
    <row r="34" ht="15.75" customHeight="1">
      <c r="A34" s="46">
        <v>33.0</v>
      </c>
      <c r="B34" s="27"/>
      <c r="C34" s="44"/>
      <c r="D34" s="47"/>
      <c r="E34" s="47"/>
      <c r="F34" s="26"/>
      <c r="G34" s="48" t="str">
        <f t="shared" ref="G34:AV34" si="35">IF(AND($F34="Yes",G$2=$E34),"♦","")</f>
        <v/>
      </c>
      <c r="H34" s="48" t="str">
        <f t="shared" si="35"/>
        <v/>
      </c>
      <c r="I34" s="48" t="str">
        <f t="shared" si="35"/>
        <v/>
      </c>
      <c r="J34" s="48" t="str">
        <f t="shared" si="35"/>
        <v/>
      </c>
      <c r="K34" s="48" t="str">
        <f t="shared" si="35"/>
        <v/>
      </c>
      <c r="L34" s="48" t="str">
        <f t="shared" si="35"/>
        <v/>
      </c>
      <c r="M34" s="48" t="str">
        <f t="shared" si="35"/>
        <v/>
      </c>
      <c r="N34" s="48" t="str">
        <f t="shared" si="35"/>
        <v/>
      </c>
      <c r="O34" s="48" t="str">
        <f t="shared" si="35"/>
        <v/>
      </c>
      <c r="P34" s="48" t="str">
        <f t="shared" si="35"/>
        <v/>
      </c>
      <c r="Q34" s="48" t="str">
        <f t="shared" si="35"/>
        <v/>
      </c>
      <c r="R34" s="48" t="str">
        <f t="shared" si="35"/>
        <v/>
      </c>
      <c r="S34" s="48" t="str">
        <f t="shared" si="35"/>
        <v/>
      </c>
      <c r="T34" s="48" t="str">
        <f t="shared" si="35"/>
        <v/>
      </c>
      <c r="U34" s="48" t="str">
        <f t="shared" si="35"/>
        <v/>
      </c>
      <c r="V34" s="48" t="str">
        <f t="shared" si="35"/>
        <v/>
      </c>
      <c r="W34" s="48" t="str">
        <f t="shared" si="35"/>
        <v/>
      </c>
      <c r="X34" s="48" t="str">
        <f t="shared" si="35"/>
        <v/>
      </c>
      <c r="Y34" s="48" t="str">
        <f t="shared" si="35"/>
        <v/>
      </c>
      <c r="Z34" s="48" t="str">
        <f t="shared" si="35"/>
        <v/>
      </c>
      <c r="AA34" s="48" t="str">
        <f t="shared" si="35"/>
        <v/>
      </c>
      <c r="AB34" s="48" t="str">
        <f t="shared" si="35"/>
        <v/>
      </c>
      <c r="AC34" s="48" t="str">
        <f t="shared" si="35"/>
        <v/>
      </c>
      <c r="AD34" s="48" t="str">
        <f t="shared" si="35"/>
        <v/>
      </c>
      <c r="AE34" s="48" t="str">
        <f t="shared" si="35"/>
        <v/>
      </c>
      <c r="AF34" s="48" t="str">
        <f t="shared" si="35"/>
        <v/>
      </c>
      <c r="AG34" s="48" t="str">
        <f t="shared" si="35"/>
        <v/>
      </c>
      <c r="AH34" s="48" t="str">
        <f t="shared" si="35"/>
        <v/>
      </c>
      <c r="AI34" s="48" t="str">
        <f t="shared" si="35"/>
        <v/>
      </c>
      <c r="AJ34" s="48" t="str">
        <f t="shared" si="35"/>
        <v/>
      </c>
      <c r="AK34" s="48" t="str">
        <f t="shared" si="35"/>
        <v/>
      </c>
      <c r="AL34" s="48" t="str">
        <f t="shared" si="35"/>
        <v/>
      </c>
      <c r="AM34" s="48" t="str">
        <f t="shared" si="35"/>
        <v/>
      </c>
      <c r="AN34" s="48" t="str">
        <f t="shared" si="35"/>
        <v/>
      </c>
      <c r="AO34" s="48" t="str">
        <f t="shared" si="35"/>
        <v/>
      </c>
      <c r="AP34" s="48" t="str">
        <f t="shared" si="35"/>
        <v/>
      </c>
      <c r="AQ34" s="48" t="str">
        <f t="shared" si="35"/>
        <v/>
      </c>
      <c r="AR34" s="48" t="str">
        <f t="shared" si="35"/>
        <v/>
      </c>
      <c r="AS34" s="48" t="str">
        <f t="shared" si="35"/>
        <v/>
      </c>
      <c r="AT34" s="48" t="str">
        <f t="shared" si="35"/>
        <v/>
      </c>
      <c r="AU34" s="48" t="str">
        <f t="shared" si="35"/>
        <v/>
      </c>
      <c r="AV34" s="48" t="str">
        <f t="shared" si="35"/>
        <v/>
      </c>
    </row>
    <row r="35" ht="15.75" customHeight="1">
      <c r="A35" s="46">
        <v>34.0</v>
      </c>
      <c r="B35" s="27"/>
      <c r="C35" s="44"/>
      <c r="D35" s="47"/>
      <c r="E35" s="47"/>
      <c r="F35" s="26"/>
      <c r="G35" s="48" t="str">
        <f t="shared" ref="G35:AV35" si="36">IF(AND($F35="Yes",G$2=$E35),"♦","")</f>
        <v/>
      </c>
      <c r="H35" s="48" t="str">
        <f t="shared" si="36"/>
        <v/>
      </c>
      <c r="I35" s="48" t="str">
        <f t="shared" si="36"/>
        <v/>
      </c>
      <c r="J35" s="48" t="str">
        <f t="shared" si="36"/>
        <v/>
      </c>
      <c r="K35" s="48" t="str">
        <f t="shared" si="36"/>
        <v/>
      </c>
      <c r="L35" s="48" t="str">
        <f t="shared" si="36"/>
        <v/>
      </c>
      <c r="M35" s="48" t="str">
        <f t="shared" si="36"/>
        <v/>
      </c>
      <c r="N35" s="48" t="str">
        <f t="shared" si="36"/>
        <v/>
      </c>
      <c r="O35" s="48" t="str">
        <f t="shared" si="36"/>
        <v/>
      </c>
      <c r="P35" s="48" t="str">
        <f t="shared" si="36"/>
        <v/>
      </c>
      <c r="Q35" s="48" t="str">
        <f t="shared" si="36"/>
        <v/>
      </c>
      <c r="R35" s="48" t="str">
        <f t="shared" si="36"/>
        <v/>
      </c>
      <c r="S35" s="48" t="str">
        <f t="shared" si="36"/>
        <v/>
      </c>
      <c r="T35" s="48" t="str">
        <f t="shared" si="36"/>
        <v/>
      </c>
      <c r="U35" s="48" t="str">
        <f t="shared" si="36"/>
        <v/>
      </c>
      <c r="V35" s="48" t="str">
        <f t="shared" si="36"/>
        <v/>
      </c>
      <c r="W35" s="48" t="str">
        <f t="shared" si="36"/>
        <v/>
      </c>
      <c r="X35" s="48" t="str">
        <f t="shared" si="36"/>
        <v/>
      </c>
      <c r="Y35" s="48" t="str">
        <f t="shared" si="36"/>
        <v/>
      </c>
      <c r="Z35" s="48" t="str">
        <f t="shared" si="36"/>
        <v/>
      </c>
      <c r="AA35" s="48" t="str">
        <f t="shared" si="36"/>
        <v/>
      </c>
      <c r="AB35" s="48" t="str">
        <f t="shared" si="36"/>
        <v/>
      </c>
      <c r="AC35" s="48" t="str">
        <f t="shared" si="36"/>
        <v/>
      </c>
      <c r="AD35" s="48" t="str">
        <f t="shared" si="36"/>
        <v/>
      </c>
      <c r="AE35" s="48" t="str">
        <f t="shared" si="36"/>
        <v/>
      </c>
      <c r="AF35" s="48" t="str">
        <f t="shared" si="36"/>
        <v/>
      </c>
      <c r="AG35" s="48" t="str">
        <f t="shared" si="36"/>
        <v/>
      </c>
      <c r="AH35" s="48" t="str">
        <f t="shared" si="36"/>
        <v/>
      </c>
      <c r="AI35" s="48" t="str">
        <f t="shared" si="36"/>
        <v/>
      </c>
      <c r="AJ35" s="48" t="str">
        <f t="shared" si="36"/>
        <v/>
      </c>
      <c r="AK35" s="48" t="str">
        <f t="shared" si="36"/>
        <v/>
      </c>
      <c r="AL35" s="48" t="str">
        <f t="shared" si="36"/>
        <v/>
      </c>
      <c r="AM35" s="48" t="str">
        <f t="shared" si="36"/>
        <v/>
      </c>
      <c r="AN35" s="48" t="str">
        <f t="shared" si="36"/>
        <v/>
      </c>
      <c r="AO35" s="48" t="str">
        <f t="shared" si="36"/>
        <v/>
      </c>
      <c r="AP35" s="48" t="str">
        <f t="shared" si="36"/>
        <v/>
      </c>
      <c r="AQ35" s="48" t="str">
        <f t="shared" si="36"/>
        <v/>
      </c>
      <c r="AR35" s="48" t="str">
        <f t="shared" si="36"/>
        <v/>
      </c>
      <c r="AS35" s="48" t="str">
        <f t="shared" si="36"/>
        <v/>
      </c>
      <c r="AT35" s="48" t="str">
        <f t="shared" si="36"/>
        <v/>
      </c>
      <c r="AU35" s="48" t="str">
        <f t="shared" si="36"/>
        <v/>
      </c>
      <c r="AV35" s="48" t="str">
        <f t="shared" si="36"/>
        <v/>
      </c>
    </row>
    <row r="36" ht="15.75" customHeight="1">
      <c r="A36" s="46">
        <v>35.0</v>
      </c>
      <c r="B36" s="27"/>
      <c r="C36" s="44"/>
      <c r="D36" s="47"/>
      <c r="E36" s="47"/>
      <c r="F36" s="26"/>
      <c r="G36" s="48" t="str">
        <f t="shared" ref="G36:AV36" si="37">IF(AND($F36="Yes",G$2=$E36),"♦","")</f>
        <v/>
      </c>
      <c r="H36" s="48" t="str">
        <f t="shared" si="37"/>
        <v/>
      </c>
      <c r="I36" s="48" t="str">
        <f t="shared" si="37"/>
        <v/>
      </c>
      <c r="J36" s="48" t="str">
        <f t="shared" si="37"/>
        <v/>
      </c>
      <c r="K36" s="48" t="str">
        <f t="shared" si="37"/>
        <v/>
      </c>
      <c r="L36" s="48" t="str">
        <f t="shared" si="37"/>
        <v/>
      </c>
      <c r="M36" s="48" t="str">
        <f t="shared" si="37"/>
        <v/>
      </c>
      <c r="N36" s="48" t="str">
        <f t="shared" si="37"/>
        <v/>
      </c>
      <c r="O36" s="48" t="str">
        <f t="shared" si="37"/>
        <v/>
      </c>
      <c r="P36" s="48" t="str">
        <f t="shared" si="37"/>
        <v/>
      </c>
      <c r="Q36" s="48" t="str">
        <f t="shared" si="37"/>
        <v/>
      </c>
      <c r="R36" s="48" t="str">
        <f t="shared" si="37"/>
        <v/>
      </c>
      <c r="S36" s="48" t="str">
        <f t="shared" si="37"/>
        <v/>
      </c>
      <c r="T36" s="48" t="str">
        <f t="shared" si="37"/>
        <v/>
      </c>
      <c r="U36" s="48" t="str">
        <f t="shared" si="37"/>
        <v/>
      </c>
      <c r="V36" s="48" t="str">
        <f t="shared" si="37"/>
        <v/>
      </c>
      <c r="W36" s="48" t="str">
        <f t="shared" si="37"/>
        <v/>
      </c>
      <c r="X36" s="48" t="str">
        <f t="shared" si="37"/>
        <v/>
      </c>
      <c r="Y36" s="48" t="str">
        <f t="shared" si="37"/>
        <v/>
      </c>
      <c r="Z36" s="48" t="str">
        <f t="shared" si="37"/>
        <v/>
      </c>
      <c r="AA36" s="48" t="str">
        <f t="shared" si="37"/>
        <v/>
      </c>
      <c r="AB36" s="48" t="str">
        <f t="shared" si="37"/>
        <v/>
      </c>
      <c r="AC36" s="48" t="str">
        <f t="shared" si="37"/>
        <v/>
      </c>
      <c r="AD36" s="48" t="str">
        <f t="shared" si="37"/>
        <v/>
      </c>
      <c r="AE36" s="48" t="str">
        <f t="shared" si="37"/>
        <v/>
      </c>
      <c r="AF36" s="48" t="str">
        <f t="shared" si="37"/>
        <v/>
      </c>
      <c r="AG36" s="48" t="str">
        <f t="shared" si="37"/>
        <v/>
      </c>
      <c r="AH36" s="48" t="str">
        <f t="shared" si="37"/>
        <v/>
      </c>
      <c r="AI36" s="48" t="str">
        <f t="shared" si="37"/>
        <v/>
      </c>
      <c r="AJ36" s="48" t="str">
        <f t="shared" si="37"/>
        <v/>
      </c>
      <c r="AK36" s="48" t="str">
        <f t="shared" si="37"/>
        <v/>
      </c>
      <c r="AL36" s="48" t="str">
        <f t="shared" si="37"/>
        <v/>
      </c>
      <c r="AM36" s="48" t="str">
        <f t="shared" si="37"/>
        <v/>
      </c>
      <c r="AN36" s="48" t="str">
        <f t="shared" si="37"/>
        <v/>
      </c>
      <c r="AO36" s="48" t="str">
        <f t="shared" si="37"/>
        <v/>
      </c>
      <c r="AP36" s="48" t="str">
        <f t="shared" si="37"/>
        <v/>
      </c>
      <c r="AQ36" s="48" t="str">
        <f t="shared" si="37"/>
        <v/>
      </c>
      <c r="AR36" s="48" t="str">
        <f t="shared" si="37"/>
        <v/>
      </c>
      <c r="AS36" s="48" t="str">
        <f t="shared" si="37"/>
        <v/>
      </c>
      <c r="AT36" s="48" t="str">
        <f t="shared" si="37"/>
        <v/>
      </c>
      <c r="AU36" s="48" t="str">
        <f t="shared" si="37"/>
        <v/>
      </c>
      <c r="AV36" s="48" t="str">
        <f t="shared" si="37"/>
        <v/>
      </c>
    </row>
    <row r="37" ht="15.75" customHeight="1">
      <c r="A37" s="46">
        <v>36.0</v>
      </c>
      <c r="B37" s="27"/>
      <c r="C37" s="44"/>
      <c r="D37" s="47"/>
      <c r="E37" s="47"/>
      <c r="F37" s="26"/>
      <c r="G37" s="48" t="str">
        <f t="shared" ref="G37:AV37" si="38">IF(AND($F37="Yes",G$2=$E37),"♦","")</f>
        <v/>
      </c>
      <c r="H37" s="48" t="str">
        <f t="shared" si="38"/>
        <v/>
      </c>
      <c r="I37" s="48" t="str">
        <f t="shared" si="38"/>
        <v/>
      </c>
      <c r="J37" s="48" t="str">
        <f t="shared" si="38"/>
        <v/>
      </c>
      <c r="K37" s="48" t="str">
        <f t="shared" si="38"/>
        <v/>
      </c>
      <c r="L37" s="48" t="str">
        <f t="shared" si="38"/>
        <v/>
      </c>
      <c r="M37" s="48" t="str">
        <f t="shared" si="38"/>
        <v/>
      </c>
      <c r="N37" s="48" t="str">
        <f t="shared" si="38"/>
        <v/>
      </c>
      <c r="O37" s="48" t="str">
        <f t="shared" si="38"/>
        <v/>
      </c>
      <c r="P37" s="48" t="str">
        <f t="shared" si="38"/>
        <v/>
      </c>
      <c r="Q37" s="48" t="str">
        <f t="shared" si="38"/>
        <v/>
      </c>
      <c r="R37" s="48" t="str">
        <f t="shared" si="38"/>
        <v/>
      </c>
      <c r="S37" s="48" t="str">
        <f t="shared" si="38"/>
        <v/>
      </c>
      <c r="T37" s="48" t="str">
        <f t="shared" si="38"/>
        <v/>
      </c>
      <c r="U37" s="48" t="str">
        <f t="shared" si="38"/>
        <v/>
      </c>
      <c r="V37" s="48" t="str">
        <f t="shared" si="38"/>
        <v/>
      </c>
      <c r="W37" s="48" t="str">
        <f t="shared" si="38"/>
        <v/>
      </c>
      <c r="X37" s="48" t="str">
        <f t="shared" si="38"/>
        <v/>
      </c>
      <c r="Y37" s="48" t="str">
        <f t="shared" si="38"/>
        <v/>
      </c>
      <c r="Z37" s="48" t="str">
        <f t="shared" si="38"/>
        <v/>
      </c>
      <c r="AA37" s="48" t="str">
        <f t="shared" si="38"/>
        <v/>
      </c>
      <c r="AB37" s="48" t="str">
        <f t="shared" si="38"/>
        <v/>
      </c>
      <c r="AC37" s="48" t="str">
        <f t="shared" si="38"/>
        <v/>
      </c>
      <c r="AD37" s="48" t="str">
        <f t="shared" si="38"/>
        <v/>
      </c>
      <c r="AE37" s="48" t="str">
        <f t="shared" si="38"/>
        <v/>
      </c>
      <c r="AF37" s="48" t="str">
        <f t="shared" si="38"/>
        <v/>
      </c>
      <c r="AG37" s="48" t="str">
        <f t="shared" si="38"/>
        <v/>
      </c>
      <c r="AH37" s="48" t="str">
        <f t="shared" si="38"/>
        <v/>
      </c>
      <c r="AI37" s="48" t="str">
        <f t="shared" si="38"/>
        <v/>
      </c>
      <c r="AJ37" s="48" t="str">
        <f t="shared" si="38"/>
        <v/>
      </c>
      <c r="AK37" s="48" t="str">
        <f t="shared" si="38"/>
        <v/>
      </c>
      <c r="AL37" s="48" t="str">
        <f t="shared" si="38"/>
        <v/>
      </c>
      <c r="AM37" s="48" t="str">
        <f t="shared" si="38"/>
        <v/>
      </c>
      <c r="AN37" s="48" t="str">
        <f t="shared" si="38"/>
        <v/>
      </c>
      <c r="AO37" s="48" t="str">
        <f t="shared" si="38"/>
        <v/>
      </c>
      <c r="AP37" s="48" t="str">
        <f t="shared" si="38"/>
        <v/>
      </c>
      <c r="AQ37" s="48" t="str">
        <f t="shared" si="38"/>
        <v/>
      </c>
      <c r="AR37" s="48" t="str">
        <f t="shared" si="38"/>
        <v/>
      </c>
      <c r="AS37" s="48" t="str">
        <f t="shared" si="38"/>
        <v/>
      </c>
      <c r="AT37" s="48" t="str">
        <f t="shared" si="38"/>
        <v/>
      </c>
      <c r="AU37" s="48" t="str">
        <f t="shared" si="38"/>
        <v/>
      </c>
      <c r="AV37" s="48" t="str">
        <f t="shared" si="38"/>
        <v/>
      </c>
    </row>
    <row r="38" ht="15.75" customHeight="1">
      <c r="A38" s="46">
        <v>37.0</v>
      </c>
      <c r="B38" s="27"/>
      <c r="C38" s="44"/>
      <c r="D38" s="47"/>
      <c r="E38" s="47"/>
      <c r="F38" s="26"/>
      <c r="G38" s="48" t="str">
        <f t="shared" ref="G38:AV38" si="39">IF(AND($F38="Yes",G$2=$E38),"♦","")</f>
        <v/>
      </c>
      <c r="H38" s="48" t="str">
        <f t="shared" si="39"/>
        <v/>
      </c>
      <c r="I38" s="48" t="str">
        <f t="shared" si="39"/>
        <v/>
      </c>
      <c r="J38" s="48" t="str">
        <f t="shared" si="39"/>
        <v/>
      </c>
      <c r="K38" s="48" t="str">
        <f t="shared" si="39"/>
        <v/>
      </c>
      <c r="L38" s="48" t="str">
        <f t="shared" si="39"/>
        <v/>
      </c>
      <c r="M38" s="48" t="str">
        <f t="shared" si="39"/>
        <v/>
      </c>
      <c r="N38" s="48" t="str">
        <f t="shared" si="39"/>
        <v/>
      </c>
      <c r="O38" s="48" t="str">
        <f t="shared" si="39"/>
        <v/>
      </c>
      <c r="P38" s="48" t="str">
        <f t="shared" si="39"/>
        <v/>
      </c>
      <c r="Q38" s="48" t="str">
        <f t="shared" si="39"/>
        <v/>
      </c>
      <c r="R38" s="48" t="str">
        <f t="shared" si="39"/>
        <v/>
      </c>
      <c r="S38" s="48" t="str">
        <f t="shared" si="39"/>
        <v/>
      </c>
      <c r="T38" s="48" t="str">
        <f t="shared" si="39"/>
        <v/>
      </c>
      <c r="U38" s="48" t="str">
        <f t="shared" si="39"/>
        <v/>
      </c>
      <c r="V38" s="48" t="str">
        <f t="shared" si="39"/>
        <v/>
      </c>
      <c r="W38" s="48" t="str">
        <f t="shared" si="39"/>
        <v/>
      </c>
      <c r="X38" s="48" t="str">
        <f t="shared" si="39"/>
        <v/>
      </c>
      <c r="Y38" s="48" t="str">
        <f t="shared" si="39"/>
        <v/>
      </c>
      <c r="Z38" s="48" t="str">
        <f t="shared" si="39"/>
        <v/>
      </c>
      <c r="AA38" s="48" t="str">
        <f t="shared" si="39"/>
        <v/>
      </c>
      <c r="AB38" s="48" t="str">
        <f t="shared" si="39"/>
        <v/>
      </c>
      <c r="AC38" s="48" t="str">
        <f t="shared" si="39"/>
        <v/>
      </c>
      <c r="AD38" s="48" t="str">
        <f t="shared" si="39"/>
        <v/>
      </c>
      <c r="AE38" s="48" t="str">
        <f t="shared" si="39"/>
        <v/>
      </c>
      <c r="AF38" s="48" t="str">
        <f t="shared" si="39"/>
        <v/>
      </c>
      <c r="AG38" s="48" t="str">
        <f t="shared" si="39"/>
        <v/>
      </c>
      <c r="AH38" s="48" t="str">
        <f t="shared" si="39"/>
        <v/>
      </c>
      <c r="AI38" s="48" t="str">
        <f t="shared" si="39"/>
        <v/>
      </c>
      <c r="AJ38" s="48" t="str">
        <f t="shared" si="39"/>
        <v/>
      </c>
      <c r="AK38" s="48" t="str">
        <f t="shared" si="39"/>
        <v/>
      </c>
      <c r="AL38" s="48" t="str">
        <f t="shared" si="39"/>
        <v/>
      </c>
      <c r="AM38" s="48" t="str">
        <f t="shared" si="39"/>
        <v/>
      </c>
      <c r="AN38" s="48" t="str">
        <f t="shared" si="39"/>
        <v/>
      </c>
      <c r="AO38" s="48" t="str">
        <f t="shared" si="39"/>
        <v/>
      </c>
      <c r="AP38" s="48" t="str">
        <f t="shared" si="39"/>
        <v/>
      </c>
      <c r="AQ38" s="48" t="str">
        <f t="shared" si="39"/>
        <v/>
      </c>
      <c r="AR38" s="48" t="str">
        <f t="shared" si="39"/>
        <v/>
      </c>
      <c r="AS38" s="48" t="str">
        <f t="shared" si="39"/>
        <v/>
      </c>
      <c r="AT38" s="48" t="str">
        <f t="shared" si="39"/>
        <v/>
      </c>
      <c r="AU38" s="48" t="str">
        <f t="shared" si="39"/>
        <v/>
      </c>
      <c r="AV38" s="48" t="str">
        <f t="shared" si="39"/>
        <v/>
      </c>
    </row>
    <row r="39" ht="15.75" customHeight="1">
      <c r="A39" s="46">
        <v>38.0</v>
      </c>
      <c r="B39" s="27"/>
      <c r="C39" s="44"/>
      <c r="D39" s="47"/>
      <c r="E39" s="47"/>
      <c r="F39" s="26"/>
      <c r="G39" s="48" t="str">
        <f t="shared" ref="G39:AV39" si="40">IF(AND($F39="Yes",G$2=$E39),"♦","")</f>
        <v/>
      </c>
      <c r="H39" s="48" t="str">
        <f t="shared" si="40"/>
        <v/>
      </c>
      <c r="I39" s="48" t="str">
        <f t="shared" si="40"/>
        <v/>
      </c>
      <c r="J39" s="48" t="str">
        <f t="shared" si="40"/>
        <v/>
      </c>
      <c r="K39" s="48" t="str">
        <f t="shared" si="40"/>
        <v/>
      </c>
      <c r="L39" s="48" t="str">
        <f t="shared" si="40"/>
        <v/>
      </c>
      <c r="M39" s="48" t="str">
        <f t="shared" si="40"/>
        <v/>
      </c>
      <c r="N39" s="48" t="str">
        <f t="shared" si="40"/>
        <v/>
      </c>
      <c r="O39" s="48" t="str">
        <f t="shared" si="40"/>
        <v/>
      </c>
      <c r="P39" s="48" t="str">
        <f t="shared" si="40"/>
        <v/>
      </c>
      <c r="Q39" s="48" t="str">
        <f t="shared" si="40"/>
        <v/>
      </c>
      <c r="R39" s="48" t="str">
        <f t="shared" si="40"/>
        <v/>
      </c>
      <c r="S39" s="48" t="str">
        <f t="shared" si="40"/>
        <v/>
      </c>
      <c r="T39" s="48" t="str">
        <f t="shared" si="40"/>
        <v/>
      </c>
      <c r="U39" s="48" t="str">
        <f t="shared" si="40"/>
        <v/>
      </c>
      <c r="V39" s="48" t="str">
        <f t="shared" si="40"/>
        <v/>
      </c>
      <c r="W39" s="48" t="str">
        <f t="shared" si="40"/>
        <v/>
      </c>
      <c r="X39" s="48" t="str">
        <f t="shared" si="40"/>
        <v/>
      </c>
      <c r="Y39" s="48" t="str">
        <f t="shared" si="40"/>
        <v/>
      </c>
      <c r="Z39" s="48" t="str">
        <f t="shared" si="40"/>
        <v/>
      </c>
      <c r="AA39" s="48" t="str">
        <f t="shared" si="40"/>
        <v/>
      </c>
      <c r="AB39" s="48" t="str">
        <f t="shared" si="40"/>
        <v/>
      </c>
      <c r="AC39" s="48" t="str">
        <f t="shared" si="40"/>
        <v/>
      </c>
      <c r="AD39" s="48" t="str">
        <f t="shared" si="40"/>
        <v/>
      </c>
      <c r="AE39" s="48" t="str">
        <f t="shared" si="40"/>
        <v/>
      </c>
      <c r="AF39" s="48" t="str">
        <f t="shared" si="40"/>
        <v/>
      </c>
      <c r="AG39" s="48" t="str">
        <f t="shared" si="40"/>
        <v/>
      </c>
      <c r="AH39" s="48" t="str">
        <f t="shared" si="40"/>
        <v/>
      </c>
      <c r="AI39" s="48" t="str">
        <f t="shared" si="40"/>
        <v/>
      </c>
      <c r="AJ39" s="48" t="str">
        <f t="shared" si="40"/>
        <v/>
      </c>
      <c r="AK39" s="48" t="str">
        <f t="shared" si="40"/>
        <v/>
      </c>
      <c r="AL39" s="48" t="str">
        <f t="shared" si="40"/>
        <v/>
      </c>
      <c r="AM39" s="48" t="str">
        <f t="shared" si="40"/>
        <v/>
      </c>
      <c r="AN39" s="48" t="str">
        <f t="shared" si="40"/>
        <v/>
      </c>
      <c r="AO39" s="48" t="str">
        <f t="shared" si="40"/>
        <v/>
      </c>
      <c r="AP39" s="48" t="str">
        <f t="shared" si="40"/>
        <v/>
      </c>
      <c r="AQ39" s="48" t="str">
        <f t="shared" si="40"/>
        <v/>
      </c>
      <c r="AR39" s="48" t="str">
        <f t="shared" si="40"/>
        <v/>
      </c>
      <c r="AS39" s="48" t="str">
        <f t="shared" si="40"/>
        <v/>
      </c>
      <c r="AT39" s="48" t="str">
        <f t="shared" si="40"/>
        <v/>
      </c>
      <c r="AU39" s="48" t="str">
        <f t="shared" si="40"/>
        <v/>
      </c>
      <c r="AV39" s="48" t="str">
        <f t="shared" si="40"/>
        <v/>
      </c>
    </row>
    <row r="40" ht="15.75" customHeight="1">
      <c r="A40" s="46">
        <v>39.0</v>
      </c>
      <c r="B40" s="27"/>
      <c r="C40" s="44"/>
      <c r="D40" s="47"/>
      <c r="E40" s="47"/>
      <c r="F40" s="26"/>
      <c r="G40" s="48" t="str">
        <f t="shared" ref="G40:AV40" si="41">IF(AND($F40="Yes",G$2=$E40),"♦","")</f>
        <v/>
      </c>
      <c r="H40" s="48" t="str">
        <f t="shared" si="41"/>
        <v/>
      </c>
      <c r="I40" s="48" t="str">
        <f t="shared" si="41"/>
        <v/>
      </c>
      <c r="J40" s="48" t="str">
        <f t="shared" si="41"/>
        <v/>
      </c>
      <c r="K40" s="48" t="str">
        <f t="shared" si="41"/>
        <v/>
      </c>
      <c r="L40" s="48" t="str">
        <f t="shared" si="41"/>
        <v/>
      </c>
      <c r="M40" s="48" t="str">
        <f t="shared" si="41"/>
        <v/>
      </c>
      <c r="N40" s="48" t="str">
        <f t="shared" si="41"/>
        <v/>
      </c>
      <c r="O40" s="48" t="str">
        <f t="shared" si="41"/>
        <v/>
      </c>
      <c r="P40" s="48" t="str">
        <f t="shared" si="41"/>
        <v/>
      </c>
      <c r="Q40" s="48" t="str">
        <f t="shared" si="41"/>
        <v/>
      </c>
      <c r="R40" s="48" t="str">
        <f t="shared" si="41"/>
        <v/>
      </c>
      <c r="S40" s="48" t="str">
        <f t="shared" si="41"/>
        <v/>
      </c>
      <c r="T40" s="48" t="str">
        <f t="shared" si="41"/>
        <v/>
      </c>
      <c r="U40" s="48" t="str">
        <f t="shared" si="41"/>
        <v/>
      </c>
      <c r="V40" s="48" t="str">
        <f t="shared" si="41"/>
        <v/>
      </c>
      <c r="W40" s="48" t="str">
        <f t="shared" si="41"/>
        <v/>
      </c>
      <c r="X40" s="48" t="str">
        <f t="shared" si="41"/>
        <v/>
      </c>
      <c r="Y40" s="48" t="str">
        <f t="shared" si="41"/>
        <v/>
      </c>
      <c r="Z40" s="48" t="str">
        <f t="shared" si="41"/>
        <v/>
      </c>
      <c r="AA40" s="48" t="str">
        <f t="shared" si="41"/>
        <v/>
      </c>
      <c r="AB40" s="48" t="str">
        <f t="shared" si="41"/>
        <v/>
      </c>
      <c r="AC40" s="48" t="str">
        <f t="shared" si="41"/>
        <v/>
      </c>
      <c r="AD40" s="48" t="str">
        <f t="shared" si="41"/>
        <v/>
      </c>
      <c r="AE40" s="48" t="str">
        <f t="shared" si="41"/>
        <v/>
      </c>
      <c r="AF40" s="48" t="str">
        <f t="shared" si="41"/>
        <v/>
      </c>
      <c r="AG40" s="48" t="str">
        <f t="shared" si="41"/>
        <v/>
      </c>
      <c r="AH40" s="48" t="str">
        <f t="shared" si="41"/>
        <v/>
      </c>
      <c r="AI40" s="48" t="str">
        <f t="shared" si="41"/>
        <v/>
      </c>
      <c r="AJ40" s="48" t="str">
        <f t="shared" si="41"/>
        <v/>
      </c>
      <c r="AK40" s="48" t="str">
        <f t="shared" si="41"/>
        <v/>
      </c>
      <c r="AL40" s="48" t="str">
        <f t="shared" si="41"/>
        <v/>
      </c>
      <c r="AM40" s="48" t="str">
        <f t="shared" si="41"/>
        <v/>
      </c>
      <c r="AN40" s="48" t="str">
        <f t="shared" si="41"/>
        <v/>
      </c>
      <c r="AO40" s="48" t="str">
        <f t="shared" si="41"/>
        <v/>
      </c>
      <c r="AP40" s="48" t="str">
        <f t="shared" si="41"/>
        <v/>
      </c>
      <c r="AQ40" s="48" t="str">
        <f t="shared" si="41"/>
        <v/>
      </c>
      <c r="AR40" s="48" t="str">
        <f t="shared" si="41"/>
        <v/>
      </c>
      <c r="AS40" s="48" t="str">
        <f t="shared" si="41"/>
        <v/>
      </c>
      <c r="AT40" s="48" t="str">
        <f t="shared" si="41"/>
        <v/>
      </c>
      <c r="AU40" s="48" t="str">
        <f t="shared" si="41"/>
        <v/>
      </c>
      <c r="AV40" s="48" t="str">
        <f t="shared" si="41"/>
        <v/>
      </c>
    </row>
    <row r="41" ht="15.75" customHeight="1">
      <c r="A41" s="46">
        <v>40.0</v>
      </c>
      <c r="B41" s="27"/>
      <c r="C41" s="44"/>
      <c r="D41" s="47"/>
      <c r="E41" s="47"/>
      <c r="F41" s="26"/>
      <c r="G41" s="48" t="str">
        <f t="shared" ref="G41:AV41" si="42">IF(AND($F41="Yes",G$2=$E41),"♦","")</f>
        <v/>
      </c>
      <c r="H41" s="48" t="str">
        <f t="shared" si="42"/>
        <v/>
      </c>
      <c r="I41" s="48" t="str">
        <f t="shared" si="42"/>
        <v/>
      </c>
      <c r="J41" s="48" t="str">
        <f t="shared" si="42"/>
        <v/>
      </c>
      <c r="K41" s="48" t="str">
        <f t="shared" si="42"/>
        <v/>
      </c>
      <c r="L41" s="48" t="str">
        <f t="shared" si="42"/>
        <v/>
      </c>
      <c r="M41" s="48" t="str">
        <f t="shared" si="42"/>
        <v/>
      </c>
      <c r="N41" s="48" t="str">
        <f t="shared" si="42"/>
        <v/>
      </c>
      <c r="O41" s="48" t="str">
        <f t="shared" si="42"/>
        <v/>
      </c>
      <c r="P41" s="48" t="str">
        <f t="shared" si="42"/>
        <v/>
      </c>
      <c r="Q41" s="48" t="str">
        <f t="shared" si="42"/>
        <v/>
      </c>
      <c r="R41" s="48" t="str">
        <f t="shared" si="42"/>
        <v/>
      </c>
      <c r="S41" s="48" t="str">
        <f t="shared" si="42"/>
        <v/>
      </c>
      <c r="T41" s="48" t="str">
        <f t="shared" si="42"/>
        <v/>
      </c>
      <c r="U41" s="48" t="str">
        <f t="shared" si="42"/>
        <v/>
      </c>
      <c r="V41" s="48" t="str">
        <f t="shared" si="42"/>
        <v/>
      </c>
      <c r="W41" s="48" t="str">
        <f t="shared" si="42"/>
        <v/>
      </c>
      <c r="X41" s="48" t="str">
        <f t="shared" si="42"/>
        <v/>
      </c>
      <c r="Y41" s="48" t="str">
        <f t="shared" si="42"/>
        <v/>
      </c>
      <c r="Z41" s="48" t="str">
        <f t="shared" si="42"/>
        <v/>
      </c>
      <c r="AA41" s="48" t="str">
        <f t="shared" si="42"/>
        <v/>
      </c>
      <c r="AB41" s="48" t="str">
        <f t="shared" si="42"/>
        <v/>
      </c>
      <c r="AC41" s="48" t="str">
        <f t="shared" si="42"/>
        <v/>
      </c>
      <c r="AD41" s="48" t="str">
        <f t="shared" si="42"/>
        <v/>
      </c>
      <c r="AE41" s="48" t="str">
        <f t="shared" si="42"/>
        <v/>
      </c>
      <c r="AF41" s="48" t="str">
        <f t="shared" si="42"/>
        <v/>
      </c>
      <c r="AG41" s="48" t="str">
        <f t="shared" si="42"/>
        <v/>
      </c>
      <c r="AH41" s="48" t="str">
        <f t="shared" si="42"/>
        <v/>
      </c>
      <c r="AI41" s="48" t="str">
        <f t="shared" si="42"/>
        <v/>
      </c>
      <c r="AJ41" s="48" t="str">
        <f t="shared" si="42"/>
        <v/>
      </c>
      <c r="AK41" s="48" t="str">
        <f t="shared" si="42"/>
        <v/>
      </c>
      <c r="AL41" s="48" t="str">
        <f t="shared" si="42"/>
        <v/>
      </c>
      <c r="AM41" s="48" t="str">
        <f t="shared" si="42"/>
        <v/>
      </c>
      <c r="AN41" s="48" t="str">
        <f t="shared" si="42"/>
        <v/>
      </c>
      <c r="AO41" s="48" t="str">
        <f t="shared" si="42"/>
        <v/>
      </c>
      <c r="AP41" s="48" t="str">
        <f t="shared" si="42"/>
        <v/>
      </c>
      <c r="AQ41" s="48" t="str">
        <f t="shared" si="42"/>
        <v/>
      </c>
      <c r="AR41" s="48" t="str">
        <f t="shared" si="42"/>
        <v/>
      </c>
      <c r="AS41" s="48" t="str">
        <f t="shared" si="42"/>
        <v/>
      </c>
      <c r="AT41" s="48" t="str">
        <f t="shared" si="42"/>
        <v/>
      </c>
      <c r="AU41" s="48" t="str">
        <f t="shared" si="42"/>
        <v/>
      </c>
      <c r="AV41" s="48" t="str">
        <f t="shared" si="42"/>
        <v/>
      </c>
    </row>
    <row r="42" ht="15.75" customHeight="1">
      <c r="A42" s="46">
        <v>41.0</v>
      </c>
      <c r="B42" s="27"/>
      <c r="C42" s="44"/>
      <c r="D42" s="47"/>
      <c r="E42" s="47"/>
      <c r="F42" s="26"/>
      <c r="G42" s="48" t="str">
        <f t="shared" ref="G42:AV42" si="43">IF(AND($F42="Yes",G$2=$E42),"♦","")</f>
        <v/>
      </c>
      <c r="H42" s="48" t="str">
        <f t="shared" si="43"/>
        <v/>
      </c>
      <c r="I42" s="48" t="str">
        <f t="shared" si="43"/>
        <v/>
      </c>
      <c r="J42" s="48" t="str">
        <f t="shared" si="43"/>
        <v/>
      </c>
      <c r="K42" s="48" t="str">
        <f t="shared" si="43"/>
        <v/>
      </c>
      <c r="L42" s="48" t="str">
        <f t="shared" si="43"/>
        <v/>
      </c>
      <c r="M42" s="48" t="str">
        <f t="shared" si="43"/>
        <v/>
      </c>
      <c r="N42" s="48" t="str">
        <f t="shared" si="43"/>
        <v/>
      </c>
      <c r="O42" s="48" t="str">
        <f t="shared" si="43"/>
        <v/>
      </c>
      <c r="P42" s="48" t="str">
        <f t="shared" si="43"/>
        <v/>
      </c>
      <c r="Q42" s="48" t="str">
        <f t="shared" si="43"/>
        <v/>
      </c>
      <c r="R42" s="48" t="str">
        <f t="shared" si="43"/>
        <v/>
      </c>
      <c r="S42" s="48" t="str">
        <f t="shared" si="43"/>
        <v/>
      </c>
      <c r="T42" s="48" t="str">
        <f t="shared" si="43"/>
        <v/>
      </c>
      <c r="U42" s="48" t="str">
        <f t="shared" si="43"/>
        <v/>
      </c>
      <c r="V42" s="48" t="str">
        <f t="shared" si="43"/>
        <v/>
      </c>
      <c r="W42" s="48" t="str">
        <f t="shared" si="43"/>
        <v/>
      </c>
      <c r="X42" s="48" t="str">
        <f t="shared" si="43"/>
        <v/>
      </c>
      <c r="Y42" s="48" t="str">
        <f t="shared" si="43"/>
        <v/>
      </c>
      <c r="Z42" s="48" t="str">
        <f t="shared" si="43"/>
        <v/>
      </c>
      <c r="AA42" s="48" t="str">
        <f t="shared" si="43"/>
        <v/>
      </c>
      <c r="AB42" s="48" t="str">
        <f t="shared" si="43"/>
        <v/>
      </c>
      <c r="AC42" s="48" t="str">
        <f t="shared" si="43"/>
        <v/>
      </c>
      <c r="AD42" s="48" t="str">
        <f t="shared" si="43"/>
        <v/>
      </c>
      <c r="AE42" s="48" t="str">
        <f t="shared" si="43"/>
        <v/>
      </c>
      <c r="AF42" s="48" t="str">
        <f t="shared" si="43"/>
        <v/>
      </c>
      <c r="AG42" s="48" t="str">
        <f t="shared" si="43"/>
        <v/>
      </c>
      <c r="AH42" s="48" t="str">
        <f t="shared" si="43"/>
        <v/>
      </c>
      <c r="AI42" s="48" t="str">
        <f t="shared" si="43"/>
        <v/>
      </c>
      <c r="AJ42" s="48" t="str">
        <f t="shared" si="43"/>
        <v/>
      </c>
      <c r="AK42" s="48" t="str">
        <f t="shared" si="43"/>
        <v/>
      </c>
      <c r="AL42" s="48" t="str">
        <f t="shared" si="43"/>
        <v/>
      </c>
      <c r="AM42" s="48" t="str">
        <f t="shared" si="43"/>
        <v/>
      </c>
      <c r="AN42" s="48" t="str">
        <f t="shared" si="43"/>
        <v/>
      </c>
      <c r="AO42" s="48" t="str">
        <f t="shared" si="43"/>
        <v/>
      </c>
      <c r="AP42" s="48" t="str">
        <f t="shared" si="43"/>
        <v/>
      </c>
      <c r="AQ42" s="48" t="str">
        <f t="shared" si="43"/>
        <v/>
      </c>
      <c r="AR42" s="48" t="str">
        <f t="shared" si="43"/>
        <v/>
      </c>
      <c r="AS42" s="48" t="str">
        <f t="shared" si="43"/>
        <v/>
      </c>
      <c r="AT42" s="48" t="str">
        <f t="shared" si="43"/>
        <v/>
      </c>
      <c r="AU42" s="48" t="str">
        <f t="shared" si="43"/>
        <v/>
      </c>
      <c r="AV42" s="48" t="str">
        <f t="shared" si="43"/>
        <v/>
      </c>
    </row>
    <row r="43" ht="15.75" customHeight="1">
      <c r="A43" s="46">
        <v>42.0</v>
      </c>
      <c r="B43" s="27"/>
      <c r="C43" s="44"/>
      <c r="D43" s="47"/>
      <c r="E43" s="47"/>
      <c r="F43" s="26"/>
      <c r="G43" s="48" t="str">
        <f t="shared" ref="G43:AV43" si="44">IF(AND($F43="Yes",G$2=$E43),"♦","")</f>
        <v/>
      </c>
      <c r="H43" s="48" t="str">
        <f t="shared" si="44"/>
        <v/>
      </c>
      <c r="I43" s="48" t="str">
        <f t="shared" si="44"/>
        <v/>
      </c>
      <c r="J43" s="48" t="str">
        <f t="shared" si="44"/>
        <v/>
      </c>
      <c r="K43" s="48" t="str">
        <f t="shared" si="44"/>
        <v/>
      </c>
      <c r="L43" s="48" t="str">
        <f t="shared" si="44"/>
        <v/>
      </c>
      <c r="M43" s="48" t="str">
        <f t="shared" si="44"/>
        <v/>
      </c>
      <c r="N43" s="48" t="str">
        <f t="shared" si="44"/>
        <v/>
      </c>
      <c r="O43" s="48" t="str">
        <f t="shared" si="44"/>
        <v/>
      </c>
      <c r="P43" s="48" t="str">
        <f t="shared" si="44"/>
        <v/>
      </c>
      <c r="Q43" s="48" t="str">
        <f t="shared" si="44"/>
        <v/>
      </c>
      <c r="R43" s="48" t="str">
        <f t="shared" si="44"/>
        <v/>
      </c>
      <c r="S43" s="48" t="str">
        <f t="shared" si="44"/>
        <v/>
      </c>
      <c r="T43" s="48" t="str">
        <f t="shared" si="44"/>
        <v/>
      </c>
      <c r="U43" s="48" t="str">
        <f t="shared" si="44"/>
        <v/>
      </c>
      <c r="V43" s="48" t="str">
        <f t="shared" si="44"/>
        <v/>
      </c>
      <c r="W43" s="48" t="str">
        <f t="shared" si="44"/>
        <v/>
      </c>
      <c r="X43" s="48" t="str">
        <f t="shared" si="44"/>
        <v/>
      </c>
      <c r="Y43" s="48" t="str">
        <f t="shared" si="44"/>
        <v/>
      </c>
      <c r="Z43" s="48" t="str">
        <f t="shared" si="44"/>
        <v/>
      </c>
      <c r="AA43" s="48" t="str">
        <f t="shared" si="44"/>
        <v/>
      </c>
      <c r="AB43" s="48" t="str">
        <f t="shared" si="44"/>
        <v/>
      </c>
      <c r="AC43" s="48" t="str">
        <f t="shared" si="44"/>
        <v/>
      </c>
      <c r="AD43" s="48" t="str">
        <f t="shared" si="44"/>
        <v/>
      </c>
      <c r="AE43" s="48" t="str">
        <f t="shared" si="44"/>
        <v/>
      </c>
      <c r="AF43" s="48" t="str">
        <f t="shared" si="44"/>
        <v/>
      </c>
      <c r="AG43" s="48" t="str">
        <f t="shared" si="44"/>
        <v/>
      </c>
      <c r="AH43" s="48" t="str">
        <f t="shared" si="44"/>
        <v/>
      </c>
      <c r="AI43" s="48" t="str">
        <f t="shared" si="44"/>
        <v/>
      </c>
      <c r="AJ43" s="48" t="str">
        <f t="shared" si="44"/>
        <v/>
      </c>
      <c r="AK43" s="48" t="str">
        <f t="shared" si="44"/>
        <v/>
      </c>
      <c r="AL43" s="48" t="str">
        <f t="shared" si="44"/>
        <v/>
      </c>
      <c r="AM43" s="48" t="str">
        <f t="shared" si="44"/>
        <v/>
      </c>
      <c r="AN43" s="48" t="str">
        <f t="shared" si="44"/>
        <v/>
      </c>
      <c r="AO43" s="48" t="str">
        <f t="shared" si="44"/>
        <v/>
      </c>
      <c r="AP43" s="48" t="str">
        <f t="shared" si="44"/>
        <v/>
      </c>
      <c r="AQ43" s="48" t="str">
        <f t="shared" si="44"/>
        <v/>
      </c>
      <c r="AR43" s="48" t="str">
        <f t="shared" si="44"/>
        <v/>
      </c>
      <c r="AS43" s="48" t="str">
        <f t="shared" si="44"/>
        <v/>
      </c>
      <c r="AT43" s="48" t="str">
        <f t="shared" si="44"/>
        <v/>
      </c>
      <c r="AU43" s="48" t="str">
        <f t="shared" si="44"/>
        <v/>
      </c>
      <c r="AV43" s="48" t="str">
        <f t="shared" si="44"/>
        <v/>
      </c>
    </row>
    <row r="44" ht="15.75" customHeight="1">
      <c r="A44" s="46">
        <v>43.0</v>
      </c>
      <c r="B44" s="27"/>
      <c r="C44" s="44"/>
      <c r="D44" s="47"/>
      <c r="E44" s="47"/>
      <c r="F44" s="26"/>
      <c r="G44" s="48" t="str">
        <f t="shared" ref="G44:AV44" si="45">IF(AND($F44="Yes",G$2=$E44),"♦","")</f>
        <v/>
      </c>
      <c r="H44" s="48" t="str">
        <f t="shared" si="45"/>
        <v/>
      </c>
      <c r="I44" s="48" t="str">
        <f t="shared" si="45"/>
        <v/>
      </c>
      <c r="J44" s="48" t="str">
        <f t="shared" si="45"/>
        <v/>
      </c>
      <c r="K44" s="48" t="str">
        <f t="shared" si="45"/>
        <v/>
      </c>
      <c r="L44" s="48" t="str">
        <f t="shared" si="45"/>
        <v/>
      </c>
      <c r="M44" s="48" t="str">
        <f t="shared" si="45"/>
        <v/>
      </c>
      <c r="N44" s="48" t="str">
        <f t="shared" si="45"/>
        <v/>
      </c>
      <c r="O44" s="48" t="str">
        <f t="shared" si="45"/>
        <v/>
      </c>
      <c r="P44" s="48" t="str">
        <f t="shared" si="45"/>
        <v/>
      </c>
      <c r="Q44" s="48" t="str">
        <f t="shared" si="45"/>
        <v/>
      </c>
      <c r="R44" s="48" t="str">
        <f t="shared" si="45"/>
        <v/>
      </c>
      <c r="S44" s="48" t="str">
        <f t="shared" si="45"/>
        <v/>
      </c>
      <c r="T44" s="48" t="str">
        <f t="shared" si="45"/>
        <v/>
      </c>
      <c r="U44" s="48" t="str">
        <f t="shared" si="45"/>
        <v/>
      </c>
      <c r="V44" s="48" t="str">
        <f t="shared" si="45"/>
        <v/>
      </c>
      <c r="W44" s="48" t="str">
        <f t="shared" si="45"/>
        <v/>
      </c>
      <c r="X44" s="48" t="str">
        <f t="shared" si="45"/>
        <v/>
      </c>
      <c r="Y44" s="48" t="str">
        <f t="shared" si="45"/>
        <v/>
      </c>
      <c r="Z44" s="48" t="str">
        <f t="shared" si="45"/>
        <v/>
      </c>
      <c r="AA44" s="48" t="str">
        <f t="shared" si="45"/>
        <v/>
      </c>
      <c r="AB44" s="48" t="str">
        <f t="shared" si="45"/>
        <v/>
      </c>
      <c r="AC44" s="48" t="str">
        <f t="shared" si="45"/>
        <v/>
      </c>
      <c r="AD44" s="48" t="str">
        <f t="shared" si="45"/>
        <v/>
      </c>
      <c r="AE44" s="48" t="str">
        <f t="shared" si="45"/>
        <v/>
      </c>
      <c r="AF44" s="48" t="str">
        <f t="shared" si="45"/>
        <v/>
      </c>
      <c r="AG44" s="48" t="str">
        <f t="shared" si="45"/>
        <v/>
      </c>
      <c r="AH44" s="48" t="str">
        <f t="shared" si="45"/>
        <v/>
      </c>
      <c r="AI44" s="48" t="str">
        <f t="shared" si="45"/>
        <v/>
      </c>
      <c r="AJ44" s="48" t="str">
        <f t="shared" si="45"/>
        <v/>
      </c>
      <c r="AK44" s="48" t="str">
        <f t="shared" si="45"/>
        <v/>
      </c>
      <c r="AL44" s="48" t="str">
        <f t="shared" si="45"/>
        <v/>
      </c>
      <c r="AM44" s="48" t="str">
        <f t="shared" si="45"/>
        <v/>
      </c>
      <c r="AN44" s="48" t="str">
        <f t="shared" si="45"/>
        <v/>
      </c>
      <c r="AO44" s="48" t="str">
        <f t="shared" si="45"/>
        <v/>
      </c>
      <c r="AP44" s="48" t="str">
        <f t="shared" si="45"/>
        <v/>
      </c>
      <c r="AQ44" s="48" t="str">
        <f t="shared" si="45"/>
        <v/>
      </c>
      <c r="AR44" s="48" t="str">
        <f t="shared" si="45"/>
        <v/>
      </c>
      <c r="AS44" s="48" t="str">
        <f t="shared" si="45"/>
        <v/>
      </c>
      <c r="AT44" s="48" t="str">
        <f t="shared" si="45"/>
        <v/>
      </c>
      <c r="AU44" s="48" t="str">
        <f t="shared" si="45"/>
        <v/>
      </c>
      <c r="AV44" s="48" t="str">
        <f t="shared" si="45"/>
        <v/>
      </c>
    </row>
    <row r="45" ht="15.75" customHeight="1">
      <c r="A45" s="46">
        <v>44.0</v>
      </c>
      <c r="B45" s="27"/>
      <c r="C45" s="44"/>
      <c r="D45" s="47"/>
      <c r="E45" s="47"/>
      <c r="F45" s="26"/>
      <c r="G45" s="48" t="str">
        <f t="shared" ref="G45:AV45" si="46">IF(AND($F45="Yes",G$2=$E45),"♦","")</f>
        <v/>
      </c>
      <c r="H45" s="48" t="str">
        <f t="shared" si="46"/>
        <v/>
      </c>
      <c r="I45" s="48" t="str">
        <f t="shared" si="46"/>
        <v/>
      </c>
      <c r="J45" s="48" t="str">
        <f t="shared" si="46"/>
        <v/>
      </c>
      <c r="K45" s="48" t="str">
        <f t="shared" si="46"/>
        <v/>
      </c>
      <c r="L45" s="48" t="str">
        <f t="shared" si="46"/>
        <v/>
      </c>
      <c r="M45" s="48" t="str">
        <f t="shared" si="46"/>
        <v/>
      </c>
      <c r="N45" s="48" t="str">
        <f t="shared" si="46"/>
        <v/>
      </c>
      <c r="O45" s="48" t="str">
        <f t="shared" si="46"/>
        <v/>
      </c>
      <c r="P45" s="48" t="str">
        <f t="shared" si="46"/>
        <v/>
      </c>
      <c r="Q45" s="48" t="str">
        <f t="shared" si="46"/>
        <v/>
      </c>
      <c r="R45" s="48" t="str">
        <f t="shared" si="46"/>
        <v/>
      </c>
      <c r="S45" s="48" t="str">
        <f t="shared" si="46"/>
        <v/>
      </c>
      <c r="T45" s="48" t="str">
        <f t="shared" si="46"/>
        <v/>
      </c>
      <c r="U45" s="48" t="str">
        <f t="shared" si="46"/>
        <v/>
      </c>
      <c r="V45" s="48" t="str">
        <f t="shared" si="46"/>
        <v/>
      </c>
      <c r="W45" s="48" t="str">
        <f t="shared" si="46"/>
        <v/>
      </c>
      <c r="X45" s="48" t="str">
        <f t="shared" si="46"/>
        <v/>
      </c>
      <c r="Y45" s="48" t="str">
        <f t="shared" si="46"/>
        <v/>
      </c>
      <c r="Z45" s="48" t="str">
        <f t="shared" si="46"/>
        <v/>
      </c>
      <c r="AA45" s="48" t="str">
        <f t="shared" si="46"/>
        <v/>
      </c>
      <c r="AB45" s="48" t="str">
        <f t="shared" si="46"/>
        <v/>
      </c>
      <c r="AC45" s="48" t="str">
        <f t="shared" si="46"/>
        <v/>
      </c>
      <c r="AD45" s="48" t="str">
        <f t="shared" si="46"/>
        <v/>
      </c>
      <c r="AE45" s="48" t="str">
        <f t="shared" si="46"/>
        <v/>
      </c>
      <c r="AF45" s="48" t="str">
        <f t="shared" si="46"/>
        <v/>
      </c>
      <c r="AG45" s="48" t="str">
        <f t="shared" si="46"/>
        <v/>
      </c>
      <c r="AH45" s="48" t="str">
        <f t="shared" si="46"/>
        <v/>
      </c>
      <c r="AI45" s="48" t="str">
        <f t="shared" si="46"/>
        <v/>
      </c>
      <c r="AJ45" s="48" t="str">
        <f t="shared" si="46"/>
        <v/>
      </c>
      <c r="AK45" s="48" t="str">
        <f t="shared" si="46"/>
        <v/>
      </c>
      <c r="AL45" s="48" t="str">
        <f t="shared" si="46"/>
        <v/>
      </c>
      <c r="AM45" s="48" t="str">
        <f t="shared" si="46"/>
        <v/>
      </c>
      <c r="AN45" s="48" t="str">
        <f t="shared" si="46"/>
        <v/>
      </c>
      <c r="AO45" s="48" t="str">
        <f t="shared" si="46"/>
        <v/>
      </c>
      <c r="AP45" s="48" t="str">
        <f t="shared" si="46"/>
        <v/>
      </c>
      <c r="AQ45" s="48" t="str">
        <f t="shared" si="46"/>
        <v/>
      </c>
      <c r="AR45" s="48" t="str">
        <f t="shared" si="46"/>
        <v/>
      </c>
      <c r="AS45" s="48" t="str">
        <f t="shared" si="46"/>
        <v/>
      </c>
      <c r="AT45" s="48" t="str">
        <f t="shared" si="46"/>
        <v/>
      </c>
      <c r="AU45" s="48" t="str">
        <f t="shared" si="46"/>
        <v/>
      </c>
      <c r="AV45" s="48" t="str">
        <f t="shared" si="46"/>
        <v/>
      </c>
    </row>
    <row r="46" ht="15.75" customHeight="1">
      <c r="A46" s="46">
        <v>45.0</v>
      </c>
      <c r="B46" s="27"/>
      <c r="C46" s="44"/>
      <c r="D46" s="47"/>
      <c r="E46" s="47"/>
      <c r="F46" s="26"/>
      <c r="G46" s="48" t="str">
        <f t="shared" ref="G46:AV46" si="47">IF(AND($F46="Yes",G$2=$E46),"♦","")</f>
        <v/>
      </c>
      <c r="H46" s="48" t="str">
        <f t="shared" si="47"/>
        <v/>
      </c>
      <c r="I46" s="48" t="str">
        <f t="shared" si="47"/>
        <v/>
      </c>
      <c r="J46" s="48" t="str">
        <f t="shared" si="47"/>
        <v/>
      </c>
      <c r="K46" s="48" t="str">
        <f t="shared" si="47"/>
        <v/>
      </c>
      <c r="L46" s="48" t="str">
        <f t="shared" si="47"/>
        <v/>
      </c>
      <c r="M46" s="48" t="str">
        <f t="shared" si="47"/>
        <v/>
      </c>
      <c r="N46" s="48" t="str">
        <f t="shared" si="47"/>
        <v/>
      </c>
      <c r="O46" s="48" t="str">
        <f t="shared" si="47"/>
        <v/>
      </c>
      <c r="P46" s="48" t="str">
        <f t="shared" si="47"/>
        <v/>
      </c>
      <c r="Q46" s="48" t="str">
        <f t="shared" si="47"/>
        <v/>
      </c>
      <c r="R46" s="48" t="str">
        <f t="shared" si="47"/>
        <v/>
      </c>
      <c r="S46" s="48" t="str">
        <f t="shared" si="47"/>
        <v/>
      </c>
      <c r="T46" s="48" t="str">
        <f t="shared" si="47"/>
        <v/>
      </c>
      <c r="U46" s="48" t="str">
        <f t="shared" si="47"/>
        <v/>
      </c>
      <c r="V46" s="48" t="str">
        <f t="shared" si="47"/>
        <v/>
      </c>
      <c r="W46" s="48" t="str">
        <f t="shared" si="47"/>
        <v/>
      </c>
      <c r="X46" s="48" t="str">
        <f t="shared" si="47"/>
        <v/>
      </c>
      <c r="Y46" s="48" t="str">
        <f t="shared" si="47"/>
        <v/>
      </c>
      <c r="Z46" s="48" t="str">
        <f t="shared" si="47"/>
        <v/>
      </c>
      <c r="AA46" s="48" t="str">
        <f t="shared" si="47"/>
        <v/>
      </c>
      <c r="AB46" s="48" t="str">
        <f t="shared" si="47"/>
        <v/>
      </c>
      <c r="AC46" s="48" t="str">
        <f t="shared" si="47"/>
        <v/>
      </c>
      <c r="AD46" s="48" t="str">
        <f t="shared" si="47"/>
        <v/>
      </c>
      <c r="AE46" s="48" t="str">
        <f t="shared" si="47"/>
        <v/>
      </c>
      <c r="AF46" s="48" t="str">
        <f t="shared" si="47"/>
        <v/>
      </c>
      <c r="AG46" s="48" t="str">
        <f t="shared" si="47"/>
        <v/>
      </c>
      <c r="AH46" s="48" t="str">
        <f t="shared" si="47"/>
        <v/>
      </c>
      <c r="AI46" s="48" t="str">
        <f t="shared" si="47"/>
        <v/>
      </c>
      <c r="AJ46" s="48" t="str">
        <f t="shared" si="47"/>
        <v/>
      </c>
      <c r="AK46" s="48" t="str">
        <f t="shared" si="47"/>
        <v/>
      </c>
      <c r="AL46" s="48" t="str">
        <f t="shared" si="47"/>
        <v/>
      </c>
      <c r="AM46" s="48" t="str">
        <f t="shared" si="47"/>
        <v/>
      </c>
      <c r="AN46" s="48" t="str">
        <f t="shared" si="47"/>
        <v/>
      </c>
      <c r="AO46" s="48" t="str">
        <f t="shared" si="47"/>
        <v/>
      </c>
      <c r="AP46" s="48" t="str">
        <f t="shared" si="47"/>
        <v/>
      </c>
      <c r="AQ46" s="48" t="str">
        <f t="shared" si="47"/>
        <v/>
      </c>
      <c r="AR46" s="48" t="str">
        <f t="shared" si="47"/>
        <v/>
      </c>
      <c r="AS46" s="48" t="str">
        <f t="shared" si="47"/>
        <v/>
      </c>
      <c r="AT46" s="48" t="str">
        <f t="shared" si="47"/>
        <v/>
      </c>
      <c r="AU46" s="48" t="str">
        <f t="shared" si="47"/>
        <v/>
      </c>
      <c r="AV46" s="48" t="str">
        <f t="shared" si="47"/>
        <v/>
      </c>
    </row>
    <row r="47" ht="15.75" customHeight="1">
      <c r="A47" s="46">
        <v>46.0</v>
      </c>
      <c r="B47" s="27"/>
      <c r="C47" s="44"/>
      <c r="D47" s="47"/>
      <c r="E47" s="47"/>
      <c r="F47" s="26"/>
      <c r="G47" s="48" t="str">
        <f t="shared" ref="G47:AV47" si="48">IF(AND($F47="Yes",G$2=$E47),"♦","")</f>
        <v/>
      </c>
      <c r="H47" s="48" t="str">
        <f t="shared" si="48"/>
        <v/>
      </c>
      <c r="I47" s="48" t="str">
        <f t="shared" si="48"/>
        <v/>
      </c>
      <c r="J47" s="48" t="str">
        <f t="shared" si="48"/>
        <v/>
      </c>
      <c r="K47" s="48" t="str">
        <f t="shared" si="48"/>
        <v/>
      </c>
      <c r="L47" s="48" t="str">
        <f t="shared" si="48"/>
        <v/>
      </c>
      <c r="M47" s="48" t="str">
        <f t="shared" si="48"/>
        <v/>
      </c>
      <c r="N47" s="48" t="str">
        <f t="shared" si="48"/>
        <v/>
      </c>
      <c r="O47" s="48" t="str">
        <f t="shared" si="48"/>
        <v/>
      </c>
      <c r="P47" s="48" t="str">
        <f t="shared" si="48"/>
        <v/>
      </c>
      <c r="Q47" s="48" t="str">
        <f t="shared" si="48"/>
        <v/>
      </c>
      <c r="R47" s="48" t="str">
        <f t="shared" si="48"/>
        <v/>
      </c>
      <c r="S47" s="48" t="str">
        <f t="shared" si="48"/>
        <v/>
      </c>
      <c r="T47" s="48" t="str">
        <f t="shared" si="48"/>
        <v/>
      </c>
      <c r="U47" s="48" t="str">
        <f t="shared" si="48"/>
        <v/>
      </c>
      <c r="V47" s="48" t="str">
        <f t="shared" si="48"/>
        <v/>
      </c>
      <c r="W47" s="48" t="str">
        <f t="shared" si="48"/>
        <v/>
      </c>
      <c r="X47" s="48" t="str">
        <f t="shared" si="48"/>
        <v/>
      </c>
      <c r="Y47" s="48" t="str">
        <f t="shared" si="48"/>
        <v/>
      </c>
      <c r="Z47" s="48" t="str">
        <f t="shared" si="48"/>
        <v/>
      </c>
      <c r="AA47" s="48" t="str">
        <f t="shared" si="48"/>
        <v/>
      </c>
      <c r="AB47" s="48" t="str">
        <f t="shared" si="48"/>
        <v/>
      </c>
      <c r="AC47" s="48" t="str">
        <f t="shared" si="48"/>
        <v/>
      </c>
      <c r="AD47" s="48" t="str">
        <f t="shared" si="48"/>
        <v/>
      </c>
      <c r="AE47" s="48" t="str">
        <f t="shared" si="48"/>
        <v/>
      </c>
      <c r="AF47" s="48" t="str">
        <f t="shared" si="48"/>
        <v/>
      </c>
      <c r="AG47" s="48" t="str">
        <f t="shared" si="48"/>
        <v/>
      </c>
      <c r="AH47" s="48" t="str">
        <f t="shared" si="48"/>
        <v/>
      </c>
      <c r="AI47" s="48" t="str">
        <f t="shared" si="48"/>
        <v/>
      </c>
      <c r="AJ47" s="48" t="str">
        <f t="shared" si="48"/>
        <v/>
      </c>
      <c r="AK47" s="48" t="str">
        <f t="shared" si="48"/>
        <v/>
      </c>
      <c r="AL47" s="48" t="str">
        <f t="shared" si="48"/>
        <v/>
      </c>
      <c r="AM47" s="48" t="str">
        <f t="shared" si="48"/>
        <v/>
      </c>
      <c r="AN47" s="48" t="str">
        <f t="shared" si="48"/>
        <v/>
      </c>
      <c r="AO47" s="48" t="str">
        <f t="shared" si="48"/>
        <v/>
      </c>
      <c r="AP47" s="48" t="str">
        <f t="shared" si="48"/>
        <v/>
      </c>
      <c r="AQ47" s="48" t="str">
        <f t="shared" si="48"/>
        <v/>
      </c>
      <c r="AR47" s="48" t="str">
        <f t="shared" si="48"/>
        <v/>
      </c>
      <c r="AS47" s="48" t="str">
        <f t="shared" si="48"/>
        <v/>
      </c>
      <c r="AT47" s="48" t="str">
        <f t="shared" si="48"/>
        <v/>
      </c>
      <c r="AU47" s="48" t="str">
        <f t="shared" si="48"/>
        <v/>
      </c>
      <c r="AV47" s="48" t="str">
        <f t="shared" si="48"/>
        <v/>
      </c>
    </row>
    <row r="48" ht="15.75" customHeight="1">
      <c r="A48" s="46">
        <v>47.0</v>
      </c>
      <c r="B48" s="27"/>
      <c r="C48" s="44"/>
      <c r="D48" s="47"/>
      <c r="E48" s="47"/>
      <c r="F48" s="26"/>
      <c r="G48" s="48" t="str">
        <f t="shared" ref="G48:AV48" si="49">IF(AND($F48="Yes",G$2=$E48),"♦","")</f>
        <v/>
      </c>
      <c r="H48" s="48" t="str">
        <f t="shared" si="49"/>
        <v/>
      </c>
      <c r="I48" s="48" t="str">
        <f t="shared" si="49"/>
        <v/>
      </c>
      <c r="J48" s="48" t="str">
        <f t="shared" si="49"/>
        <v/>
      </c>
      <c r="K48" s="48" t="str">
        <f t="shared" si="49"/>
        <v/>
      </c>
      <c r="L48" s="48" t="str">
        <f t="shared" si="49"/>
        <v/>
      </c>
      <c r="M48" s="48" t="str">
        <f t="shared" si="49"/>
        <v/>
      </c>
      <c r="N48" s="48" t="str">
        <f t="shared" si="49"/>
        <v/>
      </c>
      <c r="O48" s="48" t="str">
        <f t="shared" si="49"/>
        <v/>
      </c>
      <c r="P48" s="48" t="str">
        <f t="shared" si="49"/>
        <v/>
      </c>
      <c r="Q48" s="48" t="str">
        <f t="shared" si="49"/>
        <v/>
      </c>
      <c r="R48" s="48" t="str">
        <f t="shared" si="49"/>
        <v/>
      </c>
      <c r="S48" s="48" t="str">
        <f t="shared" si="49"/>
        <v/>
      </c>
      <c r="T48" s="48" t="str">
        <f t="shared" si="49"/>
        <v/>
      </c>
      <c r="U48" s="48" t="str">
        <f t="shared" si="49"/>
        <v/>
      </c>
      <c r="V48" s="48" t="str">
        <f t="shared" si="49"/>
        <v/>
      </c>
      <c r="W48" s="48" t="str">
        <f t="shared" si="49"/>
        <v/>
      </c>
      <c r="X48" s="48" t="str">
        <f t="shared" si="49"/>
        <v/>
      </c>
      <c r="Y48" s="48" t="str">
        <f t="shared" si="49"/>
        <v/>
      </c>
      <c r="Z48" s="48" t="str">
        <f t="shared" si="49"/>
        <v/>
      </c>
      <c r="AA48" s="48" t="str">
        <f t="shared" si="49"/>
        <v/>
      </c>
      <c r="AB48" s="48" t="str">
        <f t="shared" si="49"/>
        <v/>
      </c>
      <c r="AC48" s="48" t="str">
        <f t="shared" si="49"/>
        <v/>
      </c>
      <c r="AD48" s="48" t="str">
        <f t="shared" si="49"/>
        <v/>
      </c>
      <c r="AE48" s="48" t="str">
        <f t="shared" si="49"/>
        <v/>
      </c>
      <c r="AF48" s="48" t="str">
        <f t="shared" si="49"/>
        <v/>
      </c>
      <c r="AG48" s="48" t="str">
        <f t="shared" si="49"/>
        <v/>
      </c>
      <c r="AH48" s="48" t="str">
        <f t="shared" si="49"/>
        <v/>
      </c>
      <c r="AI48" s="48" t="str">
        <f t="shared" si="49"/>
        <v/>
      </c>
      <c r="AJ48" s="48" t="str">
        <f t="shared" si="49"/>
        <v/>
      </c>
      <c r="AK48" s="48" t="str">
        <f t="shared" si="49"/>
        <v/>
      </c>
      <c r="AL48" s="48" t="str">
        <f t="shared" si="49"/>
        <v/>
      </c>
      <c r="AM48" s="48" t="str">
        <f t="shared" si="49"/>
        <v/>
      </c>
      <c r="AN48" s="48" t="str">
        <f t="shared" si="49"/>
        <v/>
      </c>
      <c r="AO48" s="48" t="str">
        <f t="shared" si="49"/>
        <v/>
      </c>
      <c r="AP48" s="48" t="str">
        <f t="shared" si="49"/>
        <v/>
      </c>
      <c r="AQ48" s="48" t="str">
        <f t="shared" si="49"/>
        <v/>
      </c>
      <c r="AR48" s="48" t="str">
        <f t="shared" si="49"/>
        <v/>
      </c>
      <c r="AS48" s="48" t="str">
        <f t="shared" si="49"/>
        <v/>
      </c>
      <c r="AT48" s="48" t="str">
        <f t="shared" si="49"/>
        <v/>
      </c>
      <c r="AU48" s="48" t="str">
        <f t="shared" si="49"/>
        <v/>
      </c>
      <c r="AV48" s="48" t="str">
        <f t="shared" si="49"/>
        <v/>
      </c>
    </row>
    <row r="49" ht="15.75" customHeight="1">
      <c r="A49" s="46">
        <v>48.0</v>
      </c>
      <c r="B49" s="27"/>
      <c r="C49" s="44"/>
      <c r="D49" s="47"/>
      <c r="E49" s="47"/>
      <c r="F49" s="26"/>
      <c r="G49" s="48" t="str">
        <f t="shared" ref="G49:AV49" si="50">IF(AND($F49="Yes",G$2=$E49),"♦","")</f>
        <v/>
      </c>
      <c r="H49" s="48" t="str">
        <f t="shared" si="50"/>
        <v/>
      </c>
      <c r="I49" s="48" t="str">
        <f t="shared" si="50"/>
        <v/>
      </c>
      <c r="J49" s="48" t="str">
        <f t="shared" si="50"/>
        <v/>
      </c>
      <c r="K49" s="48" t="str">
        <f t="shared" si="50"/>
        <v/>
      </c>
      <c r="L49" s="48" t="str">
        <f t="shared" si="50"/>
        <v/>
      </c>
      <c r="M49" s="48" t="str">
        <f t="shared" si="50"/>
        <v/>
      </c>
      <c r="N49" s="48" t="str">
        <f t="shared" si="50"/>
        <v/>
      </c>
      <c r="O49" s="48" t="str">
        <f t="shared" si="50"/>
        <v/>
      </c>
      <c r="P49" s="48" t="str">
        <f t="shared" si="50"/>
        <v/>
      </c>
      <c r="Q49" s="48" t="str">
        <f t="shared" si="50"/>
        <v/>
      </c>
      <c r="R49" s="48" t="str">
        <f t="shared" si="50"/>
        <v/>
      </c>
      <c r="S49" s="48" t="str">
        <f t="shared" si="50"/>
        <v/>
      </c>
      <c r="T49" s="48" t="str">
        <f t="shared" si="50"/>
        <v/>
      </c>
      <c r="U49" s="48" t="str">
        <f t="shared" si="50"/>
        <v/>
      </c>
      <c r="V49" s="48" t="str">
        <f t="shared" si="50"/>
        <v/>
      </c>
      <c r="W49" s="48" t="str">
        <f t="shared" si="50"/>
        <v/>
      </c>
      <c r="X49" s="48" t="str">
        <f t="shared" si="50"/>
        <v/>
      </c>
      <c r="Y49" s="48" t="str">
        <f t="shared" si="50"/>
        <v/>
      </c>
      <c r="Z49" s="48" t="str">
        <f t="shared" si="50"/>
        <v/>
      </c>
      <c r="AA49" s="48" t="str">
        <f t="shared" si="50"/>
        <v/>
      </c>
      <c r="AB49" s="48" t="str">
        <f t="shared" si="50"/>
        <v/>
      </c>
      <c r="AC49" s="48" t="str">
        <f t="shared" si="50"/>
        <v/>
      </c>
      <c r="AD49" s="48" t="str">
        <f t="shared" si="50"/>
        <v/>
      </c>
      <c r="AE49" s="48" t="str">
        <f t="shared" si="50"/>
        <v/>
      </c>
      <c r="AF49" s="48" t="str">
        <f t="shared" si="50"/>
        <v/>
      </c>
      <c r="AG49" s="48" t="str">
        <f t="shared" si="50"/>
        <v/>
      </c>
      <c r="AH49" s="48" t="str">
        <f t="shared" si="50"/>
        <v/>
      </c>
      <c r="AI49" s="48" t="str">
        <f t="shared" si="50"/>
        <v/>
      </c>
      <c r="AJ49" s="48" t="str">
        <f t="shared" si="50"/>
        <v/>
      </c>
      <c r="AK49" s="48" t="str">
        <f t="shared" si="50"/>
        <v/>
      </c>
      <c r="AL49" s="48" t="str">
        <f t="shared" si="50"/>
        <v/>
      </c>
      <c r="AM49" s="48" t="str">
        <f t="shared" si="50"/>
        <v/>
      </c>
      <c r="AN49" s="48" t="str">
        <f t="shared" si="50"/>
        <v/>
      </c>
      <c r="AO49" s="48" t="str">
        <f t="shared" si="50"/>
        <v/>
      </c>
      <c r="AP49" s="48" t="str">
        <f t="shared" si="50"/>
        <v/>
      </c>
      <c r="AQ49" s="48" t="str">
        <f t="shared" si="50"/>
        <v/>
      </c>
      <c r="AR49" s="48" t="str">
        <f t="shared" si="50"/>
        <v/>
      </c>
      <c r="AS49" s="48" t="str">
        <f t="shared" si="50"/>
        <v/>
      </c>
      <c r="AT49" s="48" t="str">
        <f t="shared" si="50"/>
        <v/>
      </c>
      <c r="AU49" s="48" t="str">
        <f t="shared" si="50"/>
        <v/>
      </c>
      <c r="AV49" s="48" t="str">
        <f t="shared" si="50"/>
        <v/>
      </c>
    </row>
    <row r="50" ht="15.75" customHeight="1">
      <c r="A50" s="46">
        <v>49.0</v>
      </c>
      <c r="B50" s="27"/>
      <c r="C50" s="44"/>
      <c r="D50" s="47"/>
      <c r="E50" s="47"/>
      <c r="F50" s="26"/>
      <c r="G50" s="48" t="str">
        <f t="shared" ref="G50:AV50" si="51">IF(AND($F50="Yes",G$2=$E50),"♦","")</f>
        <v/>
      </c>
      <c r="H50" s="48" t="str">
        <f t="shared" si="51"/>
        <v/>
      </c>
      <c r="I50" s="48" t="str">
        <f t="shared" si="51"/>
        <v/>
      </c>
      <c r="J50" s="48" t="str">
        <f t="shared" si="51"/>
        <v/>
      </c>
      <c r="K50" s="48" t="str">
        <f t="shared" si="51"/>
        <v/>
      </c>
      <c r="L50" s="48" t="str">
        <f t="shared" si="51"/>
        <v/>
      </c>
      <c r="M50" s="48" t="str">
        <f t="shared" si="51"/>
        <v/>
      </c>
      <c r="N50" s="48" t="str">
        <f t="shared" si="51"/>
        <v/>
      </c>
      <c r="O50" s="48" t="str">
        <f t="shared" si="51"/>
        <v/>
      </c>
      <c r="P50" s="48" t="str">
        <f t="shared" si="51"/>
        <v/>
      </c>
      <c r="Q50" s="48" t="str">
        <f t="shared" si="51"/>
        <v/>
      </c>
      <c r="R50" s="48" t="str">
        <f t="shared" si="51"/>
        <v/>
      </c>
      <c r="S50" s="48" t="str">
        <f t="shared" si="51"/>
        <v/>
      </c>
      <c r="T50" s="48" t="str">
        <f t="shared" si="51"/>
        <v/>
      </c>
      <c r="U50" s="48" t="str">
        <f t="shared" si="51"/>
        <v/>
      </c>
      <c r="V50" s="48" t="str">
        <f t="shared" si="51"/>
        <v/>
      </c>
      <c r="W50" s="48" t="str">
        <f t="shared" si="51"/>
        <v/>
      </c>
      <c r="X50" s="48" t="str">
        <f t="shared" si="51"/>
        <v/>
      </c>
      <c r="Y50" s="48" t="str">
        <f t="shared" si="51"/>
        <v/>
      </c>
      <c r="Z50" s="48" t="str">
        <f t="shared" si="51"/>
        <v/>
      </c>
      <c r="AA50" s="48" t="str">
        <f t="shared" si="51"/>
        <v/>
      </c>
      <c r="AB50" s="48" t="str">
        <f t="shared" si="51"/>
        <v/>
      </c>
      <c r="AC50" s="48" t="str">
        <f t="shared" si="51"/>
        <v/>
      </c>
      <c r="AD50" s="48" t="str">
        <f t="shared" si="51"/>
        <v/>
      </c>
      <c r="AE50" s="48" t="str">
        <f t="shared" si="51"/>
        <v/>
      </c>
      <c r="AF50" s="48" t="str">
        <f t="shared" si="51"/>
        <v/>
      </c>
      <c r="AG50" s="48" t="str">
        <f t="shared" si="51"/>
        <v/>
      </c>
      <c r="AH50" s="48" t="str">
        <f t="shared" si="51"/>
        <v/>
      </c>
      <c r="AI50" s="48" t="str">
        <f t="shared" si="51"/>
        <v/>
      </c>
      <c r="AJ50" s="48" t="str">
        <f t="shared" si="51"/>
        <v/>
      </c>
      <c r="AK50" s="48" t="str">
        <f t="shared" si="51"/>
        <v/>
      </c>
      <c r="AL50" s="48" t="str">
        <f t="shared" si="51"/>
        <v/>
      </c>
      <c r="AM50" s="48" t="str">
        <f t="shared" si="51"/>
        <v/>
      </c>
      <c r="AN50" s="48" t="str">
        <f t="shared" si="51"/>
        <v/>
      </c>
      <c r="AO50" s="48" t="str">
        <f t="shared" si="51"/>
        <v/>
      </c>
      <c r="AP50" s="48" t="str">
        <f t="shared" si="51"/>
        <v/>
      </c>
      <c r="AQ50" s="48" t="str">
        <f t="shared" si="51"/>
        <v/>
      </c>
      <c r="AR50" s="48" t="str">
        <f t="shared" si="51"/>
        <v/>
      </c>
      <c r="AS50" s="48" t="str">
        <f t="shared" si="51"/>
        <v/>
      </c>
      <c r="AT50" s="48" t="str">
        <f t="shared" si="51"/>
        <v/>
      </c>
      <c r="AU50" s="48" t="str">
        <f t="shared" si="51"/>
        <v/>
      </c>
      <c r="AV50" s="48" t="str">
        <f t="shared" si="51"/>
        <v/>
      </c>
    </row>
    <row r="51" ht="15.75" customHeight="1">
      <c r="A51" s="46">
        <v>50.0</v>
      </c>
      <c r="B51" s="27"/>
      <c r="C51" s="44"/>
      <c r="D51" s="47"/>
      <c r="E51" s="47"/>
      <c r="F51" s="26"/>
      <c r="G51" s="48" t="str">
        <f t="shared" ref="G51:AV51" si="52">IF(AND($F51="Yes",G$2=$E51),"♦","")</f>
        <v/>
      </c>
      <c r="H51" s="48" t="str">
        <f t="shared" si="52"/>
        <v/>
      </c>
      <c r="I51" s="48" t="str">
        <f t="shared" si="52"/>
        <v/>
      </c>
      <c r="J51" s="48" t="str">
        <f t="shared" si="52"/>
        <v/>
      </c>
      <c r="K51" s="48" t="str">
        <f t="shared" si="52"/>
        <v/>
      </c>
      <c r="L51" s="48" t="str">
        <f t="shared" si="52"/>
        <v/>
      </c>
      <c r="M51" s="48" t="str">
        <f t="shared" si="52"/>
        <v/>
      </c>
      <c r="N51" s="48" t="str">
        <f t="shared" si="52"/>
        <v/>
      </c>
      <c r="O51" s="48" t="str">
        <f t="shared" si="52"/>
        <v/>
      </c>
      <c r="P51" s="48" t="str">
        <f t="shared" si="52"/>
        <v/>
      </c>
      <c r="Q51" s="48" t="str">
        <f t="shared" si="52"/>
        <v/>
      </c>
      <c r="R51" s="48" t="str">
        <f t="shared" si="52"/>
        <v/>
      </c>
      <c r="S51" s="48" t="str">
        <f t="shared" si="52"/>
        <v/>
      </c>
      <c r="T51" s="48" t="str">
        <f t="shared" si="52"/>
        <v/>
      </c>
      <c r="U51" s="48" t="str">
        <f t="shared" si="52"/>
        <v/>
      </c>
      <c r="V51" s="48" t="str">
        <f t="shared" si="52"/>
        <v/>
      </c>
      <c r="W51" s="48" t="str">
        <f t="shared" si="52"/>
        <v/>
      </c>
      <c r="X51" s="48" t="str">
        <f t="shared" si="52"/>
        <v/>
      </c>
      <c r="Y51" s="48" t="str">
        <f t="shared" si="52"/>
        <v/>
      </c>
      <c r="Z51" s="48" t="str">
        <f t="shared" si="52"/>
        <v/>
      </c>
      <c r="AA51" s="48" t="str">
        <f t="shared" si="52"/>
        <v/>
      </c>
      <c r="AB51" s="48" t="str">
        <f t="shared" si="52"/>
        <v/>
      </c>
      <c r="AC51" s="48" t="str">
        <f t="shared" si="52"/>
        <v/>
      </c>
      <c r="AD51" s="48" t="str">
        <f t="shared" si="52"/>
        <v/>
      </c>
      <c r="AE51" s="48" t="str">
        <f t="shared" si="52"/>
        <v/>
      </c>
      <c r="AF51" s="48" t="str">
        <f t="shared" si="52"/>
        <v/>
      </c>
      <c r="AG51" s="48" t="str">
        <f t="shared" si="52"/>
        <v/>
      </c>
      <c r="AH51" s="48" t="str">
        <f t="shared" si="52"/>
        <v/>
      </c>
      <c r="AI51" s="48" t="str">
        <f t="shared" si="52"/>
        <v/>
      </c>
      <c r="AJ51" s="48" t="str">
        <f t="shared" si="52"/>
        <v/>
      </c>
      <c r="AK51" s="48" t="str">
        <f t="shared" si="52"/>
        <v/>
      </c>
      <c r="AL51" s="48" t="str">
        <f t="shared" si="52"/>
        <v/>
      </c>
      <c r="AM51" s="48" t="str">
        <f t="shared" si="52"/>
        <v/>
      </c>
      <c r="AN51" s="48" t="str">
        <f t="shared" si="52"/>
        <v/>
      </c>
      <c r="AO51" s="48" t="str">
        <f t="shared" si="52"/>
        <v/>
      </c>
      <c r="AP51" s="48" t="str">
        <f t="shared" si="52"/>
        <v/>
      </c>
      <c r="AQ51" s="48" t="str">
        <f t="shared" si="52"/>
        <v/>
      </c>
      <c r="AR51" s="48" t="str">
        <f t="shared" si="52"/>
        <v/>
      </c>
      <c r="AS51" s="48" t="str">
        <f t="shared" si="52"/>
        <v/>
      </c>
      <c r="AT51" s="48" t="str">
        <f t="shared" si="52"/>
        <v/>
      </c>
      <c r="AU51" s="48" t="str">
        <f t="shared" si="52"/>
        <v/>
      </c>
      <c r="AV51" s="48" t="str">
        <f t="shared" si="52"/>
        <v/>
      </c>
    </row>
    <row r="52" ht="15.75" customHeight="1">
      <c r="A52" s="46">
        <v>51.0</v>
      </c>
      <c r="B52" s="27"/>
      <c r="C52" s="44"/>
      <c r="D52" s="47"/>
      <c r="E52" s="47"/>
      <c r="F52" s="26"/>
      <c r="G52" s="48" t="str">
        <f t="shared" ref="G52:AV52" si="53">IF(AND($F52="Yes",G$2=$E52),"♦","")</f>
        <v/>
      </c>
      <c r="H52" s="48" t="str">
        <f t="shared" si="53"/>
        <v/>
      </c>
      <c r="I52" s="48" t="str">
        <f t="shared" si="53"/>
        <v/>
      </c>
      <c r="J52" s="48" t="str">
        <f t="shared" si="53"/>
        <v/>
      </c>
      <c r="K52" s="48" t="str">
        <f t="shared" si="53"/>
        <v/>
      </c>
      <c r="L52" s="48" t="str">
        <f t="shared" si="53"/>
        <v/>
      </c>
      <c r="M52" s="48" t="str">
        <f t="shared" si="53"/>
        <v/>
      </c>
      <c r="N52" s="48" t="str">
        <f t="shared" si="53"/>
        <v/>
      </c>
      <c r="O52" s="48" t="str">
        <f t="shared" si="53"/>
        <v/>
      </c>
      <c r="P52" s="48" t="str">
        <f t="shared" si="53"/>
        <v/>
      </c>
      <c r="Q52" s="48" t="str">
        <f t="shared" si="53"/>
        <v/>
      </c>
      <c r="R52" s="48" t="str">
        <f t="shared" si="53"/>
        <v/>
      </c>
      <c r="S52" s="48" t="str">
        <f t="shared" si="53"/>
        <v/>
      </c>
      <c r="T52" s="48" t="str">
        <f t="shared" si="53"/>
        <v/>
      </c>
      <c r="U52" s="48" t="str">
        <f t="shared" si="53"/>
        <v/>
      </c>
      <c r="V52" s="48" t="str">
        <f t="shared" si="53"/>
        <v/>
      </c>
      <c r="W52" s="48" t="str">
        <f t="shared" si="53"/>
        <v/>
      </c>
      <c r="X52" s="48" t="str">
        <f t="shared" si="53"/>
        <v/>
      </c>
      <c r="Y52" s="48" t="str">
        <f t="shared" si="53"/>
        <v/>
      </c>
      <c r="Z52" s="48" t="str">
        <f t="shared" si="53"/>
        <v/>
      </c>
      <c r="AA52" s="48" t="str">
        <f t="shared" si="53"/>
        <v/>
      </c>
      <c r="AB52" s="48" t="str">
        <f t="shared" si="53"/>
        <v/>
      </c>
      <c r="AC52" s="48" t="str">
        <f t="shared" si="53"/>
        <v/>
      </c>
      <c r="AD52" s="48" t="str">
        <f t="shared" si="53"/>
        <v/>
      </c>
      <c r="AE52" s="48" t="str">
        <f t="shared" si="53"/>
        <v/>
      </c>
      <c r="AF52" s="48" t="str">
        <f t="shared" si="53"/>
        <v/>
      </c>
      <c r="AG52" s="48" t="str">
        <f t="shared" si="53"/>
        <v/>
      </c>
      <c r="AH52" s="48" t="str">
        <f t="shared" si="53"/>
        <v/>
      </c>
      <c r="AI52" s="48" t="str">
        <f t="shared" si="53"/>
        <v/>
      </c>
      <c r="AJ52" s="48" t="str">
        <f t="shared" si="53"/>
        <v/>
      </c>
      <c r="AK52" s="48" t="str">
        <f t="shared" si="53"/>
        <v/>
      </c>
      <c r="AL52" s="48" t="str">
        <f t="shared" si="53"/>
        <v/>
      </c>
      <c r="AM52" s="48" t="str">
        <f t="shared" si="53"/>
        <v/>
      </c>
      <c r="AN52" s="48" t="str">
        <f t="shared" si="53"/>
        <v/>
      </c>
      <c r="AO52" s="48" t="str">
        <f t="shared" si="53"/>
        <v/>
      </c>
      <c r="AP52" s="48" t="str">
        <f t="shared" si="53"/>
        <v/>
      </c>
      <c r="AQ52" s="48" t="str">
        <f t="shared" si="53"/>
        <v/>
      </c>
      <c r="AR52" s="48" t="str">
        <f t="shared" si="53"/>
        <v/>
      </c>
      <c r="AS52" s="48" t="str">
        <f t="shared" si="53"/>
        <v/>
      </c>
      <c r="AT52" s="48" t="str">
        <f t="shared" si="53"/>
        <v/>
      </c>
      <c r="AU52" s="48" t="str">
        <f t="shared" si="53"/>
        <v/>
      </c>
      <c r="AV52" s="48" t="str">
        <f t="shared" si="53"/>
        <v/>
      </c>
    </row>
    <row r="53" ht="15.75" customHeight="1">
      <c r="A53" s="46">
        <v>52.0</v>
      </c>
      <c r="B53" s="27"/>
      <c r="C53" s="44"/>
      <c r="D53" s="47"/>
      <c r="E53" s="47"/>
      <c r="F53" s="26"/>
      <c r="G53" s="48" t="str">
        <f t="shared" ref="G53:AV53" si="54">IF(AND($F53="Yes",G$2=$E53),"♦","")</f>
        <v/>
      </c>
      <c r="H53" s="48" t="str">
        <f t="shared" si="54"/>
        <v/>
      </c>
      <c r="I53" s="48" t="str">
        <f t="shared" si="54"/>
        <v/>
      </c>
      <c r="J53" s="48" t="str">
        <f t="shared" si="54"/>
        <v/>
      </c>
      <c r="K53" s="48" t="str">
        <f t="shared" si="54"/>
        <v/>
      </c>
      <c r="L53" s="48" t="str">
        <f t="shared" si="54"/>
        <v/>
      </c>
      <c r="M53" s="48" t="str">
        <f t="shared" si="54"/>
        <v/>
      </c>
      <c r="N53" s="48" t="str">
        <f t="shared" si="54"/>
        <v/>
      </c>
      <c r="O53" s="48" t="str">
        <f t="shared" si="54"/>
        <v/>
      </c>
      <c r="P53" s="48" t="str">
        <f t="shared" si="54"/>
        <v/>
      </c>
      <c r="Q53" s="48" t="str">
        <f t="shared" si="54"/>
        <v/>
      </c>
      <c r="R53" s="48" t="str">
        <f t="shared" si="54"/>
        <v/>
      </c>
      <c r="S53" s="48" t="str">
        <f t="shared" si="54"/>
        <v/>
      </c>
      <c r="T53" s="48" t="str">
        <f t="shared" si="54"/>
        <v/>
      </c>
      <c r="U53" s="48" t="str">
        <f t="shared" si="54"/>
        <v/>
      </c>
      <c r="V53" s="48" t="str">
        <f t="shared" si="54"/>
        <v/>
      </c>
      <c r="W53" s="48" t="str">
        <f t="shared" si="54"/>
        <v/>
      </c>
      <c r="X53" s="48" t="str">
        <f t="shared" si="54"/>
        <v/>
      </c>
      <c r="Y53" s="48" t="str">
        <f t="shared" si="54"/>
        <v/>
      </c>
      <c r="Z53" s="48" t="str">
        <f t="shared" si="54"/>
        <v/>
      </c>
      <c r="AA53" s="48" t="str">
        <f t="shared" si="54"/>
        <v/>
      </c>
      <c r="AB53" s="48" t="str">
        <f t="shared" si="54"/>
        <v/>
      </c>
      <c r="AC53" s="48" t="str">
        <f t="shared" si="54"/>
        <v/>
      </c>
      <c r="AD53" s="48" t="str">
        <f t="shared" si="54"/>
        <v/>
      </c>
      <c r="AE53" s="48" t="str">
        <f t="shared" si="54"/>
        <v/>
      </c>
      <c r="AF53" s="48" t="str">
        <f t="shared" si="54"/>
        <v/>
      </c>
      <c r="AG53" s="48" t="str">
        <f t="shared" si="54"/>
        <v/>
      </c>
      <c r="AH53" s="48" t="str">
        <f t="shared" si="54"/>
        <v/>
      </c>
      <c r="AI53" s="48" t="str">
        <f t="shared" si="54"/>
        <v/>
      </c>
      <c r="AJ53" s="48" t="str">
        <f t="shared" si="54"/>
        <v/>
      </c>
      <c r="AK53" s="48" t="str">
        <f t="shared" si="54"/>
        <v/>
      </c>
      <c r="AL53" s="48" t="str">
        <f t="shared" si="54"/>
        <v/>
      </c>
      <c r="AM53" s="48" t="str">
        <f t="shared" si="54"/>
        <v/>
      </c>
      <c r="AN53" s="48" t="str">
        <f t="shared" si="54"/>
        <v/>
      </c>
      <c r="AO53" s="48" t="str">
        <f t="shared" si="54"/>
        <v/>
      </c>
      <c r="AP53" s="48" t="str">
        <f t="shared" si="54"/>
        <v/>
      </c>
      <c r="AQ53" s="48" t="str">
        <f t="shared" si="54"/>
        <v/>
      </c>
      <c r="AR53" s="48" t="str">
        <f t="shared" si="54"/>
        <v/>
      </c>
      <c r="AS53" s="48" t="str">
        <f t="shared" si="54"/>
        <v/>
      </c>
      <c r="AT53" s="48" t="str">
        <f t="shared" si="54"/>
        <v/>
      </c>
      <c r="AU53" s="48" t="str">
        <f t="shared" si="54"/>
        <v/>
      </c>
      <c r="AV53" s="48" t="str">
        <f t="shared" si="54"/>
        <v/>
      </c>
    </row>
    <row r="54" ht="15.75" customHeight="1">
      <c r="A54" s="46">
        <v>53.0</v>
      </c>
      <c r="B54" s="27"/>
      <c r="C54" s="44"/>
      <c r="D54" s="47"/>
      <c r="E54" s="47"/>
      <c r="F54" s="26"/>
      <c r="G54" s="48" t="str">
        <f t="shared" ref="G54:AV54" si="55">IF(AND($F54="Yes",G$2=$E54),"♦","")</f>
        <v/>
      </c>
      <c r="H54" s="48" t="str">
        <f t="shared" si="55"/>
        <v/>
      </c>
      <c r="I54" s="48" t="str">
        <f t="shared" si="55"/>
        <v/>
      </c>
      <c r="J54" s="48" t="str">
        <f t="shared" si="55"/>
        <v/>
      </c>
      <c r="K54" s="48" t="str">
        <f t="shared" si="55"/>
        <v/>
      </c>
      <c r="L54" s="48" t="str">
        <f t="shared" si="55"/>
        <v/>
      </c>
      <c r="M54" s="48" t="str">
        <f t="shared" si="55"/>
        <v/>
      </c>
      <c r="N54" s="48" t="str">
        <f t="shared" si="55"/>
        <v/>
      </c>
      <c r="O54" s="48" t="str">
        <f t="shared" si="55"/>
        <v/>
      </c>
      <c r="P54" s="48" t="str">
        <f t="shared" si="55"/>
        <v/>
      </c>
      <c r="Q54" s="48" t="str">
        <f t="shared" si="55"/>
        <v/>
      </c>
      <c r="R54" s="48" t="str">
        <f t="shared" si="55"/>
        <v/>
      </c>
      <c r="S54" s="48" t="str">
        <f t="shared" si="55"/>
        <v/>
      </c>
      <c r="T54" s="48" t="str">
        <f t="shared" si="55"/>
        <v/>
      </c>
      <c r="U54" s="48" t="str">
        <f t="shared" si="55"/>
        <v/>
      </c>
      <c r="V54" s="48" t="str">
        <f t="shared" si="55"/>
        <v/>
      </c>
      <c r="W54" s="48" t="str">
        <f t="shared" si="55"/>
        <v/>
      </c>
      <c r="X54" s="48" t="str">
        <f t="shared" si="55"/>
        <v/>
      </c>
      <c r="Y54" s="48" t="str">
        <f t="shared" si="55"/>
        <v/>
      </c>
      <c r="Z54" s="48" t="str">
        <f t="shared" si="55"/>
        <v/>
      </c>
      <c r="AA54" s="48" t="str">
        <f t="shared" si="55"/>
        <v/>
      </c>
      <c r="AB54" s="48" t="str">
        <f t="shared" si="55"/>
        <v/>
      </c>
      <c r="AC54" s="48" t="str">
        <f t="shared" si="55"/>
        <v/>
      </c>
      <c r="AD54" s="48" t="str">
        <f t="shared" si="55"/>
        <v/>
      </c>
      <c r="AE54" s="48" t="str">
        <f t="shared" si="55"/>
        <v/>
      </c>
      <c r="AF54" s="48" t="str">
        <f t="shared" si="55"/>
        <v/>
      </c>
      <c r="AG54" s="48" t="str">
        <f t="shared" si="55"/>
        <v/>
      </c>
      <c r="AH54" s="48" t="str">
        <f t="shared" si="55"/>
        <v/>
      </c>
      <c r="AI54" s="48" t="str">
        <f t="shared" si="55"/>
        <v/>
      </c>
      <c r="AJ54" s="48" t="str">
        <f t="shared" si="55"/>
        <v/>
      </c>
      <c r="AK54" s="48" t="str">
        <f t="shared" si="55"/>
        <v/>
      </c>
      <c r="AL54" s="48" t="str">
        <f t="shared" si="55"/>
        <v/>
      </c>
      <c r="AM54" s="48" t="str">
        <f t="shared" si="55"/>
        <v/>
      </c>
      <c r="AN54" s="48" t="str">
        <f t="shared" si="55"/>
        <v/>
      </c>
      <c r="AO54" s="48" t="str">
        <f t="shared" si="55"/>
        <v/>
      </c>
      <c r="AP54" s="48" t="str">
        <f t="shared" si="55"/>
        <v/>
      </c>
      <c r="AQ54" s="48" t="str">
        <f t="shared" si="55"/>
        <v/>
      </c>
      <c r="AR54" s="48" t="str">
        <f t="shared" si="55"/>
        <v/>
      </c>
      <c r="AS54" s="48" t="str">
        <f t="shared" si="55"/>
        <v/>
      </c>
      <c r="AT54" s="48" t="str">
        <f t="shared" si="55"/>
        <v/>
      </c>
      <c r="AU54" s="48" t="str">
        <f t="shared" si="55"/>
        <v/>
      </c>
      <c r="AV54" s="48" t="str">
        <f t="shared" si="55"/>
        <v/>
      </c>
    </row>
    <row r="55" ht="15.75" customHeight="1">
      <c r="A55" s="46">
        <v>54.0</v>
      </c>
      <c r="B55" s="27"/>
      <c r="C55" s="44"/>
      <c r="D55" s="47"/>
      <c r="E55" s="47"/>
      <c r="F55" s="26"/>
      <c r="G55" s="48" t="str">
        <f t="shared" ref="G55:AV55" si="56">IF(AND($F55="Yes",G$2=$E55),"♦","")</f>
        <v/>
      </c>
      <c r="H55" s="48" t="str">
        <f t="shared" si="56"/>
        <v/>
      </c>
      <c r="I55" s="48" t="str">
        <f t="shared" si="56"/>
        <v/>
      </c>
      <c r="J55" s="48" t="str">
        <f t="shared" si="56"/>
        <v/>
      </c>
      <c r="K55" s="48" t="str">
        <f t="shared" si="56"/>
        <v/>
      </c>
      <c r="L55" s="48" t="str">
        <f t="shared" si="56"/>
        <v/>
      </c>
      <c r="M55" s="48" t="str">
        <f t="shared" si="56"/>
        <v/>
      </c>
      <c r="N55" s="48" t="str">
        <f t="shared" si="56"/>
        <v/>
      </c>
      <c r="O55" s="48" t="str">
        <f t="shared" si="56"/>
        <v/>
      </c>
      <c r="P55" s="48" t="str">
        <f t="shared" si="56"/>
        <v/>
      </c>
      <c r="Q55" s="48" t="str">
        <f t="shared" si="56"/>
        <v/>
      </c>
      <c r="R55" s="48" t="str">
        <f t="shared" si="56"/>
        <v/>
      </c>
      <c r="S55" s="48" t="str">
        <f t="shared" si="56"/>
        <v/>
      </c>
      <c r="T55" s="48" t="str">
        <f t="shared" si="56"/>
        <v/>
      </c>
      <c r="U55" s="48" t="str">
        <f t="shared" si="56"/>
        <v/>
      </c>
      <c r="V55" s="48" t="str">
        <f t="shared" si="56"/>
        <v/>
      </c>
      <c r="W55" s="48" t="str">
        <f t="shared" si="56"/>
        <v/>
      </c>
      <c r="X55" s="48" t="str">
        <f t="shared" si="56"/>
        <v/>
      </c>
      <c r="Y55" s="48" t="str">
        <f t="shared" si="56"/>
        <v/>
      </c>
      <c r="Z55" s="48" t="str">
        <f t="shared" si="56"/>
        <v/>
      </c>
      <c r="AA55" s="48" t="str">
        <f t="shared" si="56"/>
        <v/>
      </c>
      <c r="AB55" s="48" t="str">
        <f t="shared" si="56"/>
        <v/>
      </c>
      <c r="AC55" s="48" t="str">
        <f t="shared" si="56"/>
        <v/>
      </c>
      <c r="AD55" s="48" t="str">
        <f t="shared" si="56"/>
        <v/>
      </c>
      <c r="AE55" s="48" t="str">
        <f t="shared" si="56"/>
        <v/>
      </c>
      <c r="AF55" s="48" t="str">
        <f t="shared" si="56"/>
        <v/>
      </c>
      <c r="AG55" s="48" t="str">
        <f t="shared" si="56"/>
        <v/>
      </c>
      <c r="AH55" s="48" t="str">
        <f t="shared" si="56"/>
        <v/>
      </c>
      <c r="AI55" s="48" t="str">
        <f t="shared" si="56"/>
        <v/>
      </c>
      <c r="AJ55" s="48" t="str">
        <f t="shared" si="56"/>
        <v/>
      </c>
      <c r="AK55" s="48" t="str">
        <f t="shared" si="56"/>
        <v/>
      </c>
      <c r="AL55" s="48" t="str">
        <f t="shared" si="56"/>
        <v/>
      </c>
      <c r="AM55" s="48" t="str">
        <f t="shared" si="56"/>
        <v/>
      </c>
      <c r="AN55" s="48" t="str">
        <f t="shared" si="56"/>
        <v/>
      </c>
      <c r="AO55" s="48" t="str">
        <f t="shared" si="56"/>
        <v/>
      </c>
      <c r="AP55" s="48" t="str">
        <f t="shared" si="56"/>
        <v/>
      </c>
      <c r="AQ55" s="48" t="str">
        <f t="shared" si="56"/>
        <v/>
      </c>
      <c r="AR55" s="48" t="str">
        <f t="shared" si="56"/>
        <v/>
      </c>
      <c r="AS55" s="48" t="str">
        <f t="shared" si="56"/>
        <v/>
      </c>
      <c r="AT55" s="48" t="str">
        <f t="shared" si="56"/>
        <v/>
      </c>
      <c r="AU55" s="48" t="str">
        <f t="shared" si="56"/>
        <v/>
      </c>
      <c r="AV55" s="48" t="str">
        <f t="shared" si="56"/>
        <v/>
      </c>
    </row>
    <row r="56" ht="15.75" customHeight="1">
      <c r="A56" s="46">
        <v>55.0</v>
      </c>
      <c r="B56" s="27"/>
      <c r="C56" s="44"/>
      <c r="D56" s="47"/>
      <c r="E56" s="47"/>
      <c r="F56" s="26"/>
      <c r="G56" s="48" t="str">
        <f t="shared" ref="G56:AV56" si="57">IF(AND($F56="Yes",G$2=$E56),"♦","")</f>
        <v/>
      </c>
      <c r="H56" s="48" t="str">
        <f t="shared" si="57"/>
        <v/>
      </c>
      <c r="I56" s="48" t="str">
        <f t="shared" si="57"/>
        <v/>
      </c>
      <c r="J56" s="48" t="str">
        <f t="shared" si="57"/>
        <v/>
      </c>
      <c r="K56" s="48" t="str">
        <f t="shared" si="57"/>
        <v/>
      </c>
      <c r="L56" s="48" t="str">
        <f t="shared" si="57"/>
        <v/>
      </c>
      <c r="M56" s="48" t="str">
        <f t="shared" si="57"/>
        <v/>
      </c>
      <c r="N56" s="48" t="str">
        <f t="shared" si="57"/>
        <v/>
      </c>
      <c r="O56" s="48" t="str">
        <f t="shared" si="57"/>
        <v/>
      </c>
      <c r="P56" s="48" t="str">
        <f t="shared" si="57"/>
        <v/>
      </c>
      <c r="Q56" s="48" t="str">
        <f t="shared" si="57"/>
        <v/>
      </c>
      <c r="R56" s="48" t="str">
        <f t="shared" si="57"/>
        <v/>
      </c>
      <c r="S56" s="48" t="str">
        <f t="shared" si="57"/>
        <v/>
      </c>
      <c r="T56" s="48" t="str">
        <f t="shared" si="57"/>
        <v/>
      </c>
      <c r="U56" s="48" t="str">
        <f t="shared" si="57"/>
        <v/>
      </c>
      <c r="V56" s="48" t="str">
        <f t="shared" si="57"/>
        <v/>
      </c>
      <c r="W56" s="48" t="str">
        <f t="shared" si="57"/>
        <v/>
      </c>
      <c r="X56" s="48" t="str">
        <f t="shared" si="57"/>
        <v/>
      </c>
      <c r="Y56" s="48" t="str">
        <f t="shared" si="57"/>
        <v/>
      </c>
      <c r="Z56" s="48" t="str">
        <f t="shared" si="57"/>
        <v/>
      </c>
      <c r="AA56" s="48" t="str">
        <f t="shared" si="57"/>
        <v/>
      </c>
      <c r="AB56" s="48" t="str">
        <f t="shared" si="57"/>
        <v/>
      </c>
      <c r="AC56" s="48" t="str">
        <f t="shared" si="57"/>
        <v/>
      </c>
      <c r="AD56" s="48" t="str">
        <f t="shared" si="57"/>
        <v/>
      </c>
      <c r="AE56" s="48" t="str">
        <f t="shared" si="57"/>
        <v/>
      </c>
      <c r="AF56" s="48" t="str">
        <f t="shared" si="57"/>
        <v/>
      </c>
      <c r="AG56" s="48" t="str">
        <f t="shared" si="57"/>
        <v/>
      </c>
      <c r="AH56" s="48" t="str">
        <f t="shared" si="57"/>
        <v/>
      </c>
      <c r="AI56" s="48" t="str">
        <f t="shared" si="57"/>
        <v/>
      </c>
      <c r="AJ56" s="48" t="str">
        <f t="shared" si="57"/>
        <v/>
      </c>
      <c r="AK56" s="48" t="str">
        <f t="shared" si="57"/>
        <v/>
      </c>
      <c r="AL56" s="48" t="str">
        <f t="shared" si="57"/>
        <v/>
      </c>
      <c r="AM56" s="48" t="str">
        <f t="shared" si="57"/>
        <v/>
      </c>
      <c r="AN56" s="48" t="str">
        <f t="shared" si="57"/>
        <v/>
      </c>
      <c r="AO56" s="48" t="str">
        <f t="shared" si="57"/>
        <v/>
      </c>
      <c r="AP56" s="48" t="str">
        <f t="shared" si="57"/>
        <v/>
      </c>
      <c r="AQ56" s="48" t="str">
        <f t="shared" si="57"/>
        <v/>
      </c>
      <c r="AR56" s="48" t="str">
        <f t="shared" si="57"/>
        <v/>
      </c>
      <c r="AS56" s="48" t="str">
        <f t="shared" si="57"/>
        <v/>
      </c>
      <c r="AT56" s="48" t="str">
        <f t="shared" si="57"/>
        <v/>
      </c>
      <c r="AU56" s="48" t="str">
        <f t="shared" si="57"/>
        <v/>
      </c>
      <c r="AV56" s="48" t="str">
        <f t="shared" si="57"/>
        <v/>
      </c>
    </row>
    <row r="57" ht="15.75" customHeight="1">
      <c r="A57" s="46">
        <v>56.0</v>
      </c>
      <c r="B57" s="27"/>
      <c r="C57" s="44"/>
      <c r="D57" s="47"/>
      <c r="E57" s="47"/>
      <c r="F57" s="26"/>
      <c r="G57" s="48" t="str">
        <f t="shared" ref="G57:AV57" si="58">IF(AND($F57="Yes",G$2=$E57),"♦","")</f>
        <v/>
      </c>
      <c r="H57" s="48" t="str">
        <f t="shared" si="58"/>
        <v/>
      </c>
      <c r="I57" s="48" t="str">
        <f t="shared" si="58"/>
        <v/>
      </c>
      <c r="J57" s="48" t="str">
        <f t="shared" si="58"/>
        <v/>
      </c>
      <c r="K57" s="48" t="str">
        <f t="shared" si="58"/>
        <v/>
      </c>
      <c r="L57" s="48" t="str">
        <f t="shared" si="58"/>
        <v/>
      </c>
      <c r="M57" s="48" t="str">
        <f t="shared" si="58"/>
        <v/>
      </c>
      <c r="N57" s="48" t="str">
        <f t="shared" si="58"/>
        <v/>
      </c>
      <c r="O57" s="48" t="str">
        <f t="shared" si="58"/>
        <v/>
      </c>
      <c r="P57" s="48" t="str">
        <f t="shared" si="58"/>
        <v/>
      </c>
      <c r="Q57" s="48" t="str">
        <f t="shared" si="58"/>
        <v/>
      </c>
      <c r="R57" s="48" t="str">
        <f t="shared" si="58"/>
        <v/>
      </c>
      <c r="S57" s="48" t="str">
        <f t="shared" si="58"/>
        <v/>
      </c>
      <c r="T57" s="48" t="str">
        <f t="shared" si="58"/>
        <v/>
      </c>
      <c r="U57" s="48" t="str">
        <f t="shared" si="58"/>
        <v/>
      </c>
      <c r="V57" s="48" t="str">
        <f t="shared" si="58"/>
        <v/>
      </c>
      <c r="W57" s="48" t="str">
        <f t="shared" si="58"/>
        <v/>
      </c>
      <c r="X57" s="48" t="str">
        <f t="shared" si="58"/>
        <v/>
      </c>
      <c r="Y57" s="48" t="str">
        <f t="shared" si="58"/>
        <v/>
      </c>
      <c r="Z57" s="48" t="str">
        <f t="shared" si="58"/>
        <v/>
      </c>
      <c r="AA57" s="48" t="str">
        <f t="shared" si="58"/>
        <v/>
      </c>
      <c r="AB57" s="48" t="str">
        <f t="shared" si="58"/>
        <v/>
      </c>
      <c r="AC57" s="48" t="str">
        <f t="shared" si="58"/>
        <v/>
      </c>
      <c r="AD57" s="48" t="str">
        <f t="shared" si="58"/>
        <v/>
      </c>
      <c r="AE57" s="48" t="str">
        <f t="shared" si="58"/>
        <v/>
      </c>
      <c r="AF57" s="48" t="str">
        <f t="shared" si="58"/>
        <v/>
      </c>
      <c r="AG57" s="48" t="str">
        <f t="shared" si="58"/>
        <v/>
      </c>
      <c r="AH57" s="48" t="str">
        <f t="shared" si="58"/>
        <v/>
      </c>
      <c r="AI57" s="48" t="str">
        <f t="shared" si="58"/>
        <v/>
      </c>
      <c r="AJ57" s="48" t="str">
        <f t="shared" si="58"/>
        <v/>
      </c>
      <c r="AK57" s="48" t="str">
        <f t="shared" si="58"/>
        <v/>
      </c>
      <c r="AL57" s="48" t="str">
        <f t="shared" si="58"/>
        <v/>
      </c>
      <c r="AM57" s="48" t="str">
        <f t="shared" si="58"/>
        <v/>
      </c>
      <c r="AN57" s="48" t="str">
        <f t="shared" si="58"/>
        <v/>
      </c>
      <c r="AO57" s="48" t="str">
        <f t="shared" si="58"/>
        <v/>
      </c>
      <c r="AP57" s="48" t="str">
        <f t="shared" si="58"/>
        <v/>
      </c>
      <c r="AQ57" s="48" t="str">
        <f t="shared" si="58"/>
        <v/>
      </c>
      <c r="AR57" s="48" t="str">
        <f t="shared" si="58"/>
        <v/>
      </c>
      <c r="AS57" s="48" t="str">
        <f t="shared" si="58"/>
        <v/>
      </c>
      <c r="AT57" s="48" t="str">
        <f t="shared" si="58"/>
        <v/>
      </c>
      <c r="AU57" s="48" t="str">
        <f t="shared" si="58"/>
        <v/>
      </c>
      <c r="AV57" s="48" t="str">
        <f t="shared" si="58"/>
        <v/>
      </c>
    </row>
    <row r="58" ht="15.75" customHeight="1">
      <c r="A58" s="46">
        <v>57.0</v>
      </c>
      <c r="B58" s="27"/>
      <c r="C58" s="44"/>
      <c r="D58" s="47"/>
      <c r="E58" s="47"/>
      <c r="F58" s="26"/>
      <c r="G58" s="48" t="str">
        <f t="shared" ref="G58:AV58" si="59">IF(AND($F58="Yes",G$2=$E58),"♦","")</f>
        <v/>
      </c>
      <c r="H58" s="48" t="str">
        <f t="shared" si="59"/>
        <v/>
      </c>
      <c r="I58" s="48" t="str">
        <f t="shared" si="59"/>
        <v/>
      </c>
      <c r="J58" s="48" t="str">
        <f t="shared" si="59"/>
        <v/>
      </c>
      <c r="K58" s="48" t="str">
        <f t="shared" si="59"/>
        <v/>
      </c>
      <c r="L58" s="48" t="str">
        <f t="shared" si="59"/>
        <v/>
      </c>
      <c r="M58" s="48" t="str">
        <f t="shared" si="59"/>
        <v/>
      </c>
      <c r="N58" s="48" t="str">
        <f t="shared" si="59"/>
        <v/>
      </c>
      <c r="O58" s="48" t="str">
        <f t="shared" si="59"/>
        <v/>
      </c>
      <c r="P58" s="48" t="str">
        <f t="shared" si="59"/>
        <v/>
      </c>
      <c r="Q58" s="48" t="str">
        <f t="shared" si="59"/>
        <v/>
      </c>
      <c r="R58" s="48" t="str">
        <f t="shared" si="59"/>
        <v/>
      </c>
      <c r="S58" s="48" t="str">
        <f t="shared" si="59"/>
        <v/>
      </c>
      <c r="T58" s="48" t="str">
        <f t="shared" si="59"/>
        <v/>
      </c>
      <c r="U58" s="48" t="str">
        <f t="shared" si="59"/>
        <v/>
      </c>
      <c r="V58" s="48" t="str">
        <f t="shared" si="59"/>
        <v/>
      </c>
      <c r="W58" s="48" t="str">
        <f t="shared" si="59"/>
        <v/>
      </c>
      <c r="X58" s="48" t="str">
        <f t="shared" si="59"/>
        <v/>
      </c>
      <c r="Y58" s="48" t="str">
        <f t="shared" si="59"/>
        <v/>
      </c>
      <c r="Z58" s="48" t="str">
        <f t="shared" si="59"/>
        <v/>
      </c>
      <c r="AA58" s="48" t="str">
        <f t="shared" si="59"/>
        <v/>
      </c>
      <c r="AB58" s="48" t="str">
        <f t="shared" si="59"/>
        <v/>
      </c>
      <c r="AC58" s="48" t="str">
        <f t="shared" si="59"/>
        <v/>
      </c>
      <c r="AD58" s="48" t="str">
        <f t="shared" si="59"/>
        <v/>
      </c>
      <c r="AE58" s="48" t="str">
        <f t="shared" si="59"/>
        <v/>
      </c>
      <c r="AF58" s="48" t="str">
        <f t="shared" si="59"/>
        <v/>
      </c>
      <c r="AG58" s="48" t="str">
        <f t="shared" si="59"/>
        <v/>
      </c>
      <c r="AH58" s="48" t="str">
        <f t="shared" si="59"/>
        <v/>
      </c>
      <c r="AI58" s="48" t="str">
        <f t="shared" si="59"/>
        <v/>
      </c>
      <c r="AJ58" s="48" t="str">
        <f t="shared" si="59"/>
        <v/>
      </c>
      <c r="AK58" s="48" t="str">
        <f t="shared" si="59"/>
        <v/>
      </c>
      <c r="AL58" s="48" t="str">
        <f t="shared" si="59"/>
        <v/>
      </c>
      <c r="AM58" s="48" t="str">
        <f t="shared" si="59"/>
        <v/>
      </c>
      <c r="AN58" s="48" t="str">
        <f t="shared" si="59"/>
        <v/>
      </c>
      <c r="AO58" s="48" t="str">
        <f t="shared" si="59"/>
        <v/>
      </c>
      <c r="AP58" s="48" t="str">
        <f t="shared" si="59"/>
        <v/>
      </c>
      <c r="AQ58" s="48" t="str">
        <f t="shared" si="59"/>
        <v/>
      </c>
      <c r="AR58" s="48" t="str">
        <f t="shared" si="59"/>
        <v/>
      </c>
      <c r="AS58" s="48" t="str">
        <f t="shared" si="59"/>
        <v/>
      </c>
      <c r="AT58" s="48" t="str">
        <f t="shared" si="59"/>
        <v/>
      </c>
      <c r="AU58" s="48" t="str">
        <f t="shared" si="59"/>
        <v/>
      </c>
      <c r="AV58" s="48" t="str">
        <f t="shared" si="59"/>
        <v/>
      </c>
    </row>
    <row r="59" ht="15.75" customHeight="1">
      <c r="A59" s="46">
        <v>58.0</v>
      </c>
      <c r="B59" s="27"/>
      <c r="C59" s="44"/>
      <c r="D59" s="47"/>
      <c r="E59" s="47"/>
      <c r="F59" s="26"/>
      <c r="G59" s="48" t="str">
        <f t="shared" ref="G59:AV59" si="60">IF(AND($F59="Yes",G$2=$E59),"♦","")</f>
        <v/>
      </c>
      <c r="H59" s="48" t="str">
        <f t="shared" si="60"/>
        <v/>
      </c>
      <c r="I59" s="48" t="str">
        <f t="shared" si="60"/>
        <v/>
      </c>
      <c r="J59" s="48" t="str">
        <f t="shared" si="60"/>
        <v/>
      </c>
      <c r="K59" s="48" t="str">
        <f t="shared" si="60"/>
        <v/>
      </c>
      <c r="L59" s="48" t="str">
        <f t="shared" si="60"/>
        <v/>
      </c>
      <c r="M59" s="48" t="str">
        <f t="shared" si="60"/>
        <v/>
      </c>
      <c r="N59" s="48" t="str">
        <f t="shared" si="60"/>
        <v/>
      </c>
      <c r="O59" s="48" t="str">
        <f t="shared" si="60"/>
        <v/>
      </c>
      <c r="P59" s="48" t="str">
        <f t="shared" si="60"/>
        <v/>
      </c>
      <c r="Q59" s="48" t="str">
        <f t="shared" si="60"/>
        <v/>
      </c>
      <c r="R59" s="48" t="str">
        <f t="shared" si="60"/>
        <v/>
      </c>
      <c r="S59" s="48" t="str">
        <f t="shared" si="60"/>
        <v/>
      </c>
      <c r="T59" s="48" t="str">
        <f t="shared" si="60"/>
        <v/>
      </c>
      <c r="U59" s="48" t="str">
        <f t="shared" si="60"/>
        <v/>
      </c>
      <c r="V59" s="48" t="str">
        <f t="shared" si="60"/>
        <v/>
      </c>
      <c r="W59" s="48" t="str">
        <f t="shared" si="60"/>
        <v/>
      </c>
      <c r="X59" s="48" t="str">
        <f t="shared" si="60"/>
        <v/>
      </c>
      <c r="Y59" s="48" t="str">
        <f t="shared" si="60"/>
        <v/>
      </c>
      <c r="Z59" s="48" t="str">
        <f t="shared" si="60"/>
        <v/>
      </c>
      <c r="AA59" s="48" t="str">
        <f t="shared" si="60"/>
        <v/>
      </c>
      <c r="AB59" s="48" t="str">
        <f t="shared" si="60"/>
        <v/>
      </c>
      <c r="AC59" s="48" t="str">
        <f t="shared" si="60"/>
        <v/>
      </c>
      <c r="AD59" s="48" t="str">
        <f t="shared" si="60"/>
        <v/>
      </c>
      <c r="AE59" s="48" t="str">
        <f t="shared" si="60"/>
        <v/>
      </c>
      <c r="AF59" s="48" t="str">
        <f t="shared" si="60"/>
        <v/>
      </c>
      <c r="AG59" s="48" t="str">
        <f t="shared" si="60"/>
        <v/>
      </c>
      <c r="AH59" s="48" t="str">
        <f t="shared" si="60"/>
        <v/>
      </c>
      <c r="AI59" s="48" t="str">
        <f t="shared" si="60"/>
        <v/>
      </c>
      <c r="AJ59" s="48" t="str">
        <f t="shared" si="60"/>
        <v/>
      </c>
      <c r="AK59" s="48" t="str">
        <f t="shared" si="60"/>
        <v/>
      </c>
      <c r="AL59" s="48" t="str">
        <f t="shared" si="60"/>
        <v/>
      </c>
      <c r="AM59" s="48" t="str">
        <f t="shared" si="60"/>
        <v/>
      </c>
      <c r="AN59" s="48" t="str">
        <f t="shared" si="60"/>
        <v/>
      </c>
      <c r="AO59" s="48" t="str">
        <f t="shared" si="60"/>
        <v/>
      </c>
      <c r="AP59" s="48" t="str">
        <f t="shared" si="60"/>
        <v/>
      </c>
      <c r="AQ59" s="48" t="str">
        <f t="shared" si="60"/>
        <v/>
      </c>
      <c r="AR59" s="48" t="str">
        <f t="shared" si="60"/>
        <v/>
      </c>
      <c r="AS59" s="48" t="str">
        <f t="shared" si="60"/>
        <v/>
      </c>
      <c r="AT59" s="48" t="str">
        <f t="shared" si="60"/>
        <v/>
      </c>
      <c r="AU59" s="48" t="str">
        <f t="shared" si="60"/>
        <v/>
      </c>
      <c r="AV59" s="48" t="str">
        <f t="shared" si="60"/>
        <v/>
      </c>
    </row>
    <row r="60" ht="15.75" customHeight="1">
      <c r="A60" s="46">
        <v>59.0</v>
      </c>
      <c r="B60" s="27"/>
      <c r="C60" s="44"/>
      <c r="D60" s="47"/>
      <c r="E60" s="47"/>
      <c r="F60" s="26"/>
      <c r="G60" s="48" t="str">
        <f t="shared" ref="G60:AV60" si="61">IF(AND($F60="Yes",G$2=$E60),"♦","")</f>
        <v/>
      </c>
      <c r="H60" s="48" t="str">
        <f t="shared" si="61"/>
        <v/>
      </c>
      <c r="I60" s="48" t="str">
        <f t="shared" si="61"/>
        <v/>
      </c>
      <c r="J60" s="48" t="str">
        <f t="shared" si="61"/>
        <v/>
      </c>
      <c r="K60" s="48" t="str">
        <f t="shared" si="61"/>
        <v/>
      </c>
      <c r="L60" s="48" t="str">
        <f t="shared" si="61"/>
        <v/>
      </c>
      <c r="M60" s="48" t="str">
        <f t="shared" si="61"/>
        <v/>
      </c>
      <c r="N60" s="48" t="str">
        <f t="shared" si="61"/>
        <v/>
      </c>
      <c r="O60" s="48" t="str">
        <f t="shared" si="61"/>
        <v/>
      </c>
      <c r="P60" s="48" t="str">
        <f t="shared" si="61"/>
        <v/>
      </c>
      <c r="Q60" s="48" t="str">
        <f t="shared" si="61"/>
        <v/>
      </c>
      <c r="R60" s="48" t="str">
        <f t="shared" si="61"/>
        <v/>
      </c>
      <c r="S60" s="48" t="str">
        <f t="shared" si="61"/>
        <v/>
      </c>
      <c r="T60" s="48" t="str">
        <f t="shared" si="61"/>
        <v/>
      </c>
      <c r="U60" s="48" t="str">
        <f t="shared" si="61"/>
        <v/>
      </c>
      <c r="V60" s="48" t="str">
        <f t="shared" si="61"/>
        <v/>
      </c>
      <c r="W60" s="48" t="str">
        <f t="shared" si="61"/>
        <v/>
      </c>
      <c r="X60" s="48" t="str">
        <f t="shared" si="61"/>
        <v/>
      </c>
      <c r="Y60" s="48" t="str">
        <f t="shared" si="61"/>
        <v/>
      </c>
      <c r="Z60" s="48" t="str">
        <f t="shared" si="61"/>
        <v/>
      </c>
      <c r="AA60" s="48" t="str">
        <f t="shared" si="61"/>
        <v/>
      </c>
      <c r="AB60" s="48" t="str">
        <f t="shared" si="61"/>
        <v/>
      </c>
      <c r="AC60" s="48" t="str">
        <f t="shared" si="61"/>
        <v/>
      </c>
      <c r="AD60" s="48" t="str">
        <f t="shared" si="61"/>
        <v/>
      </c>
      <c r="AE60" s="48" t="str">
        <f t="shared" si="61"/>
        <v/>
      </c>
      <c r="AF60" s="48" t="str">
        <f t="shared" si="61"/>
        <v/>
      </c>
      <c r="AG60" s="48" t="str">
        <f t="shared" si="61"/>
        <v/>
      </c>
      <c r="AH60" s="48" t="str">
        <f t="shared" si="61"/>
        <v/>
      </c>
      <c r="AI60" s="48" t="str">
        <f t="shared" si="61"/>
        <v/>
      </c>
      <c r="AJ60" s="48" t="str">
        <f t="shared" si="61"/>
        <v/>
      </c>
      <c r="AK60" s="48" t="str">
        <f t="shared" si="61"/>
        <v/>
      </c>
      <c r="AL60" s="48" t="str">
        <f t="shared" si="61"/>
        <v/>
      </c>
      <c r="AM60" s="48" t="str">
        <f t="shared" si="61"/>
        <v/>
      </c>
      <c r="AN60" s="48" t="str">
        <f t="shared" si="61"/>
        <v/>
      </c>
      <c r="AO60" s="48" t="str">
        <f t="shared" si="61"/>
        <v/>
      </c>
      <c r="AP60" s="48" t="str">
        <f t="shared" si="61"/>
        <v/>
      </c>
      <c r="AQ60" s="48" t="str">
        <f t="shared" si="61"/>
        <v/>
      </c>
      <c r="AR60" s="48" t="str">
        <f t="shared" si="61"/>
        <v/>
      </c>
      <c r="AS60" s="48" t="str">
        <f t="shared" si="61"/>
        <v/>
      </c>
      <c r="AT60" s="48" t="str">
        <f t="shared" si="61"/>
        <v/>
      </c>
      <c r="AU60" s="48" t="str">
        <f t="shared" si="61"/>
        <v/>
      </c>
      <c r="AV60" s="48" t="str">
        <f t="shared" si="61"/>
        <v/>
      </c>
    </row>
    <row r="61" ht="15.75" customHeight="1">
      <c r="A61" s="46">
        <v>60.0</v>
      </c>
      <c r="B61" s="27"/>
      <c r="C61" s="44"/>
      <c r="D61" s="47"/>
      <c r="E61" s="47"/>
      <c r="F61" s="26"/>
      <c r="G61" s="48" t="str">
        <f t="shared" ref="G61:AV61" si="62">IF(AND($F61="Yes",G$2=$E61),"♦","")</f>
        <v/>
      </c>
      <c r="H61" s="48" t="str">
        <f t="shared" si="62"/>
        <v/>
      </c>
      <c r="I61" s="48" t="str">
        <f t="shared" si="62"/>
        <v/>
      </c>
      <c r="J61" s="48" t="str">
        <f t="shared" si="62"/>
        <v/>
      </c>
      <c r="K61" s="48" t="str">
        <f t="shared" si="62"/>
        <v/>
      </c>
      <c r="L61" s="48" t="str">
        <f t="shared" si="62"/>
        <v/>
      </c>
      <c r="M61" s="48" t="str">
        <f t="shared" si="62"/>
        <v/>
      </c>
      <c r="N61" s="48" t="str">
        <f t="shared" si="62"/>
        <v/>
      </c>
      <c r="O61" s="48" t="str">
        <f t="shared" si="62"/>
        <v/>
      </c>
      <c r="P61" s="48" t="str">
        <f t="shared" si="62"/>
        <v/>
      </c>
      <c r="Q61" s="48" t="str">
        <f t="shared" si="62"/>
        <v/>
      </c>
      <c r="R61" s="48" t="str">
        <f t="shared" si="62"/>
        <v/>
      </c>
      <c r="S61" s="48" t="str">
        <f t="shared" si="62"/>
        <v/>
      </c>
      <c r="T61" s="48" t="str">
        <f t="shared" si="62"/>
        <v/>
      </c>
      <c r="U61" s="48" t="str">
        <f t="shared" si="62"/>
        <v/>
      </c>
      <c r="V61" s="48" t="str">
        <f t="shared" si="62"/>
        <v/>
      </c>
      <c r="W61" s="48" t="str">
        <f t="shared" si="62"/>
        <v/>
      </c>
      <c r="X61" s="48" t="str">
        <f t="shared" si="62"/>
        <v/>
      </c>
      <c r="Y61" s="48" t="str">
        <f t="shared" si="62"/>
        <v/>
      </c>
      <c r="Z61" s="48" t="str">
        <f t="shared" si="62"/>
        <v/>
      </c>
      <c r="AA61" s="48" t="str">
        <f t="shared" si="62"/>
        <v/>
      </c>
      <c r="AB61" s="48" t="str">
        <f t="shared" si="62"/>
        <v/>
      </c>
      <c r="AC61" s="48" t="str">
        <f t="shared" si="62"/>
        <v/>
      </c>
      <c r="AD61" s="48" t="str">
        <f t="shared" si="62"/>
        <v/>
      </c>
      <c r="AE61" s="48" t="str">
        <f t="shared" si="62"/>
        <v/>
      </c>
      <c r="AF61" s="48" t="str">
        <f t="shared" si="62"/>
        <v/>
      </c>
      <c r="AG61" s="48" t="str">
        <f t="shared" si="62"/>
        <v/>
      </c>
      <c r="AH61" s="48" t="str">
        <f t="shared" si="62"/>
        <v/>
      </c>
      <c r="AI61" s="48" t="str">
        <f t="shared" si="62"/>
        <v/>
      </c>
      <c r="AJ61" s="48" t="str">
        <f t="shared" si="62"/>
        <v/>
      </c>
      <c r="AK61" s="48" t="str">
        <f t="shared" si="62"/>
        <v/>
      </c>
      <c r="AL61" s="48" t="str">
        <f t="shared" si="62"/>
        <v/>
      </c>
      <c r="AM61" s="48" t="str">
        <f t="shared" si="62"/>
        <v/>
      </c>
      <c r="AN61" s="48" t="str">
        <f t="shared" si="62"/>
        <v/>
      </c>
      <c r="AO61" s="48" t="str">
        <f t="shared" si="62"/>
        <v/>
      </c>
      <c r="AP61" s="48" t="str">
        <f t="shared" si="62"/>
        <v/>
      </c>
      <c r="AQ61" s="48" t="str">
        <f t="shared" si="62"/>
        <v/>
      </c>
      <c r="AR61" s="48" t="str">
        <f t="shared" si="62"/>
        <v/>
      </c>
      <c r="AS61" s="48" t="str">
        <f t="shared" si="62"/>
        <v/>
      </c>
      <c r="AT61" s="48" t="str">
        <f t="shared" si="62"/>
        <v/>
      </c>
      <c r="AU61" s="48" t="str">
        <f t="shared" si="62"/>
        <v/>
      </c>
      <c r="AV61" s="48" t="str">
        <f t="shared" si="62"/>
        <v/>
      </c>
    </row>
    <row r="62" ht="15.75" customHeight="1">
      <c r="A62" s="46">
        <v>61.0</v>
      </c>
      <c r="B62" s="27"/>
      <c r="C62" s="44"/>
      <c r="D62" s="47"/>
      <c r="E62" s="47"/>
      <c r="F62" s="26"/>
      <c r="G62" s="48" t="str">
        <f t="shared" ref="G62:AV62" si="63">IF(AND($F62="Yes",G$2=$E62),"♦","")</f>
        <v/>
      </c>
      <c r="H62" s="48" t="str">
        <f t="shared" si="63"/>
        <v/>
      </c>
      <c r="I62" s="48" t="str">
        <f t="shared" si="63"/>
        <v/>
      </c>
      <c r="J62" s="48" t="str">
        <f t="shared" si="63"/>
        <v/>
      </c>
      <c r="K62" s="48" t="str">
        <f t="shared" si="63"/>
        <v/>
      </c>
      <c r="L62" s="48" t="str">
        <f t="shared" si="63"/>
        <v/>
      </c>
      <c r="M62" s="48" t="str">
        <f t="shared" si="63"/>
        <v/>
      </c>
      <c r="N62" s="48" t="str">
        <f t="shared" si="63"/>
        <v/>
      </c>
      <c r="O62" s="48" t="str">
        <f t="shared" si="63"/>
        <v/>
      </c>
      <c r="P62" s="48" t="str">
        <f t="shared" si="63"/>
        <v/>
      </c>
      <c r="Q62" s="48" t="str">
        <f t="shared" si="63"/>
        <v/>
      </c>
      <c r="R62" s="48" t="str">
        <f t="shared" si="63"/>
        <v/>
      </c>
      <c r="S62" s="48" t="str">
        <f t="shared" si="63"/>
        <v/>
      </c>
      <c r="T62" s="48" t="str">
        <f t="shared" si="63"/>
        <v/>
      </c>
      <c r="U62" s="48" t="str">
        <f t="shared" si="63"/>
        <v/>
      </c>
      <c r="V62" s="48" t="str">
        <f t="shared" si="63"/>
        <v/>
      </c>
      <c r="W62" s="48" t="str">
        <f t="shared" si="63"/>
        <v/>
      </c>
      <c r="X62" s="48" t="str">
        <f t="shared" si="63"/>
        <v/>
      </c>
      <c r="Y62" s="48" t="str">
        <f t="shared" si="63"/>
        <v/>
      </c>
      <c r="Z62" s="48" t="str">
        <f t="shared" si="63"/>
        <v/>
      </c>
      <c r="AA62" s="48" t="str">
        <f t="shared" si="63"/>
        <v/>
      </c>
      <c r="AB62" s="48" t="str">
        <f t="shared" si="63"/>
        <v/>
      </c>
      <c r="AC62" s="48" t="str">
        <f t="shared" si="63"/>
        <v/>
      </c>
      <c r="AD62" s="48" t="str">
        <f t="shared" si="63"/>
        <v/>
      </c>
      <c r="AE62" s="48" t="str">
        <f t="shared" si="63"/>
        <v/>
      </c>
      <c r="AF62" s="48" t="str">
        <f t="shared" si="63"/>
        <v/>
      </c>
      <c r="AG62" s="48" t="str">
        <f t="shared" si="63"/>
        <v/>
      </c>
      <c r="AH62" s="48" t="str">
        <f t="shared" si="63"/>
        <v/>
      </c>
      <c r="AI62" s="48" t="str">
        <f t="shared" si="63"/>
        <v/>
      </c>
      <c r="AJ62" s="48" t="str">
        <f t="shared" si="63"/>
        <v/>
      </c>
      <c r="AK62" s="48" t="str">
        <f t="shared" si="63"/>
        <v/>
      </c>
      <c r="AL62" s="48" t="str">
        <f t="shared" si="63"/>
        <v/>
      </c>
      <c r="AM62" s="48" t="str">
        <f t="shared" si="63"/>
        <v/>
      </c>
      <c r="AN62" s="48" t="str">
        <f t="shared" si="63"/>
        <v/>
      </c>
      <c r="AO62" s="48" t="str">
        <f t="shared" si="63"/>
        <v/>
      </c>
      <c r="AP62" s="48" t="str">
        <f t="shared" si="63"/>
        <v/>
      </c>
      <c r="AQ62" s="48" t="str">
        <f t="shared" si="63"/>
        <v/>
      </c>
      <c r="AR62" s="48" t="str">
        <f t="shared" si="63"/>
        <v/>
      </c>
      <c r="AS62" s="48" t="str">
        <f t="shared" si="63"/>
        <v/>
      </c>
      <c r="AT62" s="48" t="str">
        <f t="shared" si="63"/>
        <v/>
      </c>
      <c r="AU62" s="48" t="str">
        <f t="shared" si="63"/>
        <v/>
      </c>
      <c r="AV62" s="48" t="str">
        <f t="shared" si="63"/>
        <v/>
      </c>
    </row>
    <row r="63" ht="15.75" customHeight="1">
      <c r="A63" s="46">
        <v>62.0</v>
      </c>
      <c r="B63" s="27"/>
      <c r="C63" s="44"/>
      <c r="D63" s="47"/>
      <c r="E63" s="47"/>
      <c r="F63" s="26"/>
      <c r="G63" s="48" t="str">
        <f t="shared" ref="G63:AV63" si="64">IF(AND($F63="Yes",G$2=$E63),"♦","")</f>
        <v/>
      </c>
      <c r="H63" s="48" t="str">
        <f t="shared" si="64"/>
        <v/>
      </c>
      <c r="I63" s="48" t="str">
        <f t="shared" si="64"/>
        <v/>
      </c>
      <c r="J63" s="48" t="str">
        <f t="shared" si="64"/>
        <v/>
      </c>
      <c r="K63" s="48" t="str">
        <f t="shared" si="64"/>
        <v/>
      </c>
      <c r="L63" s="48" t="str">
        <f t="shared" si="64"/>
        <v/>
      </c>
      <c r="M63" s="48" t="str">
        <f t="shared" si="64"/>
        <v/>
      </c>
      <c r="N63" s="48" t="str">
        <f t="shared" si="64"/>
        <v/>
      </c>
      <c r="O63" s="48" t="str">
        <f t="shared" si="64"/>
        <v/>
      </c>
      <c r="P63" s="48" t="str">
        <f t="shared" si="64"/>
        <v/>
      </c>
      <c r="Q63" s="48" t="str">
        <f t="shared" si="64"/>
        <v/>
      </c>
      <c r="R63" s="48" t="str">
        <f t="shared" si="64"/>
        <v/>
      </c>
      <c r="S63" s="48" t="str">
        <f t="shared" si="64"/>
        <v/>
      </c>
      <c r="T63" s="48" t="str">
        <f t="shared" si="64"/>
        <v/>
      </c>
      <c r="U63" s="48" t="str">
        <f t="shared" si="64"/>
        <v/>
      </c>
      <c r="V63" s="48" t="str">
        <f t="shared" si="64"/>
        <v/>
      </c>
      <c r="W63" s="48" t="str">
        <f t="shared" si="64"/>
        <v/>
      </c>
      <c r="X63" s="48" t="str">
        <f t="shared" si="64"/>
        <v/>
      </c>
      <c r="Y63" s="48" t="str">
        <f t="shared" si="64"/>
        <v/>
      </c>
      <c r="Z63" s="48" t="str">
        <f t="shared" si="64"/>
        <v/>
      </c>
      <c r="AA63" s="48" t="str">
        <f t="shared" si="64"/>
        <v/>
      </c>
      <c r="AB63" s="48" t="str">
        <f t="shared" si="64"/>
        <v/>
      </c>
      <c r="AC63" s="48" t="str">
        <f t="shared" si="64"/>
        <v/>
      </c>
      <c r="AD63" s="48" t="str">
        <f t="shared" si="64"/>
        <v/>
      </c>
      <c r="AE63" s="48" t="str">
        <f t="shared" si="64"/>
        <v/>
      </c>
      <c r="AF63" s="48" t="str">
        <f t="shared" si="64"/>
        <v/>
      </c>
      <c r="AG63" s="48" t="str">
        <f t="shared" si="64"/>
        <v/>
      </c>
      <c r="AH63" s="48" t="str">
        <f t="shared" si="64"/>
        <v/>
      </c>
      <c r="AI63" s="48" t="str">
        <f t="shared" si="64"/>
        <v/>
      </c>
      <c r="AJ63" s="48" t="str">
        <f t="shared" si="64"/>
        <v/>
      </c>
      <c r="AK63" s="48" t="str">
        <f t="shared" si="64"/>
        <v/>
      </c>
      <c r="AL63" s="48" t="str">
        <f t="shared" si="64"/>
        <v/>
      </c>
      <c r="AM63" s="48" t="str">
        <f t="shared" si="64"/>
        <v/>
      </c>
      <c r="AN63" s="48" t="str">
        <f t="shared" si="64"/>
        <v/>
      </c>
      <c r="AO63" s="48" t="str">
        <f t="shared" si="64"/>
        <v/>
      </c>
      <c r="AP63" s="48" t="str">
        <f t="shared" si="64"/>
        <v/>
      </c>
      <c r="AQ63" s="48" t="str">
        <f t="shared" si="64"/>
        <v/>
      </c>
      <c r="AR63" s="48" t="str">
        <f t="shared" si="64"/>
        <v/>
      </c>
      <c r="AS63" s="48" t="str">
        <f t="shared" si="64"/>
        <v/>
      </c>
      <c r="AT63" s="48" t="str">
        <f t="shared" si="64"/>
        <v/>
      </c>
      <c r="AU63" s="48" t="str">
        <f t="shared" si="64"/>
        <v/>
      </c>
      <c r="AV63" s="48" t="str">
        <f t="shared" si="64"/>
        <v/>
      </c>
    </row>
    <row r="64" ht="15.75" customHeight="1">
      <c r="A64" s="46">
        <v>63.0</v>
      </c>
      <c r="B64" s="27"/>
      <c r="C64" s="44"/>
      <c r="D64" s="47"/>
      <c r="E64" s="47"/>
      <c r="F64" s="26"/>
      <c r="G64" s="48" t="str">
        <f t="shared" ref="G64:AV64" si="65">IF(AND($F64="Yes",G$2=$E64),"♦","")</f>
        <v/>
      </c>
      <c r="H64" s="48" t="str">
        <f t="shared" si="65"/>
        <v/>
      </c>
      <c r="I64" s="48" t="str">
        <f t="shared" si="65"/>
        <v/>
      </c>
      <c r="J64" s="48" t="str">
        <f t="shared" si="65"/>
        <v/>
      </c>
      <c r="K64" s="48" t="str">
        <f t="shared" si="65"/>
        <v/>
      </c>
      <c r="L64" s="48" t="str">
        <f t="shared" si="65"/>
        <v/>
      </c>
      <c r="M64" s="48" t="str">
        <f t="shared" si="65"/>
        <v/>
      </c>
      <c r="N64" s="48" t="str">
        <f t="shared" si="65"/>
        <v/>
      </c>
      <c r="O64" s="48" t="str">
        <f t="shared" si="65"/>
        <v/>
      </c>
      <c r="P64" s="48" t="str">
        <f t="shared" si="65"/>
        <v/>
      </c>
      <c r="Q64" s="48" t="str">
        <f t="shared" si="65"/>
        <v/>
      </c>
      <c r="R64" s="48" t="str">
        <f t="shared" si="65"/>
        <v/>
      </c>
      <c r="S64" s="48" t="str">
        <f t="shared" si="65"/>
        <v/>
      </c>
      <c r="T64" s="48" t="str">
        <f t="shared" si="65"/>
        <v/>
      </c>
      <c r="U64" s="48" t="str">
        <f t="shared" si="65"/>
        <v/>
      </c>
      <c r="V64" s="48" t="str">
        <f t="shared" si="65"/>
        <v/>
      </c>
      <c r="W64" s="48" t="str">
        <f t="shared" si="65"/>
        <v/>
      </c>
      <c r="X64" s="48" t="str">
        <f t="shared" si="65"/>
        <v/>
      </c>
      <c r="Y64" s="48" t="str">
        <f t="shared" si="65"/>
        <v/>
      </c>
      <c r="Z64" s="48" t="str">
        <f t="shared" si="65"/>
        <v/>
      </c>
      <c r="AA64" s="48" t="str">
        <f t="shared" si="65"/>
        <v/>
      </c>
      <c r="AB64" s="48" t="str">
        <f t="shared" si="65"/>
        <v/>
      </c>
      <c r="AC64" s="48" t="str">
        <f t="shared" si="65"/>
        <v/>
      </c>
      <c r="AD64" s="48" t="str">
        <f t="shared" si="65"/>
        <v/>
      </c>
      <c r="AE64" s="48" t="str">
        <f t="shared" si="65"/>
        <v/>
      </c>
      <c r="AF64" s="48" t="str">
        <f t="shared" si="65"/>
        <v/>
      </c>
      <c r="AG64" s="48" t="str">
        <f t="shared" si="65"/>
        <v/>
      </c>
      <c r="AH64" s="48" t="str">
        <f t="shared" si="65"/>
        <v/>
      </c>
      <c r="AI64" s="48" t="str">
        <f t="shared" si="65"/>
        <v/>
      </c>
      <c r="AJ64" s="48" t="str">
        <f t="shared" si="65"/>
        <v/>
      </c>
      <c r="AK64" s="48" t="str">
        <f t="shared" si="65"/>
        <v/>
      </c>
      <c r="AL64" s="48" t="str">
        <f t="shared" si="65"/>
        <v/>
      </c>
      <c r="AM64" s="48" t="str">
        <f t="shared" si="65"/>
        <v/>
      </c>
      <c r="AN64" s="48" t="str">
        <f t="shared" si="65"/>
        <v/>
      </c>
      <c r="AO64" s="48" t="str">
        <f t="shared" si="65"/>
        <v/>
      </c>
      <c r="AP64" s="48" t="str">
        <f t="shared" si="65"/>
        <v/>
      </c>
      <c r="AQ64" s="48" t="str">
        <f t="shared" si="65"/>
        <v/>
      </c>
      <c r="AR64" s="48" t="str">
        <f t="shared" si="65"/>
        <v/>
      </c>
      <c r="AS64" s="48" t="str">
        <f t="shared" si="65"/>
        <v/>
      </c>
      <c r="AT64" s="48" t="str">
        <f t="shared" si="65"/>
        <v/>
      </c>
      <c r="AU64" s="48" t="str">
        <f t="shared" si="65"/>
        <v/>
      </c>
      <c r="AV64" s="48" t="str">
        <f t="shared" si="65"/>
        <v/>
      </c>
    </row>
    <row r="65" ht="15.75" customHeight="1">
      <c r="A65" s="46">
        <v>64.0</v>
      </c>
      <c r="B65" s="27"/>
      <c r="C65" s="44"/>
      <c r="D65" s="47"/>
      <c r="E65" s="47"/>
      <c r="F65" s="26"/>
      <c r="G65" s="48" t="str">
        <f t="shared" ref="G65:AV65" si="66">IF(AND($F65="Yes",G$2=$E65),"♦","")</f>
        <v/>
      </c>
      <c r="H65" s="48" t="str">
        <f t="shared" si="66"/>
        <v/>
      </c>
      <c r="I65" s="48" t="str">
        <f t="shared" si="66"/>
        <v/>
      </c>
      <c r="J65" s="48" t="str">
        <f t="shared" si="66"/>
        <v/>
      </c>
      <c r="K65" s="48" t="str">
        <f t="shared" si="66"/>
        <v/>
      </c>
      <c r="L65" s="48" t="str">
        <f t="shared" si="66"/>
        <v/>
      </c>
      <c r="M65" s="48" t="str">
        <f t="shared" si="66"/>
        <v/>
      </c>
      <c r="N65" s="48" t="str">
        <f t="shared" si="66"/>
        <v/>
      </c>
      <c r="O65" s="48" t="str">
        <f t="shared" si="66"/>
        <v/>
      </c>
      <c r="P65" s="48" t="str">
        <f t="shared" si="66"/>
        <v/>
      </c>
      <c r="Q65" s="48" t="str">
        <f t="shared" si="66"/>
        <v/>
      </c>
      <c r="R65" s="48" t="str">
        <f t="shared" si="66"/>
        <v/>
      </c>
      <c r="S65" s="48" t="str">
        <f t="shared" si="66"/>
        <v/>
      </c>
      <c r="T65" s="48" t="str">
        <f t="shared" si="66"/>
        <v/>
      </c>
      <c r="U65" s="48" t="str">
        <f t="shared" si="66"/>
        <v/>
      </c>
      <c r="V65" s="48" t="str">
        <f t="shared" si="66"/>
        <v/>
      </c>
      <c r="W65" s="48" t="str">
        <f t="shared" si="66"/>
        <v/>
      </c>
      <c r="X65" s="48" t="str">
        <f t="shared" si="66"/>
        <v/>
      </c>
      <c r="Y65" s="48" t="str">
        <f t="shared" si="66"/>
        <v/>
      </c>
      <c r="Z65" s="48" t="str">
        <f t="shared" si="66"/>
        <v/>
      </c>
      <c r="AA65" s="48" t="str">
        <f t="shared" si="66"/>
        <v/>
      </c>
      <c r="AB65" s="48" t="str">
        <f t="shared" si="66"/>
        <v/>
      </c>
      <c r="AC65" s="48" t="str">
        <f t="shared" si="66"/>
        <v/>
      </c>
      <c r="AD65" s="48" t="str">
        <f t="shared" si="66"/>
        <v/>
      </c>
      <c r="AE65" s="48" t="str">
        <f t="shared" si="66"/>
        <v/>
      </c>
      <c r="AF65" s="48" t="str">
        <f t="shared" si="66"/>
        <v/>
      </c>
      <c r="AG65" s="48" t="str">
        <f t="shared" si="66"/>
        <v/>
      </c>
      <c r="AH65" s="48" t="str">
        <f t="shared" si="66"/>
        <v/>
      </c>
      <c r="AI65" s="48" t="str">
        <f t="shared" si="66"/>
        <v/>
      </c>
      <c r="AJ65" s="48" t="str">
        <f t="shared" si="66"/>
        <v/>
      </c>
      <c r="AK65" s="48" t="str">
        <f t="shared" si="66"/>
        <v/>
      </c>
      <c r="AL65" s="48" t="str">
        <f t="shared" si="66"/>
        <v/>
      </c>
      <c r="AM65" s="48" t="str">
        <f t="shared" si="66"/>
        <v/>
      </c>
      <c r="AN65" s="48" t="str">
        <f t="shared" si="66"/>
        <v/>
      </c>
      <c r="AO65" s="48" t="str">
        <f t="shared" si="66"/>
        <v/>
      </c>
      <c r="AP65" s="48" t="str">
        <f t="shared" si="66"/>
        <v/>
      </c>
      <c r="AQ65" s="48" t="str">
        <f t="shared" si="66"/>
        <v/>
      </c>
      <c r="AR65" s="48" t="str">
        <f t="shared" si="66"/>
        <v/>
      </c>
      <c r="AS65" s="48" t="str">
        <f t="shared" si="66"/>
        <v/>
      </c>
      <c r="AT65" s="48" t="str">
        <f t="shared" si="66"/>
        <v/>
      </c>
      <c r="AU65" s="48" t="str">
        <f t="shared" si="66"/>
        <v/>
      </c>
      <c r="AV65" s="48" t="str">
        <f t="shared" si="66"/>
        <v/>
      </c>
    </row>
    <row r="66" ht="15.75" customHeight="1">
      <c r="A66" s="46">
        <v>65.0</v>
      </c>
      <c r="B66" s="27"/>
      <c r="C66" s="44"/>
      <c r="D66" s="47"/>
      <c r="E66" s="47"/>
      <c r="F66" s="26"/>
      <c r="G66" s="48" t="str">
        <f t="shared" ref="G66:AV66" si="67">IF(AND($F66="Yes",G$2=$E66),"♦","")</f>
        <v/>
      </c>
      <c r="H66" s="48" t="str">
        <f t="shared" si="67"/>
        <v/>
      </c>
      <c r="I66" s="48" t="str">
        <f t="shared" si="67"/>
        <v/>
      </c>
      <c r="J66" s="48" t="str">
        <f t="shared" si="67"/>
        <v/>
      </c>
      <c r="K66" s="48" t="str">
        <f t="shared" si="67"/>
        <v/>
      </c>
      <c r="L66" s="48" t="str">
        <f t="shared" si="67"/>
        <v/>
      </c>
      <c r="M66" s="48" t="str">
        <f t="shared" si="67"/>
        <v/>
      </c>
      <c r="N66" s="48" t="str">
        <f t="shared" si="67"/>
        <v/>
      </c>
      <c r="O66" s="48" t="str">
        <f t="shared" si="67"/>
        <v/>
      </c>
      <c r="P66" s="48" t="str">
        <f t="shared" si="67"/>
        <v/>
      </c>
      <c r="Q66" s="48" t="str">
        <f t="shared" si="67"/>
        <v/>
      </c>
      <c r="R66" s="48" t="str">
        <f t="shared" si="67"/>
        <v/>
      </c>
      <c r="S66" s="48" t="str">
        <f t="shared" si="67"/>
        <v/>
      </c>
      <c r="T66" s="48" t="str">
        <f t="shared" si="67"/>
        <v/>
      </c>
      <c r="U66" s="48" t="str">
        <f t="shared" si="67"/>
        <v/>
      </c>
      <c r="V66" s="48" t="str">
        <f t="shared" si="67"/>
        <v/>
      </c>
      <c r="W66" s="48" t="str">
        <f t="shared" si="67"/>
        <v/>
      </c>
      <c r="X66" s="48" t="str">
        <f t="shared" si="67"/>
        <v/>
      </c>
      <c r="Y66" s="48" t="str">
        <f t="shared" si="67"/>
        <v/>
      </c>
      <c r="Z66" s="48" t="str">
        <f t="shared" si="67"/>
        <v/>
      </c>
      <c r="AA66" s="48" t="str">
        <f t="shared" si="67"/>
        <v/>
      </c>
      <c r="AB66" s="48" t="str">
        <f t="shared" si="67"/>
        <v/>
      </c>
      <c r="AC66" s="48" t="str">
        <f t="shared" si="67"/>
        <v/>
      </c>
      <c r="AD66" s="48" t="str">
        <f t="shared" si="67"/>
        <v/>
      </c>
      <c r="AE66" s="48" t="str">
        <f t="shared" si="67"/>
        <v/>
      </c>
      <c r="AF66" s="48" t="str">
        <f t="shared" si="67"/>
        <v/>
      </c>
      <c r="AG66" s="48" t="str">
        <f t="shared" si="67"/>
        <v/>
      </c>
      <c r="AH66" s="48" t="str">
        <f t="shared" si="67"/>
        <v/>
      </c>
      <c r="AI66" s="48" t="str">
        <f t="shared" si="67"/>
        <v/>
      </c>
      <c r="AJ66" s="48" t="str">
        <f t="shared" si="67"/>
        <v/>
      </c>
      <c r="AK66" s="48" t="str">
        <f t="shared" si="67"/>
        <v/>
      </c>
      <c r="AL66" s="48" t="str">
        <f t="shared" si="67"/>
        <v/>
      </c>
      <c r="AM66" s="48" t="str">
        <f t="shared" si="67"/>
        <v/>
      </c>
      <c r="AN66" s="48" t="str">
        <f t="shared" si="67"/>
        <v/>
      </c>
      <c r="AO66" s="48" t="str">
        <f t="shared" si="67"/>
        <v/>
      </c>
      <c r="AP66" s="48" t="str">
        <f t="shared" si="67"/>
        <v/>
      </c>
      <c r="AQ66" s="48" t="str">
        <f t="shared" si="67"/>
        <v/>
      </c>
      <c r="AR66" s="48" t="str">
        <f t="shared" si="67"/>
        <v/>
      </c>
      <c r="AS66" s="48" t="str">
        <f t="shared" si="67"/>
        <v/>
      </c>
      <c r="AT66" s="48" t="str">
        <f t="shared" si="67"/>
        <v/>
      </c>
      <c r="AU66" s="48" t="str">
        <f t="shared" si="67"/>
        <v/>
      </c>
      <c r="AV66" s="48" t="str">
        <f t="shared" si="67"/>
        <v/>
      </c>
    </row>
    <row r="67" ht="15.75" customHeight="1">
      <c r="A67" s="46">
        <v>66.0</v>
      </c>
      <c r="B67" s="27"/>
      <c r="C67" s="44"/>
      <c r="D67" s="47"/>
      <c r="E67" s="47"/>
      <c r="F67" s="26"/>
      <c r="G67" s="48" t="str">
        <f t="shared" ref="G67:AV67" si="68">IF(AND($F67="Yes",G$2=$E67),"♦","")</f>
        <v/>
      </c>
      <c r="H67" s="48" t="str">
        <f t="shared" si="68"/>
        <v/>
      </c>
      <c r="I67" s="48" t="str">
        <f t="shared" si="68"/>
        <v/>
      </c>
      <c r="J67" s="48" t="str">
        <f t="shared" si="68"/>
        <v/>
      </c>
      <c r="K67" s="48" t="str">
        <f t="shared" si="68"/>
        <v/>
      </c>
      <c r="L67" s="48" t="str">
        <f t="shared" si="68"/>
        <v/>
      </c>
      <c r="M67" s="48" t="str">
        <f t="shared" si="68"/>
        <v/>
      </c>
      <c r="N67" s="48" t="str">
        <f t="shared" si="68"/>
        <v/>
      </c>
      <c r="O67" s="48" t="str">
        <f t="shared" si="68"/>
        <v/>
      </c>
      <c r="P67" s="48" t="str">
        <f t="shared" si="68"/>
        <v/>
      </c>
      <c r="Q67" s="48" t="str">
        <f t="shared" si="68"/>
        <v/>
      </c>
      <c r="R67" s="48" t="str">
        <f t="shared" si="68"/>
        <v/>
      </c>
      <c r="S67" s="48" t="str">
        <f t="shared" si="68"/>
        <v/>
      </c>
      <c r="T67" s="48" t="str">
        <f t="shared" si="68"/>
        <v/>
      </c>
      <c r="U67" s="48" t="str">
        <f t="shared" si="68"/>
        <v/>
      </c>
      <c r="V67" s="48" t="str">
        <f t="shared" si="68"/>
        <v/>
      </c>
      <c r="W67" s="48" t="str">
        <f t="shared" si="68"/>
        <v/>
      </c>
      <c r="X67" s="48" t="str">
        <f t="shared" si="68"/>
        <v/>
      </c>
      <c r="Y67" s="48" t="str">
        <f t="shared" si="68"/>
        <v/>
      </c>
      <c r="Z67" s="48" t="str">
        <f t="shared" si="68"/>
        <v/>
      </c>
      <c r="AA67" s="48" t="str">
        <f t="shared" si="68"/>
        <v/>
      </c>
      <c r="AB67" s="48" t="str">
        <f t="shared" si="68"/>
        <v/>
      </c>
      <c r="AC67" s="48" t="str">
        <f t="shared" si="68"/>
        <v/>
      </c>
      <c r="AD67" s="48" t="str">
        <f t="shared" si="68"/>
        <v/>
      </c>
      <c r="AE67" s="48" t="str">
        <f t="shared" si="68"/>
        <v/>
      </c>
      <c r="AF67" s="48" t="str">
        <f t="shared" si="68"/>
        <v/>
      </c>
      <c r="AG67" s="48" t="str">
        <f t="shared" si="68"/>
        <v/>
      </c>
      <c r="AH67" s="48" t="str">
        <f t="shared" si="68"/>
        <v/>
      </c>
      <c r="AI67" s="48" t="str">
        <f t="shared" si="68"/>
        <v/>
      </c>
      <c r="AJ67" s="48" t="str">
        <f t="shared" si="68"/>
        <v/>
      </c>
      <c r="AK67" s="48" t="str">
        <f t="shared" si="68"/>
        <v/>
      </c>
      <c r="AL67" s="48" t="str">
        <f t="shared" si="68"/>
        <v/>
      </c>
      <c r="AM67" s="48" t="str">
        <f t="shared" si="68"/>
        <v/>
      </c>
      <c r="AN67" s="48" t="str">
        <f t="shared" si="68"/>
        <v/>
      </c>
      <c r="AO67" s="48" t="str">
        <f t="shared" si="68"/>
        <v/>
      </c>
      <c r="AP67" s="48" t="str">
        <f t="shared" si="68"/>
        <v/>
      </c>
      <c r="AQ67" s="48" t="str">
        <f t="shared" si="68"/>
        <v/>
      </c>
      <c r="AR67" s="48" t="str">
        <f t="shared" si="68"/>
        <v/>
      </c>
      <c r="AS67" s="48" t="str">
        <f t="shared" si="68"/>
        <v/>
      </c>
      <c r="AT67" s="48" t="str">
        <f t="shared" si="68"/>
        <v/>
      </c>
      <c r="AU67" s="48" t="str">
        <f t="shared" si="68"/>
        <v/>
      </c>
      <c r="AV67" s="48" t="str">
        <f t="shared" si="68"/>
        <v/>
      </c>
    </row>
    <row r="68" ht="15.75" customHeight="1">
      <c r="A68" s="46">
        <v>67.0</v>
      </c>
      <c r="B68" s="27"/>
      <c r="C68" s="44"/>
      <c r="D68" s="47"/>
      <c r="E68" s="47"/>
      <c r="F68" s="26"/>
      <c r="G68" s="48" t="str">
        <f t="shared" ref="G68:AV68" si="69">IF(AND($F68="Yes",G$2=$E68),"♦","")</f>
        <v/>
      </c>
      <c r="H68" s="48" t="str">
        <f t="shared" si="69"/>
        <v/>
      </c>
      <c r="I68" s="48" t="str">
        <f t="shared" si="69"/>
        <v/>
      </c>
      <c r="J68" s="48" t="str">
        <f t="shared" si="69"/>
        <v/>
      </c>
      <c r="K68" s="48" t="str">
        <f t="shared" si="69"/>
        <v/>
      </c>
      <c r="L68" s="48" t="str">
        <f t="shared" si="69"/>
        <v/>
      </c>
      <c r="M68" s="48" t="str">
        <f t="shared" si="69"/>
        <v/>
      </c>
      <c r="N68" s="48" t="str">
        <f t="shared" si="69"/>
        <v/>
      </c>
      <c r="O68" s="48" t="str">
        <f t="shared" si="69"/>
        <v/>
      </c>
      <c r="P68" s="48" t="str">
        <f t="shared" si="69"/>
        <v/>
      </c>
      <c r="Q68" s="48" t="str">
        <f t="shared" si="69"/>
        <v/>
      </c>
      <c r="R68" s="48" t="str">
        <f t="shared" si="69"/>
        <v/>
      </c>
      <c r="S68" s="48" t="str">
        <f t="shared" si="69"/>
        <v/>
      </c>
      <c r="T68" s="48" t="str">
        <f t="shared" si="69"/>
        <v/>
      </c>
      <c r="U68" s="48" t="str">
        <f t="shared" si="69"/>
        <v/>
      </c>
      <c r="V68" s="48" t="str">
        <f t="shared" si="69"/>
        <v/>
      </c>
      <c r="W68" s="48" t="str">
        <f t="shared" si="69"/>
        <v/>
      </c>
      <c r="X68" s="48" t="str">
        <f t="shared" si="69"/>
        <v/>
      </c>
      <c r="Y68" s="48" t="str">
        <f t="shared" si="69"/>
        <v/>
      </c>
      <c r="Z68" s="48" t="str">
        <f t="shared" si="69"/>
        <v/>
      </c>
      <c r="AA68" s="48" t="str">
        <f t="shared" si="69"/>
        <v/>
      </c>
      <c r="AB68" s="48" t="str">
        <f t="shared" si="69"/>
        <v/>
      </c>
      <c r="AC68" s="48" t="str">
        <f t="shared" si="69"/>
        <v/>
      </c>
      <c r="AD68" s="48" t="str">
        <f t="shared" si="69"/>
        <v/>
      </c>
      <c r="AE68" s="48" t="str">
        <f t="shared" si="69"/>
        <v/>
      </c>
      <c r="AF68" s="48" t="str">
        <f t="shared" si="69"/>
        <v/>
      </c>
      <c r="AG68" s="48" t="str">
        <f t="shared" si="69"/>
        <v/>
      </c>
      <c r="AH68" s="48" t="str">
        <f t="shared" si="69"/>
        <v/>
      </c>
      <c r="AI68" s="48" t="str">
        <f t="shared" si="69"/>
        <v/>
      </c>
      <c r="AJ68" s="48" t="str">
        <f t="shared" si="69"/>
        <v/>
      </c>
      <c r="AK68" s="48" t="str">
        <f t="shared" si="69"/>
        <v/>
      </c>
      <c r="AL68" s="48" t="str">
        <f t="shared" si="69"/>
        <v/>
      </c>
      <c r="AM68" s="48" t="str">
        <f t="shared" si="69"/>
        <v/>
      </c>
      <c r="AN68" s="48" t="str">
        <f t="shared" si="69"/>
        <v/>
      </c>
      <c r="AO68" s="48" t="str">
        <f t="shared" si="69"/>
        <v/>
      </c>
      <c r="AP68" s="48" t="str">
        <f t="shared" si="69"/>
        <v/>
      </c>
      <c r="AQ68" s="48" t="str">
        <f t="shared" si="69"/>
        <v/>
      </c>
      <c r="AR68" s="48" t="str">
        <f t="shared" si="69"/>
        <v/>
      </c>
      <c r="AS68" s="48" t="str">
        <f t="shared" si="69"/>
        <v/>
      </c>
      <c r="AT68" s="48" t="str">
        <f t="shared" si="69"/>
        <v/>
      </c>
      <c r="AU68" s="48" t="str">
        <f t="shared" si="69"/>
        <v/>
      </c>
      <c r="AV68" s="48" t="str">
        <f t="shared" si="69"/>
        <v/>
      </c>
    </row>
    <row r="69" ht="15.75" customHeight="1">
      <c r="A69" s="46">
        <v>68.0</v>
      </c>
      <c r="B69" s="27"/>
      <c r="C69" s="44"/>
      <c r="D69" s="47"/>
      <c r="E69" s="47"/>
      <c r="F69" s="26"/>
      <c r="G69" s="48" t="str">
        <f t="shared" ref="G69:AV69" si="70">IF(AND($F69="Yes",G$2=$E69),"♦","")</f>
        <v/>
      </c>
      <c r="H69" s="48" t="str">
        <f t="shared" si="70"/>
        <v/>
      </c>
      <c r="I69" s="48" t="str">
        <f t="shared" si="70"/>
        <v/>
      </c>
      <c r="J69" s="48" t="str">
        <f t="shared" si="70"/>
        <v/>
      </c>
      <c r="K69" s="48" t="str">
        <f t="shared" si="70"/>
        <v/>
      </c>
      <c r="L69" s="48" t="str">
        <f t="shared" si="70"/>
        <v/>
      </c>
      <c r="M69" s="48" t="str">
        <f t="shared" si="70"/>
        <v/>
      </c>
      <c r="N69" s="48" t="str">
        <f t="shared" si="70"/>
        <v/>
      </c>
      <c r="O69" s="48" t="str">
        <f t="shared" si="70"/>
        <v/>
      </c>
      <c r="P69" s="48" t="str">
        <f t="shared" si="70"/>
        <v/>
      </c>
      <c r="Q69" s="48" t="str">
        <f t="shared" si="70"/>
        <v/>
      </c>
      <c r="R69" s="48" t="str">
        <f t="shared" si="70"/>
        <v/>
      </c>
      <c r="S69" s="48" t="str">
        <f t="shared" si="70"/>
        <v/>
      </c>
      <c r="T69" s="48" t="str">
        <f t="shared" si="70"/>
        <v/>
      </c>
      <c r="U69" s="48" t="str">
        <f t="shared" si="70"/>
        <v/>
      </c>
      <c r="V69" s="48" t="str">
        <f t="shared" si="70"/>
        <v/>
      </c>
      <c r="W69" s="48" t="str">
        <f t="shared" si="70"/>
        <v/>
      </c>
      <c r="X69" s="48" t="str">
        <f t="shared" si="70"/>
        <v/>
      </c>
      <c r="Y69" s="48" t="str">
        <f t="shared" si="70"/>
        <v/>
      </c>
      <c r="Z69" s="48" t="str">
        <f t="shared" si="70"/>
        <v/>
      </c>
      <c r="AA69" s="48" t="str">
        <f t="shared" si="70"/>
        <v/>
      </c>
      <c r="AB69" s="48" t="str">
        <f t="shared" si="70"/>
        <v/>
      </c>
      <c r="AC69" s="48" t="str">
        <f t="shared" si="70"/>
        <v/>
      </c>
      <c r="AD69" s="48" t="str">
        <f t="shared" si="70"/>
        <v/>
      </c>
      <c r="AE69" s="48" t="str">
        <f t="shared" si="70"/>
        <v/>
      </c>
      <c r="AF69" s="48" t="str">
        <f t="shared" si="70"/>
        <v/>
      </c>
      <c r="AG69" s="48" t="str">
        <f t="shared" si="70"/>
        <v/>
      </c>
      <c r="AH69" s="48" t="str">
        <f t="shared" si="70"/>
        <v/>
      </c>
      <c r="AI69" s="48" t="str">
        <f t="shared" si="70"/>
        <v/>
      </c>
      <c r="AJ69" s="48" t="str">
        <f t="shared" si="70"/>
        <v/>
      </c>
      <c r="AK69" s="48" t="str">
        <f t="shared" si="70"/>
        <v/>
      </c>
      <c r="AL69" s="48" t="str">
        <f t="shared" si="70"/>
        <v/>
      </c>
      <c r="AM69" s="48" t="str">
        <f t="shared" si="70"/>
        <v/>
      </c>
      <c r="AN69" s="48" t="str">
        <f t="shared" si="70"/>
        <v/>
      </c>
      <c r="AO69" s="48" t="str">
        <f t="shared" si="70"/>
        <v/>
      </c>
      <c r="AP69" s="48" t="str">
        <f t="shared" si="70"/>
        <v/>
      </c>
      <c r="AQ69" s="48" t="str">
        <f t="shared" si="70"/>
        <v/>
      </c>
      <c r="AR69" s="48" t="str">
        <f t="shared" si="70"/>
        <v/>
      </c>
      <c r="AS69" s="48" t="str">
        <f t="shared" si="70"/>
        <v/>
      </c>
      <c r="AT69" s="48" t="str">
        <f t="shared" si="70"/>
        <v/>
      </c>
      <c r="AU69" s="48" t="str">
        <f t="shared" si="70"/>
        <v/>
      </c>
      <c r="AV69" s="48" t="str">
        <f t="shared" si="70"/>
        <v/>
      </c>
    </row>
    <row r="70" ht="15.75" customHeight="1">
      <c r="A70" s="46">
        <v>69.0</v>
      </c>
      <c r="B70" s="27"/>
      <c r="C70" s="44"/>
      <c r="D70" s="47"/>
      <c r="E70" s="47"/>
      <c r="F70" s="26"/>
      <c r="G70" s="48" t="str">
        <f t="shared" ref="G70:AV70" si="71">IF(AND($F70="Yes",G$2=$E70),"♦","")</f>
        <v/>
      </c>
      <c r="H70" s="48" t="str">
        <f t="shared" si="71"/>
        <v/>
      </c>
      <c r="I70" s="48" t="str">
        <f t="shared" si="71"/>
        <v/>
      </c>
      <c r="J70" s="48" t="str">
        <f t="shared" si="71"/>
        <v/>
      </c>
      <c r="K70" s="48" t="str">
        <f t="shared" si="71"/>
        <v/>
      </c>
      <c r="L70" s="48" t="str">
        <f t="shared" si="71"/>
        <v/>
      </c>
      <c r="M70" s="48" t="str">
        <f t="shared" si="71"/>
        <v/>
      </c>
      <c r="N70" s="48" t="str">
        <f t="shared" si="71"/>
        <v/>
      </c>
      <c r="O70" s="48" t="str">
        <f t="shared" si="71"/>
        <v/>
      </c>
      <c r="P70" s="48" t="str">
        <f t="shared" si="71"/>
        <v/>
      </c>
      <c r="Q70" s="48" t="str">
        <f t="shared" si="71"/>
        <v/>
      </c>
      <c r="R70" s="48" t="str">
        <f t="shared" si="71"/>
        <v/>
      </c>
      <c r="S70" s="48" t="str">
        <f t="shared" si="71"/>
        <v/>
      </c>
      <c r="T70" s="48" t="str">
        <f t="shared" si="71"/>
        <v/>
      </c>
      <c r="U70" s="48" t="str">
        <f t="shared" si="71"/>
        <v/>
      </c>
      <c r="V70" s="48" t="str">
        <f t="shared" si="71"/>
        <v/>
      </c>
      <c r="W70" s="48" t="str">
        <f t="shared" si="71"/>
        <v/>
      </c>
      <c r="X70" s="48" t="str">
        <f t="shared" si="71"/>
        <v/>
      </c>
      <c r="Y70" s="48" t="str">
        <f t="shared" si="71"/>
        <v/>
      </c>
      <c r="Z70" s="48" t="str">
        <f t="shared" si="71"/>
        <v/>
      </c>
      <c r="AA70" s="48" t="str">
        <f t="shared" si="71"/>
        <v/>
      </c>
      <c r="AB70" s="48" t="str">
        <f t="shared" si="71"/>
        <v/>
      </c>
      <c r="AC70" s="48" t="str">
        <f t="shared" si="71"/>
        <v/>
      </c>
      <c r="AD70" s="48" t="str">
        <f t="shared" si="71"/>
        <v/>
      </c>
      <c r="AE70" s="48" t="str">
        <f t="shared" si="71"/>
        <v/>
      </c>
      <c r="AF70" s="48" t="str">
        <f t="shared" si="71"/>
        <v/>
      </c>
      <c r="AG70" s="48" t="str">
        <f t="shared" si="71"/>
        <v/>
      </c>
      <c r="AH70" s="48" t="str">
        <f t="shared" si="71"/>
        <v/>
      </c>
      <c r="AI70" s="48" t="str">
        <f t="shared" si="71"/>
        <v/>
      </c>
      <c r="AJ70" s="48" t="str">
        <f t="shared" si="71"/>
        <v/>
      </c>
      <c r="AK70" s="48" t="str">
        <f t="shared" si="71"/>
        <v/>
      </c>
      <c r="AL70" s="48" t="str">
        <f t="shared" si="71"/>
        <v/>
      </c>
      <c r="AM70" s="48" t="str">
        <f t="shared" si="71"/>
        <v/>
      </c>
      <c r="AN70" s="48" t="str">
        <f t="shared" si="71"/>
        <v/>
      </c>
      <c r="AO70" s="48" t="str">
        <f t="shared" si="71"/>
        <v/>
      </c>
      <c r="AP70" s="48" t="str">
        <f t="shared" si="71"/>
        <v/>
      </c>
      <c r="AQ70" s="48" t="str">
        <f t="shared" si="71"/>
        <v/>
      </c>
      <c r="AR70" s="48" t="str">
        <f t="shared" si="71"/>
        <v/>
      </c>
      <c r="AS70" s="48" t="str">
        <f t="shared" si="71"/>
        <v/>
      </c>
      <c r="AT70" s="48" t="str">
        <f t="shared" si="71"/>
        <v/>
      </c>
      <c r="AU70" s="48" t="str">
        <f t="shared" si="71"/>
        <v/>
      </c>
      <c r="AV70" s="48" t="str">
        <f t="shared" si="71"/>
        <v/>
      </c>
    </row>
    <row r="71" ht="15.75" customHeight="1">
      <c r="A71" s="46">
        <v>70.0</v>
      </c>
      <c r="B71" s="27"/>
      <c r="C71" s="44"/>
      <c r="D71" s="47"/>
      <c r="E71" s="47"/>
      <c r="F71" s="26"/>
      <c r="G71" s="48" t="str">
        <f t="shared" ref="G71:AV71" si="72">IF(AND($F71="Yes",G$2=$E71),"♦","")</f>
        <v/>
      </c>
      <c r="H71" s="48" t="str">
        <f t="shared" si="72"/>
        <v/>
      </c>
      <c r="I71" s="48" t="str">
        <f t="shared" si="72"/>
        <v/>
      </c>
      <c r="J71" s="48" t="str">
        <f t="shared" si="72"/>
        <v/>
      </c>
      <c r="K71" s="48" t="str">
        <f t="shared" si="72"/>
        <v/>
      </c>
      <c r="L71" s="48" t="str">
        <f t="shared" si="72"/>
        <v/>
      </c>
      <c r="M71" s="48" t="str">
        <f t="shared" si="72"/>
        <v/>
      </c>
      <c r="N71" s="48" t="str">
        <f t="shared" si="72"/>
        <v/>
      </c>
      <c r="O71" s="48" t="str">
        <f t="shared" si="72"/>
        <v/>
      </c>
      <c r="P71" s="48" t="str">
        <f t="shared" si="72"/>
        <v/>
      </c>
      <c r="Q71" s="48" t="str">
        <f t="shared" si="72"/>
        <v/>
      </c>
      <c r="R71" s="48" t="str">
        <f t="shared" si="72"/>
        <v/>
      </c>
      <c r="S71" s="48" t="str">
        <f t="shared" si="72"/>
        <v/>
      </c>
      <c r="T71" s="48" t="str">
        <f t="shared" si="72"/>
        <v/>
      </c>
      <c r="U71" s="48" t="str">
        <f t="shared" si="72"/>
        <v/>
      </c>
      <c r="V71" s="48" t="str">
        <f t="shared" si="72"/>
        <v/>
      </c>
      <c r="W71" s="48" t="str">
        <f t="shared" si="72"/>
        <v/>
      </c>
      <c r="X71" s="48" t="str">
        <f t="shared" si="72"/>
        <v/>
      </c>
      <c r="Y71" s="48" t="str">
        <f t="shared" si="72"/>
        <v/>
      </c>
      <c r="Z71" s="48" t="str">
        <f t="shared" si="72"/>
        <v/>
      </c>
      <c r="AA71" s="48" t="str">
        <f t="shared" si="72"/>
        <v/>
      </c>
      <c r="AB71" s="48" t="str">
        <f t="shared" si="72"/>
        <v/>
      </c>
      <c r="AC71" s="48" t="str">
        <f t="shared" si="72"/>
        <v/>
      </c>
      <c r="AD71" s="48" t="str">
        <f t="shared" si="72"/>
        <v/>
      </c>
      <c r="AE71" s="48" t="str">
        <f t="shared" si="72"/>
        <v/>
      </c>
      <c r="AF71" s="48" t="str">
        <f t="shared" si="72"/>
        <v/>
      </c>
      <c r="AG71" s="48" t="str">
        <f t="shared" si="72"/>
        <v/>
      </c>
      <c r="AH71" s="48" t="str">
        <f t="shared" si="72"/>
        <v/>
      </c>
      <c r="AI71" s="48" t="str">
        <f t="shared" si="72"/>
        <v/>
      </c>
      <c r="AJ71" s="48" t="str">
        <f t="shared" si="72"/>
        <v/>
      </c>
      <c r="AK71" s="48" t="str">
        <f t="shared" si="72"/>
        <v/>
      </c>
      <c r="AL71" s="48" t="str">
        <f t="shared" si="72"/>
        <v/>
      </c>
      <c r="AM71" s="48" t="str">
        <f t="shared" si="72"/>
        <v/>
      </c>
      <c r="AN71" s="48" t="str">
        <f t="shared" si="72"/>
        <v/>
      </c>
      <c r="AO71" s="48" t="str">
        <f t="shared" si="72"/>
        <v/>
      </c>
      <c r="AP71" s="48" t="str">
        <f t="shared" si="72"/>
        <v/>
      </c>
      <c r="AQ71" s="48" t="str">
        <f t="shared" si="72"/>
        <v/>
      </c>
      <c r="AR71" s="48" t="str">
        <f t="shared" si="72"/>
        <v/>
      </c>
      <c r="AS71" s="48" t="str">
        <f t="shared" si="72"/>
        <v/>
      </c>
      <c r="AT71" s="48" t="str">
        <f t="shared" si="72"/>
        <v/>
      </c>
      <c r="AU71" s="48" t="str">
        <f t="shared" si="72"/>
        <v/>
      </c>
      <c r="AV71" s="48" t="str">
        <f t="shared" si="72"/>
        <v/>
      </c>
    </row>
    <row r="72" ht="15.75" customHeight="1">
      <c r="A72" s="46">
        <v>71.0</v>
      </c>
      <c r="B72" s="27"/>
      <c r="C72" s="44"/>
      <c r="D72" s="47"/>
      <c r="E72" s="47"/>
      <c r="F72" s="26"/>
      <c r="G72" s="48" t="str">
        <f t="shared" ref="G72:AV72" si="73">IF(AND($F72="Yes",G$2=$E72),"♦","")</f>
        <v/>
      </c>
      <c r="H72" s="48" t="str">
        <f t="shared" si="73"/>
        <v/>
      </c>
      <c r="I72" s="48" t="str">
        <f t="shared" si="73"/>
        <v/>
      </c>
      <c r="J72" s="48" t="str">
        <f t="shared" si="73"/>
        <v/>
      </c>
      <c r="K72" s="48" t="str">
        <f t="shared" si="73"/>
        <v/>
      </c>
      <c r="L72" s="48" t="str">
        <f t="shared" si="73"/>
        <v/>
      </c>
      <c r="M72" s="48" t="str">
        <f t="shared" si="73"/>
        <v/>
      </c>
      <c r="N72" s="48" t="str">
        <f t="shared" si="73"/>
        <v/>
      </c>
      <c r="O72" s="48" t="str">
        <f t="shared" si="73"/>
        <v/>
      </c>
      <c r="P72" s="48" t="str">
        <f t="shared" si="73"/>
        <v/>
      </c>
      <c r="Q72" s="48" t="str">
        <f t="shared" si="73"/>
        <v/>
      </c>
      <c r="R72" s="48" t="str">
        <f t="shared" si="73"/>
        <v/>
      </c>
      <c r="S72" s="48" t="str">
        <f t="shared" si="73"/>
        <v/>
      </c>
      <c r="T72" s="48" t="str">
        <f t="shared" si="73"/>
        <v/>
      </c>
      <c r="U72" s="48" t="str">
        <f t="shared" si="73"/>
        <v/>
      </c>
      <c r="V72" s="48" t="str">
        <f t="shared" si="73"/>
        <v/>
      </c>
      <c r="W72" s="48" t="str">
        <f t="shared" si="73"/>
        <v/>
      </c>
      <c r="X72" s="48" t="str">
        <f t="shared" si="73"/>
        <v/>
      </c>
      <c r="Y72" s="48" t="str">
        <f t="shared" si="73"/>
        <v/>
      </c>
      <c r="Z72" s="48" t="str">
        <f t="shared" si="73"/>
        <v/>
      </c>
      <c r="AA72" s="48" t="str">
        <f t="shared" si="73"/>
        <v/>
      </c>
      <c r="AB72" s="48" t="str">
        <f t="shared" si="73"/>
        <v/>
      </c>
      <c r="AC72" s="48" t="str">
        <f t="shared" si="73"/>
        <v/>
      </c>
      <c r="AD72" s="48" t="str">
        <f t="shared" si="73"/>
        <v/>
      </c>
      <c r="AE72" s="48" t="str">
        <f t="shared" si="73"/>
        <v/>
      </c>
      <c r="AF72" s="48" t="str">
        <f t="shared" si="73"/>
        <v/>
      </c>
      <c r="AG72" s="48" t="str">
        <f t="shared" si="73"/>
        <v/>
      </c>
      <c r="AH72" s="48" t="str">
        <f t="shared" si="73"/>
        <v/>
      </c>
      <c r="AI72" s="48" t="str">
        <f t="shared" si="73"/>
        <v/>
      </c>
      <c r="AJ72" s="48" t="str">
        <f t="shared" si="73"/>
        <v/>
      </c>
      <c r="AK72" s="48" t="str">
        <f t="shared" si="73"/>
        <v/>
      </c>
      <c r="AL72" s="48" t="str">
        <f t="shared" si="73"/>
        <v/>
      </c>
      <c r="AM72" s="48" t="str">
        <f t="shared" si="73"/>
        <v/>
      </c>
      <c r="AN72" s="48" t="str">
        <f t="shared" si="73"/>
        <v/>
      </c>
      <c r="AO72" s="48" t="str">
        <f t="shared" si="73"/>
        <v/>
      </c>
      <c r="AP72" s="48" t="str">
        <f t="shared" si="73"/>
        <v/>
      </c>
      <c r="AQ72" s="48" t="str">
        <f t="shared" si="73"/>
        <v/>
      </c>
      <c r="AR72" s="48" t="str">
        <f t="shared" si="73"/>
        <v/>
      </c>
      <c r="AS72" s="48" t="str">
        <f t="shared" si="73"/>
        <v/>
      </c>
      <c r="AT72" s="48" t="str">
        <f t="shared" si="73"/>
        <v/>
      </c>
      <c r="AU72" s="48" t="str">
        <f t="shared" si="73"/>
        <v/>
      </c>
      <c r="AV72" s="48" t="str">
        <f t="shared" si="73"/>
        <v/>
      </c>
    </row>
    <row r="73" ht="15.75" customHeight="1">
      <c r="A73" s="46">
        <v>72.0</v>
      </c>
      <c r="B73" s="27"/>
      <c r="C73" s="44"/>
      <c r="D73" s="47"/>
      <c r="E73" s="47"/>
      <c r="F73" s="26"/>
      <c r="G73" s="48" t="str">
        <f t="shared" ref="G73:AV73" si="74">IF(AND($F73="Yes",G$2=$E73),"♦","")</f>
        <v/>
      </c>
      <c r="H73" s="48" t="str">
        <f t="shared" si="74"/>
        <v/>
      </c>
      <c r="I73" s="48" t="str">
        <f t="shared" si="74"/>
        <v/>
      </c>
      <c r="J73" s="48" t="str">
        <f t="shared" si="74"/>
        <v/>
      </c>
      <c r="K73" s="48" t="str">
        <f t="shared" si="74"/>
        <v/>
      </c>
      <c r="L73" s="48" t="str">
        <f t="shared" si="74"/>
        <v/>
      </c>
      <c r="M73" s="48" t="str">
        <f t="shared" si="74"/>
        <v/>
      </c>
      <c r="N73" s="48" t="str">
        <f t="shared" si="74"/>
        <v/>
      </c>
      <c r="O73" s="48" t="str">
        <f t="shared" si="74"/>
        <v/>
      </c>
      <c r="P73" s="48" t="str">
        <f t="shared" si="74"/>
        <v/>
      </c>
      <c r="Q73" s="48" t="str">
        <f t="shared" si="74"/>
        <v/>
      </c>
      <c r="R73" s="48" t="str">
        <f t="shared" si="74"/>
        <v/>
      </c>
      <c r="S73" s="48" t="str">
        <f t="shared" si="74"/>
        <v/>
      </c>
      <c r="T73" s="48" t="str">
        <f t="shared" si="74"/>
        <v/>
      </c>
      <c r="U73" s="48" t="str">
        <f t="shared" si="74"/>
        <v/>
      </c>
      <c r="V73" s="48" t="str">
        <f t="shared" si="74"/>
        <v/>
      </c>
      <c r="W73" s="48" t="str">
        <f t="shared" si="74"/>
        <v/>
      </c>
      <c r="X73" s="48" t="str">
        <f t="shared" si="74"/>
        <v/>
      </c>
      <c r="Y73" s="48" t="str">
        <f t="shared" si="74"/>
        <v/>
      </c>
      <c r="Z73" s="48" t="str">
        <f t="shared" si="74"/>
        <v/>
      </c>
      <c r="AA73" s="48" t="str">
        <f t="shared" si="74"/>
        <v/>
      </c>
      <c r="AB73" s="48" t="str">
        <f t="shared" si="74"/>
        <v/>
      </c>
      <c r="AC73" s="48" t="str">
        <f t="shared" si="74"/>
        <v/>
      </c>
      <c r="AD73" s="48" t="str">
        <f t="shared" si="74"/>
        <v/>
      </c>
      <c r="AE73" s="48" t="str">
        <f t="shared" si="74"/>
        <v/>
      </c>
      <c r="AF73" s="48" t="str">
        <f t="shared" si="74"/>
        <v/>
      </c>
      <c r="AG73" s="48" t="str">
        <f t="shared" si="74"/>
        <v/>
      </c>
      <c r="AH73" s="48" t="str">
        <f t="shared" si="74"/>
        <v/>
      </c>
      <c r="AI73" s="48" t="str">
        <f t="shared" si="74"/>
        <v/>
      </c>
      <c r="AJ73" s="48" t="str">
        <f t="shared" si="74"/>
        <v/>
      </c>
      <c r="AK73" s="48" t="str">
        <f t="shared" si="74"/>
        <v/>
      </c>
      <c r="AL73" s="48" t="str">
        <f t="shared" si="74"/>
        <v/>
      </c>
      <c r="AM73" s="48" t="str">
        <f t="shared" si="74"/>
        <v/>
      </c>
      <c r="AN73" s="48" t="str">
        <f t="shared" si="74"/>
        <v/>
      </c>
      <c r="AO73" s="48" t="str">
        <f t="shared" si="74"/>
        <v/>
      </c>
      <c r="AP73" s="48" t="str">
        <f t="shared" si="74"/>
        <v/>
      </c>
      <c r="AQ73" s="48" t="str">
        <f t="shared" si="74"/>
        <v/>
      </c>
      <c r="AR73" s="48" t="str">
        <f t="shared" si="74"/>
        <v/>
      </c>
      <c r="AS73" s="48" t="str">
        <f t="shared" si="74"/>
        <v/>
      </c>
      <c r="AT73" s="48" t="str">
        <f t="shared" si="74"/>
        <v/>
      </c>
      <c r="AU73" s="48" t="str">
        <f t="shared" si="74"/>
        <v/>
      </c>
      <c r="AV73" s="48" t="str">
        <f t="shared" si="74"/>
        <v/>
      </c>
    </row>
    <row r="74" ht="15.75" customHeight="1">
      <c r="A74" s="46">
        <v>73.0</v>
      </c>
      <c r="B74" s="27"/>
      <c r="C74" s="44"/>
      <c r="D74" s="47"/>
      <c r="E74" s="47"/>
      <c r="F74" s="26"/>
      <c r="G74" s="48" t="str">
        <f t="shared" ref="G74:AV74" si="75">IF(AND($F74="Yes",G$2=$E74),"♦","")</f>
        <v/>
      </c>
      <c r="H74" s="48" t="str">
        <f t="shared" si="75"/>
        <v/>
      </c>
      <c r="I74" s="48" t="str">
        <f t="shared" si="75"/>
        <v/>
      </c>
      <c r="J74" s="48" t="str">
        <f t="shared" si="75"/>
        <v/>
      </c>
      <c r="K74" s="48" t="str">
        <f t="shared" si="75"/>
        <v/>
      </c>
      <c r="L74" s="48" t="str">
        <f t="shared" si="75"/>
        <v/>
      </c>
      <c r="M74" s="48" t="str">
        <f t="shared" si="75"/>
        <v/>
      </c>
      <c r="N74" s="48" t="str">
        <f t="shared" si="75"/>
        <v/>
      </c>
      <c r="O74" s="48" t="str">
        <f t="shared" si="75"/>
        <v/>
      </c>
      <c r="P74" s="48" t="str">
        <f t="shared" si="75"/>
        <v/>
      </c>
      <c r="Q74" s="48" t="str">
        <f t="shared" si="75"/>
        <v/>
      </c>
      <c r="R74" s="48" t="str">
        <f t="shared" si="75"/>
        <v/>
      </c>
      <c r="S74" s="48" t="str">
        <f t="shared" si="75"/>
        <v/>
      </c>
      <c r="T74" s="48" t="str">
        <f t="shared" si="75"/>
        <v/>
      </c>
      <c r="U74" s="48" t="str">
        <f t="shared" si="75"/>
        <v/>
      </c>
      <c r="V74" s="48" t="str">
        <f t="shared" si="75"/>
        <v/>
      </c>
      <c r="W74" s="48" t="str">
        <f t="shared" si="75"/>
        <v/>
      </c>
      <c r="X74" s="48" t="str">
        <f t="shared" si="75"/>
        <v/>
      </c>
      <c r="Y74" s="48" t="str">
        <f t="shared" si="75"/>
        <v/>
      </c>
      <c r="Z74" s="48" t="str">
        <f t="shared" si="75"/>
        <v/>
      </c>
      <c r="AA74" s="48" t="str">
        <f t="shared" si="75"/>
        <v/>
      </c>
      <c r="AB74" s="48" t="str">
        <f t="shared" si="75"/>
        <v/>
      </c>
      <c r="AC74" s="48" t="str">
        <f t="shared" si="75"/>
        <v/>
      </c>
      <c r="AD74" s="48" t="str">
        <f t="shared" si="75"/>
        <v/>
      </c>
      <c r="AE74" s="48" t="str">
        <f t="shared" si="75"/>
        <v/>
      </c>
      <c r="AF74" s="48" t="str">
        <f t="shared" si="75"/>
        <v/>
      </c>
      <c r="AG74" s="48" t="str">
        <f t="shared" si="75"/>
        <v/>
      </c>
      <c r="AH74" s="48" t="str">
        <f t="shared" si="75"/>
        <v/>
      </c>
      <c r="AI74" s="48" t="str">
        <f t="shared" si="75"/>
        <v/>
      </c>
      <c r="AJ74" s="48" t="str">
        <f t="shared" si="75"/>
        <v/>
      </c>
      <c r="AK74" s="48" t="str">
        <f t="shared" si="75"/>
        <v/>
      </c>
      <c r="AL74" s="48" t="str">
        <f t="shared" si="75"/>
        <v/>
      </c>
      <c r="AM74" s="48" t="str">
        <f t="shared" si="75"/>
        <v/>
      </c>
      <c r="AN74" s="48" t="str">
        <f t="shared" si="75"/>
        <v/>
      </c>
      <c r="AO74" s="48" t="str">
        <f t="shared" si="75"/>
        <v/>
      </c>
      <c r="AP74" s="48" t="str">
        <f t="shared" si="75"/>
        <v/>
      </c>
      <c r="AQ74" s="48" t="str">
        <f t="shared" si="75"/>
        <v/>
      </c>
      <c r="AR74" s="48" t="str">
        <f t="shared" si="75"/>
        <v/>
      </c>
      <c r="AS74" s="48" t="str">
        <f t="shared" si="75"/>
        <v/>
      </c>
      <c r="AT74" s="48" t="str">
        <f t="shared" si="75"/>
        <v/>
      </c>
      <c r="AU74" s="48" t="str">
        <f t="shared" si="75"/>
        <v/>
      </c>
      <c r="AV74" s="48" t="str">
        <f t="shared" si="75"/>
        <v/>
      </c>
    </row>
    <row r="75" ht="15.75" customHeight="1">
      <c r="A75" s="46">
        <v>74.0</v>
      </c>
      <c r="B75" s="27"/>
      <c r="C75" s="44"/>
      <c r="D75" s="47"/>
      <c r="E75" s="47"/>
      <c r="F75" s="26"/>
      <c r="G75" s="48" t="str">
        <f t="shared" ref="G75:AV75" si="76">IF(AND($F75="Yes",G$2=$E75),"♦","")</f>
        <v/>
      </c>
      <c r="H75" s="48" t="str">
        <f t="shared" si="76"/>
        <v/>
      </c>
      <c r="I75" s="48" t="str">
        <f t="shared" si="76"/>
        <v/>
      </c>
      <c r="J75" s="48" t="str">
        <f t="shared" si="76"/>
        <v/>
      </c>
      <c r="K75" s="48" t="str">
        <f t="shared" si="76"/>
        <v/>
      </c>
      <c r="L75" s="48" t="str">
        <f t="shared" si="76"/>
        <v/>
      </c>
      <c r="M75" s="48" t="str">
        <f t="shared" si="76"/>
        <v/>
      </c>
      <c r="N75" s="48" t="str">
        <f t="shared" si="76"/>
        <v/>
      </c>
      <c r="O75" s="48" t="str">
        <f t="shared" si="76"/>
        <v/>
      </c>
      <c r="P75" s="48" t="str">
        <f t="shared" si="76"/>
        <v/>
      </c>
      <c r="Q75" s="48" t="str">
        <f t="shared" si="76"/>
        <v/>
      </c>
      <c r="R75" s="48" t="str">
        <f t="shared" si="76"/>
        <v/>
      </c>
      <c r="S75" s="48" t="str">
        <f t="shared" si="76"/>
        <v/>
      </c>
      <c r="T75" s="48" t="str">
        <f t="shared" si="76"/>
        <v/>
      </c>
      <c r="U75" s="48" t="str">
        <f t="shared" si="76"/>
        <v/>
      </c>
      <c r="V75" s="48" t="str">
        <f t="shared" si="76"/>
        <v/>
      </c>
      <c r="W75" s="48" t="str">
        <f t="shared" si="76"/>
        <v/>
      </c>
      <c r="X75" s="48" t="str">
        <f t="shared" si="76"/>
        <v/>
      </c>
      <c r="Y75" s="48" t="str">
        <f t="shared" si="76"/>
        <v/>
      </c>
      <c r="Z75" s="48" t="str">
        <f t="shared" si="76"/>
        <v/>
      </c>
      <c r="AA75" s="48" t="str">
        <f t="shared" si="76"/>
        <v/>
      </c>
      <c r="AB75" s="48" t="str">
        <f t="shared" si="76"/>
        <v/>
      </c>
      <c r="AC75" s="48" t="str">
        <f t="shared" si="76"/>
        <v/>
      </c>
      <c r="AD75" s="48" t="str">
        <f t="shared" si="76"/>
        <v/>
      </c>
      <c r="AE75" s="48" t="str">
        <f t="shared" si="76"/>
        <v/>
      </c>
      <c r="AF75" s="48" t="str">
        <f t="shared" si="76"/>
        <v/>
      </c>
      <c r="AG75" s="48" t="str">
        <f t="shared" si="76"/>
        <v/>
      </c>
      <c r="AH75" s="48" t="str">
        <f t="shared" si="76"/>
        <v/>
      </c>
      <c r="AI75" s="48" t="str">
        <f t="shared" si="76"/>
        <v/>
      </c>
      <c r="AJ75" s="48" t="str">
        <f t="shared" si="76"/>
        <v/>
      </c>
      <c r="AK75" s="48" t="str">
        <f t="shared" si="76"/>
        <v/>
      </c>
      <c r="AL75" s="48" t="str">
        <f t="shared" si="76"/>
        <v/>
      </c>
      <c r="AM75" s="48" t="str">
        <f t="shared" si="76"/>
        <v/>
      </c>
      <c r="AN75" s="48" t="str">
        <f t="shared" si="76"/>
        <v/>
      </c>
      <c r="AO75" s="48" t="str">
        <f t="shared" si="76"/>
        <v/>
      </c>
      <c r="AP75" s="48" t="str">
        <f t="shared" si="76"/>
        <v/>
      </c>
      <c r="AQ75" s="48" t="str">
        <f t="shared" si="76"/>
        <v/>
      </c>
      <c r="AR75" s="48" t="str">
        <f t="shared" si="76"/>
        <v/>
      </c>
      <c r="AS75" s="48" t="str">
        <f t="shared" si="76"/>
        <v/>
      </c>
      <c r="AT75" s="48" t="str">
        <f t="shared" si="76"/>
        <v/>
      </c>
      <c r="AU75" s="48" t="str">
        <f t="shared" si="76"/>
        <v/>
      </c>
      <c r="AV75" s="48" t="str">
        <f t="shared" si="76"/>
        <v/>
      </c>
    </row>
    <row r="76" ht="15.75" customHeight="1">
      <c r="A76" s="46">
        <v>75.0</v>
      </c>
      <c r="B76" s="27"/>
      <c r="C76" s="44"/>
      <c r="D76" s="47"/>
      <c r="E76" s="47"/>
      <c r="F76" s="26"/>
      <c r="G76" s="48" t="str">
        <f t="shared" ref="G76:AV76" si="77">IF(AND($F76="Yes",G$2=$E76),"♦","")</f>
        <v/>
      </c>
      <c r="H76" s="48" t="str">
        <f t="shared" si="77"/>
        <v/>
      </c>
      <c r="I76" s="48" t="str">
        <f t="shared" si="77"/>
        <v/>
      </c>
      <c r="J76" s="48" t="str">
        <f t="shared" si="77"/>
        <v/>
      </c>
      <c r="K76" s="48" t="str">
        <f t="shared" si="77"/>
        <v/>
      </c>
      <c r="L76" s="48" t="str">
        <f t="shared" si="77"/>
        <v/>
      </c>
      <c r="M76" s="48" t="str">
        <f t="shared" si="77"/>
        <v/>
      </c>
      <c r="N76" s="48" t="str">
        <f t="shared" si="77"/>
        <v/>
      </c>
      <c r="O76" s="48" t="str">
        <f t="shared" si="77"/>
        <v/>
      </c>
      <c r="P76" s="48" t="str">
        <f t="shared" si="77"/>
        <v/>
      </c>
      <c r="Q76" s="48" t="str">
        <f t="shared" si="77"/>
        <v/>
      </c>
      <c r="R76" s="48" t="str">
        <f t="shared" si="77"/>
        <v/>
      </c>
      <c r="S76" s="48" t="str">
        <f t="shared" si="77"/>
        <v/>
      </c>
      <c r="T76" s="48" t="str">
        <f t="shared" si="77"/>
        <v/>
      </c>
      <c r="U76" s="48" t="str">
        <f t="shared" si="77"/>
        <v/>
      </c>
      <c r="V76" s="48" t="str">
        <f t="shared" si="77"/>
        <v/>
      </c>
      <c r="W76" s="48" t="str">
        <f t="shared" si="77"/>
        <v/>
      </c>
      <c r="X76" s="48" t="str">
        <f t="shared" si="77"/>
        <v/>
      </c>
      <c r="Y76" s="48" t="str">
        <f t="shared" si="77"/>
        <v/>
      </c>
      <c r="Z76" s="48" t="str">
        <f t="shared" si="77"/>
        <v/>
      </c>
      <c r="AA76" s="48" t="str">
        <f t="shared" si="77"/>
        <v/>
      </c>
      <c r="AB76" s="48" t="str">
        <f t="shared" si="77"/>
        <v/>
      </c>
      <c r="AC76" s="48" t="str">
        <f t="shared" si="77"/>
        <v/>
      </c>
      <c r="AD76" s="48" t="str">
        <f t="shared" si="77"/>
        <v/>
      </c>
      <c r="AE76" s="48" t="str">
        <f t="shared" si="77"/>
        <v/>
      </c>
      <c r="AF76" s="48" t="str">
        <f t="shared" si="77"/>
        <v/>
      </c>
      <c r="AG76" s="48" t="str">
        <f t="shared" si="77"/>
        <v/>
      </c>
      <c r="AH76" s="48" t="str">
        <f t="shared" si="77"/>
        <v/>
      </c>
      <c r="AI76" s="48" t="str">
        <f t="shared" si="77"/>
        <v/>
      </c>
      <c r="AJ76" s="48" t="str">
        <f t="shared" si="77"/>
        <v/>
      </c>
      <c r="AK76" s="48" t="str">
        <f t="shared" si="77"/>
        <v/>
      </c>
      <c r="AL76" s="48" t="str">
        <f t="shared" si="77"/>
        <v/>
      </c>
      <c r="AM76" s="48" t="str">
        <f t="shared" si="77"/>
        <v/>
      </c>
      <c r="AN76" s="48" t="str">
        <f t="shared" si="77"/>
        <v/>
      </c>
      <c r="AO76" s="48" t="str">
        <f t="shared" si="77"/>
        <v/>
      </c>
      <c r="AP76" s="48" t="str">
        <f t="shared" si="77"/>
        <v/>
      </c>
      <c r="AQ76" s="48" t="str">
        <f t="shared" si="77"/>
        <v/>
      </c>
      <c r="AR76" s="48" t="str">
        <f t="shared" si="77"/>
        <v/>
      </c>
      <c r="AS76" s="48" t="str">
        <f t="shared" si="77"/>
        <v/>
      </c>
      <c r="AT76" s="48" t="str">
        <f t="shared" si="77"/>
        <v/>
      </c>
      <c r="AU76" s="48" t="str">
        <f t="shared" si="77"/>
        <v/>
      </c>
      <c r="AV76" s="48" t="str">
        <f t="shared" si="77"/>
        <v/>
      </c>
    </row>
    <row r="77" ht="15.75" customHeight="1">
      <c r="A77" s="46">
        <v>76.0</v>
      </c>
      <c r="B77" s="27"/>
      <c r="C77" s="44"/>
      <c r="D77" s="47"/>
      <c r="E77" s="47"/>
      <c r="F77" s="26"/>
      <c r="G77" s="48" t="str">
        <f t="shared" ref="G77:AV77" si="78">IF(AND($F77="Yes",G$2=$E77),"♦","")</f>
        <v/>
      </c>
      <c r="H77" s="48" t="str">
        <f t="shared" si="78"/>
        <v/>
      </c>
      <c r="I77" s="48" t="str">
        <f t="shared" si="78"/>
        <v/>
      </c>
      <c r="J77" s="48" t="str">
        <f t="shared" si="78"/>
        <v/>
      </c>
      <c r="K77" s="48" t="str">
        <f t="shared" si="78"/>
        <v/>
      </c>
      <c r="L77" s="48" t="str">
        <f t="shared" si="78"/>
        <v/>
      </c>
      <c r="M77" s="48" t="str">
        <f t="shared" si="78"/>
        <v/>
      </c>
      <c r="N77" s="48" t="str">
        <f t="shared" si="78"/>
        <v/>
      </c>
      <c r="O77" s="48" t="str">
        <f t="shared" si="78"/>
        <v/>
      </c>
      <c r="P77" s="48" t="str">
        <f t="shared" si="78"/>
        <v/>
      </c>
      <c r="Q77" s="48" t="str">
        <f t="shared" si="78"/>
        <v/>
      </c>
      <c r="R77" s="48" t="str">
        <f t="shared" si="78"/>
        <v/>
      </c>
      <c r="S77" s="48" t="str">
        <f t="shared" si="78"/>
        <v/>
      </c>
      <c r="T77" s="48" t="str">
        <f t="shared" si="78"/>
        <v/>
      </c>
      <c r="U77" s="48" t="str">
        <f t="shared" si="78"/>
        <v/>
      </c>
      <c r="V77" s="48" t="str">
        <f t="shared" si="78"/>
        <v/>
      </c>
      <c r="W77" s="48" t="str">
        <f t="shared" si="78"/>
        <v/>
      </c>
      <c r="X77" s="48" t="str">
        <f t="shared" si="78"/>
        <v/>
      </c>
      <c r="Y77" s="48" t="str">
        <f t="shared" si="78"/>
        <v/>
      </c>
      <c r="Z77" s="48" t="str">
        <f t="shared" si="78"/>
        <v/>
      </c>
      <c r="AA77" s="48" t="str">
        <f t="shared" si="78"/>
        <v/>
      </c>
      <c r="AB77" s="48" t="str">
        <f t="shared" si="78"/>
        <v/>
      </c>
      <c r="AC77" s="48" t="str">
        <f t="shared" si="78"/>
        <v/>
      </c>
      <c r="AD77" s="48" t="str">
        <f t="shared" si="78"/>
        <v/>
      </c>
      <c r="AE77" s="48" t="str">
        <f t="shared" si="78"/>
        <v/>
      </c>
      <c r="AF77" s="48" t="str">
        <f t="shared" si="78"/>
        <v/>
      </c>
      <c r="AG77" s="48" t="str">
        <f t="shared" si="78"/>
        <v/>
      </c>
      <c r="AH77" s="48" t="str">
        <f t="shared" si="78"/>
        <v/>
      </c>
      <c r="AI77" s="48" t="str">
        <f t="shared" si="78"/>
        <v/>
      </c>
      <c r="AJ77" s="48" t="str">
        <f t="shared" si="78"/>
        <v/>
      </c>
      <c r="AK77" s="48" t="str">
        <f t="shared" si="78"/>
        <v/>
      </c>
      <c r="AL77" s="48" t="str">
        <f t="shared" si="78"/>
        <v/>
      </c>
      <c r="AM77" s="48" t="str">
        <f t="shared" si="78"/>
        <v/>
      </c>
      <c r="AN77" s="48" t="str">
        <f t="shared" si="78"/>
        <v/>
      </c>
      <c r="AO77" s="48" t="str">
        <f t="shared" si="78"/>
        <v/>
      </c>
      <c r="AP77" s="48" t="str">
        <f t="shared" si="78"/>
        <v/>
      </c>
      <c r="AQ77" s="48" t="str">
        <f t="shared" si="78"/>
        <v/>
      </c>
      <c r="AR77" s="48" t="str">
        <f t="shared" si="78"/>
        <v/>
      </c>
      <c r="AS77" s="48" t="str">
        <f t="shared" si="78"/>
        <v/>
      </c>
      <c r="AT77" s="48" t="str">
        <f t="shared" si="78"/>
        <v/>
      </c>
      <c r="AU77" s="48" t="str">
        <f t="shared" si="78"/>
        <v/>
      </c>
      <c r="AV77" s="48" t="str">
        <f t="shared" si="78"/>
        <v/>
      </c>
    </row>
    <row r="78" ht="15.75" customHeight="1">
      <c r="A78" s="46">
        <v>77.0</v>
      </c>
      <c r="B78" s="27"/>
      <c r="C78" s="44"/>
      <c r="D78" s="47"/>
      <c r="E78" s="47"/>
      <c r="F78" s="26"/>
      <c r="G78" s="48" t="str">
        <f t="shared" ref="G78:AV78" si="79">IF(AND($F78="Yes",G$2=$E78),"♦","")</f>
        <v/>
      </c>
      <c r="H78" s="48" t="str">
        <f t="shared" si="79"/>
        <v/>
      </c>
      <c r="I78" s="48" t="str">
        <f t="shared" si="79"/>
        <v/>
      </c>
      <c r="J78" s="48" t="str">
        <f t="shared" si="79"/>
        <v/>
      </c>
      <c r="K78" s="48" t="str">
        <f t="shared" si="79"/>
        <v/>
      </c>
      <c r="L78" s="48" t="str">
        <f t="shared" si="79"/>
        <v/>
      </c>
      <c r="M78" s="48" t="str">
        <f t="shared" si="79"/>
        <v/>
      </c>
      <c r="N78" s="48" t="str">
        <f t="shared" si="79"/>
        <v/>
      </c>
      <c r="O78" s="48" t="str">
        <f t="shared" si="79"/>
        <v/>
      </c>
      <c r="P78" s="48" t="str">
        <f t="shared" si="79"/>
        <v/>
      </c>
      <c r="Q78" s="48" t="str">
        <f t="shared" si="79"/>
        <v/>
      </c>
      <c r="R78" s="48" t="str">
        <f t="shared" si="79"/>
        <v/>
      </c>
      <c r="S78" s="48" t="str">
        <f t="shared" si="79"/>
        <v/>
      </c>
      <c r="T78" s="48" t="str">
        <f t="shared" si="79"/>
        <v/>
      </c>
      <c r="U78" s="48" t="str">
        <f t="shared" si="79"/>
        <v/>
      </c>
      <c r="V78" s="48" t="str">
        <f t="shared" si="79"/>
        <v/>
      </c>
      <c r="W78" s="48" t="str">
        <f t="shared" si="79"/>
        <v/>
      </c>
      <c r="X78" s="48" t="str">
        <f t="shared" si="79"/>
        <v/>
      </c>
      <c r="Y78" s="48" t="str">
        <f t="shared" si="79"/>
        <v/>
      </c>
      <c r="Z78" s="48" t="str">
        <f t="shared" si="79"/>
        <v/>
      </c>
      <c r="AA78" s="48" t="str">
        <f t="shared" si="79"/>
        <v/>
      </c>
      <c r="AB78" s="48" t="str">
        <f t="shared" si="79"/>
        <v/>
      </c>
      <c r="AC78" s="48" t="str">
        <f t="shared" si="79"/>
        <v/>
      </c>
      <c r="AD78" s="48" t="str">
        <f t="shared" si="79"/>
        <v/>
      </c>
      <c r="AE78" s="48" t="str">
        <f t="shared" si="79"/>
        <v/>
      </c>
      <c r="AF78" s="48" t="str">
        <f t="shared" si="79"/>
        <v/>
      </c>
      <c r="AG78" s="48" t="str">
        <f t="shared" si="79"/>
        <v/>
      </c>
      <c r="AH78" s="48" t="str">
        <f t="shared" si="79"/>
        <v/>
      </c>
      <c r="AI78" s="48" t="str">
        <f t="shared" si="79"/>
        <v/>
      </c>
      <c r="AJ78" s="48" t="str">
        <f t="shared" si="79"/>
        <v/>
      </c>
      <c r="AK78" s="48" t="str">
        <f t="shared" si="79"/>
        <v/>
      </c>
      <c r="AL78" s="48" t="str">
        <f t="shared" si="79"/>
        <v/>
      </c>
      <c r="AM78" s="48" t="str">
        <f t="shared" si="79"/>
        <v/>
      </c>
      <c r="AN78" s="48" t="str">
        <f t="shared" si="79"/>
        <v/>
      </c>
      <c r="AO78" s="48" t="str">
        <f t="shared" si="79"/>
        <v/>
      </c>
      <c r="AP78" s="48" t="str">
        <f t="shared" si="79"/>
        <v/>
      </c>
      <c r="AQ78" s="48" t="str">
        <f t="shared" si="79"/>
        <v/>
      </c>
      <c r="AR78" s="48" t="str">
        <f t="shared" si="79"/>
        <v/>
      </c>
      <c r="AS78" s="48" t="str">
        <f t="shared" si="79"/>
        <v/>
      </c>
      <c r="AT78" s="48" t="str">
        <f t="shared" si="79"/>
        <v/>
      </c>
      <c r="AU78" s="48" t="str">
        <f t="shared" si="79"/>
        <v/>
      </c>
      <c r="AV78" s="48" t="str">
        <f t="shared" si="79"/>
        <v/>
      </c>
    </row>
    <row r="79" ht="15.75" customHeight="1">
      <c r="A79" s="46">
        <v>78.0</v>
      </c>
      <c r="B79" s="27"/>
      <c r="C79" s="44"/>
      <c r="D79" s="47"/>
      <c r="E79" s="47"/>
      <c r="F79" s="26"/>
      <c r="G79" s="48" t="str">
        <f t="shared" ref="G79:AV79" si="80">IF(AND($F79="Yes",G$2=$E79),"♦","")</f>
        <v/>
      </c>
      <c r="H79" s="48" t="str">
        <f t="shared" si="80"/>
        <v/>
      </c>
      <c r="I79" s="48" t="str">
        <f t="shared" si="80"/>
        <v/>
      </c>
      <c r="J79" s="48" t="str">
        <f t="shared" si="80"/>
        <v/>
      </c>
      <c r="K79" s="48" t="str">
        <f t="shared" si="80"/>
        <v/>
      </c>
      <c r="L79" s="48" t="str">
        <f t="shared" si="80"/>
        <v/>
      </c>
      <c r="M79" s="48" t="str">
        <f t="shared" si="80"/>
        <v/>
      </c>
      <c r="N79" s="48" t="str">
        <f t="shared" si="80"/>
        <v/>
      </c>
      <c r="O79" s="48" t="str">
        <f t="shared" si="80"/>
        <v/>
      </c>
      <c r="P79" s="48" t="str">
        <f t="shared" si="80"/>
        <v/>
      </c>
      <c r="Q79" s="48" t="str">
        <f t="shared" si="80"/>
        <v/>
      </c>
      <c r="R79" s="48" t="str">
        <f t="shared" si="80"/>
        <v/>
      </c>
      <c r="S79" s="48" t="str">
        <f t="shared" si="80"/>
        <v/>
      </c>
      <c r="T79" s="48" t="str">
        <f t="shared" si="80"/>
        <v/>
      </c>
      <c r="U79" s="48" t="str">
        <f t="shared" si="80"/>
        <v/>
      </c>
      <c r="V79" s="48" t="str">
        <f t="shared" si="80"/>
        <v/>
      </c>
      <c r="W79" s="48" t="str">
        <f t="shared" si="80"/>
        <v/>
      </c>
      <c r="X79" s="48" t="str">
        <f t="shared" si="80"/>
        <v/>
      </c>
      <c r="Y79" s="48" t="str">
        <f t="shared" si="80"/>
        <v/>
      </c>
      <c r="Z79" s="48" t="str">
        <f t="shared" si="80"/>
        <v/>
      </c>
      <c r="AA79" s="48" t="str">
        <f t="shared" si="80"/>
        <v/>
      </c>
      <c r="AB79" s="48" t="str">
        <f t="shared" si="80"/>
        <v/>
      </c>
      <c r="AC79" s="48" t="str">
        <f t="shared" si="80"/>
        <v/>
      </c>
      <c r="AD79" s="48" t="str">
        <f t="shared" si="80"/>
        <v/>
      </c>
      <c r="AE79" s="48" t="str">
        <f t="shared" si="80"/>
        <v/>
      </c>
      <c r="AF79" s="48" t="str">
        <f t="shared" si="80"/>
        <v/>
      </c>
      <c r="AG79" s="48" t="str">
        <f t="shared" si="80"/>
        <v/>
      </c>
      <c r="AH79" s="48" t="str">
        <f t="shared" si="80"/>
        <v/>
      </c>
      <c r="AI79" s="48" t="str">
        <f t="shared" si="80"/>
        <v/>
      </c>
      <c r="AJ79" s="48" t="str">
        <f t="shared" si="80"/>
        <v/>
      </c>
      <c r="AK79" s="48" t="str">
        <f t="shared" si="80"/>
        <v/>
      </c>
      <c r="AL79" s="48" t="str">
        <f t="shared" si="80"/>
        <v/>
      </c>
      <c r="AM79" s="48" t="str">
        <f t="shared" si="80"/>
        <v/>
      </c>
      <c r="AN79" s="48" t="str">
        <f t="shared" si="80"/>
        <v/>
      </c>
      <c r="AO79" s="48" t="str">
        <f t="shared" si="80"/>
        <v/>
      </c>
      <c r="AP79" s="48" t="str">
        <f t="shared" si="80"/>
        <v/>
      </c>
      <c r="AQ79" s="48" t="str">
        <f t="shared" si="80"/>
        <v/>
      </c>
      <c r="AR79" s="48" t="str">
        <f t="shared" si="80"/>
        <v/>
      </c>
      <c r="AS79" s="48" t="str">
        <f t="shared" si="80"/>
        <v/>
      </c>
      <c r="AT79" s="48" t="str">
        <f t="shared" si="80"/>
        <v/>
      </c>
      <c r="AU79" s="48" t="str">
        <f t="shared" si="80"/>
        <v/>
      </c>
      <c r="AV79" s="48" t="str">
        <f t="shared" si="80"/>
        <v/>
      </c>
    </row>
    <row r="80" ht="15.75" customHeight="1">
      <c r="A80" s="46">
        <v>79.0</v>
      </c>
      <c r="B80" s="27"/>
      <c r="C80" s="44"/>
      <c r="D80" s="47"/>
      <c r="E80" s="47"/>
      <c r="F80" s="26"/>
      <c r="G80" s="48" t="str">
        <f t="shared" ref="G80:AV80" si="81">IF(AND($F80="Yes",G$2=$E80),"♦","")</f>
        <v/>
      </c>
      <c r="H80" s="48" t="str">
        <f t="shared" si="81"/>
        <v/>
      </c>
      <c r="I80" s="48" t="str">
        <f t="shared" si="81"/>
        <v/>
      </c>
      <c r="J80" s="48" t="str">
        <f t="shared" si="81"/>
        <v/>
      </c>
      <c r="K80" s="48" t="str">
        <f t="shared" si="81"/>
        <v/>
      </c>
      <c r="L80" s="48" t="str">
        <f t="shared" si="81"/>
        <v/>
      </c>
      <c r="M80" s="48" t="str">
        <f t="shared" si="81"/>
        <v/>
      </c>
      <c r="N80" s="48" t="str">
        <f t="shared" si="81"/>
        <v/>
      </c>
      <c r="O80" s="48" t="str">
        <f t="shared" si="81"/>
        <v/>
      </c>
      <c r="P80" s="48" t="str">
        <f t="shared" si="81"/>
        <v/>
      </c>
      <c r="Q80" s="48" t="str">
        <f t="shared" si="81"/>
        <v/>
      </c>
      <c r="R80" s="48" t="str">
        <f t="shared" si="81"/>
        <v/>
      </c>
      <c r="S80" s="48" t="str">
        <f t="shared" si="81"/>
        <v/>
      </c>
      <c r="T80" s="48" t="str">
        <f t="shared" si="81"/>
        <v/>
      </c>
      <c r="U80" s="48" t="str">
        <f t="shared" si="81"/>
        <v/>
      </c>
      <c r="V80" s="48" t="str">
        <f t="shared" si="81"/>
        <v/>
      </c>
      <c r="W80" s="48" t="str">
        <f t="shared" si="81"/>
        <v/>
      </c>
      <c r="X80" s="48" t="str">
        <f t="shared" si="81"/>
        <v/>
      </c>
      <c r="Y80" s="48" t="str">
        <f t="shared" si="81"/>
        <v/>
      </c>
      <c r="Z80" s="48" t="str">
        <f t="shared" si="81"/>
        <v/>
      </c>
      <c r="AA80" s="48" t="str">
        <f t="shared" si="81"/>
        <v/>
      </c>
      <c r="AB80" s="48" t="str">
        <f t="shared" si="81"/>
        <v/>
      </c>
      <c r="AC80" s="48" t="str">
        <f t="shared" si="81"/>
        <v/>
      </c>
      <c r="AD80" s="48" t="str">
        <f t="shared" si="81"/>
        <v/>
      </c>
      <c r="AE80" s="48" t="str">
        <f t="shared" si="81"/>
        <v/>
      </c>
      <c r="AF80" s="48" t="str">
        <f t="shared" si="81"/>
        <v/>
      </c>
      <c r="AG80" s="48" t="str">
        <f t="shared" si="81"/>
        <v/>
      </c>
      <c r="AH80" s="48" t="str">
        <f t="shared" si="81"/>
        <v/>
      </c>
      <c r="AI80" s="48" t="str">
        <f t="shared" si="81"/>
        <v/>
      </c>
      <c r="AJ80" s="48" t="str">
        <f t="shared" si="81"/>
        <v/>
      </c>
      <c r="AK80" s="48" t="str">
        <f t="shared" si="81"/>
        <v/>
      </c>
      <c r="AL80" s="48" t="str">
        <f t="shared" si="81"/>
        <v/>
      </c>
      <c r="AM80" s="48" t="str">
        <f t="shared" si="81"/>
        <v/>
      </c>
      <c r="AN80" s="48" t="str">
        <f t="shared" si="81"/>
        <v/>
      </c>
      <c r="AO80" s="48" t="str">
        <f t="shared" si="81"/>
        <v/>
      </c>
      <c r="AP80" s="48" t="str">
        <f t="shared" si="81"/>
        <v/>
      </c>
      <c r="AQ80" s="48" t="str">
        <f t="shared" si="81"/>
        <v/>
      </c>
      <c r="AR80" s="48" t="str">
        <f t="shared" si="81"/>
        <v/>
      </c>
      <c r="AS80" s="48" t="str">
        <f t="shared" si="81"/>
        <v/>
      </c>
      <c r="AT80" s="48" t="str">
        <f t="shared" si="81"/>
        <v/>
      </c>
      <c r="AU80" s="48" t="str">
        <f t="shared" si="81"/>
        <v/>
      </c>
      <c r="AV80" s="48" t="str">
        <f t="shared" si="81"/>
        <v/>
      </c>
    </row>
    <row r="81" ht="15.75" customHeight="1">
      <c r="A81" s="46">
        <v>80.0</v>
      </c>
      <c r="B81" s="27"/>
      <c r="C81" s="44"/>
      <c r="D81" s="47"/>
      <c r="E81" s="47"/>
      <c r="F81" s="26"/>
      <c r="G81" s="48" t="str">
        <f t="shared" ref="G81:AV81" si="82">IF(AND($F81="Yes",G$2=$E81),"♦","")</f>
        <v/>
      </c>
      <c r="H81" s="48" t="str">
        <f t="shared" si="82"/>
        <v/>
      </c>
      <c r="I81" s="48" t="str">
        <f t="shared" si="82"/>
        <v/>
      </c>
      <c r="J81" s="48" t="str">
        <f t="shared" si="82"/>
        <v/>
      </c>
      <c r="K81" s="48" t="str">
        <f t="shared" si="82"/>
        <v/>
      </c>
      <c r="L81" s="48" t="str">
        <f t="shared" si="82"/>
        <v/>
      </c>
      <c r="M81" s="48" t="str">
        <f t="shared" si="82"/>
        <v/>
      </c>
      <c r="N81" s="48" t="str">
        <f t="shared" si="82"/>
        <v/>
      </c>
      <c r="O81" s="48" t="str">
        <f t="shared" si="82"/>
        <v/>
      </c>
      <c r="P81" s="48" t="str">
        <f t="shared" si="82"/>
        <v/>
      </c>
      <c r="Q81" s="48" t="str">
        <f t="shared" si="82"/>
        <v/>
      </c>
      <c r="R81" s="48" t="str">
        <f t="shared" si="82"/>
        <v/>
      </c>
      <c r="S81" s="48" t="str">
        <f t="shared" si="82"/>
        <v/>
      </c>
      <c r="T81" s="48" t="str">
        <f t="shared" si="82"/>
        <v/>
      </c>
      <c r="U81" s="48" t="str">
        <f t="shared" si="82"/>
        <v/>
      </c>
      <c r="V81" s="48" t="str">
        <f t="shared" si="82"/>
        <v/>
      </c>
      <c r="W81" s="48" t="str">
        <f t="shared" si="82"/>
        <v/>
      </c>
      <c r="X81" s="48" t="str">
        <f t="shared" si="82"/>
        <v/>
      </c>
      <c r="Y81" s="48" t="str">
        <f t="shared" si="82"/>
        <v/>
      </c>
      <c r="Z81" s="48" t="str">
        <f t="shared" si="82"/>
        <v/>
      </c>
      <c r="AA81" s="48" t="str">
        <f t="shared" si="82"/>
        <v/>
      </c>
      <c r="AB81" s="48" t="str">
        <f t="shared" si="82"/>
        <v/>
      </c>
      <c r="AC81" s="48" t="str">
        <f t="shared" si="82"/>
        <v/>
      </c>
      <c r="AD81" s="48" t="str">
        <f t="shared" si="82"/>
        <v/>
      </c>
      <c r="AE81" s="48" t="str">
        <f t="shared" si="82"/>
        <v/>
      </c>
      <c r="AF81" s="48" t="str">
        <f t="shared" si="82"/>
        <v/>
      </c>
      <c r="AG81" s="48" t="str">
        <f t="shared" si="82"/>
        <v/>
      </c>
      <c r="AH81" s="48" t="str">
        <f t="shared" si="82"/>
        <v/>
      </c>
      <c r="AI81" s="48" t="str">
        <f t="shared" si="82"/>
        <v/>
      </c>
      <c r="AJ81" s="48" t="str">
        <f t="shared" si="82"/>
        <v/>
      </c>
      <c r="AK81" s="48" t="str">
        <f t="shared" si="82"/>
        <v/>
      </c>
      <c r="AL81" s="48" t="str">
        <f t="shared" si="82"/>
        <v/>
      </c>
      <c r="AM81" s="48" t="str">
        <f t="shared" si="82"/>
        <v/>
      </c>
      <c r="AN81" s="48" t="str">
        <f t="shared" si="82"/>
        <v/>
      </c>
      <c r="AO81" s="48" t="str">
        <f t="shared" si="82"/>
        <v/>
      </c>
      <c r="AP81" s="48" t="str">
        <f t="shared" si="82"/>
        <v/>
      </c>
      <c r="AQ81" s="48" t="str">
        <f t="shared" si="82"/>
        <v/>
      </c>
      <c r="AR81" s="48" t="str">
        <f t="shared" si="82"/>
        <v/>
      </c>
      <c r="AS81" s="48" t="str">
        <f t="shared" si="82"/>
        <v/>
      </c>
      <c r="AT81" s="48" t="str">
        <f t="shared" si="82"/>
        <v/>
      </c>
      <c r="AU81" s="48" t="str">
        <f t="shared" si="82"/>
        <v/>
      </c>
      <c r="AV81" s="48" t="str">
        <f t="shared" si="82"/>
        <v/>
      </c>
    </row>
    <row r="82" ht="15.75" customHeight="1">
      <c r="A82" s="46">
        <v>81.0</v>
      </c>
      <c r="B82" s="27"/>
      <c r="C82" s="44"/>
      <c r="D82" s="47"/>
      <c r="E82" s="47"/>
      <c r="F82" s="26"/>
      <c r="G82" s="48" t="str">
        <f t="shared" ref="G82:AV82" si="83">IF(AND($F82="Yes",G$2=$E82),"♦","")</f>
        <v/>
      </c>
      <c r="H82" s="48" t="str">
        <f t="shared" si="83"/>
        <v/>
      </c>
      <c r="I82" s="48" t="str">
        <f t="shared" si="83"/>
        <v/>
      </c>
      <c r="J82" s="48" t="str">
        <f t="shared" si="83"/>
        <v/>
      </c>
      <c r="K82" s="48" t="str">
        <f t="shared" si="83"/>
        <v/>
      </c>
      <c r="L82" s="48" t="str">
        <f t="shared" si="83"/>
        <v/>
      </c>
      <c r="M82" s="48" t="str">
        <f t="shared" si="83"/>
        <v/>
      </c>
      <c r="N82" s="48" t="str">
        <f t="shared" si="83"/>
        <v/>
      </c>
      <c r="O82" s="48" t="str">
        <f t="shared" si="83"/>
        <v/>
      </c>
      <c r="P82" s="48" t="str">
        <f t="shared" si="83"/>
        <v/>
      </c>
      <c r="Q82" s="48" t="str">
        <f t="shared" si="83"/>
        <v/>
      </c>
      <c r="R82" s="48" t="str">
        <f t="shared" si="83"/>
        <v/>
      </c>
      <c r="S82" s="48" t="str">
        <f t="shared" si="83"/>
        <v/>
      </c>
      <c r="T82" s="48" t="str">
        <f t="shared" si="83"/>
        <v/>
      </c>
      <c r="U82" s="48" t="str">
        <f t="shared" si="83"/>
        <v/>
      </c>
      <c r="V82" s="48" t="str">
        <f t="shared" si="83"/>
        <v/>
      </c>
      <c r="W82" s="48" t="str">
        <f t="shared" si="83"/>
        <v/>
      </c>
      <c r="X82" s="48" t="str">
        <f t="shared" si="83"/>
        <v/>
      </c>
      <c r="Y82" s="48" t="str">
        <f t="shared" si="83"/>
        <v/>
      </c>
      <c r="Z82" s="48" t="str">
        <f t="shared" si="83"/>
        <v/>
      </c>
      <c r="AA82" s="48" t="str">
        <f t="shared" si="83"/>
        <v/>
      </c>
      <c r="AB82" s="48" t="str">
        <f t="shared" si="83"/>
        <v/>
      </c>
      <c r="AC82" s="48" t="str">
        <f t="shared" si="83"/>
        <v/>
      </c>
      <c r="AD82" s="48" t="str">
        <f t="shared" si="83"/>
        <v/>
      </c>
      <c r="AE82" s="48" t="str">
        <f t="shared" si="83"/>
        <v/>
      </c>
      <c r="AF82" s="48" t="str">
        <f t="shared" si="83"/>
        <v/>
      </c>
      <c r="AG82" s="48" t="str">
        <f t="shared" si="83"/>
        <v/>
      </c>
      <c r="AH82" s="48" t="str">
        <f t="shared" si="83"/>
        <v/>
      </c>
      <c r="AI82" s="48" t="str">
        <f t="shared" si="83"/>
        <v/>
      </c>
      <c r="AJ82" s="48" t="str">
        <f t="shared" si="83"/>
        <v/>
      </c>
      <c r="AK82" s="48" t="str">
        <f t="shared" si="83"/>
        <v/>
      </c>
      <c r="AL82" s="48" t="str">
        <f t="shared" si="83"/>
        <v/>
      </c>
      <c r="AM82" s="48" t="str">
        <f t="shared" si="83"/>
        <v/>
      </c>
      <c r="AN82" s="48" t="str">
        <f t="shared" si="83"/>
        <v/>
      </c>
      <c r="AO82" s="48" t="str">
        <f t="shared" si="83"/>
        <v/>
      </c>
      <c r="AP82" s="48" t="str">
        <f t="shared" si="83"/>
        <v/>
      </c>
      <c r="AQ82" s="48" t="str">
        <f t="shared" si="83"/>
        <v/>
      </c>
      <c r="AR82" s="48" t="str">
        <f t="shared" si="83"/>
        <v/>
      </c>
      <c r="AS82" s="48" t="str">
        <f t="shared" si="83"/>
        <v/>
      </c>
      <c r="AT82" s="48" t="str">
        <f t="shared" si="83"/>
        <v/>
      </c>
      <c r="AU82" s="48" t="str">
        <f t="shared" si="83"/>
        <v/>
      </c>
      <c r="AV82" s="48" t="str">
        <f t="shared" si="83"/>
        <v/>
      </c>
    </row>
    <row r="83" ht="15.75" customHeight="1">
      <c r="A83" s="46">
        <v>82.0</v>
      </c>
      <c r="B83" s="27"/>
      <c r="C83" s="44"/>
      <c r="D83" s="47"/>
      <c r="E83" s="47"/>
      <c r="F83" s="26"/>
      <c r="G83" s="48" t="str">
        <f t="shared" ref="G83:AV83" si="84">IF(AND($F83="Yes",G$2=$E83),"♦","")</f>
        <v/>
      </c>
      <c r="H83" s="48" t="str">
        <f t="shared" si="84"/>
        <v/>
      </c>
      <c r="I83" s="48" t="str">
        <f t="shared" si="84"/>
        <v/>
      </c>
      <c r="J83" s="48" t="str">
        <f t="shared" si="84"/>
        <v/>
      </c>
      <c r="K83" s="48" t="str">
        <f t="shared" si="84"/>
        <v/>
      </c>
      <c r="L83" s="48" t="str">
        <f t="shared" si="84"/>
        <v/>
      </c>
      <c r="M83" s="48" t="str">
        <f t="shared" si="84"/>
        <v/>
      </c>
      <c r="N83" s="48" t="str">
        <f t="shared" si="84"/>
        <v/>
      </c>
      <c r="O83" s="48" t="str">
        <f t="shared" si="84"/>
        <v/>
      </c>
      <c r="P83" s="48" t="str">
        <f t="shared" si="84"/>
        <v/>
      </c>
      <c r="Q83" s="48" t="str">
        <f t="shared" si="84"/>
        <v/>
      </c>
      <c r="R83" s="48" t="str">
        <f t="shared" si="84"/>
        <v/>
      </c>
      <c r="S83" s="48" t="str">
        <f t="shared" si="84"/>
        <v/>
      </c>
      <c r="T83" s="48" t="str">
        <f t="shared" si="84"/>
        <v/>
      </c>
      <c r="U83" s="48" t="str">
        <f t="shared" si="84"/>
        <v/>
      </c>
      <c r="V83" s="48" t="str">
        <f t="shared" si="84"/>
        <v/>
      </c>
      <c r="W83" s="48" t="str">
        <f t="shared" si="84"/>
        <v/>
      </c>
      <c r="X83" s="48" t="str">
        <f t="shared" si="84"/>
        <v/>
      </c>
      <c r="Y83" s="48" t="str">
        <f t="shared" si="84"/>
        <v/>
      </c>
      <c r="Z83" s="48" t="str">
        <f t="shared" si="84"/>
        <v/>
      </c>
      <c r="AA83" s="48" t="str">
        <f t="shared" si="84"/>
        <v/>
      </c>
      <c r="AB83" s="48" t="str">
        <f t="shared" si="84"/>
        <v/>
      </c>
      <c r="AC83" s="48" t="str">
        <f t="shared" si="84"/>
        <v/>
      </c>
      <c r="AD83" s="48" t="str">
        <f t="shared" si="84"/>
        <v/>
      </c>
      <c r="AE83" s="48" t="str">
        <f t="shared" si="84"/>
        <v/>
      </c>
      <c r="AF83" s="48" t="str">
        <f t="shared" si="84"/>
        <v/>
      </c>
      <c r="AG83" s="48" t="str">
        <f t="shared" si="84"/>
        <v/>
      </c>
      <c r="AH83" s="48" t="str">
        <f t="shared" si="84"/>
        <v/>
      </c>
      <c r="AI83" s="48" t="str">
        <f t="shared" si="84"/>
        <v/>
      </c>
      <c r="AJ83" s="48" t="str">
        <f t="shared" si="84"/>
        <v/>
      </c>
      <c r="AK83" s="48" t="str">
        <f t="shared" si="84"/>
        <v/>
      </c>
      <c r="AL83" s="48" t="str">
        <f t="shared" si="84"/>
        <v/>
      </c>
      <c r="AM83" s="48" t="str">
        <f t="shared" si="84"/>
        <v/>
      </c>
      <c r="AN83" s="48" t="str">
        <f t="shared" si="84"/>
        <v/>
      </c>
      <c r="AO83" s="48" t="str">
        <f t="shared" si="84"/>
        <v/>
      </c>
      <c r="AP83" s="48" t="str">
        <f t="shared" si="84"/>
        <v/>
      </c>
      <c r="AQ83" s="48" t="str">
        <f t="shared" si="84"/>
        <v/>
      </c>
      <c r="AR83" s="48" t="str">
        <f t="shared" si="84"/>
        <v/>
      </c>
      <c r="AS83" s="48" t="str">
        <f t="shared" si="84"/>
        <v/>
      </c>
      <c r="AT83" s="48" t="str">
        <f t="shared" si="84"/>
        <v/>
      </c>
      <c r="AU83" s="48" t="str">
        <f t="shared" si="84"/>
        <v/>
      </c>
      <c r="AV83" s="48" t="str">
        <f t="shared" si="84"/>
        <v/>
      </c>
    </row>
    <row r="84" ht="15.75" customHeight="1">
      <c r="A84" s="46">
        <v>83.0</v>
      </c>
      <c r="B84" s="27"/>
      <c r="C84" s="44"/>
      <c r="D84" s="47"/>
      <c r="E84" s="47"/>
      <c r="F84" s="26"/>
      <c r="G84" s="48" t="str">
        <f t="shared" ref="G84:AV84" si="85">IF(AND($F84="Yes",G$2=$E84),"♦","")</f>
        <v/>
      </c>
      <c r="H84" s="48" t="str">
        <f t="shared" si="85"/>
        <v/>
      </c>
      <c r="I84" s="48" t="str">
        <f t="shared" si="85"/>
        <v/>
      </c>
      <c r="J84" s="48" t="str">
        <f t="shared" si="85"/>
        <v/>
      </c>
      <c r="K84" s="48" t="str">
        <f t="shared" si="85"/>
        <v/>
      </c>
      <c r="L84" s="48" t="str">
        <f t="shared" si="85"/>
        <v/>
      </c>
      <c r="M84" s="48" t="str">
        <f t="shared" si="85"/>
        <v/>
      </c>
      <c r="N84" s="48" t="str">
        <f t="shared" si="85"/>
        <v/>
      </c>
      <c r="O84" s="48" t="str">
        <f t="shared" si="85"/>
        <v/>
      </c>
      <c r="P84" s="48" t="str">
        <f t="shared" si="85"/>
        <v/>
      </c>
      <c r="Q84" s="48" t="str">
        <f t="shared" si="85"/>
        <v/>
      </c>
      <c r="R84" s="48" t="str">
        <f t="shared" si="85"/>
        <v/>
      </c>
      <c r="S84" s="48" t="str">
        <f t="shared" si="85"/>
        <v/>
      </c>
      <c r="T84" s="48" t="str">
        <f t="shared" si="85"/>
        <v/>
      </c>
      <c r="U84" s="48" t="str">
        <f t="shared" si="85"/>
        <v/>
      </c>
      <c r="V84" s="48" t="str">
        <f t="shared" si="85"/>
        <v/>
      </c>
      <c r="W84" s="48" t="str">
        <f t="shared" si="85"/>
        <v/>
      </c>
      <c r="X84" s="48" t="str">
        <f t="shared" si="85"/>
        <v/>
      </c>
      <c r="Y84" s="48" t="str">
        <f t="shared" si="85"/>
        <v/>
      </c>
      <c r="Z84" s="48" t="str">
        <f t="shared" si="85"/>
        <v/>
      </c>
      <c r="AA84" s="48" t="str">
        <f t="shared" si="85"/>
        <v/>
      </c>
      <c r="AB84" s="48" t="str">
        <f t="shared" si="85"/>
        <v/>
      </c>
      <c r="AC84" s="48" t="str">
        <f t="shared" si="85"/>
        <v/>
      </c>
      <c r="AD84" s="48" t="str">
        <f t="shared" si="85"/>
        <v/>
      </c>
      <c r="AE84" s="48" t="str">
        <f t="shared" si="85"/>
        <v/>
      </c>
      <c r="AF84" s="48" t="str">
        <f t="shared" si="85"/>
        <v/>
      </c>
      <c r="AG84" s="48" t="str">
        <f t="shared" si="85"/>
        <v/>
      </c>
      <c r="AH84" s="48" t="str">
        <f t="shared" si="85"/>
        <v/>
      </c>
      <c r="AI84" s="48" t="str">
        <f t="shared" si="85"/>
        <v/>
      </c>
      <c r="AJ84" s="48" t="str">
        <f t="shared" si="85"/>
        <v/>
      </c>
      <c r="AK84" s="48" t="str">
        <f t="shared" si="85"/>
        <v/>
      </c>
      <c r="AL84" s="48" t="str">
        <f t="shared" si="85"/>
        <v/>
      </c>
      <c r="AM84" s="48" t="str">
        <f t="shared" si="85"/>
        <v/>
      </c>
      <c r="AN84" s="48" t="str">
        <f t="shared" si="85"/>
        <v/>
      </c>
      <c r="AO84" s="48" t="str">
        <f t="shared" si="85"/>
        <v/>
      </c>
      <c r="AP84" s="48" t="str">
        <f t="shared" si="85"/>
        <v/>
      </c>
      <c r="AQ84" s="48" t="str">
        <f t="shared" si="85"/>
        <v/>
      </c>
      <c r="AR84" s="48" t="str">
        <f t="shared" si="85"/>
        <v/>
      </c>
      <c r="AS84" s="48" t="str">
        <f t="shared" si="85"/>
        <v/>
      </c>
      <c r="AT84" s="48" t="str">
        <f t="shared" si="85"/>
        <v/>
      </c>
      <c r="AU84" s="48" t="str">
        <f t="shared" si="85"/>
        <v/>
      </c>
      <c r="AV84" s="48" t="str">
        <f t="shared" si="85"/>
        <v/>
      </c>
    </row>
    <row r="85" ht="15.75" customHeight="1">
      <c r="A85" s="46">
        <v>84.0</v>
      </c>
      <c r="B85" s="27"/>
      <c r="C85" s="44"/>
      <c r="D85" s="47"/>
      <c r="E85" s="47"/>
      <c r="F85" s="26"/>
      <c r="G85" s="48" t="str">
        <f t="shared" ref="G85:AV85" si="86">IF(AND($F85="Yes",G$2=$E85),"♦","")</f>
        <v/>
      </c>
      <c r="H85" s="48" t="str">
        <f t="shared" si="86"/>
        <v/>
      </c>
      <c r="I85" s="48" t="str">
        <f t="shared" si="86"/>
        <v/>
      </c>
      <c r="J85" s="48" t="str">
        <f t="shared" si="86"/>
        <v/>
      </c>
      <c r="K85" s="48" t="str">
        <f t="shared" si="86"/>
        <v/>
      </c>
      <c r="L85" s="48" t="str">
        <f t="shared" si="86"/>
        <v/>
      </c>
      <c r="M85" s="48" t="str">
        <f t="shared" si="86"/>
        <v/>
      </c>
      <c r="N85" s="48" t="str">
        <f t="shared" si="86"/>
        <v/>
      </c>
      <c r="O85" s="48" t="str">
        <f t="shared" si="86"/>
        <v/>
      </c>
      <c r="P85" s="48" t="str">
        <f t="shared" si="86"/>
        <v/>
      </c>
      <c r="Q85" s="48" t="str">
        <f t="shared" si="86"/>
        <v/>
      </c>
      <c r="R85" s="48" t="str">
        <f t="shared" si="86"/>
        <v/>
      </c>
      <c r="S85" s="48" t="str">
        <f t="shared" si="86"/>
        <v/>
      </c>
      <c r="T85" s="48" t="str">
        <f t="shared" si="86"/>
        <v/>
      </c>
      <c r="U85" s="48" t="str">
        <f t="shared" si="86"/>
        <v/>
      </c>
      <c r="V85" s="48" t="str">
        <f t="shared" si="86"/>
        <v/>
      </c>
      <c r="W85" s="48" t="str">
        <f t="shared" si="86"/>
        <v/>
      </c>
      <c r="X85" s="48" t="str">
        <f t="shared" si="86"/>
        <v/>
      </c>
      <c r="Y85" s="48" t="str">
        <f t="shared" si="86"/>
        <v/>
      </c>
      <c r="Z85" s="48" t="str">
        <f t="shared" si="86"/>
        <v/>
      </c>
      <c r="AA85" s="48" t="str">
        <f t="shared" si="86"/>
        <v/>
      </c>
      <c r="AB85" s="48" t="str">
        <f t="shared" si="86"/>
        <v/>
      </c>
      <c r="AC85" s="48" t="str">
        <f t="shared" si="86"/>
        <v/>
      </c>
      <c r="AD85" s="48" t="str">
        <f t="shared" si="86"/>
        <v/>
      </c>
      <c r="AE85" s="48" t="str">
        <f t="shared" si="86"/>
        <v/>
      </c>
      <c r="AF85" s="48" t="str">
        <f t="shared" si="86"/>
        <v/>
      </c>
      <c r="AG85" s="48" t="str">
        <f t="shared" si="86"/>
        <v/>
      </c>
      <c r="AH85" s="48" t="str">
        <f t="shared" si="86"/>
        <v/>
      </c>
      <c r="AI85" s="48" t="str">
        <f t="shared" si="86"/>
        <v/>
      </c>
      <c r="AJ85" s="48" t="str">
        <f t="shared" si="86"/>
        <v/>
      </c>
      <c r="AK85" s="48" t="str">
        <f t="shared" si="86"/>
        <v/>
      </c>
      <c r="AL85" s="48" t="str">
        <f t="shared" si="86"/>
        <v/>
      </c>
      <c r="AM85" s="48" t="str">
        <f t="shared" si="86"/>
        <v/>
      </c>
      <c r="AN85" s="48" t="str">
        <f t="shared" si="86"/>
        <v/>
      </c>
      <c r="AO85" s="48" t="str">
        <f t="shared" si="86"/>
        <v/>
      </c>
      <c r="AP85" s="48" t="str">
        <f t="shared" si="86"/>
        <v/>
      </c>
      <c r="AQ85" s="48" t="str">
        <f t="shared" si="86"/>
        <v/>
      </c>
      <c r="AR85" s="48" t="str">
        <f t="shared" si="86"/>
        <v/>
      </c>
      <c r="AS85" s="48" t="str">
        <f t="shared" si="86"/>
        <v/>
      </c>
      <c r="AT85" s="48" t="str">
        <f t="shared" si="86"/>
        <v/>
      </c>
      <c r="AU85" s="48" t="str">
        <f t="shared" si="86"/>
        <v/>
      </c>
      <c r="AV85" s="48" t="str">
        <f t="shared" si="86"/>
        <v/>
      </c>
    </row>
    <row r="86" ht="15.75" customHeight="1">
      <c r="A86" s="46">
        <v>85.0</v>
      </c>
      <c r="B86" s="27"/>
      <c r="C86" s="44"/>
      <c r="D86" s="47"/>
      <c r="E86" s="47"/>
      <c r="F86" s="26"/>
      <c r="G86" s="48" t="str">
        <f t="shared" ref="G86:AV86" si="87">IF(AND($F86="Yes",G$2=$E86),"♦","")</f>
        <v/>
      </c>
      <c r="H86" s="48" t="str">
        <f t="shared" si="87"/>
        <v/>
      </c>
      <c r="I86" s="48" t="str">
        <f t="shared" si="87"/>
        <v/>
      </c>
      <c r="J86" s="48" t="str">
        <f t="shared" si="87"/>
        <v/>
      </c>
      <c r="K86" s="48" t="str">
        <f t="shared" si="87"/>
        <v/>
      </c>
      <c r="L86" s="48" t="str">
        <f t="shared" si="87"/>
        <v/>
      </c>
      <c r="M86" s="48" t="str">
        <f t="shared" si="87"/>
        <v/>
      </c>
      <c r="N86" s="48" t="str">
        <f t="shared" si="87"/>
        <v/>
      </c>
      <c r="O86" s="48" t="str">
        <f t="shared" si="87"/>
        <v/>
      </c>
      <c r="P86" s="48" t="str">
        <f t="shared" si="87"/>
        <v/>
      </c>
      <c r="Q86" s="48" t="str">
        <f t="shared" si="87"/>
        <v/>
      </c>
      <c r="R86" s="48" t="str">
        <f t="shared" si="87"/>
        <v/>
      </c>
      <c r="S86" s="48" t="str">
        <f t="shared" si="87"/>
        <v/>
      </c>
      <c r="T86" s="48" t="str">
        <f t="shared" si="87"/>
        <v/>
      </c>
      <c r="U86" s="48" t="str">
        <f t="shared" si="87"/>
        <v/>
      </c>
      <c r="V86" s="48" t="str">
        <f t="shared" si="87"/>
        <v/>
      </c>
      <c r="W86" s="48" t="str">
        <f t="shared" si="87"/>
        <v/>
      </c>
      <c r="X86" s="48" t="str">
        <f t="shared" si="87"/>
        <v/>
      </c>
      <c r="Y86" s="48" t="str">
        <f t="shared" si="87"/>
        <v/>
      </c>
      <c r="Z86" s="48" t="str">
        <f t="shared" si="87"/>
        <v/>
      </c>
      <c r="AA86" s="48" t="str">
        <f t="shared" si="87"/>
        <v/>
      </c>
      <c r="AB86" s="48" t="str">
        <f t="shared" si="87"/>
        <v/>
      </c>
      <c r="AC86" s="48" t="str">
        <f t="shared" si="87"/>
        <v/>
      </c>
      <c r="AD86" s="48" t="str">
        <f t="shared" si="87"/>
        <v/>
      </c>
      <c r="AE86" s="48" t="str">
        <f t="shared" si="87"/>
        <v/>
      </c>
      <c r="AF86" s="48" t="str">
        <f t="shared" si="87"/>
        <v/>
      </c>
      <c r="AG86" s="48" t="str">
        <f t="shared" si="87"/>
        <v/>
      </c>
      <c r="AH86" s="48" t="str">
        <f t="shared" si="87"/>
        <v/>
      </c>
      <c r="AI86" s="48" t="str">
        <f t="shared" si="87"/>
        <v/>
      </c>
      <c r="AJ86" s="48" t="str">
        <f t="shared" si="87"/>
        <v/>
      </c>
      <c r="AK86" s="48" t="str">
        <f t="shared" si="87"/>
        <v/>
      </c>
      <c r="AL86" s="48" t="str">
        <f t="shared" si="87"/>
        <v/>
      </c>
      <c r="AM86" s="48" t="str">
        <f t="shared" si="87"/>
        <v/>
      </c>
      <c r="AN86" s="48" t="str">
        <f t="shared" si="87"/>
        <v/>
      </c>
      <c r="AO86" s="48" t="str">
        <f t="shared" si="87"/>
        <v/>
      </c>
      <c r="AP86" s="48" t="str">
        <f t="shared" si="87"/>
        <v/>
      </c>
      <c r="AQ86" s="48" t="str">
        <f t="shared" si="87"/>
        <v/>
      </c>
      <c r="AR86" s="48" t="str">
        <f t="shared" si="87"/>
        <v/>
      </c>
      <c r="AS86" s="48" t="str">
        <f t="shared" si="87"/>
        <v/>
      </c>
      <c r="AT86" s="48" t="str">
        <f t="shared" si="87"/>
        <v/>
      </c>
      <c r="AU86" s="48" t="str">
        <f t="shared" si="87"/>
        <v/>
      </c>
      <c r="AV86" s="48" t="str">
        <f t="shared" si="87"/>
        <v/>
      </c>
    </row>
    <row r="87" ht="15.75" customHeight="1">
      <c r="A87" s="46">
        <v>86.0</v>
      </c>
      <c r="B87" s="27"/>
      <c r="C87" s="44"/>
      <c r="D87" s="47"/>
      <c r="E87" s="47"/>
      <c r="F87" s="26"/>
      <c r="G87" s="48" t="str">
        <f t="shared" ref="G87:AV87" si="88">IF(AND($F87="Yes",G$2=$E87),"♦","")</f>
        <v/>
      </c>
      <c r="H87" s="48" t="str">
        <f t="shared" si="88"/>
        <v/>
      </c>
      <c r="I87" s="48" t="str">
        <f t="shared" si="88"/>
        <v/>
      </c>
      <c r="J87" s="48" t="str">
        <f t="shared" si="88"/>
        <v/>
      </c>
      <c r="K87" s="48" t="str">
        <f t="shared" si="88"/>
        <v/>
      </c>
      <c r="L87" s="48" t="str">
        <f t="shared" si="88"/>
        <v/>
      </c>
      <c r="M87" s="48" t="str">
        <f t="shared" si="88"/>
        <v/>
      </c>
      <c r="N87" s="48" t="str">
        <f t="shared" si="88"/>
        <v/>
      </c>
      <c r="O87" s="48" t="str">
        <f t="shared" si="88"/>
        <v/>
      </c>
      <c r="P87" s="48" t="str">
        <f t="shared" si="88"/>
        <v/>
      </c>
      <c r="Q87" s="48" t="str">
        <f t="shared" si="88"/>
        <v/>
      </c>
      <c r="R87" s="48" t="str">
        <f t="shared" si="88"/>
        <v/>
      </c>
      <c r="S87" s="48" t="str">
        <f t="shared" si="88"/>
        <v/>
      </c>
      <c r="T87" s="48" t="str">
        <f t="shared" si="88"/>
        <v/>
      </c>
      <c r="U87" s="48" t="str">
        <f t="shared" si="88"/>
        <v/>
      </c>
      <c r="V87" s="48" t="str">
        <f t="shared" si="88"/>
        <v/>
      </c>
      <c r="W87" s="48" t="str">
        <f t="shared" si="88"/>
        <v/>
      </c>
      <c r="X87" s="48" t="str">
        <f t="shared" si="88"/>
        <v/>
      </c>
      <c r="Y87" s="48" t="str">
        <f t="shared" si="88"/>
        <v/>
      </c>
      <c r="Z87" s="48" t="str">
        <f t="shared" si="88"/>
        <v/>
      </c>
      <c r="AA87" s="48" t="str">
        <f t="shared" si="88"/>
        <v/>
      </c>
      <c r="AB87" s="48" t="str">
        <f t="shared" si="88"/>
        <v/>
      </c>
      <c r="AC87" s="48" t="str">
        <f t="shared" si="88"/>
        <v/>
      </c>
      <c r="AD87" s="48" t="str">
        <f t="shared" si="88"/>
        <v/>
      </c>
      <c r="AE87" s="48" t="str">
        <f t="shared" si="88"/>
        <v/>
      </c>
      <c r="AF87" s="48" t="str">
        <f t="shared" si="88"/>
        <v/>
      </c>
      <c r="AG87" s="48" t="str">
        <f t="shared" si="88"/>
        <v/>
      </c>
      <c r="AH87" s="48" t="str">
        <f t="shared" si="88"/>
        <v/>
      </c>
      <c r="AI87" s="48" t="str">
        <f t="shared" si="88"/>
        <v/>
      </c>
      <c r="AJ87" s="48" t="str">
        <f t="shared" si="88"/>
        <v/>
      </c>
      <c r="AK87" s="48" t="str">
        <f t="shared" si="88"/>
        <v/>
      </c>
      <c r="AL87" s="48" t="str">
        <f t="shared" si="88"/>
        <v/>
      </c>
      <c r="AM87" s="48" t="str">
        <f t="shared" si="88"/>
        <v/>
      </c>
      <c r="AN87" s="48" t="str">
        <f t="shared" si="88"/>
        <v/>
      </c>
      <c r="AO87" s="48" t="str">
        <f t="shared" si="88"/>
        <v/>
      </c>
      <c r="AP87" s="48" t="str">
        <f t="shared" si="88"/>
        <v/>
      </c>
      <c r="AQ87" s="48" t="str">
        <f t="shared" si="88"/>
        <v/>
      </c>
      <c r="AR87" s="48" t="str">
        <f t="shared" si="88"/>
        <v/>
      </c>
      <c r="AS87" s="48" t="str">
        <f t="shared" si="88"/>
        <v/>
      </c>
      <c r="AT87" s="48" t="str">
        <f t="shared" si="88"/>
        <v/>
      </c>
      <c r="AU87" s="48" t="str">
        <f t="shared" si="88"/>
        <v/>
      </c>
      <c r="AV87" s="48" t="str">
        <f t="shared" si="88"/>
        <v/>
      </c>
    </row>
    <row r="88" ht="15.75" customHeight="1">
      <c r="A88" s="46">
        <v>87.0</v>
      </c>
      <c r="B88" s="27"/>
      <c r="C88" s="44"/>
      <c r="D88" s="47"/>
      <c r="E88" s="47"/>
      <c r="F88" s="26"/>
      <c r="G88" s="48" t="str">
        <f t="shared" ref="G88:AV88" si="89">IF(AND($F88="Yes",G$2=$E88),"♦","")</f>
        <v/>
      </c>
      <c r="H88" s="48" t="str">
        <f t="shared" si="89"/>
        <v/>
      </c>
      <c r="I88" s="48" t="str">
        <f t="shared" si="89"/>
        <v/>
      </c>
      <c r="J88" s="48" t="str">
        <f t="shared" si="89"/>
        <v/>
      </c>
      <c r="K88" s="48" t="str">
        <f t="shared" si="89"/>
        <v/>
      </c>
      <c r="L88" s="48" t="str">
        <f t="shared" si="89"/>
        <v/>
      </c>
      <c r="M88" s="48" t="str">
        <f t="shared" si="89"/>
        <v/>
      </c>
      <c r="N88" s="48" t="str">
        <f t="shared" si="89"/>
        <v/>
      </c>
      <c r="O88" s="48" t="str">
        <f t="shared" si="89"/>
        <v/>
      </c>
      <c r="P88" s="48" t="str">
        <f t="shared" si="89"/>
        <v/>
      </c>
      <c r="Q88" s="48" t="str">
        <f t="shared" si="89"/>
        <v/>
      </c>
      <c r="R88" s="48" t="str">
        <f t="shared" si="89"/>
        <v/>
      </c>
      <c r="S88" s="48" t="str">
        <f t="shared" si="89"/>
        <v/>
      </c>
      <c r="T88" s="48" t="str">
        <f t="shared" si="89"/>
        <v/>
      </c>
      <c r="U88" s="48" t="str">
        <f t="shared" si="89"/>
        <v/>
      </c>
      <c r="V88" s="48" t="str">
        <f t="shared" si="89"/>
        <v/>
      </c>
      <c r="W88" s="48" t="str">
        <f t="shared" si="89"/>
        <v/>
      </c>
      <c r="X88" s="48" t="str">
        <f t="shared" si="89"/>
        <v/>
      </c>
      <c r="Y88" s="48" t="str">
        <f t="shared" si="89"/>
        <v/>
      </c>
      <c r="Z88" s="48" t="str">
        <f t="shared" si="89"/>
        <v/>
      </c>
      <c r="AA88" s="48" t="str">
        <f t="shared" si="89"/>
        <v/>
      </c>
      <c r="AB88" s="48" t="str">
        <f t="shared" si="89"/>
        <v/>
      </c>
      <c r="AC88" s="48" t="str">
        <f t="shared" si="89"/>
        <v/>
      </c>
      <c r="AD88" s="48" t="str">
        <f t="shared" si="89"/>
        <v/>
      </c>
      <c r="AE88" s="48" t="str">
        <f t="shared" si="89"/>
        <v/>
      </c>
      <c r="AF88" s="48" t="str">
        <f t="shared" si="89"/>
        <v/>
      </c>
      <c r="AG88" s="48" t="str">
        <f t="shared" si="89"/>
        <v/>
      </c>
      <c r="AH88" s="48" t="str">
        <f t="shared" si="89"/>
        <v/>
      </c>
      <c r="AI88" s="48" t="str">
        <f t="shared" si="89"/>
        <v/>
      </c>
      <c r="AJ88" s="48" t="str">
        <f t="shared" si="89"/>
        <v/>
      </c>
      <c r="AK88" s="48" t="str">
        <f t="shared" si="89"/>
        <v/>
      </c>
      <c r="AL88" s="48" t="str">
        <f t="shared" si="89"/>
        <v/>
      </c>
      <c r="AM88" s="48" t="str">
        <f t="shared" si="89"/>
        <v/>
      </c>
      <c r="AN88" s="48" t="str">
        <f t="shared" si="89"/>
        <v/>
      </c>
      <c r="AO88" s="48" t="str">
        <f t="shared" si="89"/>
        <v/>
      </c>
      <c r="AP88" s="48" t="str">
        <f t="shared" si="89"/>
        <v/>
      </c>
      <c r="AQ88" s="48" t="str">
        <f t="shared" si="89"/>
        <v/>
      </c>
      <c r="AR88" s="48" t="str">
        <f t="shared" si="89"/>
        <v/>
      </c>
      <c r="AS88" s="48" t="str">
        <f t="shared" si="89"/>
        <v/>
      </c>
      <c r="AT88" s="48" t="str">
        <f t="shared" si="89"/>
        <v/>
      </c>
      <c r="AU88" s="48" t="str">
        <f t="shared" si="89"/>
        <v/>
      </c>
      <c r="AV88" s="48" t="str">
        <f t="shared" si="89"/>
        <v/>
      </c>
    </row>
    <row r="89" ht="15.75" customHeight="1">
      <c r="A89" s="46">
        <v>88.0</v>
      </c>
      <c r="B89" s="27"/>
      <c r="C89" s="44"/>
      <c r="D89" s="47"/>
      <c r="E89" s="47"/>
      <c r="F89" s="26"/>
      <c r="G89" s="48" t="str">
        <f t="shared" ref="G89:AV89" si="90">IF(AND($F89="Yes",G$2=$E89),"♦","")</f>
        <v/>
      </c>
      <c r="H89" s="48" t="str">
        <f t="shared" si="90"/>
        <v/>
      </c>
      <c r="I89" s="48" t="str">
        <f t="shared" si="90"/>
        <v/>
      </c>
      <c r="J89" s="48" t="str">
        <f t="shared" si="90"/>
        <v/>
      </c>
      <c r="K89" s="48" t="str">
        <f t="shared" si="90"/>
        <v/>
      </c>
      <c r="L89" s="48" t="str">
        <f t="shared" si="90"/>
        <v/>
      </c>
      <c r="M89" s="48" t="str">
        <f t="shared" si="90"/>
        <v/>
      </c>
      <c r="N89" s="48" t="str">
        <f t="shared" si="90"/>
        <v/>
      </c>
      <c r="O89" s="48" t="str">
        <f t="shared" si="90"/>
        <v/>
      </c>
      <c r="P89" s="48" t="str">
        <f t="shared" si="90"/>
        <v/>
      </c>
      <c r="Q89" s="48" t="str">
        <f t="shared" si="90"/>
        <v/>
      </c>
      <c r="R89" s="48" t="str">
        <f t="shared" si="90"/>
        <v/>
      </c>
      <c r="S89" s="48" t="str">
        <f t="shared" si="90"/>
        <v/>
      </c>
      <c r="T89" s="48" t="str">
        <f t="shared" si="90"/>
        <v/>
      </c>
      <c r="U89" s="48" t="str">
        <f t="shared" si="90"/>
        <v/>
      </c>
      <c r="V89" s="48" t="str">
        <f t="shared" si="90"/>
        <v/>
      </c>
      <c r="W89" s="48" t="str">
        <f t="shared" si="90"/>
        <v/>
      </c>
      <c r="X89" s="48" t="str">
        <f t="shared" si="90"/>
        <v/>
      </c>
      <c r="Y89" s="48" t="str">
        <f t="shared" si="90"/>
        <v/>
      </c>
      <c r="Z89" s="48" t="str">
        <f t="shared" si="90"/>
        <v/>
      </c>
      <c r="AA89" s="48" t="str">
        <f t="shared" si="90"/>
        <v/>
      </c>
      <c r="AB89" s="48" t="str">
        <f t="shared" si="90"/>
        <v/>
      </c>
      <c r="AC89" s="48" t="str">
        <f t="shared" si="90"/>
        <v/>
      </c>
      <c r="AD89" s="48" t="str">
        <f t="shared" si="90"/>
        <v/>
      </c>
      <c r="AE89" s="48" t="str">
        <f t="shared" si="90"/>
        <v/>
      </c>
      <c r="AF89" s="48" t="str">
        <f t="shared" si="90"/>
        <v/>
      </c>
      <c r="AG89" s="48" t="str">
        <f t="shared" si="90"/>
        <v/>
      </c>
      <c r="AH89" s="48" t="str">
        <f t="shared" si="90"/>
        <v/>
      </c>
      <c r="AI89" s="48" t="str">
        <f t="shared" si="90"/>
        <v/>
      </c>
      <c r="AJ89" s="48" t="str">
        <f t="shared" si="90"/>
        <v/>
      </c>
      <c r="AK89" s="48" t="str">
        <f t="shared" si="90"/>
        <v/>
      </c>
      <c r="AL89" s="48" t="str">
        <f t="shared" si="90"/>
        <v/>
      </c>
      <c r="AM89" s="48" t="str">
        <f t="shared" si="90"/>
        <v/>
      </c>
      <c r="AN89" s="48" t="str">
        <f t="shared" si="90"/>
        <v/>
      </c>
      <c r="AO89" s="48" t="str">
        <f t="shared" si="90"/>
        <v/>
      </c>
      <c r="AP89" s="48" t="str">
        <f t="shared" si="90"/>
        <v/>
      </c>
      <c r="AQ89" s="48" t="str">
        <f t="shared" si="90"/>
        <v/>
      </c>
      <c r="AR89" s="48" t="str">
        <f t="shared" si="90"/>
        <v/>
      </c>
      <c r="AS89" s="48" t="str">
        <f t="shared" si="90"/>
        <v/>
      </c>
      <c r="AT89" s="48" t="str">
        <f t="shared" si="90"/>
        <v/>
      </c>
      <c r="AU89" s="48" t="str">
        <f t="shared" si="90"/>
        <v/>
      </c>
      <c r="AV89" s="48" t="str">
        <f t="shared" si="90"/>
        <v/>
      </c>
    </row>
    <row r="90" ht="15.75" customHeight="1">
      <c r="A90" s="46">
        <v>89.0</v>
      </c>
      <c r="B90" s="27"/>
      <c r="C90" s="44"/>
      <c r="D90" s="47"/>
      <c r="E90" s="47"/>
      <c r="F90" s="26"/>
      <c r="G90" s="48" t="str">
        <f t="shared" ref="G90:AV90" si="91">IF(AND($F90="Yes",G$2=$E90),"♦","")</f>
        <v/>
      </c>
      <c r="H90" s="48" t="str">
        <f t="shared" si="91"/>
        <v/>
      </c>
      <c r="I90" s="48" t="str">
        <f t="shared" si="91"/>
        <v/>
      </c>
      <c r="J90" s="48" t="str">
        <f t="shared" si="91"/>
        <v/>
      </c>
      <c r="K90" s="48" t="str">
        <f t="shared" si="91"/>
        <v/>
      </c>
      <c r="L90" s="48" t="str">
        <f t="shared" si="91"/>
        <v/>
      </c>
      <c r="M90" s="48" t="str">
        <f t="shared" si="91"/>
        <v/>
      </c>
      <c r="N90" s="48" t="str">
        <f t="shared" si="91"/>
        <v/>
      </c>
      <c r="O90" s="48" t="str">
        <f t="shared" si="91"/>
        <v/>
      </c>
      <c r="P90" s="48" t="str">
        <f t="shared" si="91"/>
        <v/>
      </c>
      <c r="Q90" s="48" t="str">
        <f t="shared" si="91"/>
        <v/>
      </c>
      <c r="R90" s="48" t="str">
        <f t="shared" si="91"/>
        <v/>
      </c>
      <c r="S90" s="48" t="str">
        <f t="shared" si="91"/>
        <v/>
      </c>
      <c r="T90" s="48" t="str">
        <f t="shared" si="91"/>
        <v/>
      </c>
      <c r="U90" s="48" t="str">
        <f t="shared" si="91"/>
        <v/>
      </c>
      <c r="V90" s="48" t="str">
        <f t="shared" si="91"/>
        <v/>
      </c>
      <c r="W90" s="48" t="str">
        <f t="shared" si="91"/>
        <v/>
      </c>
      <c r="X90" s="48" t="str">
        <f t="shared" si="91"/>
        <v/>
      </c>
      <c r="Y90" s="48" t="str">
        <f t="shared" si="91"/>
        <v/>
      </c>
      <c r="Z90" s="48" t="str">
        <f t="shared" si="91"/>
        <v/>
      </c>
      <c r="AA90" s="48" t="str">
        <f t="shared" si="91"/>
        <v/>
      </c>
      <c r="AB90" s="48" t="str">
        <f t="shared" si="91"/>
        <v/>
      </c>
      <c r="AC90" s="48" t="str">
        <f t="shared" si="91"/>
        <v/>
      </c>
      <c r="AD90" s="48" t="str">
        <f t="shared" si="91"/>
        <v/>
      </c>
      <c r="AE90" s="48" t="str">
        <f t="shared" si="91"/>
        <v/>
      </c>
      <c r="AF90" s="48" t="str">
        <f t="shared" si="91"/>
        <v/>
      </c>
      <c r="AG90" s="48" t="str">
        <f t="shared" si="91"/>
        <v/>
      </c>
      <c r="AH90" s="48" t="str">
        <f t="shared" si="91"/>
        <v/>
      </c>
      <c r="AI90" s="48" t="str">
        <f t="shared" si="91"/>
        <v/>
      </c>
      <c r="AJ90" s="48" t="str">
        <f t="shared" si="91"/>
        <v/>
      </c>
      <c r="AK90" s="48" t="str">
        <f t="shared" si="91"/>
        <v/>
      </c>
      <c r="AL90" s="48" t="str">
        <f t="shared" si="91"/>
        <v/>
      </c>
      <c r="AM90" s="48" t="str">
        <f t="shared" si="91"/>
        <v/>
      </c>
      <c r="AN90" s="48" t="str">
        <f t="shared" si="91"/>
        <v/>
      </c>
      <c r="AO90" s="48" t="str">
        <f t="shared" si="91"/>
        <v/>
      </c>
      <c r="AP90" s="48" t="str">
        <f t="shared" si="91"/>
        <v/>
      </c>
      <c r="AQ90" s="48" t="str">
        <f t="shared" si="91"/>
        <v/>
      </c>
      <c r="AR90" s="48" t="str">
        <f t="shared" si="91"/>
        <v/>
      </c>
      <c r="AS90" s="48" t="str">
        <f t="shared" si="91"/>
        <v/>
      </c>
      <c r="AT90" s="48" t="str">
        <f t="shared" si="91"/>
        <v/>
      </c>
      <c r="AU90" s="48" t="str">
        <f t="shared" si="91"/>
        <v/>
      </c>
      <c r="AV90" s="48" t="str">
        <f t="shared" si="91"/>
        <v/>
      </c>
    </row>
    <row r="91" ht="15.75" customHeight="1">
      <c r="A91" s="46">
        <v>90.0</v>
      </c>
      <c r="B91" s="27"/>
      <c r="C91" s="44"/>
      <c r="D91" s="47"/>
      <c r="E91" s="47"/>
      <c r="F91" s="26"/>
      <c r="G91" s="48" t="str">
        <f t="shared" ref="G91:AV91" si="92">IF(AND($F91="Yes",G$2=$E91),"♦","")</f>
        <v/>
      </c>
      <c r="H91" s="48" t="str">
        <f t="shared" si="92"/>
        <v/>
      </c>
      <c r="I91" s="48" t="str">
        <f t="shared" si="92"/>
        <v/>
      </c>
      <c r="J91" s="48" t="str">
        <f t="shared" si="92"/>
        <v/>
      </c>
      <c r="K91" s="48" t="str">
        <f t="shared" si="92"/>
        <v/>
      </c>
      <c r="L91" s="48" t="str">
        <f t="shared" si="92"/>
        <v/>
      </c>
      <c r="M91" s="48" t="str">
        <f t="shared" si="92"/>
        <v/>
      </c>
      <c r="N91" s="48" t="str">
        <f t="shared" si="92"/>
        <v/>
      </c>
      <c r="O91" s="48" t="str">
        <f t="shared" si="92"/>
        <v/>
      </c>
      <c r="P91" s="48" t="str">
        <f t="shared" si="92"/>
        <v/>
      </c>
      <c r="Q91" s="48" t="str">
        <f t="shared" si="92"/>
        <v/>
      </c>
      <c r="R91" s="48" t="str">
        <f t="shared" si="92"/>
        <v/>
      </c>
      <c r="S91" s="48" t="str">
        <f t="shared" si="92"/>
        <v/>
      </c>
      <c r="T91" s="48" t="str">
        <f t="shared" si="92"/>
        <v/>
      </c>
      <c r="U91" s="48" t="str">
        <f t="shared" si="92"/>
        <v/>
      </c>
      <c r="V91" s="48" t="str">
        <f t="shared" si="92"/>
        <v/>
      </c>
      <c r="W91" s="48" t="str">
        <f t="shared" si="92"/>
        <v/>
      </c>
      <c r="X91" s="48" t="str">
        <f t="shared" si="92"/>
        <v/>
      </c>
      <c r="Y91" s="48" t="str">
        <f t="shared" si="92"/>
        <v/>
      </c>
      <c r="Z91" s="48" t="str">
        <f t="shared" si="92"/>
        <v/>
      </c>
      <c r="AA91" s="48" t="str">
        <f t="shared" si="92"/>
        <v/>
      </c>
      <c r="AB91" s="48" t="str">
        <f t="shared" si="92"/>
        <v/>
      </c>
      <c r="AC91" s="48" t="str">
        <f t="shared" si="92"/>
        <v/>
      </c>
      <c r="AD91" s="48" t="str">
        <f t="shared" si="92"/>
        <v/>
      </c>
      <c r="AE91" s="48" t="str">
        <f t="shared" si="92"/>
        <v/>
      </c>
      <c r="AF91" s="48" t="str">
        <f t="shared" si="92"/>
        <v/>
      </c>
      <c r="AG91" s="48" t="str">
        <f t="shared" si="92"/>
        <v/>
      </c>
      <c r="AH91" s="48" t="str">
        <f t="shared" si="92"/>
        <v/>
      </c>
      <c r="AI91" s="48" t="str">
        <f t="shared" si="92"/>
        <v/>
      </c>
      <c r="AJ91" s="48" t="str">
        <f t="shared" si="92"/>
        <v/>
      </c>
      <c r="AK91" s="48" t="str">
        <f t="shared" si="92"/>
        <v/>
      </c>
      <c r="AL91" s="48" t="str">
        <f t="shared" si="92"/>
        <v/>
      </c>
      <c r="AM91" s="48" t="str">
        <f t="shared" si="92"/>
        <v/>
      </c>
      <c r="AN91" s="48" t="str">
        <f t="shared" si="92"/>
        <v/>
      </c>
      <c r="AO91" s="48" t="str">
        <f t="shared" si="92"/>
        <v/>
      </c>
      <c r="AP91" s="48" t="str">
        <f t="shared" si="92"/>
        <v/>
      </c>
      <c r="AQ91" s="48" t="str">
        <f t="shared" si="92"/>
        <v/>
      </c>
      <c r="AR91" s="48" t="str">
        <f t="shared" si="92"/>
        <v/>
      </c>
      <c r="AS91" s="48" t="str">
        <f t="shared" si="92"/>
        <v/>
      </c>
      <c r="AT91" s="48" t="str">
        <f t="shared" si="92"/>
        <v/>
      </c>
      <c r="AU91" s="48" t="str">
        <f t="shared" si="92"/>
        <v/>
      </c>
      <c r="AV91" s="48" t="str">
        <f t="shared" si="92"/>
        <v/>
      </c>
    </row>
    <row r="92" ht="15.75" customHeight="1">
      <c r="A92" s="46">
        <v>91.0</v>
      </c>
      <c r="B92" s="27"/>
      <c r="C92" s="44"/>
      <c r="D92" s="47"/>
      <c r="E92" s="47"/>
      <c r="F92" s="26"/>
      <c r="G92" s="48" t="str">
        <f t="shared" ref="G92:AV92" si="93">IF(AND($F92="Yes",G$2=$E92),"♦","")</f>
        <v/>
      </c>
      <c r="H92" s="48" t="str">
        <f t="shared" si="93"/>
        <v/>
      </c>
      <c r="I92" s="48" t="str">
        <f t="shared" si="93"/>
        <v/>
      </c>
      <c r="J92" s="48" t="str">
        <f t="shared" si="93"/>
        <v/>
      </c>
      <c r="K92" s="48" t="str">
        <f t="shared" si="93"/>
        <v/>
      </c>
      <c r="L92" s="48" t="str">
        <f t="shared" si="93"/>
        <v/>
      </c>
      <c r="M92" s="48" t="str">
        <f t="shared" si="93"/>
        <v/>
      </c>
      <c r="N92" s="48" t="str">
        <f t="shared" si="93"/>
        <v/>
      </c>
      <c r="O92" s="48" t="str">
        <f t="shared" si="93"/>
        <v/>
      </c>
      <c r="P92" s="48" t="str">
        <f t="shared" si="93"/>
        <v/>
      </c>
      <c r="Q92" s="48" t="str">
        <f t="shared" si="93"/>
        <v/>
      </c>
      <c r="R92" s="48" t="str">
        <f t="shared" si="93"/>
        <v/>
      </c>
      <c r="S92" s="48" t="str">
        <f t="shared" si="93"/>
        <v/>
      </c>
      <c r="T92" s="48" t="str">
        <f t="shared" si="93"/>
        <v/>
      </c>
      <c r="U92" s="48" t="str">
        <f t="shared" si="93"/>
        <v/>
      </c>
      <c r="V92" s="48" t="str">
        <f t="shared" si="93"/>
        <v/>
      </c>
      <c r="W92" s="48" t="str">
        <f t="shared" si="93"/>
        <v/>
      </c>
      <c r="X92" s="48" t="str">
        <f t="shared" si="93"/>
        <v/>
      </c>
      <c r="Y92" s="48" t="str">
        <f t="shared" si="93"/>
        <v/>
      </c>
      <c r="Z92" s="48" t="str">
        <f t="shared" si="93"/>
        <v/>
      </c>
      <c r="AA92" s="48" t="str">
        <f t="shared" si="93"/>
        <v/>
      </c>
      <c r="AB92" s="48" t="str">
        <f t="shared" si="93"/>
        <v/>
      </c>
      <c r="AC92" s="48" t="str">
        <f t="shared" si="93"/>
        <v/>
      </c>
      <c r="AD92" s="48" t="str">
        <f t="shared" si="93"/>
        <v/>
      </c>
      <c r="AE92" s="48" t="str">
        <f t="shared" si="93"/>
        <v/>
      </c>
      <c r="AF92" s="48" t="str">
        <f t="shared" si="93"/>
        <v/>
      </c>
      <c r="AG92" s="48" t="str">
        <f t="shared" si="93"/>
        <v/>
      </c>
      <c r="AH92" s="48" t="str">
        <f t="shared" si="93"/>
        <v/>
      </c>
      <c r="AI92" s="48" t="str">
        <f t="shared" si="93"/>
        <v/>
      </c>
      <c r="AJ92" s="48" t="str">
        <f t="shared" si="93"/>
        <v/>
      </c>
      <c r="AK92" s="48" t="str">
        <f t="shared" si="93"/>
        <v/>
      </c>
      <c r="AL92" s="48" t="str">
        <f t="shared" si="93"/>
        <v/>
      </c>
      <c r="AM92" s="48" t="str">
        <f t="shared" si="93"/>
        <v/>
      </c>
      <c r="AN92" s="48" t="str">
        <f t="shared" si="93"/>
        <v/>
      </c>
      <c r="AO92" s="48" t="str">
        <f t="shared" si="93"/>
        <v/>
      </c>
      <c r="AP92" s="48" t="str">
        <f t="shared" si="93"/>
        <v/>
      </c>
      <c r="AQ92" s="48" t="str">
        <f t="shared" si="93"/>
        <v/>
      </c>
      <c r="AR92" s="48" t="str">
        <f t="shared" si="93"/>
        <v/>
      </c>
      <c r="AS92" s="48" t="str">
        <f t="shared" si="93"/>
        <v/>
      </c>
      <c r="AT92" s="48" t="str">
        <f t="shared" si="93"/>
        <v/>
      </c>
      <c r="AU92" s="48" t="str">
        <f t="shared" si="93"/>
        <v/>
      </c>
      <c r="AV92" s="48" t="str">
        <f t="shared" si="93"/>
        <v/>
      </c>
    </row>
    <row r="93" ht="15.75" customHeight="1">
      <c r="A93" s="46">
        <v>92.0</v>
      </c>
      <c r="B93" s="27"/>
      <c r="C93" s="44"/>
      <c r="D93" s="47"/>
      <c r="E93" s="47"/>
      <c r="F93" s="26"/>
      <c r="G93" s="48" t="str">
        <f t="shared" ref="G93:AV93" si="94">IF(AND($F93="Yes",G$2=$E93),"♦","")</f>
        <v/>
      </c>
      <c r="H93" s="48" t="str">
        <f t="shared" si="94"/>
        <v/>
      </c>
      <c r="I93" s="48" t="str">
        <f t="shared" si="94"/>
        <v/>
      </c>
      <c r="J93" s="48" t="str">
        <f t="shared" si="94"/>
        <v/>
      </c>
      <c r="K93" s="48" t="str">
        <f t="shared" si="94"/>
        <v/>
      </c>
      <c r="L93" s="48" t="str">
        <f t="shared" si="94"/>
        <v/>
      </c>
      <c r="M93" s="48" t="str">
        <f t="shared" si="94"/>
        <v/>
      </c>
      <c r="N93" s="48" t="str">
        <f t="shared" si="94"/>
        <v/>
      </c>
      <c r="O93" s="48" t="str">
        <f t="shared" si="94"/>
        <v/>
      </c>
      <c r="P93" s="48" t="str">
        <f t="shared" si="94"/>
        <v/>
      </c>
      <c r="Q93" s="48" t="str">
        <f t="shared" si="94"/>
        <v/>
      </c>
      <c r="R93" s="48" t="str">
        <f t="shared" si="94"/>
        <v/>
      </c>
      <c r="S93" s="48" t="str">
        <f t="shared" si="94"/>
        <v/>
      </c>
      <c r="T93" s="48" t="str">
        <f t="shared" si="94"/>
        <v/>
      </c>
      <c r="U93" s="48" t="str">
        <f t="shared" si="94"/>
        <v/>
      </c>
      <c r="V93" s="48" t="str">
        <f t="shared" si="94"/>
        <v/>
      </c>
      <c r="W93" s="48" t="str">
        <f t="shared" si="94"/>
        <v/>
      </c>
      <c r="X93" s="48" t="str">
        <f t="shared" si="94"/>
        <v/>
      </c>
      <c r="Y93" s="48" t="str">
        <f t="shared" si="94"/>
        <v/>
      </c>
      <c r="Z93" s="48" t="str">
        <f t="shared" si="94"/>
        <v/>
      </c>
      <c r="AA93" s="48" t="str">
        <f t="shared" si="94"/>
        <v/>
      </c>
      <c r="AB93" s="48" t="str">
        <f t="shared" si="94"/>
        <v/>
      </c>
      <c r="AC93" s="48" t="str">
        <f t="shared" si="94"/>
        <v/>
      </c>
      <c r="AD93" s="48" t="str">
        <f t="shared" si="94"/>
        <v/>
      </c>
      <c r="AE93" s="48" t="str">
        <f t="shared" si="94"/>
        <v/>
      </c>
      <c r="AF93" s="48" t="str">
        <f t="shared" si="94"/>
        <v/>
      </c>
      <c r="AG93" s="48" t="str">
        <f t="shared" si="94"/>
        <v/>
      </c>
      <c r="AH93" s="48" t="str">
        <f t="shared" si="94"/>
        <v/>
      </c>
      <c r="AI93" s="48" t="str">
        <f t="shared" si="94"/>
        <v/>
      </c>
      <c r="AJ93" s="48" t="str">
        <f t="shared" si="94"/>
        <v/>
      </c>
      <c r="AK93" s="48" t="str">
        <f t="shared" si="94"/>
        <v/>
      </c>
      <c r="AL93" s="48" t="str">
        <f t="shared" si="94"/>
        <v/>
      </c>
      <c r="AM93" s="48" t="str">
        <f t="shared" si="94"/>
        <v/>
      </c>
      <c r="AN93" s="48" t="str">
        <f t="shared" si="94"/>
        <v/>
      </c>
      <c r="AO93" s="48" t="str">
        <f t="shared" si="94"/>
        <v/>
      </c>
      <c r="AP93" s="48" t="str">
        <f t="shared" si="94"/>
        <v/>
      </c>
      <c r="AQ93" s="48" t="str">
        <f t="shared" si="94"/>
        <v/>
      </c>
      <c r="AR93" s="48" t="str">
        <f t="shared" si="94"/>
        <v/>
      </c>
      <c r="AS93" s="48" t="str">
        <f t="shared" si="94"/>
        <v/>
      </c>
      <c r="AT93" s="48" t="str">
        <f t="shared" si="94"/>
        <v/>
      </c>
      <c r="AU93" s="48" t="str">
        <f t="shared" si="94"/>
        <v/>
      </c>
      <c r="AV93" s="48" t="str">
        <f t="shared" si="94"/>
        <v/>
      </c>
    </row>
    <row r="94" ht="15.75" customHeight="1">
      <c r="A94" s="46">
        <v>93.0</v>
      </c>
      <c r="B94" s="27"/>
      <c r="C94" s="44"/>
      <c r="D94" s="47"/>
      <c r="E94" s="47"/>
      <c r="F94" s="26"/>
      <c r="G94" s="48" t="str">
        <f t="shared" ref="G94:AV94" si="95">IF(AND($F94="Yes",G$2=$E94),"♦","")</f>
        <v/>
      </c>
      <c r="H94" s="48" t="str">
        <f t="shared" si="95"/>
        <v/>
      </c>
      <c r="I94" s="48" t="str">
        <f t="shared" si="95"/>
        <v/>
      </c>
      <c r="J94" s="48" t="str">
        <f t="shared" si="95"/>
        <v/>
      </c>
      <c r="K94" s="48" t="str">
        <f t="shared" si="95"/>
        <v/>
      </c>
      <c r="L94" s="48" t="str">
        <f t="shared" si="95"/>
        <v/>
      </c>
      <c r="M94" s="48" t="str">
        <f t="shared" si="95"/>
        <v/>
      </c>
      <c r="N94" s="48" t="str">
        <f t="shared" si="95"/>
        <v/>
      </c>
      <c r="O94" s="48" t="str">
        <f t="shared" si="95"/>
        <v/>
      </c>
      <c r="P94" s="48" t="str">
        <f t="shared" si="95"/>
        <v/>
      </c>
      <c r="Q94" s="48" t="str">
        <f t="shared" si="95"/>
        <v/>
      </c>
      <c r="R94" s="48" t="str">
        <f t="shared" si="95"/>
        <v/>
      </c>
      <c r="S94" s="48" t="str">
        <f t="shared" si="95"/>
        <v/>
      </c>
      <c r="T94" s="48" t="str">
        <f t="shared" si="95"/>
        <v/>
      </c>
      <c r="U94" s="48" t="str">
        <f t="shared" si="95"/>
        <v/>
      </c>
      <c r="V94" s="48" t="str">
        <f t="shared" si="95"/>
        <v/>
      </c>
      <c r="W94" s="48" t="str">
        <f t="shared" si="95"/>
        <v/>
      </c>
      <c r="X94" s="48" t="str">
        <f t="shared" si="95"/>
        <v/>
      </c>
      <c r="Y94" s="48" t="str">
        <f t="shared" si="95"/>
        <v/>
      </c>
      <c r="Z94" s="48" t="str">
        <f t="shared" si="95"/>
        <v/>
      </c>
      <c r="AA94" s="48" t="str">
        <f t="shared" si="95"/>
        <v/>
      </c>
      <c r="AB94" s="48" t="str">
        <f t="shared" si="95"/>
        <v/>
      </c>
      <c r="AC94" s="48" t="str">
        <f t="shared" si="95"/>
        <v/>
      </c>
      <c r="AD94" s="48" t="str">
        <f t="shared" si="95"/>
        <v/>
      </c>
      <c r="AE94" s="48" t="str">
        <f t="shared" si="95"/>
        <v/>
      </c>
      <c r="AF94" s="48" t="str">
        <f t="shared" si="95"/>
        <v/>
      </c>
      <c r="AG94" s="48" t="str">
        <f t="shared" si="95"/>
        <v/>
      </c>
      <c r="AH94" s="48" t="str">
        <f t="shared" si="95"/>
        <v/>
      </c>
      <c r="AI94" s="48" t="str">
        <f t="shared" si="95"/>
        <v/>
      </c>
      <c r="AJ94" s="48" t="str">
        <f t="shared" si="95"/>
        <v/>
      </c>
      <c r="AK94" s="48" t="str">
        <f t="shared" si="95"/>
        <v/>
      </c>
      <c r="AL94" s="48" t="str">
        <f t="shared" si="95"/>
        <v/>
      </c>
      <c r="AM94" s="48" t="str">
        <f t="shared" si="95"/>
        <v/>
      </c>
      <c r="AN94" s="48" t="str">
        <f t="shared" si="95"/>
        <v/>
      </c>
      <c r="AO94" s="48" t="str">
        <f t="shared" si="95"/>
        <v/>
      </c>
      <c r="AP94" s="48" t="str">
        <f t="shared" si="95"/>
        <v/>
      </c>
      <c r="AQ94" s="48" t="str">
        <f t="shared" si="95"/>
        <v/>
      </c>
      <c r="AR94" s="48" t="str">
        <f t="shared" si="95"/>
        <v/>
      </c>
      <c r="AS94" s="48" t="str">
        <f t="shared" si="95"/>
        <v/>
      </c>
      <c r="AT94" s="48" t="str">
        <f t="shared" si="95"/>
        <v/>
      </c>
      <c r="AU94" s="48" t="str">
        <f t="shared" si="95"/>
        <v/>
      </c>
      <c r="AV94" s="48" t="str">
        <f t="shared" si="95"/>
        <v/>
      </c>
    </row>
    <row r="95" ht="15.75" customHeight="1">
      <c r="A95" s="46">
        <v>94.0</v>
      </c>
      <c r="B95" s="27"/>
      <c r="C95" s="44"/>
      <c r="D95" s="47"/>
      <c r="E95" s="47"/>
      <c r="F95" s="26"/>
      <c r="G95" s="48" t="str">
        <f t="shared" ref="G95:AV95" si="96">IF(AND($F95="Yes",G$2=$E95),"♦","")</f>
        <v/>
      </c>
      <c r="H95" s="48" t="str">
        <f t="shared" si="96"/>
        <v/>
      </c>
      <c r="I95" s="48" t="str">
        <f t="shared" si="96"/>
        <v/>
      </c>
      <c r="J95" s="48" t="str">
        <f t="shared" si="96"/>
        <v/>
      </c>
      <c r="K95" s="48" t="str">
        <f t="shared" si="96"/>
        <v/>
      </c>
      <c r="L95" s="48" t="str">
        <f t="shared" si="96"/>
        <v/>
      </c>
      <c r="M95" s="48" t="str">
        <f t="shared" si="96"/>
        <v/>
      </c>
      <c r="N95" s="48" t="str">
        <f t="shared" si="96"/>
        <v/>
      </c>
      <c r="O95" s="48" t="str">
        <f t="shared" si="96"/>
        <v/>
      </c>
      <c r="P95" s="48" t="str">
        <f t="shared" si="96"/>
        <v/>
      </c>
      <c r="Q95" s="48" t="str">
        <f t="shared" si="96"/>
        <v/>
      </c>
      <c r="R95" s="48" t="str">
        <f t="shared" si="96"/>
        <v/>
      </c>
      <c r="S95" s="48" t="str">
        <f t="shared" si="96"/>
        <v/>
      </c>
      <c r="T95" s="48" t="str">
        <f t="shared" si="96"/>
        <v/>
      </c>
      <c r="U95" s="48" t="str">
        <f t="shared" si="96"/>
        <v/>
      </c>
      <c r="V95" s="48" t="str">
        <f t="shared" si="96"/>
        <v/>
      </c>
      <c r="W95" s="48" t="str">
        <f t="shared" si="96"/>
        <v/>
      </c>
      <c r="X95" s="48" t="str">
        <f t="shared" si="96"/>
        <v/>
      </c>
      <c r="Y95" s="48" t="str">
        <f t="shared" si="96"/>
        <v/>
      </c>
      <c r="Z95" s="48" t="str">
        <f t="shared" si="96"/>
        <v/>
      </c>
      <c r="AA95" s="48" t="str">
        <f t="shared" si="96"/>
        <v/>
      </c>
      <c r="AB95" s="48" t="str">
        <f t="shared" si="96"/>
        <v/>
      </c>
      <c r="AC95" s="48" t="str">
        <f t="shared" si="96"/>
        <v/>
      </c>
      <c r="AD95" s="48" t="str">
        <f t="shared" si="96"/>
        <v/>
      </c>
      <c r="AE95" s="48" t="str">
        <f t="shared" si="96"/>
        <v/>
      </c>
      <c r="AF95" s="48" t="str">
        <f t="shared" si="96"/>
        <v/>
      </c>
      <c r="AG95" s="48" t="str">
        <f t="shared" si="96"/>
        <v/>
      </c>
      <c r="AH95" s="48" t="str">
        <f t="shared" si="96"/>
        <v/>
      </c>
      <c r="AI95" s="48" t="str">
        <f t="shared" si="96"/>
        <v/>
      </c>
      <c r="AJ95" s="48" t="str">
        <f t="shared" si="96"/>
        <v/>
      </c>
      <c r="AK95" s="48" t="str">
        <f t="shared" si="96"/>
        <v/>
      </c>
      <c r="AL95" s="48" t="str">
        <f t="shared" si="96"/>
        <v/>
      </c>
      <c r="AM95" s="48" t="str">
        <f t="shared" si="96"/>
        <v/>
      </c>
      <c r="AN95" s="48" t="str">
        <f t="shared" si="96"/>
        <v/>
      </c>
      <c r="AO95" s="48" t="str">
        <f t="shared" si="96"/>
        <v/>
      </c>
      <c r="AP95" s="48" t="str">
        <f t="shared" si="96"/>
        <v/>
      </c>
      <c r="AQ95" s="48" t="str">
        <f t="shared" si="96"/>
        <v/>
      </c>
      <c r="AR95" s="48" t="str">
        <f t="shared" si="96"/>
        <v/>
      </c>
      <c r="AS95" s="48" t="str">
        <f t="shared" si="96"/>
        <v/>
      </c>
      <c r="AT95" s="48" t="str">
        <f t="shared" si="96"/>
        <v/>
      </c>
      <c r="AU95" s="48" t="str">
        <f t="shared" si="96"/>
        <v/>
      </c>
      <c r="AV95" s="48" t="str">
        <f t="shared" si="96"/>
        <v/>
      </c>
    </row>
    <row r="96" ht="15.75" customHeight="1">
      <c r="A96" s="46">
        <v>95.0</v>
      </c>
      <c r="B96" s="27"/>
      <c r="C96" s="44"/>
      <c r="D96" s="47"/>
      <c r="E96" s="47"/>
      <c r="F96" s="26"/>
      <c r="G96" s="48" t="str">
        <f t="shared" ref="G96:AV96" si="97">IF(AND($F96="Yes",G$2=$E96),"♦","")</f>
        <v/>
      </c>
      <c r="H96" s="48" t="str">
        <f t="shared" si="97"/>
        <v/>
      </c>
      <c r="I96" s="48" t="str">
        <f t="shared" si="97"/>
        <v/>
      </c>
      <c r="J96" s="48" t="str">
        <f t="shared" si="97"/>
        <v/>
      </c>
      <c r="K96" s="48" t="str">
        <f t="shared" si="97"/>
        <v/>
      </c>
      <c r="L96" s="48" t="str">
        <f t="shared" si="97"/>
        <v/>
      </c>
      <c r="M96" s="48" t="str">
        <f t="shared" si="97"/>
        <v/>
      </c>
      <c r="N96" s="48" t="str">
        <f t="shared" si="97"/>
        <v/>
      </c>
      <c r="O96" s="48" t="str">
        <f t="shared" si="97"/>
        <v/>
      </c>
      <c r="P96" s="48" t="str">
        <f t="shared" si="97"/>
        <v/>
      </c>
      <c r="Q96" s="48" t="str">
        <f t="shared" si="97"/>
        <v/>
      </c>
      <c r="R96" s="48" t="str">
        <f t="shared" si="97"/>
        <v/>
      </c>
      <c r="S96" s="48" t="str">
        <f t="shared" si="97"/>
        <v/>
      </c>
      <c r="T96" s="48" t="str">
        <f t="shared" si="97"/>
        <v/>
      </c>
      <c r="U96" s="48" t="str">
        <f t="shared" si="97"/>
        <v/>
      </c>
      <c r="V96" s="48" t="str">
        <f t="shared" si="97"/>
        <v/>
      </c>
      <c r="W96" s="48" t="str">
        <f t="shared" si="97"/>
        <v/>
      </c>
      <c r="X96" s="48" t="str">
        <f t="shared" si="97"/>
        <v/>
      </c>
      <c r="Y96" s="48" t="str">
        <f t="shared" si="97"/>
        <v/>
      </c>
      <c r="Z96" s="48" t="str">
        <f t="shared" si="97"/>
        <v/>
      </c>
      <c r="AA96" s="48" t="str">
        <f t="shared" si="97"/>
        <v/>
      </c>
      <c r="AB96" s="48" t="str">
        <f t="shared" si="97"/>
        <v/>
      </c>
      <c r="AC96" s="48" t="str">
        <f t="shared" si="97"/>
        <v/>
      </c>
      <c r="AD96" s="48" t="str">
        <f t="shared" si="97"/>
        <v/>
      </c>
      <c r="AE96" s="48" t="str">
        <f t="shared" si="97"/>
        <v/>
      </c>
      <c r="AF96" s="48" t="str">
        <f t="shared" si="97"/>
        <v/>
      </c>
      <c r="AG96" s="48" t="str">
        <f t="shared" si="97"/>
        <v/>
      </c>
      <c r="AH96" s="48" t="str">
        <f t="shared" si="97"/>
        <v/>
      </c>
      <c r="AI96" s="48" t="str">
        <f t="shared" si="97"/>
        <v/>
      </c>
      <c r="AJ96" s="48" t="str">
        <f t="shared" si="97"/>
        <v/>
      </c>
      <c r="AK96" s="48" t="str">
        <f t="shared" si="97"/>
        <v/>
      </c>
      <c r="AL96" s="48" t="str">
        <f t="shared" si="97"/>
        <v/>
      </c>
      <c r="AM96" s="48" t="str">
        <f t="shared" si="97"/>
        <v/>
      </c>
      <c r="AN96" s="48" t="str">
        <f t="shared" si="97"/>
        <v/>
      </c>
      <c r="AO96" s="48" t="str">
        <f t="shared" si="97"/>
        <v/>
      </c>
      <c r="AP96" s="48" t="str">
        <f t="shared" si="97"/>
        <v/>
      </c>
      <c r="AQ96" s="48" t="str">
        <f t="shared" si="97"/>
        <v/>
      </c>
      <c r="AR96" s="48" t="str">
        <f t="shared" si="97"/>
        <v/>
      </c>
      <c r="AS96" s="48" t="str">
        <f t="shared" si="97"/>
        <v/>
      </c>
      <c r="AT96" s="48" t="str">
        <f t="shared" si="97"/>
        <v/>
      </c>
      <c r="AU96" s="48" t="str">
        <f t="shared" si="97"/>
        <v/>
      </c>
      <c r="AV96" s="48" t="str">
        <f t="shared" si="97"/>
        <v/>
      </c>
    </row>
    <row r="97" ht="15.75" customHeight="1">
      <c r="A97" s="46">
        <v>96.0</v>
      </c>
      <c r="B97" s="27"/>
      <c r="C97" s="44"/>
      <c r="D97" s="47"/>
      <c r="E97" s="47"/>
      <c r="F97" s="26"/>
      <c r="G97" s="48" t="str">
        <f t="shared" ref="G97:AV97" si="98">IF(AND($F97="Yes",G$2=$E97),"♦","")</f>
        <v/>
      </c>
      <c r="H97" s="48" t="str">
        <f t="shared" si="98"/>
        <v/>
      </c>
      <c r="I97" s="48" t="str">
        <f t="shared" si="98"/>
        <v/>
      </c>
      <c r="J97" s="48" t="str">
        <f t="shared" si="98"/>
        <v/>
      </c>
      <c r="K97" s="48" t="str">
        <f t="shared" si="98"/>
        <v/>
      </c>
      <c r="L97" s="48" t="str">
        <f t="shared" si="98"/>
        <v/>
      </c>
      <c r="M97" s="48" t="str">
        <f t="shared" si="98"/>
        <v/>
      </c>
      <c r="N97" s="48" t="str">
        <f t="shared" si="98"/>
        <v/>
      </c>
      <c r="O97" s="48" t="str">
        <f t="shared" si="98"/>
        <v/>
      </c>
      <c r="P97" s="48" t="str">
        <f t="shared" si="98"/>
        <v/>
      </c>
      <c r="Q97" s="48" t="str">
        <f t="shared" si="98"/>
        <v/>
      </c>
      <c r="R97" s="48" t="str">
        <f t="shared" si="98"/>
        <v/>
      </c>
      <c r="S97" s="48" t="str">
        <f t="shared" si="98"/>
        <v/>
      </c>
      <c r="T97" s="48" t="str">
        <f t="shared" si="98"/>
        <v/>
      </c>
      <c r="U97" s="48" t="str">
        <f t="shared" si="98"/>
        <v/>
      </c>
      <c r="V97" s="48" t="str">
        <f t="shared" si="98"/>
        <v/>
      </c>
      <c r="W97" s="48" t="str">
        <f t="shared" si="98"/>
        <v/>
      </c>
      <c r="X97" s="48" t="str">
        <f t="shared" si="98"/>
        <v/>
      </c>
      <c r="Y97" s="48" t="str">
        <f t="shared" si="98"/>
        <v/>
      </c>
      <c r="Z97" s="48" t="str">
        <f t="shared" si="98"/>
        <v/>
      </c>
      <c r="AA97" s="48" t="str">
        <f t="shared" si="98"/>
        <v/>
      </c>
      <c r="AB97" s="48" t="str">
        <f t="shared" si="98"/>
        <v/>
      </c>
      <c r="AC97" s="48" t="str">
        <f t="shared" si="98"/>
        <v/>
      </c>
      <c r="AD97" s="48" t="str">
        <f t="shared" si="98"/>
        <v/>
      </c>
      <c r="AE97" s="48" t="str">
        <f t="shared" si="98"/>
        <v/>
      </c>
      <c r="AF97" s="48" t="str">
        <f t="shared" si="98"/>
        <v/>
      </c>
      <c r="AG97" s="48" t="str">
        <f t="shared" si="98"/>
        <v/>
      </c>
      <c r="AH97" s="48" t="str">
        <f t="shared" si="98"/>
        <v/>
      </c>
      <c r="AI97" s="48" t="str">
        <f t="shared" si="98"/>
        <v/>
      </c>
      <c r="AJ97" s="48" t="str">
        <f t="shared" si="98"/>
        <v/>
      </c>
      <c r="AK97" s="48" t="str">
        <f t="shared" si="98"/>
        <v/>
      </c>
      <c r="AL97" s="48" t="str">
        <f t="shared" si="98"/>
        <v/>
      </c>
      <c r="AM97" s="48" t="str">
        <f t="shared" si="98"/>
        <v/>
      </c>
      <c r="AN97" s="48" t="str">
        <f t="shared" si="98"/>
        <v/>
      </c>
      <c r="AO97" s="48" t="str">
        <f t="shared" si="98"/>
        <v/>
      </c>
      <c r="AP97" s="48" t="str">
        <f t="shared" si="98"/>
        <v/>
      </c>
      <c r="AQ97" s="48" t="str">
        <f t="shared" si="98"/>
        <v/>
      </c>
      <c r="AR97" s="48" t="str">
        <f t="shared" si="98"/>
        <v/>
      </c>
      <c r="AS97" s="48" t="str">
        <f t="shared" si="98"/>
        <v/>
      </c>
      <c r="AT97" s="48" t="str">
        <f t="shared" si="98"/>
        <v/>
      </c>
      <c r="AU97" s="48" t="str">
        <f t="shared" si="98"/>
        <v/>
      </c>
      <c r="AV97" s="48" t="str">
        <f t="shared" si="98"/>
        <v/>
      </c>
    </row>
    <row r="98" ht="15.75" customHeight="1">
      <c r="A98" s="46">
        <v>97.0</v>
      </c>
      <c r="B98" s="27"/>
      <c r="C98" s="44"/>
      <c r="D98" s="47"/>
      <c r="E98" s="47"/>
      <c r="F98" s="26"/>
      <c r="G98" s="48" t="str">
        <f t="shared" ref="G98:AV98" si="99">IF(AND($F98="Yes",G$2=$E98),"♦","")</f>
        <v/>
      </c>
      <c r="H98" s="48" t="str">
        <f t="shared" si="99"/>
        <v/>
      </c>
      <c r="I98" s="48" t="str">
        <f t="shared" si="99"/>
        <v/>
      </c>
      <c r="J98" s="48" t="str">
        <f t="shared" si="99"/>
        <v/>
      </c>
      <c r="K98" s="48" t="str">
        <f t="shared" si="99"/>
        <v/>
      </c>
      <c r="L98" s="48" t="str">
        <f t="shared" si="99"/>
        <v/>
      </c>
      <c r="M98" s="48" t="str">
        <f t="shared" si="99"/>
        <v/>
      </c>
      <c r="N98" s="48" t="str">
        <f t="shared" si="99"/>
        <v/>
      </c>
      <c r="O98" s="48" t="str">
        <f t="shared" si="99"/>
        <v/>
      </c>
      <c r="P98" s="48" t="str">
        <f t="shared" si="99"/>
        <v/>
      </c>
      <c r="Q98" s="48" t="str">
        <f t="shared" si="99"/>
        <v/>
      </c>
      <c r="R98" s="48" t="str">
        <f t="shared" si="99"/>
        <v/>
      </c>
      <c r="S98" s="48" t="str">
        <f t="shared" si="99"/>
        <v/>
      </c>
      <c r="T98" s="48" t="str">
        <f t="shared" si="99"/>
        <v/>
      </c>
      <c r="U98" s="48" t="str">
        <f t="shared" si="99"/>
        <v/>
      </c>
      <c r="V98" s="48" t="str">
        <f t="shared" si="99"/>
        <v/>
      </c>
      <c r="W98" s="48" t="str">
        <f t="shared" si="99"/>
        <v/>
      </c>
      <c r="X98" s="48" t="str">
        <f t="shared" si="99"/>
        <v/>
      </c>
      <c r="Y98" s="48" t="str">
        <f t="shared" si="99"/>
        <v/>
      </c>
      <c r="Z98" s="48" t="str">
        <f t="shared" si="99"/>
        <v/>
      </c>
      <c r="AA98" s="48" t="str">
        <f t="shared" si="99"/>
        <v/>
      </c>
      <c r="AB98" s="48" t="str">
        <f t="shared" si="99"/>
        <v/>
      </c>
      <c r="AC98" s="48" t="str">
        <f t="shared" si="99"/>
        <v/>
      </c>
      <c r="AD98" s="48" t="str">
        <f t="shared" si="99"/>
        <v/>
      </c>
      <c r="AE98" s="48" t="str">
        <f t="shared" si="99"/>
        <v/>
      </c>
      <c r="AF98" s="48" t="str">
        <f t="shared" si="99"/>
        <v/>
      </c>
      <c r="AG98" s="48" t="str">
        <f t="shared" si="99"/>
        <v/>
      </c>
      <c r="AH98" s="48" t="str">
        <f t="shared" si="99"/>
        <v/>
      </c>
      <c r="AI98" s="48" t="str">
        <f t="shared" si="99"/>
        <v/>
      </c>
      <c r="AJ98" s="48" t="str">
        <f t="shared" si="99"/>
        <v/>
      </c>
      <c r="AK98" s="48" t="str">
        <f t="shared" si="99"/>
        <v/>
      </c>
      <c r="AL98" s="48" t="str">
        <f t="shared" si="99"/>
        <v/>
      </c>
      <c r="AM98" s="48" t="str">
        <f t="shared" si="99"/>
        <v/>
      </c>
      <c r="AN98" s="48" t="str">
        <f t="shared" si="99"/>
        <v/>
      </c>
      <c r="AO98" s="48" t="str">
        <f t="shared" si="99"/>
        <v/>
      </c>
      <c r="AP98" s="48" t="str">
        <f t="shared" si="99"/>
        <v/>
      </c>
      <c r="AQ98" s="48" t="str">
        <f t="shared" si="99"/>
        <v/>
      </c>
      <c r="AR98" s="48" t="str">
        <f t="shared" si="99"/>
        <v/>
      </c>
      <c r="AS98" s="48" t="str">
        <f t="shared" si="99"/>
        <v/>
      </c>
      <c r="AT98" s="48" t="str">
        <f t="shared" si="99"/>
        <v/>
      </c>
      <c r="AU98" s="48" t="str">
        <f t="shared" si="99"/>
        <v/>
      </c>
      <c r="AV98" s="48" t="str">
        <f t="shared" si="99"/>
        <v/>
      </c>
    </row>
    <row r="99" ht="15.75" customHeight="1">
      <c r="A99" s="46">
        <v>97.0</v>
      </c>
      <c r="B99" s="27"/>
      <c r="C99" s="44"/>
      <c r="D99" s="47"/>
      <c r="E99" s="47"/>
      <c r="F99" s="26"/>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0"/>
      <c r="AV99" s="50"/>
    </row>
    <row r="100" ht="15.75" customHeight="1">
      <c r="A100" s="35"/>
      <c r="B100" s="27"/>
      <c r="C100" s="51"/>
      <c r="D100" s="35"/>
      <c r="E100" s="35"/>
      <c r="F100" s="26"/>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c r="AT100" s="50"/>
      <c r="AU100" s="50"/>
      <c r="AV100" s="50"/>
    </row>
    <row r="101" ht="15.75" customHeight="1">
      <c r="A101" s="35"/>
      <c r="B101" s="27"/>
      <c r="C101" s="51"/>
      <c r="D101" s="35"/>
      <c r="E101" s="35"/>
      <c r="F101" s="26"/>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row>
    <row r="102" ht="15.75" customHeight="1">
      <c r="A102" s="35"/>
      <c r="B102" s="27"/>
      <c r="C102" s="51"/>
      <c r="D102" s="35"/>
      <c r="E102" s="35"/>
      <c r="F102" s="26"/>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row>
    <row r="103" ht="15.75" customHeight="1">
      <c r="A103" s="35"/>
      <c r="B103" s="27"/>
      <c r="C103" s="51"/>
      <c r="D103" s="35"/>
      <c r="E103" s="35"/>
      <c r="F103" s="26"/>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row>
    <row r="104" ht="15.75" customHeight="1">
      <c r="A104" s="35"/>
      <c r="B104" s="27"/>
      <c r="C104" s="51"/>
      <c r="D104" s="35"/>
      <c r="E104" s="35"/>
      <c r="F104" s="26"/>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row>
    <row r="105" ht="15.75" customHeight="1">
      <c r="A105" s="35"/>
      <c r="B105" s="27"/>
      <c r="C105" s="51"/>
      <c r="D105" s="35"/>
      <c r="E105" s="35"/>
      <c r="F105" s="26"/>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row>
    <row r="106" ht="15.75" customHeight="1">
      <c r="A106" s="35"/>
      <c r="B106" s="27"/>
      <c r="C106" s="51"/>
      <c r="D106" s="35"/>
      <c r="E106" s="35"/>
      <c r="F106" s="26"/>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row>
    <row r="107" ht="15.75" customHeight="1">
      <c r="A107" s="35"/>
      <c r="B107" s="27"/>
      <c r="C107" s="51"/>
      <c r="D107" s="35"/>
      <c r="E107" s="35"/>
      <c r="F107" s="26"/>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row>
    <row r="108" ht="15.75" customHeight="1">
      <c r="A108" s="35"/>
      <c r="B108" s="27"/>
      <c r="C108" s="51"/>
      <c r="D108" s="35"/>
      <c r="E108" s="35"/>
      <c r="F108" s="26"/>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row>
    <row r="109" ht="15.75" customHeight="1">
      <c r="A109" s="35"/>
      <c r="B109" s="27"/>
      <c r="C109" s="51"/>
      <c r="D109" s="35"/>
      <c r="E109" s="35"/>
      <c r="F109" s="26"/>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row>
    <row r="110" ht="15.75" customHeight="1">
      <c r="A110" s="35"/>
      <c r="B110" s="27"/>
      <c r="C110" s="51"/>
      <c r="D110" s="35"/>
      <c r="E110" s="35"/>
      <c r="F110" s="26"/>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row>
    <row r="111" ht="15.75" customHeight="1">
      <c r="A111" s="35"/>
      <c r="B111" s="27"/>
      <c r="C111" s="51"/>
      <c r="D111" s="35"/>
      <c r="E111" s="35"/>
      <c r="F111" s="26"/>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row>
    <row r="112" ht="15.75" customHeight="1">
      <c r="A112" s="35"/>
      <c r="B112" s="27"/>
      <c r="C112" s="51"/>
      <c r="D112" s="35"/>
      <c r="E112" s="35"/>
      <c r="F112" s="26"/>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row>
    <row r="113" ht="15.75" customHeight="1">
      <c r="A113" s="35"/>
      <c r="B113" s="27"/>
      <c r="C113" s="51"/>
      <c r="D113" s="35"/>
      <c r="E113" s="35"/>
      <c r="F113" s="26"/>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row>
    <row r="114" ht="15.75" customHeight="1">
      <c r="A114" s="35"/>
      <c r="B114" s="27"/>
      <c r="C114" s="51"/>
      <c r="D114" s="35"/>
      <c r="E114" s="35"/>
      <c r="F114" s="26"/>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row>
    <row r="115" ht="15.75" customHeight="1">
      <c r="A115" s="35"/>
      <c r="B115" s="27"/>
      <c r="C115" s="51"/>
      <c r="D115" s="35"/>
      <c r="E115" s="35"/>
      <c r="F115" s="26"/>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row>
    <row r="116" ht="15.75" customHeight="1">
      <c r="A116" s="35"/>
      <c r="B116" s="27"/>
      <c r="C116" s="51"/>
      <c r="D116" s="35"/>
      <c r="E116" s="35"/>
      <c r="F116" s="26"/>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row>
    <row r="117" ht="15.75" customHeight="1">
      <c r="A117" s="35"/>
      <c r="B117" s="27"/>
      <c r="C117" s="51"/>
      <c r="D117" s="35"/>
      <c r="E117" s="35"/>
      <c r="F117" s="26"/>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row>
    <row r="118" ht="15.75" customHeight="1">
      <c r="A118" s="35"/>
      <c r="B118" s="27"/>
      <c r="C118" s="51"/>
      <c r="D118" s="35"/>
      <c r="E118" s="35"/>
      <c r="F118" s="26"/>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row>
    <row r="119" ht="15.75" customHeight="1">
      <c r="A119" s="35"/>
      <c r="B119" s="27"/>
      <c r="C119" s="51"/>
      <c r="D119" s="35"/>
      <c r="E119" s="35"/>
      <c r="F119" s="26"/>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row>
    <row r="120" ht="15.75" customHeight="1">
      <c r="A120" s="35"/>
      <c r="B120" s="27"/>
      <c r="C120" s="51"/>
      <c r="D120" s="35"/>
      <c r="E120" s="35"/>
      <c r="F120" s="26"/>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row>
    <row r="121" ht="15.75" customHeight="1">
      <c r="A121" s="35"/>
      <c r="B121" s="27"/>
      <c r="C121" s="51"/>
      <c r="D121" s="35"/>
      <c r="E121" s="35"/>
      <c r="F121" s="26"/>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row>
    <row r="122" ht="15.75" customHeight="1">
      <c r="A122" s="35"/>
      <c r="B122" s="27"/>
      <c r="C122" s="51"/>
      <c r="D122" s="35"/>
      <c r="E122" s="35"/>
      <c r="F122" s="26"/>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row>
    <row r="123" ht="15.75" customHeight="1">
      <c r="A123" s="35"/>
      <c r="B123" s="27"/>
      <c r="C123" s="51"/>
      <c r="D123" s="35"/>
      <c r="E123" s="35"/>
      <c r="F123" s="26"/>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row>
    <row r="124" ht="15.75" customHeight="1">
      <c r="A124" s="35"/>
      <c r="B124" s="27"/>
      <c r="C124" s="51"/>
      <c r="D124" s="35"/>
      <c r="E124" s="35"/>
      <c r="F124" s="26"/>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row>
    <row r="125" ht="15.75" customHeight="1">
      <c r="A125" s="35"/>
      <c r="B125" s="27"/>
      <c r="C125" s="51"/>
      <c r="D125" s="35"/>
      <c r="E125" s="35"/>
      <c r="F125" s="26"/>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row>
    <row r="126" ht="15.75" customHeight="1">
      <c r="A126" s="35"/>
      <c r="B126" s="27"/>
      <c r="C126" s="51"/>
      <c r="D126" s="35"/>
      <c r="E126" s="35"/>
      <c r="F126" s="26"/>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row>
    <row r="127" ht="15.75" customHeight="1">
      <c r="A127" s="35"/>
      <c r="B127" s="27"/>
      <c r="C127" s="51"/>
      <c r="D127" s="35"/>
      <c r="E127" s="35"/>
      <c r="F127" s="26"/>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row>
    <row r="128" ht="15.75" customHeight="1">
      <c r="A128" s="35"/>
      <c r="B128" s="27"/>
      <c r="C128" s="51"/>
      <c r="D128" s="35"/>
      <c r="E128" s="35"/>
      <c r="F128" s="26"/>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row>
    <row r="129" ht="15.75" customHeight="1">
      <c r="A129" s="35"/>
      <c r="B129" s="27"/>
      <c r="C129" s="51"/>
      <c r="D129" s="35"/>
      <c r="E129" s="35"/>
      <c r="F129" s="26"/>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row>
    <row r="130" ht="15.75" customHeight="1">
      <c r="A130" s="35"/>
      <c r="B130" s="27"/>
      <c r="C130" s="51"/>
      <c r="D130" s="35"/>
      <c r="E130" s="35"/>
      <c r="F130" s="26"/>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row>
    <row r="131" ht="15.75" customHeight="1">
      <c r="A131" s="35"/>
      <c r="B131" s="27"/>
      <c r="C131" s="51"/>
      <c r="D131" s="35"/>
      <c r="E131" s="35"/>
      <c r="F131" s="26"/>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row>
    <row r="132" ht="15.75" customHeight="1">
      <c r="A132" s="35"/>
      <c r="B132" s="27"/>
      <c r="C132" s="51"/>
      <c r="D132" s="35"/>
      <c r="E132" s="35"/>
      <c r="F132" s="26"/>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row>
    <row r="133" ht="15.75" customHeight="1">
      <c r="A133" s="35"/>
      <c r="B133" s="27"/>
      <c r="C133" s="51"/>
      <c r="D133" s="35"/>
      <c r="E133" s="35"/>
      <c r="F133" s="26"/>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row>
    <row r="134" ht="15.75" customHeight="1">
      <c r="A134" s="35"/>
      <c r="B134" s="27"/>
      <c r="C134" s="51"/>
      <c r="D134" s="35"/>
      <c r="E134" s="35"/>
      <c r="F134" s="26"/>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row>
    <row r="135" ht="15.75" customHeight="1">
      <c r="A135" s="35"/>
      <c r="B135" s="27"/>
      <c r="C135" s="51"/>
      <c r="D135" s="35"/>
      <c r="E135" s="35"/>
      <c r="F135" s="26"/>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row>
    <row r="136" ht="15.75" customHeight="1">
      <c r="A136" s="35"/>
      <c r="B136" s="27"/>
      <c r="C136" s="51"/>
      <c r="D136" s="35"/>
      <c r="E136" s="35"/>
      <c r="F136" s="26"/>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row>
    <row r="137" ht="15.75" customHeight="1">
      <c r="A137" s="35"/>
      <c r="B137" s="27"/>
      <c r="C137" s="51"/>
      <c r="D137" s="35"/>
      <c r="E137" s="35"/>
      <c r="F137" s="26"/>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row>
    <row r="138" ht="15.75" customHeight="1">
      <c r="A138" s="35"/>
      <c r="B138" s="27"/>
      <c r="C138" s="51"/>
      <c r="D138" s="35"/>
      <c r="E138" s="35"/>
      <c r="F138" s="26"/>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row>
    <row r="139" ht="15.75" customHeight="1">
      <c r="A139" s="35"/>
      <c r="B139" s="27"/>
      <c r="C139" s="51"/>
      <c r="D139" s="35"/>
      <c r="E139" s="35"/>
      <c r="F139" s="26"/>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row>
    <row r="140" ht="15.75" customHeight="1">
      <c r="A140" s="35"/>
      <c r="B140" s="27"/>
      <c r="C140" s="51"/>
      <c r="D140" s="35"/>
      <c r="E140" s="35"/>
      <c r="F140" s="26"/>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row>
    <row r="141" ht="15.75" customHeight="1">
      <c r="A141" s="35"/>
      <c r="B141" s="27"/>
      <c r="C141" s="51"/>
      <c r="D141" s="35"/>
      <c r="E141" s="35"/>
      <c r="F141" s="26"/>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row>
    <row r="142" ht="15.75" customHeight="1">
      <c r="A142" s="35"/>
      <c r="B142" s="27"/>
      <c r="C142" s="51"/>
      <c r="D142" s="35"/>
      <c r="E142" s="35"/>
      <c r="F142" s="26"/>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row>
    <row r="143" ht="15.75" customHeight="1">
      <c r="A143" s="35"/>
      <c r="B143" s="27"/>
      <c r="C143" s="51"/>
      <c r="D143" s="35"/>
      <c r="E143" s="35"/>
      <c r="F143" s="26"/>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row>
    <row r="144" ht="15.75" customHeight="1">
      <c r="A144" s="35"/>
      <c r="B144" s="27"/>
      <c r="C144" s="51"/>
      <c r="D144" s="35"/>
      <c r="E144" s="35"/>
      <c r="F144" s="26"/>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row>
    <row r="145" ht="15.75" customHeight="1">
      <c r="A145" s="35"/>
      <c r="B145" s="27"/>
      <c r="C145" s="51"/>
      <c r="D145" s="35"/>
      <c r="E145" s="35"/>
      <c r="F145" s="26"/>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row>
    <row r="146" ht="15.75" customHeight="1">
      <c r="A146" s="35"/>
      <c r="B146" s="27"/>
      <c r="C146" s="51"/>
      <c r="D146" s="35"/>
      <c r="E146" s="35"/>
      <c r="F146" s="26"/>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row>
    <row r="147" ht="15.75" customHeight="1">
      <c r="A147" s="35"/>
      <c r="B147" s="27"/>
      <c r="C147" s="51"/>
      <c r="D147" s="35"/>
      <c r="E147" s="35"/>
      <c r="F147" s="26"/>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row>
    <row r="148" ht="15.75" customHeight="1">
      <c r="A148" s="35"/>
      <c r="B148" s="27"/>
      <c r="C148" s="51"/>
      <c r="D148" s="35"/>
      <c r="E148" s="35"/>
      <c r="F148" s="26"/>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row>
    <row r="149" ht="15.75" customHeight="1">
      <c r="A149" s="35"/>
      <c r="B149" s="27"/>
      <c r="C149" s="51"/>
      <c r="D149" s="35"/>
      <c r="E149" s="35"/>
      <c r="F149" s="26"/>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row>
    <row r="150" ht="15.75" customHeight="1">
      <c r="A150" s="35"/>
      <c r="B150" s="27"/>
      <c r="C150" s="51"/>
      <c r="D150" s="35"/>
      <c r="E150" s="35"/>
      <c r="F150" s="26"/>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row>
    <row r="151" ht="15.75" customHeight="1">
      <c r="A151" s="35"/>
      <c r="B151" s="27"/>
      <c r="C151" s="51"/>
      <c r="D151" s="35"/>
      <c r="E151" s="35"/>
      <c r="F151" s="26"/>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row>
    <row r="152" ht="15.75" customHeight="1">
      <c r="A152" s="35"/>
      <c r="B152" s="27"/>
      <c r="C152" s="51"/>
      <c r="D152" s="35"/>
      <c r="E152" s="35"/>
      <c r="F152" s="26"/>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row>
    <row r="153" ht="15.75" customHeight="1">
      <c r="A153" s="35"/>
      <c r="B153" s="27"/>
      <c r="C153" s="51"/>
      <c r="D153" s="35"/>
      <c r="E153" s="35"/>
      <c r="F153" s="26"/>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row>
    <row r="154" ht="15.75" customHeight="1">
      <c r="A154" s="35"/>
      <c r="B154" s="27"/>
      <c r="C154" s="51"/>
      <c r="D154" s="35"/>
      <c r="E154" s="35"/>
      <c r="F154" s="26"/>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row>
    <row r="155" ht="15.75" customHeight="1">
      <c r="A155" s="35"/>
      <c r="B155" s="27"/>
      <c r="C155" s="51"/>
      <c r="D155" s="35"/>
      <c r="E155" s="35"/>
      <c r="F155" s="26"/>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row>
    <row r="156" ht="15.75" customHeight="1">
      <c r="A156" s="35"/>
      <c r="B156" s="27"/>
      <c r="C156" s="51"/>
      <c r="D156" s="35"/>
      <c r="E156" s="35"/>
      <c r="F156" s="26"/>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row>
    <row r="157" ht="15.75" customHeight="1">
      <c r="A157" s="35"/>
      <c r="B157" s="27"/>
      <c r="C157" s="51"/>
      <c r="D157" s="35"/>
      <c r="E157" s="35"/>
      <c r="F157" s="26"/>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row>
    <row r="158" ht="15.75" customHeight="1">
      <c r="A158" s="35"/>
      <c r="B158" s="27"/>
      <c r="C158" s="51"/>
      <c r="D158" s="35"/>
      <c r="E158" s="35"/>
      <c r="F158" s="26"/>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row>
    <row r="159" ht="15.75" customHeight="1">
      <c r="A159" s="35"/>
      <c r="B159" s="27"/>
      <c r="C159" s="51"/>
      <c r="D159" s="35"/>
      <c r="E159" s="35"/>
      <c r="F159" s="26"/>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row>
    <row r="160" ht="15.75" customHeight="1">
      <c r="A160" s="35"/>
      <c r="B160" s="27"/>
      <c r="C160" s="51"/>
      <c r="D160" s="35"/>
      <c r="E160" s="35"/>
      <c r="F160" s="26"/>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row>
    <row r="161" ht="15.75" customHeight="1">
      <c r="A161" s="35"/>
      <c r="B161" s="27"/>
      <c r="C161" s="51"/>
      <c r="D161" s="35"/>
      <c r="E161" s="35"/>
      <c r="F161" s="26"/>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row>
    <row r="162" ht="15.75" customHeight="1">
      <c r="A162" s="35"/>
      <c r="B162" s="27"/>
      <c r="C162" s="51"/>
      <c r="D162" s="35"/>
      <c r="E162" s="35"/>
      <c r="F162" s="26"/>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row>
    <row r="163" ht="15.75" customHeight="1">
      <c r="A163" s="35"/>
      <c r="B163" s="27"/>
      <c r="C163" s="51"/>
      <c r="D163" s="35"/>
      <c r="E163" s="35"/>
      <c r="F163" s="26"/>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row>
    <row r="164" ht="15.75" customHeight="1">
      <c r="A164" s="35"/>
      <c r="B164" s="27"/>
      <c r="C164" s="51"/>
      <c r="D164" s="35"/>
      <c r="E164" s="35"/>
      <c r="F164" s="26"/>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row>
    <row r="165" ht="15.75" customHeight="1">
      <c r="A165" s="35"/>
      <c r="B165" s="27"/>
      <c r="C165" s="51"/>
      <c r="D165" s="35"/>
      <c r="E165" s="35"/>
      <c r="F165" s="26"/>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row>
    <row r="166" ht="15.75" customHeight="1">
      <c r="A166" s="35"/>
      <c r="B166" s="27"/>
      <c r="C166" s="51"/>
      <c r="D166" s="35"/>
      <c r="E166" s="35"/>
      <c r="F166" s="26"/>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row>
    <row r="167" ht="15.75" customHeight="1">
      <c r="A167" s="35"/>
      <c r="B167" s="27"/>
      <c r="C167" s="51"/>
      <c r="D167" s="35"/>
      <c r="E167" s="35"/>
      <c r="F167" s="26"/>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row>
    <row r="168" ht="15.75" customHeight="1">
      <c r="A168" s="35"/>
      <c r="B168" s="27"/>
      <c r="C168" s="51"/>
      <c r="D168" s="35"/>
      <c r="E168" s="35"/>
      <c r="F168" s="26"/>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row>
    <row r="169" ht="15.75" customHeight="1">
      <c r="A169" s="35"/>
      <c r="B169" s="27"/>
      <c r="C169" s="51"/>
      <c r="D169" s="35"/>
      <c r="E169" s="35"/>
      <c r="F169" s="26"/>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row>
    <row r="170" ht="15.75" customHeight="1">
      <c r="A170" s="35"/>
      <c r="B170" s="27"/>
      <c r="C170" s="51"/>
      <c r="D170" s="35"/>
      <c r="E170" s="35"/>
      <c r="F170" s="26"/>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row>
    <row r="171" ht="15.75" customHeight="1">
      <c r="A171" s="35"/>
      <c r="B171" s="27"/>
      <c r="C171" s="51"/>
      <c r="D171" s="35"/>
      <c r="E171" s="35"/>
      <c r="F171" s="26"/>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row>
    <row r="172" ht="15.75" customHeight="1">
      <c r="A172" s="35"/>
      <c r="B172" s="27"/>
      <c r="C172" s="51"/>
      <c r="D172" s="35"/>
      <c r="E172" s="35"/>
      <c r="F172" s="26"/>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row>
    <row r="173" ht="15.75" customHeight="1">
      <c r="A173" s="35"/>
      <c r="B173" s="27"/>
      <c r="C173" s="51"/>
      <c r="D173" s="35"/>
      <c r="E173" s="35"/>
      <c r="F173" s="26"/>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row>
    <row r="174" ht="15.75" customHeight="1">
      <c r="A174" s="35"/>
      <c r="B174" s="27"/>
      <c r="C174" s="51"/>
      <c r="D174" s="35"/>
      <c r="E174" s="35"/>
      <c r="F174" s="26"/>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row>
    <row r="175" ht="15.75" customHeight="1">
      <c r="A175" s="35"/>
      <c r="B175" s="27"/>
      <c r="C175" s="51"/>
      <c r="D175" s="35"/>
      <c r="E175" s="35"/>
      <c r="F175" s="26"/>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row>
    <row r="176" ht="15.75" customHeight="1">
      <c r="A176" s="35"/>
      <c r="B176" s="27"/>
      <c r="C176" s="51"/>
      <c r="D176" s="35"/>
      <c r="E176" s="35"/>
      <c r="F176" s="26"/>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row>
    <row r="177" ht="15.75" customHeight="1">
      <c r="A177" s="35"/>
      <c r="B177" s="27"/>
      <c r="C177" s="51"/>
      <c r="D177" s="35"/>
      <c r="E177" s="35"/>
      <c r="F177" s="26"/>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row>
    <row r="178" ht="15.75" customHeight="1">
      <c r="A178" s="35"/>
      <c r="B178" s="27"/>
      <c r="C178" s="51"/>
      <c r="D178" s="35"/>
      <c r="E178" s="35"/>
      <c r="F178" s="26"/>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row>
    <row r="179" ht="15.75" customHeight="1">
      <c r="A179" s="35"/>
      <c r="B179" s="27"/>
      <c r="C179" s="51"/>
      <c r="D179" s="35"/>
      <c r="E179" s="35"/>
      <c r="F179" s="26"/>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row>
    <row r="180" ht="15.75" customHeight="1">
      <c r="A180" s="35"/>
      <c r="B180" s="27"/>
      <c r="C180" s="51"/>
      <c r="D180" s="35"/>
      <c r="E180" s="35"/>
      <c r="F180" s="26"/>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row>
    <row r="181" ht="15.75" customHeight="1">
      <c r="A181" s="35"/>
      <c r="B181" s="27"/>
      <c r="C181" s="51"/>
      <c r="D181" s="35"/>
      <c r="E181" s="35"/>
      <c r="F181" s="26"/>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row>
    <row r="182" ht="15.75" customHeight="1">
      <c r="A182" s="35"/>
      <c r="B182" s="27"/>
      <c r="C182" s="51"/>
      <c r="D182" s="35"/>
      <c r="E182" s="35"/>
      <c r="F182" s="26"/>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row>
    <row r="183" ht="15.75" customHeight="1">
      <c r="A183" s="35"/>
      <c r="B183" s="27"/>
      <c r="C183" s="51"/>
      <c r="D183" s="35"/>
      <c r="E183" s="35"/>
      <c r="F183" s="26"/>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row>
    <row r="184" ht="15.75" customHeight="1">
      <c r="A184" s="35"/>
      <c r="B184" s="27"/>
      <c r="C184" s="51"/>
      <c r="D184" s="35"/>
      <c r="E184" s="35"/>
      <c r="F184" s="26"/>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row>
    <row r="185" ht="15.75" customHeight="1">
      <c r="A185" s="35"/>
      <c r="B185" s="27"/>
      <c r="C185" s="51"/>
      <c r="D185" s="35"/>
      <c r="E185" s="35"/>
      <c r="F185" s="26"/>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row>
    <row r="186" ht="15.75" customHeight="1">
      <c r="A186" s="35"/>
      <c r="B186" s="27"/>
      <c r="C186" s="51"/>
      <c r="D186" s="35"/>
      <c r="E186" s="35"/>
      <c r="F186" s="26"/>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row>
    <row r="187" ht="15.75" customHeight="1">
      <c r="A187" s="35"/>
      <c r="B187" s="27"/>
      <c r="C187" s="51"/>
      <c r="D187" s="35"/>
      <c r="E187" s="35"/>
      <c r="F187" s="26"/>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row>
    <row r="188" ht="15.75" customHeight="1">
      <c r="A188" s="35"/>
      <c r="B188" s="27"/>
      <c r="C188" s="51"/>
      <c r="D188" s="35"/>
      <c r="E188" s="35"/>
      <c r="F188" s="26"/>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row>
    <row r="189" ht="15.75" customHeight="1">
      <c r="A189" s="35"/>
      <c r="B189" s="27"/>
      <c r="C189" s="51"/>
      <c r="D189" s="35"/>
      <c r="E189" s="35"/>
      <c r="F189" s="26"/>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row>
    <row r="190" ht="15.75" customHeight="1">
      <c r="A190" s="35"/>
      <c r="B190" s="27"/>
      <c r="C190" s="51"/>
      <c r="D190" s="35"/>
      <c r="E190" s="35"/>
      <c r="F190" s="26"/>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row>
    <row r="191" ht="15.75" customHeight="1">
      <c r="A191" s="35"/>
      <c r="B191" s="27"/>
      <c r="C191" s="51"/>
      <c r="D191" s="35"/>
      <c r="E191" s="35"/>
      <c r="F191" s="26"/>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row>
    <row r="192" ht="15.75" customHeight="1">
      <c r="A192" s="35"/>
      <c r="B192" s="27"/>
      <c r="C192" s="51"/>
      <c r="D192" s="35"/>
      <c r="E192" s="35"/>
      <c r="F192" s="26"/>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row>
    <row r="193" ht="15.75" customHeight="1">
      <c r="A193" s="35"/>
      <c r="B193" s="27"/>
      <c r="C193" s="51"/>
      <c r="D193" s="35"/>
      <c r="E193" s="35"/>
      <c r="F193" s="26"/>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row>
    <row r="194" ht="15.75" customHeight="1">
      <c r="A194" s="35"/>
      <c r="B194" s="27"/>
      <c r="C194" s="51"/>
      <c r="D194" s="35"/>
      <c r="E194" s="35"/>
      <c r="F194" s="26"/>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row>
    <row r="195" ht="15.75" customHeight="1">
      <c r="A195" s="35"/>
      <c r="B195" s="27"/>
      <c r="C195" s="51"/>
      <c r="D195" s="35"/>
      <c r="E195" s="35"/>
      <c r="F195" s="26"/>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row>
    <row r="196" ht="15.75" customHeight="1">
      <c r="A196" s="35"/>
      <c r="B196" s="27"/>
      <c r="C196" s="51"/>
      <c r="D196" s="35"/>
      <c r="E196" s="35"/>
      <c r="F196" s="26"/>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row>
    <row r="197" ht="15.75" customHeight="1">
      <c r="A197" s="35"/>
      <c r="B197" s="27"/>
      <c r="C197" s="51"/>
      <c r="D197" s="35"/>
      <c r="E197" s="35"/>
      <c r="F197" s="26"/>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row>
    <row r="198" ht="15.75" customHeight="1">
      <c r="A198" s="35"/>
      <c r="B198" s="27"/>
      <c r="C198" s="51"/>
      <c r="D198" s="35"/>
      <c r="E198" s="35"/>
      <c r="F198" s="26"/>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row>
    <row r="199" ht="15.75" customHeight="1">
      <c r="A199" s="35"/>
      <c r="B199" s="27"/>
      <c r="C199" s="51"/>
      <c r="D199" s="35"/>
      <c r="E199" s="35"/>
      <c r="F199" s="26"/>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row>
    <row r="200" ht="15.75" customHeight="1">
      <c r="A200" s="35"/>
      <c r="B200" s="27"/>
      <c r="C200" s="51"/>
      <c r="D200" s="35"/>
      <c r="E200" s="35"/>
      <c r="F200" s="26"/>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row>
    <row r="201" ht="15.75" customHeight="1">
      <c r="A201" s="35"/>
      <c r="B201" s="27"/>
      <c r="C201" s="51"/>
      <c r="D201" s="35"/>
      <c r="E201" s="35"/>
      <c r="F201" s="26"/>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row>
    <row r="202" ht="15.75" customHeight="1">
      <c r="A202" s="35"/>
      <c r="B202" s="27"/>
      <c r="C202" s="51"/>
      <c r="D202" s="35"/>
      <c r="E202" s="35"/>
      <c r="F202" s="26"/>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row>
    <row r="203" ht="15.75" customHeight="1">
      <c r="A203" s="35"/>
      <c r="B203" s="27"/>
      <c r="C203" s="51"/>
      <c r="D203" s="35"/>
      <c r="E203" s="35"/>
      <c r="F203" s="26"/>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row>
    <row r="204" ht="15.75" customHeight="1">
      <c r="A204" s="35"/>
      <c r="B204" s="27"/>
      <c r="C204" s="51"/>
      <c r="D204" s="35"/>
      <c r="E204" s="35"/>
      <c r="F204" s="26"/>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row>
    <row r="205" ht="15.75" customHeight="1">
      <c r="A205" s="35"/>
      <c r="B205" s="27"/>
      <c r="C205" s="51"/>
      <c r="D205" s="35"/>
      <c r="E205" s="35"/>
      <c r="F205" s="26"/>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row>
    <row r="206" ht="15.75" customHeight="1">
      <c r="A206" s="35"/>
      <c r="B206" s="27"/>
      <c r="C206" s="51"/>
      <c r="D206" s="35"/>
      <c r="E206" s="35"/>
      <c r="F206" s="26"/>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row>
    <row r="207" ht="15.75" customHeight="1">
      <c r="A207" s="35"/>
      <c r="B207" s="27"/>
      <c r="C207" s="51"/>
      <c r="D207" s="35"/>
      <c r="E207" s="35"/>
      <c r="F207" s="26"/>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row>
    <row r="208" ht="15.75" customHeight="1">
      <c r="A208" s="35"/>
      <c r="B208" s="27"/>
      <c r="C208" s="51"/>
      <c r="D208" s="35"/>
      <c r="E208" s="35"/>
      <c r="F208" s="26"/>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row>
    <row r="209" ht="15.75" customHeight="1">
      <c r="A209" s="35"/>
      <c r="B209" s="27"/>
      <c r="C209" s="51"/>
      <c r="D209" s="35"/>
      <c r="E209" s="35"/>
      <c r="F209" s="26"/>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row>
    <row r="210" ht="15.75" customHeight="1">
      <c r="A210" s="35"/>
      <c r="B210" s="27"/>
      <c r="C210" s="51"/>
      <c r="D210" s="35"/>
      <c r="E210" s="35"/>
      <c r="F210" s="26"/>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row>
    <row r="211" ht="15.75" customHeight="1">
      <c r="A211" s="35"/>
      <c r="B211" s="27"/>
      <c r="C211" s="51"/>
      <c r="D211" s="35"/>
      <c r="E211" s="35"/>
      <c r="F211" s="26"/>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row>
    <row r="212" ht="15.75" customHeight="1">
      <c r="A212" s="35"/>
      <c r="B212" s="27"/>
      <c r="C212" s="51"/>
      <c r="D212" s="35"/>
      <c r="E212" s="35"/>
      <c r="F212" s="26"/>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row>
    <row r="213" ht="15.75" customHeight="1">
      <c r="A213" s="35"/>
      <c r="B213" s="27"/>
      <c r="C213" s="51"/>
      <c r="D213" s="35"/>
      <c r="E213" s="35"/>
      <c r="F213" s="26"/>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row>
    <row r="214" ht="15.75" customHeight="1">
      <c r="A214" s="35"/>
      <c r="B214" s="27"/>
      <c r="C214" s="51"/>
      <c r="D214" s="35"/>
      <c r="E214" s="35"/>
      <c r="F214" s="26"/>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row>
    <row r="215" ht="15.75" customHeight="1">
      <c r="A215" s="35"/>
      <c r="B215" s="27"/>
      <c r="C215" s="51"/>
      <c r="D215" s="35"/>
      <c r="E215" s="35"/>
      <c r="F215" s="26"/>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row>
    <row r="216" ht="15.75" customHeight="1">
      <c r="A216" s="35"/>
      <c r="B216" s="27"/>
      <c r="C216" s="51"/>
      <c r="D216" s="35"/>
      <c r="E216" s="35"/>
      <c r="F216" s="26"/>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row>
    <row r="217" ht="15.75" customHeight="1">
      <c r="A217" s="35"/>
      <c r="B217" s="27"/>
      <c r="C217" s="51"/>
      <c r="D217" s="35"/>
      <c r="E217" s="35"/>
      <c r="F217" s="26"/>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row>
    <row r="218" ht="15.75" customHeight="1">
      <c r="A218" s="35"/>
      <c r="B218" s="27"/>
      <c r="C218" s="51"/>
      <c r="D218" s="35"/>
      <c r="E218" s="35"/>
      <c r="F218" s="26"/>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row>
    <row r="219" ht="15.75" customHeight="1">
      <c r="A219" s="35"/>
      <c r="B219" s="27"/>
      <c r="C219" s="51"/>
      <c r="D219" s="35"/>
      <c r="E219" s="35"/>
      <c r="F219" s="26"/>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row>
    <row r="220" ht="15.75" customHeight="1">
      <c r="A220" s="35"/>
      <c r="B220" s="27"/>
      <c r="C220" s="51"/>
      <c r="D220" s="35"/>
      <c r="E220" s="35"/>
      <c r="F220" s="26"/>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row>
    <row r="221" ht="15.75" customHeight="1">
      <c r="A221" s="35"/>
      <c r="B221" s="27"/>
      <c r="C221" s="51"/>
      <c r="D221" s="35"/>
      <c r="E221" s="35"/>
      <c r="F221" s="26"/>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row>
    <row r="222" ht="15.75" customHeight="1">
      <c r="A222" s="35"/>
      <c r="B222" s="27"/>
      <c r="C222" s="51"/>
      <c r="D222" s="35"/>
      <c r="E222" s="35"/>
      <c r="F222" s="26"/>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row>
    <row r="223" ht="15.75" customHeight="1">
      <c r="A223" s="35"/>
      <c r="B223" s="27"/>
      <c r="C223" s="51"/>
      <c r="D223" s="35"/>
      <c r="E223" s="35"/>
      <c r="F223" s="26"/>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row>
    <row r="224" ht="15.75" customHeight="1">
      <c r="A224" s="35"/>
      <c r="B224" s="27"/>
      <c r="C224" s="51"/>
      <c r="D224" s="35"/>
      <c r="E224" s="35"/>
      <c r="F224" s="26"/>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row>
    <row r="225" ht="15.75" customHeight="1">
      <c r="A225" s="35"/>
      <c r="B225" s="27"/>
      <c r="C225" s="51"/>
      <c r="D225" s="35"/>
      <c r="E225" s="35"/>
      <c r="F225" s="26"/>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row>
    <row r="226" ht="15.75" customHeight="1">
      <c r="A226" s="35"/>
      <c r="B226" s="27"/>
      <c r="C226" s="51"/>
      <c r="D226" s="35"/>
      <c r="E226" s="35"/>
      <c r="F226" s="26"/>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row>
    <row r="227" ht="15.75" customHeight="1">
      <c r="A227" s="35"/>
      <c r="B227" s="27"/>
      <c r="C227" s="51"/>
      <c r="D227" s="35"/>
      <c r="E227" s="35"/>
      <c r="F227" s="26"/>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row>
    <row r="228" ht="15.75" customHeight="1">
      <c r="A228" s="35"/>
      <c r="B228" s="27"/>
      <c r="C228" s="51"/>
      <c r="D228" s="35"/>
      <c r="E228" s="35"/>
      <c r="F228" s="26"/>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row>
    <row r="229" ht="15.75" customHeight="1">
      <c r="A229" s="35"/>
      <c r="B229" s="27"/>
      <c r="C229" s="51"/>
      <c r="D229" s="35"/>
      <c r="E229" s="35"/>
      <c r="F229" s="26"/>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row>
    <row r="230" ht="15.75" customHeight="1">
      <c r="A230" s="35"/>
      <c r="B230" s="27"/>
      <c r="C230" s="51"/>
      <c r="D230" s="35"/>
      <c r="E230" s="35"/>
      <c r="F230" s="26"/>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row>
    <row r="231" ht="15.75" customHeight="1">
      <c r="A231" s="35"/>
      <c r="B231" s="27"/>
      <c r="C231" s="51"/>
      <c r="D231" s="35"/>
      <c r="E231" s="35"/>
      <c r="F231" s="26"/>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row>
    <row r="232" ht="15.75" customHeight="1">
      <c r="A232" s="35"/>
      <c r="B232" s="27"/>
      <c r="C232" s="51"/>
      <c r="D232" s="35"/>
      <c r="E232" s="35"/>
      <c r="F232" s="26"/>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row>
    <row r="233" ht="15.75" customHeight="1">
      <c r="A233" s="35"/>
      <c r="B233" s="27"/>
      <c r="C233" s="51"/>
      <c r="D233" s="35"/>
      <c r="E233" s="35"/>
      <c r="F233" s="26"/>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row>
    <row r="234" ht="15.75" customHeight="1">
      <c r="A234" s="35"/>
      <c r="B234" s="27"/>
      <c r="C234" s="51"/>
      <c r="D234" s="35"/>
      <c r="E234" s="35"/>
      <c r="F234" s="26"/>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row>
    <row r="235" ht="15.75" customHeight="1">
      <c r="A235" s="35"/>
      <c r="B235" s="27"/>
      <c r="C235" s="51"/>
      <c r="D235" s="35"/>
      <c r="E235" s="35"/>
      <c r="F235" s="26"/>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row>
    <row r="236" ht="15.75" customHeight="1">
      <c r="A236" s="35"/>
      <c r="B236" s="27"/>
      <c r="C236" s="51"/>
      <c r="D236" s="35"/>
      <c r="E236" s="35"/>
      <c r="F236" s="26"/>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row>
    <row r="237" ht="15.75" customHeight="1">
      <c r="A237" s="35"/>
      <c r="B237" s="27"/>
      <c r="C237" s="51"/>
      <c r="D237" s="35"/>
      <c r="E237" s="35"/>
      <c r="F237" s="26"/>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row>
    <row r="238" ht="15.75" customHeight="1">
      <c r="A238" s="35"/>
      <c r="B238" s="27"/>
      <c r="C238" s="51"/>
      <c r="D238" s="35"/>
      <c r="E238" s="35"/>
      <c r="F238" s="26"/>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row>
    <row r="239" ht="15.75" customHeight="1">
      <c r="A239" s="35"/>
      <c r="B239" s="27"/>
      <c r="C239" s="51"/>
      <c r="D239" s="35"/>
      <c r="E239" s="35"/>
      <c r="F239" s="26"/>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row>
    <row r="240" ht="15.75" customHeight="1">
      <c r="A240" s="35"/>
      <c r="B240" s="27"/>
      <c r="C240" s="51"/>
      <c r="D240" s="35"/>
      <c r="E240" s="35"/>
      <c r="F240" s="26"/>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row>
    <row r="241" ht="15.75" customHeight="1">
      <c r="A241" s="35"/>
      <c r="B241" s="27"/>
      <c r="C241" s="51"/>
      <c r="D241" s="35"/>
      <c r="E241" s="35"/>
      <c r="F241" s="26"/>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row>
    <row r="242" ht="15.75" customHeight="1">
      <c r="A242" s="35"/>
      <c r="B242" s="27"/>
      <c r="C242" s="51"/>
      <c r="D242" s="35"/>
      <c r="E242" s="35"/>
      <c r="F242" s="26"/>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row>
    <row r="243" ht="15.75" customHeight="1">
      <c r="A243" s="35"/>
      <c r="B243" s="27"/>
      <c r="C243" s="51"/>
      <c r="D243" s="35"/>
      <c r="E243" s="35"/>
      <c r="F243" s="26"/>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row>
    <row r="244" ht="15.75" customHeight="1">
      <c r="A244" s="35"/>
      <c r="B244" s="27"/>
      <c r="C244" s="51"/>
      <c r="D244" s="35"/>
      <c r="E244" s="35"/>
      <c r="F244" s="26"/>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row>
    <row r="245" ht="15.75" customHeight="1">
      <c r="A245" s="35"/>
      <c r="B245" s="27"/>
      <c r="C245" s="51"/>
      <c r="D245" s="35"/>
      <c r="E245" s="35"/>
      <c r="F245" s="26"/>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row>
    <row r="246" ht="15.75" customHeight="1">
      <c r="A246" s="35"/>
      <c r="B246" s="27"/>
      <c r="C246" s="51"/>
      <c r="D246" s="35"/>
      <c r="E246" s="35"/>
      <c r="F246" s="26"/>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row>
    <row r="247" ht="15.75" customHeight="1">
      <c r="A247" s="35"/>
      <c r="B247" s="27"/>
      <c r="C247" s="51"/>
      <c r="D247" s="35"/>
      <c r="E247" s="35"/>
      <c r="F247" s="26"/>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row>
    <row r="248" ht="15.75" customHeight="1">
      <c r="A248" s="35"/>
      <c r="B248" s="27"/>
      <c r="C248" s="51"/>
      <c r="D248" s="35"/>
      <c r="E248" s="35"/>
      <c r="F248" s="26"/>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row>
    <row r="249" ht="15.75" customHeight="1">
      <c r="A249" s="35"/>
      <c r="B249" s="27"/>
      <c r="C249" s="51"/>
      <c r="D249" s="35"/>
      <c r="E249" s="35"/>
      <c r="F249" s="26"/>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row>
    <row r="250" ht="15.75" customHeight="1">
      <c r="A250" s="35"/>
      <c r="B250" s="27"/>
      <c r="C250" s="51"/>
      <c r="D250" s="35"/>
      <c r="E250" s="35"/>
      <c r="F250" s="26"/>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row>
    <row r="251" ht="15.75" customHeight="1">
      <c r="A251" s="35"/>
      <c r="B251" s="27"/>
      <c r="C251" s="51"/>
      <c r="D251" s="35"/>
      <c r="E251" s="35"/>
      <c r="F251" s="26"/>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row>
    <row r="252" ht="15.75" customHeight="1">
      <c r="A252" s="35"/>
      <c r="B252" s="27"/>
      <c r="C252" s="51"/>
      <c r="D252" s="35"/>
      <c r="E252" s="35"/>
      <c r="F252" s="26"/>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row>
    <row r="253" ht="15.75" customHeight="1">
      <c r="A253" s="35"/>
      <c r="B253" s="27"/>
      <c r="C253" s="51"/>
      <c r="D253" s="35"/>
      <c r="E253" s="35"/>
      <c r="F253" s="26"/>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row>
    <row r="254" ht="15.75" customHeight="1">
      <c r="A254" s="35"/>
      <c r="B254" s="27"/>
      <c r="C254" s="51"/>
      <c r="D254" s="35"/>
      <c r="E254" s="35"/>
      <c r="F254" s="26"/>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row>
    <row r="255" ht="15.75" customHeight="1">
      <c r="A255" s="35"/>
      <c r="B255" s="27"/>
      <c r="C255" s="51"/>
      <c r="D255" s="35"/>
      <c r="E255" s="35"/>
      <c r="F255" s="26"/>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row>
    <row r="256" ht="15.75" customHeight="1">
      <c r="A256" s="35"/>
      <c r="B256" s="27"/>
      <c r="C256" s="51"/>
      <c r="D256" s="35"/>
      <c r="E256" s="35"/>
      <c r="F256" s="26"/>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row>
    <row r="257" ht="15.75" customHeight="1">
      <c r="A257" s="35"/>
      <c r="B257" s="27"/>
      <c r="C257" s="51"/>
      <c r="D257" s="35"/>
      <c r="E257" s="35"/>
      <c r="F257" s="26"/>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row>
    <row r="258" ht="15.75" customHeight="1">
      <c r="A258" s="35"/>
      <c r="B258" s="27"/>
      <c r="C258" s="51"/>
      <c r="D258" s="35"/>
      <c r="E258" s="35"/>
      <c r="F258" s="26"/>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row>
    <row r="259" ht="15.75" customHeight="1">
      <c r="A259" s="35"/>
      <c r="B259" s="27"/>
      <c r="C259" s="51"/>
      <c r="D259" s="35"/>
      <c r="E259" s="35"/>
      <c r="F259" s="26"/>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row>
    <row r="260" ht="15.75" customHeight="1">
      <c r="A260" s="35"/>
      <c r="B260" s="27"/>
      <c r="C260" s="51"/>
      <c r="D260" s="35"/>
      <c r="E260" s="35"/>
      <c r="F260" s="26"/>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row>
    <row r="261" ht="15.75" customHeight="1">
      <c r="A261" s="35"/>
      <c r="B261" s="27"/>
      <c r="C261" s="51"/>
      <c r="D261" s="35"/>
      <c r="E261" s="35"/>
      <c r="F261" s="26"/>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row>
    <row r="262" ht="15.75" customHeight="1">
      <c r="A262" s="35"/>
      <c r="B262" s="27"/>
      <c r="C262" s="51"/>
      <c r="D262" s="35"/>
      <c r="E262" s="35"/>
      <c r="F262" s="26"/>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row>
    <row r="263" ht="15.75" customHeight="1">
      <c r="A263" s="35"/>
      <c r="B263" s="27"/>
      <c r="C263" s="51"/>
      <c r="D263" s="35"/>
      <c r="E263" s="35"/>
      <c r="F263" s="26"/>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row>
    <row r="264" ht="15.75" customHeight="1">
      <c r="A264" s="35"/>
      <c r="B264" s="27"/>
      <c r="C264" s="51"/>
      <c r="D264" s="35"/>
      <c r="E264" s="35"/>
      <c r="F264" s="26"/>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row>
    <row r="265" ht="15.75" customHeight="1">
      <c r="A265" s="35"/>
      <c r="B265" s="27"/>
      <c r="C265" s="51"/>
      <c r="D265" s="35"/>
      <c r="E265" s="35"/>
      <c r="F265" s="26"/>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row>
    <row r="266" ht="15.75" customHeight="1">
      <c r="A266" s="35"/>
      <c r="B266" s="27"/>
      <c r="C266" s="51"/>
      <c r="D266" s="35"/>
      <c r="E266" s="35"/>
      <c r="F266" s="26"/>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row>
    <row r="267" ht="15.75" customHeight="1">
      <c r="A267" s="35"/>
      <c r="B267" s="27"/>
      <c r="C267" s="51"/>
      <c r="D267" s="35"/>
      <c r="E267" s="35"/>
      <c r="F267" s="26"/>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row>
    <row r="268" ht="15.75" customHeight="1">
      <c r="A268" s="35"/>
      <c r="B268" s="27"/>
      <c r="C268" s="51"/>
      <c r="D268" s="35"/>
      <c r="E268" s="35"/>
      <c r="F268" s="26"/>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row>
    <row r="269" ht="15.75" customHeight="1">
      <c r="A269" s="35"/>
      <c r="B269" s="27"/>
      <c r="C269" s="51"/>
      <c r="D269" s="35"/>
      <c r="E269" s="35"/>
      <c r="F269" s="26"/>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row>
    <row r="270" ht="15.75" customHeight="1">
      <c r="A270" s="35"/>
      <c r="B270" s="27"/>
      <c r="C270" s="51"/>
      <c r="D270" s="35"/>
      <c r="E270" s="35"/>
      <c r="F270" s="26"/>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row>
    <row r="271" ht="15.75" customHeight="1">
      <c r="A271" s="35"/>
      <c r="B271" s="27"/>
      <c r="C271" s="51"/>
      <c r="D271" s="35"/>
      <c r="E271" s="35"/>
      <c r="F271" s="26"/>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row>
    <row r="272" ht="15.75" customHeight="1">
      <c r="A272" s="35"/>
      <c r="B272" s="27"/>
      <c r="C272" s="51"/>
      <c r="D272" s="35"/>
      <c r="E272" s="35"/>
      <c r="F272" s="26"/>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row>
    <row r="273" ht="15.75" customHeight="1">
      <c r="A273" s="35"/>
      <c r="B273" s="27"/>
      <c r="C273" s="51"/>
      <c r="D273" s="35"/>
      <c r="E273" s="35"/>
      <c r="F273" s="26"/>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row>
    <row r="274" ht="15.75" customHeight="1">
      <c r="A274" s="35"/>
      <c r="B274" s="27"/>
      <c r="C274" s="51"/>
      <c r="D274" s="35"/>
      <c r="E274" s="35"/>
      <c r="F274" s="26"/>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c r="AT274" s="52"/>
      <c r="AU274" s="52"/>
      <c r="AV274" s="52"/>
    </row>
    <row r="275" ht="15.75" customHeight="1">
      <c r="A275" s="35"/>
      <c r="B275" s="27"/>
      <c r="C275" s="51"/>
      <c r="D275" s="35"/>
      <c r="E275" s="35"/>
      <c r="F275" s="26"/>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row>
    <row r="276" ht="15.75" customHeight="1">
      <c r="A276" s="35"/>
      <c r="B276" s="27"/>
      <c r="C276" s="51"/>
      <c r="D276" s="35"/>
      <c r="E276" s="35"/>
      <c r="F276" s="26"/>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row>
    <row r="277" ht="15.75" customHeight="1">
      <c r="A277" s="35"/>
      <c r="B277" s="27"/>
      <c r="C277" s="51"/>
      <c r="D277" s="35"/>
      <c r="E277" s="35"/>
      <c r="F277" s="26"/>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row>
    <row r="278" ht="15.75" customHeight="1">
      <c r="A278" s="35"/>
      <c r="B278" s="27"/>
      <c r="C278" s="51"/>
      <c r="D278" s="35"/>
      <c r="E278" s="35"/>
      <c r="F278" s="26"/>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row>
    <row r="279" ht="15.75" customHeight="1">
      <c r="A279" s="35"/>
      <c r="B279" s="27"/>
      <c r="C279" s="51"/>
      <c r="D279" s="35"/>
      <c r="E279" s="35"/>
      <c r="F279" s="26"/>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row>
    <row r="280" ht="15.75" customHeight="1">
      <c r="A280" s="35"/>
      <c r="B280" s="27"/>
      <c r="C280" s="51"/>
      <c r="D280" s="35"/>
      <c r="E280" s="35"/>
      <c r="F280" s="26"/>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2"/>
      <c r="AR280" s="52"/>
      <c r="AS280" s="52"/>
      <c r="AT280" s="52"/>
      <c r="AU280" s="52"/>
      <c r="AV280" s="52"/>
    </row>
    <row r="281" ht="15.75" customHeight="1">
      <c r="A281" s="35"/>
      <c r="B281" s="27"/>
      <c r="C281" s="51"/>
      <c r="D281" s="35"/>
      <c r="E281" s="35"/>
      <c r="F281" s="26"/>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c r="AE281" s="52"/>
      <c r="AF281" s="52"/>
      <c r="AG281" s="52"/>
      <c r="AH281" s="52"/>
      <c r="AI281" s="52"/>
      <c r="AJ281" s="52"/>
      <c r="AK281" s="52"/>
      <c r="AL281" s="52"/>
      <c r="AM281" s="52"/>
      <c r="AN281" s="52"/>
      <c r="AO281" s="52"/>
      <c r="AP281" s="52"/>
      <c r="AQ281" s="52"/>
      <c r="AR281" s="52"/>
      <c r="AS281" s="52"/>
      <c r="AT281" s="52"/>
      <c r="AU281" s="52"/>
      <c r="AV281" s="52"/>
    </row>
    <row r="282" ht="15.75" customHeight="1">
      <c r="A282" s="35"/>
      <c r="B282" s="27"/>
      <c r="C282" s="51"/>
      <c r="D282" s="35"/>
      <c r="E282" s="35"/>
      <c r="F282" s="26"/>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c r="AM282" s="52"/>
      <c r="AN282" s="52"/>
      <c r="AO282" s="52"/>
      <c r="AP282" s="52"/>
      <c r="AQ282" s="52"/>
      <c r="AR282" s="52"/>
      <c r="AS282" s="52"/>
      <c r="AT282" s="52"/>
      <c r="AU282" s="52"/>
      <c r="AV282" s="52"/>
    </row>
    <row r="283" ht="15.75" customHeight="1">
      <c r="A283" s="35"/>
      <c r="B283" s="27"/>
      <c r="C283" s="51"/>
      <c r="D283" s="35"/>
      <c r="E283" s="35"/>
      <c r="F283" s="26"/>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c r="AM283" s="52"/>
      <c r="AN283" s="52"/>
      <c r="AO283" s="52"/>
      <c r="AP283" s="52"/>
      <c r="AQ283" s="52"/>
      <c r="AR283" s="52"/>
      <c r="AS283" s="52"/>
      <c r="AT283" s="52"/>
      <c r="AU283" s="52"/>
      <c r="AV283" s="52"/>
    </row>
    <row r="284" ht="15.75" customHeight="1">
      <c r="A284" s="35"/>
      <c r="B284" s="27"/>
      <c r="C284" s="51"/>
      <c r="D284" s="35"/>
      <c r="E284" s="35"/>
      <c r="F284" s="26"/>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row>
    <row r="285" ht="15.75" customHeight="1">
      <c r="A285" s="35"/>
      <c r="B285" s="27"/>
      <c r="C285" s="51"/>
      <c r="D285" s="35"/>
      <c r="E285" s="35"/>
      <c r="F285" s="26"/>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row>
    <row r="286" ht="15.75" customHeight="1">
      <c r="A286" s="35"/>
      <c r="B286" s="27"/>
      <c r="C286" s="51"/>
      <c r="D286" s="35"/>
      <c r="E286" s="35"/>
      <c r="F286" s="26"/>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c r="AT286" s="52"/>
      <c r="AU286" s="52"/>
      <c r="AV286" s="52"/>
    </row>
    <row r="287" ht="15.75" customHeight="1">
      <c r="A287" s="35"/>
      <c r="B287" s="27"/>
      <c r="C287" s="51"/>
      <c r="D287" s="35"/>
      <c r="E287" s="35"/>
      <c r="F287" s="26"/>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row>
    <row r="288" ht="15.75" customHeight="1">
      <c r="A288" s="35"/>
      <c r="B288" s="27"/>
      <c r="C288" s="51"/>
      <c r="D288" s="35"/>
      <c r="E288" s="35"/>
      <c r="F288" s="26"/>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c r="AM288" s="52"/>
      <c r="AN288" s="52"/>
      <c r="AO288" s="52"/>
      <c r="AP288" s="52"/>
      <c r="AQ288" s="52"/>
      <c r="AR288" s="52"/>
      <c r="AS288" s="52"/>
      <c r="AT288" s="52"/>
      <c r="AU288" s="52"/>
      <c r="AV288" s="52"/>
    </row>
    <row r="289" ht="15.75" customHeight="1">
      <c r="A289" s="35"/>
      <c r="B289" s="27"/>
      <c r="C289" s="51"/>
      <c r="D289" s="35"/>
      <c r="E289" s="35"/>
      <c r="F289" s="26"/>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2"/>
      <c r="AR289" s="52"/>
      <c r="AS289" s="52"/>
      <c r="AT289" s="52"/>
      <c r="AU289" s="52"/>
      <c r="AV289" s="52"/>
    </row>
    <row r="290" ht="15.75" customHeight="1">
      <c r="A290" s="35"/>
      <c r="B290" s="27"/>
      <c r="C290" s="51"/>
      <c r="D290" s="35"/>
      <c r="E290" s="35"/>
      <c r="F290" s="26"/>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c r="AT290" s="52"/>
      <c r="AU290" s="52"/>
      <c r="AV290" s="52"/>
    </row>
    <row r="291" ht="15.75" customHeight="1">
      <c r="A291" s="35"/>
      <c r="B291" s="27"/>
      <c r="C291" s="51"/>
      <c r="D291" s="35"/>
      <c r="E291" s="35"/>
      <c r="F291" s="26"/>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c r="AT291" s="52"/>
      <c r="AU291" s="52"/>
      <c r="AV291" s="52"/>
    </row>
    <row r="292" ht="15.75" customHeight="1">
      <c r="A292" s="35"/>
      <c r="B292" s="27"/>
      <c r="C292" s="51"/>
      <c r="D292" s="35"/>
      <c r="E292" s="35"/>
      <c r="F292" s="26"/>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c r="AE292" s="52"/>
      <c r="AF292" s="52"/>
      <c r="AG292" s="52"/>
      <c r="AH292" s="52"/>
      <c r="AI292" s="52"/>
      <c r="AJ292" s="52"/>
      <c r="AK292" s="52"/>
      <c r="AL292" s="52"/>
      <c r="AM292" s="52"/>
      <c r="AN292" s="52"/>
      <c r="AO292" s="52"/>
      <c r="AP292" s="52"/>
      <c r="AQ292" s="52"/>
      <c r="AR292" s="52"/>
      <c r="AS292" s="52"/>
      <c r="AT292" s="52"/>
      <c r="AU292" s="52"/>
      <c r="AV292" s="52"/>
    </row>
    <row r="293" ht="15.75" customHeight="1">
      <c r="A293" s="35"/>
      <c r="B293" s="27"/>
      <c r="C293" s="51"/>
      <c r="D293" s="35"/>
      <c r="E293" s="35"/>
      <c r="F293" s="26"/>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c r="AE293" s="52"/>
      <c r="AF293" s="52"/>
      <c r="AG293" s="52"/>
      <c r="AH293" s="52"/>
      <c r="AI293" s="52"/>
      <c r="AJ293" s="52"/>
      <c r="AK293" s="52"/>
      <c r="AL293" s="52"/>
      <c r="AM293" s="52"/>
      <c r="AN293" s="52"/>
      <c r="AO293" s="52"/>
      <c r="AP293" s="52"/>
      <c r="AQ293" s="52"/>
      <c r="AR293" s="52"/>
      <c r="AS293" s="52"/>
      <c r="AT293" s="52"/>
      <c r="AU293" s="52"/>
      <c r="AV293" s="52"/>
    </row>
    <row r="294" ht="15.75" customHeight="1">
      <c r="A294" s="35"/>
      <c r="B294" s="27"/>
      <c r="C294" s="51"/>
      <c r="D294" s="35"/>
      <c r="E294" s="35"/>
      <c r="F294" s="26"/>
      <c r="G294" s="52"/>
      <c r="H294" s="52"/>
      <c r="I294" s="52"/>
      <c r="J294" s="52"/>
      <c r="K294" s="52"/>
      <c r="L294" s="52"/>
      <c r="M294" s="52"/>
      <c r="N294" s="52"/>
      <c r="O294" s="52"/>
      <c r="P294" s="52"/>
      <c r="Q294" s="52"/>
      <c r="R294" s="52"/>
      <c r="S294" s="52"/>
      <c r="T294" s="52"/>
      <c r="U294" s="52"/>
      <c r="V294" s="52"/>
      <c r="W294" s="52"/>
      <c r="X294" s="52"/>
      <c r="Y294" s="52"/>
      <c r="Z294" s="52"/>
      <c r="AA294" s="52"/>
      <c r="AB294" s="52"/>
      <c r="AC294" s="52"/>
      <c r="AD294" s="52"/>
      <c r="AE294" s="52"/>
      <c r="AF294" s="52"/>
      <c r="AG294" s="52"/>
      <c r="AH294" s="52"/>
      <c r="AI294" s="52"/>
      <c r="AJ294" s="52"/>
      <c r="AK294" s="52"/>
      <c r="AL294" s="52"/>
      <c r="AM294" s="52"/>
      <c r="AN294" s="52"/>
      <c r="AO294" s="52"/>
      <c r="AP294" s="52"/>
      <c r="AQ294" s="52"/>
      <c r="AR294" s="52"/>
      <c r="AS294" s="52"/>
      <c r="AT294" s="52"/>
      <c r="AU294" s="52"/>
      <c r="AV294" s="52"/>
    </row>
    <row r="295" ht="15.75" customHeight="1">
      <c r="A295" s="35"/>
      <c r="B295" s="27"/>
      <c r="C295" s="51"/>
      <c r="D295" s="35"/>
      <c r="E295" s="35"/>
      <c r="F295" s="26"/>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c r="AD295" s="52"/>
      <c r="AE295" s="52"/>
      <c r="AF295" s="52"/>
      <c r="AG295" s="52"/>
      <c r="AH295" s="52"/>
      <c r="AI295" s="52"/>
      <c r="AJ295" s="52"/>
      <c r="AK295" s="52"/>
      <c r="AL295" s="52"/>
      <c r="AM295" s="52"/>
      <c r="AN295" s="52"/>
      <c r="AO295" s="52"/>
      <c r="AP295" s="52"/>
      <c r="AQ295" s="52"/>
      <c r="AR295" s="52"/>
      <c r="AS295" s="52"/>
      <c r="AT295" s="52"/>
      <c r="AU295" s="52"/>
      <c r="AV295" s="52"/>
    </row>
    <row r="296" ht="15.75" customHeight="1">
      <c r="A296" s="35"/>
      <c r="B296" s="27"/>
      <c r="C296" s="51"/>
      <c r="D296" s="35"/>
      <c r="E296" s="35"/>
      <c r="F296" s="26"/>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c r="AE296" s="52"/>
      <c r="AF296" s="52"/>
      <c r="AG296" s="52"/>
      <c r="AH296" s="52"/>
      <c r="AI296" s="52"/>
      <c r="AJ296" s="52"/>
      <c r="AK296" s="52"/>
      <c r="AL296" s="52"/>
      <c r="AM296" s="52"/>
      <c r="AN296" s="52"/>
      <c r="AO296" s="52"/>
      <c r="AP296" s="52"/>
      <c r="AQ296" s="52"/>
      <c r="AR296" s="52"/>
      <c r="AS296" s="52"/>
      <c r="AT296" s="52"/>
      <c r="AU296" s="52"/>
      <c r="AV296" s="52"/>
    </row>
    <row r="297" ht="15.75" customHeight="1">
      <c r="A297" s="35"/>
      <c r="B297" s="27"/>
      <c r="C297" s="51"/>
      <c r="D297" s="35"/>
      <c r="E297" s="35"/>
      <c r="F297" s="26"/>
      <c r="G297" s="52"/>
      <c r="H297" s="52"/>
      <c r="I297" s="52"/>
      <c r="J297" s="52"/>
      <c r="K297" s="52"/>
      <c r="L297" s="52"/>
      <c r="M297" s="52"/>
      <c r="N297" s="52"/>
      <c r="O297" s="52"/>
      <c r="P297" s="52"/>
      <c r="Q297" s="52"/>
      <c r="R297" s="52"/>
      <c r="S297" s="52"/>
      <c r="T297" s="52"/>
      <c r="U297" s="52"/>
      <c r="V297" s="52"/>
      <c r="W297" s="52"/>
      <c r="X297" s="52"/>
      <c r="Y297" s="52"/>
      <c r="Z297" s="52"/>
      <c r="AA297" s="52"/>
      <c r="AB297" s="52"/>
      <c r="AC297" s="52"/>
      <c r="AD297" s="52"/>
      <c r="AE297" s="52"/>
      <c r="AF297" s="52"/>
      <c r="AG297" s="52"/>
      <c r="AH297" s="52"/>
      <c r="AI297" s="52"/>
      <c r="AJ297" s="52"/>
      <c r="AK297" s="52"/>
      <c r="AL297" s="52"/>
      <c r="AM297" s="52"/>
      <c r="AN297" s="52"/>
      <c r="AO297" s="52"/>
      <c r="AP297" s="52"/>
      <c r="AQ297" s="52"/>
      <c r="AR297" s="52"/>
      <c r="AS297" s="52"/>
      <c r="AT297" s="52"/>
      <c r="AU297" s="52"/>
      <c r="AV297" s="52"/>
    </row>
    <row r="298" ht="15.75" customHeight="1">
      <c r="A298" s="35"/>
      <c r="B298" s="27"/>
      <c r="C298" s="51"/>
      <c r="D298" s="35"/>
      <c r="E298" s="35"/>
      <c r="F298" s="26"/>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c r="AD298" s="52"/>
      <c r="AE298" s="52"/>
      <c r="AF298" s="52"/>
      <c r="AG298" s="52"/>
      <c r="AH298" s="52"/>
      <c r="AI298" s="52"/>
      <c r="AJ298" s="52"/>
      <c r="AK298" s="52"/>
      <c r="AL298" s="52"/>
      <c r="AM298" s="52"/>
      <c r="AN298" s="52"/>
      <c r="AO298" s="52"/>
      <c r="AP298" s="52"/>
      <c r="AQ298" s="52"/>
      <c r="AR298" s="52"/>
      <c r="AS298" s="52"/>
      <c r="AT298" s="52"/>
      <c r="AU298" s="52"/>
      <c r="AV298" s="52"/>
    </row>
    <row r="299" ht="15.75" customHeight="1">
      <c r="A299" s="35"/>
      <c r="B299" s="27"/>
      <c r="C299" s="51"/>
      <c r="D299" s="35"/>
      <c r="E299" s="35"/>
      <c r="F299" s="26"/>
      <c r="G299" s="52"/>
      <c r="H299" s="52"/>
      <c r="I299" s="52"/>
      <c r="J299" s="52"/>
      <c r="K299" s="52"/>
      <c r="L299" s="52"/>
      <c r="M299" s="52"/>
      <c r="N299" s="52"/>
      <c r="O299" s="52"/>
      <c r="P299" s="52"/>
      <c r="Q299" s="52"/>
      <c r="R299" s="52"/>
      <c r="S299" s="52"/>
      <c r="T299" s="52"/>
      <c r="U299" s="52"/>
      <c r="V299" s="52"/>
      <c r="W299" s="52"/>
      <c r="X299" s="52"/>
      <c r="Y299" s="52"/>
      <c r="Z299" s="52"/>
      <c r="AA299" s="52"/>
      <c r="AB299" s="52"/>
      <c r="AC299" s="52"/>
      <c r="AD299" s="52"/>
      <c r="AE299" s="52"/>
      <c r="AF299" s="52"/>
      <c r="AG299" s="52"/>
      <c r="AH299" s="52"/>
      <c r="AI299" s="52"/>
      <c r="AJ299" s="52"/>
      <c r="AK299" s="52"/>
      <c r="AL299" s="52"/>
      <c r="AM299" s="52"/>
      <c r="AN299" s="52"/>
      <c r="AO299" s="52"/>
      <c r="AP299" s="52"/>
      <c r="AQ299" s="52"/>
      <c r="AR299" s="52"/>
      <c r="AS299" s="52"/>
      <c r="AT299" s="52"/>
      <c r="AU299" s="52"/>
      <c r="AV299" s="52"/>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G1:M1"/>
    <mergeCell ref="N1:P1"/>
    <mergeCell ref="Q1:T1"/>
    <mergeCell ref="U1:AA1"/>
    <mergeCell ref="AB1:AH1"/>
    <mergeCell ref="AI1:AO1"/>
    <mergeCell ref="AP1:AV1"/>
  </mergeCells>
  <conditionalFormatting sqref="G2:AV98">
    <cfRule type="expression" dxfId="0" priority="1">
      <formula>(WEEKDAY(G$2,2)&gt;5)</formula>
    </cfRule>
  </conditionalFormatting>
  <conditionalFormatting sqref="G4:AV4">
    <cfRule type="expression" dxfId="1" priority="2">
      <formula>(AND(G$2&gt;=$D4,G$2&lt;=$E4))</formula>
    </cfRule>
  </conditionalFormatting>
  <conditionalFormatting sqref="G5:AV5">
    <cfRule type="expression" dxfId="2" priority="3">
      <formula>(AND(G$2&gt;=$D5,G$2&lt;=$E5))</formula>
    </cfRule>
  </conditionalFormatting>
  <conditionalFormatting sqref="G6:AV6">
    <cfRule type="expression" dxfId="3" priority="4">
      <formula>(AND(G$2&gt;=$D6,G$2&lt;=$E6))</formula>
    </cfRule>
  </conditionalFormatting>
  <conditionalFormatting sqref="G7:AV7">
    <cfRule type="expression" dxfId="4" priority="5">
      <formula>(AND(G$2&gt;=$D7,G$2&lt;=$E7))</formula>
    </cfRule>
  </conditionalFormatting>
  <conditionalFormatting sqref="G8:AV8">
    <cfRule type="expression" dxfId="5" priority="6">
      <formula>(AND(G$2&gt;=$D8,G$2&lt;=$E8))</formula>
    </cfRule>
  </conditionalFormatting>
  <conditionalFormatting sqref="G9:AV9">
    <cfRule type="expression" dxfId="6" priority="7">
      <formula>(AND(G$2&gt;=$D9,G$2&lt;=$E9))</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0"/>
  <cols>
    <col customWidth="1" min="1" max="1" width="4.63"/>
    <col customWidth="1" min="2" max="2" width="38.13"/>
    <col customWidth="1" min="3" max="3" width="38.5"/>
    <col customWidth="1" min="5" max="5" width="10.75"/>
    <col customWidth="1" min="6" max="6" width="5.38"/>
    <col customWidth="1" min="7" max="7" width="8.5"/>
    <col customWidth="1" min="8" max="8" width="9.25"/>
    <col customWidth="1" min="9" max="9" width="25.75"/>
    <col customWidth="1" min="10" max="10" width="25.25"/>
    <col customWidth="1" min="11" max="11" width="13.38"/>
  </cols>
  <sheetData>
    <row r="1">
      <c r="A1" s="53"/>
      <c r="B1" s="54" t="s">
        <v>56</v>
      </c>
      <c r="L1" s="35"/>
      <c r="M1" s="35"/>
      <c r="N1" s="35"/>
      <c r="O1" s="35"/>
      <c r="P1" s="35"/>
      <c r="Q1" s="35"/>
      <c r="R1" s="35"/>
      <c r="S1" s="35"/>
      <c r="T1" s="35"/>
      <c r="U1" s="35"/>
      <c r="V1" s="35"/>
      <c r="W1" s="35"/>
      <c r="X1" s="35"/>
      <c r="Y1" s="35"/>
      <c r="Z1" s="35"/>
      <c r="AA1" s="35"/>
    </row>
    <row r="2">
      <c r="A2" s="55"/>
      <c r="B2" s="56" t="s">
        <v>57</v>
      </c>
      <c r="C2" s="57"/>
      <c r="E2" s="26"/>
      <c r="F2" s="58"/>
      <c r="G2" s="58"/>
      <c r="H2" s="59">
        <v>0.0</v>
      </c>
      <c r="I2" s="60" t="s">
        <v>58</v>
      </c>
      <c r="L2" s="35"/>
      <c r="M2" s="35"/>
      <c r="N2" s="35"/>
      <c r="O2" s="35"/>
      <c r="P2" s="35"/>
      <c r="Q2" s="35"/>
      <c r="R2" s="35"/>
      <c r="S2" s="35"/>
      <c r="T2" s="35"/>
      <c r="U2" s="35"/>
      <c r="V2" s="35"/>
      <c r="W2" s="35"/>
      <c r="X2" s="35"/>
      <c r="Y2" s="35"/>
      <c r="Z2" s="35"/>
      <c r="AA2" s="35"/>
    </row>
    <row r="3">
      <c r="A3" s="55"/>
      <c r="B3" s="56" t="s">
        <v>59</v>
      </c>
      <c r="C3" s="61">
        <v>45020.0</v>
      </c>
      <c r="E3" s="26"/>
      <c r="F3" s="58"/>
      <c r="G3" s="58"/>
      <c r="H3" s="62">
        <f>ROUNDUP(G33*H2,0)</f>
        <v>0</v>
      </c>
      <c r="I3" s="60" t="s">
        <v>60</v>
      </c>
      <c r="L3" s="35"/>
      <c r="M3" s="35"/>
      <c r="N3" s="35"/>
      <c r="O3" s="35"/>
      <c r="P3" s="35"/>
      <c r="Q3" s="35"/>
      <c r="R3" s="35"/>
      <c r="S3" s="35"/>
      <c r="T3" s="35"/>
      <c r="U3" s="35"/>
      <c r="V3" s="35"/>
      <c r="W3" s="35"/>
      <c r="X3" s="35"/>
      <c r="Y3" s="35"/>
      <c r="Z3" s="35"/>
      <c r="AA3" s="35"/>
    </row>
    <row r="4">
      <c r="A4" s="55"/>
      <c r="B4" s="56" t="s">
        <v>61</v>
      </c>
      <c r="C4" s="63">
        <f>ROUNDUP(sum(G33,H3),0)</f>
        <v>0</v>
      </c>
      <c r="E4" s="35"/>
      <c r="F4" s="35"/>
      <c r="G4" s="35"/>
      <c r="H4" s="35"/>
      <c r="I4" s="35"/>
      <c r="J4" s="35"/>
      <c r="K4" s="35"/>
      <c r="L4" s="64" t="s">
        <v>62</v>
      </c>
      <c r="M4" s="57">
        <f>ROUNDUP(SUM(N33,H3),0)</f>
        <v>0</v>
      </c>
      <c r="N4" s="35"/>
      <c r="O4" s="35"/>
      <c r="P4" s="35"/>
      <c r="Q4" s="35"/>
      <c r="R4" s="35"/>
      <c r="S4" s="35"/>
      <c r="T4" s="35"/>
      <c r="U4" s="35"/>
      <c r="V4" s="35"/>
      <c r="W4" s="35"/>
      <c r="X4" s="35"/>
      <c r="Y4" s="35"/>
      <c r="Z4" s="35"/>
      <c r="AA4" s="35"/>
    </row>
    <row r="5">
      <c r="A5" s="55"/>
      <c r="B5" s="65" t="s">
        <v>63</v>
      </c>
      <c r="C5" s="66"/>
      <c r="E5" s="35"/>
      <c r="F5" s="35"/>
      <c r="G5" s="35"/>
      <c r="H5" s="35"/>
      <c r="I5" s="35"/>
      <c r="J5" s="35"/>
      <c r="K5" s="35"/>
      <c r="M5" s="35"/>
      <c r="N5" s="35"/>
      <c r="O5" s="35"/>
      <c r="P5" s="35"/>
      <c r="Q5" s="35"/>
      <c r="R5" s="35"/>
      <c r="S5" s="35"/>
      <c r="T5" s="35"/>
      <c r="U5" s="35"/>
      <c r="V5" s="35"/>
      <c r="W5" s="35"/>
      <c r="X5" s="35"/>
      <c r="Y5" s="35"/>
      <c r="Z5" s="35"/>
      <c r="AA5" s="35"/>
    </row>
    <row r="6">
      <c r="A6" s="55"/>
      <c r="B6" s="67" t="s">
        <v>64</v>
      </c>
      <c r="C6" s="68" t="s">
        <v>65</v>
      </c>
      <c r="D6" s="69" t="s">
        <v>66</v>
      </c>
      <c r="E6" s="21" t="s">
        <v>67</v>
      </c>
      <c r="F6" s="70" t="s">
        <v>68</v>
      </c>
      <c r="G6" s="71" t="s">
        <v>69</v>
      </c>
      <c r="H6" s="72" t="s">
        <v>70</v>
      </c>
      <c r="I6" s="69" t="s">
        <v>71</v>
      </c>
      <c r="J6" s="73" t="s">
        <v>72</v>
      </c>
      <c r="K6" s="73" t="s">
        <v>73</v>
      </c>
      <c r="L6" s="74" t="s">
        <v>74</v>
      </c>
      <c r="M6" s="70" t="s">
        <v>68</v>
      </c>
      <c r="N6" s="71" t="s">
        <v>69</v>
      </c>
      <c r="O6" s="72" t="s">
        <v>70</v>
      </c>
      <c r="P6" s="35"/>
      <c r="Q6" s="35"/>
      <c r="R6" s="35"/>
      <c r="S6" s="35"/>
      <c r="T6" s="35"/>
      <c r="U6" s="35"/>
      <c r="V6" s="35"/>
      <c r="W6" s="35"/>
      <c r="X6" s="35"/>
      <c r="Y6" s="35"/>
      <c r="Z6" s="35"/>
      <c r="AA6" s="35"/>
    </row>
    <row r="7">
      <c r="A7" s="75"/>
      <c r="B7" s="76" t="s">
        <v>75</v>
      </c>
      <c r="C7" s="35"/>
      <c r="D7" s="77">
        <v>0.0</v>
      </c>
      <c r="E7" s="78"/>
      <c r="F7" s="79">
        <v>6.0</v>
      </c>
      <c r="G7" s="80">
        <f t="array" ref="G7">ROUNDUP(IF(EQ(A7, ""),E7*INDEX(UncertaintyFactors!$C$2:$D$7, F7, 1), 0), 1)</f>
        <v>0</v>
      </c>
      <c r="H7" s="81">
        <f t="array" ref="H7">ROUNDUP(IF(EQ(A7, ""), E7*INDEX(UncertaintyFactors!$C$2:$D$7, F7, 2), 0), 1)</f>
        <v>0</v>
      </c>
      <c r="I7" s="51"/>
      <c r="J7" s="27"/>
      <c r="K7" s="82"/>
      <c r="L7" s="83">
        <f t="shared" ref="L7:L31" si="1">E7-(E7*D7)</f>
        <v>0</v>
      </c>
      <c r="M7" s="84">
        <f t="shared" ref="M7:M32" si="2">F7</f>
        <v>6</v>
      </c>
      <c r="N7" s="85">
        <f t="array" ref="N7">ROUNDUP(IF(EQ(A7, ""),L7*INDEX(UncertaintyFactors!$C$2:$D$7, M7, 1), 0), 1)</f>
        <v>0</v>
      </c>
      <c r="O7" s="86">
        <f t="array" ref="O7">ROUNDUP(IF(EQ(A7, ""), L7*INDEX(UncertaintyFactors!$C$2:$D$7, M7, 2), 0), 1)</f>
        <v>0</v>
      </c>
      <c r="P7" s="35"/>
      <c r="Q7" s="35"/>
      <c r="R7" s="35"/>
      <c r="S7" s="35"/>
      <c r="T7" s="35"/>
      <c r="U7" s="35"/>
      <c r="V7" s="35"/>
      <c r="W7" s="35"/>
      <c r="X7" s="35"/>
      <c r="Y7" s="35"/>
      <c r="Z7" s="35"/>
      <c r="AA7" s="35"/>
    </row>
    <row r="8">
      <c r="A8" s="75"/>
      <c r="B8" s="76" t="s">
        <v>76</v>
      </c>
      <c r="C8" s="35"/>
      <c r="D8" s="77">
        <v>0.0</v>
      </c>
      <c r="E8" s="78"/>
      <c r="F8" s="87">
        <v>6.0</v>
      </c>
      <c r="G8" s="80">
        <f t="array" ref="G8">ROUNDUP(IF(EQ(A8, ""),E8*INDEX(UncertaintyFactors!$C$2:$D$7, F8, 1), 0), 1)</f>
        <v>0</v>
      </c>
      <c r="H8" s="81">
        <f t="array" ref="H8">ROUNDUP(IF(EQ(A8, ""), E8*INDEX(UncertaintyFactors!$C$2:$D$7, F8, 2), 0), 1)</f>
        <v>0</v>
      </c>
      <c r="I8" s="51"/>
      <c r="J8" s="27"/>
      <c r="K8" s="35"/>
      <c r="L8" s="83">
        <f t="shared" si="1"/>
        <v>0</v>
      </c>
      <c r="M8" s="84">
        <f t="shared" si="2"/>
        <v>6</v>
      </c>
      <c r="N8" s="85">
        <f t="array" ref="N8">ROUNDUP(IF(EQ(A8, ""),L8*INDEX(UncertaintyFactors!$C$2:$D$7, M8, 1), 0), 1)</f>
        <v>0</v>
      </c>
      <c r="O8" s="86">
        <f t="array" ref="O8">ROUNDUP(IF(EQ(A8, ""), L8*INDEX(UncertaintyFactors!$C$2:$D$7, M8, 2), 0), 1)</f>
        <v>0</v>
      </c>
      <c r="P8" s="35"/>
      <c r="Q8" s="35"/>
      <c r="R8" s="35"/>
      <c r="S8" s="35"/>
      <c r="T8" s="35"/>
      <c r="U8" s="35"/>
      <c r="V8" s="35"/>
      <c r="W8" s="35"/>
      <c r="X8" s="35"/>
      <c r="Y8" s="35"/>
      <c r="Z8" s="35"/>
      <c r="AA8" s="35"/>
    </row>
    <row r="9">
      <c r="A9" s="75"/>
      <c r="B9" s="76" t="s">
        <v>77</v>
      </c>
      <c r="C9" s="35"/>
      <c r="D9" s="77">
        <v>0.0</v>
      </c>
      <c r="E9" s="78"/>
      <c r="F9" s="87">
        <v>6.0</v>
      </c>
      <c r="G9" s="80">
        <f t="array" ref="G9">ROUNDUP(IF(EQ(A9, ""),E9*INDEX(UncertaintyFactors!$C$2:$D$7, F9, 1), 0), 1)</f>
        <v>0</v>
      </c>
      <c r="H9" s="81">
        <f t="array" ref="H9">ROUNDUP(IF(EQ(A9, ""), E9*INDEX(UncertaintyFactors!$C$2:$D$7, F9, 2), 0), 1)</f>
        <v>0</v>
      </c>
      <c r="I9" s="51"/>
      <c r="J9" s="27"/>
      <c r="K9" s="35"/>
      <c r="L9" s="83">
        <f t="shared" si="1"/>
        <v>0</v>
      </c>
      <c r="M9" s="84">
        <f t="shared" si="2"/>
        <v>6</v>
      </c>
      <c r="N9" s="85">
        <f t="array" ref="N9">ROUNDUP(IF(EQ(A9, ""),L9*INDEX(UncertaintyFactors!$C$2:$D$7, M9, 1), 0), 1)</f>
        <v>0</v>
      </c>
      <c r="O9" s="86">
        <f t="array" ref="O9">ROUNDUP(IF(EQ(A9, ""), L9*INDEX(UncertaintyFactors!$C$2:$D$7, M9, 2), 0), 1)</f>
        <v>0</v>
      </c>
      <c r="P9" s="35"/>
      <c r="Q9" s="35"/>
      <c r="R9" s="35"/>
      <c r="S9" s="35"/>
      <c r="T9" s="35"/>
      <c r="U9" s="35"/>
      <c r="V9" s="35"/>
      <c r="W9" s="35"/>
      <c r="X9" s="35"/>
      <c r="Y9" s="35"/>
      <c r="Z9" s="35"/>
      <c r="AA9" s="35"/>
    </row>
    <row r="10">
      <c r="A10" s="75"/>
      <c r="B10" s="76" t="s">
        <v>78</v>
      </c>
      <c r="C10" s="35"/>
      <c r="D10" s="77">
        <v>0.1</v>
      </c>
      <c r="E10" s="78"/>
      <c r="F10" s="87">
        <v>6.0</v>
      </c>
      <c r="G10" s="80">
        <f t="array" ref="G10">ROUNDUP(IF(EQ(A10, ""),E10*INDEX(UncertaintyFactors!$C$2:$D$7, F10, 1), 0), 1)</f>
        <v>0</v>
      </c>
      <c r="H10" s="81">
        <f t="array" ref="H10">ROUNDUP(IF(EQ(A10, ""), E10*INDEX(UncertaintyFactors!$C$2:$D$7, F10, 2), 0), 1)</f>
        <v>0</v>
      </c>
      <c r="I10" s="51"/>
      <c r="J10" s="27"/>
      <c r="K10" s="35"/>
      <c r="L10" s="83">
        <f t="shared" si="1"/>
        <v>0</v>
      </c>
      <c r="M10" s="84">
        <f t="shared" si="2"/>
        <v>6</v>
      </c>
      <c r="N10" s="85">
        <f t="array" ref="N10">ROUNDUP(IF(EQ(A10, ""),L10*INDEX(UncertaintyFactors!$C$2:$D$7, M10, 1), 0), 1)</f>
        <v>0</v>
      </c>
      <c r="O10" s="86">
        <f t="array" ref="O10">ROUNDUP(IF(EQ(A10, ""), L10*INDEX(UncertaintyFactors!$C$2:$D$7, M10, 2), 0), 1)</f>
        <v>0</v>
      </c>
      <c r="P10" s="35"/>
      <c r="Q10" s="35"/>
      <c r="R10" s="35"/>
      <c r="S10" s="35"/>
      <c r="T10" s="35"/>
      <c r="U10" s="35"/>
      <c r="V10" s="35"/>
      <c r="W10" s="35"/>
      <c r="X10" s="35"/>
      <c r="Y10" s="35"/>
      <c r="Z10" s="35"/>
      <c r="AA10" s="35"/>
    </row>
    <row r="11">
      <c r="A11" s="75"/>
      <c r="B11" s="76" t="s">
        <v>79</v>
      </c>
      <c r="C11" s="35"/>
      <c r="D11" s="77">
        <v>0.0</v>
      </c>
      <c r="E11" s="26"/>
      <c r="F11" s="87">
        <v>6.0</v>
      </c>
      <c r="G11" s="80">
        <f t="array" ref="G11">ROUNDUP(IF(EQ(A11, ""),E11*INDEX(UncertaintyFactors!$C$2:$D$7, F11, 1), 0), 1)</f>
        <v>0</v>
      </c>
      <c r="H11" s="81">
        <f t="array" ref="H11">ROUNDUP(IF(EQ(A11, ""), E11*INDEX(UncertaintyFactors!$C$2:$D$7, F11, 2), 0), 1)</f>
        <v>0</v>
      </c>
      <c r="I11" s="51"/>
      <c r="J11" s="27"/>
      <c r="K11" s="35"/>
      <c r="L11" s="83">
        <f t="shared" si="1"/>
        <v>0</v>
      </c>
      <c r="M11" s="84">
        <f t="shared" si="2"/>
        <v>6</v>
      </c>
      <c r="N11" s="85">
        <f t="array" ref="N11">ROUNDUP(IF(EQ(A11, ""),L11*INDEX(UncertaintyFactors!$C$2:$D$7, M11, 1), 0), 1)</f>
        <v>0</v>
      </c>
      <c r="O11" s="86">
        <f t="array" ref="O11">ROUNDUP(IF(EQ(A11, ""), L11*INDEX(UncertaintyFactors!$C$2:$D$7, M11, 2), 0), 1)</f>
        <v>0</v>
      </c>
      <c r="P11" s="35"/>
      <c r="Q11" s="35"/>
      <c r="R11" s="35"/>
      <c r="S11" s="35"/>
      <c r="T11" s="35"/>
      <c r="U11" s="35"/>
      <c r="V11" s="35"/>
      <c r="W11" s="35"/>
      <c r="X11" s="35"/>
      <c r="Y11" s="35"/>
      <c r="Z11" s="35"/>
      <c r="AA11" s="35"/>
    </row>
    <row r="12">
      <c r="A12" s="75"/>
      <c r="B12" s="76" t="s">
        <v>80</v>
      </c>
      <c r="C12" s="35"/>
      <c r="D12" s="77">
        <v>0.0</v>
      </c>
      <c r="E12" s="26"/>
      <c r="F12" s="87">
        <v>6.0</v>
      </c>
      <c r="G12" s="80">
        <f t="array" ref="G12">ROUNDUP(IF(EQ(A12, ""),E12*INDEX(UncertaintyFactors!$C$2:$D$7, F12, 1), 0), 1)</f>
        <v>0</v>
      </c>
      <c r="H12" s="81">
        <f t="array" ref="H12">ROUNDUP(IF(EQ(A12, ""), E12*INDEX(UncertaintyFactors!$C$2:$D$7, F12, 2), 0), 1)</f>
        <v>0</v>
      </c>
      <c r="I12" s="51"/>
      <c r="J12" s="27"/>
      <c r="K12" s="35"/>
      <c r="L12" s="83">
        <f t="shared" si="1"/>
        <v>0</v>
      </c>
      <c r="M12" s="84">
        <f t="shared" si="2"/>
        <v>6</v>
      </c>
      <c r="N12" s="85">
        <f t="array" ref="N12">ROUNDUP(IF(EQ(A12, ""),L12*INDEX(UncertaintyFactors!$C$2:$D$7, M12, 1), 0), 1)</f>
        <v>0</v>
      </c>
      <c r="O12" s="86">
        <f t="array" ref="O12">ROUNDUP(IF(EQ(A12, ""), L12*INDEX(UncertaintyFactors!$C$2:$D$7, M12, 2), 0), 1)</f>
        <v>0</v>
      </c>
      <c r="P12" s="35"/>
      <c r="Q12" s="35"/>
      <c r="R12" s="35"/>
      <c r="S12" s="35"/>
      <c r="T12" s="35"/>
      <c r="U12" s="35"/>
      <c r="V12" s="35"/>
      <c r="W12" s="35"/>
      <c r="X12" s="35"/>
      <c r="Y12" s="35"/>
      <c r="Z12" s="35"/>
      <c r="AA12" s="35"/>
    </row>
    <row r="13">
      <c r="A13" s="75"/>
      <c r="B13" s="76" t="s">
        <v>81</v>
      </c>
      <c r="C13" s="35"/>
      <c r="D13" s="77">
        <v>0.0</v>
      </c>
      <c r="E13" s="26"/>
      <c r="F13" s="87">
        <v>6.0</v>
      </c>
      <c r="G13" s="80">
        <f t="array" ref="G13">ROUNDUP(IF(EQ(A13, ""),E13*INDEX(UncertaintyFactors!$C$2:$D$7, F13, 1), 0), 1)</f>
        <v>0</v>
      </c>
      <c r="H13" s="81">
        <f t="array" ref="H13">ROUNDUP(IF(EQ(A13, ""), E13*INDEX(UncertaintyFactors!$C$2:$D$7, F13, 2), 0), 1)</f>
        <v>0</v>
      </c>
      <c r="I13" s="51"/>
      <c r="J13" s="27"/>
      <c r="K13" s="35"/>
      <c r="L13" s="83">
        <f t="shared" si="1"/>
        <v>0</v>
      </c>
      <c r="M13" s="84">
        <f t="shared" si="2"/>
        <v>6</v>
      </c>
      <c r="N13" s="85">
        <f t="array" ref="N13">ROUNDUP(IF(EQ(A13, ""),L13*INDEX(UncertaintyFactors!$C$2:$D$7, M13, 1), 0), 1)</f>
        <v>0</v>
      </c>
      <c r="O13" s="86">
        <f t="array" ref="O13">ROUNDUP(IF(EQ(A13, ""), L13*INDEX(UncertaintyFactors!$C$2:$D$7, M13, 2), 0), 1)</f>
        <v>0</v>
      </c>
      <c r="P13" s="35"/>
      <c r="Q13" s="35"/>
      <c r="R13" s="35"/>
      <c r="S13" s="35"/>
      <c r="T13" s="35"/>
      <c r="U13" s="35"/>
      <c r="V13" s="35"/>
      <c r="W13" s="35"/>
      <c r="X13" s="35"/>
      <c r="Y13" s="35"/>
      <c r="Z13" s="35"/>
      <c r="AA13" s="35"/>
    </row>
    <row r="14">
      <c r="A14" s="75"/>
      <c r="B14" s="76" t="s">
        <v>82</v>
      </c>
      <c r="C14" s="35"/>
      <c r="D14" s="77">
        <v>0.0</v>
      </c>
      <c r="E14" s="26"/>
      <c r="F14" s="87">
        <v>6.0</v>
      </c>
      <c r="G14" s="80">
        <f t="array" ref="G14">ROUNDUP(IF(EQ(A14, ""),E14*INDEX(UncertaintyFactors!$C$2:$D$7, F14, 1), 0), 1)</f>
        <v>0</v>
      </c>
      <c r="H14" s="81">
        <f t="array" ref="H14">ROUNDUP(IF(EQ(A14, ""), E14*INDEX(UncertaintyFactors!$C$2:$D$7, F14, 2), 0), 1)</f>
        <v>0</v>
      </c>
      <c r="I14" s="51"/>
      <c r="J14" s="27"/>
      <c r="K14" s="35"/>
      <c r="L14" s="83">
        <f t="shared" si="1"/>
        <v>0</v>
      </c>
      <c r="M14" s="84">
        <f t="shared" si="2"/>
        <v>6</v>
      </c>
      <c r="N14" s="85">
        <f t="array" ref="N14">ROUNDUP(IF(EQ(A14, ""),L14*INDEX(UncertaintyFactors!$C$2:$D$7, M14, 1), 0), 1)</f>
        <v>0</v>
      </c>
      <c r="O14" s="86">
        <f t="array" ref="O14">ROUNDUP(IF(EQ(A14, ""), L14*INDEX(UncertaintyFactors!$C$2:$D$7, M14, 2), 0), 1)</f>
        <v>0</v>
      </c>
      <c r="P14" s="35"/>
      <c r="Q14" s="35"/>
      <c r="R14" s="35"/>
      <c r="S14" s="35"/>
      <c r="T14" s="35"/>
      <c r="U14" s="35"/>
      <c r="V14" s="35"/>
      <c r="W14" s="35"/>
      <c r="X14" s="35"/>
      <c r="Y14" s="35"/>
      <c r="Z14" s="35"/>
      <c r="AA14" s="35"/>
    </row>
    <row r="15">
      <c r="A15" s="75"/>
      <c r="B15" s="76" t="s">
        <v>83</v>
      </c>
      <c r="C15" s="35"/>
      <c r="D15" s="77">
        <v>0.0</v>
      </c>
      <c r="E15" s="26"/>
      <c r="F15" s="87">
        <v>6.0</v>
      </c>
      <c r="G15" s="80">
        <f t="array" ref="G15">ROUNDUP(IF(EQ(A15, ""),E15*INDEX(UncertaintyFactors!$C$2:$D$7, F15, 1), 0), 1)</f>
        <v>0</v>
      </c>
      <c r="H15" s="81">
        <f t="array" ref="H15">ROUNDUP(IF(EQ(A15, ""), E15*INDEX(UncertaintyFactors!$C$2:$D$7, F15, 2), 0), 1)</f>
        <v>0</v>
      </c>
      <c r="I15" s="51"/>
      <c r="J15" s="27"/>
      <c r="K15" s="35"/>
      <c r="L15" s="83">
        <f t="shared" si="1"/>
        <v>0</v>
      </c>
      <c r="M15" s="84">
        <f t="shared" si="2"/>
        <v>6</v>
      </c>
      <c r="N15" s="85">
        <f t="array" ref="N15">ROUNDUP(IF(EQ(A15, ""),L15*INDEX(UncertaintyFactors!$C$2:$D$7, M15, 1), 0), 1)</f>
        <v>0</v>
      </c>
      <c r="O15" s="86">
        <f t="array" ref="O15">ROUNDUP(IF(EQ(A15, ""), L15*INDEX(UncertaintyFactors!$C$2:$D$7, M15, 2), 0), 1)</f>
        <v>0</v>
      </c>
      <c r="P15" s="35"/>
      <c r="Q15" s="35"/>
      <c r="R15" s="35"/>
      <c r="S15" s="35"/>
      <c r="T15" s="35"/>
      <c r="U15" s="35"/>
      <c r="V15" s="35"/>
      <c r="W15" s="35"/>
      <c r="X15" s="35"/>
      <c r="Y15" s="35"/>
      <c r="Z15" s="35"/>
      <c r="AA15" s="35"/>
    </row>
    <row r="16">
      <c r="A16" s="75"/>
      <c r="B16" s="76" t="s">
        <v>84</v>
      </c>
      <c r="C16" s="35"/>
      <c r="D16" s="77">
        <v>0.0</v>
      </c>
      <c r="E16" s="26"/>
      <c r="F16" s="87">
        <v>6.0</v>
      </c>
      <c r="G16" s="80">
        <f t="array" ref="G16">ROUNDUP(IF(EQ(A16, ""),E16*INDEX(UncertaintyFactors!$C$2:$D$7, F16, 1), 0), 1)</f>
        <v>0</v>
      </c>
      <c r="H16" s="81">
        <f t="array" ref="H16">ROUNDUP(IF(EQ(A16, ""), E16*INDEX(UncertaintyFactors!$C$2:$D$7, F16, 2), 0), 1)</f>
        <v>0</v>
      </c>
      <c r="I16" s="51"/>
      <c r="J16" s="27"/>
      <c r="K16" s="35"/>
      <c r="L16" s="83">
        <f t="shared" si="1"/>
        <v>0</v>
      </c>
      <c r="M16" s="84">
        <f t="shared" si="2"/>
        <v>6</v>
      </c>
      <c r="N16" s="85">
        <f t="array" ref="N16">ROUNDUP(IF(EQ(A16, ""),L16*INDEX(UncertaintyFactors!$C$2:$D$7, M16, 1), 0), 1)</f>
        <v>0</v>
      </c>
      <c r="O16" s="86">
        <f t="array" ref="O16">ROUNDUP(IF(EQ(A16, ""), L16*INDEX(UncertaintyFactors!$C$2:$D$7, M16, 2), 0), 1)</f>
        <v>0</v>
      </c>
      <c r="P16" s="35"/>
      <c r="Q16" s="35"/>
      <c r="R16" s="35"/>
      <c r="S16" s="35"/>
      <c r="T16" s="35"/>
      <c r="U16" s="35"/>
      <c r="V16" s="35"/>
      <c r="W16" s="35"/>
      <c r="X16" s="35"/>
      <c r="Y16" s="35"/>
      <c r="Z16" s="35"/>
      <c r="AA16" s="35"/>
    </row>
    <row r="17">
      <c r="A17" s="75"/>
      <c r="B17" s="88" t="s">
        <v>85</v>
      </c>
      <c r="C17" s="35"/>
      <c r="D17" s="77">
        <v>0.05</v>
      </c>
      <c r="E17" s="26"/>
      <c r="F17" s="87">
        <v>6.0</v>
      </c>
      <c r="G17" s="80">
        <f t="array" ref="G17">ROUNDUP(IF(EQ(A17, ""),E17*INDEX(UncertaintyFactors!$C$2:$D$7, F17, 1), 0), 1)</f>
        <v>0</v>
      </c>
      <c r="H17" s="81">
        <f t="array" ref="H17">ROUNDUP(IF(EQ(A17, ""), E17*INDEX(UncertaintyFactors!$C$2:$D$7, F17, 2), 0), 1)</f>
        <v>0</v>
      </c>
      <c r="I17" s="51"/>
      <c r="J17" s="27"/>
      <c r="K17" s="35"/>
      <c r="L17" s="83">
        <f t="shared" si="1"/>
        <v>0</v>
      </c>
      <c r="M17" s="84">
        <f t="shared" si="2"/>
        <v>6</v>
      </c>
      <c r="N17" s="85">
        <f t="array" ref="N17">ROUNDUP(IF(EQ(A17, ""),L17*INDEX(UncertaintyFactors!$C$2:$D$7, M17, 1), 0), 1)</f>
        <v>0</v>
      </c>
      <c r="O17" s="86">
        <f t="array" ref="O17">ROUNDUP(IF(EQ(A17, ""), L17*INDEX(UncertaintyFactors!$C$2:$D$7, M17, 2), 0), 1)</f>
        <v>0</v>
      </c>
      <c r="P17" s="35"/>
      <c r="Q17" s="35"/>
      <c r="R17" s="35"/>
      <c r="S17" s="35"/>
      <c r="T17" s="35"/>
      <c r="U17" s="35"/>
      <c r="V17" s="35"/>
      <c r="W17" s="35"/>
      <c r="X17" s="35"/>
      <c r="Y17" s="35"/>
      <c r="Z17" s="35"/>
      <c r="AA17" s="35"/>
    </row>
    <row r="18">
      <c r="A18" s="75"/>
      <c r="B18" s="76"/>
      <c r="C18" s="35"/>
      <c r="D18" s="77">
        <v>0.0</v>
      </c>
      <c r="E18" s="26"/>
      <c r="F18" s="87">
        <v>6.0</v>
      </c>
      <c r="G18" s="80">
        <f t="array" ref="G18">ROUNDUP(IF(EQ(A18, ""),E18*INDEX(UncertaintyFactors!$C$2:$D$7, F18, 1), 0), 1)</f>
        <v>0</v>
      </c>
      <c r="H18" s="81">
        <f t="array" ref="H18">ROUNDUP(IF(EQ(A18, ""), E18*INDEX(UncertaintyFactors!$C$2:$D$7, F18, 2), 0), 1)</f>
        <v>0</v>
      </c>
      <c r="I18" s="51"/>
      <c r="J18" s="27"/>
      <c r="K18" s="35"/>
      <c r="L18" s="83">
        <f t="shared" si="1"/>
        <v>0</v>
      </c>
      <c r="M18" s="84">
        <f t="shared" si="2"/>
        <v>6</v>
      </c>
      <c r="N18" s="85">
        <f t="array" ref="N18">ROUNDUP(IF(EQ(A18, ""),L18*INDEX(UncertaintyFactors!$C$2:$D$7, M18, 1), 0), 1)</f>
        <v>0</v>
      </c>
      <c r="O18" s="86">
        <f t="array" ref="O18">ROUNDUP(IF(EQ(A18, ""), L18*INDEX(UncertaintyFactors!$C$2:$D$7, M18, 2), 0), 1)</f>
        <v>0</v>
      </c>
      <c r="P18" s="35"/>
      <c r="Q18" s="35"/>
      <c r="R18" s="35"/>
      <c r="S18" s="35"/>
      <c r="T18" s="35"/>
      <c r="U18" s="35"/>
      <c r="V18" s="35"/>
      <c r="W18" s="35"/>
      <c r="X18" s="35"/>
      <c r="Y18" s="35"/>
      <c r="Z18" s="35"/>
      <c r="AA18" s="35"/>
    </row>
    <row r="19">
      <c r="A19" s="75"/>
      <c r="B19" s="76"/>
      <c r="C19" s="35"/>
      <c r="D19" s="77">
        <v>0.0</v>
      </c>
      <c r="E19" s="26"/>
      <c r="F19" s="87">
        <v>6.0</v>
      </c>
      <c r="G19" s="80">
        <f t="array" ref="G19">ROUNDUP(IF(EQ(A19, ""),E19*INDEX(UncertaintyFactors!$C$2:$D$7, F19, 1), 0), 1)</f>
        <v>0</v>
      </c>
      <c r="H19" s="81">
        <f t="array" ref="H19">ROUNDUP(IF(EQ(A19, ""), E19*INDEX(UncertaintyFactors!$C$2:$D$7, F19, 2), 0), 1)</f>
        <v>0</v>
      </c>
      <c r="I19" s="51"/>
      <c r="J19" s="27"/>
      <c r="K19" s="35"/>
      <c r="L19" s="83">
        <f t="shared" si="1"/>
        <v>0</v>
      </c>
      <c r="M19" s="84">
        <f t="shared" si="2"/>
        <v>6</v>
      </c>
      <c r="N19" s="85">
        <f t="array" ref="N19">ROUNDUP(IF(EQ(A19, ""),L19*INDEX(UncertaintyFactors!$C$2:$D$7, M19, 1), 0), 1)</f>
        <v>0</v>
      </c>
      <c r="O19" s="86">
        <f t="array" ref="O19">ROUNDUP(IF(EQ(A19, ""), L19*INDEX(UncertaintyFactors!$C$2:$D$7, M19, 2), 0), 1)</f>
        <v>0</v>
      </c>
      <c r="P19" s="35"/>
      <c r="Q19" s="35"/>
      <c r="R19" s="35"/>
      <c r="S19" s="35"/>
      <c r="T19" s="35"/>
      <c r="U19" s="35"/>
      <c r="V19" s="35"/>
      <c r="W19" s="35"/>
      <c r="X19" s="35"/>
      <c r="Y19" s="35"/>
      <c r="Z19" s="35"/>
      <c r="AA19" s="35"/>
    </row>
    <row r="20">
      <c r="A20" s="75"/>
      <c r="B20" s="89"/>
      <c r="C20" s="35"/>
      <c r="D20" s="77">
        <v>0.0</v>
      </c>
      <c r="E20" s="26"/>
      <c r="F20" s="87">
        <v>6.0</v>
      </c>
      <c r="G20" s="80">
        <f t="array" ref="G20">ROUNDUP(IF(EQ(A20, ""),E20*INDEX(UncertaintyFactors!$C$2:$D$7, F20, 1), 0), 1)</f>
        <v>0</v>
      </c>
      <c r="H20" s="81">
        <f t="array" ref="H20">ROUNDUP(IF(EQ(A20, ""), E20*INDEX(UncertaintyFactors!$C$2:$D$7, F20, 2), 0), 1)</f>
        <v>0</v>
      </c>
      <c r="I20" s="51"/>
      <c r="J20" s="27"/>
      <c r="K20" s="35"/>
      <c r="L20" s="83">
        <f t="shared" si="1"/>
        <v>0</v>
      </c>
      <c r="M20" s="84">
        <f t="shared" si="2"/>
        <v>6</v>
      </c>
      <c r="N20" s="85">
        <f t="array" ref="N20">ROUNDUP(IF(EQ(A20, ""),L20*INDEX(UncertaintyFactors!$C$2:$D$7, M20, 1), 0), 1)</f>
        <v>0</v>
      </c>
      <c r="O20" s="86">
        <f t="array" ref="O20">ROUNDUP(IF(EQ(A20, ""), L20*INDEX(UncertaintyFactors!$C$2:$D$7, M20, 2), 0), 1)</f>
        <v>0</v>
      </c>
      <c r="P20" s="35"/>
      <c r="Q20" s="35"/>
      <c r="R20" s="35"/>
      <c r="S20" s="35"/>
      <c r="T20" s="35"/>
      <c r="U20" s="35"/>
      <c r="V20" s="35"/>
      <c r="W20" s="35"/>
      <c r="X20" s="35"/>
      <c r="Y20" s="35"/>
      <c r="Z20" s="35"/>
      <c r="AA20" s="35"/>
    </row>
    <row r="21">
      <c r="A21" s="75"/>
      <c r="B21" s="76"/>
      <c r="C21" s="35"/>
      <c r="D21" s="77">
        <v>0.0</v>
      </c>
      <c r="E21" s="26"/>
      <c r="F21" s="87">
        <v>6.0</v>
      </c>
      <c r="G21" s="80">
        <f t="array" ref="G21">ROUNDUP(IF(EQ(A21, ""),E21*INDEX(UncertaintyFactors!$C$2:$D$7, F21, 1), 0), 1)</f>
        <v>0</v>
      </c>
      <c r="H21" s="81">
        <f t="array" ref="H21">ROUNDUP(IF(EQ(A21, ""), E21*INDEX(UncertaintyFactors!$C$2:$D$7, F21, 2), 0), 1)</f>
        <v>0</v>
      </c>
      <c r="I21" s="51"/>
      <c r="J21" s="27"/>
      <c r="K21" s="35"/>
      <c r="L21" s="83">
        <f t="shared" si="1"/>
        <v>0</v>
      </c>
      <c r="M21" s="84">
        <f t="shared" si="2"/>
        <v>6</v>
      </c>
      <c r="N21" s="85">
        <f t="array" ref="N21">ROUNDUP(IF(EQ(A21, ""),L21*INDEX(UncertaintyFactors!$C$2:$D$7, M21, 1), 0), 1)</f>
        <v>0</v>
      </c>
      <c r="O21" s="86">
        <f t="array" ref="O21">ROUNDUP(IF(EQ(A21, ""), L21*INDEX(UncertaintyFactors!$C$2:$D$7, M21, 2), 0), 1)</f>
        <v>0</v>
      </c>
      <c r="P21" s="35"/>
      <c r="Q21" s="35"/>
      <c r="R21" s="35"/>
      <c r="S21" s="35"/>
      <c r="T21" s="35"/>
      <c r="U21" s="35"/>
      <c r="V21" s="35"/>
      <c r="W21" s="35"/>
      <c r="X21" s="35"/>
      <c r="Y21" s="35"/>
      <c r="Z21" s="35"/>
      <c r="AA21" s="35"/>
    </row>
    <row r="22">
      <c r="A22" s="75"/>
      <c r="B22" s="76"/>
      <c r="C22" s="35"/>
      <c r="D22" s="77">
        <v>0.0</v>
      </c>
      <c r="E22" s="26"/>
      <c r="F22" s="87">
        <v>6.0</v>
      </c>
      <c r="G22" s="80">
        <f t="array" ref="G22">ROUNDUP(IF(EQ(A22, ""),E22*INDEX(UncertaintyFactors!$C$2:$D$7, F22, 1), 0), 1)</f>
        <v>0</v>
      </c>
      <c r="H22" s="81">
        <f t="array" ref="H22">ROUNDUP(IF(EQ(A22, ""), E22*INDEX(UncertaintyFactors!$C$2:$D$7, F22, 2), 0), 1)</f>
        <v>0</v>
      </c>
      <c r="I22" s="51"/>
      <c r="J22" s="27"/>
      <c r="K22" s="35"/>
      <c r="L22" s="83">
        <f t="shared" si="1"/>
        <v>0</v>
      </c>
      <c r="M22" s="84">
        <f t="shared" si="2"/>
        <v>6</v>
      </c>
      <c r="N22" s="85">
        <f t="array" ref="N22">ROUNDUP(IF(EQ(A22, ""),L22*INDEX(UncertaintyFactors!$C$2:$D$7, M22, 1), 0), 1)</f>
        <v>0</v>
      </c>
      <c r="O22" s="86">
        <f t="array" ref="O22">ROUNDUP(IF(EQ(A22, ""), L22*INDEX(UncertaintyFactors!$C$2:$D$7, M22, 2), 0), 1)</f>
        <v>0</v>
      </c>
      <c r="P22" s="35"/>
      <c r="Q22" s="35"/>
      <c r="R22" s="35"/>
      <c r="S22" s="35"/>
      <c r="T22" s="35"/>
      <c r="U22" s="35"/>
      <c r="V22" s="35"/>
      <c r="W22" s="35"/>
      <c r="X22" s="35"/>
      <c r="Y22" s="35"/>
      <c r="Z22" s="35"/>
      <c r="AA22" s="35"/>
    </row>
    <row r="23">
      <c r="A23" s="75"/>
      <c r="B23" s="76"/>
      <c r="C23" s="35"/>
      <c r="D23" s="77">
        <v>0.0</v>
      </c>
      <c r="E23" s="26"/>
      <c r="F23" s="87">
        <v>6.0</v>
      </c>
      <c r="G23" s="80">
        <f t="array" ref="G23">ROUNDUP(IF(EQ(A23, ""),E23*INDEX(UncertaintyFactors!$C$2:$D$7, F23, 1), 0), 1)</f>
        <v>0</v>
      </c>
      <c r="H23" s="81">
        <f t="array" ref="H23">ROUNDUP(IF(EQ(A23, ""), E23*INDEX(UncertaintyFactors!$C$2:$D$7, F23, 2), 0), 1)</f>
        <v>0</v>
      </c>
      <c r="I23" s="51"/>
      <c r="J23" s="27"/>
      <c r="K23" s="35"/>
      <c r="L23" s="83">
        <f t="shared" si="1"/>
        <v>0</v>
      </c>
      <c r="M23" s="84">
        <f t="shared" si="2"/>
        <v>6</v>
      </c>
      <c r="N23" s="85">
        <f t="array" ref="N23">ROUNDUP(IF(EQ(A23, ""),L23*INDEX(UncertaintyFactors!$C$2:$D$7, M23, 1), 0), 1)</f>
        <v>0</v>
      </c>
      <c r="O23" s="86">
        <f t="array" ref="O23">ROUNDUP(IF(EQ(A23, ""), L23*INDEX(UncertaintyFactors!$C$2:$D$7, M23, 2), 0), 1)</f>
        <v>0</v>
      </c>
      <c r="P23" s="35"/>
      <c r="Q23" s="35"/>
      <c r="R23" s="35"/>
      <c r="S23" s="35"/>
      <c r="T23" s="35"/>
      <c r="U23" s="35"/>
      <c r="V23" s="35"/>
      <c r="W23" s="35"/>
      <c r="X23" s="35"/>
      <c r="Y23" s="35"/>
      <c r="Z23" s="35"/>
      <c r="AA23" s="35"/>
    </row>
    <row r="24">
      <c r="A24" s="75"/>
      <c r="B24" s="76"/>
      <c r="C24" s="35"/>
      <c r="D24" s="77">
        <v>0.0</v>
      </c>
      <c r="E24" s="26"/>
      <c r="F24" s="87">
        <v>6.0</v>
      </c>
      <c r="G24" s="80">
        <f t="array" ref="G24">ROUNDUP(IF(EQ(A24, ""),E24*INDEX(UncertaintyFactors!$C$2:$D$7, F24, 1), 0), 1)</f>
        <v>0</v>
      </c>
      <c r="H24" s="81">
        <f t="array" ref="H24">ROUNDUP(IF(EQ(A24, ""), E24*INDEX(UncertaintyFactors!$C$2:$D$7, F24, 2), 0), 1)</f>
        <v>0</v>
      </c>
      <c r="I24" s="51"/>
      <c r="J24" s="27"/>
      <c r="K24" s="35"/>
      <c r="L24" s="83">
        <f t="shared" si="1"/>
        <v>0</v>
      </c>
      <c r="M24" s="84">
        <f t="shared" si="2"/>
        <v>6</v>
      </c>
      <c r="N24" s="85">
        <f t="array" ref="N24">ROUNDUP(IF(EQ(A24, ""),L24*INDEX(UncertaintyFactors!$C$2:$D$7, M24, 1), 0), 1)</f>
        <v>0</v>
      </c>
      <c r="O24" s="86">
        <f t="array" ref="O24">ROUNDUP(IF(EQ(A24, ""), L24*INDEX(UncertaintyFactors!$C$2:$D$7, M24, 2), 0), 1)</f>
        <v>0</v>
      </c>
      <c r="P24" s="35"/>
      <c r="Q24" s="35"/>
      <c r="R24" s="35"/>
      <c r="S24" s="35"/>
      <c r="T24" s="35"/>
      <c r="U24" s="35"/>
      <c r="V24" s="35"/>
      <c r="W24" s="35"/>
      <c r="X24" s="35"/>
      <c r="Y24" s="35"/>
      <c r="Z24" s="35"/>
      <c r="AA24" s="35"/>
    </row>
    <row r="25">
      <c r="A25" s="75"/>
      <c r="B25" s="76"/>
      <c r="C25" s="35"/>
      <c r="D25" s="77">
        <v>0.0</v>
      </c>
      <c r="E25" s="26"/>
      <c r="F25" s="87">
        <v>6.0</v>
      </c>
      <c r="G25" s="80">
        <f t="array" ref="G25">ROUNDUP(IF(EQ(A25, ""),E25*INDEX(UncertaintyFactors!$C$2:$D$7, F25, 1), 0), 1)</f>
        <v>0</v>
      </c>
      <c r="H25" s="81">
        <f t="array" ref="H25">ROUNDUP(IF(EQ(A25, ""), E25*INDEX(UncertaintyFactors!$C$2:$D$7, F25, 2), 0), 1)</f>
        <v>0</v>
      </c>
      <c r="I25" s="51"/>
      <c r="J25" s="27"/>
      <c r="K25" s="35"/>
      <c r="L25" s="83">
        <f t="shared" si="1"/>
        <v>0</v>
      </c>
      <c r="M25" s="84">
        <f t="shared" si="2"/>
        <v>6</v>
      </c>
      <c r="N25" s="85">
        <f t="array" ref="N25">ROUNDUP(IF(EQ(A25, ""),L25*INDEX(UncertaintyFactors!$C$2:$D$7, M25, 1), 0), 1)</f>
        <v>0</v>
      </c>
      <c r="O25" s="86">
        <f t="array" ref="O25">ROUNDUP(IF(EQ(A25, ""), L25*INDEX(UncertaintyFactors!$C$2:$D$7, M25, 2), 0), 1)</f>
        <v>0</v>
      </c>
      <c r="P25" s="35"/>
      <c r="Q25" s="35"/>
      <c r="R25" s="35"/>
      <c r="S25" s="35"/>
      <c r="T25" s="35"/>
      <c r="U25" s="35"/>
      <c r="V25" s="35"/>
      <c r="W25" s="35"/>
      <c r="X25" s="35"/>
      <c r="Y25" s="35"/>
      <c r="Z25" s="35"/>
      <c r="AA25" s="35"/>
    </row>
    <row r="26">
      <c r="A26" s="75"/>
      <c r="B26" s="76"/>
      <c r="C26" s="35"/>
      <c r="D26" s="77">
        <v>0.0</v>
      </c>
      <c r="E26" s="26"/>
      <c r="F26" s="87">
        <v>6.0</v>
      </c>
      <c r="G26" s="80">
        <f t="array" ref="G26">ROUNDUP(IF(EQ(A26, ""),E26*INDEX(UncertaintyFactors!$C$2:$D$7, F26, 1), 0), 1)</f>
        <v>0</v>
      </c>
      <c r="H26" s="81">
        <f t="array" ref="H26">ROUNDUP(IF(EQ(A26, ""), E26*INDEX(UncertaintyFactors!$C$2:$D$7, F26, 2), 0), 1)</f>
        <v>0</v>
      </c>
      <c r="I26" s="51"/>
      <c r="J26" s="27"/>
      <c r="K26" s="35"/>
      <c r="L26" s="83">
        <f t="shared" si="1"/>
        <v>0</v>
      </c>
      <c r="M26" s="84">
        <f t="shared" si="2"/>
        <v>6</v>
      </c>
      <c r="N26" s="85">
        <f t="array" ref="N26">ROUNDUP(IF(EQ(A26, ""),L26*INDEX(UncertaintyFactors!$C$2:$D$7, M26, 1), 0), 1)</f>
        <v>0</v>
      </c>
      <c r="O26" s="86">
        <f t="array" ref="O26">ROUNDUP(IF(EQ(A26, ""), L26*INDEX(UncertaintyFactors!$C$2:$D$7, M26, 2), 0), 1)</f>
        <v>0</v>
      </c>
      <c r="P26" s="35"/>
      <c r="Q26" s="35"/>
      <c r="R26" s="35"/>
      <c r="S26" s="35"/>
      <c r="T26" s="35"/>
      <c r="U26" s="35"/>
      <c r="V26" s="35"/>
      <c r="W26" s="35"/>
      <c r="X26" s="35"/>
      <c r="Y26" s="35"/>
      <c r="Z26" s="35"/>
      <c r="AA26" s="35"/>
    </row>
    <row r="27">
      <c r="A27" s="75"/>
      <c r="B27" s="76"/>
      <c r="C27" s="35"/>
      <c r="D27" s="77">
        <v>0.0</v>
      </c>
      <c r="E27" s="26"/>
      <c r="F27" s="87">
        <v>6.0</v>
      </c>
      <c r="G27" s="80">
        <f t="array" ref="G27">ROUNDUP(IF(EQ(A27, ""),E27*INDEX(UncertaintyFactors!$C$2:$D$7, F27, 1), 0), 1)</f>
        <v>0</v>
      </c>
      <c r="H27" s="81">
        <f t="array" ref="H27">ROUNDUP(IF(EQ(A27, ""), E27*INDEX(UncertaintyFactors!$C$2:$D$7, F27, 2), 0), 1)</f>
        <v>0</v>
      </c>
      <c r="I27" s="51"/>
      <c r="J27" s="27"/>
      <c r="K27" s="35"/>
      <c r="L27" s="83">
        <f t="shared" si="1"/>
        <v>0</v>
      </c>
      <c r="M27" s="84">
        <f t="shared" si="2"/>
        <v>6</v>
      </c>
      <c r="N27" s="85">
        <f t="array" ref="N27">ROUNDUP(IF(EQ(A27, ""),L27*INDEX(UncertaintyFactors!$C$2:$D$7, M27, 1), 0), 1)</f>
        <v>0</v>
      </c>
      <c r="O27" s="86">
        <f t="array" ref="O27">ROUNDUP(IF(EQ(A27, ""), L27*INDEX(UncertaintyFactors!$C$2:$D$7, M27, 2), 0), 1)</f>
        <v>0</v>
      </c>
      <c r="P27" s="35"/>
      <c r="Q27" s="35"/>
      <c r="R27" s="35"/>
      <c r="S27" s="35"/>
      <c r="T27" s="35"/>
      <c r="U27" s="35"/>
      <c r="V27" s="35"/>
      <c r="W27" s="35"/>
      <c r="X27" s="35"/>
      <c r="Y27" s="35"/>
      <c r="Z27" s="35"/>
      <c r="AA27" s="35"/>
    </row>
    <row r="28">
      <c r="A28" s="75"/>
      <c r="B28" s="76"/>
      <c r="C28" s="35"/>
      <c r="D28" s="77">
        <v>0.0</v>
      </c>
      <c r="E28" s="26"/>
      <c r="F28" s="87">
        <v>6.0</v>
      </c>
      <c r="G28" s="80">
        <f t="array" ref="G28">ROUNDUP(IF(EQ(A28, ""),E28*INDEX(UncertaintyFactors!$C$2:$D$7, F28, 1), 0), 1)</f>
        <v>0</v>
      </c>
      <c r="H28" s="81">
        <f t="array" ref="H28">ROUNDUP(IF(EQ(A28, ""), E28*INDEX(UncertaintyFactors!$C$2:$D$7, F28, 2), 0), 1)</f>
        <v>0</v>
      </c>
      <c r="I28" s="51"/>
      <c r="J28" s="27"/>
      <c r="K28" s="35"/>
      <c r="L28" s="83">
        <f t="shared" si="1"/>
        <v>0</v>
      </c>
      <c r="M28" s="84">
        <f t="shared" si="2"/>
        <v>6</v>
      </c>
      <c r="N28" s="85">
        <f t="array" ref="N28">ROUNDUP(IF(EQ(A28, ""),L28*INDEX(UncertaintyFactors!$C$2:$D$7, M28, 1), 0), 1)</f>
        <v>0</v>
      </c>
      <c r="O28" s="86">
        <f t="array" ref="O28">ROUNDUP(IF(EQ(A28, ""), L28*INDEX(UncertaintyFactors!$C$2:$D$7, M28, 2), 0), 1)</f>
        <v>0</v>
      </c>
      <c r="P28" s="35"/>
      <c r="Q28" s="35"/>
      <c r="R28" s="35"/>
      <c r="S28" s="35"/>
      <c r="T28" s="35"/>
      <c r="U28" s="35"/>
      <c r="V28" s="35"/>
      <c r="W28" s="35"/>
      <c r="X28" s="35"/>
      <c r="Y28" s="35"/>
      <c r="Z28" s="35"/>
      <c r="AA28" s="35"/>
    </row>
    <row r="29">
      <c r="A29" s="75"/>
      <c r="B29" s="76"/>
      <c r="C29" s="35"/>
      <c r="D29" s="77">
        <v>0.0</v>
      </c>
      <c r="E29" s="26"/>
      <c r="F29" s="87">
        <v>6.0</v>
      </c>
      <c r="G29" s="80">
        <f t="array" ref="G29">ROUNDUP(IF(EQ(A29, ""),E29*INDEX(UncertaintyFactors!$C$2:$D$7, F29, 1), 0), 1)</f>
        <v>0</v>
      </c>
      <c r="H29" s="81">
        <f t="array" ref="H29">ROUNDUP(IF(EQ(A29, ""), E29*INDEX(UncertaintyFactors!$C$2:$D$7, F29, 2), 0), 1)</f>
        <v>0</v>
      </c>
      <c r="I29" s="51"/>
      <c r="J29" s="27"/>
      <c r="K29" s="35"/>
      <c r="L29" s="83">
        <f t="shared" si="1"/>
        <v>0</v>
      </c>
      <c r="M29" s="84">
        <f t="shared" si="2"/>
        <v>6</v>
      </c>
      <c r="N29" s="85">
        <f t="array" ref="N29">ROUNDUP(IF(EQ(A29, ""),L29*INDEX(UncertaintyFactors!$C$2:$D$7, M29, 1), 0), 1)</f>
        <v>0</v>
      </c>
      <c r="O29" s="86">
        <f t="array" ref="O29">ROUNDUP(IF(EQ(A29, ""), L29*INDEX(UncertaintyFactors!$C$2:$D$7, M29, 2), 0), 1)</f>
        <v>0</v>
      </c>
      <c r="P29" s="35"/>
      <c r="Q29" s="35"/>
      <c r="R29" s="35"/>
      <c r="S29" s="35"/>
      <c r="T29" s="35"/>
      <c r="U29" s="35"/>
      <c r="V29" s="35"/>
      <c r="W29" s="35"/>
      <c r="X29" s="35"/>
      <c r="Y29" s="35"/>
      <c r="Z29" s="35"/>
      <c r="AA29" s="35"/>
    </row>
    <row r="30">
      <c r="A30" s="75"/>
      <c r="B30" s="76"/>
      <c r="C30" s="35"/>
      <c r="D30" s="77">
        <v>0.0</v>
      </c>
      <c r="E30" s="26"/>
      <c r="F30" s="87">
        <v>6.0</v>
      </c>
      <c r="G30" s="80">
        <f t="array" ref="G30">ROUNDUP(IF(EQ(A30, ""),E30*INDEX(UncertaintyFactors!$C$2:$D$7, F30, 1), 0), 1)</f>
        <v>0</v>
      </c>
      <c r="H30" s="81">
        <f t="array" ref="H30">ROUNDUP(IF(EQ(A30, ""), E30*INDEX(UncertaintyFactors!$C$2:$D$7, F30, 2), 0), 1)</f>
        <v>0</v>
      </c>
      <c r="I30" s="51"/>
      <c r="J30" s="27"/>
      <c r="K30" s="35"/>
      <c r="L30" s="83">
        <f t="shared" si="1"/>
        <v>0</v>
      </c>
      <c r="M30" s="84">
        <f t="shared" si="2"/>
        <v>6</v>
      </c>
      <c r="N30" s="85">
        <f t="array" ref="N30">ROUNDUP(IF(EQ(A30, ""),L30*INDEX(UncertaintyFactors!$C$2:$D$7, M30, 1), 0), 1)</f>
        <v>0</v>
      </c>
      <c r="O30" s="86">
        <f t="array" ref="O30">ROUNDUP(IF(EQ(A30, ""), L30*INDEX(UncertaintyFactors!$C$2:$D$7, M30, 2), 0), 1)</f>
        <v>0</v>
      </c>
      <c r="P30" s="35"/>
      <c r="Q30" s="35"/>
      <c r="R30" s="35"/>
      <c r="S30" s="35"/>
      <c r="T30" s="35"/>
      <c r="U30" s="35"/>
      <c r="V30" s="35"/>
      <c r="W30" s="35"/>
      <c r="X30" s="35"/>
      <c r="Y30" s="35"/>
      <c r="Z30" s="35"/>
      <c r="AA30" s="35"/>
    </row>
    <row r="31">
      <c r="A31" s="75"/>
      <c r="B31" s="76"/>
      <c r="C31" s="35"/>
      <c r="D31" s="77">
        <v>0.0</v>
      </c>
      <c r="E31" s="78"/>
      <c r="F31" s="79">
        <v>5.0</v>
      </c>
      <c r="G31" s="80">
        <f t="array" ref="G31">ROUNDUP(IF(EQ(A31, ""),E31*INDEX(UncertaintyFactors!$C$2:$D$7, F31, 1), 0), 1)</f>
        <v>0</v>
      </c>
      <c r="H31" s="81">
        <f t="array" ref="H31">ROUNDUP(IF(EQ(A31, ""), E31*INDEX(UncertaintyFactors!$C$2:$D$7, F31, 2), 0), 1)</f>
        <v>0</v>
      </c>
      <c r="I31" s="51"/>
      <c r="J31" s="27"/>
      <c r="K31" s="82"/>
      <c r="L31" s="83">
        <f t="shared" si="1"/>
        <v>0</v>
      </c>
      <c r="M31" s="84">
        <f t="shared" si="2"/>
        <v>5</v>
      </c>
      <c r="N31" s="85">
        <f t="array" ref="N31">ROUNDUP(IF(EQ(A31, ""),L31*INDEX(UncertaintyFactors!$C$2:$D$7, M31, 1), 0), 1)</f>
        <v>0</v>
      </c>
      <c r="O31" s="86">
        <f t="array" ref="O31">ROUNDUP(IF(EQ(A31, ""), L31*INDEX(UncertaintyFactors!$C$2:$D$7, M31, 2), 0), 1)</f>
        <v>0</v>
      </c>
      <c r="P31" s="35"/>
      <c r="Q31" s="35"/>
      <c r="R31" s="35"/>
      <c r="S31" s="35"/>
      <c r="T31" s="35"/>
      <c r="U31" s="35"/>
      <c r="V31" s="35"/>
      <c r="W31" s="35"/>
      <c r="X31" s="35"/>
      <c r="Y31" s="35"/>
      <c r="Z31" s="35"/>
      <c r="AA31" s="35"/>
    </row>
    <row r="32">
      <c r="A32" s="90"/>
      <c r="B32" s="91"/>
      <c r="C32" s="92"/>
      <c r="D32" s="92"/>
      <c r="E32" s="93">
        <f>ROUNDUP(SUM(E7:E30),0)</f>
        <v>0</v>
      </c>
      <c r="F32" s="94">
        <f>AVERAGE(F7:F31)</f>
        <v>5.96</v>
      </c>
      <c r="G32" s="95">
        <f t="shared" ref="G32:H32" si="3">ROUNDUP(SUM(G7:G30),0)</f>
        <v>0</v>
      </c>
      <c r="H32" s="95">
        <f t="shared" si="3"/>
        <v>0</v>
      </c>
      <c r="K32" s="82"/>
      <c r="L32" s="93">
        <f>ROUNDUP(SUM(L7:L30),0)</f>
        <v>0</v>
      </c>
      <c r="M32" s="96">
        <f t="shared" si="2"/>
        <v>5.96</v>
      </c>
      <c r="N32" s="95">
        <f t="shared" ref="N32:O32" si="4">ROUNDUP(SUM(N7:N30),0)</f>
        <v>0</v>
      </c>
      <c r="O32" s="95">
        <f t="shared" si="4"/>
        <v>0</v>
      </c>
      <c r="P32" s="35"/>
      <c r="Q32" s="35"/>
      <c r="R32" s="35"/>
      <c r="S32" s="35"/>
      <c r="T32" s="35"/>
      <c r="U32" s="35"/>
      <c r="V32" s="35"/>
      <c r="W32" s="35"/>
      <c r="X32" s="35"/>
      <c r="Y32" s="35"/>
      <c r="Z32" s="35"/>
      <c r="AA32" s="35"/>
    </row>
    <row r="33">
      <c r="A33" s="97"/>
      <c r="B33" s="76"/>
      <c r="C33" s="35"/>
      <c r="D33" s="82"/>
      <c r="E33" s="98" t="s">
        <v>86</v>
      </c>
      <c r="G33" s="99">
        <f>ROUNDUP(AVERAGE(G32:H32),0)</f>
        <v>0</v>
      </c>
      <c r="K33" s="82"/>
      <c r="L33" s="98" t="s">
        <v>86</v>
      </c>
      <c r="N33" s="99">
        <f>ROUNDUP(AVERAGE(N32:O32),0)</f>
        <v>0</v>
      </c>
      <c r="P33" s="35"/>
      <c r="Q33" s="35"/>
      <c r="R33" s="35"/>
      <c r="S33" s="35"/>
      <c r="T33" s="35"/>
      <c r="U33" s="35"/>
      <c r="V33" s="35"/>
      <c r="W33" s="35"/>
      <c r="X33" s="35"/>
      <c r="Y33" s="35"/>
      <c r="Z33" s="35"/>
      <c r="AA33" s="35"/>
    </row>
    <row r="34">
      <c r="A34" s="97"/>
      <c r="B34" s="76"/>
      <c r="C34" s="35"/>
      <c r="D34" s="82"/>
      <c r="E34" s="26"/>
      <c r="F34" s="51"/>
      <c r="G34" s="51"/>
      <c r="H34" s="51"/>
      <c r="I34" s="51"/>
      <c r="J34" s="27"/>
      <c r="K34" s="35"/>
      <c r="L34" s="35"/>
      <c r="M34" s="35"/>
      <c r="N34" s="35"/>
      <c r="O34" s="35"/>
      <c r="P34" s="35"/>
      <c r="Q34" s="35"/>
      <c r="R34" s="35"/>
      <c r="S34" s="35"/>
      <c r="T34" s="35"/>
      <c r="U34" s="35"/>
      <c r="V34" s="35"/>
      <c r="W34" s="35"/>
      <c r="X34" s="35"/>
      <c r="Y34" s="35"/>
      <c r="Z34" s="35"/>
      <c r="AA34" s="35"/>
    </row>
    <row r="35">
      <c r="A35" s="97"/>
      <c r="B35" s="76"/>
      <c r="C35" s="35"/>
      <c r="D35" s="82"/>
      <c r="E35" s="26"/>
      <c r="F35" s="51"/>
      <c r="G35" s="51"/>
      <c r="H35" s="51"/>
      <c r="I35" s="51"/>
      <c r="J35" s="27"/>
      <c r="K35" s="35"/>
      <c r="L35" s="35"/>
      <c r="M35" s="35"/>
      <c r="N35" s="35"/>
      <c r="O35" s="35"/>
      <c r="P35" s="35"/>
      <c r="Q35" s="35"/>
      <c r="R35" s="35"/>
      <c r="S35" s="35"/>
      <c r="T35" s="35"/>
      <c r="U35" s="35"/>
      <c r="V35" s="35"/>
      <c r="W35" s="35"/>
      <c r="X35" s="35"/>
      <c r="Y35" s="35"/>
      <c r="Z35" s="35"/>
      <c r="AA35" s="35"/>
    </row>
    <row r="36">
      <c r="A36" s="97"/>
      <c r="B36" s="76"/>
      <c r="C36" s="35"/>
      <c r="D36" s="82"/>
      <c r="E36" s="26"/>
      <c r="G36" s="51"/>
      <c r="H36" s="51"/>
      <c r="I36" s="51"/>
      <c r="J36" s="27"/>
      <c r="K36" s="35"/>
      <c r="L36" s="35"/>
      <c r="M36" s="35"/>
      <c r="N36" s="35"/>
      <c r="O36" s="35"/>
      <c r="P36" s="35"/>
      <c r="Q36" s="35"/>
      <c r="R36" s="35"/>
      <c r="S36" s="35"/>
      <c r="T36" s="35"/>
      <c r="U36" s="35"/>
      <c r="V36" s="35"/>
      <c r="W36" s="35"/>
      <c r="X36" s="35"/>
      <c r="Y36" s="35"/>
      <c r="Z36" s="35"/>
      <c r="AA36" s="35"/>
    </row>
    <row r="37">
      <c r="A37" s="97"/>
      <c r="B37" s="76"/>
      <c r="C37" s="35"/>
      <c r="D37" s="82"/>
      <c r="E37" s="26"/>
      <c r="F37" s="51"/>
      <c r="G37" s="51"/>
      <c r="H37" s="51"/>
      <c r="I37" s="51"/>
      <c r="J37" s="27"/>
      <c r="K37" s="35"/>
      <c r="L37" s="35"/>
      <c r="M37" s="35"/>
      <c r="N37" s="35"/>
      <c r="O37" s="35"/>
      <c r="P37" s="35"/>
      <c r="Q37" s="35"/>
      <c r="R37" s="35"/>
      <c r="S37" s="35"/>
      <c r="T37" s="35"/>
      <c r="U37" s="35"/>
      <c r="V37" s="35"/>
      <c r="W37" s="35"/>
      <c r="X37" s="35"/>
      <c r="Y37" s="35"/>
      <c r="Z37" s="35"/>
      <c r="AA37" s="35"/>
    </row>
    <row r="38">
      <c r="A38" s="97"/>
      <c r="B38" s="76"/>
      <c r="C38" s="35"/>
      <c r="D38" s="82"/>
      <c r="E38" s="26"/>
      <c r="F38" s="51"/>
      <c r="G38" s="51"/>
      <c r="H38" s="51"/>
      <c r="I38" s="51"/>
      <c r="J38" s="27"/>
      <c r="K38" s="35"/>
      <c r="L38" s="35"/>
      <c r="M38" s="35"/>
      <c r="N38" s="35"/>
      <c r="O38" s="35"/>
      <c r="P38" s="35"/>
      <c r="Q38" s="35"/>
      <c r="R38" s="35"/>
      <c r="S38" s="35"/>
      <c r="T38" s="35"/>
      <c r="U38" s="35"/>
      <c r="V38" s="35"/>
      <c r="W38" s="35"/>
      <c r="X38" s="35"/>
      <c r="Y38" s="35"/>
      <c r="Z38" s="35"/>
      <c r="AA38" s="35"/>
    </row>
    <row r="39">
      <c r="A39" s="97"/>
      <c r="B39" s="76"/>
      <c r="C39" s="35"/>
      <c r="D39" s="82"/>
      <c r="E39" s="26"/>
      <c r="F39" s="51"/>
      <c r="G39" s="51"/>
      <c r="H39" s="51"/>
      <c r="I39" s="51"/>
      <c r="J39" s="27"/>
      <c r="K39" s="35"/>
      <c r="L39" s="35"/>
      <c r="M39" s="35"/>
      <c r="N39" s="35"/>
      <c r="O39" s="35"/>
      <c r="P39" s="35"/>
      <c r="Q39" s="35"/>
      <c r="R39" s="35"/>
      <c r="S39" s="35"/>
      <c r="T39" s="35"/>
      <c r="U39" s="35"/>
      <c r="V39" s="35"/>
      <c r="W39" s="35"/>
      <c r="X39" s="35"/>
      <c r="Y39" s="35"/>
      <c r="Z39" s="35"/>
      <c r="AA39" s="35"/>
    </row>
    <row r="40">
      <c r="A40" s="97"/>
      <c r="B40" s="76"/>
      <c r="C40" s="35"/>
      <c r="D40" s="82"/>
      <c r="E40" s="26"/>
      <c r="F40" s="51"/>
      <c r="G40" s="51"/>
      <c r="H40" s="51"/>
      <c r="I40" s="51"/>
      <c r="J40" s="27"/>
      <c r="K40" s="35"/>
      <c r="L40" s="35"/>
      <c r="M40" s="35"/>
      <c r="N40" s="35"/>
      <c r="O40" s="35"/>
      <c r="P40" s="35"/>
      <c r="Q40" s="35"/>
      <c r="R40" s="35"/>
      <c r="S40" s="35"/>
      <c r="T40" s="35"/>
      <c r="U40" s="35"/>
      <c r="V40" s="35"/>
      <c r="W40" s="35"/>
      <c r="X40" s="35"/>
      <c r="Y40" s="35"/>
      <c r="Z40" s="35"/>
      <c r="AA40" s="35"/>
    </row>
    <row r="41">
      <c r="A41" s="97"/>
      <c r="B41" s="76"/>
      <c r="C41" s="35"/>
      <c r="D41" s="82"/>
      <c r="E41" s="26"/>
      <c r="F41" s="51"/>
      <c r="G41" s="51"/>
      <c r="H41" s="51"/>
      <c r="I41" s="51"/>
      <c r="J41" s="27"/>
      <c r="K41" s="35"/>
      <c r="L41" s="35"/>
      <c r="M41" s="35"/>
      <c r="N41" s="35"/>
      <c r="O41" s="35"/>
      <c r="P41" s="35"/>
      <c r="Q41" s="35"/>
      <c r="R41" s="35"/>
      <c r="S41" s="35"/>
      <c r="T41" s="35"/>
      <c r="U41" s="35"/>
      <c r="V41" s="35"/>
      <c r="W41" s="35"/>
      <c r="X41" s="35"/>
      <c r="Y41" s="35"/>
      <c r="Z41" s="35"/>
      <c r="AA41" s="35"/>
    </row>
    <row r="42">
      <c r="A42" s="97"/>
      <c r="B42" s="76"/>
      <c r="C42" s="35"/>
      <c r="D42" s="82"/>
      <c r="E42" s="26"/>
      <c r="F42" s="51"/>
      <c r="G42" s="51"/>
      <c r="H42" s="51"/>
      <c r="I42" s="51"/>
      <c r="J42" s="27"/>
      <c r="K42" s="35"/>
      <c r="L42" s="35"/>
      <c r="M42" s="35"/>
      <c r="N42" s="35"/>
      <c r="O42" s="35"/>
      <c r="P42" s="35"/>
      <c r="Q42" s="35"/>
      <c r="R42" s="35"/>
      <c r="S42" s="35"/>
      <c r="T42" s="35"/>
      <c r="U42" s="35"/>
      <c r="V42" s="35"/>
      <c r="W42" s="35"/>
      <c r="X42" s="35"/>
      <c r="Y42" s="35"/>
      <c r="Z42" s="35"/>
      <c r="AA42" s="35"/>
    </row>
    <row r="43">
      <c r="A43" s="97"/>
      <c r="B43" s="76"/>
      <c r="C43" s="35"/>
      <c r="D43" s="82"/>
      <c r="E43" s="26"/>
      <c r="F43" s="51"/>
      <c r="G43" s="51"/>
      <c r="H43" s="51"/>
      <c r="I43" s="51"/>
      <c r="J43" s="27"/>
      <c r="K43" s="35"/>
      <c r="L43" s="35"/>
      <c r="M43" s="35"/>
      <c r="N43" s="35"/>
      <c r="O43" s="35"/>
      <c r="P43" s="35"/>
      <c r="Q43" s="35"/>
      <c r="R43" s="35"/>
      <c r="S43" s="35"/>
      <c r="T43" s="35"/>
      <c r="U43" s="35"/>
      <c r="V43" s="35"/>
      <c r="W43" s="35"/>
      <c r="X43" s="35"/>
      <c r="Y43" s="35"/>
      <c r="Z43" s="35"/>
      <c r="AA43" s="35"/>
    </row>
    <row r="44">
      <c r="A44" s="97"/>
      <c r="B44" s="76"/>
      <c r="C44" s="35"/>
      <c r="D44" s="82"/>
      <c r="E44" s="26"/>
      <c r="F44" s="51"/>
      <c r="G44" s="51"/>
      <c r="H44" s="51"/>
      <c r="I44" s="51"/>
      <c r="J44" s="27"/>
      <c r="K44" s="35"/>
      <c r="L44" s="35"/>
      <c r="M44" s="35"/>
      <c r="N44" s="35"/>
      <c r="O44" s="35"/>
      <c r="P44" s="35"/>
      <c r="Q44" s="35"/>
      <c r="R44" s="35"/>
      <c r="S44" s="35"/>
      <c r="T44" s="35"/>
      <c r="U44" s="35"/>
      <c r="V44" s="35"/>
      <c r="W44" s="35"/>
      <c r="X44" s="35"/>
      <c r="Y44" s="35"/>
      <c r="Z44" s="35"/>
      <c r="AA44" s="35"/>
    </row>
    <row r="45">
      <c r="A45" s="97"/>
      <c r="B45" s="76"/>
      <c r="C45" s="35"/>
      <c r="D45" s="82"/>
      <c r="E45" s="26"/>
      <c r="F45" s="51"/>
      <c r="G45" s="51"/>
      <c r="H45" s="51"/>
      <c r="I45" s="51"/>
      <c r="J45" s="27"/>
      <c r="K45" s="35"/>
      <c r="L45" s="35"/>
      <c r="M45" s="35"/>
      <c r="N45" s="35"/>
      <c r="O45" s="35"/>
      <c r="P45" s="35"/>
      <c r="Q45" s="35"/>
      <c r="R45" s="35"/>
      <c r="S45" s="35"/>
      <c r="T45" s="35"/>
      <c r="U45" s="35"/>
      <c r="V45" s="35"/>
      <c r="W45" s="35"/>
      <c r="X45" s="35"/>
      <c r="Y45" s="35"/>
      <c r="Z45" s="35"/>
      <c r="AA45" s="35"/>
    </row>
    <row r="46">
      <c r="A46" s="97"/>
      <c r="B46" s="76"/>
      <c r="C46" s="35"/>
      <c r="D46" s="82"/>
      <c r="E46" s="26"/>
      <c r="F46" s="51"/>
      <c r="G46" s="51"/>
      <c r="H46" s="51"/>
      <c r="I46" s="51"/>
      <c r="J46" s="27"/>
      <c r="K46" s="35"/>
      <c r="L46" s="35"/>
      <c r="M46" s="35"/>
      <c r="N46" s="35"/>
      <c r="O46" s="35"/>
      <c r="P46" s="35"/>
      <c r="Q46" s="35"/>
      <c r="R46" s="35"/>
      <c r="S46" s="35"/>
      <c r="T46" s="35"/>
      <c r="U46" s="35"/>
      <c r="V46" s="35"/>
      <c r="W46" s="35"/>
      <c r="X46" s="35"/>
      <c r="Y46" s="35"/>
      <c r="Z46" s="35"/>
      <c r="AA46" s="35"/>
    </row>
    <row r="47">
      <c r="A47" s="97"/>
      <c r="B47" s="76"/>
      <c r="C47" s="35"/>
      <c r="D47" s="82"/>
      <c r="E47" s="26"/>
      <c r="F47" s="51"/>
      <c r="G47" s="51"/>
      <c r="H47" s="51"/>
      <c r="I47" s="51"/>
      <c r="J47" s="27"/>
      <c r="K47" s="35"/>
      <c r="L47" s="35"/>
      <c r="M47" s="35"/>
      <c r="N47" s="35"/>
      <c r="O47" s="35"/>
      <c r="P47" s="35"/>
      <c r="Q47" s="35"/>
      <c r="R47" s="35"/>
      <c r="S47" s="35"/>
      <c r="T47" s="35"/>
      <c r="U47" s="35"/>
      <c r="V47" s="35"/>
      <c r="W47" s="35"/>
      <c r="X47" s="35"/>
      <c r="Y47" s="35"/>
      <c r="Z47" s="35"/>
      <c r="AA47" s="35"/>
    </row>
    <row r="48">
      <c r="A48" s="97"/>
      <c r="B48" s="76"/>
      <c r="C48" s="35"/>
      <c r="D48" s="82"/>
      <c r="E48" s="26"/>
      <c r="F48" s="51"/>
      <c r="G48" s="51"/>
      <c r="H48" s="51"/>
      <c r="I48" s="51"/>
      <c r="J48" s="27"/>
      <c r="K48" s="35"/>
      <c r="L48" s="35"/>
      <c r="M48" s="35"/>
      <c r="N48" s="35"/>
      <c r="O48" s="35"/>
      <c r="P48" s="35"/>
      <c r="Q48" s="35"/>
      <c r="R48" s="35"/>
      <c r="S48" s="35"/>
      <c r="T48" s="35"/>
      <c r="U48" s="35"/>
      <c r="V48" s="35"/>
      <c r="W48" s="35"/>
      <c r="X48" s="35"/>
      <c r="Y48" s="35"/>
      <c r="Z48" s="35"/>
      <c r="AA48" s="35"/>
    </row>
    <row r="49">
      <c r="A49" s="97"/>
      <c r="B49" s="76"/>
      <c r="C49" s="35"/>
      <c r="D49" s="82"/>
      <c r="E49" s="26"/>
      <c r="F49" s="51"/>
      <c r="G49" s="51"/>
      <c r="H49" s="51"/>
      <c r="I49" s="51"/>
      <c r="J49" s="27"/>
      <c r="K49" s="35"/>
      <c r="L49" s="35"/>
      <c r="M49" s="35"/>
      <c r="N49" s="35"/>
      <c r="O49" s="35"/>
      <c r="P49" s="35"/>
      <c r="Q49" s="35"/>
      <c r="R49" s="35"/>
      <c r="S49" s="35"/>
      <c r="T49" s="35"/>
      <c r="U49" s="35"/>
      <c r="V49" s="35"/>
      <c r="W49" s="35"/>
      <c r="X49" s="35"/>
      <c r="Y49" s="35"/>
      <c r="Z49" s="35"/>
      <c r="AA49" s="35"/>
    </row>
    <row r="50">
      <c r="A50" s="97"/>
      <c r="B50" s="76"/>
      <c r="C50" s="35"/>
      <c r="D50" s="82"/>
      <c r="E50" s="26"/>
      <c r="F50" s="51"/>
      <c r="G50" s="51"/>
      <c r="H50" s="51"/>
      <c r="I50" s="51"/>
      <c r="J50" s="27"/>
      <c r="K50" s="35"/>
      <c r="L50" s="35"/>
      <c r="M50" s="35"/>
      <c r="N50" s="35"/>
      <c r="O50" s="35"/>
      <c r="P50" s="35"/>
      <c r="Q50" s="35"/>
      <c r="R50" s="35"/>
      <c r="S50" s="35"/>
      <c r="T50" s="35"/>
      <c r="U50" s="35"/>
      <c r="V50" s="35"/>
      <c r="W50" s="35"/>
      <c r="X50" s="35"/>
      <c r="Y50" s="35"/>
      <c r="Z50" s="35"/>
      <c r="AA50" s="35"/>
    </row>
    <row r="51">
      <c r="A51" s="97"/>
      <c r="B51" s="76"/>
      <c r="C51" s="35"/>
      <c r="D51" s="82"/>
      <c r="E51" s="26"/>
      <c r="F51" s="51"/>
      <c r="G51" s="51"/>
      <c r="H51" s="51"/>
      <c r="I51" s="51"/>
      <c r="J51" s="27"/>
      <c r="K51" s="35"/>
      <c r="L51" s="35"/>
      <c r="M51" s="35"/>
      <c r="N51" s="35"/>
      <c r="O51" s="35"/>
      <c r="P51" s="35"/>
      <c r="Q51" s="35"/>
      <c r="R51" s="35"/>
      <c r="S51" s="35"/>
      <c r="T51" s="35"/>
      <c r="U51" s="35"/>
      <c r="V51" s="35"/>
      <c r="W51" s="35"/>
      <c r="X51" s="35"/>
      <c r="Y51" s="35"/>
      <c r="Z51" s="35"/>
      <c r="AA51" s="35"/>
    </row>
    <row r="52">
      <c r="A52" s="97"/>
      <c r="B52" s="76"/>
      <c r="C52" s="35"/>
      <c r="D52" s="82"/>
      <c r="E52" s="26"/>
      <c r="F52" s="51"/>
      <c r="G52" s="51"/>
      <c r="H52" s="51"/>
      <c r="I52" s="51"/>
      <c r="J52" s="27"/>
      <c r="K52" s="35"/>
      <c r="L52" s="35"/>
      <c r="M52" s="35"/>
      <c r="N52" s="35"/>
      <c r="O52" s="35"/>
      <c r="P52" s="35"/>
      <c r="Q52" s="35"/>
      <c r="R52" s="35"/>
      <c r="S52" s="35"/>
      <c r="T52" s="35"/>
      <c r="U52" s="35"/>
      <c r="V52" s="35"/>
      <c r="W52" s="35"/>
      <c r="X52" s="35"/>
      <c r="Y52" s="35"/>
      <c r="Z52" s="35"/>
      <c r="AA52" s="35"/>
    </row>
    <row r="53">
      <c r="A53" s="97"/>
      <c r="B53" s="76"/>
      <c r="C53" s="35"/>
      <c r="D53" s="82"/>
      <c r="E53" s="26"/>
      <c r="F53" s="51"/>
      <c r="G53" s="51"/>
      <c r="H53" s="51"/>
      <c r="I53" s="51"/>
      <c r="J53" s="27"/>
      <c r="K53" s="35"/>
      <c r="L53" s="35"/>
      <c r="M53" s="35"/>
      <c r="N53" s="35"/>
      <c r="O53" s="35"/>
      <c r="P53" s="35"/>
      <c r="Q53" s="35"/>
      <c r="R53" s="35"/>
      <c r="S53" s="35"/>
      <c r="T53" s="35"/>
      <c r="U53" s="35"/>
      <c r="V53" s="35"/>
      <c r="W53" s="35"/>
      <c r="X53" s="35"/>
      <c r="Y53" s="35"/>
      <c r="Z53" s="35"/>
      <c r="AA53" s="35"/>
    </row>
    <row r="54">
      <c r="A54" s="97"/>
      <c r="B54" s="76"/>
      <c r="C54" s="35"/>
      <c r="D54" s="82"/>
      <c r="E54" s="26"/>
      <c r="F54" s="51"/>
      <c r="G54" s="51"/>
      <c r="H54" s="51"/>
      <c r="I54" s="51"/>
      <c r="J54" s="27"/>
      <c r="K54" s="35"/>
      <c r="L54" s="35"/>
      <c r="M54" s="35"/>
      <c r="N54" s="35"/>
      <c r="O54" s="35"/>
      <c r="P54" s="35"/>
      <c r="Q54" s="35"/>
      <c r="R54" s="35"/>
      <c r="S54" s="35"/>
      <c r="T54" s="35"/>
      <c r="U54" s="35"/>
      <c r="V54" s="35"/>
      <c r="W54" s="35"/>
      <c r="X54" s="35"/>
      <c r="Y54" s="35"/>
      <c r="Z54" s="35"/>
      <c r="AA54" s="35"/>
    </row>
    <row r="55">
      <c r="A55" s="97"/>
      <c r="B55" s="76"/>
      <c r="C55" s="35"/>
      <c r="D55" s="82"/>
      <c r="E55" s="26"/>
      <c r="F55" s="51"/>
      <c r="G55" s="51"/>
      <c r="H55" s="51"/>
      <c r="I55" s="51"/>
      <c r="J55" s="27"/>
      <c r="K55" s="35"/>
      <c r="L55" s="35"/>
      <c r="M55" s="35"/>
      <c r="N55" s="35"/>
      <c r="O55" s="35"/>
      <c r="P55" s="35"/>
      <c r="Q55" s="35"/>
      <c r="R55" s="35"/>
      <c r="S55" s="35"/>
      <c r="T55" s="35"/>
      <c r="U55" s="35"/>
      <c r="V55" s="35"/>
      <c r="W55" s="35"/>
      <c r="X55" s="35"/>
      <c r="Y55" s="35"/>
      <c r="Z55" s="35"/>
      <c r="AA55" s="35"/>
    </row>
    <row r="56">
      <c r="A56" s="97"/>
      <c r="B56" s="76"/>
      <c r="C56" s="35"/>
      <c r="D56" s="82"/>
      <c r="E56" s="26"/>
      <c r="F56" s="51"/>
      <c r="G56" s="51"/>
      <c r="H56" s="51"/>
      <c r="I56" s="51"/>
      <c r="J56" s="27"/>
      <c r="K56" s="35"/>
      <c r="L56" s="35"/>
      <c r="M56" s="35"/>
      <c r="N56" s="35"/>
      <c r="O56" s="35"/>
      <c r="P56" s="35"/>
      <c r="Q56" s="35"/>
      <c r="R56" s="35"/>
      <c r="S56" s="35"/>
      <c r="T56" s="35"/>
      <c r="U56" s="35"/>
      <c r="V56" s="35"/>
      <c r="W56" s="35"/>
      <c r="X56" s="35"/>
      <c r="Y56" s="35"/>
      <c r="Z56" s="35"/>
      <c r="AA56" s="35"/>
    </row>
    <row r="57">
      <c r="A57" s="97"/>
      <c r="B57" s="76"/>
      <c r="C57" s="35"/>
      <c r="D57" s="82"/>
      <c r="E57" s="26"/>
      <c r="F57" s="51"/>
      <c r="G57" s="51"/>
      <c r="H57" s="51"/>
      <c r="I57" s="51"/>
      <c r="J57" s="27"/>
      <c r="K57" s="35"/>
      <c r="L57" s="35"/>
      <c r="M57" s="35"/>
      <c r="N57" s="35"/>
      <c r="O57" s="35"/>
      <c r="P57" s="35"/>
      <c r="Q57" s="35"/>
      <c r="R57" s="35"/>
      <c r="S57" s="35"/>
      <c r="T57" s="35"/>
      <c r="U57" s="35"/>
      <c r="V57" s="35"/>
      <c r="W57" s="35"/>
      <c r="X57" s="35"/>
      <c r="Y57" s="35"/>
      <c r="Z57" s="35"/>
      <c r="AA57" s="35"/>
    </row>
    <row r="58">
      <c r="A58" s="97"/>
      <c r="B58" s="76"/>
      <c r="C58" s="35"/>
      <c r="D58" s="82"/>
      <c r="E58" s="26"/>
      <c r="F58" s="51"/>
      <c r="G58" s="51"/>
      <c r="H58" s="51"/>
      <c r="I58" s="51"/>
      <c r="J58" s="27"/>
      <c r="K58" s="35"/>
      <c r="L58" s="35"/>
      <c r="M58" s="35"/>
      <c r="N58" s="35"/>
      <c r="O58" s="35"/>
      <c r="P58" s="35"/>
      <c r="Q58" s="35"/>
      <c r="R58" s="35"/>
      <c r="S58" s="35"/>
      <c r="T58" s="35"/>
      <c r="U58" s="35"/>
      <c r="V58" s="35"/>
      <c r="W58" s="35"/>
      <c r="X58" s="35"/>
      <c r="Y58" s="35"/>
      <c r="Z58" s="35"/>
      <c r="AA58" s="35"/>
    </row>
    <row r="59">
      <c r="A59" s="97"/>
      <c r="B59" s="76"/>
      <c r="C59" s="35"/>
      <c r="D59" s="82"/>
      <c r="E59" s="26"/>
      <c r="F59" s="51"/>
      <c r="G59" s="51"/>
      <c r="H59" s="51"/>
      <c r="I59" s="51"/>
      <c r="J59" s="27"/>
      <c r="K59" s="35"/>
      <c r="L59" s="35"/>
      <c r="M59" s="35"/>
      <c r="N59" s="35"/>
      <c r="O59" s="35"/>
      <c r="P59" s="35"/>
      <c r="Q59" s="35"/>
      <c r="R59" s="35"/>
      <c r="S59" s="35"/>
      <c r="T59" s="35"/>
      <c r="U59" s="35"/>
      <c r="V59" s="35"/>
      <c r="W59" s="35"/>
      <c r="X59" s="35"/>
      <c r="Y59" s="35"/>
      <c r="Z59" s="35"/>
      <c r="AA59" s="35"/>
    </row>
    <row r="60">
      <c r="A60" s="97"/>
      <c r="B60" s="76"/>
      <c r="C60" s="35"/>
      <c r="D60" s="82"/>
      <c r="E60" s="26"/>
      <c r="F60" s="51"/>
      <c r="G60" s="51"/>
      <c r="H60" s="51"/>
      <c r="I60" s="51"/>
      <c r="J60" s="27"/>
      <c r="K60" s="35"/>
      <c r="L60" s="35"/>
      <c r="M60" s="35"/>
      <c r="N60" s="35"/>
      <c r="O60" s="35"/>
      <c r="P60" s="35"/>
      <c r="Q60" s="35"/>
      <c r="R60" s="35"/>
      <c r="S60" s="35"/>
      <c r="T60" s="35"/>
      <c r="U60" s="35"/>
      <c r="V60" s="35"/>
      <c r="W60" s="35"/>
      <c r="X60" s="35"/>
      <c r="Y60" s="35"/>
      <c r="Z60" s="35"/>
      <c r="AA60" s="35"/>
    </row>
    <row r="61">
      <c r="A61" s="97"/>
      <c r="B61" s="76"/>
      <c r="C61" s="35"/>
      <c r="D61" s="82"/>
      <c r="E61" s="26"/>
      <c r="F61" s="51"/>
      <c r="G61" s="51"/>
      <c r="H61" s="51"/>
      <c r="I61" s="51"/>
      <c r="J61" s="27"/>
      <c r="K61" s="35"/>
      <c r="L61" s="35"/>
      <c r="M61" s="35"/>
      <c r="N61" s="35"/>
      <c r="O61" s="35"/>
      <c r="P61" s="35"/>
      <c r="Q61" s="35"/>
      <c r="R61" s="35"/>
      <c r="S61" s="35"/>
      <c r="T61" s="35"/>
      <c r="U61" s="35"/>
      <c r="V61" s="35"/>
      <c r="W61" s="35"/>
      <c r="X61" s="35"/>
      <c r="Y61" s="35"/>
      <c r="Z61" s="35"/>
      <c r="AA61" s="35"/>
    </row>
    <row r="62">
      <c r="A62" s="97"/>
      <c r="B62" s="76"/>
      <c r="C62" s="35"/>
      <c r="D62" s="82"/>
      <c r="E62" s="26"/>
      <c r="F62" s="51"/>
      <c r="G62" s="51"/>
      <c r="H62" s="51"/>
      <c r="I62" s="51"/>
      <c r="J62" s="27"/>
      <c r="K62" s="35"/>
      <c r="L62" s="35"/>
      <c r="M62" s="35"/>
      <c r="N62" s="35"/>
      <c r="O62" s="35"/>
      <c r="P62" s="35"/>
      <c r="Q62" s="35"/>
      <c r="R62" s="35"/>
      <c r="S62" s="35"/>
      <c r="T62" s="35"/>
      <c r="U62" s="35"/>
      <c r="V62" s="35"/>
      <c r="W62" s="35"/>
      <c r="X62" s="35"/>
      <c r="Y62" s="35"/>
      <c r="Z62" s="35"/>
      <c r="AA62" s="35"/>
    </row>
    <row r="63">
      <c r="A63" s="97"/>
      <c r="B63" s="76"/>
      <c r="C63" s="35"/>
      <c r="D63" s="82"/>
      <c r="E63" s="26"/>
      <c r="F63" s="51"/>
      <c r="G63" s="51"/>
      <c r="H63" s="51"/>
      <c r="I63" s="51"/>
      <c r="J63" s="27"/>
      <c r="K63" s="35"/>
      <c r="L63" s="35"/>
      <c r="M63" s="35"/>
      <c r="N63" s="35"/>
      <c r="O63" s="35"/>
      <c r="P63" s="35"/>
      <c r="Q63" s="35"/>
      <c r="R63" s="35"/>
      <c r="S63" s="35"/>
      <c r="T63" s="35"/>
      <c r="U63" s="35"/>
      <c r="V63" s="35"/>
      <c r="W63" s="35"/>
      <c r="X63" s="35"/>
      <c r="Y63" s="35"/>
      <c r="Z63" s="35"/>
      <c r="AA63" s="35"/>
    </row>
    <row r="64">
      <c r="A64" s="97"/>
      <c r="B64" s="76"/>
      <c r="C64" s="35"/>
      <c r="D64" s="82"/>
      <c r="E64" s="26"/>
      <c r="F64" s="51"/>
      <c r="G64" s="51"/>
      <c r="H64" s="51"/>
      <c r="I64" s="51"/>
      <c r="J64" s="27"/>
      <c r="K64" s="35"/>
      <c r="L64" s="35"/>
      <c r="M64" s="35"/>
      <c r="N64" s="35"/>
      <c r="O64" s="35"/>
      <c r="P64" s="35"/>
      <c r="Q64" s="35"/>
      <c r="R64" s="35"/>
      <c r="S64" s="35"/>
      <c r="T64" s="35"/>
      <c r="U64" s="35"/>
      <c r="V64" s="35"/>
      <c r="W64" s="35"/>
      <c r="X64" s="35"/>
      <c r="Y64" s="35"/>
      <c r="Z64" s="35"/>
      <c r="AA64" s="35"/>
    </row>
    <row r="65">
      <c r="A65" s="97"/>
      <c r="B65" s="76"/>
      <c r="C65" s="35"/>
      <c r="D65" s="82"/>
      <c r="E65" s="26"/>
      <c r="F65" s="51"/>
      <c r="G65" s="51"/>
      <c r="H65" s="51"/>
      <c r="I65" s="51"/>
      <c r="J65" s="27"/>
      <c r="K65" s="35"/>
      <c r="L65" s="35"/>
      <c r="M65" s="35"/>
      <c r="N65" s="35"/>
      <c r="O65" s="35"/>
      <c r="P65" s="35"/>
      <c r="Q65" s="35"/>
      <c r="R65" s="35"/>
      <c r="S65" s="35"/>
      <c r="T65" s="35"/>
      <c r="U65" s="35"/>
      <c r="V65" s="35"/>
      <c r="W65" s="35"/>
      <c r="X65" s="35"/>
      <c r="Y65" s="35"/>
      <c r="Z65" s="35"/>
      <c r="AA65" s="35"/>
    </row>
    <row r="66">
      <c r="A66" s="97"/>
      <c r="B66" s="76"/>
      <c r="C66" s="35"/>
      <c r="D66" s="82"/>
      <c r="E66" s="26"/>
      <c r="F66" s="51"/>
      <c r="G66" s="51"/>
      <c r="H66" s="51"/>
      <c r="I66" s="51"/>
      <c r="J66" s="27"/>
      <c r="K66" s="35"/>
      <c r="L66" s="35"/>
      <c r="M66" s="35"/>
      <c r="N66" s="35"/>
      <c r="O66" s="35"/>
      <c r="P66" s="35"/>
      <c r="Q66" s="35"/>
      <c r="R66" s="35"/>
      <c r="S66" s="35"/>
      <c r="T66" s="35"/>
      <c r="U66" s="35"/>
      <c r="V66" s="35"/>
      <c r="W66" s="35"/>
      <c r="X66" s="35"/>
      <c r="Y66" s="35"/>
      <c r="Z66" s="35"/>
      <c r="AA66" s="35"/>
    </row>
    <row r="67">
      <c r="A67" s="97"/>
      <c r="B67" s="76"/>
      <c r="C67" s="35"/>
      <c r="D67" s="82"/>
      <c r="E67" s="26"/>
      <c r="F67" s="51"/>
      <c r="G67" s="51"/>
      <c r="H67" s="51"/>
      <c r="I67" s="51"/>
      <c r="J67" s="27"/>
      <c r="K67" s="35"/>
      <c r="L67" s="35"/>
      <c r="M67" s="35"/>
      <c r="N67" s="35"/>
      <c r="O67" s="35"/>
      <c r="P67" s="35"/>
      <c r="Q67" s="35"/>
      <c r="R67" s="35"/>
      <c r="S67" s="35"/>
      <c r="T67" s="35"/>
      <c r="U67" s="35"/>
      <c r="V67" s="35"/>
      <c r="W67" s="35"/>
      <c r="X67" s="35"/>
      <c r="Y67" s="35"/>
      <c r="Z67" s="35"/>
      <c r="AA67" s="35"/>
    </row>
    <row r="68">
      <c r="A68" s="97"/>
      <c r="B68" s="76"/>
      <c r="C68" s="35"/>
      <c r="D68" s="82"/>
      <c r="E68" s="26"/>
      <c r="F68" s="51"/>
      <c r="G68" s="51"/>
      <c r="H68" s="51"/>
      <c r="I68" s="51"/>
      <c r="J68" s="27"/>
      <c r="K68" s="35"/>
      <c r="L68" s="35"/>
      <c r="M68" s="35"/>
      <c r="N68" s="35"/>
      <c r="O68" s="35"/>
      <c r="P68" s="35"/>
      <c r="Q68" s="35"/>
      <c r="R68" s="35"/>
      <c r="S68" s="35"/>
      <c r="T68" s="35"/>
      <c r="U68" s="35"/>
      <c r="V68" s="35"/>
      <c r="W68" s="35"/>
      <c r="X68" s="35"/>
      <c r="Y68" s="35"/>
      <c r="Z68" s="35"/>
      <c r="AA68" s="35"/>
    </row>
    <row r="69">
      <c r="A69" s="97"/>
      <c r="B69" s="76"/>
      <c r="C69" s="35"/>
      <c r="D69" s="82"/>
      <c r="E69" s="26"/>
      <c r="F69" s="51"/>
      <c r="G69" s="51"/>
      <c r="H69" s="51"/>
      <c r="I69" s="51"/>
      <c r="J69" s="27"/>
      <c r="K69" s="35"/>
      <c r="L69" s="35"/>
      <c r="M69" s="35"/>
      <c r="N69" s="35"/>
      <c r="O69" s="35"/>
      <c r="P69" s="35"/>
      <c r="Q69" s="35"/>
      <c r="R69" s="35"/>
      <c r="S69" s="35"/>
      <c r="T69" s="35"/>
      <c r="U69" s="35"/>
      <c r="V69" s="35"/>
      <c r="W69" s="35"/>
      <c r="X69" s="35"/>
      <c r="Y69" s="35"/>
      <c r="Z69" s="35"/>
      <c r="AA69" s="35"/>
    </row>
    <row r="70">
      <c r="A70" s="97"/>
      <c r="B70" s="76"/>
      <c r="C70" s="35"/>
      <c r="D70" s="82"/>
      <c r="E70" s="26"/>
      <c r="F70" s="51"/>
      <c r="G70" s="51"/>
      <c r="H70" s="51"/>
      <c r="I70" s="51"/>
      <c r="J70" s="27"/>
      <c r="K70" s="35"/>
      <c r="L70" s="35"/>
      <c r="M70" s="35"/>
      <c r="N70" s="35"/>
      <c r="O70" s="35"/>
      <c r="P70" s="35"/>
      <c r="Q70" s="35"/>
      <c r="R70" s="35"/>
      <c r="S70" s="35"/>
      <c r="T70" s="35"/>
      <c r="U70" s="35"/>
      <c r="V70" s="35"/>
      <c r="W70" s="35"/>
      <c r="X70" s="35"/>
      <c r="Y70" s="35"/>
      <c r="Z70" s="35"/>
      <c r="AA70" s="35"/>
    </row>
    <row r="71">
      <c r="A71" s="97"/>
      <c r="B71" s="76"/>
      <c r="C71" s="35"/>
      <c r="D71" s="82"/>
      <c r="E71" s="26"/>
      <c r="F71" s="51"/>
      <c r="G71" s="51"/>
      <c r="H71" s="51"/>
      <c r="I71" s="51"/>
      <c r="J71" s="27"/>
      <c r="K71" s="35"/>
      <c r="L71" s="35"/>
      <c r="M71" s="35"/>
      <c r="N71" s="35"/>
      <c r="O71" s="35"/>
      <c r="P71" s="35"/>
      <c r="Q71" s="35"/>
      <c r="R71" s="35"/>
      <c r="S71" s="35"/>
      <c r="T71" s="35"/>
      <c r="U71" s="35"/>
      <c r="V71" s="35"/>
      <c r="W71" s="35"/>
      <c r="X71" s="35"/>
      <c r="Y71" s="35"/>
      <c r="Z71" s="35"/>
      <c r="AA71" s="35"/>
    </row>
    <row r="72">
      <c r="A72" s="97"/>
      <c r="B72" s="76"/>
      <c r="C72" s="35"/>
      <c r="D72" s="82"/>
      <c r="E72" s="26"/>
      <c r="F72" s="51"/>
      <c r="G72" s="51"/>
      <c r="H72" s="51"/>
      <c r="I72" s="51"/>
      <c r="J72" s="27"/>
      <c r="K72" s="35"/>
      <c r="L72" s="35"/>
      <c r="M72" s="35"/>
      <c r="N72" s="35"/>
      <c r="O72" s="35"/>
      <c r="P72" s="35"/>
      <c r="Q72" s="35"/>
      <c r="R72" s="35"/>
      <c r="S72" s="35"/>
      <c r="T72" s="35"/>
      <c r="U72" s="35"/>
      <c r="V72" s="35"/>
      <c r="W72" s="35"/>
      <c r="X72" s="35"/>
      <c r="Y72" s="35"/>
      <c r="Z72" s="35"/>
      <c r="AA72" s="35"/>
    </row>
    <row r="73">
      <c r="A73" s="97"/>
      <c r="B73" s="76"/>
      <c r="C73" s="35"/>
      <c r="D73" s="82"/>
      <c r="E73" s="26"/>
      <c r="F73" s="51"/>
      <c r="G73" s="51"/>
      <c r="H73" s="51"/>
      <c r="I73" s="51"/>
      <c r="J73" s="27"/>
      <c r="K73" s="35"/>
      <c r="L73" s="35"/>
      <c r="M73" s="35"/>
      <c r="N73" s="35"/>
      <c r="O73" s="35"/>
      <c r="P73" s="35"/>
      <c r="Q73" s="35"/>
      <c r="R73" s="35"/>
      <c r="S73" s="35"/>
      <c r="T73" s="35"/>
      <c r="U73" s="35"/>
      <c r="V73" s="35"/>
      <c r="W73" s="35"/>
      <c r="X73" s="35"/>
      <c r="Y73" s="35"/>
      <c r="Z73" s="35"/>
      <c r="AA73" s="35"/>
    </row>
    <row r="74">
      <c r="A74" s="97"/>
      <c r="B74" s="76"/>
      <c r="C74" s="35"/>
      <c r="D74" s="82"/>
      <c r="E74" s="26"/>
      <c r="F74" s="51"/>
      <c r="G74" s="51"/>
      <c r="H74" s="51"/>
      <c r="I74" s="51"/>
      <c r="J74" s="27"/>
      <c r="K74" s="35"/>
      <c r="L74" s="35"/>
      <c r="M74" s="35"/>
      <c r="N74" s="35"/>
      <c r="O74" s="35"/>
      <c r="P74" s="35"/>
      <c r="Q74" s="35"/>
      <c r="R74" s="35"/>
      <c r="S74" s="35"/>
      <c r="T74" s="35"/>
      <c r="U74" s="35"/>
      <c r="V74" s="35"/>
      <c r="W74" s="35"/>
      <c r="X74" s="35"/>
      <c r="Y74" s="35"/>
      <c r="Z74" s="35"/>
      <c r="AA74" s="35"/>
    </row>
    <row r="75">
      <c r="A75" s="97"/>
      <c r="B75" s="76"/>
      <c r="C75" s="35"/>
      <c r="D75" s="82"/>
      <c r="E75" s="26"/>
      <c r="F75" s="51"/>
      <c r="G75" s="51"/>
      <c r="H75" s="51"/>
      <c r="I75" s="51"/>
      <c r="J75" s="27"/>
      <c r="K75" s="35"/>
      <c r="L75" s="35"/>
      <c r="M75" s="35"/>
      <c r="N75" s="35"/>
      <c r="O75" s="35"/>
      <c r="P75" s="35"/>
      <c r="Q75" s="35"/>
      <c r="R75" s="35"/>
      <c r="S75" s="35"/>
      <c r="T75" s="35"/>
      <c r="U75" s="35"/>
      <c r="V75" s="35"/>
      <c r="W75" s="35"/>
      <c r="X75" s="35"/>
      <c r="Y75" s="35"/>
      <c r="Z75" s="35"/>
      <c r="AA75" s="35"/>
    </row>
    <row r="76">
      <c r="A76" s="97"/>
      <c r="B76" s="76"/>
      <c r="C76" s="35"/>
      <c r="D76" s="82"/>
      <c r="E76" s="26"/>
      <c r="F76" s="51"/>
      <c r="G76" s="51"/>
      <c r="H76" s="51"/>
      <c r="I76" s="51"/>
      <c r="J76" s="27"/>
      <c r="K76" s="35"/>
      <c r="L76" s="35"/>
      <c r="M76" s="35"/>
      <c r="N76" s="35"/>
      <c r="O76" s="35"/>
      <c r="P76" s="35"/>
      <c r="Q76" s="35"/>
      <c r="R76" s="35"/>
      <c r="S76" s="35"/>
      <c r="T76" s="35"/>
      <c r="U76" s="35"/>
      <c r="V76" s="35"/>
      <c r="W76" s="35"/>
      <c r="X76" s="35"/>
      <c r="Y76" s="35"/>
      <c r="Z76" s="35"/>
      <c r="AA76" s="35"/>
    </row>
    <row r="77">
      <c r="A77" s="97"/>
      <c r="B77" s="76"/>
      <c r="C77" s="35"/>
      <c r="D77" s="82"/>
      <c r="E77" s="26"/>
      <c r="F77" s="51"/>
      <c r="G77" s="51"/>
      <c r="H77" s="51"/>
      <c r="I77" s="51"/>
      <c r="J77" s="27"/>
      <c r="K77" s="35"/>
      <c r="L77" s="35"/>
      <c r="M77" s="35"/>
      <c r="N77" s="35"/>
      <c r="O77" s="35"/>
      <c r="P77" s="35"/>
      <c r="Q77" s="35"/>
      <c r="R77" s="35"/>
      <c r="S77" s="35"/>
      <c r="T77" s="35"/>
      <c r="U77" s="35"/>
      <c r="V77" s="35"/>
      <c r="W77" s="35"/>
      <c r="X77" s="35"/>
      <c r="Y77" s="35"/>
      <c r="Z77" s="35"/>
      <c r="AA77" s="35"/>
    </row>
    <row r="78">
      <c r="A78" s="97"/>
      <c r="B78" s="76"/>
      <c r="C78" s="35"/>
      <c r="D78" s="82"/>
      <c r="E78" s="26"/>
      <c r="F78" s="51"/>
      <c r="G78" s="51"/>
      <c r="H78" s="51"/>
      <c r="I78" s="51"/>
      <c r="J78" s="27"/>
      <c r="K78" s="35"/>
      <c r="L78" s="35"/>
      <c r="M78" s="35"/>
      <c r="N78" s="35"/>
      <c r="O78" s="35"/>
      <c r="P78" s="35"/>
      <c r="Q78" s="35"/>
      <c r="R78" s="35"/>
      <c r="S78" s="35"/>
      <c r="T78" s="35"/>
      <c r="U78" s="35"/>
      <c r="V78" s="35"/>
      <c r="W78" s="35"/>
      <c r="X78" s="35"/>
      <c r="Y78" s="35"/>
      <c r="Z78" s="35"/>
      <c r="AA78" s="35"/>
    </row>
    <row r="79">
      <c r="A79" s="97"/>
      <c r="B79" s="76"/>
      <c r="C79" s="35"/>
      <c r="D79" s="82"/>
      <c r="E79" s="26"/>
      <c r="F79" s="51"/>
      <c r="G79" s="51"/>
      <c r="H79" s="51"/>
      <c r="I79" s="51"/>
      <c r="J79" s="27"/>
      <c r="K79" s="35"/>
      <c r="L79" s="35"/>
      <c r="M79" s="35"/>
      <c r="N79" s="35"/>
      <c r="O79" s="35"/>
      <c r="P79" s="35"/>
      <c r="Q79" s="35"/>
      <c r="R79" s="35"/>
      <c r="S79" s="35"/>
      <c r="T79" s="35"/>
      <c r="U79" s="35"/>
      <c r="V79" s="35"/>
      <c r="W79" s="35"/>
      <c r="X79" s="35"/>
      <c r="Y79" s="35"/>
      <c r="Z79" s="35"/>
      <c r="AA79" s="35"/>
    </row>
    <row r="80">
      <c r="A80" s="97"/>
      <c r="B80" s="76"/>
      <c r="C80" s="35"/>
      <c r="D80" s="82"/>
      <c r="E80" s="26"/>
      <c r="F80" s="51"/>
      <c r="G80" s="51"/>
      <c r="H80" s="51"/>
      <c r="I80" s="51"/>
      <c r="J80" s="27"/>
      <c r="K80" s="35"/>
      <c r="L80" s="35"/>
      <c r="M80" s="35"/>
      <c r="N80" s="35"/>
      <c r="O80" s="35"/>
      <c r="P80" s="35"/>
      <c r="Q80" s="35"/>
      <c r="R80" s="35"/>
      <c r="S80" s="35"/>
      <c r="T80" s="35"/>
      <c r="U80" s="35"/>
      <c r="V80" s="35"/>
      <c r="W80" s="35"/>
      <c r="X80" s="35"/>
      <c r="Y80" s="35"/>
      <c r="Z80" s="35"/>
      <c r="AA80" s="35"/>
    </row>
    <row r="81">
      <c r="A81" s="97"/>
      <c r="B81" s="76"/>
      <c r="C81" s="35"/>
      <c r="D81" s="82"/>
      <c r="E81" s="26"/>
      <c r="F81" s="51"/>
      <c r="G81" s="51"/>
      <c r="H81" s="51"/>
      <c r="I81" s="51"/>
      <c r="J81" s="27"/>
      <c r="K81" s="35"/>
      <c r="L81" s="35"/>
      <c r="M81" s="35"/>
      <c r="N81" s="35"/>
      <c r="O81" s="35"/>
      <c r="P81" s="35"/>
      <c r="Q81" s="35"/>
      <c r="R81" s="35"/>
      <c r="S81" s="35"/>
      <c r="T81" s="35"/>
      <c r="U81" s="35"/>
      <c r="V81" s="35"/>
      <c r="W81" s="35"/>
      <c r="X81" s="35"/>
      <c r="Y81" s="35"/>
      <c r="Z81" s="35"/>
      <c r="AA81" s="35"/>
    </row>
    <row r="82">
      <c r="A82" s="97"/>
      <c r="B82" s="76"/>
      <c r="C82" s="35"/>
      <c r="D82" s="82"/>
      <c r="E82" s="26"/>
      <c r="F82" s="51"/>
      <c r="G82" s="51"/>
      <c r="H82" s="51"/>
      <c r="I82" s="51"/>
      <c r="J82" s="27"/>
      <c r="K82" s="35"/>
      <c r="L82" s="35"/>
      <c r="M82" s="35"/>
      <c r="N82" s="35"/>
      <c r="O82" s="35"/>
      <c r="P82" s="35"/>
      <c r="Q82" s="35"/>
      <c r="R82" s="35"/>
      <c r="S82" s="35"/>
      <c r="T82" s="35"/>
      <c r="U82" s="35"/>
      <c r="V82" s="35"/>
      <c r="W82" s="35"/>
      <c r="X82" s="35"/>
      <c r="Y82" s="35"/>
      <c r="Z82" s="35"/>
      <c r="AA82" s="35"/>
    </row>
    <row r="83">
      <c r="A83" s="97"/>
      <c r="B83" s="76"/>
      <c r="C83" s="35"/>
      <c r="D83" s="82"/>
      <c r="E83" s="26"/>
      <c r="F83" s="51"/>
      <c r="G83" s="51"/>
      <c r="H83" s="51"/>
      <c r="I83" s="51"/>
      <c r="J83" s="27"/>
      <c r="K83" s="35"/>
      <c r="L83" s="35"/>
      <c r="M83" s="35"/>
      <c r="N83" s="35"/>
      <c r="O83" s="35"/>
      <c r="P83" s="35"/>
      <c r="Q83" s="35"/>
      <c r="R83" s="35"/>
      <c r="S83" s="35"/>
      <c r="T83" s="35"/>
      <c r="U83" s="35"/>
      <c r="V83" s="35"/>
      <c r="W83" s="35"/>
      <c r="X83" s="35"/>
      <c r="Y83" s="35"/>
      <c r="Z83" s="35"/>
      <c r="AA83" s="35"/>
    </row>
    <row r="84">
      <c r="A84" s="97"/>
      <c r="B84" s="76"/>
      <c r="C84" s="35"/>
      <c r="D84" s="82"/>
      <c r="E84" s="26"/>
      <c r="F84" s="51"/>
      <c r="G84" s="51"/>
      <c r="H84" s="51"/>
      <c r="I84" s="51"/>
      <c r="J84" s="27"/>
      <c r="K84" s="35"/>
      <c r="L84" s="35"/>
      <c r="M84" s="35"/>
      <c r="N84" s="35"/>
      <c r="O84" s="35"/>
      <c r="P84" s="35"/>
      <c r="Q84" s="35"/>
      <c r="R84" s="35"/>
      <c r="S84" s="35"/>
      <c r="T84" s="35"/>
      <c r="U84" s="35"/>
      <c r="V84" s="35"/>
      <c r="W84" s="35"/>
      <c r="X84" s="35"/>
      <c r="Y84" s="35"/>
      <c r="Z84" s="35"/>
      <c r="AA84" s="35"/>
    </row>
    <row r="85">
      <c r="A85" s="97"/>
      <c r="B85" s="76"/>
      <c r="C85" s="35"/>
      <c r="D85" s="82"/>
      <c r="E85" s="26"/>
      <c r="F85" s="51"/>
      <c r="G85" s="51"/>
      <c r="H85" s="51"/>
      <c r="I85" s="51"/>
      <c r="J85" s="27"/>
      <c r="K85" s="35"/>
      <c r="L85" s="35"/>
      <c r="M85" s="35"/>
      <c r="N85" s="35"/>
      <c r="O85" s="35"/>
      <c r="P85" s="35"/>
      <c r="Q85" s="35"/>
      <c r="R85" s="35"/>
      <c r="S85" s="35"/>
      <c r="T85" s="35"/>
      <c r="U85" s="35"/>
      <c r="V85" s="35"/>
      <c r="W85" s="35"/>
      <c r="X85" s="35"/>
      <c r="Y85" s="35"/>
      <c r="Z85" s="35"/>
      <c r="AA85" s="35"/>
    </row>
    <row r="86">
      <c r="A86" s="97"/>
      <c r="B86" s="76"/>
      <c r="C86" s="35"/>
      <c r="D86" s="82"/>
      <c r="E86" s="26"/>
      <c r="F86" s="51"/>
      <c r="G86" s="51"/>
      <c r="H86" s="51"/>
      <c r="I86" s="51"/>
      <c r="J86" s="27"/>
      <c r="K86" s="35"/>
      <c r="L86" s="35"/>
      <c r="M86" s="35"/>
      <c r="N86" s="35"/>
      <c r="O86" s="35"/>
      <c r="P86" s="35"/>
      <c r="Q86" s="35"/>
      <c r="R86" s="35"/>
      <c r="S86" s="35"/>
      <c r="T86" s="35"/>
      <c r="U86" s="35"/>
      <c r="V86" s="35"/>
      <c r="W86" s="35"/>
      <c r="X86" s="35"/>
      <c r="Y86" s="35"/>
      <c r="Z86" s="35"/>
      <c r="AA86" s="35"/>
    </row>
    <row r="87">
      <c r="A87" s="97"/>
      <c r="B87" s="76"/>
      <c r="C87" s="35"/>
      <c r="D87" s="82"/>
      <c r="E87" s="26"/>
      <c r="F87" s="51"/>
      <c r="G87" s="51"/>
      <c r="H87" s="51"/>
      <c r="I87" s="51"/>
      <c r="J87" s="27"/>
      <c r="K87" s="35"/>
      <c r="L87" s="35"/>
      <c r="M87" s="35"/>
      <c r="N87" s="35"/>
      <c r="O87" s="35"/>
      <c r="P87" s="35"/>
      <c r="Q87" s="35"/>
      <c r="R87" s="35"/>
      <c r="S87" s="35"/>
      <c r="T87" s="35"/>
      <c r="U87" s="35"/>
      <c r="V87" s="35"/>
      <c r="W87" s="35"/>
      <c r="X87" s="35"/>
      <c r="Y87" s="35"/>
      <c r="Z87" s="35"/>
      <c r="AA87" s="35"/>
    </row>
    <row r="88">
      <c r="A88" s="97"/>
      <c r="B88" s="76"/>
      <c r="C88" s="35"/>
      <c r="D88" s="82"/>
      <c r="E88" s="26"/>
      <c r="F88" s="51"/>
      <c r="G88" s="51"/>
      <c r="H88" s="51"/>
      <c r="I88" s="51"/>
      <c r="J88" s="27"/>
      <c r="K88" s="35"/>
      <c r="L88" s="35"/>
      <c r="M88" s="35"/>
      <c r="N88" s="35"/>
      <c r="O88" s="35"/>
      <c r="P88" s="35"/>
      <c r="Q88" s="35"/>
      <c r="R88" s="35"/>
      <c r="S88" s="35"/>
      <c r="T88" s="35"/>
      <c r="U88" s="35"/>
      <c r="V88" s="35"/>
      <c r="W88" s="35"/>
      <c r="X88" s="35"/>
      <c r="Y88" s="35"/>
      <c r="Z88" s="35"/>
      <c r="AA88" s="35"/>
    </row>
    <row r="89">
      <c r="A89" s="97"/>
      <c r="B89" s="76"/>
      <c r="C89" s="35"/>
      <c r="D89" s="82"/>
      <c r="E89" s="26"/>
      <c r="F89" s="51"/>
      <c r="G89" s="51"/>
      <c r="H89" s="51"/>
      <c r="I89" s="51"/>
      <c r="J89" s="27"/>
      <c r="K89" s="35"/>
      <c r="L89" s="35"/>
      <c r="M89" s="35"/>
      <c r="N89" s="35"/>
      <c r="O89" s="35"/>
      <c r="P89" s="35"/>
      <c r="Q89" s="35"/>
      <c r="R89" s="35"/>
      <c r="S89" s="35"/>
      <c r="T89" s="35"/>
      <c r="U89" s="35"/>
      <c r="V89" s="35"/>
      <c r="W89" s="35"/>
      <c r="X89" s="35"/>
      <c r="Y89" s="35"/>
      <c r="Z89" s="35"/>
      <c r="AA89" s="35"/>
    </row>
    <row r="90">
      <c r="A90" s="97"/>
      <c r="B90" s="76"/>
      <c r="C90" s="35"/>
      <c r="D90" s="82"/>
      <c r="E90" s="26"/>
      <c r="F90" s="51"/>
      <c r="G90" s="51"/>
      <c r="H90" s="51"/>
      <c r="I90" s="51"/>
      <c r="J90" s="27"/>
      <c r="K90" s="35"/>
      <c r="L90" s="35"/>
      <c r="M90" s="35"/>
      <c r="N90" s="35"/>
      <c r="O90" s="35"/>
      <c r="P90" s="35"/>
      <c r="Q90" s="35"/>
      <c r="R90" s="35"/>
      <c r="S90" s="35"/>
      <c r="T90" s="35"/>
      <c r="U90" s="35"/>
      <c r="V90" s="35"/>
      <c r="W90" s="35"/>
      <c r="X90" s="35"/>
      <c r="Y90" s="35"/>
      <c r="Z90" s="35"/>
      <c r="AA90" s="35"/>
    </row>
    <row r="91">
      <c r="A91" s="97"/>
      <c r="B91" s="76"/>
      <c r="C91" s="35"/>
      <c r="D91" s="82"/>
      <c r="E91" s="26"/>
      <c r="F91" s="51"/>
      <c r="G91" s="51"/>
      <c r="H91" s="51"/>
      <c r="I91" s="51"/>
      <c r="J91" s="27"/>
      <c r="K91" s="35"/>
      <c r="L91" s="35"/>
      <c r="M91" s="35"/>
      <c r="N91" s="35"/>
      <c r="O91" s="35"/>
      <c r="P91" s="35"/>
      <c r="Q91" s="35"/>
      <c r="R91" s="35"/>
      <c r="S91" s="35"/>
      <c r="T91" s="35"/>
      <c r="U91" s="35"/>
      <c r="V91" s="35"/>
      <c r="W91" s="35"/>
      <c r="X91" s="35"/>
      <c r="Y91" s="35"/>
      <c r="Z91" s="35"/>
      <c r="AA91" s="35"/>
    </row>
    <row r="92">
      <c r="A92" s="97"/>
      <c r="B92" s="76"/>
      <c r="C92" s="35"/>
      <c r="D92" s="82"/>
      <c r="E92" s="26"/>
      <c r="F92" s="51"/>
      <c r="G92" s="51"/>
      <c r="H92" s="51"/>
      <c r="I92" s="51"/>
      <c r="J92" s="27"/>
      <c r="K92" s="35"/>
      <c r="L92" s="35"/>
      <c r="M92" s="35"/>
      <c r="N92" s="35"/>
      <c r="O92" s="35"/>
      <c r="P92" s="35"/>
      <c r="Q92" s="35"/>
      <c r="R92" s="35"/>
      <c r="S92" s="35"/>
      <c r="T92" s="35"/>
      <c r="U92" s="35"/>
      <c r="V92" s="35"/>
      <c r="W92" s="35"/>
      <c r="X92" s="35"/>
      <c r="Y92" s="35"/>
      <c r="Z92" s="35"/>
      <c r="AA92" s="35"/>
    </row>
    <row r="93">
      <c r="A93" s="97"/>
      <c r="B93" s="76"/>
      <c r="C93" s="35"/>
      <c r="D93" s="82"/>
      <c r="E93" s="26"/>
      <c r="F93" s="51"/>
      <c r="G93" s="51"/>
      <c r="H93" s="51"/>
      <c r="I93" s="51"/>
      <c r="J93" s="27"/>
      <c r="K93" s="35"/>
      <c r="L93" s="35"/>
      <c r="M93" s="35"/>
      <c r="N93" s="35"/>
      <c r="O93" s="35"/>
      <c r="P93" s="35"/>
      <c r="Q93" s="35"/>
      <c r="R93" s="35"/>
      <c r="S93" s="35"/>
      <c r="T93" s="35"/>
      <c r="U93" s="35"/>
      <c r="V93" s="35"/>
      <c r="W93" s="35"/>
      <c r="X93" s="35"/>
      <c r="Y93" s="35"/>
      <c r="Z93" s="35"/>
      <c r="AA93" s="35"/>
    </row>
    <row r="94">
      <c r="A94" s="97"/>
      <c r="B94" s="76"/>
      <c r="C94" s="35"/>
      <c r="D94" s="82"/>
      <c r="E94" s="26"/>
      <c r="F94" s="51"/>
      <c r="G94" s="51"/>
      <c r="H94" s="51"/>
      <c r="I94" s="51"/>
      <c r="J94" s="27"/>
      <c r="K94" s="35"/>
      <c r="L94" s="35"/>
      <c r="M94" s="35"/>
      <c r="N94" s="35"/>
      <c r="O94" s="35"/>
      <c r="P94" s="35"/>
      <c r="Q94" s="35"/>
      <c r="R94" s="35"/>
      <c r="S94" s="35"/>
      <c r="T94" s="35"/>
      <c r="U94" s="35"/>
      <c r="V94" s="35"/>
      <c r="W94" s="35"/>
      <c r="X94" s="35"/>
      <c r="Y94" s="35"/>
      <c r="Z94" s="35"/>
      <c r="AA94" s="35"/>
    </row>
    <row r="95">
      <c r="A95" s="97"/>
      <c r="B95" s="76"/>
      <c r="C95" s="35"/>
      <c r="D95" s="82"/>
      <c r="E95" s="26"/>
      <c r="F95" s="51"/>
      <c r="G95" s="51"/>
      <c r="H95" s="51"/>
      <c r="I95" s="51"/>
      <c r="J95" s="27"/>
      <c r="K95" s="35"/>
      <c r="L95" s="35"/>
      <c r="M95" s="35"/>
      <c r="N95" s="35"/>
      <c r="O95" s="35"/>
      <c r="P95" s="35"/>
      <c r="Q95" s="35"/>
      <c r="R95" s="35"/>
      <c r="S95" s="35"/>
      <c r="T95" s="35"/>
      <c r="U95" s="35"/>
      <c r="V95" s="35"/>
      <c r="W95" s="35"/>
      <c r="X95" s="35"/>
      <c r="Y95" s="35"/>
      <c r="Z95" s="35"/>
      <c r="AA95" s="35"/>
    </row>
    <row r="96">
      <c r="A96" s="97"/>
      <c r="B96" s="76"/>
      <c r="C96" s="35"/>
      <c r="D96" s="82"/>
      <c r="E96" s="26"/>
      <c r="F96" s="51"/>
      <c r="G96" s="51"/>
      <c r="H96" s="51"/>
      <c r="I96" s="51"/>
      <c r="J96" s="27"/>
      <c r="K96" s="35"/>
      <c r="L96" s="35"/>
      <c r="M96" s="35"/>
      <c r="N96" s="35"/>
      <c r="O96" s="35"/>
      <c r="P96" s="35"/>
      <c r="Q96" s="35"/>
      <c r="R96" s="35"/>
      <c r="S96" s="35"/>
      <c r="T96" s="35"/>
      <c r="U96" s="35"/>
      <c r="V96" s="35"/>
      <c r="W96" s="35"/>
      <c r="X96" s="35"/>
      <c r="Y96" s="35"/>
      <c r="Z96" s="35"/>
      <c r="AA96" s="35"/>
    </row>
    <row r="97">
      <c r="A97" s="97"/>
      <c r="B97" s="76"/>
      <c r="C97" s="35"/>
      <c r="D97" s="82"/>
      <c r="E97" s="26"/>
      <c r="F97" s="51"/>
      <c r="G97" s="51"/>
      <c r="H97" s="51"/>
      <c r="I97" s="51"/>
      <c r="J97" s="27"/>
      <c r="K97" s="35"/>
      <c r="L97" s="35"/>
      <c r="M97" s="35"/>
      <c r="N97" s="35"/>
      <c r="O97" s="35"/>
      <c r="P97" s="35"/>
      <c r="Q97" s="35"/>
      <c r="R97" s="35"/>
      <c r="S97" s="35"/>
      <c r="T97" s="35"/>
      <c r="U97" s="35"/>
      <c r="V97" s="35"/>
      <c r="W97" s="35"/>
      <c r="X97" s="35"/>
      <c r="Y97" s="35"/>
      <c r="Z97" s="35"/>
      <c r="AA97" s="35"/>
    </row>
    <row r="98">
      <c r="A98" s="97"/>
      <c r="B98" s="76"/>
      <c r="C98" s="35"/>
      <c r="D98" s="82"/>
      <c r="E98" s="26"/>
      <c r="F98" s="51"/>
      <c r="G98" s="51"/>
      <c r="H98" s="51"/>
      <c r="I98" s="51"/>
      <c r="J98" s="27"/>
      <c r="K98" s="35"/>
      <c r="L98" s="35"/>
      <c r="M98" s="35"/>
      <c r="N98" s="35"/>
      <c r="O98" s="35"/>
      <c r="P98" s="35"/>
      <c r="Q98" s="35"/>
      <c r="R98" s="35"/>
      <c r="S98" s="35"/>
      <c r="T98" s="35"/>
      <c r="U98" s="35"/>
      <c r="V98" s="35"/>
      <c r="W98" s="35"/>
      <c r="X98" s="35"/>
      <c r="Y98" s="35"/>
      <c r="Z98" s="35"/>
      <c r="AA98" s="35"/>
    </row>
    <row r="99">
      <c r="A99" s="97"/>
      <c r="B99" s="76"/>
      <c r="C99" s="35"/>
      <c r="D99" s="82"/>
      <c r="E99" s="26"/>
      <c r="F99" s="51"/>
      <c r="G99" s="51"/>
      <c r="H99" s="51"/>
      <c r="I99" s="51"/>
      <c r="J99" s="27"/>
      <c r="K99" s="35"/>
      <c r="L99" s="35"/>
      <c r="M99" s="35"/>
      <c r="N99" s="35"/>
      <c r="O99" s="35"/>
      <c r="P99" s="35"/>
      <c r="Q99" s="35"/>
      <c r="R99" s="35"/>
      <c r="S99" s="35"/>
      <c r="T99" s="35"/>
      <c r="U99" s="35"/>
      <c r="V99" s="35"/>
      <c r="W99" s="35"/>
      <c r="X99" s="35"/>
      <c r="Y99" s="35"/>
      <c r="Z99" s="35"/>
      <c r="AA99" s="35"/>
    </row>
    <row r="100">
      <c r="A100" s="97"/>
      <c r="B100" s="76"/>
      <c r="C100" s="35"/>
      <c r="D100" s="82"/>
      <c r="E100" s="26"/>
      <c r="F100" s="51"/>
      <c r="G100" s="51"/>
      <c r="H100" s="51"/>
      <c r="I100" s="51"/>
      <c r="J100" s="27"/>
      <c r="K100" s="35"/>
      <c r="L100" s="35"/>
      <c r="M100" s="35"/>
      <c r="N100" s="35"/>
      <c r="O100" s="35"/>
      <c r="P100" s="35"/>
      <c r="Q100" s="35"/>
      <c r="R100" s="35"/>
      <c r="S100" s="35"/>
      <c r="T100" s="35"/>
      <c r="U100" s="35"/>
      <c r="V100" s="35"/>
      <c r="W100" s="35"/>
      <c r="X100" s="35"/>
      <c r="Y100" s="35"/>
      <c r="Z100" s="35"/>
      <c r="AA100" s="35"/>
    </row>
    <row r="101">
      <c r="A101" s="97"/>
      <c r="B101" s="76"/>
      <c r="C101" s="35"/>
      <c r="D101" s="82"/>
      <c r="E101" s="26"/>
      <c r="F101" s="51"/>
      <c r="G101" s="51"/>
      <c r="H101" s="51"/>
      <c r="I101" s="51"/>
      <c r="J101" s="27"/>
      <c r="K101" s="35"/>
      <c r="L101" s="35"/>
      <c r="M101" s="35"/>
      <c r="N101" s="35"/>
      <c r="O101" s="35"/>
      <c r="P101" s="35"/>
      <c r="Q101" s="35"/>
      <c r="R101" s="35"/>
      <c r="S101" s="35"/>
      <c r="T101" s="35"/>
      <c r="U101" s="35"/>
      <c r="V101" s="35"/>
      <c r="W101" s="35"/>
      <c r="X101" s="35"/>
      <c r="Y101" s="35"/>
      <c r="Z101" s="35"/>
      <c r="AA101" s="35"/>
    </row>
    <row r="102">
      <c r="A102" s="97"/>
      <c r="B102" s="76"/>
      <c r="C102" s="35"/>
      <c r="D102" s="82"/>
      <c r="E102" s="26"/>
      <c r="F102" s="51"/>
      <c r="G102" s="51"/>
      <c r="H102" s="51"/>
      <c r="I102" s="51"/>
      <c r="J102" s="27"/>
      <c r="K102" s="35"/>
      <c r="L102" s="35"/>
      <c r="M102" s="35"/>
      <c r="N102" s="35"/>
      <c r="O102" s="35"/>
      <c r="P102" s="35"/>
      <c r="Q102" s="35"/>
      <c r="R102" s="35"/>
      <c r="S102" s="35"/>
      <c r="T102" s="35"/>
      <c r="U102" s="35"/>
      <c r="V102" s="35"/>
      <c r="W102" s="35"/>
      <c r="X102" s="35"/>
      <c r="Y102" s="35"/>
      <c r="Z102" s="35"/>
      <c r="AA102" s="35"/>
    </row>
    <row r="103">
      <c r="A103" s="35"/>
      <c r="B103" s="27"/>
      <c r="C103" s="35"/>
      <c r="D103" s="82"/>
      <c r="E103" s="26"/>
      <c r="F103" s="51"/>
      <c r="G103" s="51"/>
      <c r="H103" s="51"/>
      <c r="I103" s="51"/>
      <c r="J103" s="27"/>
      <c r="K103" s="35"/>
      <c r="L103" s="35"/>
      <c r="M103" s="35"/>
      <c r="N103" s="35"/>
      <c r="O103" s="35"/>
      <c r="P103" s="35"/>
      <c r="Q103" s="35"/>
      <c r="R103" s="35"/>
      <c r="S103" s="35"/>
      <c r="T103" s="35"/>
      <c r="U103" s="35"/>
      <c r="V103" s="35"/>
      <c r="W103" s="35"/>
      <c r="X103" s="35"/>
      <c r="Y103" s="35"/>
      <c r="Z103" s="35"/>
      <c r="AA103" s="35"/>
    </row>
    <row r="104">
      <c r="A104" s="35"/>
      <c r="B104" s="27"/>
      <c r="C104" s="35"/>
      <c r="D104" s="82"/>
      <c r="E104" s="26"/>
      <c r="F104" s="51"/>
      <c r="G104" s="51"/>
      <c r="H104" s="51"/>
      <c r="I104" s="51"/>
      <c r="J104" s="27"/>
      <c r="K104" s="35"/>
      <c r="L104" s="35"/>
      <c r="M104" s="35"/>
      <c r="N104" s="35"/>
      <c r="O104" s="35"/>
      <c r="P104" s="35"/>
      <c r="Q104" s="35"/>
      <c r="R104" s="35"/>
      <c r="S104" s="35"/>
      <c r="T104" s="35"/>
      <c r="U104" s="35"/>
      <c r="V104" s="35"/>
      <c r="W104" s="35"/>
      <c r="X104" s="35"/>
      <c r="Y104" s="35"/>
      <c r="Z104" s="35"/>
      <c r="AA104" s="35"/>
    </row>
    <row r="105">
      <c r="A105" s="35"/>
      <c r="B105" s="27"/>
      <c r="C105" s="35"/>
      <c r="D105" s="82"/>
      <c r="E105" s="26"/>
      <c r="F105" s="51"/>
      <c r="G105" s="51"/>
      <c r="H105" s="51"/>
      <c r="I105" s="51"/>
      <c r="J105" s="27"/>
      <c r="K105" s="35"/>
      <c r="L105" s="35"/>
      <c r="M105" s="35"/>
      <c r="N105" s="35"/>
      <c r="O105" s="35"/>
      <c r="P105" s="35"/>
      <c r="Q105" s="35"/>
      <c r="R105" s="35"/>
      <c r="S105" s="35"/>
      <c r="T105" s="35"/>
      <c r="U105" s="35"/>
      <c r="V105" s="35"/>
      <c r="W105" s="35"/>
      <c r="X105" s="35"/>
      <c r="Y105" s="35"/>
      <c r="Z105" s="35"/>
      <c r="AA105" s="35"/>
    </row>
    <row r="106">
      <c r="A106" s="35"/>
      <c r="B106" s="27"/>
      <c r="C106" s="35"/>
      <c r="D106" s="82"/>
      <c r="E106" s="26"/>
      <c r="F106" s="51"/>
      <c r="G106" s="51"/>
      <c r="H106" s="51"/>
      <c r="I106" s="51"/>
      <c r="J106" s="27"/>
      <c r="K106" s="35"/>
      <c r="L106" s="35"/>
      <c r="M106" s="35"/>
      <c r="N106" s="35"/>
      <c r="O106" s="35"/>
      <c r="P106" s="35"/>
      <c r="Q106" s="35"/>
      <c r="R106" s="35"/>
      <c r="S106" s="35"/>
      <c r="T106" s="35"/>
      <c r="U106" s="35"/>
      <c r="V106" s="35"/>
      <c r="W106" s="35"/>
      <c r="X106" s="35"/>
      <c r="Y106" s="35"/>
      <c r="Z106" s="35"/>
      <c r="AA106" s="35"/>
    </row>
    <row r="107">
      <c r="A107" s="35"/>
      <c r="B107" s="27"/>
      <c r="C107" s="35"/>
      <c r="D107" s="82"/>
      <c r="E107" s="26"/>
      <c r="F107" s="51"/>
      <c r="G107" s="51"/>
      <c r="H107" s="51"/>
      <c r="I107" s="51"/>
      <c r="J107" s="27"/>
      <c r="K107" s="35"/>
      <c r="L107" s="35"/>
      <c r="M107" s="35"/>
      <c r="N107" s="35"/>
      <c r="O107" s="35"/>
      <c r="P107" s="35"/>
      <c r="Q107" s="35"/>
      <c r="R107" s="35"/>
      <c r="S107" s="35"/>
      <c r="T107" s="35"/>
      <c r="U107" s="35"/>
      <c r="V107" s="35"/>
      <c r="W107" s="35"/>
      <c r="X107" s="35"/>
      <c r="Y107" s="35"/>
      <c r="Z107" s="35"/>
      <c r="AA107" s="35"/>
    </row>
    <row r="108">
      <c r="A108" s="35"/>
      <c r="B108" s="27"/>
      <c r="C108" s="35"/>
      <c r="D108" s="82"/>
      <c r="E108" s="26"/>
      <c r="F108" s="51"/>
      <c r="G108" s="51"/>
      <c r="H108" s="51"/>
      <c r="I108" s="51"/>
      <c r="J108" s="27"/>
      <c r="K108" s="35"/>
      <c r="L108" s="35"/>
      <c r="M108" s="35"/>
      <c r="N108" s="35"/>
      <c r="O108" s="35"/>
      <c r="P108" s="35"/>
      <c r="Q108" s="35"/>
      <c r="R108" s="35"/>
      <c r="S108" s="35"/>
      <c r="T108" s="35"/>
      <c r="U108" s="35"/>
      <c r="V108" s="35"/>
      <c r="W108" s="35"/>
      <c r="X108" s="35"/>
      <c r="Y108" s="35"/>
      <c r="Z108" s="35"/>
      <c r="AA108" s="35"/>
    </row>
    <row r="109">
      <c r="A109" s="35"/>
      <c r="B109" s="27"/>
      <c r="C109" s="35"/>
      <c r="D109" s="82"/>
      <c r="E109" s="26"/>
      <c r="F109" s="51"/>
      <c r="G109" s="51"/>
      <c r="H109" s="51"/>
      <c r="I109" s="51"/>
      <c r="J109" s="27"/>
      <c r="K109" s="35"/>
      <c r="L109" s="35"/>
      <c r="M109" s="35"/>
      <c r="N109" s="35"/>
      <c r="O109" s="35"/>
      <c r="P109" s="35"/>
      <c r="Q109" s="35"/>
      <c r="R109" s="35"/>
      <c r="S109" s="35"/>
      <c r="T109" s="35"/>
      <c r="U109" s="35"/>
      <c r="V109" s="35"/>
      <c r="W109" s="35"/>
      <c r="X109" s="35"/>
      <c r="Y109" s="35"/>
      <c r="Z109" s="35"/>
      <c r="AA109" s="35"/>
    </row>
    <row r="110">
      <c r="A110" s="35"/>
      <c r="B110" s="27"/>
      <c r="C110" s="35"/>
      <c r="D110" s="82"/>
      <c r="E110" s="26"/>
      <c r="F110" s="51"/>
      <c r="G110" s="51"/>
      <c r="H110" s="51"/>
      <c r="I110" s="51"/>
      <c r="J110" s="27"/>
      <c r="K110" s="35"/>
      <c r="L110" s="35"/>
      <c r="M110" s="35"/>
      <c r="N110" s="35"/>
      <c r="O110" s="35"/>
      <c r="P110" s="35"/>
      <c r="Q110" s="35"/>
      <c r="R110" s="35"/>
      <c r="S110" s="35"/>
      <c r="T110" s="35"/>
      <c r="U110" s="35"/>
      <c r="V110" s="35"/>
      <c r="W110" s="35"/>
      <c r="X110" s="35"/>
      <c r="Y110" s="35"/>
      <c r="Z110" s="35"/>
      <c r="AA110" s="35"/>
    </row>
    <row r="111">
      <c r="A111" s="35"/>
      <c r="B111" s="27"/>
      <c r="C111" s="35"/>
      <c r="D111" s="82"/>
      <c r="E111" s="26"/>
      <c r="F111" s="51"/>
      <c r="G111" s="51"/>
      <c r="H111" s="51"/>
      <c r="I111" s="51"/>
      <c r="J111" s="27"/>
      <c r="K111" s="35"/>
      <c r="L111" s="35"/>
      <c r="M111" s="35"/>
      <c r="N111" s="35"/>
      <c r="O111" s="35"/>
      <c r="P111" s="35"/>
      <c r="Q111" s="35"/>
      <c r="R111" s="35"/>
      <c r="S111" s="35"/>
      <c r="T111" s="35"/>
      <c r="U111" s="35"/>
      <c r="V111" s="35"/>
      <c r="W111" s="35"/>
      <c r="X111" s="35"/>
      <c r="Y111" s="35"/>
      <c r="Z111" s="35"/>
      <c r="AA111" s="35"/>
    </row>
    <row r="112">
      <c r="A112" s="35"/>
      <c r="B112" s="27"/>
      <c r="C112" s="35"/>
      <c r="D112" s="82"/>
      <c r="E112" s="26"/>
      <c r="F112" s="51"/>
      <c r="G112" s="51"/>
      <c r="H112" s="51"/>
      <c r="I112" s="51"/>
      <c r="J112" s="27"/>
      <c r="K112" s="35"/>
      <c r="L112" s="35"/>
      <c r="M112" s="35"/>
      <c r="N112" s="35"/>
      <c r="O112" s="35"/>
      <c r="P112" s="35"/>
      <c r="Q112" s="35"/>
      <c r="R112" s="35"/>
      <c r="S112" s="35"/>
      <c r="T112" s="35"/>
      <c r="U112" s="35"/>
      <c r="V112" s="35"/>
      <c r="W112" s="35"/>
      <c r="X112" s="35"/>
      <c r="Y112" s="35"/>
      <c r="Z112" s="35"/>
      <c r="AA112" s="35"/>
    </row>
    <row r="113">
      <c r="A113" s="35"/>
      <c r="B113" s="27"/>
      <c r="C113" s="35"/>
      <c r="D113" s="82"/>
      <c r="E113" s="26"/>
      <c r="F113" s="51"/>
      <c r="G113" s="51"/>
      <c r="H113" s="51"/>
      <c r="I113" s="51"/>
      <c r="J113" s="27"/>
      <c r="K113" s="35"/>
      <c r="L113" s="35"/>
      <c r="M113" s="35"/>
      <c r="N113" s="35"/>
      <c r="O113" s="35"/>
      <c r="P113" s="35"/>
      <c r="Q113" s="35"/>
      <c r="R113" s="35"/>
      <c r="S113" s="35"/>
      <c r="T113" s="35"/>
      <c r="U113" s="35"/>
      <c r="V113" s="35"/>
      <c r="W113" s="35"/>
      <c r="X113" s="35"/>
      <c r="Y113" s="35"/>
      <c r="Z113" s="35"/>
      <c r="AA113" s="35"/>
    </row>
    <row r="114">
      <c r="A114" s="35"/>
      <c r="B114" s="27"/>
      <c r="C114" s="35"/>
      <c r="D114" s="82"/>
      <c r="E114" s="26"/>
      <c r="F114" s="51"/>
      <c r="G114" s="51"/>
      <c r="H114" s="51"/>
      <c r="I114" s="51"/>
      <c r="J114" s="27"/>
      <c r="K114" s="35"/>
      <c r="L114" s="35"/>
      <c r="M114" s="35"/>
      <c r="N114" s="35"/>
      <c r="O114" s="35"/>
      <c r="P114" s="35"/>
      <c r="Q114" s="35"/>
      <c r="R114" s="35"/>
      <c r="S114" s="35"/>
      <c r="T114" s="35"/>
      <c r="U114" s="35"/>
      <c r="V114" s="35"/>
      <c r="W114" s="35"/>
      <c r="X114" s="35"/>
      <c r="Y114" s="35"/>
      <c r="Z114" s="35"/>
      <c r="AA114" s="35"/>
    </row>
    <row r="115">
      <c r="A115" s="35"/>
      <c r="B115" s="27"/>
      <c r="C115" s="35"/>
      <c r="D115" s="82"/>
      <c r="E115" s="26"/>
      <c r="F115" s="51"/>
      <c r="G115" s="51"/>
      <c r="H115" s="51"/>
      <c r="I115" s="51"/>
      <c r="J115" s="27"/>
      <c r="K115" s="35"/>
      <c r="L115" s="35"/>
      <c r="M115" s="35"/>
      <c r="N115" s="35"/>
      <c r="O115" s="35"/>
      <c r="P115" s="35"/>
      <c r="Q115" s="35"/>
      <c r="R115" s="35"/>
      <c r="S115" s="35"/>
      <c r="T115" s="35"/>
      <c r="U115" s="35"/>
      <c r="V115" s="35"/>
      <c r="W115" s="35"/>
      <c r="X115" s="35"/>
      <c r="Y115" s="35"/>
      <c r="Z115" s="35"/>
      <c r="AA115" s="35"/>
    </row>
    <row r="116">
      <c r="A116" s="35"/>
      <c r="B116" s="27"/>
      <c r="C116" s="35"/>
      <c r="D116" s="82"/>
      <c r="E116" s="26"/>
      <c r="F116" s="51"/>
      <c r="G116" s="51"/>
      <c r="H116" s="51"/>
      <c r="I116" s="51"/>
      <c r="J116" s="27"/>
      <c r="K116" s="35"/>
      <c r="L116" s="35"/>
      <c r="M116" s="35"/>
      <c r="N116" s="35"/>
      <c r="O116" s="35"/>
      <c r="P116" s="35"/>
      <c r="Q116" s="35"/>
      <c r="R116" s="35"/>
      <c r="S116" s="35"/>
      <c r="T116" s="35"/>
      <c r="U116" s="35"/>
      <c r="V116" s="35"/>
      <c r="W116" s="35"/>
      <c r="X116" s="35"/>
      <c r="Y116" s="35"/>
      <c r="Z116" s="35"/>
      <c r="AA116" s="35"/>
    </row>
    <row r="117">
      <c r="A117" s="35"/>
      <c r="B117" s="27"/>
      <c r="C117" s="35"/>
      <c r="D117" s="82"/>
      <c r="E117" s="26"/>
      <c r="F117" s="51"/>
      <c r="G117" s="51"/>
      <c r="H117" s="51"/>
      <c r="I117" s="51"/>
      <c r="J117" s="27"/>
      <c r="K117" s="35"/>
      <c r="L117" s="35"/>
      <c r="M117" s="35"/>
      <c r="N117" s="35"/>
      <c r="O117" s="35"/>
      <c r="P117" s="35"/>
      <c r="Q117" s="35"/>
      <c r="R117" s="35"/>
      <c r="S117" s="35"/>
      <c r="T117" s="35"/>
      <c r="U117" s="35"/>
      <c r="V117" s="35"/>
      <c r="W117" s="35"/>
      <c r="X117" s="35"/>
      <c r="Y117" s="35"/>
      <c r="Z117" s="35"/>
      <c r="AA117" s="35"/>
    </row>
    <row r="118">
      <c r="A118" s="35"/>
      <c r="B118" s="27"/>
      <c r="C118" s="35"/>
      <c r="D118" s="82"/>
      <c r="E118" s="26"/>
      <c r="F118" s="51"/>
      <c r="G118" s="51"/>
      <c r="H118" s="51"/>
      <c r="I118" s="51"/>
      <c r="J118" s="27"/>
      <c r="K118" s="35"/>
      <c r="L118" s="35"/>
      <c r="M118" s="35"/>
      <c r="N118" s="35"/>
      <c r="O118" s="35"/>
      <c r="P118" s="35"/>
      <c r="Q118" s="35"/>
      <c r="R118" s="35"/>
      <c r="S118" s="35"/>
      <c r="T118" s="35"/>
      <c r="U118" s="35"/>
      <c r="V118" s="35"/>
      <c r="W118" s="35"/>
      <c r="X118" s="35"/>
      <c r="Y118" s="35"/>
      <c r="Z118" s="35"/>
      <c r="AA118" s="35"/>
    </row>
    <row r="119">
      <c r="A119" s="35"/>
      <c r="B119" s="27"/>
      <c r="C119" s="35"/>
      <c r="D119" s="82"/>
      <c r="E119" s="26"/>
      <c r="F119" s="51"/>
      <c r="G119" s="51"/>
      <c r="H119" s="51"/>
      <c r="I119" s="51"/>
      <c r="J119" s="27"/>
      <c r="K119" s="35"/>
      <c r="L119" s="35"/>
      <c r="M119" s="35"/>
      <c r="N119" s="35"/>
      <c r="O119" s="35"/>
      <c r="P119" s="35"/>
      <c r="Q119" s="35"/>
      <c r="R119" s="35"/>
      <c r="S119" s="35"/>
      <c r="T119" s="35"/>
      <c r="U119" s="35"/>
      <c r="V119" s="35"/>
      <c r="W119" s="35"/>
      <c r="X119" s="35"/>
      <c r="Y119" s="35"/>
      <c r="Z119" s="35"/>
      <c r="AA119" s="35"/>
    </row>
    <row r="120">
      <c r="A120" s="35"/>
      <c r="B120" s="27"/>
      <c r="C120" s="35"/>
      <c r="D120" s="82"/>
      <c r="E120" s="26"/>
      <c r="F120" s="51"/>
      <c r="G120" s="51"/>
      <c r="H120" s="51"/>
      <c r="I120" s="51"/>
      <c r="J120" s="27"/>
      <c r="K120" s="35"/>
      <c r="L120" s="35"/>
      <c r="M120" s="35"/>
      <c r="N120" s="35"/>
      <c r="O120" s="35"/>
      <c r="P120" s="35"/>
      <c r="Q120" s="35"/>
      <c r="R120" s="35"/>
      <c r="S120" s="35"/>
      <c r="T120" s="35"/>
      <c r="U120" s="35"/>
      <c r="V120" s="35"/>
      <c r="W120" s="35"/>
      <c r="X120" s="35"/>
      <c r="Y120" s="35"/>
      <c r="Z120" s="35"/>
      <c r="AA120" s="35"/>
    </row>
    <row r="121">
      <c r="A121" s="35"/>
      <c r="B121" s="27"/>
      <c r="C121" s="35"/>
      <c r="D121" s="82"/>
      <c r="E121" s="26"/>
      <c r="F121" s="51"/>
      <c r="G121" s="51"/>
      <c r="H121" s="51"/>
      <c r="I121" s="51"/>
      <c r="J121" s="27"/>
      <c r="K121" s="35"/>
      <c r="L121" s="35"/>
      <c r="M121" s="35"/>
      <c r="N121" s="35"/>
      <c r="O121" s="35"/>
      <c r="P121" s="35"/>
      <c r="Q121" s="35"/>
      <c r="R121" s="35"/>
      <c r="S121" s="35"/>
      <c r="T121" s="35"/>
      <c r="U121" s="35"/>
      <c r="V121" s="35"/>
      <c r="W121" s="35"/>
      <c r="X121" s="35"/>
      <c r="Y121" s="35"/>
      <c r="Z121" s="35"/>
      <c r="AA121" s="35"/>
    </row>
    <row r="122">
      <c r="A122" s="35"/>
      <c r="B122" s="27"/>
      <c r="C122" s="35"/>
      <c r="D122" s="35"/>
      <c r="E122" s="26"/>
      <c r="F122" s="51"/>
      <c r="G122" s="51"/>
      <c r="H122" s="51"/>
      <c r="I122" s="51"/>
      <c r="J122" s="27"/>
      <c r="K122" s="35"/>
      <c r="L122" s="35"/>
      <c r="M122" s="35"/>
      <c r="N122" s="35"/>
      <c r="O122" s="35"/>
      <c r="P122" s="35"/>
      <c r="Q122" s="35"/>
      <c r="R122" s="35"/>
      <c r="S122" s="35"/>
      <c r="T122" s="35"/>
      <c r="U122" s="35"/>
      <c r="V122" s="35"/>
      <c r="W122" s="35"/>
      <c r="X122" s="35"/>
      <c r="Y122" s="35"/>
      <c r="Z122" s="35"/>
      <c r="AA122" s="35"/>
    </row>
    <row r="123">
      <c r="A123" s="35"/>
      <c r="B123" s="27"/>
      <c r="C123" s="35"/>
      <c r="D123" s="35"/>
      <c r="E123" s="26"/>
      <c r="F123" s="51"/>
      <c r="G123" s="51"/>
      <c r="H123" s="51"/>
      <c r="I123" s="51"/>
      <c r="J123" s="27"/>
      <c r="K123" s="35"/>
      <c r="L123" s="35"/>
      <c r="M123" s="35"/>
      <c r="N123" s="35"/>
      <c r="O123" s="35"/>
      <c r="P123" s="35"/>
      <c r="Q123" s="35"/>
      <c r="R123" s="35"/>
      <c r="S123" s="35"/>
      <c r="T123" s="35"/>
      <c r="U123" s="35"/>
      <c r="V123" s="35"/>
      <c r="W123" s="35"/>
      <c r="X123" s="35"/>
      <c r="Y123" s="35"/>
      <c r="Z123" s="35"/>
      <c r="AA123" s="35"/>
    </row>
    <row r="124">
      <c r="A124" s="35"/>
      <c r="B124" s="27"/>
      <c r="C124" s="35"/>
      <c r="D124" s="35"/>
      <c r="E124" s="26"/>
      <c r="F124" s="51"/>
      <c r="G124" s="51"/>
      <c r="H124" s="51"/>
      <c r="I124" s="51"/>
      <c r="J124" s="27"/>
      <c r="K124" s="35"/>
      <c r="L124" s="35"/>
      <c r="M124" s="35"/>
      <c r="N124" s="35"/>
      <c r="O124" s="35"/>
      <c r="P124" s="35"/>
      <c r="Q124" s="35"/>
      <c r="R124" s="35"/>
      <c r="S124" s="35"/>
      <c r="T124" s="35"/>
      <c r="U124" s="35"/>
      <c r="V124" s="35"/>
      <c r="W124" s="35"/>
      <c r="X124" s="35"/>
      <c r="Y124" s="35"/>
      <c r="Z124" s="35"/>
      <c r="AA124" s="35"/>
    </row>
    <row r="125">
      <c r="A125" s="35"/>
      <c r="B125" s="27"/>
      <c r="C125" s="35"/>
      <c r="D125" s="35"/>
      <c r="E125" s="26"/>
      <c r="F125" s="51"/>
      <c r="G125" s="51"/>
      <c r="H125" s="51"/>
      <c r="I125" s="51"/>
      <c r="J125" s="27"/>
      <c r="K125" s="35"/>
      <c r="L125" s="35"/>
      <c r="M125" s="35"/>
      <c r="N125" s="35"/>
      <c r="O125" s="35"/>
      <c r="P125" s="35"/>
      <c r="Q125" s="35"/>
      <c r="R125" s="35"/>
      <c r="S125" s="35"/>
      <c r="T125" s="35"/>
      <c r="U125" s="35"/>
      <c r="V125" s="35"/>
      <c r="W125" s="35"/>
      <c r="X125" s="35"/>
      <c r="Y125" s="35"/>
      <c r="Z125" s="35"/>
      <c r="AA125" s="35"/>
    </row>
    <row r="126">
      <c r="A126" s="35"/>
      <c r="B126" s="27"/>
      <c r="C126" s="35"/>
      <c r="D126" s="35"/>
      <c r="E126" s="26"/>
      <c r="F126" s="51"/>
      <c r="G126" s="51"/>
      <c r="H126" s="51"/>
      <c r="I126" s="51"/>
      <c r="J126" s="27"/>
      <c r="K126" s="35"/>
      <c r="L126" s="35"/>
      <c r="M126" s="35"/>
      <c r="N126" s="35"/>
      <c r="O126" s="35"/>
      <c r="P126" s="35"/>
      <c r="Q126" s="35"/>
      <c r="R126" s="35"/>
      <c r="S126" s="35"/>
      <c r="T126" s="35"/>
      <c r="U126" s="35"/>
      <c r="V126" s="35"/>
      <c r="W126" s="35"/>
      <c r="X126" s="35"/>
      <c r="Y126" s="35"/>
      <c r="Z126" s="35"/>
      <c r="AA126" s="35"/>
    </row>
    <row r="127">
      <c r="A127" s="35"/>
      <c r="B127" s="27"/>
      <c r="C127" s="35"/>
      <c r="D127" s="35"/>
      <c r="E127" s="26"/>
      <c r="F127" s="51"/>
      <c r="G127" s="51"/>
      <c r="H127" s="51"/>
      <c r="I127" s="51"/>
      <c r="J127" s="27"/>
      <c r="K127" s="35"/>
      <c r="L127" s="35"/>
      <c r="M127" s="35"/>
      <c r="N127" s="35"/>
      <c r="O127" s="35"/>
      <c r="P127" s="35"/>
      <c r="Q127" s="35"/>
      <c r="R127" s="35"/>
      <c r="S127" s="35"/>
      <c r="T127" s="35"/>
      <c r="U127" s="35"/>
      <c r="V127" s="35"/>
      <c r="W127" s="35"/>
      <c r="X127" s="35"/>
      <c r="Y127" s="35"/>
      <c r="Z127" s="35"/>
      <c r="AA127" s="35"/>
    </row>
    <row r="128">
      <c r="A128" s="35"/>
      <c r="B128" s="27"/>
      <c r="C128" s="35"/>
      <c r="D128" s="35"/>
      <c r="E128" s="26"/>
      <c r="F128" s="51"/>
      <c r="G128" s="51"/>
      <c r="H128" s="51"/>
      <c r="I128" s="51"/>
      <c r="J128" s="27"/>
      <c r="K128" s="35"/>
      <c r="L128" s="35"/>
      <c r="M128" s="35"/>
      <c r="N128" s="35"/>
      <c r="O128" s="35"/>
      <c r="P128" s="35"/>
      <c r="Q128" s="35"/>
      <c r="R128" s="35"/>
      <c r="S128" s="35"/>
      <c r="T128" s="35"/>
      <c r="U128" s="35"/>
      <c r="V128" s="35"/>
      <c r="W128" s="35"/>
      <c r="X128" s="35"/>
      <c r="Y128" s="35"/>
      <c r="Z128" s="35"/>
      <c r="AA128" s="35"/>
    </row>
    <row r="129">
      <c r="A129" s="35"/>
      <c r="B129" s="27"/>
      <c r="C129" s="35"/>
      <c r="D129" s="35"/>
      <c r="E129" s="26"/>
      <c r="F129" s="51"/>
      <c r="G129" s="51"/>
      <c r="H129" s="51"/>
      <c r="I129" s="51"/>
      <c r="J129" s="27"/>
      <c r="K129" s="35"/>
      <c r="L129" s="35"/>
      <c r="M129" s="35"/>
      <c r="N129" s="35"/>
      <c r="O129" s="35"/>
      <c r="P129" s="35"/>
      <c r="Q129" s="35"/>
      <c r="R129" s="35"/>
      <c r="S129" s="35"/>
      <c r="T129" s="35"/>
      <c r="U129" s="35"/>
      <c r="V129" s="35"/>
      <c r="W129" s="35"/>
      <c r="X129" s="35"/>
      <c r="Y129" s="35"/>
      <c r="Z129" s="35"/>
      <c r="AA129" s="35"/>
    </row>
    <row r="130">
      <c r="A130" s="35"/>
      <c r="B130" s="27"/>
      <c r="C130" s="35"/>
      <c r="D130" s="35"/>
      <c r="E130" s="26"/>
      <c r="F130" s="51"/>
      <c r="G130" s="51"/>
      <c r="H130" s="51"/>
      <c r="I130" s="51"/>
      <c r="J130" s="27"/>
      <c r="K130" s="35"/>
      <c r="L130" s="35"/>
      <c r="M130" s="35"/>
      <c r="N130" s="35"/>
      <c r="O130" s="35"/>
      <c r="P130" s="35"/>
      <c r="Q130" s="35"/>
      <c r="R130" s="35"/>
      <c r="S130" s="35"/>
      <c r="T130" s="35"/>
      <c r="U130" s="35"/>
      <c r="V130" s="35"/>
      <c r="W130" s="35"/>
      <c r="X130" s="35"/>
      <c r="Y130" s="35"/>
      <c r="Z130" s="35"/>
      <c r="AA130" s="35"/>
    </row>
    <row r="131">
      <c r="A131" s="35"/>
      <c r="B131" s="27"/>
      <c r="C131" s="35"/>
      <c r="D131" s="35"/>
      <c r="E131" s="26"/>
      <c r="F131" s="51"/>
      <c r="G131" s="51"/>
      <c r="H131" s="51"/>
      <c r="I131" s="51"/>
      <c r="J131" s="27"/>
      <c r="K131" s="35"/>
      <c r="L131" s="35"/>
      <c r="M131" s="35"/>
      <c r="N131" s="35"/>
      <c r="O131" s="35"/>
      <c r="P131" s="35"/>
      <c r="Q131" s="35"/>
      <c r="R131" s="35"/>
      <c r="S131" s="35"/>
      <c r="T131" s="35"/>
      <c r="U131" s="35"/>
      <c r="V131" s="35"/>
      <c r="W131" s="35"/>
      <c r="X131" s="35"/>
      <c r="Y131" s="35"/>
      <c r="Z131" s="35"/>
      <c r="AA131" s="35"/>
    </row>
    <row r="132">
      <c r="A132" s="35"/>
      <c r="B132" s="27"/>
      <c r="C132" s="35"/>
      <c r="D132" s="35"/>
      <c r="E132" s="26"/>
      <c r="F132" s="51"/>
      <c r="G132" s="51"/>
      <c r="H132" s="51"/>
      <c r="I132" s="51"/>
      <c r="J132" s="27"/>
      <c r="K132" s="35"/>
      <c r="L132" s="35"/>
      <c r="M132" s="35"/>
      <c r="N132" s="35"/>
      <c r="O132" s="35"/>
      <c r="P132" s="35"/>
      <c r="Q132" s="35"/>
      <c r="R132" s="35"/>
      <c r="S132" s="35"/>
      <c r="T132" s="35"/>
      <c r="U132" s="35"/>
      <c r="V132" s="35"/>
      <c r="W132" s="35"/>
      <c r="X132" s="35"/>
      <c r="Y132" s="35"/>
      <c r="Z132" s="35"/>
      <c r="AA132" s="35"/>
    </row>
    <row r="133">
      <c r="A133" s="35"/>
      <c r="B133" s="27"/>
      <c r="C133" s="35"/>
      <c r="D133" s="35"/>
      <c r="E133" s="26"/>
      <c r="F133" s="51"/>
      <c r="G133" s="51"/>
      <c r="H133" s="51"/>
      <c r="I133" s="51"/>
      <c r="J133" s="27"/>
      <c r="K133" s="35"/>
      <c r="L133" s="35"/>
      <c r="M133" s="35"/>
      <c r="N133" s="35"/>
      <c r="O133" s="35"/>
      <c r="P133" s="35"/>
      <c r="Q133" s="35"/>
      <c r="R133" s="35"/>
      <c r="S133" s="35"/>
      <c r="T133" s="35"/>
      <c r="U133" s="35"/>
      <c r="V133" s="35"/>
      <c r="W133" s="35"/>
      <c r="X133" s="35"/>
      <c r="Y133" s="35"/>
      <c r="Z133" s="35"/>
      <c r="AA133" s="35"/>
    </row>
    <row r="134">
      <c r="A134" s="35"/>
      <c r="B134" s="27"/>
      <c r="C134" s="35"/>
      <c r="D134" s="35"/>
      <c r="E134" s="26"/>
      <c r="F134" s="51"/>
      <c r="G134" s="51"/>
      <c r="H134" s="51"/>
      <c r="I134" s="51"/>
      <c r="J134" s="27"/>
      <c r="K134" s="35"/>
      <c r="L134" s="35"/>
      <c r="M134" s="35"/>
      <c r="N134" s="35"/>
      <c r="O134" s="35"/>
      <c r="P134" s="35"/>
      <c r="Q134" s="35"/>
      <c r="R134" s="35"/>
      <c r="S134" s="35"/>
      <c r="T134" s="35"/>
      <c r="U134" s="35"/>
      <c r="V134" s="35"/>
      <c r="W134" s="35"/>
      <c r="X134" s="35"/>
      <c r="Y134" s="35"/>
      <c r="Z134" s="35"/>
      <c r="AA134" s="35"/>
    </row>
    <row r="135">
      <c r="A135" s="35"/>
      <c r="B135" s="27"/>
      <c r="C135" s="35"/>
      <c r="D135" s="35"/>
      <c r="E135" s="26"/>
      <c r="F135" s="51"/>
      <c r="G135" s="51"/>
      <c r="H135" s="51"/>
      <c r="I135" s="51"/>
      <c r="J135" s="27"/>
      <c r="K135" s="35"/>
      <c r="L135" s="35"/>
      <c r="M135" s="35"/>
      <c r="N135" s="35"/>
      <c r="O135" s="35"/>
      <c r="P135" s="35"/>
      <c r="Q135" s="35"/>
      <c r="R135" s="35"/>
      <c r="S135" s="35"/>
      <c r="T135" s="35"/>
      <c r="U135" s="35"/>
      <c r="V135" s="35"/>
      <c r="W135" s="35"/>
      <c r="X135" s="35"/>
      <c r="Y135" s="35"/>
      <c r="Z135" s="35"/>
      <c r="AA135" s="35"/>
    </row>
    <row r="136">
      <c r="A136" s="35"/>
      <c r="B136" s="27"/>
      <c r="C136" s="35"/>
      <c r="D136" s="35"/>
      <c r="E136" s="26"/>
      <c r="F136" s="51"/>
      <c r="G136" s="51"/>
      <c r="H136" s="51"/>
      <c r="I136" s="51"/>
      <c r="J136" s="27"/>
      <c r="K136" s="35"/>
      <c r="L136" s="35"/>
      <c r="M136" s="35"/>
      <c r="N136" s="35"/>
      <c r="O136" s="35"/>
      <c r="P136" s="35"/>
      <c r="Q136" s="35"/>
      <c r="R136" s="35"/>
      <c r="S136" s="35"/>
      <c r="T136" s="35"/>
      <c r="U136" s="35"/>
      <c r="V136" s="35"/>
      <c r="W136" s="35"/>
      <c r="X136" s="35"/>
      <c r="Y136" s="35"/>
      <c r="Z136" s="35"/>
      <c r="AA136" s="35"/>
    </row>
    <row r="137">
      <c r="A137" s="35"/>
      <c r="B137" s="27"/>
      <c r="C137" s="35"/>
      <c r="D137" s="35"/>
      <c r="E137" s="26"/>
      <c r="F137" s="51"/>
      <c r="G137" s="51"/>
      <c r="H137" s="51"/>
      <c r="I137" s="51"/>
      <c r="J137" s="27"/>
      <c r="K137" s="35"/>
      <c r="L137" s="35"/>
      <c r="M137" s="35"/>
      <c r="N137" s="35"/>
      <c r="O137" s="35"/>
      <c r="P137" s="35"/>
      <c r="Q137" s="35"/>
      <c r="R137" s="35"/>
      <c r="S137" s="35"/>
      <c r="T137" s="35"/>
      <c r="U137" s="35"/>
      <c r="V137" s="35"/>
      <c r="W137" s="35"/>
      <c r="X137" s="35"/>
      <c r="Y137" s="35"/>
      <c r="Z137" s="35"/>
      <c r="AA137" s="35"/>
    </row>
    <row r="138">
      <c r="A138" s="35"/>
      <c r="B138" s="27"/>
      <c r="C138" s="35"/>
      <c r="D138" s="35"/>
      <c r="E138" s="26"/>
      <c r="F138" s="51"/>
      <c r="G138" s="51"/>
      <c r="H138" s="51"/>
      <c r="I138" s="51"/>
      <c r="J138" s="27"/>
      <c r="K138" s="35"/>
      <c r="L138" s="35"/>
      <c r="M138" s="35"/>
      <c r="N138" s="35"/>
      <c r="O138" s="35"/>
      <c r="P138" s="35"/>
      <c r="Q138" s="35"/>
      <c r="R138" s="35"/>
      <c r="S138" s="35"/>
      <c r="T138" s="35"/>
      <c r="U138" s="35"/>
      <c r="V138" s="35"/>
      <c r="W138" s="35"/>
      <c r="X138" s="35"/>
      <c r="Y138" s="35"/>
      <c r="Z138" s="35"/>
      <c r="AA138" s="35"/>
    </row>
    <row r="139">
      <c r="A139" s="35"/>
      <c r="B139" s="27"/>
      <c r="C139" s="35"/>
      <c r="D139" s="35"/>
      <c r="E139" s="26"/>
      <c r="F139" s="51"/>
      <c r="G139" s="51"/>
      <c r="H139" s="51"/>
      <c r="I139" s="51"/>
      <c r="J139" s="27"/>
      <c r="K139" s="35"/>
      <c r="L139" s="35"/>
      <c r="M139" s="35"/>
      <c r="N139" s="35"/>
      <c r="O139" s="35"/>
      <c r="P139" s="35"/>
      <c r="Q139" s="35"/>
      <c r="R139" s="35"/>
      <c r="S139" s="35"/>
      <c r="T139" s="35"/>
      <c r="U139" s="35"/>
      <c r="V139" s="35"/>
      <c r="W139" s="35"/>
      <c r="X139" s="35"/>
      <c r="Y139" s="35"/>
      <c r="Z139" s="35"/>
      <c r="AA139" s="35"/>
    </row>
    <row r="140">
      <c r="A140" s="35"/>
      <c r="B140" s="27"/>
      <c r="C140" s="35"/>
      <c r="D140" s="35"/>
      <c r="E140" s="26"/>
      <c r="F140" s="51"/>
      <c r="G140" s="51"/>
      <c r="H140" s="51"/>
      <c r="I140" s="51"/>
      <c r="J140" s="27"/>
      <c r="K140" s="35"/>
      <c r="L140" s="35"/>
      <c r="M140" s="35"/>
      <c r="N140" s="35"/>
      <c r="O140" s="35"/>
      <c r="P140" s="35"/>
      <c r="Q140" s="35"/>
      <c r="R140" s="35"/>
      <c r="S140" s="35"/>
      <c r="T140" s="35"/>
      <c r="U140" s="35"/>
      <c r="V140" s="35"/>
      <c r="W140" s="35"/>
      <c r="X140" s="35"/>
      <c r="Y140" s="35"/>
      <c r="Z140" s="35"/>
      <c r="AA140" s="35"/>
    </row>
    <row r="141">
      <c r="A141" s="35"/>
      <c r="B141" s="27"/>
      <c r="C141" s="35"/>
      <c r="D141" s="35"/>
      <c r="E141" s="26"/>
      <c r="F141" s="51"/>
      <c r="G141" s="51"/>
      <c r="H141" s="51"/>
      <c r="I141" s="51"/>
      <c r="J141" s="27"/>
      <c r="K141" s="35"/>
      <c r="L141" s="35"/>
      <c r="M141" s="35"/>
      <c r="N141" s="35"/>
      <c r="O141" s="35"/>
      <c r="P141" s="35"/>
      <c r="Q141" s="35"/>
      <c r="R141" s="35"/>
      <c r="S141" s="35"/>
      <c r="T141" s="35"/>
      <c r="U141" s="35"/>
      <c r="V141" s="35"/>
      <c r="W141" s="35"/>
      <c r="X141" s="35"/>
      <c r="Y141" s="35"/>
      <c r="Z141" s="35"/>
      <c r="AA141" s="35"/>
    </row>
    <row r="142">
      <c r="A142" s="35"/>
      <c r="B142" s="27"/>
      <c r="C142" s="35"/>
      <c r="D142" s="35"/>
      <c r="E142" s="26"/>
      <c r="F142" s="51"/>
      <c r="G142" s="51"/>
      <c r="H142" s="51"/>
      <c r="I142" s="51"/>
      <c r="J142" s="27"/>
      <c r="K142" s="35"/>
      <c r="L142" s="35"/>
      <c r="M142" s="35"/>
      <c r="N142" s="35"/>
      <c r="O142" s="35"/>
      <c r="P142" s="35"/>
      <c r="Q142" s="35"/>
      <c r="R142" s="35"/>
      <c r="S142" s="35"/>
      <c r="T142" s="35"/>
      <c r="U142" s="35"/>
      <c r="V142" s="35"/>
      <c r="W142" s="35"/>
      <c r="X142" s="35"/>
      <c r="Y142" s="35"/>
      <c r="Z142" s="35"/>
      <c r="AA142" s="35"/>
    </row>
    <row r="143">
      <c r="A143" s="35"/>
      <c r="B143" s="27"/>
      <c r="C143" s="35"/>
      <c r="D143" s="35"/>
      <c r="E143" s="26"/>
      <c r="F143" s="51"/>
      <c r="G143" s="51"/>
      <c r="H143" s="51"/>
      <c r="I143" s="51"/>
      <c r="J143" s="27"/>
      <c r="K143" s="35"/>
      <c r="L143" s="35"/>
      <c r="M143" s="35"/>
      <c r="N143" s="35"/>
      <c r="O143" s="35"/>
      <c r="P143" s="35"/>
      <c r="Q143" s="35"/>
      <c r="R143" s="35"/>
      <c r="S143" s="35"/>
      <c r="T143" s="35"/>
      <c r="U143" s="35"/>
      <c r="V143" s="35"/>
      <c r="W143" s="35"/>
      <c r="X143" s="35"/>
      <c r="Y143" s="35"/>
      <c r="Z143" s="35"/>
      <c r="AA143" s="35"/>
    </row>
    <row r="144">
      <c r="A144" s="35"/>
      <c r="B144" s="27"/>
      <c r="C144" s="35"/>
      <c r="D144" s="35"/>
      <c r="E144" s="26"/>
      <c r="F144" s="51"/>
      <c r="G144" s="51"/>
      <c r="H144" s="51"/>
      <c r="I144" s="51"/>
      <c r="J144" s="27"/>
      <c r="K144" s="35"/>
      <c r="L144" s="35"/>
      <c r="M144" s="35"/>
      <c r="N144" s="35"/>
      <c r="O144" s="35"/>
      <c r="P144" s="35"/>
      <c r="Q144" s="35"/>
      <c r="R144" s="35"/>
      <c r="S144" s="35"/>
      <c r="T144" s="35"/>
      <c r="U144" s="35"/>
      <c r="V144" s="35"/>
      <c r="W144" s="35"/>
      <c r="X144" s="35"/>
      <c r="Y144" s="35"/>
      <c r="Z144" s="35"/>
      <c r="AA144" s="35"/>
    </row>
    <row r="145">
      <c r="A145" s="35"/>
      <c r="B145" s="27"/>
      <c r="C145" s="35"/>
      <c r="D145" s="35"/>
      <c r="E145" s="26"/>
      <c r="F145" s="51"/>
      <c r="G145" s="51"/>
      <c r="H145" s="51"/>
      <c r="I145" s="51"/>
      <c r="J145" s="27"/>
      <c r="K145" s="35"/>
      <c r="L145" s="35"/>
      <c r="M145" s="35"/>
      <c r="N145" s="35"/>
      <c r="O145" s="35"/>
      <c r="P145" s="35"/>
      <c r="Q145" s="35"/>
      <c r="R145" s="35"/>
      <c r="S145" s="35"/>
      <c r="T145" s="35"/>
      <c r="U145" s="35"/>
      <c r="V145" s="35"/>
      <c r="W145" s="35"/>
      <c r="X145" s="35"/>
      <c r="Y145" s="35"/>
      <c r="Z145" s="35"/>
      <c r="AA145" s="35"/>
    </row>
    <row r="146">
      <c r="A146" s="35"/>
      <c r="B146" s="27"/>
      <c r="C146" s="35"/>
      <c r="D146" s="35"/>
      <c r="E146" s="26"/>
      <c r="F146" s="51"/>
      <c r="G146" s="51"/>
      <c r="H146" s="51"/>
      <c r="I146" s="51"/>
      <c r="J146" s="27"/>
      <c r="K146" s="35"/>
      <c r="L146" s="35"/>
      <c r="M146" s="35"/>
      <c r="N146" s="35"/>
      <c r="O146" s="35"/>
      <c r="P146" s="35"/>
      <c r="Q146" s="35"/>
      <c r="R146" s="35"/>
      <c r="S146" s="35"/>
      <c r="T146" s="35"/>
      <c r="U146" s="35"/>
      <c r="V146" s="35"/>
      <c r="W146" s="35"/>
      <c r="X146" s="35"/>
      <c r="Y146" s="35"/>
      <c r="Z146" s="35"/>
      <c r="AA146" s="35"/>
    </row>
    <row r="147">
      <c r="A147" s="35"/>
      <c r="B147" s="27"/>
      <c r="C147" s="35"/>
      <c r="D147" s="35"/>
      <c r="E147" s="26"/>
      <c r="F147" s="51"/>
      <c r="G147" s="51"/>
      <c r="H147" s="51"/>
      <c r="I147" s="51"/>
      <c r="J147" s="27"/>
      <c r="K147" s="35"/>
      <c r="L147" s="35"/>
      <c r="M147" s="35"/>
      <c r="N147" s="35"/>
      <c r="O147" s="35"/>
      <c r="P147" s="35"/>
      <c r="Q147" s="35"/>
      <c r="R147" s="35"/>
      <c r="S147" s="35"/>
      <c r="T147" s="35"/>
      <c r="U147" s="35"/>
      <c r="V147" s="35"/>
      <c r="W147" s="35"/>
      <c r="X147" s="35"/>
      <c r="Y147" s="35"/>
      <c r="Z147" s="35"/>
      <c r="AA147" s="35"/>
    </row>
    <row r="148">
      <c r="A148" s="35"/>
      <c r="B148" s="27"/>
      <c r="C148" s="35"/>
      <c r="D148" s="35"/>
      <c r="E148" s="26"/>
      <c r="F148" s="51"/>
      <c r="G148" s="51"/>
      <c r="H148" s="51"/>
      <c r="I148" s="51"/>
      <c r="J148" s="27"/>
      <c r="K148" s="35"/>
      <c r="L148" s="35"/>
      <c r="M148" s="35"/>
      <c r="N148" s="35"/>
      <c r="O148" s="35"/>
      <c r="P148" s="35"/>
      <c r="Q148" s="35"/>
      <c r="R148" s="35"/>
      <c r="S148" s="35"/>
      <c r="T148" s="35"/>
      <c r="U148" s="35"/>
      <c r="V148" s="35"/>
      <c r="W148" s="35"/>
      <c r="X148" s="35"/>
      <c r="Y148" s="35"/>
      <c r="Z148" s="35"/>
      <c r="AA148" s="35"/>
    </row>
    <row r="149">
      <c r="A149" s="35"/>
      <c r="B149" s="27"/>
      <c r="C149" s="35"/>
      <c r="D149" s="35"/>
      <c r="E149" s="26"/>
      <c r="F149" s="51"/>
      <c r="G149" s="51"/>
      <c r="H149" s="51"/>
      <c r="I149" s="51"/>
      <c r="J149" s="27"/>
      <c r="K149" s="35"/>
      <c r="L149" s="35"/>
      <c r="M149" s="35"/>
      <c r="N149" s="35"/>
      <c r="O149" s="35"/>
      <c r="P149" s="35"/>
      <c r="Q149" s="35"/>
      <c r="R149" s="35"/>
      <c r="S149" s="35"/>
      <c r="T149" s="35"/>
      <c r="U149" s="35"/>
      <c r="V149" s="35"/>
      <c r="W149" s="35"/>
      <c r="X149" s="35"/>
      <c r="Y149" s="35"/>
      <c r="Z149" s="35"/>
      <c r="AA149" s="35"/>
    </row>
    <row r="150">
      <c r="A150" s="35"/>
      <c r="B150" s="27"/>
      <c r="C150" s="35"/>
      <c r="D150" s="35"/>
      <c r="E150" s="26"/>
      <c r="F150" s="51"/>
      <c r="G150" s="51"/>
      <c r="H150" s="51"/>
      <c r="I150" s="51"/>
      <c r="J150" s="27"/>
      <c r="K150" s="35"/>
      <c r="L150" s="35"/>
      <c r="M150" s="35"/>
      <c r="N150" s="35"/>
      <c r="O150" s="35"/>
      <c r="P150" s="35"/>
      <c r="Q150" s="35"/>
      <c r="R150" s="35"/>
      <c r="S150" s="35"/>
      <c r="T150" s="35"/>
      <c r="U150" s="35"/>
      <c r="V150" s="35"/>
      <c r="W150" s="35"/>
      <c r="X150" s="35"/>
      <c r="Y150" s="35"/>
      <c r="Z150" s="35"/>
      <c r="AA150" s="35"/>
    </row>
    <row r="151">
      <c r="A151" s="35"/>
      <c r="B151" s="27"/>
      <c r="C151" s="35"/>
      <c r="D151" s="35"/>
      <c r="E151" s="26"/>
      <c r="F151" s="51"/>
      <c r="G151" s="51"/>
      <c r="H151" s="51"/>
      <c r="I151" s="51"/>
      <c r="J151" s="27"/>
      <c r="K151" s="35"/>
      <c r="L151" s="35"/>
      <c r="M151" s="35"/>
      <c r="N151" s="35"/>
      <c r="O151" s="35"/>
      <c r="P151" s="35"/>
      <c r="Q151" s="35"/>
      <c r="R151" s="35"/>
      <c r="S151" s="35"/>
      <c r="T151" s="35"/>
      <c r="U151" s="35"/>
      <c r="V151" s="35"/>
      <c r="W151" s="35"/>
      <c r="X151" s="35"/>
      <c r="Y151" s="35"/>
      <c r="Z151" s="35"/>
      <c r="AA151" s="35"/>
    </row>
    <row r="152">
      <c r="A152" s="35"/>
      <c r="B152" s="27"/>
      <c r="C152" s="35"/>
      <c r="D152" s="35"/>
      <c r="E152" s="26"/>
      <c r="F152" s="51"/>
      <c r="G152" s="51"/>
      <c r="H152" s="51"/>
      <c r="I152" s="51"/>
      <c r="J152" s="27"/>
      <c r="K152" s="35"/>
      <c r="L152" s="35"/>
      <c r="M152" s="35"/>
      <c r="N152" s="35"/>
      <c r="O152" s="35"/>
      <c r="P152" s="35"/>
      <c r="Q152" s="35"/>
      <c r="R152" s="35"/>
      <c r="S152" s="35"/>
      <c r="T152" s="35"/>
      <c r="U152" s="35"/>
      <c r="V152" s="35"/>
      <c r="W152" s="35"/>
      <c r="X152" s="35"/>
      <c r="Y152" s="35"/>
      <c r="Z152" s="35"/>
      <c r="AA152" s="35"/>
    </row>
    <row r="153">
      <c r="A153" s="35"/>
      <c r="B153" s="27"/>
      <c r="C153" s="35"/>
      <c r="D153" s="35"/>
      <c r="E153" s="26"/>
      <c r="F153" s="51"/>
      <c r="G153" s="51"/>
      <c r="H153" s="51"/>
      <c r="I153" s="51"/>
      <c r="J153" s="27"/>
      <c r="K153" s="35"/>
      <c r="L153" s="35"/>
      <c r="M153" s="35"/>
      <c r="N153" s="35"/>
      <c r="O153" s="35"/>
      <c r="P153" s="35"/>
      <c r="Q153" s="35"/>
      <c r="R153" s="35"/>
      <c r="S153" s="35"/>
      <c r="T153" s="35"/>
      <c r="U153" s="35"/>
      <c r="V153" s="35"/>
      <c r="W153" s="35"/>
      <c r="X153" s="35"/>
      <c r="Y153" s="35"/>
      <c r="Z153" s="35"/>
      <c r="AA153" s="35"/>
    </row>
    <row r="154">
      <c r="A154" s="35"/>
      <c r="B154" s="27"/>
      <c r="C154" s="35"/>
      <c r="D154" s="35"/>
      <c r="E154" s="26"/>
      <c r="F154" s="51"/>
      <c r="G154" s="51"/>
      <c r="H154" s="51"/>
      <c r="I154" s="51"/>
      <c r="J154" s="27"/>
      <c r="K154" s="35"/>
      <c r="L154" s="35"/>
      <c r="M154" s="35"/>
      <c r="N154" s="35"/>
      <c r="O154" s="35"/>
      <c r="P154" s="35"/>
      <c r="Q154" s="35"/>
      <c r="R154" s="35"/>
      <c r="S154" s="35"/>
      <c r="T154" s="35"/>
      <c r="U154" s="35"/>
      <c r="V154" s="35"/>
      <c r="W154" s="35"/>
      <c r="X154" s="35"/>
      <c r="Y154" s="35"/>
      <c r="Z154" s="35"/>
      <c r="AA154" s="35"/>
    </row>
    <row r="155">
      <c r="A155" s="35"/>
      <c r="B155" s="27"/>
      <c r="C155" s="35"/>
      <c r="D155" s="35"/>
      <c r="E155" s="26"/>
      <c r="F155" s="51"/>
      <c r="G155" s="51"/>
      <c r="H155" s="51"/>
      <c r="I155" s="51"/>
      <c r="J155" s="27"/>
      <c r="K155" s="35"/>
      <c r="L155" s="35"/>
      <c r="M155" s="35"/>
      <c r="N155" s="35"/>
      <c r="O155" s="35"/>
      <c r="P155" s="35"/>
      <c r="Q155" s="35"/>
      <c r="R155" s="35"/>
      <c r="S155" s="35"/>
      <c r="T155" s="35"/>
      <c r="U155" s="35"/>
      <c r="V155" s="35"/>
      <c r="W155" s="35"/>
      <c r="X155" s="35"/>
      <c r="Y155" s="35"/>
      <c r="Z155" s="35"/>
      <c r="AA155" s="35"/>
    </row>
    <row r="156">
      <c r="A156" s="35"/>
      <c r="B156" s="27"/>
      <c r="C156" s="35"/>
      <c r="D156" s="35"/>
      <c r="E156" s="26"/>
      <c r="F156" s="51"/>
      <c r="G156" s="51"/>
      <c r="H156" s="51"/>
      <c r="I156" s="51"/>
      <c r="J156" s="27"/>
      <c r="K156" s="35"/>
      <c r="L156" s="35"/>
      <c r="M156" s="35"/>
      <c r="N156" s="35"/>
      <c r="O156" s="35"/>
      <c r="P156" s="35"/>
      <c r="Q156" s="35"/>
      <c r="R156" s="35"/>
      <c r="S156" s="35"/>
      <c r="T156" s="35"/>
      <c r="U156" s="35"/>
      <c r="V156" s="35"/>
      <c r="W156" s="35"/>
      <c r="X156" s="35"/>
      <c r="Y156" s="35"/>
      <c r="Z156" s="35"/>
      <c r="AA156" s="35"/>
    </row>
    <row r="157">
      <c r="A157" s="35"/>
      <c r="B157" s="27"/>
      <c r="C157" s="35"/>
      <c r="D157" s="35"/>
      <c r="E157" s="26"/>
      <c r="F157" s="51"/>
      <c r="G157" s="51"/>
      <c r="H157" s="51"/>
      <c r="I157" s="51"/>
      <c r="J157" s="27"/>
      <c r="K157" s="35"/>
      <c r="L157" s="35"/>
      <c r="M157" s="35"/>
      <c r="N157" s="35"/>
      <c r="O157" s="35"/>
      <c r="P157" s="35"/>
      <c r="Q157" s="35"/>
      <c r="R157" s="35"/>
      <c r="S157" s="35"/>
      <c r="T157" s="35"/>
      <c r="U157" s="35"/>
      <c r="V157" s="35"/>
      <c r="W157" s="35"/>
      <c r="X157" s="35"/>
      <c r="Y157" s="35"/>
      <c r="Z157" s="35"/>
      <c r="AA157" s="35"/>
    </row>
    <row r="158">
      <c r="A158" s="35"/>
      <c r="B158" s="27"/>
      <c r="C158" s="35"/>
      <c r="D158" s="35"/>
      <c r="E158" s="26"/>
      <c r="F158" s="51"/>
      <c r="G158" s="51"/>
      <c r="H158" s="51"/>
      <c r="I158" s="51"/>
      <c r="J158" s="27"/>
      <c r="K158" s="35"/>
      <c r="L158" s="35"/>
      <c r="M158" s="35"/>
      <c r="N158" s="35"/>
      <c r="O158" s="35"/>
      <c r="P158" s="35"/>
      <c r="Q158" s="35"/>
      <c r="R158" s="35"/>
      <c r="S158" s="35"/>
      <c r="T158" s="35"/>
      <c r="U158" s="35"/>
      <c r="V158" s="35"/>
      <c r="W158" s="35"/>
      <c r="X158" s="35"/>
      <c r="Y158" s="35"/>
      <c r="Z158" s="35"/>
      <c r="AA158" s="35"/>
    </row>
    <row r="159">
      <c r="A159" s="35"/>
      <c r="B159" s="27"/>
      <c r="C159" s="35"/>
      <c r="D159" s="35"/>
      <c r="E159" s="26"/>
      <c r="F159" s="51"/>
      <c r="G159" s="51"/>
      <c r="H159" s="51"/>
      <c r="I159" s="51"/>
      <c r="J159" s="27"/>
      <c r="K159" s="35"/>
      <c r="L159" s="35"/>
      <c r="M159" s="35"/>
      <c r="N159" s="35"/>
      <c r="O159" s="35"/>
      <c r="P159" s="35"/>
      <c r="Q159" s="35"/>
      <c r="R159" s="35"/>
      <c r="S159" s="35"/>
      <c r="T159" s="35"/>
      <c r="U159" s="35"/>
      <c r="V159" s="35"/>
      <c r="W159" s="35"/>
      <c r="X159" s="35"/>
      <c r="Y159" s="35"/>
      <c r="Z159" s="35"/>
      <c r="AA159" s="35"/>
    </row>
    <row r="160">
      <c r="A160" s="35"/>
      <c r="B160" s="27"/>
      <c r="C160" s="35"/>
      <c r="D160" s="35"/>
      <c r="E160" s="26"/>
      <c r="F160" s="51"/>
      <c r="G160" s="51"/>
      <c r="H160" s="51"/>
      <c r="I160" s="51"/>
      <c r="J160" s="27"/>
      <c r="K160" s="35"/>
      <c r="L160" s="35"/>
      <c r="M160" s="35"/>
      <c r="N160" s="35"/>
      <c r="O160" s="35"/>
      <c r="P160" s="35"/>
      <c r="Q160" s="35"/>
      <c r="R160" s="35"/>
      <c r="S160" s="35"/>
      <c r="T160" s="35"/>
      <c r="U160" s="35"/>
      <c r="V160" s="35"/>
      <c r="W160" s="35"/>
      <c r="X160" s="35"/>
      <c r="Y160" s="35"/>
      <c r="Z160" s="35"/>
      <c r="AA160" s="35"/>
    </row>
    <row r="161">
      <c r="A161" s="35"/>
      <c r="B161" s="27"/>
      <c r="C161" s="35"/>
      <c r="D161" s="35"/>
      <c r="E161" s="26"/>
      <c r="F161" s="51"/>
      <c r="G161" s="51"/>
      <c r="H161" s="51"/>
      <c r="I161" s="51"/>
      <c r="J161" s="27"/>
      <c r="K161" s="35"/>
      <c r="L161" s="35"/>
      <c r="M161" s="35"/>
      <c r="N161" s="35"/>
      <c r="O161" s="35"/>
      <c r="P161" s="35"/>
      <c r="Q161" s="35"/>
      <c r="R161" s="35"/>
      <c r="S161" s="35"/>
      <c r="T161" s="35"/>
      <c r="U161" s="35"/>
      <c r="V161" s="35"/>
      <c r="W161" s="35"/>
      <c r="X161" s="35"/>
      <c r="Y161" s="35"/>
      <c r="Z161" s="35"/>
      <c r="AA161" s="35"/>
    </row>
    <row r="162">
      <c r="A162" s="35"/>
      <c r="B162" s="27"/>
      <c r="C162" s="35"/>
      <c r="D162" s="35"/>
      <c r="E162" s="26"/>
      <c r="F162" s="51"/>
      <c r="G162" s="51"/>
      <c r="H162" s="51"/>
      <c r="I162" s="51"/>
      <c r="J162" s="27"/>
      <c r="K162" s="35"/>
      <c r="L162" s="35"/>
      <c r="M162" s="35"/>
      <c r="N162" s="35"/>
      <c r="O162" s="35"/>
      <c r="P162" s="35"/>
      <c r="Q162" s="35"/>
      <c r="R162" s="35"/>
      <c r="S162" s="35"/>
      <c r="T162" s="35"/>
      <c r="U162" s="35"/>
      <c r="V162" s="35"/>
      <c r="W162" s="35"/>
      <c r="X162" s="35"/>
      <c r="Y162" s="35"/>
      <c r="Z162" s="35"/>
      <c r="AA162" s="35"/>
    </row>
    <row r="163">
      <c r="A163" s="35"/>
      <c r="B163" s="27"/>
      <c r="C163" s="35"/>
      <c r="D163" s="35"/>
      <c r="E163" s="26"/>
      <c r="F163" s="51"/>
      <c r="G163" s="51"/>
      <c r="H163" s="51"/>
      <c r="I163" s="51"/>
      <c r="J163" s="27"/>
      <c r="K163" s="35"/>
      <c r="L163" s="35"/>
      <c r="M163" s="35"/>
      <c r="N163" s="35"/>
      <c r="O163" s="35"/>
      <c r="P163" s="35"/>
      <c r="Q163" s="35"/>
      <c r="R163" s="35"/>
      <c r="S163" s="35"/>
      <c r="T163" s="35"/>
      <c r="U163" s="35"/>
      <c r="V163" s="35"/>
      <c r="W163" s="35"/>
      <c r="X163" s="35"/>
      <c r="Y163" s="35"/>
      <c r="Z163" s="35"/>
      <c r="AA163" s="35"/>
    </row>
    <row r="164">
      <c r="A164" s="35"/>
      <c r="B164" s="27"/>
      <c r="C164" s="35"/>
      <c r="D164" s="35"/>
      <c r="E164" s="26"/>
      <c r="F164" s="51"/>
      <c r="G164" s="51"/>
      <c r="H164" s="51"/>
      <c r="I164" s="51"/>
      <c r="J164" s="27"/>
      <c r="K164" s="35"/>
      <c r="L164" s="35"/>
      <c r="M164" s="35"/>
      <c r="N164" s="35"/>
      <c r="O164" s="35"/>
      <c r="P164" s="35"/>
      <c r="Q164" s="35"/>
      <c r="R164" s="35"/>
      <c r="S164" s="35"/>
      <c r="T164" s="35"/>
      <c r="U164" s="35"/>
      <c r="V164" s="35"/>
      <c r="W164" s="35"/>
      <c r="X164" s="35"/>
      <c r="Y164" s="35"/>
      <c r="Z164" s="35"/>
      <c r="AA164" s="35"/>
    </row>
    <row r="165">
      <c r="A165" s="35"/>
      <c r="B165" s="27"/>
      <c r="C165" s="35"/>
      <c r="D165" s="35"/>
      <c r="E165" s="26"/>
      <c r="F165" s="51"/>
      <c r="G165" s="51"/>
      <c r="H165" s="51"/>
      <c r="I165" s="51"/>
      <c r="J165" s="27"/>
      <c r="K165" s="35"/>
      <c r="L165" s="35"/>
      <c r="M165" s="35"/>
      <c r="N165" s="35"/>
      <c r="O165" s="35"/>
      <c r="P165" s="35"/>
      <c r="Q165" s="35"/>
      <c r="R165" s="35"/>
      <c r="S165" s="35"/>
      <c r="T165" s="35"/>
      <c r="U165" s="35"/>
      <c r="V165" s="35"/>
      <c r="W165" s="35"/>
      <c r="X165" s="35"/>
      <c r="Y165" s="35"/>
      <c r="Z165" s="35"/>
      <c r="AA165" s="35"/>
    </row>
    <row r="166">
      <c r="A166" s="35"/>
      <c r="B166" s="27"/>
      <c r="C166" s="35"/>
      <c r="D166" s="35"/>
      <c r="E166" s="26"/>
      <c r="F166" s="51"/>
      <c r="G166" s="51"/>
      <c r="H166" s="51"/>
      <c r="I166" s="51"/>
      <c r="J166" s="27"/>
      <c r="K166" s="35"/>
      <c r="L166" s="35"/>
      <c r="M166" s="35"/>
      <c r="N166" s="35"/>
      <c r="O166" s="35"/>
      <c r="P166" s="35"/>
      <c r="Q166" s="35"/>
      <c r="R166" s="35"/>
      <c r="S166" s="35"/>
      <c r="T166" s="35"/>
      <c r="U166" s="35"/>
      <c r="V166" s="35"/>
      <c r="W166" s="35"/>
      <c r="X166" s="35"/>
      <c r="Y166" s="35"/>
      <c r="Z166" s="35"/>
      <c r="AA166" s="35"/>
    </row>
    <row r="167">
      <c r="A167" s="35"/>
      <c r="B167" s="27"/>
      <c r="C167" s="35"/>
      <c r="D167" s="35"/>
      <c r="E167" s="26"/>
      <c r="F167" s="51"/>
      <c r="G167" s="51"/>
      <c r="H167" s="51"/>
      <c r="I167" s="51"/>
      <c r="J167" s="27"/>
      <c r="K167" s="35"/>
      <c r="L167" s="35"/>
      <c r="M167" s="35"/>
      <c r="N167" s="35"/>
      <c r="O167" s="35"/>
      <c r="P167" s="35"/>
      <c r="Q167" s="35"/>
      <c r="R167" s="35"/>
      <c r="S167" s="35"/>
      <c r="T167" s="35"/>
      <c r="U167" s="35"/>
      <c r="V167" s="35"/>
      <c r="W167" s="35"/>
      <c r="X167" s="35"/>
      <c r="Y167" s="35"/>
      <c r="Z167" s="35"/>
      <c r="AA167" s="35"/>
    </row>
    <row r="168">
      <c r="A168" s="35"/>
      <c r="B168" s="27"/>
      <c r="C168" s="35"/>
      <c r="D168" s="35"/>
      <c r="E168" s="26"/>
      <c r="F168" s="51"/>
      <c r="G168" s="51"/>
      <c r="H168" s="51"/>
      <c r="I168" s="51"/>
      <c r="J168" s="27"/>
      <c r="K168" s="35"/>
      <c r="L168" s="35"/>
      <c r="M168" s="35"/>
      <c r="N168" s="35"/>
      <c r="O168" s="35"/>
      <c r="P168" s="35"/>
      <c r="Q168" s="35"/>
      <c r="R168" s="35"/>
      <c r="S168" s="35"/>
      <c r="T168" s="35"/>
      <c r="U168" s="35"/>
      <c r="V168" s="35"/>
      <c r="W168" s="35"/>
      <c r="X168" s="35"/>
      <c r="Y168" s="35"/>
      <c r="Z168" s="35"/>
      <c r="AA168" s="35"/>
    </row>
    <row r="169">
      <c r="A169" s="35"/>
      <c r="B169" s="27"/>
      <c r="C169" s="35"/>
      <c r="D169" s="35"/>
      <c r="E169" s="26"/>
      <c r="F169" s="51"/>
      <c r="G169" s="51"/>
      <c r="H169" s="51"/>
      <c r="I169" s="51"/>
      <c r="J169" s="27"/>
      <c r="K169" s="35"/>
      <c r="L169" s="35"/>
      <c r="M169" s="35"/>
      <c r="N169" s="35"/>
      <c r="O169" s="35"/>
      <c r="P169" s="35"/>
      <c r="Q169" s="35"/>
      <c r="R169" s="35"/>
      <c r="S169" s="35"/>
      <c r="T169" s="35"/>
      <c r="U169" s="35"/>
      <c r="V169" s="35"/>
      <c r="W169" s="35"/>
      <c r="X169" s="35"/>
      <c r="Y169" s="35"/>
      <c r="Z169" s="35"/>
      <c r="AA169" s="35"/>
    </row>
    <row r="170">
      <c r="A170" s="35"/>
      <c r="B170" s="27"/>
      <c r="C170" s="35"/>
      <c r="D170" s="35"/>
      <c r="E170" s="26"/>
      <c r="F170" s="51"/>
      <c r="G170" s="51"/>
      <c r="H170" s="51"/>
      <c r="I170" s="51"/>
      <c r="J170" s="27"/>
      <c r="K170" s="35"/>
      <c r="L170" s="35"/>
      <c r="M170" s="35"/>
      <c r="N170" s="35"/>
      <c r="O170" s="35"/>
      <c r="P170" s="35"/>
      <c r="Q170" s="35"/>
      <c r="R170" s="35"/>
      <c r="S170" s="35"/>
      <c r="T170" s="35"/>
      <c r="U170" s="35"/>
      <c r="V170" s="35"/>
      <c r="W170" s="35"/>
      <c r="X170" s="35"/>
      <c r="Y170" s="35"/>
      <c r="Z170" s="35"/>
      <c r="AA170" s="35"/>
    </row>
    <row r="171">
      <c r="A171" s="35"/>
      <c r="B171" s="27"/>
      <c r="C171" s="35"/>
      <c r="D171" s="35"/>
      <c r="E171" s="26"/>
      <c r="F171" s="51"/>
      <c r="G171" s="51"/>
      <c r="H171" s="51"/>
      <c r="I171" s="51"/>
      <c r="J171" s="27"/>
      <c r="K171" s="35"/>
      <c r="L171" s="35"/>
      <c r="M171" s="35"/>
      <c r="N171" s="35"/>
      <c r="O171" s="35"/>
      <c r="P171" s="35"/>
      <c r="Q171" s="35"/>
      <c r="R171" s="35"/>
      <c r="S171" s="35"/>
      <c r="T171" s="35"/>
      <c r="U171" s="35"/>
      <c r="V171" s="35"/>
      <c r="W171" s="35"/>
      <c r="X171" s="35"/>
      <c r="Y171" s="35"/>
      <c r="Z171" s="35"/>
      <c r="AA171" s="35"/>
    </row>
    <row r="172">
      <c r="A172" s="35"/>
      <c r="B172" s="27"/>
      <c r="C172" s="35"/>
      <c r="D172" s="35"/>
      <c r="E172" s="26"/>
      <c r="F172" s="51"/>
      <c r="G172" s="51"/>
      <c r="H172" s="51"/>
      <c r="I172" s="51"/>
      <c r="J172" s="27"/>
      <c r="K172" s="35"/>
      <c r="L172" s="35"/>
      <c r="M172" s="35"/>
      <c r="N172" s="35"/>
      <c r="O172" s="35"/>
      <c r="P172" s="35"/>
      <c r="Q172" s="35"/>
      <c r="R172" s="35"/>
      <c r="S172" s="35"/>
      <c r="T172" s="35"/>
      <c r="U172" s="35"/>
      <c r="V172" s="35"/>
      <c r="W172" s="35"/>
      <c r="X172" s="35"/>
      <c r="Y172" s="35"/>
      <c r="Z172" s="35"/>
      <c r="AA172" s="35"/>
    </row>
    <row r="173">
      <c r="A173" s="35"/>
      <c r="B173" s="27"/>
      <c r="C173" s="35"/>
      <c r="D173" s="35"/>
      <c r="E173" s="26"/>
      <c r="F173" s="51"/>
      <c r="G173" s="51"/>
      <c r="H173" s="51"/>
      <c r="I173" s="51"/>
      <c r="J173" s="27"/>
      <c r="K173" s="35"/>
      <c r="L173" s="35"/>
      <c r="M173" s="35"/>
      <c r="N173" s="35"/>
      <c r="O173" s="35"/>
      <c r="P173" s="35"/>
      <c r="Q173" s="35"/>
      <c r="R173" s="35"/>
      <c r="S173" s="35"/>
      <c r="T173" s="35"/>
      <c r="U173" s="35"/>
      <c r="V173" s="35"/>
      <c r="W173" s="35"/>
      <c r="X173" s="35"/>
      <c r="Y173" s="35"/>
      <c r="Z173" s="35"/>
      <c r="AA173" s="35"/>
    </row>
    <row r="174">
      <c r="A174" s="35"/>
      <c r="B174" s="27"/>
      <c r="C174" s="35"/>
      <c r="D174" s="35"/>
      <c r="E174" s="26"/>
      <c r="F174" s="51"/>
      <c r="G174" s="51"/>
      <c r="H174" s="51"/>
      <c r="I174" s="51"/>
      <c r="J174" s="27"/>
      <c r="K174" s="35"/>
      <c r="L174" s="35"/>
      <c r="M174" s="35"/>
      <c r="N174" s="35"/>
      <c r="O174" s="35"/>
      <c r="P174" s="35"/>
      <c r="Q174" s="35"/>
      <c r="R174" s="35"/>
      <c r="S174" s="35"/>
      <c r="T174" s="35"/>
      <c r="U174" s="35"/>
      <c r="V174" s="35"/>
      <c r="W174" s="35"/>
      <c r="X174" s="35"/>
      <c r="Y174" s="35"/>
      <c r="Z174" s="35"/>
      <c r="AA174" s="35"/>
    </row>
    <row r="175">
      <c r="A175" s="35"/>
      <c r="B175" s="27"/>
      <c r="C175" s="35"/>
      <c r="D175" s="35"/>
      <c r="E175" s="26"/>
      <c r="F175" s="51"/>
      <c r="G175" s="51"/>
      <c r="H175" s="51"/>
      <c r="I175" s="51"/>
      <c r="J175" s="27"/>
      <c r="K175" s="35"/>
      <c r="L175" s="35"/>
      <c r="M175" s="35"/>
      <c r="N175" s="35"/>
      <c r="O175" s="35"/>
      <c r="P175" s="35"/>
      <c r="Q175" s="35"/>
      <c r="R175" s="35"/>
      <c r="S175" s="35"/>
      <c r="T175" s="35"/>
      <c r="U175" s="35"/>
      <c r="V175" s="35"/>
      <c r="W175" s="35"/>
      <c r="X175" s="35"/>
      <c r="Y175" s="35"/>
      <c r="Z175" s="35"/>
      <c r="AA175" s="35"/>
    </row>
    <row r="176">
      <c r="A176" s="35"/>
      <c r="B176" s="27"/>
      <c r="C176" s="35"/>
      <c r="D176" s="35"/>
      <c r="E176" s="26"/>
      <c r="F176" s="51"/>
      <c r="G176" s="51"/>
      <c r="H176" s="51"/>
      <c r="I176" s="51"/>
      <c r="J176" s="27"/>
      <c r="K176" s="35"/>
      <c r="L176" s="35"/>
      <c r="M176" s="35"/>
      <c r="N176" s="35"/>
      <c r="O176" s="35"/>
      <c r="P176" s="35"/>
      <c r="Q176" s="35"/>
      <c r="R176" s="35"/>
      <c r="S176" s="35"/>
      <c r="T176" s="35"/>
      <c r="U176" s="35"/>
      <c r="V176" s="35"/>
      <c r="W176" s="35"/>
      <c r="X176" s="35"/>
      <c r="Y176" s="35"/>
      <c r="Z176" s="35"/>
      <c r="AA176" s="35"/>
    </row>
    <row r="177">
      <c r="A177" s="35"/>
      <c r="B177" s="27"/>
      <c r="C177" s="35"/>
      <c r="D177" s="35"/>
      <c r="E177" s="26"/>
      <c r="F177" s="51"/>
      <c r="G177" s="51"/>
      <c r="H177" s="51"/>
      <c r="I177" s="51"/>
      <c r="J177" s="27"/>
      <c r="K177" s="35"/>
      <c r="L177" s="35"/>
      <c r="M177" s="35"/>
      <c r="N177" s="35"/>
      <c r="O177" s="35"/>
      <c r="P177" s="35"/>
      <c r="Q177" s="35"/>
      <c r="R177" s="35"/>
      <c r="S177" s="35"/>
      <c r="T177" s="35"/>
      <c r="U177" s="35"/>
      <c r="V177" s="35"/>
      <c r="W177" s="35"/>
      <c r="X177" s="35"/>
      <c r="Y177" s="35"/>
      <c r="Z177" s="35"/>
      <c r="AA177" s="35"/>
    </row>
    <row r="178">
      <c r="A178" s="35"/>
      <c r="B178" s="27"/>
      <c r="C178" s="35"/>
      <c r="D178" s="35"/>
      <c r="E178" s="26"/>
      <c r="F178" s="51"/>
      <c r="G178" s="51"/>
      <c r="H178" s="51"/>
      <c r="I178" s="51"/>
      <c r="J178" s="27"/>
      <c r="K178" s="35"/>
      <c r="L178" s="35"/>
      <c r="M178" s="35"/>
      <c r="N178" s="35"/>
      <c r="O178" s="35"/>
      <c r="P178" s="35"/>
      <c r="Q178" s="35"/>
      <c r="R178" s="35"/>
      <c r="S178" s="35"/>
      <c r="T178" s="35"/>
      <c r="U178" s="35"/>
      <c r="V178" s="35"/>
      <c r="W178" s="35"/>
      <c r="X178" s="35"/>
      <c r="Y178" s="35"/>
      <c r="Z178" s="35"/>
      <c r="AA178" s="35"/>
    </row>
    <row r="179">
      <c r="A179" s="35"/>
      <c r="B179" s="27"/>
      <c r="C179" s="35"/>
      <c r="D179" s="35"/>
      <c r="E179" s="26"/>
      <c r="F179" s="51"/>
      <c r="G179" s="51"/>
      <c r="H179" s="51"/>
      <c r="I179" s="51"/>
      <c r="J179" s="27"/>
      <c r="K179" s="35"/>
      <c r="L179" s="35"/>
      <c r="M179" s="35"/>
      <c r="N179" s="35"/>
      <c r="O179" s="35"/>
      <c r="P179" s="35"/>
      <c r="Q179" s="35"/>
      <c r="R179" s="35"/>
      <c r="S179" s="35"/>
      <c r="T179" s="35"/>
      <c r="U179" s="35"/>
      <c r="V179" s="35"/>
      <c r="W179" s="35"/>
      <c r="X179" s="35"/>
      <c r="Y179" s="35"/>
      <c r="Z179" s="35"/>
      <c r="AA179" s="35"/>
    </row>
    <row r="180">
      <c r="A180" s="35"/>
      <c r="B180" s="27"/>
      <c r="C180" s="35"/>
      <c r="D180" s="35"/>
      <c r="E180" s="26"/>
      <c r="F180" s="51"/>
      <c r="G180" s="51"/>
      <c r="H180" s="51"/>
      <c r="I180" s="51"/>
      <c r="J180" s="27"/>
      <c r="K180" s="35"/>
      <c r="L180" s="35"/>
      <c r="M180" s="35"/>
      <c r="N180" s="35"/>
      <c r="O180" s="35"/>
      <c r="P180" s="35"/>
      <c r="Q180" s="35"/>
      <c r="R180" s="35"/>
      <c r="S180" s="35"/>
      <c r="T180" s="35"/>
      <c r="U180" s="35"/>
      <c r="V180" s="35"/>
      <c r="W180" s="35"/>
      <c r="X180" s="35"/>
      <c r="Y180" s="35"/>
      <c r="Z180" s="35"/>
      <c r="AA180" s="35"/>
    </row>
    <row r="181">
      <c r="A181" s="35"/>
      <c r="B181" s="27"/>
      <c r="C181" s="35"/>
      <c r="D181" s="35"/>
      <c r="E181" s="26"/>
      <c r="F181" s="51"/>
      <c r="G181" s="51"/>
      <c r="H181" s="51"/>
      <c r="I181" s="51"/>
      <c r="J181" s="27"/>
      <c r="K181" s="35"/>
      <c r="L181" s="35"/>
      <c r="M181" s="35"/>
      <c r="N181" s="35"/>
      <c r="O181" s="35"/>
      <c r="P181" s="35"/>
      <c r="Q181" s="35"/>
      <c r="R181" s="35"/>
      <c r="S181" s="35"/>
      <c r="T181" s="35"/>
      <c r="U181" s="35"/>
      <c r="V181" s="35"/>
      <c r="W181" s="35"/>
      <c r="X181" s="35"/>
      <c r="Y181" s="35"/>
      <c r="Z181" s="35"/>
      <c r="AA181" s="35"/>
    </row>
    <row r="182">
      <c r="A182" s="35"/>
      <c r="B182" s="27"/>
      <c r="C182" s="35"/>
      <c r="D182" s="35"/>
      <c r="E182" s="26"/>
      <c r="F182" s="51"/>
      <c r="G182" s="51"/>
      <c r="H182" s="51"/>
      <c r="I182" s="51"/>
      <c r="J182" s="27"/>
      <c r="K182" s="35"/>
      <c r="L182" s="35"/>
      <c r="M182" s="35"/>
      <c r="N182" s="35"/>
      <c r="O182" s="35"/>
      <c r="P182" s="35"/>
      <c r="Q182" s="35"/>
      <c r="R182" s="35"/>
      <c r="S182" s="35"/>
      <c r="T182" s="35"/>
      <c r="U182" s="35"/>
      <c r="V182" s="35"/>
      <c r="W182" s="35"/>
      <c r="X182" s="35"/>
      <c r="Y182" s="35"/>
      <c r="Z182" s="35"/>
      <c r="AA182" s="35"/>
    </row>
    <row r="183">
      <c r="A183" s="35"/>
      <c r="B183" s="27"/>
      <c r="C183" s="35"/>
      <c r="D183" s="35"/>
      <c r="E183" s="26"/>
      <c r="F183" s="51"/>
      <c r="G183" s="51"/>
      <c r="H183" s="51"/>
      <c r="I183" s="51"/>
      <c r="J183" s="27"/>
      <c r="K183" s="35"/>
      <c r="L183" s="35"/>
      <c r="M183" s="35"/>
      <c r="N183" s="35"/>
      <c r="O183" s="35"/>
      <c r="P183" s="35"/>
      <c r="Q183" s="35"/>
      <c r="R183" s="35"/>
      <c r="S183" s="35"/>
      <c r="T183" s="35"/>
      <c r="U183" s="35"/>
      <c r="V183" s="35"/>
      <c r="W183" s="35"/>
      <c r="X183" s="35"/>
      <c r="Y183" s="35"/>
      <c r="Z183" s="35"/>
      <c r="AA183" s="35"/>
    </row>
    <row r="184">
      <c r="A184" s="35"/>
      <c r="B184" s="27"/>
      <c r="C184" s="35"/>
      <c r="D184" s="35"/>
      <c r="E184" s="26"/>
      <c r="F184" s="51"/>
      <c r="G184" s="51"/>
      <c r="H184" s="51"/>
      <c r="I184" s="51"/>
      <c r="J184" s="27"/>
      <c r="K184" s="35"/>
      <c r="L184" s="35"/>
      <c r="M184" s="35"/>
      <c r="N184" s="35"/>
      <c r="O184" s="35"/>
      <c r="P184" s="35"/>
      <c r="Q184" s="35"/>
      <c r="R184" s="35"/>
      <c r="S184" s="35"/>
      <c r="T184" s="35"/>
      <c r="U184" s="35"/>
      <c r="V184" s="35"/>
      <c r="W184" s="35"/>
      <c r="X184" s="35"/>
      <c r="Y184" s="35"/>
      <c r="Z184" s="35"/>
      <c r="AA184" s="35"/>
    </row>
    <row r="185">
      <c r="A185" s="35"/>
      <c r="B185" s="27"/>
      <c r="C185" s="35"/>
      <c r="D185" s="35"/>
      <c r="E185" s="26"/>
      <c r="F185" s="51"/>
      <c r="G185" s="51"/>
      <c r="H185" s="51"/>
      <c r="I185" s="51"/>
      <c r="J185" s="27"/>
      <c r="K185" s="35"/>
      <c r="L185" s="35"/>
      <c r="M185" s="35"/>
      <c r="N185" s="35"/>
      <c r="O185" s="35"/>
      <c r="P185" s="35"/>
      <c r="Q185" s="35"/>
      <c r="R185" s="35"/>
      <c r="S185" s="35"/>
      <c r="T185" s="35"/>
      <c r="U185" s="35"/>
      <c r="V185" s="35"/>
      <c r="W185" s="35"/>
      <c r="X185" s="35"/>
      <c r="Y185" s="35"/>
      <c r="Z185" s="35"/>
      <c r="AA185" s="35"/>
    </row>
    <row r="186">
      <c r="A186" s="35"/>
      <c r="B186" s="27"/>
      <c r="C186" s="35"/>
      <c r="D186" s="35"/>
      <c r="E186" s="26"/>
      <c r="F186" s="51"/>
      <c r="G186" s="51"/>
      <c r="H186" s="51"/>
      <c r="I186" s="51"/>
      <c r="J186" s="27"/>
      <c r="K186" s="35"/>
      <c r="L186" s="35"/>
      <c r="M186" s="35"/>
      <c r="N186" s="35"/>
      <c r="O186" s="35"/>
      <c r="P186" s="35"/>
      <c r="Q186" s="35"/>
      <c r="R186" s="35"/>
      <c r="S186" s="35"/>
      <c r="T186" s="35"/>
      <c r="U186" s="35"/>
      <c r="V186" s="35"/>
      <c r="W186" s="35"/>
      <c r="X186" s="35"/>
      <c r="Y186" s="35"/>
      <c r="Z186" s="35"/>
      <c r="AA186" s="35"/>
    </row>
    <row r="187">
      <c r="A187" s="35"/>
      <c r="B187" s="27"/>
      <c r="C187" s="35"/>
      <c r="D187" s="35"/>
      <c r="E187" s="26"/>
      <c r="F187" s="51"/>
      <c r="G187" s="51"/>
      <c r="H187" s="51"/>
      <c r="I187" s="51"/>
      <c r="J187" s="27"/>
      <c r="K187" s="35"/>
      <c r="L187" s="35"/>
      <c r="M187" s="35"/>
      <c r="N187" s="35"/>
      <c r="O187" s="35"/>
      <c r="P187" s="35"/>
      <c r="Q187" s="35"/>
      <c r="R187" s="35"/>
      <c r="S187" s="35"/>
      <c r="T187" s="35"/>
      <c r="U187" s="35"/>
      <c r="V187" s="35"/>
      <c r="W187" s="35"/>
      <c r="X187" s="35"/>
      <c r="Y187" s="35"/>
      <c r="Z187" s="35"/>
      <c r="AA187" s="35"/>
    </row>
    <row r="188">
      <c r="A188" s="35"/>
      <c r="B188" s="27"/>
      <c r="C188" s="35"/>
      <c r="D188" s="35"/>
      <c r="E188" s="26"/>
      <c r="F188" s="51"/>
      <c r="G188" s="51"/>
      <c r="H188" s="51"/>
      <c r="I188" s="51"/>
      <c r="J188" s="27"/>
      <c r="K188" s="35"/>
      <c r="L188" s="35"/>
      <c r="M188" s="35"/>
      <c r="N188" s="35"/>
      <c r="O188" s="35"/>
      <c r="P188" s="35"/>
      <c r="Q188" s="35"/>
      <c r="R188" s="35"/>
      <c r="S188" s="35"/>
      <c r="T188" s="35"/>
      <c r="U188" s="35"/>
      <c r="V188" s="35"/>
      <c r="W188" s="35"/>
      <c r="X188" s="35"/>
      <c r="Y188" s="35"/>
      <c r="Z188" s="35"/>
      <c r="AA188" s="35"/>
    </row>
    <row r="189">
      <c r="A189" s="35"/>
      <c r="B189" s="27"/>
      <c r="C189" s="35"/>
      <c r="D189" s="35"/>
      <c r="E189" s="26"/>
      <c r="F189" s="51"/>
      <c r="G189" s="51"/>
      <c r="H189" s="51"/>
      <c r="I189" s="51"/>
      <c r="J189" s="27"/>
      <c r="K189" s="35"/>
      <c r="L189" s="35"/>
      <c r="M189" s="35"/>
      <c r="N189" s="35"/>
      <c r="O189" s="35"/>
      <c r="P189" s="35"/>
      <c r="Q189" s="35"/>
      <c r="R189" s="35"/>
      <c r="S189" s="35"/>
      <c r="T189" s="35"/>
      <c r="U189" s="35"/>
      <c r="V189" s="35"/>
      <c r="W189" s="35"/>
      <c r="X189" s="35"/>
      <c r="Y189" s="35"/>
      <c r="Z189" s="35"/>
      <c r="AA189" s="35"/>
    </row>
    <row r="190">
      <c r="A190" s="35"/>
      <c r="B190" s="27"/>
      <c r="C190" s="35"/>
      <c r="D190" s="35"/>
      <c r="E190" s="26"/>
      <c r="F190" s="51"/>
      <c r="G190" s="51"/>
      <c r="H190" s="51"/>
      <c r="I190" s="51"/>
      <c r="J190" s="27"/>
      <c r="K190" s="35"/>
      <c r="L190" s="35"/>
      <c r="M190" s="35"/>
      <c r="N190" s="35"/>
      <c r="O190" s="35"/>
      <c r="P190" s="35"/>
      <c r="Q190" s="35"/>
      <c r="R190" s="35"/>
      <c r="S190" s="35"/>
      <c r="T190" s="35"/>
      <c r="U190" s="35"/>
      <c r="V190" s="35"/>
      <c r="W190" s="35"/>
      <c r="X190" s="35"/>
      <c r="Y190" s="35"/>
      <c r="Z190" s="35"/>
      <c r="AA190" s="35"/>
    </row>
    <row r="191">
      <c r="A191" s="35"/>
      <c r="B191" s="27"/>
      <c r="C191" s="35"/>
      <c r="D191" s="35"/>
      <c r="E191" s="26"/>
      <c r="F191" s="51"/>
      <c r="G191" s="51"/>
      <c r="H191" s="51"/>
      <c r="I191" s="51"/>
      <c r="J191" s="27"/>
      <c r="K191" s="35"/>
      <c r="L191" s="35"/>
      <c r="M191" s="35"/>
      <c r="N191" s="35"/>
      <c r="O191" s="35"/>
      <c r="P191" s="35"/>
      <c r="Q191" s="35"/>
      <c r="R191" s="35"/>
      <c r="S191" s="35"/>
      <c r="T191" s="35"/>
      <c r="U191" s="35"/>
      <c r="V191" s="35"/>
      <c r="W191" s="35"/>
      <c r="X191" s="35"/>
      <c r="Y191" s="35"/>
      <c r="Z191" s="35"/>
      <c r="AA191" s="35"/>
    </row>
    <row r="192">
      <c r="A192" s="35"/>
      <c r="B192" s="27"/>
      <c r="C192" s="35"/>
      <c r="D192" s="35"/>
      <c r="E192" s="26"/>
      <c r="F192" s="51"/>
      <c r="G192" s="51"/>
      <c r="H192" s="51"/>
      <c r="I192" s="51"/>
      <c r="J192" s="27"/>
      <c r="K192" s="35"/>
      <c r="L192" s="35"/>
      <c r="M192" s="35"/>
      <c r="N192" s="35"/>
      <c r="O192" s="35"/>
      <c r="P192" s="35"/>
      <c r="Q192" s="35"/>
      <c r="R192" s="35"/>
      <c r="S192" s="35"/>
      <c r="T192" s="35"/>
      <c r="U192" s="35"/>
      <c r="V192" s="35"/>
      <c r="W192" s="35"/>
      <c r="X192" s="35"/>
      <c r="Y192" s="35"/>
      <c r="Z192" s="35"/>
      <c r="AA192" s="35"/>
    </row>
    <row r="193">
      <c r="A193" s="35"/>
      <c r="B193" s="27"/>
      <c r="C193" s="35"/>
      <c r="D193" s="35"/>
      <c r="E193" s="26"/>
      <c r="F193" s="51"/>
      <c r="G193" s="51"/>
      <c r="H193" s="51"/>
      <c r="I193" s="51"/>
      <c r="J193" s="27"/>
      <c r="K193" s="35"/>
      <c r="L193" s="35"/>
      <c r="M193" s="35"/>
      <c r="N193" s="35"/>
      <c r="O193" s="35"/>
      <c r="P193" s="35"/>
      <c r="Q193" s="35"/>
      <c r="R193" s="35"/>
      <c r="S193" s="35"/>
      <c r="T193" s="35"/>
      <c r="U193" s="35"/>
      <c r="V193" s="35"/>
      <c r="W193" s="35"/>
      <c r="X193" s="35"/>
      <c r="Y193" s="35"/>
      <c r="Z193" s="35"/>
      <c r="AA193" s="35"/>
    </row>
    <row r="194">
      <c r="A194" s="35"/>
      <c r="B194" s="27"/>
      <c r="C194" s="35"/>
      <c r="D194" s="35"/>
      <c r="E194" s="26"/>
      <c r="F194" s="51"/>
      <c r="G194" s="51"/>
      <c r="H194" s="51"/>
      <c r="I194" s="51"/>
      <c r="J194" s="27"/>
      <c r="K194" s="35"/>
      <c r="L194" s="35"/>
      <c r="M194" s="35"/>
      <c r="N194" s="35"/>
      <c r="O194" s="35"/>
      <c r="P194" s="35"/>
      <c r="Q194" s="35"/>
      <c r="R194" s="35"/>
      <c r="S194" s="35"/>
      <c r="T194" s="35"/>
      <c r="U194" s="35"/>
      <c r="V194" s="35"/>
      <c r="W194" s="35"/>
      <c r="X194" s="35"/>
      <c r="Y194" s="35"/>
      <c r="Z194" s="35"/>
      <c r="AA194" s="35"/>
    </row>
    <row r="195">
      <c r="A195" s="35"/>
      <c r="B195" s="27"/>
      <c r="C195" s="35"/>
      <c r="D195" s="35"/>
      <c r="E195" s="26"/>
      <c r="F195" s="51"/>
      <c r="G195" s="51"/>
      <c r="H195" s="51"/>
      <c r="I195" s="51"/>
      <c r="J195" s="27"/>
      <c r="K195" s="35"/>
      <c r="L195" s="35"/>
      <c r="M195" s="35"/>
      <c r="N195" s="35"/>
      <c r="O195" s="35"/>
      <c r="P195" s="35"/>
      <c r="Q195" s="35"/>
      <c r="R195" s="35"/>
      <c r="S195" s="35"/>
      <c r="T195" s="35"/>
      <c r="U195" s="35"/>
      <c r="V195" s="35"/>
      <c r="W195" s="35"/>
      <c r="X195" s="35"/>
      <c r="Y195" s="35"/>
      <c r="Z195" s="35"/>
      <c r="AA195" s="35"/>
    </row>
    <row r="196">
      <c r="A196" s="35"/>
      <c r="B196" s="27"/>
      <c r="C196" s="35"/>
      <c r="D196" s="35"/>
      <c r="E196" s="26"/>
      <c r="F196" s="51"/>
      <c r="G196" s="51"/>
      <c r="H196" s="51"/>
      <c r="I196" s="51"/>
      <c r="J196" s="27"/>
      <c r="K196" s="35"/>
      <c r="L196" s="35"/>
      <c r="M196" s="35"/>
      <c r="N196" s="35"/>
      <c r="O196" s="35"/>
      <c r="P196" s="35"/>
      <c r="Q196" s="35"/>
      <c r="R196" s="35"/>
      <c r="S196" s="35"/>
      <c r="T196" s="35"/>
      <c r="U196" s="35"/>
      <c r="V196" s="35"/>
      <c r="W196" s="35"/>
      <c r="X196" s="35"/>
      <c r="Y196" s="35"/>
      <c r="Z196" s="35"/>
      <c r="AA196" s="35"/>
    </row>
    <row r="197">
      <c r="A197" s="35"/>
      <c r="B197" s="27"/>
      <c r="C197" s="35"/>
      <c r="D197" s="35"/>
      <c r="E197" s="26"/>
      <c r="F197" s="51"/>
      <c r="G197" s="51"/>
      <c r="H197" s="51"/>
      <c r="I197" s="51"/>
      <c r="J197" s="27"/>
      <c r="K197" s="35"/>
      <c r="L197" s="35"/>
      <c r="M197" s="35"/>
      <c r="N197" s="35"/>
      <c r="O197" s="35"/>
      <c r="P197" s="35"/>
      <c r="Q197" s="35"/>
      <c r="R197" s="35"/>
      <c r="S197" s="35"/>
      <c r="T197" s="35"/>
      <c r="U197" s="35"/>
      <c r="V197" s="35"/>
      <c r="W197" s="35"/>
      <c r="X197" s="35"/>
      <c r="Y197" s="35"/>
      <c r="Z197" s="35"/>
      <c r="AA197" s="35"/>
    </row>
    <row r="198">
      <c r="A198" s="35"/>
      <c r="B198" s="27"/>
      <c r="C198" s="35"/>
      <c r="D198" s="35"/>
      <c r="E198" s="26"/>
      <c r="F198" s="51"/>
      <c r="G198" s="51"/>
      <c r="H198" s="51"/>
      <c r="I198" s="51"/>
      <c r="J198" s="27"/>
      <c r="K198" s="35"/>
      <c r="L198" s="35"/>
      <c r="M198" s="35"/>
      <c r="N198" s="35"/>
      <c r="O198" s="35"/>
      <c r="P198" s="35"/>
      <c r="Q198" s="35"/>
      <c r="R198" s="35"/>
      <c r="S198" s="35"/>
      <c r="T198" s="35"/>
      <c r="U198" s="35"/>
      <c r="V198" s="35"/>
      <c r="W198" s="35"/>
      <c r="X198" s="35"/>
      <c r="Y198" s="35"/>
      <c r="Z198" s="35"/>
      <c r="AA198" s="35"/>
    </row>
    <row r="199">
      <c r="A199" s="35"/>
      <c r="B199" s="27"/>
      <c r="C199" s="35"/>
      <c r="D199" s="35"/>
      <c r="E199" s="26"/>
      <c r="F199" s="51"/>
      <c r="G199" s="51"/>
      <c r="H199" s="51"/>
      <c r="I199" s="51"/>
      <c r="J199" s="27"/>
      <c r="K199" s="35"/>
      <c r="L199" s="35"/>
      <c r="M199" s="35"/>
      <c r="N199" s="35"/>
      <c r="O199" s="35"/>
      <c r="P199" s="35"/>
      <c r="Q199" s="35"/>
      <c r="R199" s="35"/>
      <c r="S199" s="35"/>
      <c r="T199" s="35"/>
      <c r="U199" s="35"/>
      <c r="V199" s="35"/>
      <c r="W199" s="35"/>
      <c r="X199" s="35"/>
      <c r="Y199" s="35"/>
      <c r="Z199" s="35"/>
      <c r="AA199" s="35"/>
    </row>
    <row r="200">
      <c r="A200" s="35"/>
      <c r="B200" s="27"/>
      <c r="C200" s="35"/>
      <c r="D200" s="35"/>
      <c r="E200" s="26"/>
      <c r="F200" s="51"/>
      <c r="G200" s="51"/>
      <c r="H200" s="51"/>
      <c r="I200" s="51"/>
      <c r="J200" s="27"/>
      <c r="K200" s="35"/>
      <c r="L200" s="35"/>
      <c r="M200" s="35"/>
      <c r="N200" s="35"/>
      <c r="O200" s="35"/>
      <c r="P200" s="35"/>
      <c r="Q200" s="35"/>
      <c r="R200" s="35"/>
      <c r="S200" s="35"/>
      <c r="T200" s="35"/>
      <c r="U200" s="35"/>
      <c r="V200" s="35"/>
      <c r="W200" s="35"/>
      <c r="X200" s="35"/>
      <c r="Y200" s="35"/>
      <c r="Z200" s="35"/>
      <c r="AA200" s="35"/>
    </row>
    <row r="201">
      <c r="A201" s="35"/>
      <c r="B201" s="27"/>
      <c r="C201" s="35"/>
      <c r="D201" s="35"/>
      <c r="E201" s="26"/>
      <c r="F201" s="51"/>
      <c r="G201" s="51"/>
      <c r="H201" s="51"/>
      <c r="I201" s="51"/>
      <c r="J201" s="27"/>
      <c r="K201" s="35"/>
      <c r="L201" s="35"/>
      <c r="M201" s="35"/>
      <c r="N201" s="35"/>
      <c r="O201" s="35"/>
      <c r="P201" s="35"/>
      <c r="Q201" s="35"/>
      <c r="R201" s="35"/>
      <c r="S201" s="35"/>
      <c r="T201" s="35"/>
      <c r="U201" s="35"/>
      <c r="V201" s="35"/>
      <c r="W201" s="35"/>
      <c r="X201" s="35"/>
      <c r="Y201" s="35"/>
      <c r="Z201" s="35"/>
      <c r="AA201" s="35"/>
    </row>
    <row r="202">
      <c r="A202" s="35"/>
      <c r="B202" s="27"/>
      <c r="C202" s="35"/>
      <c r="D202" s="35"/>
      <c r="E202" s="26"/>
      <c r="F202" s="51"/>
      <c r="G202" s="51"/>
      <c r="H202" s="51"/>
      <c r="I202" s="51"/>
      <c r="J202" s="27"/>
      <c r="K202" s="35"/>
      <c r="L202" s="35"/>
      <c r="M202" s="35"/>
      <c r="N202" s="35"/>
      <c r="O202" s="35"/>
      <c r="P202" s="35"/>
      <c r="Q202" s="35"/>
      <c r="R202" s="35"/>
      <c r="S202" s="35"/>
      <c r="T202" s="35"/>
      <c r="U202" s="35"/>
      <c r="V202" s="35"/>
      <c r="W202" s="35"/>
      <c r="X202" s="35"/>
      <c r="Y202" s="35"/>
      <c r="Z202" s="35"/>
      <c r="AA202" s="35"/>
    </row>
    <row r="203">
      <c r="A203" s="35"/>
      <c r="B203" s="27"/>
      <c r="C203" s="35"/>
      <c r="D203" s="35"/>
      <c r="E203" s="26"/>
      <c r="F203" s="51"/>
      <c r="G203" s="51"/>
      <c r="H203" s="51"/>
      <c r="I203" s="51"/>
      <c r="J203" s="27"/>
      <c r="K203" s="35"/>
      <c r="L203" s="35"/>
      <c r="M203" s="35"/>
      <c r="N203" s="35"/>
      <c r="O203" s="35"/>
      <c r="P203" s="35"/>
      <c r="Q203" s="35"/>
      <c r="R203" s="35"/>
      <c r="S203" s="35"/>
      <c r="T203" s="35"/>
      <c r="U203" s="35"/>
      <c r="V203" s="35"/>
      <c r="W203" s="35"/>
      <c r="X203" s="35"/>
      <c r="Y203" s="35"/>
      <c r="Z203" s="35"/>
      <c r="AA203" s="35"/>
    </row>
    <row r="204">
      <c r="A204" s="35"/>
      <c r="B204" s="27"/>
      <c r="C204" s="35"/>
      <c r="D204" s="35"/>
      <c r="E204" s="26"/>
      <c r="F204" s="51"/>
      <c r="G204" s="51"/>
      <c r="H204" s="51"/>
      <c r="I204" s="51"/>
      <c r="J204" s="27"/>
      <c r="K204" s="35"/>
      <c r="L204" s="35"/>
      <c r="M204" s="35"/>
      <c r="N204" s="35"/>
      <c r="O204" s="35"/>
      <c r="P204" s="35"/>
      <c r="Q204" s="35"/>
      <c r="R204" s="35"/>
      <c r="S204" s="35"/>
      <c r="T204" s="35"/>
      <c r="U204" s="35"/>
      <c r="V204" s="35"/>
      <c r="W204" s="35"/>
      <c r="X204" s="35"/>
      <c r="Y204" s="35"/>
      <c r="Z204" s="35"/>
      <c r="AA204" s="35"/>
    </row>
    <row r="205">
      <c r="A205" s="35"/>
      <c r="B205" s="27"/>
      <c r="C205" s="35"/>
      <c r="D205" s="35"/>
      <c r="E205" s="26"/>
      <c r="F205" s="51"/>
      <c r="G205" s="51"/>
      <c r="H205" s="51"/>
      <c r="I205" s="51"/>
      <c r="J205" s="27"/>
      <c r="K205" s="35"/>
      <c r="L205" s="35"/>
      <c r="M205" s="35"/>
      <c r="N205" s="35"/>
      <c r="O205" s="35"/>
      <c r="P205" s="35"/>
      <c r="Q205" s="35"/>
      <c r="R205" s="35"/>
      <c r="S205" s="35"/>
      <c r="T205" s="35"/>
      <c r="U205" s="35"/>
      <c r="V205" s="35"/>
      <c r="W205" s="35"/>
      <c r="X205" s="35"/>
      <c r="Y205" s="35"/>
      <c r="Z205" s="35"/>
      <c r="AA205" s="35"/>
    </row>
    <row r="206">
      <c r="A206" s="35"/>
      <c r="B206" s="27"/>
      <c r="C206" s="35"/>
      <c r="D206" s="35"/>
      <c r="E206" s="26"/>
      <c r="F206" s="51"/>
      <c r="G206" s="51"/>
      <c r="H206" s="51"/>
      <c r="I206" s="51"/>
      <c r="J206" s="27"/>
      <c r="K206" s="35"/>
      <c r="L206" s="35"/>
      <c r="M206" s="35"/>
      <c r="N206" s="35"/>
      <c r="O206" s="35"/>
      <c r="P206" s="35"/>
      <c r="Q206" s="35"/>
      <c r="R206" s="35"/>
      <c r="S206" s="35"/>
      <c r="T206" s="35"/>
      <c r="U206" s="35"/>
      <c r="V206" s="35"/>
      <c r="W206" s="35"/>
      <c r="X206" s="35"/>
      <c r="Y206" s="35"/>
      <c r="Z206" s="35"/>
      <c r="AA206" s="35"/>
    </row>
    <row r="207">
      <c r="A207" s="35"/>
      <c r="B207" s="27"/>
      <c r="C207" s="35"/>
      <c r="D207" s="35"/>
      <c r="E207" s="26"/>
      <c r="F207" s="51"/>
      <c r="G207" s="51"/>
      <c r="H207" s="51"/>
      <c r="I207" s="51"/>
      <c r="J207" s="27"/>
      <c r="K207" s="35"/>
      <c r="L207" s="35"/>
      <c r="M207" s="35"/>
      <c r="N207" s="35"/>
      <c r="O207" s="35"/>
      <c r="P207" s="35"/>
      <c r="Q207" s="35"/>
      <c r="R207" s="35"/>
      <c r="S207" s="35"/>
      <c r="T207" s="35"/>
      <c r="U207" s="35"/>
      <c r="V207" s="35"/>
      <c r="W207" s="35"/>
      <c r="X207" s="35"/>
      <c r="Y207" s="35"/>
      <c r="Z207" s="35"/>
      <c r="AA207" s="35"/>
    </row>
    <row r="208">
      <c r="A208" s="35"/>
      <c r="B208" s="27"/>
      <c r="C208" s="35"/>
      <c r="D208" s="35"/>
      <c r="E208" s="26"/>
      <c r="F208" s="51"/>
      <c r="G208" s="51"/>
      <c r="H208" s="51"/>
      <c r="I208" s="51"/>
      <c r="J208" s="27"/>
      <c r="K208" s="35"/>
      <c r="L208" s="35"/>
      <c r="M208" s="35"/>
      <c r="N208" s="35"/>
      <c r="O208" s="35"/>
      <c r="P208" s="35"/>
      <c r="Q208" s="35"/>
      <c r="R208" s="35"/>
      <c r="S208" s="35"/>
      <c r="T208" s="35"/>
      <c r="U208" s="35"/>
      <c r="V208" s="35"/>
      <c r="W208" s="35"/>
      <c r="X208" s="35"/>
      <c r="Y208" s="35"/>
      <c r="Z208" s="35"/>
      <c r="AA208" s="35"/>
    </row>
    <row r="209">
      <c r="A209" s="35"/>
      <c r="B209" s="27"/>
      <c r="C209" s="35"/>
      <c r="D209" s="35"/>
      <c r="E209" s="26"/>
      <c r="F209" s="51"/>
      <c r="G209" s="51"/>
      <c r="H209" s="51"/>
      <c r="I209" s="51"/>
      <c r="J209" s="27"/>
      <c r="K209" s="35"/>
      <c r="L209" s="35"/>
      <c r="M209" s="35"/>
      <c r="N209" s="35"/>
      <c r="O209" s="35"/>
      <c r="P209" s="35"/>
      <c r="Q209" s="35"/>
      <c r="R209" s="35"/>
      <c r="S209" s="35"/>
      <c r="T209" s="35"/>
      <c r="U209" s="35"/>
      <c r="V209" s="35"/>
      <c r="W209" s="35"/>
      <c r="X209" s="35"/>
      <c r="Y209" s="35"/>
      <c r="Z209" s="35"/>
      <c r="AA209" s="35"/>
    </row>
    <row r="210">
      <c r="A210" s="35"/>
      <c r="B210" s="27"/>
      <c r="C210" s="35"/>
      <c r="D210" s="35"/>
      <c r="E210" s="26"/>
      <c r="F210" s="51"/>
      <c r="G210" s="51"/>
      <c r="H210" s="51"/>
      <c r="I210" s="51"/>
      <c r="J210" s="27"/>
      <c r="K210" s="35"/>
      <c r="L210" s="35"/>
      <c r="M210" s="35"/>
      <c r="N210" s="35"/>
      <c r="O210" s="35"/>
      <c r="P210" s="35"/>
      <c r="Q210" s="35"/>
      <c r="R210" s="35"/>
      <c r="S210" s="35"/>
      <c r="T210" s="35"/>
      <c r="U210" s="35"/>
      <c r="V210" s="35"/>
      <c r="W210" s="35"/>
      <c r="X210" s="35"/>
      <c r="Y210" s="35"/>
      <c r="Z210" s="35"/>
      <c r="AA210" s="35"/>
    </row>
    <row r="211">
      <c r="A211" s="35"/>
      <c r="B211" s="27"/>
      <c r="C211" s="35"/>
      <c r="D211" s="35"/>
      <c r="E211" s="26"/>
      <c r="F211" s="51"/>
      <c r="G211" s="51"/>
      <c r="H211" s="51"/>
      <c r="I211" s="51"/>
      <c r="J211" s="27"/>
      <c r="K211" s="35"/>
      <c r="L211" s="35"/>
      <c r="M211" s="35"/>
      <c r="N211" s="35"/>
      <c r="O211" s="35"/>
      <c r="P211" s="35"/>
      <c r="Q211" s="35"/>
      <c r="R211" s="35"/>
      <c r="S211" s="35"/>
      <c r="T211" s="35"/>
      <c r="U211" s="35"/>
      <c r="V211" s="35"/>
      <c r="W211" s="35"/>
      <c r="X211" s="35"/>
      <c r="Y211" s="35"/>
      <c r="Z211" s="35"/>
      <c r="AA211" s="35"/>
    </row>
    <row r="212">
      <c r="A212" s="35"/>
      <c r="B212" s="27"/>
      <c r="C212" s="35"/>
      <c r="D212" s="35"/>
      <c r="E212" s="26"/>
      <c r="F212" s="51"/>
      <c r="G212" s="51"/>
      <c r="H212" s="51"/>
      <c r="I212" s="51"/>
      <c r="J212" s="27"/>
      <c r="K212" s="35"/>
      <c r="L212" s="35"/>
      <c r="M212" s="35"/>
      <c r="N212" s="35"/>
      <c r="O212" s="35"/>
      <c r="P212" s="35"/>
      <c r="Q212" s="35"/>
      <c r="R212" s="35"/>
      <c r="S212" s="35"/>
      <c r="T212" s="35"/>
      <c r="U212" s="35"/>
      <c r="V212" s="35"/>
      <c r="W212" s="35"/>
      <c r="X212" s="35"/>
      <c r="Y212" s="35"/>
      <c r="Z212" s="35"/>
      <c r="AA212" s="35"/>
    </row>
    <row r="213">
      <c r="A213" s="35"/>
      <c r="B213" s="27"/>
      <c r="C213" s="35"/>
      <c r="D213" s="35"/>
      <c r="E213" s="26"/>
      <c r="F213" s="51"/>
      <c r="G213" s="51"/>
      <c r="H213" s="51"/>
      <c r="I213" s="51"/>
      <c r="J213" s="27"/>
      <c r="K213" s="35"/>
      <c r="L213" s="35"/>
      <c r="M213" s="35"/>
      <c r="N213" s="35"/>
      <c r="O213" s="35"/>
      <c r="P213" s="35"/>
      <c r="Q213" s="35"/>
      <c r="R213" s="35"/>
      <c r="S213" s="35"/>
      <c r="T213" s="35"/>
      <c r="U213" s="35"/>
      <c r="V213" s="35"/>
      <c r="W213" s="35"/>
      <c r="X213" s="35"/>
      <c r="Y213" s="35"/>
      <c r="Z213" s="35"/>
      <c r="AA213" s="35"/>
    </row>
    <row r="214">
      <c r="A214" s="35"/>
      <c r="B214" s="27"/>
      <c r="C214" s="35"/>
      <c r="D214" s="35"/>
      <c r="E214" s="26"/>
      <c r="F214" s="51"/>
      <c r="G214" s="51"/>
      <c r="H214" s="51"/>
      <c r="I214" s="51"/>
      <c r="J214" s="27"/>
      <c r="K214" s="35"/>
      <c r="L214" s="35"/>
      <c r="M214" s="35"/>
      <c r="N214" s="35"/>
      <c r="O214" s="35"/>
      <c r="P214" s="35"/>
      <c r="Q214" s="35"/>
      <c r="R214" s="35"/>
      <c r="S214" s="35"/>
      <c r="T214" s="35"/>
      <c r="U214" s="35"/>
      <c r="V214" s="35"/>
      <c r="W214" s="35"/>
      <c r="X214" s="35"/>
      <c r="Y214" s="35"/>
      <c r="Z214" s="35"/>
      <c r="AA214" s="35"/>
    </row>
    <row r="215">
      <c r="A215" s="35"/>
      <c r="B215" s="27"/>
      <c r="C215" s="35"/>
      <c r="D215" s="35"/>
      <c r="E215" s="26"/>
      <c r="F215" s="51"/>
      <c r="G215" s="51"/>
      <c r="H215" s="51"/>
      <c r="I215" s="51"/>
      <c r="J215" s="27"/>
      <c r="K215" s="35"/>
      <c r="L215" s="35"/>
      <c r="M215" s="35"/>
      <c r="N215" s="35"/>
      <c r="O215" s="35"/>
      <c r="P215" s="35"/>
      <c r="Q215" s="35"/>
      <c r="R215" s="35"/>
      <c r="S215" s="35"/>
      <c r="T215" s="35"/>
      <c r="U215" s="35"/>
      <c r="V215" s="35"/>
      <c r="W215" s="35"/>
      <c r="X215" s="35"/>
      <c r="Y215" s="35"/>
      <c r="Z215" s="35"/>
      <c r="AA215" s="35"/>
    </row>
    <row r="216">
      <c r="A216" s="35"/>
      <c r="B216" s="27"/>
      <c r="C216" s="35"/>
      <c r="D216" s="35"/>
      <c r="E216" s="26"/>
      <c r="F216" s="51"/>
      <c r="G216" s="51"/>
      <c r="H216" s="51"/>
      <c r="I216" s="51"/>
      <c r="J216" s="27"/>
      <c r="K216" s="35"/>
      <c r="L216" s="35"/>
      <c r="M216" s="35"/>
      <c r="N216" s="35"/>
      <c r="O216" s="35"/>
      <c r="P216" s="35"/>
      <c r="Q216" s="35"/>
      <c r="R216" s="35"/>
      <c r="S216" s="35"/>
      <c r="T216" s="35"/>
      <c r="U216" s="35"/>
      <c r="V216" s="35"/>
      <c r="W216" s="35"/>
      <c r="X216" s="35"/>
      <c r="Y216" s="35"/>
      <c r="Z216" s="35"/>
      <c r="AA216" s="35"/>
    </row>
    <row r="217">
      <c r="A217" s="35"/>
      <c r="B217" s="27"/>
      <c r="C217" s="35"/>
      <c r="D217" s="35"/>
      <c r="E217" s="26"/>
      <c r="F217" s="51"/>
      <c r="G217" s="51"/>
      <c r="H217" s="51"/>
      <c r="I217" s="51"/>
      <c r="J217" s="27"/>
      <c r="K217" s="35"/>
      <c r="L217" s="35"/>
      <c r="M217" s="35"/>
      <c r="N217" s="35"/>
      <c r="O217" s="35"/>
      <c r="P217" s="35"/>
      <c r="Q217" s="35"/>
      <c r="R217" s="35"/>
      <c r="S217" s="35"/>
      <c r="T217" s="35"/>
      <c r="U217" s="35"/>
      <c r="V217" s="35"/>
      <c r="W217" s="35"/>
      <c r="X217" s="35"/>
      <c r="Y217" s="35"/>
      <c r="Z217" s="35"/>
      <c r="AA217" s="35"/>
    </row>
    <row r="218">
      <c r="A218" s="35"/>
      <c r="B218" s="27"/>
      <c r="C218" s="35"/>
      <c r="D218" s="35"/>
      <c r="E218" s="26"/>
      <c r="F218" s="51"/>
      <c r="G218" s="51"/>
      <c r="H218" s="51"/>
      <c r="I218" s="51"/>
      <c r="J218" s="27"/>
      <c r="K218" s="35"/>
      <c r="L218" s="35"/>
      <c r="M218" s="35"/>
      <c r="N218" s="35"/>
      <c r="O218" s="35"/>
      <c r="P218" s="35"/>
      <c r="Q218" s="35"/>
      <c r="R218" s="35"/>
      <c r="S218" s="35"/>
      <c r="T218" s="35"/>
      <c r="U218" s="35"/>
      <c r="V218" s="35"/>
      <c r="W218" s="35"/>
      <c r="X218" s="35"/>
      <c r="Y218" s="35"/>
      <c r="Z218" s="35"/>
      <c r="AA218" s="35"/>
    </row>
    <row r="219">
      <c r="A219" s="35"/>
      <c r="B219" s="27"/>
      <c r="C219" s="35"/>
      <c r="D219" s="35"/>
      <c r="E219" s="26"/>
      <c r="F219" s="51"/>
      <c r="G219" s="51"/>
      <c r="H219" s="51"/>
      <c r="I219" s="51"/>
      <c r="J219" s="27"/>
      <c r="K219" s="35"/>
      <c r="L219" s="35"/>
      <c r="M219" s="35"/>
      <c r="N219" s="35"/>
      <c r="O219" s="35"/>
      <c r="P219" s="35"/>
      <c r="Q219" s="35"/>
      <c r="R219" s="35"/>
      <c r="S219" s="35"/>
      <c r="T219" s="35"/>
      <c r="U219" s="35"/>
      <c r="V219" s="35"/>
      <c r="W219" s="35"/>
      <c r="X219" s="35"/>
      <c r="Y219" s="35"/>
      <c r="Z219" s="35"/>
      <c r="AA219" s="35"/>
    </row>
    <row r="220">
      <c r="A220" s="35"/>
      <c r="B220" s="27"/>
      <c r="C220" s="35"/>
      <c r="D220" s="35"/>
      <c r="E220" s="26"/>
      <c r="F220" s="51"/>
      <c r="G220" s="51"/>
      <c r="H220" s="51"/>
      <c r="I220" s="51"/>
      <c r="J220" s="27"/>
      <c r="K220" s="35"/>
      <c r="L220" s="35"/>
      <c r="M220" s="35"/>
      <c r="N220" s="35"/>
      <c r="O220" s="35"/>
      <c r="P220" s="35"/>
      <c r="Q220" s="35"/>
      <c r="R220" s="35"/>
      <c r="S220" s="35"/>
      <c r="T220" s="35"/>
      <c r="U220" s="35"/>
      <c r="V220" s="35"/>
      <c r="W220" s="35"/>
      <c r="X220" s="35"/>
      <c r="Y220" s="35"/>
      <c r="Z220" s="35"/>
      <c r="AA220" s="35"/>
    </row>
    <row r="221">
      <c r="A221" s="35"/>
      <c r="B221" s="27"/>
      <c r="C221" s="35"/>
      <c r="D221" s="35"/>
      <c r="E221" s="26"/>
      <c r="F221" s="51"/>
      <c r="G221" s="51"/>
      <c r="H221" s="51"/>
      <c r="I221" s="51"/>
      <c r="J221" s="27"/>
      <c r="K221" s="35"/>
      <c r="L221" s="35"/>
      <c r="M221" s="35"/>
      <c r="N221" s="35"/>
      <c r="O221" s="35"/>
      <c r="P221" s="35"/>
      <c r="Q221" s="35"/>
      <c r="R221" s="35"/>
      <c r="S221" s="35"/>
      <c r="T221" s="35"/>
      <c r="U221" s="35"/>
      <c r="V221" s="35"/>
      <c r="W221" s="35"/>
      <c r="X221" s="35"/>
      <c r="Y221" s="35"/>
      <c r="Z221" s="35"/>
      <c r="AA221" s="35"/>
    </row>
    <row r="222">
      <c r="A222" s="35"/>
      <c r="B222" s="27"/>
      <c r="C222" s="35"/>
      <c r="D222" s="35"/>
      <c r="E222" s="26"/>
      <c r="F222" s="51"/>
      <c r="G222" s="51"/>
      <c r="H222" s="51"/>
      <c r="I222" s="51"/>
      <c r="J222" s="27"/>
      <c r="K222" s="35"/>
      <c r="L222" s="35"/>
      <c r="M222" s="35"/>
      <c r="N222" s="35"/>
      <c r="O222" s="35"/>
      <c r="P222" s="35"/>
      <c r="Q222" s="35"/>
      <c r="R222" s="35"/>
      <c r="S222" s="35"/>
      <c r="T222" s="35"/>
      <c r="U222" s="35"/>
      <c r="V222" s="35"/>
      <c r="W222" s="35"/>
      <c r="X222" s="35"/>
      <c r="Y222" s="35"/>
      <c r="Z222" s="35"/>
      <c r="AA222" s="35"/>
    </row>
    <row r="223">
      <c r="A223" s="35"/>
      <c r="B223" s="27"/>
      <c r="C223" s="35"/>
      <c r="D223" s="35"/>
      <c r="E223" s="26"/>
      <c r="F223" s="51"/>
      <c r="G223" s="51"/>
      <c r="H223" s="51"/>
      <c r="I223" s="51"/>
      <c r="J223" s="27"/>
      <c r="K223" s="35"/>
      <c r="L223" s="35"/>
      <c r="M223" s="35"/>
      <c r="N223" s="35"/>
      <c r="O223" s="35"/>
      <c r="P223" s="35"/>
      <c r="Q223" s="35"/>
      <c r="R223" s="35"/>
      <c r="S223" s="35"/>
      <c r="T223" s="35"/>
      <c r="U223" s="35"/>
      <c r="V223" s="35"/>
      <c r="W223" s="35"/>
      <c r="X223" s="35"/>
      <c r="Y223" s="35"/>
      <c r="Z223" s="35"/>
      <c r="AA223" s="35"/>
    </row>
    <row r="224">
      <c r="A224" s="35"/>
      <c r="B224" s="27"/>
      <c r="C224" s="35"/>
      <c r="D224" s="35"/>
      <c r="E224" s="26"/>
      <c r="F224" s="51"/>
      <c r="G224" s="51"/>
      <c r="H224" s="51"/>
      <c r="I224" s="51"/>
      <c r="J224" s="27"/>
      <c r="K224" s="35"/>
      <c r="L224" s="35"/>
      <c r="M224" s="35"/>
      <c r="N224" s="35"/>
      <c r="O224" s="35"/>
      <c r="P224" s="35"/>
      <c r="Q224" s="35"/>
      <c r="R224" s="35"/>
      <c r="S224" s="35"/>
      <c r="T224" s="35"/>
      <c r="U224" s="35"/>
      <c r="V224" s="35"/>
      <c r="W224" s="35"/>
      <c r="X224" s="35"/>
      <c r="Y224" s="35"/>
      <c r="Z224" s="35"/>
      <c r="AA224" s="35"/>
    </row>
    <row r="225">
      <c r="A225" s="35"/>
      <c r="B225" s="27"/>
      <c r="C225" s="35"/>
      <c r="D225" s="35"/>
      <c r="E225" s="26"/>
      <c r="F225" s="51"/>
      <c r="G225" s="51"/>
      <c r="H225" s="51"/>
      <c r="I225" s="51"/>
      <c r="J225" s="27"/>
      <c r="K225" s="35"/>
      <c r="L225" s="35"/>
      <c r="M225" s="35"/>
      <c r="N225" s="35"/>
      <c r="O225" s="35"/>
      <c r="P225" s="35"/>
      <c r="Q225" s="35"/>
      <c r="R225" s="35"/>
      <c r="S225" s="35"/>
      <c r="T225" s="35"/>
      <c r="U225" s="35"/>
      <c r="V225" s="35"/>
      <c r="W225" s="35"/>
      <c r="X225" s="35"/>
      <c r="Y225" s="35"/>
      <c r="Z225" s="35"/>
      <c r="AA225" s="35"/>
    </row>
    <row r="226">
      <c r="A226" s="35"/>
      <c r="B226" s="27"/>
      <c r="C226" s="35"/>
      <c r="D226" s="35"/>
      <c r="E226" s="26"/>
      <c r="F226" s="51"/>
      <c r="G226" s="51"/>
      <c r="H226" s="51"/>
      <c r="I226" s="51"/>
      <c r="J226" s="27"/>
      <c r="K226" s="35"/>
      <c r="L226" s="35"/>
      <c r="M226" s="35"/>
      <c r="N226" s="35"/>
      <c r="O226" s="35"/>
      <c r="P226" s="35"/>
      <c r="Q226" s="35"/>
      <c r="R226" s="35"/>
      <c r="S226" s="35"/>
      <c r="T226" s="35"/>
      <c r="U226" s="35"/>
      <c r="V226" s="35"/>
      <c r="W226" s="35"/>
      <c r="X226" s="35"/>
      <c r="Y226" s="35"/>
      <c r="Z226" s="35"/>
      <c r="AA226" s="35"/>
    </row>
    <row r="227">
      <c r="A227" s="35"/>
      <c r="B227" s="27"/>
      <c r="C227" s="35"/>
      <c r="D227" s="35"/>
      <c r="E227" s="26"/>
      <c r="F227" s="51"/>
      <c r="G227" s="51"/>
      <c r="H227" s="51"/>
      <c r="I227" s="51"/>
      <c r="J227" s="27"/>
      <c r="K227" s="35"/>
      <c r="L227" s="35"/>
      <c r="M227" s="35"/>
      <c r="N227" s="35"/>
      <c r="O227" s="35"/>
      <c r="P227" s="35"/>
      <c r="Q227" s="35"/>
      <c r="R227" s="35"/>
      <c r="S227" s="35"/>
      <c r="T227" s="35"/>
      <c r="U227" s="35"/>
      <c r="V227" s="35"/>
      <c r="W227" s="35"/>
      <c r="X227" s="35"/>
      <c r="Y227" s="35"/>
      <c r="Z227" s="35"/>
      <c r="AA227" s="35"/>
    </row>
    <row r="228">
      <c r="A228" s="35"/>
      <c r="B228" s="27"/>
      <c r="C228" s="35"/>
      <c r="D228" s="35"/>
      <c r="E228" s="26"/>
      <c r="F228" s="51"/>
      <c r="G228" s="51"/>
      <c r="H228" s="51"/>
      <c r="I228" s="51"/>
      <c r="J228" s="27"/>
      <c r="K228" s="35"/>
      <c r="L228" s="35"/>
      <c r="M228" s="35"/>
      <c r="N228" s="35"/>
      <c r="O228" s="35"/>
      <c r="P228" s="35"/>
      <c r="Q228" s="35"/>
      <c r="R228" s="35"/>
      <c r="S228" s="35"/>
      <c r="T228" s="35"/>
      <c r="U228" s="35"/>
      <c r="V228" s="35"/>
      <c r="W228" s="35"/>
      <c r="X228" s="35"/>
      <c r="Y228" s="35"/>
      <c r="Z228" s="35"/>
      <c r="AA228" s="35"/>
    </row>
    <row r="229">
      <c r="A229" s="35"/>
      <c r="B229" s="27"/>
      <c r="C229" s="35"/>
      <c r="D229" s="35"/>
      <c r="E229" s="26"/>
      <c r="F229" s="51"/>
      <c r="G229" s="51"/>
      <c r="H229" s="51"/>
      <c r="I229" s="51"/>
      <c r="J229" s="27"/>
      <c r="K229" s="35"/>
      <c r="L229" s="35"/>
      <c r="M229" s="35"/>
      <c r="N229" s="35"/>
      <c r="O229" s="35"/>
      <c r="P229" s="35"/>
      <c r="Q229" s="35"/>
      <c r="R229" s="35"/>
      <c r="S229" s="35"/>
      <c r="T229" s="35"/>
      <c r="U229" s="35"/>
      <c r="V229" s="35"/>
      <c r="W229" s="35"/>
      <c r="X229" s="35"/>
      <c r="Y229" s="35"/>
      <c r="Z229" s="35"/>
      <c r="AA229" s="35"/>
    </row>
    <row r="230">
      <c r="A230" s="35"/>
      <c r="B230" s="27"/>
      <c r="C230" s="35"/>
      <c r="D230" s="35"/>
      <c r="E230" s="26"/>
      <c r="F230" s="51"/>
      <c r="G230" s="51"/>
      <c r="H230" s="51"/>
      <c r="I230" s="51"/>
      <c r="J230" s="27"/>
      <c r="K230" s="35"/>
      <c r="L230" s="35"/>
      <c r="M230" s="35"/>
      <c r="N230" s="35"/>
      <c r="O230" s="35"/>
      <c r="P230" s="35"/>
      <c r="Q230" s="35"/>
      <c r="R230" s="35"/>
      <c r="S230" s="35"/>
      <c r="T230" s="35"/>
      <c r="U230" s="35"/>
      <c r="V230" s="35"/>
      <c r="W230" s="35"/>
      <c r="X230" s="35"/>
      <c r="Y230" s="35"/>
      <c r="Z230" s="35"/>
      <c r="AA230" s="35"/>
    </row>
    <row r="231">
      <c r="A231" s="35"/>
      <c r="B231" s="27"/>
      <c r="C231" s="35"/>
      <c r="D231" s="35"/>
      <c r="E231" s="26"/>
      <c r="F231" s="51"/>
      <c r="G231" s="51"/>
      <c r="H231" s="51"/>
      <c r="I231" s="51"/>
      <c r="J231" s="27"/>
      <c r="K231" s="35"/>
      <c r="L231" s="35"/>
      <c r="M231" s="35"/>
      <c r="N231" s="35"/>
      <c r="O231" s="35"/>
      <c r="P231" s="35"/>
      <c r="Q231" s="35"/>
      <c r="R231" s="35"/>
      <c r="S231" s="35"/>
      <c r="T231" s="35"/>
      <c r="U231" s="35"/>
      <c r="V231" s="35"/>
      <c r="W231" s="35"/>
      <c r="X231" s="35"/>
      <c r="Y231" s="35"/>
      <c r="Z231" s="35"/>
      <c r="AA231" s="35"/>
    </row>
    <row r="232">
      <c r="A232" s="35"/>
      <c r="B232" s="27"/>
      <c r="C232" s="35"/>
      <c r="D232" s="35"/>
      <c r="E232" s="26"/>
      <c r="F232" s="51"/>
      <c r="G232" s="51"/>
      <c r="H232" s="51"/>
      <c r="I232" s="51"/>
      <c r="J232" s="27"/>
      <c r="K232" s="35"/>
      <c r="L232" s="35"/>
      <c r="M232" s="35"/>
      <c r="N232" s="35"/>
      <c r="O232" s="35"/>
      <c r="P232" s="35"/>
      <c r="Q232" s="35"/>
      <c r="R232" s="35"/>
      <c r="S232" s="35"/>
      <c r="T232" s="35"/>
      <c r="U232" s="35"/>
      <c r="V232" s="35"/>
      <c r="W232" s="35"/>
      <c r="X232" s="35"/>
      <c r="Y232" s="35"/>
      <c r="Z232" s="35"/>
      <c r="AA232" s="35"/>
    </row>
    <row r="233">
      <c r="A233" s="35"/>
      <c r="B233" s="27"/>
      <c r="C233" s="35"/>
      <c r="D233" s="35"/>
      <c r="E233" s="26"/>
      <c r="F233" s="51"/>
      <c r="G233" s="51"/>
      <c r="H233" s="51"/>
      <c r="I233" s="51"/>
      <c r="J233" s="27"/>
      <c r="K233" s="35"/>
      <c r="L233" s="35"/>
      <c r="M233" s="35"/>
      <c r="N233" s="35"/>
      <c r="O233" s="35"/>
      <c r="P233" s="35"/>
      <c r="Q233" s="35"/>
      <c r="R233" s="35"/>
      <c r="S233" s="35"/>
      <c r="T233" s="35"/>
      <c r="U233" s="35"/>
      <c r="V233" s="35"/>
      <c r="W233" s="35"/>
      <c r="X233" s="35"/>
      <c r="Y233" s="35"/>
      <c r="Z233" s="35"/>
      <c r="AA233" s="35"/>
    </row>
  </sheetData>
  <mergeCells count="5">
    <mergeCell ref="B1:K1"/>
    <mergeCell ref="E33:F33"/>
    <mergeCell ref="G33:H33"/>
    <mergeCell ref="L33:M33"/>
    <mergeCell ref="N33:O33"/>
  </mergeCells>
  <dataValidations>
    <dataValidation type="list" allowBlank="1" sqref="H2">
      <formula1>"0%,5%,10%,15%,20%,25%,30%"</formula1>
    </dataValidation>
    <dataValidation type="list" allowBlank="1" showInputMessage="1" showErrorMessage="1" prompt="It indicates that % of task can be achieved using AI" sqref="D7:D31">
      <formula1>"0%,5%,7%,10%,12%,15%,17%,20%"</formula1>
    </dataValidation>
    <dataValidation type="decimal" allowBlank="1" showDropDown="1" showInputMessage="1" showErrorMessage="1" prompt="Enter a number between 1 and 6" sqref="F7:F16 M7:M32">
      <formula1>1.0</formula1>
      <formula2>6.0</formula2>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0"/>
  <cols>
    <col customWidth="1" min="1" max="1" width="4.63"/>
    <col customWidth="1" min="2" max="2" width="38.13"/>
    <col customWidth="1" min="3" max="3" width="38.5"/>
    <col customWidth="1" min="5" max="5" width="10.75"/>
    <col customWidth="1" min="6" max="6" width="5.38"/>
    <col customWidth="1" min="7" max="7" width="8.5"/>
    <col customWidth="1" min="8" max="8" width="9.25"/>
    <col customWidth="1" min="9" max="9" width="25.75"/>
    <col customWidth="1" min="10" max="10" width="25.25"/>
    <col customWidth="1" min="11" max="11" width="13.38"/>
    <col customWidth="1" min="12" max="12" width="24.75"/>
  </cols>
  <sheetData>
    <row r="1">
      <c r="A1" s="53"/>
      <c r="B1" s="53" t="s">
        <v>56</v>
      </c>
      <c r="L1" s="35"/>
      <c r="M1" s="35"/>
      <c r="N1" s="35"/>
      <c r="O1" s="35"/>
      <c r="P1" s="35"/>
      <c r="Q1" s="35"/>
      <c r="R1" s="35"/>
      <c r="S1" s="35"/>
      <c r="T1" s="35"/>
      <c r="U1" s="35"/>
      <c r="V1" s="35"/>
      <c r="W1" s="35"/>
      <c r="X1" s="35"/>
      <c r="Y1" s="35"/>
      <c r="Z1" s="35"/>
      <c r="AA1" s="35"/>
      <c r="AB1" s="35"/>
    </row>
    <row r="2">
      <c r="A2" s="55"/>
      <c r="B2" s="55" t="s">
        <v>57</v>
      </c>
      <c r="C2" s="57"/>
      <c r="E2" s="26"/>
      <c r="F2" s="58"/>
      <c r="G2" s="58"/>
      <c r="H2" s="59">
        <v>0.0</v>
      </c>
      <c r="I2" s="60" t="s">
        <v>58</v>
      </c>
      <c r="L2" s="35"/>
      <c r="M2" s="35"/>
      <c r="N2" s="35"/>
      <c r="O2" s="35"/>
      <c r="P2" s="35"/>
      <c r="Q2" s="35"/>
      <c r="R2" s="35"/>
      <c r="S2" s="35"/>
      <c r="T2" s="35"/>
      <c r="U2" s="35"/>
      <c r="V2" s="35"/>
      <c r="W2" s="35"/>
      <c r="X2" s="35"/>
      <c r="Y2" s="35"/>
      <c r="Z2" s="35"/>
      <c r="AA2" s="35"/>
      <c r="AB2" s="35"/>
    </row>
    <row r="3">
      <c r="A3" s="55"/>
      <c r="B3" s="55" t="s">
        <v>59</v>
      </c>
      <c r="C3" s="61">
        <v>45020.0</v>
      </c>
      <c r="E3" s="26"/>
      <c r="F3" s="58"/>
      <c r="G3" s="58"/>
      <c r="H3" s="62">
        <f>ROUNDUP(G33*H2,0)</f>
        <v>0</v>
      </c>
      <c r="I3" s="60" t="s">
        <v>60</v>
      </c>
      <c r="L3" s="35"/>
      <c r="M3" s="35"/>
      <c r="N3" s="35"/>
      <c r="O3" s="35"/>
      <c r="P3" s="35"/>
      <c r="Q3" s="35"/>
      <c r="R3" s="35"/>
      <c r="S3" s="35"/>
      <c r="T3" s="35"/>
      <c r="U3" s="35"/>
      <c r="V3" s="35"/>
      <c r="W3" s="35"/>
      <c r="X3" s="35"/>
      <c r="Y3" s="35"/>
      <c r="Z3" s="35"/>
      <c r="AA3" s="35"/>
      <c r="AB3" s="35"/>
    </row>
    <row r="4">
      <c r="A4" s="55"/>
      <c r="B4" s="55" t="s">
        <v>61</v>
      </c>
      <c r="C4" s="63">
        <f>ROUNDUP(sum(G33,H3),0)</f>
        <v>0</v>
      </c>
      <c r="E4" s="26"/>
      <c r="F4" s="51"/>
      <c r="G4" s="51"/>
      <c r="H4" s="51"/>
      <c r="I4" s="51"/>
      <c r="J4" s="27"/>
      <c r="K4" s="35"/>
      <c r="L4" s="64"/>
      <c r="M4" s="64" t="s">
        <v>62</v>
      </c>
      <c r="N4" s="57">
        <f>ROUNDUP(SUM(O33,H3),0)</f>
        <v>0</v>
      </c>
      <c r="O4" s="35"/>
      <c r="P4" s="35"/>
      <c r="Q4" s="35"/>
      <c r="R4" s="35"/>
      <c r="S4" s="35"/>
      <c r="T4" s="35"/>
      <c r="U4" s="35"/>
      <c r="V4" s="35"/>
      <c r="W4" s="35"/>
      <c r="X4" s="35"/>
      <c r="Y4" s="35"/>
      <c r="Z4" s="35"/>
      <c r="AA4" s="35"/>
      <c r="AB4" s="35"/>
    </row>
    <row r="5">
      <c r="A5" s="55"/>
      <c r="B5" s="65" t="s">
        <v>63</v>
      </c>
      <c r="C5" s="66"/>
      <c r="E5" s="35"/>
      <c r="F5" s="35"/>
      <c r="G5" s="35"/>
      <c r="H5" s="35"/>
      <c r="I5" s="35"/>
      <c r="J5" s="35"/>
      <c r="K5" s="35"/>
      <c r="N5" s="35"/>
      <c r="O5" s="35"/>
      <c r="P5" s="35"/>
      <c r="Q5" s="35"/>
      <c r="R5" s="35"/>
      <c r="S5" s="35"/>
      <c r="T5" s="35"/>
      <c r="U5" s="35"/>
      <c r="V5" s="35"/>
      <c r="W5" s="35"/>
      <c r="X5" s="35"/>
      <c r="Y5" s="35"/>
      <c r="Z5" s="35"/>
      <c r="AA5" s="35"/>
      <c r="AB5" s="35"/>
    </row>
    <row r="6">
      <c r="A6" s="68"/>
      <c r="B6" s="68" t="s">
        <v>64</v>
      </c>
      <c r="C6" s="68" t="s">
        <v>65</v>
      </c>
      <c r="D6" s="69" t="s">
        <v>66</v>
      </c>
      <c r="E6" s="21" t="s">
        <v>67</v>
      </c>
      <c r="F6" s="70" t="s">
        <v>68</v>
      </c>
      <c r="G6" s="71" t="s">
        <v>69</v>
      </c>
      <c r="H6" s="72" t="s">
        <v>70</v>
      </c>
      <c r="I6" s="69" t="s">
        <v>71</v>
      </c>
      <c r="J6" s="73" t="s">
        <v>72</v>
      </c>
      <c r="K6" s="73" t="s">
        <v>73</v>
      </c>
      <c r="L6" s="100" t="s">
        <v>87</v>
      </c>
      <c r="M6" s="74" t="s">
        <v>74</v>
      </c>
      <c r="N6" s="70" t="s">
        <v>68</v>
      </c>
      <c r="O6" s="71" t="s">
        <v>69</v>
      </c>
      <c r="P6" s="72" t="s">
        <v>70</v>
      </c>
      <c r="Q6" s="35"/>
      <c r="R6" s="35"/>
      <c r="S6" s="35"/>
      <c r="T6" s="35"/>
      <c r="U6" s="35"/>
      <c r="V6" s="35"/>
      <c r="W6" s="35"/>
      <c r="X6" s="35"/>
      <c r="Y6" s="35"/>
      <c r="Z6" s="35"/>
      <c r="AA6" s="35"/>
      <c r="AB6" s="35"/>
    </row>
    <row r="7">
      <c r="A7" s="75"/>
      <c r="B7" s="97" t="s">
        <v>88</v>
      </c>
      <c r="C7" s="35"/>
      <c r="D7" s="77">
        <v>0.07</v>
      </c>
      <c r="E7" s="78"/>
      <c r="F7" s="79">
        <v>6.0</v>
      </c>
      <c r="G7" s="80">
        <f t="array" ref="G7">ROUNDUP(IF(EQ(A7, ""),E7*INDEX(UncertaintyFactors!$C$2:$D$7, F7, 1), 0), 1)</f>
        <v>0</v>
      </c>
      <c r="H7" s="81">
        <f t="array" ref="H7">ROUNDUP(IF(EQ(A7, ""), E7*INDEX(UncertaintyFactors!$C$2:$D$7, F7, 2), 0), 1)</f>
        <v>0</v>
      </c>
      <c r="I7" s="51"/>
      <c r="J7" s="27"/>
      <c r="K7" s="82"/>
      <c r="L7" s="83"/>
      <c r="M7" s="83">
        <f t="shared" ref="M7:M31" si="1">E7-(E7*D7)</f>
        <v>0</v>
      </c>
      <c r="N7" s="84">
        <f t="shared" ref="N7:N32" si="2">F7</f>
        <v>6</v>
      </c>
      <c r="O7" s="85">
        <f t="array" ref="O7">ROUNDUP(IF(EQ(A7, ""),M7*INDEX(UncertaintyFactors!$C$2:$D$7, N7, 1), 0), 1)</f>
        <v>0</v>
      </c>
      <c r="P7" s="86">
        <f t="array" ref="P7">ROUNDUP(IF(EQ(A7, ""), M7*INDEX(UncertaintyFactors!$C$2:$D$7, N7, 2), 0), 1)</f>
        <v>0</v>
      </c>
      <c r="Q7" s="35"/>
      <c r="R7" s="35"/>
      <c r="S7" s="35"/>
      <c r="T7" s="35"/>
      <c r="U7" s="35"/>
      <c r="V7" s="35"/>
      <c r="W7" s="35"/>
      <c r="X7" s="35"/>
      <c r="Y7" s="35"/>
      <c r="Z7" s="35"/>
      <c r="AA7" s="35"/>
      <c r="AB7" s="35"/>
    </row>
    <row r="8">
      <c r="A8" s="75"/>
      <c r="B8" s="97" t="s">
        <v>89</v>
      </c>
      <c r="C8" s="35"/>
      <c r="D8" s="77">
        <v>0.0</v>
      </c>
      <c r="E8" s="26"/>
      <c r="F8" s="87">
        <v>6.0</v>
      </c>
      <c r="G8" s="80">
        <f t="array" ref="G8">ROUNDUP(IF(EQ(A8, ""),E8*INDEX(UncertaintyFactors!$C$2:$D$7, F8, 1), 0), 1)</f>
        <v>0</v>
      </c>
      <c r="H8" s="81">
        <f t="array" ref="H8">ROUNDUP(IF(EQ(A8, ""), E8*INDEX(UncertaintyFactors!$C$2:$D$7, F8, 2), 0), 1)</f>
        <v>0</v>
      </c>
      <c r="I8" s="51"/>
      <c r="J8" s="27"/>
      <c r="K8" s="35"/>
      <c r="L8" s="83"/>
      <c r="M8" s="83">
        <f t="shared" si="1"/>
        <v>0</v>
      </c>
      <c r="N8" s="84">
        <f t="shared" si="2"/>
        <v>6</v>
      </c>
      <c r="O8" s="85">
        <f t="array" ref="O8">ROUNDUP(IF(EQ(A8, ""),M8*INDEX(UncertaintyFactors!$C$2:$D$7, N8, 1), 0), 1)</f>
        <v>0</v>
      </c>
      <c r="P8" s="86">
        <f t="array" ref="P8">ROUNDUP(IF(EQ(A8, ""), M8*INDEX(UncertaintyFactors!$C$2:$D$7, N8, 2), 0), 1)</f>
        <v>0</v>
      </c>
      <c r="Q8" s="35"/>
      <c r="R8" s="35"/>
      <c r="S8" s="35"/>
      <c r="T8" s="35"/>
      <c r="U8" s="35"/>
      <c r="V8" s="35"/>
      <c r="W8" s="35"/>
      <c r="X8" s="35"/>
      <c r="Y8" s="35"/>
      <c r="Z8" s="35"/>
      <c r="AA8" s="35"/>
      <c r="AB8" s="35"/>
    </row>
    <row r="9">
      <c r="A9" s="75"/>
      <c r="B9" s="97" t="s">
        <v>90</v>
      </c>
      <c r="C9" s="35"/>
      <c r="D9" s="77">
        <v>0.0</v>
      </c>
      <c r="E9" s="26"/>
      <c r="F9" s="87">
        <v>6.0</v>
      </c>
      <c r="G9" s="80">
        <f t="array" ref="G9">ROUNDUP(IF(EQ(A9, ""),E9*INDEX(UncertaintyFactors!$C$2:$D$7, F9, 1), 0), 1)</f>
        <v>0</v>
      </c>
      <c r="H9" s="81">
        <f t="array" ref="H9">ROUNDUP(IF(EQ(A9, ""), E9*INDEX(UncertaintyFactors!$C$2:$D$7, F9, 2), 0), 1)</f>
        <v>0</v>
      </c>
      <c r="I9" s="51"/>
      <c r="J9" s="27"/>
      <c r="K9" s="35"/>
      <c r="L9" s="83"/>
      <c r="M9" s="83">
        <f t="shared" si="1"/>
        <v>0</v>
      </c>
      <c r="N9" s="84">
        <f t="shared" si="2"/>
        <v>6</v>
      </c>
      <c r="O9" s="85">
        <f t="array" ref="O9">ROUNDUP(IF(EQ(A9, ""),M9*INDEX(UncertaintyFactors!$C$2:$D$7, N9, 1), 0), 1)</f>
        <v>0</v>
      </c>
      <c r="P9" s="86">
        <f t="array" ref="P9">ROUNDUP(IF(EQ(A9, ""), M9*INDEX(UncertaintyFactors!$C$2:$D$7, N9, 2), 0), 1)</f>
        <v>0</v>
      </c>
      <c r="Q9" s="35"/>
      <c r="R9" s="35"/>
      <c r="S9" s="35"/>
      <c r="T9" s="35"/>
      <c r="U9" s="35"/>
      <c r="V9" s="35"/>
      <c r="W9" s="35"/>
      <c r="X9" s="35"/>
      <c r="Y9" s="35"/>
      <c r="Z9" s="35"/>
      <c r="AA9" s="35"/>
      <c r="AB9" s="35"/>
    </row>
    <row r="10">
      <c r="A10" s="75"/>
      <c r="B10" s="97" t="s">
        <v>91</v>
      </c>
      <c r="C10" s="35"/>
      <c r="D10" s="77">
        <v>0.05</v>
      </c>
      <c r="E10" s="26"/>
      <c r="F10" s="87">
        <v>6.0</v>
      </c>
      <c r="G10" s="80">
        <f t="array" ref="G10">ROUNDUP(IF(EQ(A10, ""),E10*INDEX(UncertaintyFactors!$C$2:$D$7, F10, 1), 0), 1)</f>
        <v>0</v>
      </c>
      <c r="H10" s="81">
        <f t="array" ref="H10">ROUNDUP(IF(EQ(A10, ""), E10*INDEX(UncertaintyFactors!$C$2:$D$7, F10, 2), 0), 1)</f>
        <v>0</v>
      </c>
      <c r="I10" s="51"/>
      <c r="J10" s="27"/>
      <c r="K10" s="35"/>
      <c r="L10" s="83"/>
      <c r="M10" s="83">
        <f t="shared" si="1"/>
        <v>0</v>
      </c>
      <c r="N10" s="84">
        <f t="shared" si="2"/>
        <v>6</v>
      </c>
      <c r="O10" s="85">
        <f t="array" ref="O10">ROUNDUP(IF(EQ(A10, ""),M10*INDEX(UncertaintyFactors!$C$2:$D$7, N10, 1), 0), 1)</f>
        <v>0</v>
      </c>
      <c r="P10" s="86">
        <f t="array" ref="P10">ROUNDUP(IF(EQ(A10, ""), M10*INDEX(UncertaintyFactors!$C$2:$D$7, N10, 2), 0), 1)</f>
        <v>0</v>
      </c>
      <c r="Q10" s="35"/>
      <c r="R10" s="35"/>
      <c r="S10" s="35"/>
      <c r="T10" s="35"/>
      <c r="U10" s="35"/>
      <c r="V10" s="35"/>
      <c r="W10" s="35"/>
      <c r="X10" s="35"/>
      <c r="Y10" s="35"/>
      <c r="Z10" s="35"/>
      <c r="AA10" s="35"/>
      <c r="AB10" s="35"/>
    </row>
    <row r="11">
      <c r="A11" s="75"/>
      <c r="B11" s="97" t="s">
        <v>92</v>
      </c>
      <c r="C11" s="35"/>
      <c r="D11" s="77">
        <v>0.2</v>
      </c>
      <c r="E11" s="26"/>
      <c r="F11" s="87">
        <v>6.0</v>
      </c>
      <c r="G11" s="80">
        <f t="array" ref="G11">ROUNDUP(IF(EQ(A11, ""),E11*INDEX(UncertaintyFactors!$C$2:$D$7, F11, 1), 0), 1)</f>
        <v>0</v>
      </c>
      <c r="H11" s="81">
        <f t="array" ref="H11">ROUNDUP(IF(EQ(A11, ""), E11*INDEX(UncertaintyFactors!$C$2:$D$7, F11, 2), 0), 1)</f>
        <v>0</v>
      </c>
      <c r="I11" s="51"/>
      <c r="J11" s="27"/>
      <c r="K11" s="35"/>
      <c r="L11" s="83"/>
      <c r="M11" s="83">
        <f t="shared" si="1"/>
        <v>0</v>
      </c>
      <c r="N11" s="84">
        <f t="shared" si="2"/>
        <v>6</v>
      </c>
      <c r="O11" s="85">
        <f t="array" ref="O11">ROUNDUP(IF(EQ(A11, ""),M11*INDEX(UncertaintyFactors!$C$2:$D$7, N11, 1), 0), 1)</f>
        <v>0</v>
      </c>
      <c r="P11" s="86">
        <f t="array" ref="P11">ROUNDUP(IF(EQ(A11, ""), M11*INDEX(UncertaintyFactors!$C$2:$D$7, N11, 2), 0), 1)</f>
        <v>0</v>
      </c>
      <c r="Q11" s="35"/>
      <c r="R11" s="35"/>
      <c r="S11" s="35"/>
      <c r="T11" s="35"/>
      <c r="U11" s="35"/>
      <c r="V11" s="35"/>
      <c r="W11" s="35"/>
      <c r="X11" s="35"/>
      <c r="Y11" s="35"/>
      <c r="Z11" s="35"/>
      <c r="AA11" s="35"/>
      <c r="AB11" s="35"/>
    </row>
    <row r="12">
      <c r="A12" s="75"/>
      <c r="B12" s="101" t="s">
        <v>93</v>
      </c>
      <c r="C12" s="35"/>
      <c r="D12" s="77">
        <v>0.05</v>
      </c>
      <c r="E12" s="26"/>
      <c r="F12" s="87">
        <v>6.0</v>
      </c>
      <c r="G12" s="80">
        <f t="array" ref="G12">ROUNDUP(IF(EQ(A12, ""),E12*INDEX(UncertaintyFactors!$C$2:$D$7, F12, 1), 0), 1)</f>
        <v>0</v>
      </c>
      <c r="H12" s="81">
        <f t="array" ref="H12">ROUNDUP(IF(EQ(A12, ""), E12*INDEX(UncertaintyFactors!$C$2:$D$7, F12, 2), 0), 1)</f>
        <v>0</v>
      </c>
      <c r="I12" s="51"/>
      <c r="J12" s="27"/>
      <c r="K12" s="35"/>
      <c r="L12" s="83"/>
      <c r="M12" s="83">
        <f t="shared" si="1"/>
        <v>0</v>
      </c>
      <c r="N12" s="84">
        <f t="shared" si="2"/>
        <v>6</v>
      </c>
      <c r="O12" s="85">
        <f t="array" ref="O12">ROUNDUP(IF(EQ(A12, ""),M12*INDEX(UncertaintyFactors!$C$2:$D$7, N12, 1), 0), 1)</f>
        <v>0</v>
      </c>
      <c r="P12" s="86">
        <f t="array" ref="P12">ROUNDUP(IF(EQ(A12, ""), M12*INDEX(UncertaintyFactors!$C$2:$D$7, N12, 2), 0), 1)</f>
        <v>0</v>
      </c>
      <c r="Q12" s="35"/>
      <c r="R12" s="35"/>
      <c r="S12" s="35"/>
      <c r="T12" s="35"/>
      <c r="U12" s="35"/>
      <c r="V12" s="35"/>
      <c r="W12" s="35"/>
      <c r="X12" s="35"/>
      <c r="Y12" s="35"/>
      <c r="Z12" s="35"/>
      <c r="AA12" s="35"/>
      <c r="AB12" s="35"/>
    </row>
    <row r="13">
      <c r="A13" s="75"/>
      <c r="B13" s="102"/>
      <c r="C13" s="35"/>
      <c r="D13" s="77">
        <v>0.0</v>
      </c>
      <c r="E13" s="26"/>
      <c r="F13" s="87">
        <v>6.0</v>
      </c>
      <c r="G13" s="80">
        <f t="array" ref="G13">ROUNDUP(IF(EQ(A13, ""),E13*INDEX(UncertaintyFactors!$C$2:$D$7, F13, 1), 0), 1)</f>
        <v>0</v>
      </c>
      <c r="H13" s="81">
        <f t="array" ref="H13">ROUNDUP(IF(EQ(A13, ""), E13*INDEX(UncertaintyFactors!$C$2:$D$7, F13, 2), 0), 1)</f>
        <v>0</v>
      </c>
      <c r="I13" s="51"/>
      <c r="J13" s="27"/>
      <c r="K13" s="35"/>
      <c r="L13" s="83"/>
      <c r="M13" s="83">
        <f t="shared" si="1"/>
        <v>0</v>
      </c>
      <c r="N13" s="84">
        <f t="shared" si="2"/>
        <v>6</v>
      </c>
      <c r="O13" s="85">
        <f t="array" ref="O13">ROUNDUP(IF(EQ(A13, ""),M13*INDEX(UncertaintyFactors!$C$2:$D$7, N13, 1), 0), 1)</f>
        <v>0</v>
      </c>
      <c r="P13" s="86">
        <f t="array" ref="P13">ROUNDUP(IF(EQ(A13, ""), M13*INDEX(UncertaintyFactors!$C$2:$D$7, N13, 2), 0), 1)</f>
        <v>0</v>
      </c>
      <c r="Q13" s="35"/>
      <c r="R13" s="35"/>
      <c r="S13" s="35"/>
      <c r="T13" s="35"/>
      <c r="U13" s="35"/>
      <c r="V13" s="35"/>
      <c r="W13" s="35"/>
      <c r="X13" s="35"/>
      <c r="Y13" s="35"/>
      <c r="Z13" s="35"/>
      <c r="AA13" s="35"/>
      <c r="AB13" s="35"/>
    </row>
    <row r="14">
      <c r="A14" s="75"/>
      <c r="B14" s="97"/>
      <c r="C14" s="35"/>
      <c r="D14" s="77">
        <v>0.0</v>
      </c>
      <c r="E14" s="26"/>
      <c r="F14" s="87">
        <v>6.0</v>
      </c>
      <c r="G14" s="80">
        <f t="array" ref="G14">ROUNDUP(IF(EQ(A14, ""),E14*INDEX(UncertaintyFactors!$C$2:$D$7, F14, 1), 0), 1)</f>
        <v>0</v>
      </c>
      <c r="H14" s="81">
        <f t="array" ref="H14">ROUNDUP(IF(EQ(A14, ""), E14*INDEX(UncertaintyFactors!$C$2:$D$7, F14, 2), 0), 1)</f>
        <v>0</v>
      </c>
      <c r="I14" s="51"/>
      <c r="J14" s="27"/>
      <c r="K14" s="35"/>
      <c r="L14" s="83"/>
      <c r="M14" s="83">
        <f t="shared" si="1"/>
        <v>0</v>
      </c>
      <c r="N14" s="84">
        <f t="shared" si="2"/>
        <v>6</v>
      </c>
      <c r="O14" s="85">
        <f t="array" ref="O14">ROUNDUP(IF(EQ(A14, ""),M14*INDEX(UncertaintyFactors!$C$2:$D$7, N14, 1), 0), 1)</f>
        <v>0</v>
      </c>
      <c r="P14" s="86">
        <f t="array" ref="P14">ROUNDUP(IF(EQ(A14, ""), M14*INDEX(UncertaintyFactors!$C$2:$D$7, N14, 2), 0), 1)</f>
        <v>0</v>
      </c>
      <c r="Q14" s="35"/>
      <c r="R14" s="35"/>
      <c r="S14" s="35"/>
      <c r="T14" s="35"/>
      <c r="U14" s="35"/>
      <c r="V14" s="35"/>
      <c r="W14" s="35"/>
      <c r="X14" s="35"/>
      <c r="Y14" s="35"/>
      <c r="Z14" s="35"/>
      <c r="AA14" s="35"/>
      <c r="AB14" s="35"/>
    </row>
    <row r="15">
      <c r="A15" s="75"/>
      <c r="B15" s="97"/>
      <c r="C15" s="35"/>
      <c r="D15" s="77">
        <v>0.0</v>
      </c>
      <c r="E15" s="26"/>
      <c r="F15" s="87">
        <v>6.0</v>
      </c>
      <c r="G15" s="80">
        <f t="array" ref="G15">ROUNDUP(IF(EQ(A15, ""),E15*INDEX(UncertaintyFactors!$C$2:$D$7, F15, 1), 0), 1)</f>
        <v>0</v>
      </c>
      <c r="H15" s="81">
        <f t="array" ref="H15">ROUNDUP(IF(EQ(A15, ""), E15*INDEX(UncertaintyFactors!$C$2:$D$7, F15, 2), 0), 1)</f>
        <v>0</v>
      </c>
      <c r="I15" s="51"/>
      <c r="J15" s="27"/>
      <c r="K15" s="35"/>
      <c r="L15" s="83"/>
      <c r="M15" s="83">
        <f t="shared" si="1"/>
        <v>0</v>
      </c>
      <c r="N15" s="84">
        <f t="shared" si="2"/>
        <v>6</v>
      </c>
      <c r="O15" s="85">
        <f t="array" ref="O15">ROUNDUP(IF(EQ(A15, ""),M15*INDEX(UncertaintyFactors!$C$2:$D$7, N15, 1), 0), 1)</f>
        <v>0</v>
      </c>
      <c r="P15" s="86">
        <f t="array" ref="P15">ROUNDUP(IF(EQ(A15, ""), M15*INDEX(UncertaintyFactors!$C$2:$D$7, N15, 2), 0), 1)</f>
        <v>0</v>
      </c>
      <c r="Q15" s="35"/>
      <c r="R15" s="35"/>
      <c r="S15" s="35"/>
      <c r="T15" s="35"/>
      <c r="U15" s="35"/>
      <c r="V15" s="35"/>
      <c r="W15" s="35"/>
      <c r="X15" s="35"/>
      <c r="Y15" s="35"/>
      <c r="Z15" s="35"/>
      <c r="AA15" s="35"/>
      <c r="AB15" s="35"/>
    </row>
    <row r="16">
      <c r="A16" s="75"/>
      <c r="B16" s="97"/>
      <c r="C16" s="35"/>
      <c r="D16" s="77">
        <v>0.0</v>
      </c>
      <c r="E16" s="26"/>
      <c r="F16" s="87">
        <v>6.0</v>
      </c>
      <c r="G16" s="80">
        <f t="array" ref="G16">ROUNDUP(IF(EQ(A16, ""),E16*INDEX(UncertaintyFactors!$C$2:$D$7, F16, 1), 0), 1)</f>
        <v>0</v>
      </c>
      <c r="H16" s="81">
        <f t="array" ref="H16">ROUNDUP(IF(EQ(A16, ""), E16*INDEX(UncertaintyFactors!$C$2:$D$7, F16, 2), 0), 1)</f>
        <v>0</v>
      </c>
      <c r="I16" s="51"/>
      <c r="J16" s="27"/>
      <c r="K16" s="35"/>
      <c r="L16" s="83"/>
      <c r="M16" s="83">
        <f t="shared" si="1"/>
        <v>0</v>
      </c>
      <c r="N16" s="84">
        <f t="shared" si="2"/>
        <v>6</v>
      </c>
      <c r="O16" s="85">
        <f t="array" ref="O16">ROUNDUP(IF(EQ(A16, ""),M16*INDEX(UncertaintyFactors!$C$2:$D$7, N16, 1), 0), 1)</f>
        <v>0</v>
      </c>
      <c r="P16" s="86">
        <f t="array" ref="P16">ROUNDUP(IF(EQ(A16, ""), M16*INDEX(UncertaintyFactors!$C$2:$D$7, N16, 2), 0), 1)</f>
        <v>0</v>
      </c>
      <c r="Q16" s="35"/>
      <c r="R16" s="35"/>
      <c r="S16" s="35"/>
      <c r="T16" s="35"/>
      <c r="U16" s="35"/>
      <c r="V16" s="35"/>
      <c r="W16" s="35"/>
      <c r="X16" s="35"/>
      <c r="Y16" s="35"/>
      <c r="Z16" s="35"/>
      <c r="AA16" s="35"/>
      <c r="AB16" s="35"/>
    </row>
    <row r="17">
      <c r="A17" s="75"/>
      <c r="B17" s="97"/>
      <c r="C17" s="35"/>
      <c r="D17" s="77">
        <v>0.05</v>
      </c>
      <c r="E17" s="26"/>
      <c r="F17" s="87">
        <v>6.0</v>
      </c>
      <c r="G17" s="80">
        <f t="array" ref="G17">ROUNDUP(IF(EQ(A17, ""),E17*INDEX(UncertaintyFactors!$C$2:$D$7, F17, 1), 0), 1)</f>
        <v>0</v>
      </c>
      <c r="H17" s="81">
        <f t="array" ref="H17">ROUNDUP(IF(EQ(A17, ""), E17*INDEX(UncertaintyFactors!$C$2:$D$7, F17, 2), 0), 1)</f>
        <v>0</v>
      </c>
      <c r="I17" s="51"/>
      <c r="J17" s="27"/>
      <c r="K17" s="35"/>
      <c r="L17" s="83"/>
      <c r="M17" s="83">
        <f t="shared" si="1"/>
        <v>0</v>
      </c>
      <c r="N17" s="84">
        <f t="shared" si="2"/>
        <v>6</v>
      </c>
      <c r="O17" s="85">
        <f t="array" ref="O17">ROUNDUP(IF(EQ(A17, ""),M17*INDEX(UncertaintyFactors!$C$2:$D$7, N17, 1), 0), 1)</f>
        <v>0</v>
      </c>
      <c r="P17" s="86">
        <f t="array" ref="P17">ROUNDUP(IF(EQ(A17, ""), M17*INDEX(UncertaintyFactors!$C$2:$D$7, N17, 2), 0), 1)</f>
        <v>0</v>
      </c>
      <c r="Q17" s="35"/>
      <c r="R17" s="35"/>
      <c r="S17" s="35"/>
      <c r="T17" s="35"/>
      <c r="U17" s="35"/>
      <c r="V17" s="35"/>
      <c r="W17" s="35"/>
      <c r="X17" s="35"/>
      <c r="Y17" s="35"/>
      <c r="Z17" s="35"/>
      <c r="AA17" s="35"/>
      <c r="AB17" s="35"/>
    </row>
    <row r="18">
      <c r="A18" s="75"/>
      <c r="B18" s="97"/>
      <c r="C18" s="35"/>
      <c r="D18" s="77">
        <v>0.0</v>
      </c>
      <c r="E18" s="26"/>
      <c r="F18" s="87">
        <v>6.0</v>
      </c>
      <c r="G18" s="80">
        <f t="array" ref="G18">ROUNDUP(IF(EQ(A18, ""),E18*INDEX(UncertaintyFactors!$C$2:$D$7, F18, 1), 0), 1)</f>
        <v>0</v>
      </c>
      <c r="H18" s="81">
        <f t="array" ref="H18">ROUNDUP(IF(EQ(A18, ""), E18*INDEX(UncertaintyFactors!$C$2:$D$7, F18, 2), 0), 1)</f>
        <v>0</v>
      </c>
      <c r="J18" s="27"/>
      <c r="K18" s="35"/>
      <c r="L18" s="83"/>
      <c r="M18" s="83">
        <f t="shared" si="1"/>
        <v>0</v>
      </c>
      <c r="N18" s="84">
        <f t="shared" si="2"/>
        <v>6</v>
      </c>
      <c r="O18" s="85">
        <f t="array" ref="O18">ROUNDUP(IF(EQ(A18, ""),M18*INDEX(UncertaintyFactors!$C$2:$D$7, N18, 1), 0), 1)</f>
        <v>0</v>
      </c>
      <c r="P18" s="86">
        <f t="array" ref="P18">ROUNDUP(IF(EQ(A18, ""), M18*INDEX(UncertaintyFactors!$C$2:$D$7, N18, 2), 0), 1)</f>
        <v>0</v>
      </c>
      <c r="Q18" s="35"/>
      <c r="R18" s="35"/>
      <c r="S18" s="35"/>
      <c r="T18" s="35"/>
      <c r="U18" s="35"/>
      <c r="V18" s="35"/>
      <c r="W18" s="35"/>
      <c r="X18" s="35"/>
      <c r="Y18" s="35"/>
      <c r="Z18" s="35"/>
      <c r="AA18" s="35"/>
      <c r="AB18" s="35"/>
    </row>
    <row r="19">
      <c r="A19" s="75"/>
      <c r="B19" s="97"/>
      <c r="C19" s="35"/>
      <c r="D19" s="77">
        <v>0.0</v>
      </c>
      <c r="E19" s="26"/>
      <c r="F19" s="87">
        <v>6.0</v>
      </c>
      <c r="G19" s="80">
        <f t="array" ref="G19">ROUNDUP(IF(EQ(A19, ""),E19*INDEX(UncertaintyFactors!$C$2:$D$7, F19, 1), 0), 1)</f>
        <v>0</v>
      </c>
      <c r="H19" s="81">
        <f t="array" ref="H19">ROUNDUP(IF(EQ(A19, ""), E19*INDEX(UncertaintyFactors!$C$2:$D$7, F19, 2), 0), 1)</f>
        <v>0</v>
      </c>
      <c r="I19" s="51"/>
      <c r="J19" s="27"/>
      <c r="K19" s="35"/>
      <c r="L19" s="83"/>
      <c r="M19" s="83">
        <f t="shared" si="1"/>
        <v>0</v>
      </c>
      <c r="N19" s="84">
        <f t="shared" si="2"/>
        <v>6</v>
      </c>
      <c r="O19" s="85">
        <f t="array" ref="O19">ROUNDUP(IF(EQ(A19, ""),M19*INDEX(UncertaintyFactors!$C$2:$D$7, N19, 1), 0), 1)</f>
        <v>0</v>
      </c>
      <c r="P19" s="86">
        <f t="array" ref="P19">ROUNDUP(IF(EQ(A19, ""), M19*INDEX(UncertaintyFactors!$C$2:$D$7, N19, 2), 0), 1)</f>
        <v>0</v>
      </c>
      <c r="Q19" s="35"/>
      <c r="R19" s="35"/>
      <c r="S19" s="35"/>
      <c r="T19" s="35"/>
      <c r="U19" s="35"/>
      <c r="V19" s="35"/>
      <c r="W19" s="35"/>
      <c r="X19" s="35"/>
      <c r="Y19" s="35"/>
      <c r="Z19" s="35"/>
      <c r="AA19" s="35"/>
      <c r="AB19" s="35"/>
    </row>
    <row r="20">
      <c r="A20" s="75"/>
      <c r="B20" s="102"/>
      <c r="C20" s="35"/>
      <c r="D20" s="77">
        <v>0.0</v>
      </c>
      <c r="E20" s="26"/>
      <c r="F20" s="87">
        <v>6.0</v>
      </c>
      <c r="G20" s="80">
        <f t="array" ref="G20">ROUNDUP(IF(EQ(A20, ""),E20*INDEX(UncertaintyFactors!$C$2:$D$7, F20, 1), 0), 1)</f>
        <v>0</v>
      </c>
      <c r="H20" s="81">
        <f t="array" ref="H20">ROUNDUP(IF(EQ(A20, ""), E20*INDEX(UncertaintyFactors!$C$2:$D$7, F20, 2), 0), 1)</f>
        <v>0</v>
      </c>
      <c r="I20" s="51"/>
      <c r="J20" s="27"/>
      <c r="K20" s="35"/>
      <c r="L20" s="83"/>
      <c r="M20" s="83">
        <f t="shared" si="1"/>
        <v>0</v>
      </c>
      <c r="N20" s="84">
        <f t="shared" si="2"/>
        <v>6</v>
      </c>
      <c r="O20" s="85">
        <f t="array" ref="O20">ROUNDUP(IF(EQ(A20, ""),M20*INDEX(UncertaintyFactors!$C$2:$D$7, N20, 1), 0), 1)</f>
        <v>0</v>
      </c>
      <c r="P20" s="86">
        <f t="array" ref="P20">ROUNDUP(IF(EQ(A20, ""), M20*INDEX(UncertaintyFactors!$C$2:$D$7, N20, 2), 0), 1)</f>
        <v>0</v>
      </c>
      <c r="Q20" s="35"/>
      <c r="R20" s="35"/>
      <c r="S20" s="35"/>
      <c r="T20" s="35"/>
      <c r="U20" s="35"/>
      <c r="V20" s="35"/>
      <c r="W20" s="35"/>
      <c r="X20" s="35"/>
      <c r="Y20" s="35"/>
      <c r="Z20" s="35"/>
      <c r="AA20" s="35"/>
      <c r="AB20" s="35"/>
    </row>
    <row r="21">
      <c r="A21" s="75"/>
      <c r="B21" s="97"/>
      <c r="C21" s="35"/>
      <c r="D21" s="77">
        <v>0.0</v>
      </c>
      <c r="E21" s="26"/>
      <c r="F21" s="87">
        <v>6.0</v>
      </c>
      <c r="G21" s="80">
        <f t="array" ref="G21">ROUNDUP(IF(EQ(A21, ""),E21*INDEX(UncertaintyFactors!$C$2:$D$7, F21, 1), 0), 1)</f>
        <v>0</v>
      </c>
      <c r="H21" s="81">
        <f t="array" ref="H21">ROUNDUP(IF(EQ(A21, ""), E21*INDEX(UncertaintyFactors!$C$2:$D$7, F21, 2), 0), 1)</f>
        <v>0</v>
      </c>
      <c r="I21" s="51"/>
      <c r="J21" s="27"/>
      <c r="K21" s="35"/>
      <c r="L21" s="83"/>
      <c r="M21" s="83">
        <f t="shared" si="1"/>
        <v>0</v>
      </c>
      <c r="N21" s="84">
        <f t="shared" si="2"/>
        <v>6</v>
      </c>
      <c r="O21" s="85">
        <f t="array" ref="O21">ROUNDUP(IF(EQ(A21, ""),M21*INDEX(UncertaintyFactors!$C$2:$D$7, N21, 1), 0), 1)</f>
        <v>0</v>
      </c>
      <c r="P21" s="86">
        <f t="array" ref="P21">ROUNDUP(IF(EQ(A21, ""), M21*INDEX(UncertaintyFactors!$C$2:$D$7, N21, 2), 0), 1)</f>
        <v>0</v>
      </c>
      <c r="Q21" s="35"/>
      <c r="R21" s="35"/>
      <c r="S21" s="35"/>
      <c r="T21" s="35"/>
      <c r="U21" s="35"/>
      <c r="V21" s="35"/>
      <c r="W21" s="35"/>
      <c r="X21" s="35"/>
      <c r="Y21" s="35"/>
      <c r="Z21" s="35"/>
      <c r="AA21" s="35"/>
      <c r="AB21" s="35"/>
    </row>
    <row r="22">
      <c r="A22" s="75"/>
      <c r="B22" s="97"/>
      <c r="C22" s="35"/>
      <c r="D22" s="77">
        <v>0.0</v>
      </c>
      <c r="E22" s="26"/>
      <c r="F22" s="87">
        <v>6.0</v>
      </c>
      <c r="G22" s="80">
        <f t="array" ref="G22">ROUNDUP(IF(EQ(A22, ""),E22*INDEX(UncertaintyFactors!$C$2:$D$7, F22, 1), 0), 1)</f>
        <v>0</v>
      </c>
      <c r="H22" s="81">
        <f t="array" ref="H22">ROUNDUP(IF(EQ(A22, ""), E22*INDEX(UncertaintyFactors!$C$2:$D$7, F22, 2), 0), 1)</f>
        <v>0</v>
      </c>
      <c r="I22" s="51"/>
      <c r="J22" s="27"/>
      <c r="K22" s="35"/>
      <c r="L22" s="83"/>
      <c r="M22" s="83">
        <f t="shared" si="1"/>
        <v>0</v>
      </c>
      <c r="N22" s="84">
        <f t="shared" si="2"/>
        <v>6</v>
      </c>
      <c r="O22" s="85">
        <f t="array" ref="O22">ROUNDUP(IF(EQ(A22, ""),M22*INDEX(UncertaintyFactors!$C$2:$D$7, N22, 1), 0), 1)</f>
        <v>0</v>
      </c>
      <c r="P22" s="86">
        <f t="array" ref="P22">ROUNDUP(IF(EQ(A22, ""), M22*INDEX(UncertaintyFactors!$C$2:$D$7, N22, 2), 0), 1)</f>
        <v>0</v>
      </c>
      <c r="Q22" s="35"/>
      <c r="R22" s="35"/>
      <c r="S22" s="35"/>
      <c r="T22" s="35"/>
      <c r="U22" s="35"/>
      <c r="V22" s="35"/>
      <c r="W22" s="35"/>
      <c r="X22" s="35"/>
      <c r="Y22" s="35"/>
      <c r="Z22" s="35"/>
      <c r="AA22" s="35"/>
      <c r="AB22" s="35"/>
    </row>
    <row r="23">
      <c r="A23" s="75"/>
      <c r="B23" s="97"/>
      <c r="C23" s="35"/>
      <c r="D23" s="77">
        <v>0.0</v>
      </c>
      <c r="E23" s="26"/>
      <c r="F23" s="87">
        <v>6.0</v>
      </c>
      <c r="G23" s="80">
        <f t="array" ref="G23">ROUNDUP(IF(EQ(A23, ""),E23*INDEX(UncertaintyFactors!$C$2:$D$7, F23, 1), 0), 1)</f>
        <v>0</v>
      </c>
      <c r="H23" s="81">
        <f t="array" ref="H23">ROUNDUP(IF(EQ(A23, ""), E23*INDEX(UncertaintyFactors!$C$2:$D$7, F23, 2), 0), 1)</f>
        <v>0</v>
      </c>
      <c r="I23" s="51"/>
      <c r="J23" s="27"/>
      <c r="K23" s="35"/>
      <c r="L23" s="83"/>
      <c r="M23" s="83">
        <f t="shared" si="1"/>
        <v>0</v>
      </c>
      <c r="N23" s="84">
        <f t="shared" si="2"/>
        <v>6</v>
      </c>
      <c r="O23" s="85">
        <f t="array" ref="O23">ROUNDUP(IF(EQ(A23, ""),M23*INDEX(UncertaintyFactors!$C$2:$D$7, N23, 1), 0), 1)</f>
        <v>0</v>
      </c>
      <c r="P23" s="86">
        <f t="array" ref="P23">ROUNDUP(IF(EQ(A23, ""), M23*INDEX(UncertaintyFactors!$C$2:$D$7, N23, 2), 0), 1)</f>
        <v>0</v>
      </c>
      <c r="Q23" s="35"/>
      <c r="R23" s="35"/>
      <c r="S23" s="35"/>
      <c r="T23" s="35"/>
      <c r="U23" s="35"/>
      <c r="V23" s="35"/>
      <c r="W23" s="35"/>
      <c r="X23" s="35"/>
      <c r="Y23" s="35"/>
      <c r="Z23" s="35"/>
      <c r="AA23" s="35"/>
      <c r="AB23" s="35"/>
    </row>
    <row r="24">
      <c r="A24" s="75"/>
      <c r="B24" s="97"/>
      <c r="C24" s="35"/>
      <c r="D24" s="77">
        <v>0.0</v>
      </c>
      <c r="E24" s="26"/>
      <c r="F24" s="87">
        <v>6.0</v>
      </c>
      <c r="G24" s="80">
        <f t="array" ref="G24">ROUNDUP(IF(EQ(A24, ""),E24*INDEX(UncertaintyFactors!$C$2:$D$7, F24, 1), 0), 1)</f>
        <v>0</v>
      </c>
      <c r="H24" s="81">
        <f t="array" ref="H24">ROUNDUP(IF(EQ(A24, ""), E24*INDEX(UncertaintyFactors!$C$2:$D$7, F24, 2), 0), 1)</f>
        <v>0</v>
      </c>
      <c r="I24" s="51"/>
      <c r="J24" s="27"/>
      <c r="K24" s="35"/>
      <c r="L24" s="83"/>
      <c r="M24" s="83">
        <f t="shared" si="1"/>
        <v>0</v>
      </c>
      <c r="N24" s="84">
        <f t="shared" si="2"/>
        <v>6</v>
      </c>
      <c r="O24" s="85">
        <f t="array" ref="O24">ROUNDUP(IF(EQ(A24, ""),M24*INDEX(UncertaintyFactors!$C$2:$D$7, N24, 1), 0), 1)</f>
        <v>0</v>
      </c>
      <c r="P24" s="86">
        <f t="array" ref="P24">ROUNDUP(IF(EQ(A24, ""), M24*INDEX(UncertaintyFactors!$C$2:$D$7, N24, 2), 0), 1)</f>
        <v>0</v>
      </c>
      <c r="Q24" s="35"/>
      <c r="R24" s="35"/>
      <c r="S24" s="35"/>
      <c r="T24" s="35"/>
      <c r="U24" s="35"/>
      <c r="V24" s="35"/>
      <c r="W24" s="35"/>
      <c r="X24" s="35"/>
      <c r="Y24" s="35"/>
      <c r="Z24" s="35"/>
      <c r="AA24" s="35"/>
      <c r="AB24" s="35"/>
    </row>
    <row r="25">
      <c r="A25" s="75"/>
      <c r="B25" s="97"/>
      <c r="C25" s="35"/>
      <c r="D25" s="77">
        <v>0.0</v>
      </c>
      <c r="E25" s="26"/>
      <c r="F25" s="87">
        <v>6.0</v>
      </c>
      <c r="G25" s="80">
        <f t="array" ref="G25">ROUNDUP(IF(EQ(A25, ""),E25*INDEX(UncertaintyFactors!$C$2:$D$7, F25, 1), 0), 1)</f>
        <v>0</v>
      </c>
      <c r="H25" s="81">
        <f t="array" ref="H25">ROUNDUP(IF(EQ(A25, ""), E25*INDEX(UncertaintyFactors!$C$2:$D$7, F25, 2), 0), 1)</f>
        <v>0</v>
      </c>
      <c r="I25" s="51"/>
      <c r="J25" s="27"/>
      <c r="K25" s="35"/>
      <c r="L25" s="83"/>
      <c r="M25" s="83">
        <f t="shared" si="1"/>
        <v>0</v>
      </c>
      <c r="N25" s="84">
        <f t="shared" si="2"/>
        <v>6</v>
      </c>
      <c r="O25" s="85">
        <f t="array" ref="O25">ROUNDUP(IF(EQ(A25, ""),M25*INDEX(UncertaintyFactors!$C$2:$D$7, N25, 1), 0), 1)</f>
        <v>0</v>
      </c>
      <c r="P25" s="86">
        <f t="array" ref="P25">ROUNDUP(IF(EQ(A25, ""), M25*INDEX(UncertaintyFactors!$C$2:$D$7, N25, 2), 0), 1)</f>
        <v>0</v>
      </c>
      <c r="Q25" s="35"/>
      <c r="R25" s="35"/>
      <c r="S25" s="35"/>
      <c r="T25" s="35"/>
      <c r="U25" s="35"/>
      <c r="V25" s="35"/>
      <c r="W25" s="35"/>
      <c r="X25" s="35"/>
      <c r="Y25" s="35"/>
      <c r="Z25" s="35"/>
      <c r="AA25" s="35"/>
      <c r="AB25" s="35"/>
    </row>
    <row r="26">
      <c r="A26" s="75"/>
      <c r="B26" s="97"/>
      <c r="C26" s="35"/>
      <c r="D26" s="77">
        <v>0.0</v>
      </c>
      <c r="E26" s="26"/>
      <c r="F26" s="87">
        <v>6.0</v>
      </c>
      <c r="G26" s="80">
        <f t="array" ref="G26">ROUNDUP(IF(EQ(A26, ""),E26*INDEX(UncertaintyFactors!$C$2:$D$7, F26, 1), 0), 1)</f>
        <v>0</v>
      </c>
      <c r="H26" s="81">
        <f t="array" ref="H26">ROUNDUP(IF(EQ(A26, ""), E26*INDEX(UncertaintyFactors!$C$2:$D$7, F26, 2), 0), 1)</f>
        <v>0</v>
      </c>
      <c r="I26" s="51"/>
      <c r="J26" s="27"/>
      <c r="K26" s="35"/>
      <c r="L26" s="83"/>
      <c r="M26" s="83">
        <f t="shared" si="1"/>
        <v>0</v>
      </c>
      <c r="N26" s="84">
        <f t="shared" si="2"/>
        <v>6</v>
      </c>
      <c r="O26" s="85">
        <f t="array" ref="O26">ROUNDUP(IF(EQ(A26, ""),M26*INDEX(UncertaintyFactors!$C$2:$D$7, N26, 1), 0), 1)</f>
        <v>0</v>
      </c>
      <c r="P26" s="86">
        <f t="array" ref="P26">ROUNDUP(IF(EQ(A26, ""), M26*INDEX(UncertaintyFactors!$C$2:$D$7, N26, 2), 0), 1)</f>
        <v>0</v>
      </c>
      <c r="Q26" s="35"/>
      <c r="R26" s="35"/>
      <c r="S26" s="35"/>
      <c r="T26" s="35"/>
      <c r="U26" s="35"/>
      <c r="V26" s="35"/>
      <c r="W26" s="35"/>
      <c r="X26" s="35"/>
      <c r="Y26" s="35"/>
      <c r="Z26" s="35"/>
      <c r="AA26" s="35"/>
      <c r="AB26" s="35"/>
    </row>
    <row r="27">
      <c r="A27" s="75"/>
      <c r="B27" s="97"/>
      <c r="C27" s="35"/>
      <c r="D27" s="77">
        <v>0.0</v>
      </c>
      <c r="E27" s="26"/>
      <c r="F27" s="87">
        <v>6.0</v>
      </c>
      <c r="G27" s="80">
        <f t="array" ref="G27">ROUNDUP(IF(EQ(A27, ""),E27*INDEX(UncertaintyFactors!$C$2:$D$7, F27, 1), 0), 1)</f>
        <v>0</v>
      </c>
      <c r="H27" s="81">
        <f t="array" ref="H27">ROUNDUP(IF(EQ(A27, ""), E27*INDEX(UncertaintyFactors!$C$2:$D$7, F27, 2), 0), 1)</f>
        <v>0</v>
      </c>
      <c r="I27" s="51"/>
      <c r="J27" s="27"/>
      <c r="K27" s="35"/>
      <c r="L27" s="83"/>
      <c r="M27" s="83">
        <f t="shared" si="1"/>
        <v>0</v>
      </c>
      <c r="N27" s="84">
        <f t="shared" si="2"/>
        <v>6</v>
      </c>
      <c r="O27" s="85">
        <f t="array" ref="O27">ROUNDUP(IF(EQ(A27, ""),M27*INDEX(UncertaintyFactors!$C$2:$D$7, N27, 1), 0), 1)</f>
        <v>0</v>
      </c>
      <c r="P27" s="86">
        <f t="array" ref="P27">ROUNDUP(IF(EQ(A27, ""), M27*INDEX(UncertaintyFactors!$C$2:$D$7, N27, 2), 0), 1)</f>
        <v>0</v>
      </c>
      <c r="Q27" s="35"/>
      <c r="R27" s="35"/>
      <c r="S27" s="35"/>
      <c r="T27" s="35"/>
      <c r="U27" s="35"/>
      <c r="V27" s="35"/>
      <c r="W27" s="35"/>
      <c r="X27" s="35"/>
      <c r="Y27" s="35"/>
      <c r="Z27" s="35"/>
      <c r="AA27" s="35"/>
      <c r="AB27" s="35"/>
    </row>
    <row r="28">
      <c r="A28" s="75"/>
      <c r="B28" s="97"/>
      <c r="C28" s="35"/>
      <c r="D28" s="77">
        <v>0.0</v>
      </c>
      <c r="E28" s="26"/>
      <c r="F28" s="87">
        <v>6.0</v>
      </c>
      <c r="G28" s="80">
        <f t="array" ref="G28">ROUNDUP(IF(EQ(A28, ""),E28*INDEX(UncertaintyFactors!$C$2:$D$7, F28, 1), 0), 1)</f>
        <v>0</v>
      </c>
      <c r="H28" s="81">
        <f t="array" ref="H28">ROUNDUP(IF(EQ(A28, ""), E28*INDEX(UncertaintyFactors!$C$2:$D$7, F28, 2), 0), 1)</f>
        <v>0</v>
      </c>
      <c r="I28" s="51"/>
      <c r="J28" s="27"/>
      <c r="K28" s="35"/>
      <c r="L28" s="83"/>
      <c r="M28" s="83">
        <f t="shared" si="1"/>
        <v>0</v>
      </c>
      <c r="N28" s="84">
        <f t="shared" si="2"/>
        <v>6</v>
      </c>
      <c r="O28" s="85">
        <f t="array" ref="O28">ROUNDUP(IF(EQ(A28, ""),M28*INDEX(UncertaintyFactors!$C$2:$D$7, N28, 1), 0), 1)</f>
        <v>0</v>
      </c>
      <c r="P28" s="86">
        <f t="array" ref="P28">ROUNDUP(IF(EQ(A28, ""), M28*INDEX(UncertaintyFactors!$C$2:$D$7, N28, 2), 0), 1)</f>
        <v>0</v>
      </c>
      <c r="Q28" s="35"/>
      <c r="R28" s="35"/>
      <c r="S28" s="35"/>
      <c r="T28" s="35"/>
      <c r="U28" s="35"/>
      <c r="V28" s="35"/>
      <c r="W28" s="35"/>
      <c r="X28" s="35"/>
      <c r="Y28" s="35"/>
      <c r="Z28" s="35"/>
      <c r="AA28" s="35"/>
      <c r="AB28" s="35"/>
    </row>
    <row r="29">
      <c r="A29" s="75"/>
      <c r="B29" s="97"/>
      <c r="C29" s="35"/>
      <c r="D29" s="77">
        <v>0.0</v>
      </c>
      <c r="E29" s="26"/>
      <c r="F29" s="87">
        <v>6.0</v>
      </c>
      <c r="G29" s="80">
        <f t="array" ref="G29">ROUNDUP(IF(EQ(A29, ""),E29*INDEX(UncertaintyFactors!$C$2:$D$7, F29, 1), 0), 1)</f>
        <v>0</v>
      </c>
      <c r="H29" s="81">
        <f t="array" ref="H29">ROUNDUP(IF(EQ(A29, ""), E29*INDEX(UncertaintyFactors!$C$2:$D$7, F29, 2), 0), 1)</f>
        <v>0</v>
      </c>
      <c r="I29" s="51"/>
      <c r="J29" s="27"/>
      <c r="K29" s="35"/>
      <c r="L29" s="83"/>
      <c r="M29" s="83">
        <f t="shared" si="1"/>
        <v>0</v>
      </c>
      <c r="N29" s="84">
        <f t="shared" si="2"/>
        <v>6</v>
      </c>
      <c r="O29" s="85">
        <f t="array" ref="O29">ROUNDUP(IF(EQ(A29, ""),M29*INDEX(UncertaintyFactors!$C$2:$D$7, N29, 1), 0), 1)</f>
        <v>0</v>
      </c>
      <c r="P29" s="86">
        <f t="array" ref="P29">ROUNDUP(IF(EQ(A29, ""), M29*INDEX(UncertaintyFactors!$C$2:$D$7, N29, 2), 0), 1)</f>
        <v>0</v>
      </c>
      <c r="Q29" s="35"/>
      <c r="R29" s="35"/>
      <c r="S29" s="35"/>
      <c r="T29" s="35"/>
      <c r="U29" s="35"/>
      <c r="V29" s="35"/>
      <c r="W29" s="35"/>
      <c r="X29" s="35"/>
      <c r="Y29" s="35"/>
      <c r="Z29" s="35"/>
      <c r="AA29" s="35"/>
      <c r="AB29" s="35"/>
    </row>
    <row r="30">
      <c r="A30" s="75"/>
      <c r="B30" s="97"/>
      <c r="C30" s="35"/>
      <c r="D30" s="77">
        <v>0.0</v>
      </c>
      <c r="E30" s="26"/>
      <c r="F30" s="87">
        <v>6.0</v>
      </c>
      <c r="G30" s="80">
        <f t="array" ref="G30">ROUNDUP(IF(EQ(A30, ""),E30*INDEX(UncertaintyFactors!$C$2:$D$7, F30, 1), 0), 1)</f>
        <v>0</v>
      </c>
      <c r="H30" s="81">
        <f t="array" ref="H30">ROUNDUP(IF(EQ(A30, ""), E30*INDEX(UncertaintyFactors!$C$2:$D$7, F30, 2), 0), 1)</f>
        <v>0</v>
      </c>
      <c r="I30" s="51"/>
      <c r="J30" s="27"/>
      <c r="K30" s="35"/>
      <c r="L30" s="83"/>
      <c r="M30" s="83">
        <f t="shared" si="1"/>
        <v>0</v>
      </c>
      <c r="N30" s="84">
        <f t="shared" si="2"/>
        <v>6</v>
      </c>
      <c r="O30" s="85">
        <f t="array" ref="O30">ROUNDUP(IF(EQ(A30, ""),M30*INDEX(UncertaintyFactors!$C$2:$D$7, N30, 1), 0), 1)</f>
        <v>0</v>
      </c>
      <c r="P30" s="86">
        <f t="array" ref="P30">ROUNDUP(IF(EQ(A30, ""), M30*INDEX(UncertaintyFactors!$C$2:$D$7, N30, 2), 0), 1)</f>
        <v>0</v>
      </c>
      <c r="Q30" s="35"/>
      <c r="R30" s="35"/>
      <c r="S30" s="35"/>
      <c r="T30" s="35"/>
      <c r="U30" s="35"/>
      <c r="V30" s="35"/>
      <c r="W30" s="35"/>
      <c r="X30" s="35"/>
      <c r="Y30" s="35"/>
      <c r="Z30" s="35"/>
      <c r="AA30" s="35"/>
      <c r="AB30" s="35"/>
    </row>
    <row r="31">
      <c r="A31" s="75"/>
      <c r="B31" s="97"/>
      <c r="C31" s="35"/>
      <c r="D31" s="77">
        <v>0.0</v>
      </c>
      <c r="E31" s="78">
        <v>0.0</v>
      </c>
      <c r="F31" s="79">
        <v>6.0</v>
      </c>
      <c r="G31" s="80">
        <f t="array" ref="G31">ROUNDUP(IF(EQ(A31, ""),E31*INDEX(UncertaintyFactors!$C$2:$D$7, F31, 1), 0), 1)</f>
        <v>0</v>
      </c>
      <c r="H31" s="81">
        <f t="array" ref="H31">ROUNDUP(IF(EQ(A31, ""), E31*INDEX(UncertaintyFactors!$C$2:$D$7, F31, 2), 0), 1)</f>
        <v>0</v>
      </c>
      <c r="I31" s="51"/>
      <c r="J31" s="27"/>
      <c r="K31" s="82"/>
      <c r="L31" s="83"/>
      <c r="M31" s="83">
        <f t="shared" si="1"/>
        <v>0</v>
      </c>
      <c r="N31" s="84">
        <f t="shared" si="2"/>
        <v>6</v>
      </c>
      <c r="O31" s="85">
        <f t="array" ref="O31">ROUNDUP(IF(EQ(A31, ""),M31*INDEX(UncertaintyFactors!$C$2:$D$7, N31, 1), 0), 1)</f>
        <v>0</v>
      </c>
      <c r="P31" s="86">
        <f t="array" ref="P31">ROUNDUP(IF(EQ(A31, ""), M31*INDEX(UncertaintyFactors!$C$2:$D$7, N31, 2), 0), 1)</f>
        <v>0</v>
      </c>
      <c r="Q31" s="35"/>
      <c r="R31" s="35"/>
      <c r="S31" s="35"/>
      <c r="T31" s="35"/>
      <c r="U31" s="35"/>
      <c r="V31" s="35"/>
      <c r="W31" s="35"/>
      <c r="X31" s="35"/>
      <c r="Y31" s="35"/>
      <c r="Z31" s="35"/>
      <c r="AA31" s="35"/>
      <c r="AB31" s="35"/>
    </row>
    <row r="32">
      <c r="A32" s="90"/>
      <c r="B32" s="90"/>
      <c r="C32" s="92"/>
      <c r="D32" s="92"/>
      <c r="E32" s="93">
        <f>ROUNDUP(SUM(E7:E31),0)</f>
        <v>0</v>
      </c>
      <c r="F32" s="94">
        <f>AVERAGE(F7:F31)</f>
        <v>6</v>
      </c>
      <c r="G32" s="95">
        <f t="shared" ref="G32:H32" si="3">ROUNDUP(SUM(G7:G31),0)</f>
        <v>0</v>
      </c>
      <c r="H32" s="95">
        <f t="shared" si="3"/>
        <v>0</v>
      </c>
      <c r="K32" s="82"/>
      <c r="L32" s="103"/>
      <c r="M32" s="103">
        <v>40.0</v>
      </c>
      <c r="N32" s="104">
        <f t="shared" si="2"/>
        <v>6</v>
      </c>
      <c r="O32" s="95">
        <f t="shared" ref="O32:P32" si="4">ROUNDUP(SUM(O7:O30),0)</f>
        <v>0</v>
      </c>
      <c r="P32" s="95">
        <f t="shared" si="4"/>
        <v>0</v>
      </c>
      <c r="Q32" s="35"/>
      <c r="R32" s="35"/>
      <c r="S32" s="35"/>
      <c r="T32" s="35"/>
      <c r="U32" s="35"/>
      <c r="V32" s="35"/>
      <c r="W32" s="35"/>
      <c r="X32" s="35"/>
      <c r="Y32" s="35"/>
      <c r="Z32" s="35"/>
      <c r="AA32" s="35"/>
      <c r="AB32" s="35"/>
    </row>
    <row r="33">
      <c r="A33" s="35"/>
      <c r="B33" s="35"/>
      <c r="C33" s="35"/>
      <c r="D33" s="82"/>
      <c r="E33" s="98" t="s">
        <v>86</v>
      </c>
      <c r="G33" s="99">
        <f>ROUNDUP(AVERAGE(G32:H32),0)</f>
        <v>0</v>
      </c>
      <c r="K33" s="82"/>
      <c r="L33" s="98"/>
      <c r="M33" s="98" t="s">
        <v>86</v>
      </c>
      <c r="O33" s="99">
        <f>ROUNDUP(AVERAGE(O32:P32),0)</f>
        <v>0</v>
      </c>
      <c r="Q33" s="35"/>
      <c r="R33" s="35"/>
      <c r="S33" s="35"/>
      <c r="T33" s="35"/>
      <c r="U33" s="35"/>
      <c r="V33" s="35"/>
      <c r="W33" s="35"/>
      <c r="X33" s="35"/>
      <c r="Y33" s="35"/>
      <c r="Z33" s="35"/>
      <c r="AA33" s="35"/>
      <c r="AB33" s="35"/>
    </row>
    <row r="34">
      <c r="A34" s="35"/>
      <c r="B34" s="35"/>
      <c r="C34" s="35"/>
      <c r="D34" s="82"/>
      <c r="E34" s="26"/>
      <c r="F34" s="51"/>
      <c r="G34" s="51"/>
      <c r="H34" s="51"/>
      <c r="I34" s="51"/>
      <c r="J34" s="27"/>
      <c r="K34" s="35"/>
      <c r="Q34" s="35"/>
      <c r="R34" s="35"/>
      <c r="S34" s="35"/>
      <c r="T34" s="35"/>
      <c r="U34" s="35"/>
      <c r="V34" s="35"/>
      <c r="W34" s="35"/>
      <c r="X34" s="35"/>
      <c r="Y34" s="35"/>
      <c r="Z34" s="35"/>
      <c r="AA34" s="35"/>
      <c r="AB34" s="35"/>
    </row>
    <row r="35">
      <c r="A35" s="35"/>
      <c r="B35" s="35"/>
      <c r="C35" s="35"/>
      <c r="D35" s="82"/>
      <c r="E35" s="26"/>
      <c r="F35" s="51"/>
      <c r="G35" s="51"/>
      <c r="H35" s="51"/>
      <c r="I35" s="51"/>
      <c r="J35" s="27"/>
      <c r="K35" s="35"/>
      <c r="L35" s="35"/>
      <c r="M35" s="35"/>
      <c r="N35" s="35"/>
      <c r="O35" s="35"/>
      <c r="P35" s="35"/>
      <c r="Q35" s="35"/>
      <c r="R35" s="35"/>
      <c r="S35" s="35"/>
      <c r="T35" s="35"/>
      <c r="U35" s="35"/>
      <c r="V35" s="35"/>
      <c r="W35" s="35"/>
      <c r="X35" s="35"/>
      <c r="Y35" s="35"/>
      <c r="Z35" s="35"/>
      <c r="AA35" s="35"/>
      <c r="AB35" s="35"/>
    </row>
    <row r="36">
      <c r="A36" s="35"/>
      <c r="B36" s="35"/>
      <c r="C36" s="35"/>
      <c r="D36" s="82"/>
      <c r="E36" s="26"/>
      <c r="F36" s="51"/>
      <c r="G36" s="51"/>
      <c r="H36" s="51"/>
      <c r="I36" s="51"/>
      <c r="J36" s="27"/>
      <c r="K36" s="35"/>
      <c r="L36" s="35"/>
      <c r="M36" s="35"/>
      <c r="N36" s="35"/>
      <c r="O36" s="35"/>
      <c r="P36" s="35"/>
      <c r="Q36" s="35"/>
      <c r="R36" s="35"/>
      <c r="S36" s="35"/>
      <c r="T36" s="35"/>
      <c r="U36" s="35"/>
      <c r="V36" s="35"/>
      <c r="W36" s="35"/>
      <c r="X36" s="35"/>
      <c r="Y36" s="35"/>
      <c r="Z36" s="35"/>
      <c r="AA36" s="35"/>
      <c r="AB36" s="35"/>
    </row>
    <row r="37">
      <c r="A37" s="35"/>
      <c r="B37" s="35"/>
      <c r="C37" s="35"/>
      <c r="D37" s="82"/>
      <c r="E37" s="26"/>
      <c r="F37" s="51"/>
      <c r="G37" s="51"/>
      <c r="H37" s="51"/>
      <c r="I37" s="51"/>
      <c r="J37" s="27"/>
      <c r="K37" s="35"/>
      <c r="L37" s="35"/>
      <c r="M37" s="35"/>
      <c r="N37" s="35"/>
      <c r="O37" s="35"/>
      <c r="P37" s="35"/>
      <c r="Q37" s="35"/>
      <c r="R37" s="35"/>
      <c r="S37" s="35"/>
      <c r="T37" s="35"/>
      <c r="U37" s="35"/>
      <c r="V37" s="35"/>
      <c r="W37" s="35"/>
      <c r="X37" s="35"/>
      <c r="Y37" s="35"/>
      <c r="Z37" s="35"/>
      <c r="AA37" s="35"/>
      <c r="AB37" s="35"/>
    </row>
    <row r="38">
      <c r="A38" s="35"/>
      <c r="B38" s="35"/>
      <c r="C38" s="35"/>
      <c r="D38" s="82"/>
      <c r="E38" s="26"/>
      <c r="F38" s="51"/>
      <c r="G38" s="51"/>
      <c r="H38" s="51"/>
      <c r="I38" s="51"/>
      <c r="J38" s="27"/>
      <c r="K38" s="35"/>
      <c r="L38" s="35"/>
      <c r="M38" s="35"/>
      <c r="N38" s="35"/>
      <c r="O38" s="35"/>
      <c r="P38" s="35"/>
      <c r="Q38" s="35"/>
      <c r="R38" s="35"/>
      <c r="S38" s="35"/>
      <c r="T38" s="35"/>
      <c r="U38" s="35"/>
      <c r="V38" s="35"/>
      <c r="W38" s="35"/>
      <c r="X38" s="35"/>
      <c r="Y38" s="35"/>
      <c r="Z38" s="35"/>
      <c r="AA38" s="35"/>
      <c r="AB38" s="35"/>
    </row>
    <row r="39">
      <c r="A39" s="35"/>
      <c r="B39" s="35"/>
      <c r="C39" s="35"/>
      <c r="D39" s="82"/>
      <c r="E39" s="26"/>
      <c r="F39" s="51"/>
      <c r="G39" s="51"/>
      <c r="H39" s="51"/>
      <c r="I39" s="51"/>
      <c r="J39" s="27"/>
      <c r="K39" s="35"/>
      <c r="L39" s="35"/>
      <c r="M39" s="35"/>
      <c r="N39" s="35"/>
      <c r="O39" s="35"/>
      <c r="P39" s="35"/>
      <c r="Q39" s="35"/>
      <c r="R39" s="35"/>
      <c r="S39" s="35"/>
      <c r="T39" s="35"/>
      <c r="U39" s="35"/>
      <c r="V39" s="35"/>
      <c r="W39" s="35"/>
      <c r="X39" s="35"/>
      <c r="Y39" s="35"/>
      <c r="Z39" s="35"/>
      <c r="AA39" s="35"/>
      <c r="AB39" s="35"/>
    </row>
    <row r="40">
      <c r="A40" s="35"/>
      <c r="B40" s="35"/>
      <c r="C40" s="35"/>
      <c r="D40" s="82"/>
      <c r="E40" s="26"/>
      <c r="F40" s="51"/>
      <c r="G40" s="51"/>
      <c r="H40" s="51"/>
      <c r="I40" s="51"/>
      <c r="J40" s="27"/>
      <c r="K40" s="35"/>
      <c r="L40" s="35"/>
      <c r="M40" s="35"/>
      <c r="N40" s="35"/>
      <c r="O40" s="35"/>
      <c r="P40" s="35"/>
      <c r="Q40" s="35"/>
      <c r="R40" s="35"/>
      <c r="S40" s="35"/>
      <c r="T40" s="35"/>
      <c r="U40" s="35"/>
      <c r="V40" s="35"/>
      <c r="W40" s="35"/>
      <c r="X40" s="35"/>
      <c r="Y40" s="35"/>
      <c r="Z40" s="35"/>
      <c r="AA40" s="35"/>
      <c r="AB40" s="35"/>
    </row>
    <row r="41">
      <c r="A41" s="35"/>
      <c r="B41" s="35"/>
      <c r="C41" s="35"/>
      <c r="D41" s="82"/>
      <c r="E41" s="26"/>
      <c r="F41" s="51"/>
      <c r="G41" s="51"/>
      <c r="H41" s="51"/>
      <c r="I41" s="51"/>
      <c r="J41" s="27"/>
      <c r="K41" s="35"/>
      <c r="L41" s="35"/>
      <c r="M41" s="35"/>
      <c r="N41" s="35"/>
      <c r="O41" s="35"/>
      <c r="P41" s="35"/>
      <c r="Q41" s="35"/>
      <c r="R41" s="35"/>
      <c r="S41" s="35"/>
      <c r="T41" s="35"/>
      <c r="U41" s="35"/>
      <c r="V41" s="35"/>
      <c r="W41" s="35"/>
      <c r="X41" s="35"/>
      <c r="Y41" s="35"/>
      <c r="Z41" s="35"/>
      <c r="AA41" s="35"/>
      <c r="AB41" s="35"/>
    </row>
    <row r="42">
      <c r="A42" s="35"/>
      <c r="B42" s="35"/>
      <c r="C42" s="35"/>
      <c r="D42" s="82"/>
      <c r="E42" s="26"/>
      <c r="F42" s="51"/>
      <c r="G42" s="51"/>
      <c r="H42" s="51"/>
      <c r="I42" s="51"/>
      <c r="J42" s="27"/>
      <c r="K42" s="35"/>
      <c r="L42" s="35"/>
      <c r="M42" s="35"/>
      <c r="N42" s="35"/>
      <c r="O42" s="35"/>
      <c r="P42" s="35"/>
      <c r="Q42" s="35"/>
      <c r="R42" s="35"/>
      <c r="S42" s="35"/>
      <c r="T42" s="35"/>
      <c r="U42" s="35"/>
      <c r="V42" s="35"/>
      <c r="W42" s="35"/>
      <c r="X42" s="35"/>
      <c r="Y42" s="35"/>
      <c r="Z42" s="35"/>
      <c r="AA42" s="35"/>
      <c r="AB42" s="35"/>
    </row>
    <row r="43">
      <c r="A43" s="35"/>
      <c r="B43" s="35"/>
      <c r="C43" s="35"/>
      <c r="D43" s="82"/>
      <c r="E43" s="26"/>
      <c r="F43" s="51"/>
      <c r="G43" s="51"/>
      <c r="H43" s="51"/>
      <c r="I43" s="51"/>
      <c r="J43" s="27"/>
      <c r="K43" s="35"/>
      <c r="L43" s="35"/>
      <c r="M43" s="35"/>
      <c r="N43" s="35"/>
      <c r="O43" s="35"/>
      <c r="P43" s="35"/>
      <c r="Q43" s="35"/>
      <c r="R43" s="35"/>
      <c r="S43" s="35"/>
      <c r="T43" s="35"/>
      <c r="U43" s="35"/>
      <c r="V43" s="35"/>
      <c r="W43" s="35"/>
      <c r="X43" s="35"/>
      <c r="Y43" s="35"/>
      <c r="Z43" s="35"/>
      <c r="AA43" s="35"/>
      <c r="AB43" s="35"/>
    </row>
    <row r="44">
      <c r="A44" s="35"/>
      <c r="B44" s="35"/>
      <c r="C44" s="35"/>
      <c r="D44" s="82"/>
      <c r="E44" s="26"/>
      <c r="F44" s="51"/>
      <c r="G44" s="51"/>
      <c r="H44" s="51"/>
      <c r="I44" s="51"/>
      <c r="J44" s="27"/>
      <c r="K44" s="35"/>
      <c r="L44" s="35"/>
      <c r="M44" s="35"/>
      <c r="N44" s="35"/>
      <c r="O44" s="35"/>
      <c r="P44" s="35"/>
      <c r="Q44" s="35"/>
      <c r="R44" s="35"/>
      <c r="S44" s="35"/>
      <c r="T44" s="35"/>
      <c r="U44" s="35"/>
      <c r="V44" s="35"/>
      <c r="W44" s="35"/>
      <c r="X44" s="35"/>
      <c r="Y44" s="35"/>
      <c r="Z44" s="35"/>
      <c r="AA44" s="35"/>
      <c r="AB44" s="35"/>
    </row>
    <row r="45">
      <c r="A45" s="35"/>
      <c r="B45" s="35"/>
      <c r="C45" s="35"/>
      <c r="D45" s="82"/>
      <c r="E45" s="26"/>
      <c r="F45" s="51"/>
      <c r="G45" s="51"/>
      <c r="H45" s="51"/>
      <c r="I45" s="51"/>
      <c r="J45" s="27"/>
      <c r="K45" s="35"/>
      <c r="L45" s="35"/>
      <c r="M45" s="35"/>
      <c r="N45" s="35"/>
      <c r="O45" s="35"/>
      <c r="P45" s="35"/>
      <c r="Q45" s="35"/>
      <c r="R45" s="35"/>
      <c r="S45" s="35"/>
      <c r="T45" s="35"/>
      <c r="U45" s="35"/>
      <c r="V45" s="35"/>
      <c r="W45" s="35"/>
      <c r="X45" s="35"/>
      <c r="Y45" s="35"/>
      <c r="Z45" s="35"/>
      <c r="AA45" s="35"/>
      <c r="AB45" s="35"/>
    </row>
    <row r="46">
      <c r="A46" s="35"/>
      <c r="B46" s="35"/>
      <c r="C46" s="35"/>
      <c r="D46" s="82"/>
      <c r="E46" s="26"/>
      <c r="F46" s="51"/>
      <c r="G46" s="51"/>
      <c r="H46" s="51"/>
      <c r="I46" s="51"/>
      <c r="J46" s="27"/>
      <c r="K46" s="35"/>
      <c r="L46" s="35"/>
      <c r="M46" s="35"/>
      <c r="N46" s="35"/>
      <c r="O46" s="35"/>
      <c r="P46" s="35"/>
      <c r="Q46" s="35"/>
      <c r="R46" s="35"/>
      <c r="S46" s="35"/>
      <c r="T46" s="35"/>
      <c r="U46" s="35"/>
      <c r="V46" s="35"/>
      <c r="W46" s="35"/>
      <c r="X46" s="35"/>
      <c r="Y46" s="35"/>
      <c r="Z46" s="35"/>
      <c r="AA46" s="35"/>
      <c r="AB46" s="35"/>
    </row>
    <row r="47">
      <c r="A47" s="35"/>
      <c r="B47" s="35"/>
      <c r="C47" s="35"/>
      <c r="D47" s="82"/>
      <c r="E47" s="26"/>
      <c r="F47" s="51"/>
      <c r="G47" s="51"/>
      <c r="H47" s="51"/>
      <c r="I47" s="51"/>
      <c r="J47" s="27"/>
      <c r="K47" s="35"/>
      <c r="L47" s="35"/>
      <c r="M47" s="35"/>
      <c r="N47" s="35"/>
      <c r="O47" s="35"/>
      <c r="P47" s="35"/>
      <c r="Q47" s="35"/>
      <c r="R47" s="35"/>
      <c r="S47" s="35"/>
      <c r="T47" s="35"/>
      <c r="U47" s="35"/>
      <c r="V47" s="35"/>
      <c r="W47" s="35"/>
      <c r="X47" s="35"/>
      <c r="Y47" s="35"/>
      <c r="Z47" s="35"/>
      <c r="AA47" s="35"/>
      <c r="AB47" s="35"/>
    </row>
    <row r="48">
      <c r="A48" s="35"/>
      <c r="B48" s="35"/>
      <c r="C48" s="35"/>
      <c r="D48" s="82"/>
      <c r="E48" s="26"/>
      <c r="F48" s="51"/>
      <c r="G48" s="51"/>
      <c r="H48" s="51"/>
      <c r="I48" s="51"/>
      <c r="J48" s="27"/>
      <c r="K48" s="35"/>
      <c r="L48" s="35"/>
      <c r="M48" s="35"/>
      <c r="N48" s="35"/>
      <c r="O48" s="35"/>
      <c r="P48" s="35"/>
      <c r="Q48" s="35"/>
      <c r="R48" s="35"/>
      <c r="S48" s="35"/>
      <c r="T48" s="35"/>
      <c r="U48" s="35"/>
      <c r="V48" s="35"/>
      <c r="W48" s="35"/>
      <c r="X48" s="35"/>
      <c r="Y48" s="35"/>
      <c r="Z48" s="35"/>
      <c r="AA48" s="35"/>
      <c r="AB48" s="35"/>
    </row>
    <row r="49">
      <c r="A49" s="35"/>
      <c r="B49" s="35"/>
      <c r="C49" s="35"/>
      <c r="D49" s="82"/>
      <c r="E49" s="26"/>
      <c r="F49" s="51"/>
      <c r="G49" s="51"/>
      <c r="H49" s="51"/>
      <c r="I49" s="51"/>
      <c r="J49" s="27"/>
      <c r="K49" s="35"/>
      <c r="L49" s="35"/>
      <c r="M49" s="35"/>
      <c r="N49" s="35"/>
      <c r="O49" s="35"/>
      <c r="P49" s="35"/>
      <c r="Q49" s="35"/>
      <c r="R49" s="35"/>
      <c r="S49" s="35"/>
      <c r="T49" s="35"/>
      <c r="U49" s="35"/>
      <c r="V49" s="35"/>
      <c r="W49" s="35"/>
      <c r="X49" s="35"/>
      <c r="Y49" s="35"/>
      <c r="Z49" s="35"/>
      <c r="AA49" s="35"/>
      <c r="AB49" s="35"/>
    </row>
    <row r="50">
      <c r="A50" s="35"/>
      <c r="B50" s="35"/>
      <c r="C50" s="35"/>
      <c r="D50" s="82"/>
      <c r="E50" s="26"/>
      <c r="F50" s="51"/>
      <c r="G50" s="51"/>
      <c r="H50" s="51"/>
      <c r="I50" s="51"/>
      <c r="J50" s="27"/>
      <c r="K50" s="35"/>
      <c r="L50" s="35"/>
      <c r="M50" s="35"/>
      <c r="N50" s="35"/>
      <c r="O50" s="35"/>
      <c r="P50" s="35"/>
      <c r="Q50" s="35"/>
      <c r="R50" s="35"/>
      <c r="S50" s="35"/>
      <c r="T50" s="35"/>
      <c r="U50" s="35"/>
      <c r="V50" s="35"/>
      <c r="W50" s="35"/>
      <c r="X50" s="35"/>
      <c r="Y50" s="35"/>
      <c r="Z50" s="35"/>
      <c r="AA50" s="35"/>
      <c r="AB50" s="35"/>
    </row>
    <row r="51">
      <c r="A51" s="35"/>
      <c r="B51" s="35"/>
      <c r="C51" s="35"/>
      <c r="D51" s="82"/>
      <c r="E51" s="26"/>
      <c r="F51" s="51"/>
      <c r="G51" s="51"/>
      <c r="H51" s="51"/>
      <c r="I51" s="51"/>
      <c r="J51" s="27"/>
      <c r="K51" s="35"/>
      <c r="L51" s="35"/>
      <c r="M51" s="35"/>
      <c r="N51" s="35"/>
      <c r="O51" s="35"/>
      <c r="P51" s="35"/>
      <c r="Q51" s="35"/>
      <c r="R51" s="35"/>
      <c r="S51" s="35"/>
      <c r="T51" s="35"/>
      <c r="U51" s="35"/>
      <c r="V51" s="35"/>
      <c r="W51" s="35"/>
      <c r="X51" s="35"/>
      <c r="Y51" s="35"/>
      <c r="Z51" s="35"/>
      <c r="AA51" s="35"/>
      <c r="AB51" s="35"/>
    </row>
    <row r="52">
      <c r="A52" s="35"/>
      <c r="B52" s="35"/>
      <c r="C52" s="35"/>
      <c r="D52" s="82"/>
      <c r="E52" s="26"/>
      <c r="F52" s="51"/>
      <c r="G52" s="51"/>
      <c r="H52" s="51"/>
      <c r="I52" s="51"/>
      <c r="J52" s="27"/>
      <c r="K52" s="35"/>
      <c r="L52" s="35"/>
      <c r="M52" s="35"/>
      <c r="N52" s="35"/>
      <c r="O52" s="35"/>
      <c r="P52" s="35"/>
      <c r="Q52" s="35"/>
      <c r="R52" s="35"/>
      <c r="S52" s="35"/>
      <c r="T52" s="35"/>
      <c r="U52" s="35"/>
      <c r="V52" s="35"/>
      <c r="W52" s="35"/>
      <c r="X52" s="35"/>
      <c r="Y52" s="35"/>
      <c r="Z52" s="35"/>
      <c r="AA52" s="35"/>
      <c r="AB52" s="35"/>
    </row>
    <row r="53">
      <c r="A53" s="35"/>
      <c r="B53" s="35"/>
      <c r="C53" s="35"/>
      <c r="D53" s="82"/>
      <c r="E53" s="26"/>
      <c r="F53" s="51"/>
      <c r="G53" s="51"/>
      <c r="H53" s="51"/>
      <c r="I53" s="51"/>
      <c r="J53" s="27"/>
      <c r="K53" s="35"/>
      <c r="L53" s="35"/>
      <c r="M53" s="35"/>
      <c r="N53" s="35"/>
      <c r="O53" s="35"/>
      <c r="P53" s="35"/>
      <c r="Q53" s="35"/>
      <c r="R53" s="35"/>
      <c r="S53" s="35"/>
      <c r="T53" s="35"/>
      <c r="U53" s="35"/>
      <c r="V53" s="35"/>
      <c r="W53" s="35"/>
      <c r="X53" s="35"/>
      <c r="Y53" s="35"/>
      <c r="Z53" s="35"/>
      <c r="AA53" s="35"/>
      <c r="AB53" s="35"/>
    </row>
    <row r="54">
      <c r="A54" s="35"/>
      <c r="B54" s="35"/>
      <c r="C54" s="35"/>
      <c r="D54" s="82"/>
      <c r="E54" s="26"/>
      <c r="F54" s="51"/>
      <c r="G54" s="51"/>
      <c r="H54" s="51"/>
      <c r="I54" s="51"/>
      <c r="J54" s="27"/>
      <c r="K54" s="35"/>
      <c r="L54" s="35"/>
      <c r="M54" s="35"/>
      <c r="N54" s="35"/>
      <c r="O54" s="35"/>
      <c r="P54" s="35"/>
      <c r="Q54" s="35"/>
      <c r="R54" s="35"/>
      <c r="S54" s="35"/>
      <c r="T54" s="35"/>
      <c r="U54" s="35"/>
      <c r="V54" s="35"/>
      <c r="W54" s="35"/>
      <c r="X54" s="35"/>
      <c r="Y54" s="35"/>
      <c r="Z54" s="35"/>
      <c r="AA54" s="35"/>
      <c r="AB54" s="35"/>
    </row>
    <row r="55">
      <c r="A55" s="35"/>
      <c r="B55" s="35"/>
      <c r="C55" s="35"/>
      <c r="D55" s="82"/>
      <c r="E55" s="26"/>
      <c r="F55" s="51"/>
      <c r="G55" s="51"/>
      <c r="H55" s="51"/>
      <c r="I55" s="51"/>
      <c r="J55" s="27"/>
      <c r="K55" s="35"/>
      <c r="L55" s="35"/>
      <c r="M55" s="35"/>
      <c r="N55" s="35"/>
      <c r="O55" s="35"/>
      <c r="P55" s="35"/>
      <c r="Q55" s="35"/>
      <c r="R55" s="35"/>
      <c r="S55" s="35"/>
      <c r="T55" s="35"/>
      <c r="U55" s="35"/>
      <c r="V55" s="35"/>
      <c r="W55" s="35"/>
      <c r="X55" s="35"/>
      <c r="Y55" s="35"/>
      <c r="Z55" s="35"/>
      <c r="AA55" s="35"/>
      <c r="AB55" s="35"/>
    </row>
    <row r="56">
      <c r="A56" s="35"/>
      <c r="B56" s="35"/>
      <c r="C56" s="35"/>
      <c r="D56" s="82"/>
      <c r="E56" s="26"/>
      <c r="F56" s="51"/>
      <c r="G56" s="51"/>
      <c r="H56" s="51"/>
      <c r="I56" s="51"/>
      <c r="J56" s="27"/>
      <c r="K56" s="35"/>
      <c r="L56" s="35"/>
      <c r="M56" s="35"/>
      <c r="N56" s="35"/>
      <c r="O56" s="35"/>
      <c r="P56" s="35"/>
      <c r="Q56" s="35"/>
      <c r="R56" s="35"/>
      <c r="S56" s="35"/>
      <c r="T56" s="35"/>
      <c r="U56" s="35"/>
      <c r="V56" s="35"/>
      <c r="W56" s="35"/>
      <c r="X56" s="35"/>
      <c r="Y56" s="35"/>
      <c r="Z56" s="35"/>
      <c r="AA56" s="35"/>
      <c r="AB56" s="35"/>
    </row>
    <row r="57">
      <c r="A57" s="35"/>
      <c r="B57" s="35"/>
      <c r="C57" s="35"/>
      <c r="D57" s="82"/>
      <c r="E57" s="26"/>
      <c r="F57" s="51"/>
      <c r="G57" s="51"/>
      <c r="H57" s="51"/>
      <c r="I57" s="51"/>
      <c r="J57" s="27"/>
      <c r="K57" s="35"/>
      <c r="L57" s="35"/>
      <c r="M57" s="35"/>
      <c r="N57" s="35"/>
      <c r="O57" s="35"/>
      <c r="P57" s="35"/>
      <c r="Q57" s="35"/>
      <c r="R57" s="35"/>
      <c r="S57" s="35"/>
      <c r="T57" s="35"/>
      <c r="U57" s="35"/>
      <c r="V57" s="35"/>
      <c r="W57" s="35"/>
      <c r="X57" s="35"/>
      <c r="Y57" s="35"/>
      <c r="Z57" s="35"/>
      <c r="AA57" s="35"/>
      <c r="AB57" s="35"/>
    </row>
    <row r="58">
      <c r="A58" s="35"/>
      <c r="B58" s="35"/>
      <c r="C58" s="35"/>
      <c r="D58" s="82"/>
      <c r="E58" s="26"/>
      <c r="F58" s="51"/>
      <c r="G58" s="51"/>
      <c r="H58" s="51"/>
      <c r="I58" s="51"/>
      <c r="J58" s="27"/>
      <c r="K58" s="35"/>
      <c r="L58" s="35"/>
      <c r="M58" s="35"/>
      <c r="N58" s="35"/>
      <c r="O58" s="35"/>
      <c r="P58" s="35"/>
      <c r="Q58" s="35"/>
      <c r="R58" s="35"/>
      <c r="S58" s="35"/>
      <c r="T58" s="35"/>
      <c r="U58" s="35"/>
      <c r="V58" s="35"/>
      <c r="W58" s="35"/>
      <c r="X58" s="35"/>
      <c r="Y58" s="35"/>
      <c r="Z58" s="35"/>
      <c r="AA58" s="35"/>
      <c r="AB58" s="35"/>
    </row>
    <row r="59">
      <c r="A59" s="35"/>
      <c r="B59" s="35"/>
      <c r="C59" s="35"/>
      <c r="D59" s="82"/>
      <c r="E59" s="26"/>
      <c r="F59" s="51"/>
      <c r="G59" s="51"/>
      <c r="H59" s="51"/>
      <c r="I59" s="51"/>
      <c r="J59" s="27"/>
      <c r="K59" s="35"/>
      <c r="L59" s="35"/>
      <c r="M59" s="35"/>
      <c r="N59" s="35"/>
      <c r="O59" s="35"/>
      <c r="P59" s="35"/>
      <c r="Q59" s="35"/>
      <c r="R59" s="35"/>
      <c r="S59" s="35"/>
      <c r="T59" s="35"/>
      <c r="U59" s="35"/>
      <c r="V59" s="35"/>
      <c r="W59" s="35"/>
      <c r="X59" s="35"/>
      <c r="Y59" s="35"/>
      <c r="Z59" s="35"/>
      <c r="AA59" s="35"/>
      <c r="AB59" s="35"/>
    </row>
    <row r="60">
      <c r="A60" s="35"/>
      <c r="B60" s="35"/>
      <c r="C60" s="35"/>
      <c r="D60" s="82"/>
      <c r="E60" s="26"/>
      <c r="F60" s="51"/>
      <c r="G60" s="51"/>
      <c r="H60" s="51"/>
      <c r="I60" s="51"/>
      <c r="J60" s="27"/>
      <c r="K60" s="35"/>
      <c r="L60" s="35"/>
      <c r="M60" s="35"/>
      <c r="N60" s="35"/>
      <c r="O60" s="35"/>
      <c r="P60" s="35"/>
      <c r="Q60" s="35"/>
      <c r="R60" s="35"/>
      <c r="S60" s="35"/>
      <c r="T60" s="35"/>
      <c r="U60" s="35"/>
      <c r="V60" s="35"/>
      <c r="W60" s="35"/>
      <c r="X60" s="35"/>
      <c r="Y60" s="35"/>
      <c r="Z60" s="35"/>
      <c r="AA60" s="35"/>
      <c r="AB60" s="35"/>
    </row>
    <row r="61">
      <c r="A61" s="35"/>
      <c r="B61" s="35"/>
      <c r="C61" s="35"/>
      <c r="D61" s="82"/>
      <c r="E61" s="26"/>
      <c r="F61" s="51"/>
      <c r="G61" s="51"/>
      <c r="H61" s="51"/>
      <c r="I61" s="51"/>
      <c r="J61" s="27"/>
      <c r="K61" s="35"/>
      <c r="L61" s="35"/>
      <c r="M61" s="35"/>
      <c r="N61" s="35"/>
      <c r="O61" s="35"/>
      <c r="P61" s="35"/>
      <c r="Q61" s="35"/>
      <c r="R61" s="35"/>
      <c r="S61" s="35"/>
      <c r="T61" s="35"/>
      <c r="U61" s="35"/>
      <c r="V61" s="35"/>
      <c r="W61" s="35"/>
      <c r="X61" s="35"/>
      <c r="Y61" s="35"/>
      <c r="Z61" s="35"/>
      <c r="AA61" s="35"/>
      <c r="AB61" s="35"/>
    </row>
    <row r="62">
      <c r="A62" s="35"/>
      <c r="B62" s="35"/>
      <c r="C62" s="35"/>
      <c r="D62" s="82"/>
      <c r="E62" s="26"/>
      <c r="F62" s="51"/>
      <c r="G62" s="51"/>
      <c r="H62" s="51"/>
      <c r="I62" s="51"/>
      <c r="J62" s="27"/>
      <c r="K62" s="35"/>
      <c r="L62" s="35"/>
      <c r="M62" s="35"/>
      <c r="N62" s="35"/>
      <c r="O62" s="35"/>
      <c r="P62" s="35"/>
      <c r="Q62" s="35"/>
      <c r="R62" s="35"/>
      <c r="S62" s="35"/>
      <c r="T62" s="35"/>
      <c r="U62" s="35"/>
      <c r="V62" s="35"/>
      <c r="W62" s="35"/>
      <c r="X62" s="35"/>
      <c r="Y62" s="35"/>
      <c r="Z62" s="35"/>
      <c r="AA62" s="35"/>
      <c r="AB62" s="35"/>
    </row>
    <row r="63">
      <c r="A63" s="35"/>
      <c r="B63" s="35"/>
      <c r="C63" s="35"/>
      <c r="D63" s="82"/>
      <c r="E63" s="26"/>
      <c r="F63" s="51"/>
      <c r="G63" s="51"/>
      <c r="H63" s="51"/>
      <c r="I63" s="51"/>
      <c r="J63" s="27"/>
      <c r="K63" s="35"/>
      <c r="L63" s="35"/>
      <c r="M63" s="35"/>
      <c r="N63" s="35"/>
      <c r="O63" s="35"/>
      <c r="P63" s="35"/>
      <c r="Q63" s="35"/>
      <c r="R63" s="35"/>
      <c r="S63" s="35"/>
      <c r="T63" s="35"/>
      <c r="U63" s="35"/>
      <c r="V63" s="35"/>
      <c r="W63" s="35"/>
      <c r="X63" s="35"/>
      <c r="Y63" s="35"/>
      <c r="Z63" s="35"/>
      <c r="AA63" s="35"/>
      <c r="AB63" s="35"/>
    </row>
    <row r="64">
      <c r="A64" s="35"/>
      <c r="B64" s="35"/>
      <c r="C64" s="35"/>
      <c r="D64" s="82"/>
      <c r="E64" s="26"/>
      <c r="F64" s="51"/>
      <c r="G64" s="51"/>
      <c r="H64" s="51"/>
      <c r="I64" s="51"/>
      <c r="J64" s="27"/>
      <c r="K64" s="35"/>
      <c r="L64" s="35"/>
      <c r="M64" s="35"/>
      <c r="N64" s="35"/>
      <c r="O64" s="35"/>
      <c r="P64" s="35"/>
      <c r="Q64" s="35"/>
      <c r="R64" s="35"/>
      <c r="S64" s="35"/>
      <c r="T64" s="35"/>
      <c r="U64" s="35"/>
      <c r="V64" s="35"/>
      <c r="W64" s="35"/>
      <c r="X64" s="35"/>
      <c r="Y64" s="35"/>
      <c r="Z64" s="35"/>
      <c r="AA64" s="35"/>
      <c r="AB64" s="35"/>
    </row>
    <row r="65">
      <c r="A65" s="35"/>
      <c r="B65" s="35"/>
      <c r="C65" s="35"/>
      <c r="D65" s="82"/>
      <c r="E65" s="26"/>
      <c r="F65" s="51"/>
      <c r="G65" s="51"/>
      <c r="H65" s="51"/>
      <c r="I65" s="51"/>
      <c r="J65" s="27"/>
      <c r="K65" s="35"/>
      <c r="L65" s="35"/>
      <c r="M65" s="35"/>
      <c r="N65" s="35"/>
      <c r="O65" s="35"/>
      <c r="P65" s="35"/>
      <c r="Q65" s="35"/>
      <c r="R65" s="35"/>
      <c r="S65" s="35"/>
      <c r="T65" s="35"/>
      <c r="U65" s="35"/>
      <c r="V65" s="35"/>
      <c r="W65" s="35"/>
      <c r="X65" s="35"/>
      <c r="Y65" s="35"/>
      <c r="Z65" s="35"/>
      <c r="AA65" s="35"/>
      <c r="AB65" s="35"/>
    </row>
    <row r="66">
      <c r="A66" s="35"/>
      <c r="B66" s="35"/>
      <c r="C66" s="35"/>
      <c r="D66" s="82"/>
      <c r="E66" s="26"/>
      <c r="F66" s="51"/>
      <c r="G66" s="51"/>
      <c r="H66" s="51"/>
      <c r="I66" s="51"/>
      <c r="J66" s="27"/>
      <c r="K66" s="35"/>
      <c r="L66" s="35"/>
      <c r="M66" s="35"/>
      <c r="N66" s="35"/>
      <c r="O66" s="35"/>
      <c r="P66" s="35"/>
      <c r="Q66" s="35"/>
      <c r="R66" s="35"/>
      <c r="S66" s="35"/>
      <c r="T66" s="35"/>
      <c r="U66" s="35"/>
      <c r="V66" s="35"/>
      <c r="W66" s="35"/>
      <c r="X66" s="35"/>
      <c r="Y66" s="35"/>
      <c r="Z66" s="35"/>
      <c r="AA66" s="35"/>
      <c r="AB66" s="35"/>
    </row>
    <row r="67">
      <c r="A67" s="35"/>
      <c r="B67" s="35"/>
      <c r="C67" s="35"/>
      <c r="D67" s="82"/>
      <c r="E67" s="26"/>
      <c r="F67" s="51"/>
      <c r="G67" s="51"/>
      <c r="H67" s="51"/>
      <c r="I67" s="51"/>
      <c r="J67" s="27"/>
      <c r="K67" s="35"/>
      <c r="L67" s="35"/>
      <c r="M67" s="35"/>
      <c r="N67" s="35"/>
      <c r="O67" s="35"/>
      <c r="P67" s="35"/>
      <c r="Q67" s="35"/>
      <c r="R67" s="35"/>
      <c r="S67" s="35"/>
      <c r="T67" s="35"/>
      <c r="U67" s="35"/>
      <c r="V67" s="35"/>
      <c r="W67" s="35"/>
      <c r="X67" s="35"/>
      <c r="Y67" s="35"/>
      <c r="Z67" s="35"/>
      <c r="AA67" s="35"/>
      <c r="AB67" s="35"/>
    </row>
    <row r="68">
      <c r="A68" s="35"/>
      <c r="B68" s="35"/>
      <c r="C68" s="35"/>
      <c r="D68" s="82"/>
      <c r="E68" s="26"/>
      <c r="F68" s="51"/>
      <c r="G68" s="51"/>
      <c r="H68" s="51"/>
      <c r="I68" s="51"/>
      <c r="J68" s="27"/>
      <c r="K68" s="35"/>
      <c r="L68" s="35"/>
      <c r="M68" s="35"/>
      <c r="N68" s="35"/>
      <c r="O68" s="35"/>
      <c r="P68" s="35"/>
      <c r="Q68" s="35"/>
      <c r="R68" s="35"/>
      <c r="S68" s="35"/>
      <c r="T68" s="35"/>
      <c r="U68" s="35"/>
      <c r="V68" s="35"/>
      <c r="W68" s="35"/>
      <c r="X68" s="35"/>
      <c r="Y68" s="35"/>
      <c r="Z68" s="35"/>
      <c r="AA68" s="35"/>
      <c r="AB68" s="35"/>
    </row>
    <row r="69">
      <c r="A69" s="35"/>
      <c r="B69" s="35"/>
      <c r="C69" s="35"/>
      <c r="D69" s="82"/>
      <c r="E69" s="26"/>
      <c r="F69" s="51"/>
      <c r="G69" s="51"/>
      <c r="H69" s="51"/>
      <c r="I69" s="51"/>
      <c r="J69" s="27"/>
      <c r="K69" s="35"/>
      <c r="L69" s="35"/>
      <c r="M69" s="35"/>
      <c r="N69" s="35"/>
      <c r="O69" s="35"/>
      <c r="P69" s="35"/>
      <c r="Q69" s="35"/>
      <c r="R69" s="35"/>
      <c r="S69" s="35"/>
      <c r="T69" s="35"/>
      <c r="U69" s="35"/>
      <c r="V69" s="35"/>
      <c r="W69" s="35"/>
      <c r="X69" s="35"/>
      <c r="Y69" s="35"/>
      <c r="Z69" s="35"/>
      <c r="AA69" s="35"/>
      <c r="AB69" s="35"/>
    </row>
    <row r="70">
      <c r="A70" s="35"/>
      <c r="B70" s="35"/>
      <c r="C70" s="35"/>
      <c r="D70" s="82"/>
      <c r="E70" s="26"/>
      <c r="F70" s="51"/>
      <c r="G70" s="51"/>
      <c r="H70" s="51"/>
      <c r="I70" s="51"/>
      <c r="J70" s="27"/>
      <c r="K70" s="35"/>
      <c r="L70" s="35"/>
      <c r="M70" s="35"/>
      <c r="N70" s="35"/>
      <c r="O70" s="35"/>
      <c r="P70" s="35"/>
      <c r="Q70" s="35"/>
      <c r="R70" s="35"/>
      <c r="S70" s="35"/>
      <c r="T70" s="35"/>
      <c r="U70" s="35"/>
      <c r="V70" s="35"/>
      <c r="W70" s="35"/>
      <c r="X70" s="35"/>
      <c r="Y70" s="35"/>
      <c r="Z70" s="35"/>
      <c r="AA70" s="35"/>
      <c r="AB70" s="35"/>
    </row>
    <row r="71">
      <c r="A71" s="35"/>
      <c r="B71" s="35"/>
      <c r="C71" s="35"/>
      <c r="D71" s="82"/>
      <c r="E71" s="26"/>
      <c r="F71" s="51"/>
      <c r="G71" s="51"/>
      <c r="H71" s="51"/>
      <c r="I71" s="51"/>
      <c r="J71" s="27"/>
      <c r="K71" s="35"/>
      <c r="L71" s="35"/>
      <c r="M71" s="35"/>
      <c r="N71" s="35"/>
      <c r="O71" s="35"/>
      <c r="P71" s="35"/>
      <c r="Q71" s="35"/>
      <c r="R71" s="35"/>
      <c r="S71" s="35"/>
      <c r="T71" s="35"/>
      <c r="U71" s="35"/>
      <c r="V71" s="35"/>
      <c r="W71" s="35"/>
      <c r="X71" s="35"/>
      <c r="Y71" s="35"/>
      <c r="Z71" s="35"/>
      <c r="AA71" s="35"/>
      <c r="AB71" s="35"/>
    </row>
    <row r="72">
      <c r="A72" s="35"/>
      <c r="B72" s="35"/>
      <c r="C72" s="35"/>
      <c r="D72" s="82"/>
      <c r="E72" s="26"/>
      <c r="F72" s="51"/>
      <c r="G72" s="51"/>
      <c r="H72" s="51"/>
      <c r="I72" s="51"/>
      <c r="J72" s="27"/>
      <c r="K72" s="35"/>
      <c r="L72" s="35"/>
      <c r="M72" s="35"/>
      <c r="N72" s="35"/>
      <c r="O72" s="35"/>
      <c r="P72" s="35"/>
      <c r="Q72" s="35"/>
      <c r="R72" s="35"/>
      <c r="S72" s="35"/>
      <c r="T72" s="35"/>
      <c r="U72" s="35"/>
      <c r="V72" s="35"/>
      <c r="W72" s="35"/>
      <c r="X72" s="35"/>
      <c r="Y72" s="35"/>
      <c r="Z72" s="35"/>
      <c r="AA72" s="35"/>
      <c r="AB72" s="35"/>
    </row>
    <row r="73">
      <c r="A73" s="35"/>
      <c r="B73" s="35"/>
      <c r="C73" s="35"/>
      <c r="D73" s="82"/>
      <c r="E73" s="26"/>
      <c r="F73" s="51"/>
      <c r="G73" s="51"/>
      <c r="H73" s="51"/>
      <c r="I73" s="51"/>
      <c r="J73" s="27"/>
      <c r="K73" s="35"/>
      <c r="L73" s="35"/>
      <c r="M73" s="35"/>
      <c r="N73" s="35"/>
      <c r="O73" s="35"/>
      <c r="P73" s="35"/>
      <c r="Q73" s="35"/>
      <c r="R73" s="35"/>
      <c r="S73" s="35"/>
      <c r="T73" s="35"/>
      <c r="U73" s="35"/>
      <c r="V73" s="35"/>
      <c r="W73" s="35"/>
      <c r="X73" s="35"/>
      <c r="Y73" s="35"/>
      <c r="Z73" s="35"/>
      <c r="AA73" s="35"/>
      <c r="AB73" s="35"/>
    </row>
    <row r="74">
      <c r="A74" s="35"/>
      <c r="B74" s="35"/>
      <c r="C74" s="35"/>
      <c r="D74" s="82"/>
      <c r="E74" s="26"/>
      <c r="F74" s="51"/>
      <c r="G74" s="51"/>
      <c r="H74" s="51"/>
      <c r="I74" s="51"/>
      <c r="J74" s="27"/>
      <c r="K74" s="35"/>
      <c r="L74" s="35"/>
      <c r="M74" s="35"/>
      <c r="N74" s="35"/>
      <c r="O74" s="35"/>
      <c r="P74" s="35"/>
      <c r="Q74" s="35"/>
      <c r="R74" s="35"/>
      <c r="S74" s="35"/>
      <c r="T74" s="35"/>
      <c r="U74" s="35"/>
      <c r="V74" s="35"/>
      <c r="W74" s="35"/>
      <c r="X74" s="35"/>
      <c r="Y74" s="35"/>
      <c r="Z74" s="35"/>
      <c r="AA74" s="35"/>
      <c r="AB74" s="35"/>
    </row>
    <row r="75">
      <c r="A75" s="35"/>
      <c r="B75" s="35"/>
      <c r="C75" s="35"/>
      <c r="D75" s="82"/>
      <c r="E75" s="26"/>
      <c r="F75" s="51"/>
      <c r="G75" s="51"/>
      <c r="H75" s="51"/>
      <c r="I75" s="51"/>
      <c r="J75" s="27"/>
      <c r="K75" s="35"/>
      <c r="L75" s="35"/>
      <c r="M75" s="35"/>
      <c r="N75" s="35"/>
      <c r="O75" s="35"/>
      <c r="P75" s="35"/>
      <c r="Q75" s="35"/>
      <c r="R75" s="35"/>
      <c r="S75" s="35"/>
      <c r="T75" s="35"/>
      <c r="U75" s="35"/>
      <c r="V75" s="35"/>
      <c r="W75" s="35"/>
      <c r="X75" s="35"/>
      <c r="Y75" s="35"/>
      <c r="Z75" s="35"/>
      <c r="AA75" s="35"/>
      <c r="AB75" s="35"/>
    </row>
    <row r="76">
      <c r="A76" s="35"/>
      <c r="B76" s="35"/>
      <c r="C76" s="35"/>
      <c r="D76" s="82"/>
      <c r="E76" s="26"/>
      <c r="F76" s="51"/>
      <c r="G76" s="51"/>
      <c r="H76" s="51"/>
      <c r="I76" s="51"/>
      <c r="J76" s="27"/>
      <c r="K76" s="35"/>
      <c r="L76" s="35"/>
      <c r="M76" s="35"/>
      <c r="N76" s="35"/>
      <c r="O76" s="35"/>
      <c r="P76" s="35"/>
      <c r="Q76" s="35"/>
      <c r="R76" s="35"/>
      <c r="S76" s="35"/>
      <c r="T76" s="35"/>
      <c r="U76" s="35"/>
      <c r="V76" s="35"/>
      <c r="W76" s="35"/>
      <c r="X76" s="35"/>
      <c r="Y76" s="35"/>
      <c r="Z76" s="35"/>
      <c r="AA76" s="35"/>
      <c r="AB76" s="35"/>
    </row>
    <row r="77">
      <c r="A77" s="35"/>
      <c r="B77" s="35"/>
      <c r="C77" s="35"/>
      <c r="D77" s="82"/>
      <c r="E77" s="26"/>
      <c r="F77" s="51"/>
      <c r="G77" s="51"/>
      <c r="H77" s="51"/>
      <c r="I77" s="51"/>
      <c r="J77" s="27"/>
      <c r="K77" s="35"/>
      <c r="L77" s="35"/>
      <c r="M77" s="35"/>
      <c r="N77" s="35"/>
      <c r="O77" s="35"/>
      <c r="P77" s="35"/>
      <c r="Q77" s="35"/>
      <c r="R77" s="35"/>
      <c r="S77" s="35"/>
      <c r="T77" s="35"/>
      <c r="U77" s="35"/>
      <c r="V77" s="35"/>
      <c r="W77" s="35"/>
      <c r="X77" s="35"/>
      <c r="Y77" s="35"/>
      <c r="Z77" s="35"/>
      <c r="AA77" s="35"/>
      <c r="AB77" s="35"/>
    </row>
    <row r="78">
      <c r="A78" s="35"/>
      <c r="B78" s="35"/>
      <c r="C78" s="35"/>
      <c r="D78" s="82"/>
      <c r="E78" s="26"/>
      <c r="F78" s="51"/>
      <c r="G78" s="51"/>
      <c r="H78" s="51"/>
      <c r="I78" s="51"/>
      <c r="J78" s="27"/>
      <c r="K78" s="35"/>
      <c r="L78" s="35"/>
      <c r="M78" s="35"/>
      <c r="N78" s="35"/>
      <c r="O78" s="35"/>
      <c r="P78" s="35"/>
      <c r="Q78" s="35"/>
      <c r="R78" s="35"/>
      <c r="S78" s="35"/>
      <c r="T78" s="35"/>
      <c r="U78" s="35"/>
      <c r="V78" s="35"/>
      <c r="W78" s="35"/>
      <c r="X78" s="35"/>
      <c r="Y78" s="35"/>
      <c r="Z78" s="35"/>
      <c r="AA78" s="35"/>
      <c r="AB78" s="35"/>
    </row>
    <row r="79">
      <c r="A79" s="35"/>
      <c r="B79" s="35"/>
      <c r="C79" s="35"/>
      <c r="D79" s="82"/>
      <c r="E79" s="26"/>
      <c r="F79" s="51"/>
      <c r="G79" s="51"/>
      <c r="H79" s="51"/>
      <c r="I79" s="51"/>
      <c r="J79" s="27"/>
      <c r="K79" s="35"/>
      <c r="L79" s="35"/>
      <c r="M79" s="35"/>
      <c r="N79" s="35"/>
      <c r="O79" s="35"/>
      <c r="P79" s="35"/>
      <c r="Q79" s="35"/>
      <c r="R79" s="35"/>
      <c r="S79" s="35"/>
      <c r="T79" s="35"/>
      <c r="U79" s="35"/>
      <c r="V79" s="35"/>
      <c r="W79" s="35"/>
      <c r="X79" s="35"/>
      <c r="Y79" s="35"/>
      <c r="Z79" s="35"/>
      <c r="AA79" s="35"/>
      <c r="AB79" s="35"/>
    </row>
    <row r="80">
      <c r="A80" s="35"/>
      <c r="B80" s="35"/>
      <c r="C80" s="35"/>
      <c r="D80" s="82"/>
      <c r="E80" s="26"/>
      <c r="F80" s="51"/>
      <c r="G80" s="51"/>
      <c r="H80" s="51"/>
      <c r="I80" s="51"/>
      <c r="J80" s="27"/>
      <c r="K80" s="35"/>
      <c r="L80" s="35"/>
      <c r="M80" s="35"/>
      <c r="N80" s="35"/>
      <c r="O80" s="35"/>
      <c r="P80" s="35"/>
      <c r="Q80" s="35"/>
      <c r="R80" s="35"/>
      <c r="S80" s="35"/>
      <c r="T80" s="35"/>
      <c r="U80" s="35"/>
      <c r="V80" s="35"/>
      <c r="W80" s="35"/>
      <c r="X80" s="35"/>
      <c r="Y80" s="35"/>
      <c r="Z80" s="35"/>
      <c r="AA80" s="35"/>
      <c r="AB80" s="35"/>
    </row>
    <row r="81">
      <c r="A81" s="35"/>
      <c r="B81" s="35"/>
      <c r="C81" s="35"/>
      <c r="D81" s="82"/>
      <c r="E81" s="26"/>
      <c r="F81" s="51"/>
      <c r="G81" s="51"/>
      <c r="H81" s="51"/>
      <c r="I81" s="51"/>
      <c r="J81" s="27"/>
      <c r="K81" s="35"/>
      <c r="L81" s="35"/>
      <c r="M81" s="35"/>
      <c r="N81" s="35"/>
      <c r="O81" s="35"/>
      <c r="P81" s="35"/>
      <c r="Q81" s="35"/>
      <c r="R81" s="35"/>
      <c r="S81" s="35"/>
      <c r="T81" s="35"/>
      <c r="U81" s="35"/>
      <c r="V81" s="35"/>
      <c r="W81" s="35"/>
      <c r="X81" s="35"/>
      <c r="Y81" s="35"/>
      <c r="Z81" s="35"/>
      <c r="AA81" s="35"/>
      <c r="AB81" s="35"/>
    </row>
    <row r="82">
      <c r="A82" s="35"/>
      <c r="B82" s="35"/>
      <c r="C82" s="35"/>
      <c r="D82" s="82"/>
      <c r="E82" s="26"/>
      <c r="F82" s="51"/>
      <c r="G82" s="51"/>
      <c r="H82" s="51"/>
      <c r="I82" s="51"/>
      <c r="J82" s="27"/>
      <c r="K82" s="35"/>
      <c r="L82" s="35"/>
      <c r="M82" s="35"/>
      <c r="N82" s="35"/>
      <c r="O82" s="35"/>
      <c r="P82" s="35"/>
      <c r="Q82" s="35"/>
      <c r="R82" s="35"/>
      <c r="S82" s="35"/>
      <c r="T82" s="35"/>
      <c r="U82" s="35"/>
      <c r="V82" s="35"/>
      <c r="W82" s="35"/>
      <c r="X82" s="35"/>
      <c r="Y82" s="35"/>
      <c r="Z82" s="35"/>
      <c r="AA82" s="35"/>
      <c r="AB82" s="35"/>
    </row>
    <row r="83">
      <c r="A83" s="35"/>
      <c r="B83" s="35"/>
      <c r="C83" s="35"/>
      <c r="D83" s="82"/>
      <c r="E83" s="26"/>
      <c r="F83" s="51"/>
      <c r="G83" s="51"/>
      <c r="H83" s="51"/>
      <c r="I83" s="51"/>
      <c r="J83" s="27"/>
      <c r="K83" s="35"/>
      <c r="L83" s="35"/>
      <c r="M83" s="35"/>
      <c r="N83" s="35"/>
      <c r="O83" s="35"/>
      <c r="P83" s="35"/>
      <c r="Q83" s="35"/>
      <c r="R83" s="35"/>
      <c r="S83" s="35"/>
      <c r="T83" s="35"/>
      <c r="U83" s="35"/>
      <c r="V83" s="35"/>
      <c r="W83" s="35"/>
      <c r="X83" s="35"/>
      <c r="Y83" s="35"/>
      <c r="Z83" s="35"/>
      <c r="AA83" s="35"/>
      <c r="AB83" s="35"/>
    </row>
    <row r="84">
      <c r="A84" s="35"/>
      <c r="B84" s="35"/>
      <c r="C84" s="35"/>
      <c r="D84" s="82"/>
      <c r="E84" s="26"/>
      <c r="F84" s="51"/>
      <c r="G84" s="51"/>
      <c r="H84" s="51"/>
      <c r="I84" s="51"/>
      <c r="J84" s="27"/>
      <c r="K84" s="35"/>
      <c r="L84" s="35"/>
      <c r="M84" s="35"/>
      <c r="N84" s="35"/>
      <c r="O84" s="35"/>
      <c r="P84" s="35"/>
      <c r="Q84" s="35"/>
      <c r="R84" s="35"/>
      <c r="S84" s="35"/>
      <c r="T84" s="35"/>
      <c r="U84" s="35"/>
      <c r="V84" s="35"/>
      <c r="W84" s="35"/>
      <c r="X84" s="35"/>
      <c r="Y84" s="35"/>
      <c r="Z84" s="35"/>
      <c r="AA84" s="35"/>
      <c r="AB84" s="35"/>
    </row>
    <row r="85">
      <c r="A85" s="35"/>
      <c r="B85" s="35"/>
      <c r="C85" s="35"/>
      <c r="D85" s="82"/>
      <c r="E85" s="26"/>
      <c r="F85" s="51"/>
      <c r="G85" s="51"/>
      <c r="H85" s="51"/>
      <c r="I85" s="51"/>
      <c r="J85" s="27"/>
      <c r="K85" s="35"/>
      <c r="L85" s="35"/>
      <c r="M85" s="35"/>
      <c r="N85" s="35"/>
      <c r="O85" s="35"/>
      <c r="P85" s="35"/>
      <c r="Q85" s="35"/>
      <c r="R85" s="35"/>
      <c r="S85" s="35"/>
      <c r="T85" s="35"/>
      <c r="U85" s="35"/>
      <c r="V85" s="35"/>
      <c r="W85" s="35"/>
      <c r="X85" s="35"/>
      <c r="Y85" s="35"/>
      <c r="Z85" s="35"/>
      <c r="AA85" s="35"/>
      <c r="AB85" s="35"/>
    </row>
    <row r="86">
      <c r="A86" s="35"/>
      <c r="B86" s="35"/>
      <c r="C86" s="35"/>
      <c r="D86" s="82"/>
      <c r="E86" s="26"/>
      <c r="F86" s="51"/>
      <c r="G86" s="51"/>
      <c r="H86" s="51"/>
      <c r="I86" s="51"/>
      <c r="J86" s="27"/>
      <c r="K86" s="35"/>
      <c r="L86" s="35"/>
      <c r="M86" s="35"/>
      <c r="N86" s="35"/>
      <c r="O86" s="35"/>
      <c r="P86" s="35"/>
      <c r="Q86" s="35"/>
      <c r="R86" s="35"/>
      <c r="S86" s="35"/>
      <c r="T86" s="35"/>
      <c r="U86" s="35"/>
      <c r="V86" s="35"/>
      <c r="W86" s="35"/>
      <c r="X86" s="35"/>
      <c r="Y86" s="35"/>
      <c r="Z86" s="35"/>
      <c r="AA86" s="35"/>
      <c r="AB86" s="35"/>
    </row>
    <row r="87">
      <c r="A87" s="35"/>
      <c r="B87" s="35"/>
      <c r="C87" s="35"/>
      <c r="D87" s="82"/>
      <c r="E87" s="26"/>
      <c r="F87" s="51"/>
      <c r="G87" s="51"/>
      <c r="H87" s="51"/>
      <c r="I87" s="51"/>
      <c r="J87" s="27"/>
      <c r="K87" s="35"/>
      <c r="L87" s="35"/>
      <c r="M87" s="35"/>
      <c r="N87" s="35"/>
      <c r="O87" s="35"/>
      <c r="P87" s="35"/>
      <c r="Q87" s="35"/>
      <c r="R87" s="35"/>
      <c r="S87" s="35"/>
      <c r="T87" s="35"/>
      <c r="U87" s="35"/>
      <c r="V87" s="35"/>
      <c r="W87" s="35"/>
      <c r="X87" s="35"/>
      <c r="Y87" s="35"/>
      <c r="Z87" s="35"/>
      <c r="AA87" s="35"/>
      <c r="AB87" s="35"/>
    </row>
    <row r="88">
      <c r="A88" s="35"/>
      <c r="B88" s="35"/>
      <c r="C88" s="35"/>
      <c r="D88" s="82"/>
      <c r="E88" s="26"/>
      <c r="F88" s="51"/>
      <c r="G88" s="51"/>
      <c r="H88" s="51"/>
      <c r="I88" s="51"/>
      <c r="J88" s="27"/>
      <c r="K88" s="35"/>
      <c r="L88" s="35"/>
      <c r="M88" s="35"/>
      <c r="N88" s="35"/>
      <c r="O88" s="35"/>
      <c r="P88" s="35"/>
      <c r="Q88" s="35"/>
      <c r="R88" s="35"/>
      <c r="S88" s="35"/>
      <c r="T88" s="35"/>
      <c r="U88" s="35"/>
      <c r="V88" s="35"/>
      <c r="W88" s="35"/>
      <c r="X88" s="35"/>
      <c r="Y88" s="35"/>
      <c r="Z88" s="35"/>
      <c r="AA88" s="35"/>
      <c r="AB88" s="35"/>
    </row>
    <row r="89">
      <c r="A89" s="35"/>
      <c r="B89" s="35"/>
      <c r="C89" s="35"/>
      <c r="D89" s="82"/>
      <c r="E89" s="26"/>
      <c r="F89" s="51"/>
      <c r="G89" s="51"/>
      <c r="H89" s="51"/>
      <c r="I89" s="51"/>
      <c r="J89" s="27"/>
      <c r="K89" s="35"/>
      <c r="L89" s="35"/>
      <c r="M89" s="35"/>
      <c r="N89" s="35"/>
      <c r="O89" s="35"/>
      <c r="P89" s="35"/>
      <c r="Q89" s="35"/>
      <c r="R89" s="35"/>
      <c r="S89" s="35"/>
      <c r="T89" s="35"/>
      <c r="U89" s="35"/>
      <c r="V89" s="35"/>
      <c r="W89" s="35"/>
      <c r="X89" s="35"/>
      <c r="Y89" s="35"/>
      <c r="Z89" s="35"/>
      <c r="AA89" s="35"/>
      <c r="AB89" s="35"/>
    </row>
    <row r="90">
      <c r="A90" s="35"/>
      <c r="B90" s="35"/>
      <c r="C90" s="35"/>
      <c r="D90" s="82"/>
      <c r="E90" s="26"/>
      <c r="F90" s="51"/>
      <c r="G90" s="51"/>
      <c r="H90" s="51"/>
      <c r="I90" s="51"/>
      <c r="J90" s="27"/>
      <c r="K90" s="35"/>
      <c r="L90" s="35"/>
      <c r="M90" s="35"/>
      <c r="N90" s="35"/>
      <c r="O90" s="35"/>
      <c r="P90" s="35"/>
      <c r="Q90" s="35"/>
      <c r="R90" s="35"/>
      <c r="S90" s="35"/>
      <c r="T90" s="35"/>
      <c r="U90" s="35"/>
      <c r="V90" s="35"/>
      <c r="W90" s="35"/>
      <c r="X90" s="35"/>
      <c r="Y90" s="35"/>
      <c r="Z90" s="35"/>
      <c r="AA90" s="35"/>
      <c r="AB90" s="35"/>
    </row>
    <row r="91">
      <c r="A91" s="35"/>
      <c r="B91" s="35"/>
      <c r="C91" s="35"/>
      <c r="D91" s="82"/>
      <c r="E91" s="26"/>
      <c r="F91" s="51"/>
      <c r="G91" s="51"/>
      <c r="H91" s="51"/>
      <c r="I91" s="51"/>
      <c r="J91" s="27"/>
      <c r="K91" s="35"/>
      <c r="L91" s="35"/>
      <c r="M91" s="35"/>
      <c r="N91" s="35"/>
      <c r="O91" s="35"/>
      <c r="P91" s="35"/>
      <c r="Q91" s="35"/>
      <c r="R91" s="35"/>
      <c r="S91" s="35"/>
      <c r="T91" s="35"/>
      <c r="U91" s="35"/>
      <c r="V91" s="35"/>
      <c r="W91" s="35"/>
      <c r="X91" s="35"/>
      <c r="Y91" s="35"/>
      <c r="Z91" s="35"/>
      <c r="AA91" s="35"/>
      <c r="AB91" s="35"/>
    </row>
    <row r="92">
      <c r="A92" s="35"/>
      <c r="B92" s="35"/>
      <c r="C92" s="35"/>
      <c r="D92" s="82"/>
      <c r="E92" s="26"/>
      <c r="F92" s="51"/>
      <c r="G92" s="51"/>
      <c r="H92" s="51"/>
      <c r="I92" s="51"/>
      <c r="J92" s="27"/>
      <c r="K92" s="35"/>
      <c r="L92" s="35"/>
      <c r="M92" s="35"/>
      <c r="N92" s="35"/>
      <c r="O92" s="35"/>
      <c r="P92" s="35"/>
      <c r="Q92" s="35"/>
      <c r="R92" s="35"/>
      <c r="S92" s="35"/>
      <c r="T92" s="35"/>
      <c r="U92" s="35"/>
      <c r="V92" s="35"/>
      <c r="W92" s="35"/>
      <c r="X92" s="35"/>
      <c r="Y92" s="35"/>
      <c r="Z92" s="35"/>
      <c r="AA92" s="35"/>
      <c r="AB92" s="35"/>
    </row>
    <row r="93">
      <c r="A93" s="35"/>
      <c r="B93" s="35"/>
      <c r="C93" s="35"/>
      <c r="D93" s="82"/>
      <c r="E93" s="26"/>
      <c r="F93" s="51"/>
      <c r="G93" s="51"/>
      <c r="H93" s="51"/>
      <c r="I93" s="51"/>
      <c r="J93" s="27"/>
      <c r="K93" s="35"/>
      <c r="L93" s="35"/>
      <c r="M93" s="35"/>
      <c r="N93" s="35"/>
      <c r="O93" s="35"/>
      <c r="P93" s="35"/>
      <c r="Q93" s="35"/>
      <c r="R93" s="35"/>
      <c r="S93" s="35"/>
      <c r="T93" s="35"/>
      <c r="U93" s="35"/>
      <c r="V93" s="35"/>
      <c r="W93" s="35"/>
      <c r="X93" s="35"/>
      <c r="Y93" s="35"/>
      <c r="Z93" s="35"/>
      <c r="AA93" s="35"/>
      <c r="AB93" s="35"/>
    </row>
    <row r="94">
      <c r="A94" s="35"/>
      <c r="B94" s="35"/>
      <c r="C94" s="35"/>
      <c r="D94" s="82"/>
      <c r="E94" s="26"/>
      <c r="F94" s="51"/>
      <c r="G94" s="51"/>
      <c r="H94" s="51"/>
      <c r="I94" s="51"/>
      <c r="J94" s="27"/>
      <c r="K94" s="35"/>
      <c r="L94" s="35"/>
      <c r="M94" s="35"/>
      <c r="N94" s="35"/>
      <c r="O94" s="35"/>
      <c r="P94" s="35"/>
      <c r="Q94" s="35"/>
      <c r="R94" s="35"/>
      <c r="S94" s="35"/>
      <c r="T94" s="35"/>
      <c r="U94" s="35"/>
      <c r="V94" s="35"/>
      <c r="W94" s="35"/>
      <c r="X94" s="35"/>
      <c r="Y94" s="35"/>
      <c r="Z94" s="35"/>
      <c r="AA94" s="35"/>
      <c r="AB94" s="35"/>
    </row>
    <row r="95">
      <c r="A95" s="35"/>
      <c r="B95" s="35"/>
      <c r="C95" s="35"/>
      <c r="D95" s="82"/>
      <c r="E95" s="26"/>
      <c r="F95" s="51"/>
      <c r="G95" s="51"/>
      <c r="H95" s="51"/>
      <c r="I95" s="51"/>
      <c r="J95" s="27"/>
      <c r="K95" s="35"/>
      <c r="L95" s="35"/>
      <c r="M95" s="35"/>
      <c r="N95" s="35"/>
      <c r="O95" s="35"/>
      <c r="P95" s="35"/>
      <c r="Q95" s="35"/>
      <c r="R95" s="35"/>
      <c r="S95" s="35"/>
      <c r="T95" s="35"/>
      <c r="U95" s="35"/>
      <c r="V95" s="35"/>
      <c r="W95" s="35"/>
      <c r="X95" s="35"/>
      <c r="Y95" s="35"/>
      <c r="Z95" s="35"/>
      <c r="AA95" s="35"/>
      <c r="AB95" s="35"/>
    </row>
    <row r="96">
      <c r="A96" s="35"/>
      <c r="B96" s="35"/>
      <c r="C96" s="35"/>
      <c r="D96" s="82"/>
      <c r="E96" s="26"/>
      <c r="F96" s="51"/>
      <c r="G96" s="51"/>
      <c r="H96" s="51"/>
      <c r="I96" s="51"/>
      <c r="J96" s="27"/>
      <c r="K96" s="35"/>
      <c r="L96" s="35"/>
      <c r="M96" s="35"/>
      <c r="N96" s="35"/>
      <c r="O96" s="35"/>
      <c r="P96" s="35"/>
      <c r="Q96" s="35"/>
      <c r="R96" s="35"/>
      <c r="S96" s="35"/>
      <c r="T96" s="35"/>
      <c r="U96" s="35"/>
      <c r="V96" s="35"/>
      <c r="W96" s="35"/>
      <c r="X96" s="35"/>
      <c r="Y96" s="35"/>
      <c r="Z96" s="35"/>
      <c r="AA96" s="35"/>
      <c r="AB96" s="35"/>
    </row>
    <row r="97">
      <c r="A97" s="35"/>
      <c r="B97" s="35"/>
      <c r="C97" s="35"/>
      <c r="D97" s="82"/>
      <c r="E97" s="26"/>
      <c r="F97" s="51"/>
      <c r="G97" s="51"/>
      <c r="H97" s="51"/>
      <c r="I97" s="51"/>
      <c r="J97" s="27"/>
      <c r="K97" s="35"/>
      <c r="L97" s="35"/>
      <c r="M97" s="35"/>
      <c r="N97" s="35"/>
      <c r="O97" s="35"/>
      <c r="P97" s="35"/>
      <c r="Q97" s="35"/>
      <c r="R97" s="35"/>
      <c r="S97" s="35"/>
      <c r="T97" s="35"/>
      <c r="U97" s="35"/>
      <c r="V97" s="35"/>
      <c r="W97" s="35"/>
      <c r="X97" s="35"/>
      <c r="Y97" s="35"/>
      <c r="Z97" s="35"/>
      <c r="AA97" s="35"/>
      <c r="AB97" s="35"/>
    </row>
    <row r="98">
      <c r="A98" s="35"/>
      <c r="B98" s="35"/>
      <c r="C98" s="35"/>
      <c r="D98" s="82"/>
      <c r="E98" s="26"/>
      <c r="F98" s="51"/>
      <c r="G98" s="51"/>
      <c r="H98" s="51"/>
      <c r="I98" s="51"/>
      <c r="J98" s="27"/>
      <c r="K98" s="35"/>
      <c r="L98" s="35"/>
      <c r="M98" s="35"/>
      <c r="N98" s="35"/>
      <c r="O98" s="35"/>
      <c r="P98" s="35"/>
      <c r="Q98" s="35"/>
      <c r="R98" s="35"/>
      <c r="S98" s="35"/>
      <c r="T98" s="35"/>
      <c r="U98" s="35"/>
      <c r="V98" s="35"/>
      <c r="W98" s="35"/>
      <c r="X98" s="35"/>
      <c r="Y98" s="35"/>
      <c r="Z98" s="35"/>
      <c r="AA98" s="35"/>
      <c r="AB98" s="35"/>
    </row>
    <row r="99">
      <c r="A99" s="35"/>
      <c r="B99" s="35"/>
      <c r="C99" s="35"/>
      <c r="D99" s="82"/>
      <c r="E99" s="26"/>
      <c r="F99" s="51"/>
      <c r="G99" s="51"/>
      <c r="H99" s="51"/>
      <c r="I99" s="51"/>
      <c r="J99" s="27"/>
      <c r="K99" s="35"/>
      <c r="L99" s="35"/>
      <c r="M99" s="35"/>
      <c r="N99" s="35"/>
      <c r="O99" s="35"/>
      <c r="P99" s="35"/>
      <c r="Q99" s="35"/>
      <c r="R99" s="35"/>
      <c r="S99" s="35"/>
      <c r="T99" s="35"/>
      <c r="U99" s="35"/>
      <c r="V99" s="35"/>
      <c r="W99" s="35"/>
      <c r="X99" s="35"/>
      <c r="Y99" s="35"/>
      <c r="Z99" s="35"/>
      <c r="AA99" s="35"/>
      <c r="AB99" s="35"/>
    </row>
    <row r="100">
      <c r="A100" s="35"/>
      <c r="B100" s="35"/>
      <c r="C100" s="35"/>
      <c r="D100" s="82"/>
      <c r="E100" s="26"/>
      <c r="F100" s="51"/>
      <c r="G100" s="51"/>
      <c r="H100" s="51"/>
      <c r="I100" s="51"/>
      <c r="J100" s="27"/>
      <c r="K100" s="35"/>
      <c r="L100" s="35"/>
      <c r="M100" s="35"/>
      <c r="N100" s="35"/>
      <c r="O100" s="35"/>
      <c r="P100" s="35"/>
      <c r="Q100" s="35"/>
      <c r="R100" s="35"/>
      <c r="S100" s="35"/>
      <c r="T100" s="35"/>
      <c r="U100" s="35"/>
      <c r="V100" s="35"/>
      <c r="W100" s="35"/>
      <c r="X100" s="35"/>
      <c r="Y100" s="35"/>
      <c r="Z100" s="35"/>
      <c r="AA100" s="35"/>
      <c r="AB100" s="35"/>
    </row>
    <row r="101">
      <c r="A101" s="35"/>
      <c r="B101" s="35"/>
      <c r="C101" s="35"/>
      <c r="D101" s="82"/>
      <c r="E101" s="26"/>
      <c r="F101" s="51"/>
      <c r="G101" s="51"/>
      <c r="H101" s="51"/>
      <c r="I101" s="51"/>
      <c r="J101" s="27"/>
      <c r="K101" s="35"/>
      <c r="L101" s="35"/>
      <c r="M101" s="35"/>
      <c r="N101" s="35"/>
      <c r="O101" s="35"/>
      <c r="P101" s="35"/>
      <c r="Q101" s="35"/>
      <c r="R101" s="35"/>
      <c r="S101" s="35"/>
      <c r="T101" s="35"/>
      <c r="U101" s="35"/>
      <c r="V101" s="35"/>
      <c r="W101" s="35"/>
      <c r="X101" s="35"/>
      <c r="Y101" s="35"/>
      <c r="Z101" s="35"/>
      <c r="AA101" s="35"/>
      <c r="AB101" s="35"/>
    </row>
    <row r="102">
      <c r="A102" s="35"/>
      <c r="B102" s="35"/>
      <c r="C102" s="35"/>
      <c r="D102" s="82"/>
      <c r="E102" s="26"/>
      <c r="F102" s="51"/>
      <c r="G102" s="51"/>
      <c r="H102" s="51"/>
      <c r="I102" s="51"/>
      <c r="J102" s="27"/>
      <c r="K102" s="35"/>
      <c r="L102" s="35"/>
      <c r="M102" s="35"/>
      <c r="N102" s="35"/>
      <c r="O102" s="35"/>
      <c r="P102" s="35"/>
      <c r="Q102" s="35"/>
      <c r="R102" s="35"/>
      <c r="S102" s="35"/>
      <c r="T102" s="35"/>
      <c r="U102" s="35"/>
      <c r="V102" s="35"/>
      <c r="W102" s="35"/>
      <c r="X102" s="35"/>
      <c r="Y102" s="35"/>
      <c r="Z102" s="35"/>
      <c r="AA102" s="35"/>
      <c r="AB102" s="35"/>
    </row>
    <row r="103">
      <c r="A103" s="35"/>
      <c r="B103" s="35"/>
      <c r="C103" s="35"/>
      <c r="D103" s="82"/>
      <c r="E103" s="26"/>
      <c r="F103" s="51"/>
      <c r="G103" s="51"/>
      <c r="H103" s="51"/>
      <c r="I103" s="51"/>
      <c r="J103" s="27"/>
      <c r="K103" s="35"/>
      <c r="L103" s="35"/>
      <c r="M103" s="35"/>
      <c r="N103" s="35"/>
      <c r="O103" s="35"/>
      <c r="P103" s="35"/>
      <c r="Q103" s="35"/>
      <c r="R103" s="35"/>
      <c r="S103" s="35"/>
      <c r="T103" s="35"/>
      <c r="U103" s="35"/>
      <c r="V103" s="35"/>
      <c r="W103" s="35"/>
      <c r="X103" s="35"/>
      <c r="Y103" s="35"/>
      <c r="Z103" s="35"/>
      <c r="AA103" s="35"/>
      <c r="AB103" s="35"/>
    </row>
    <row r="104">
      <c r="A104" s="35"/>
      <c r="B104" s="35"/>
      <c r="C104" s="35"/>
      <c r="D104" s="82"/>
      <c r="E104" s="26"/>
      <c r="F104" s="51"/>
      <c r="G104" s="51"/>
      <c r="H104" s="51"/>
      <c r="I104" s="51"/>
      <c r="J104" s="27"/>
      <c r="K104" s="35"/>
      <c r="L104" s="35"/>
      <c r="M104" s="35"/>
      <c r="N104" s="35"/>
      <c r="O104" s="35"/>
      <c r="P104" s="35"/>
      <c r="Q104" s="35"/>
      <c r="R104" s="35"/>
      <c r="S104" s="35"/>
      <c r="T104" s="35"/>
      <c r="U104" s="35"/>
      <c r="V104" s="35"/>
      <c r="W104" s="35"/>
      <c r="X104" s="35"/>
      <c r="Y104" s="35"/>
      <c r="Z104" s="35"/>
      <c r="AA104" s="35"/>
      <c r="AB104" s="35"/>
    </row>
    <row r="105">
      <c r="A105" s="35"/>
      <c r="B105" s="35"/>
      <c r="C105" s="35"/>
      <c r="D105" s="82"/>
      <c r="E105" s="26"/>
      <c r="F105" s="51"/>
      <c r="G105" s="51"/>
      <c r="H105" s="51"/>
      <c r="I105" s="51"/>
      <c r="J105" s="27"/>
      <c r="K105" s="35"/>
      <c r="L105" s="35"/>
      <c r="M105" s="35"/>
      <c r="N105" s="35"/>
      <c r="O105" s="35"/>
      <c r="P105" s="35"/>
      <c r="Q105" s="35"/>
      <c r="R105" s="35"/>
      <c r="S105" s="35"/>
      <c r="T105" s="35"/>
      <c r="U105" s="35"/>
      <c r="V105" s="35"/>
      <c r="W105" s="35"/>
      <c r="X105" s="35"/>
      <c r="Y105" s="35"/>
      <c r="Z105" s="35"/>
      <c r="AA105" s="35"/>
      <c r="AB105" s="35"/>
    </row>
    <row r="106">
      <c r="A106" s="35"/>
      <c r="B106" s="35"/>
      <c r="C106" s="35"/>
      <c r="D106" s="82"/>
      <c r="E106" s="26"/>
      <c r="F106" s="51"/>
      <c r="G106" s="51"/>
      <c r="H106" s="51"/>
      <c r="I106" s="51"/>
      <c r="J106" s="27"/>
      <c r="K106" s="35"/>
      <c r="L106" s="35"/>
      <c r="M106" s="35"/>
      <c r="N106" s="35"/>
      <c r="O106" s="35"/>
      <c r="P106" s="35"/>
      <c r="Q106" s="35"/>
      <c r="R106" s="35"/>
      <c r="S106" s="35"/>
      <c r="T106" s="35"/>
      <c r="U106" s="35"/>
      <c r="V106" s="35"/>
      <c r="W106" s="35"/>
      <c r="X106" s="35"/>
      <c r="Y106" s="35"/>
      <c r="Z106" s="35"/>
      <c r="AA106" s="35"/>
      <c r="AB106" s="35"/>
    </row>
    <row r="107">
      <c r="A107" s="35"/>
      <c r="B107" s="35"/>
      <c r="C107" s="35"/>
      <c r="D107" s="82"/>
      <c r="E107" s="26"/>
      <c r="F107" s="51"/>
      <c r="G107" s="51"/>
      <c r="H107" s="51"/>
      <c r="I107" s="51"/>
      <c r="J107" s="27"/>
      <c r="K107" s="35"/>
      <c r="L107" s="35"/>
      <c r="M107" s="35"/>
      <c r="N107" s="35"/>
      <c r="O107" s="35"/>
      <c r="P107" s="35"/>
      <c r="Q107" s="35"/>
      <c r="R107" s="35"/>
      <c r="S107" s="35"/>
      <c r="T107" s="35"/>
      <c r="U107" s="35"/>
      <c r="V107" s="35"/>
      <c r="W107" s="35"/>
      <c r="X107" s="35"/>
      <c r="Y107" s="35"/>
      <c r="Z107" s="35"/>
      <c r="AA107" s="35"/>
      <c r="AB107" s="35"/>
    </row>
    <row r="108">
      <c r="A108" s="35"/>
      <c r="B108" s="35"/>
      <c r="C108" s="35"/>
      <c r="D108" s="82"/>
      <c r="E108" s="26"/>
      <c r="F108" s="51"/>
      <c r="G108" s="51"/>
      <c r="H108" s="51"/>
      <c r="I108" s="51"/>
      <c r="J108" s="27"/>
      <c r="K108" s="35"/>
      <c r="L108" s="35"/>
      <c r="M108" s="35"/>
      <c r="N108" s="35"/>
      <c r="O108" s="35"/>
      <c r="P108" s="35"/>
      <c r="Q108" s="35"/>
      <c r="R108" s="35"/>
      <c r="S108" s="35"/>
      <c r="T108" s="35"/>
      <c r="U108" s="35"/>
      <c r="V108" s="35"/>
      <c r="W108" s="35"/>
      <c r="X108" s="35"/>
      <c r="Y108" s="35"/>
      <c r="Z108" s="35"/>
      <c r="AA108" s="35"/>
      <c r="AB108" s="35"/>
    </row>
    <row r="109">
      <c r="A109" s="35"/>
      <c r="B109" s="35"/>
      <c r="C109" s="35"/>
      <c r="D109" s="82"/>
      <c r="E109" s="26"/>
      <c r="F109" s="51"/>
      <c r="G109" s="51"/>
      <c r="H109" s="51"/>
      <c r="I109" s="51"/>
      <c r="J109" s="27"/>
      <c r="K109" s="35"/>
      <c r="L109" s="35"/>
      <c r="M109" s="35"/>
      <c r="N109" s="35"/>
      <c r="O109" s="35"/>
      <c r="P109" s="35"/>
      <c r="Q109" s="35"/>
      <c r="R109" s="35"/>
      <c r="S109" s="35"/>
      <c r="T109" s="35"/>
      <c r="U109" s="35"/>
      <c r="V109" s="35"/>
      <c r="W109" s="35"/>
      <c r="X109" s="35"/>
      <c r="Y109" s="35"/>
      <c r="Z109" s="35"/>
      <c r="AA109" s="35"/>
      <c r="AB109" s="35"/>
    </row>
    <row r="110">
      <c r="A110" s="35"/>
      <c r="B110" s="35"/>
      <c r="C110" s="35"/>
      <c r="D110" s="82"/>
      <c r="E110" s="26"/>
      <c r="F110" s="51"/>
      <c r="G110" s="51"/>
      <c r="H110" s="51"/>
      <c r="I110" s="51"/>
      <c r="J110" s="27"/>
      <c r="K110" s="35"/>
      <c r="L110" s="35"/>
      <c r="M110" s="35"/>
      <c r="N110" s="35"/>
      <c r="O110" s="35"/>
      <c r="P110" s="35"/>
      <c r="Q110" s="35"/>
      <c r="R110" s="35"/>
      <c r="S110" s="35"/>
      <c r="T110" s="35"/>
      <c r="U110" s="35"/>
      <c r="V110" s="35"/>
      <c r="W110" s="35"/>
      <c r="X110" s="35"/>
      <c r="Y110" s="35"/>
      <c r="Z110" s="35"/>
      <c r="AA110" s="35"/>
      <c r="AB110" s="35"/>
    </row>
    <row r="111">
      <c r="A111" s="35"/>
      <c r="B111" s="35"/>
      <c r="C111" s="35"/>
      <c r="D111" s="82"/>
      <c r="E111" s="26"/>
      <c r="F111" s="51"/>
      <c r="G111" s="51"/>
      <c r="H111" s="51"/>
      <c r="I111" s="51"/>
      <c r="J111" s="27"/>
      <c r="K111" s="35"/>
      <c r="L111" s="35"/>
      <c r="M111" s="35"/>
      <c r="N111" s="35"/>
      <c r="O111" s="35"/>
      <c r="P111" s="35"/>
      <c r="Q111" s="35"/>
      <c r="R111" s="35"/>
      <c r="S111" s="35"/>
      <c r="T111" s="35"/>
      <c r="U111" s="35"/>
      <c r="V111" s="35"/>
      <c r="W111" s="35"/>
      <c r="X111" s="35"/>
      <c r="Y111" s="35"/>
      <c r="Z111" s="35"/>
      <c r="AA111" s="35"/>
      <c r="AB111" s="35"/>
    </row>
    <row r="112">
      <c r="A112" s="35"/>
      <c r="B112" s="35"/>
      <c r="C112" s="35"/>
      <c r="D112" s="82"/>
      <c r="E112" s="26"/>
      <c r="F112" s="51"/>
      <c r="G112" s="51"/>
      <c r="H112" s="51"/>
      <c r="I112" s="51"/>
      <c r="J112" s="27"/>
      <c r="K112" s="35"/>
      <c r="L112" s="35"/>
      <c r="M112" s="35"/>
      <c r="N112" s="35"/>
      <c r="O112" s="35"/>
      <c r="P112" s="35"/>
      <c r="Q112" s="35"/>
      <c r="R112" s="35"/>
      <c r="S112" s="35"/>
      <c r="T112" s="35"/>
      <c r="U112" s="35"/>
      <c r="V112" s="35"/>
      <c r="W112" s="35"/>
      <c r="X112" s="35"/>
      <c r="Y112" s="35"/>
      <c r="Z112" s="35"/>
      <c r="AA112" s="35"/>
      <c r="AB112" s="35"/>
    </row>
    <row r="113">
      <c r="A113" s="35"/>
      <c r="B113" s="35"/>
      <c r="C113" s="35"/>
      <c r="D113" s="82"/>
      <c r="E113" s="26"/>
      <c r="F113" s="51"/>
      <c r="G113" s="51"/>
      <c r="H113" s="51"/>
      <c r="I113" s="51"/>
      <c r="J113" s="27"/>
      <c r="K113" s="35"/>
      <c r="L113" s="35"/>
      <c r="M113" s="35"/>
      <c r="N113" s="35"/>
      <c r="O113" s="35"/>
      <c r="P113" s="35"/>
      <c r="Q113" s="35"/>
      <c r="R113" s="35"/>
      <c r="S113" s="35"/>
      <c r="T113" s="35"/>
      <c r="U113" s="35"/>
      <c r="V113" s="35"/>
      <c r="W113" s="35"/>
      <c r="X113" s="35"/>
      <c r="Y113" s="35"/>
      <c r="Z113" s="35"/>
      <c r="AA113" s="35"/>
      <c r="AB113" s="35"/>
    </row>
    <row r="114">
      <c r="A114" s="35"/>
      <c r="B114" s="35"/>
      <c r="C114" s="35"/>
      <c r="D114" s="82"/>
      <c r="E114" s="26"/>
      <c r="F114" s="51"/>
      <c r="G114" s="51"/>
      <c r="H114" s="51"/>
      <c r="I114" s="51"/>
      <c r="J114" s="27"/>
      <c r="K114" s="35"/>
      <c r="L114" s="35"/>
      <c r="M114" s="35"/>
      <c r="N114" s="35"/>
      <c r="O114" s="35"/>
      <c r="P114" s="35"/>
      <c r="Q114" s="35"/>
      <c r="R114" s="35"/>
      <c r="S114" s="35"/>
      <c r="T114" s="35"/>
      <c r="U114" s="35"/>
      <c r="V114" s="35"/>
      <c r="W114" s="35"/>
      <c r="X114" s="35"/>
      <c r="Y114" s="35"/>
      <c r="Z114" s="35"/>
      <c r="AA114" s="35"/>
      <c r="AB114" s="35"/>
    </row>
    <row r="115">
      <c r="A115" s="35"/>
      <c r="B115" s="35"/>
      <c r="C115" s="35"/>
      <c r="D115" s="82"/>
      <c r="E115" s="26"/>
      <c r="F115" s="51"/>
      <c r="G115" s="51"/>
      <c r="H115" s="51"/>
      <c r="I115" s="51"/>
      <c r="J115" s="27"/>
      <c r="K115" s="35"/>
      <c r="L115" s="35"/>
      <c r="M115" s="35"/>
      <c r="N115" s="35"/>
      <c r="O115" s="35"/>
      <c r="P115" s="35"/>
      <c r="Q115" s="35"/>
      <c r="R115" s="35"/>
      <c r="S115" s="35"/>
      <c r="T115" s="35"/>
      <c r="U115" s="35"/>
      <c r="V115" s="35"/>
      <c r="W115" s="35"/>
      <c r="X115" s="35"/>
      <c r="Y115" s="35"/>
      <c r="Z115" s="35"/>
      <c r="AA115" s="35"/>
      <c r="AB115" s="35"/>
    </row>
    <row r="116">
      <c r="A116" s="35"/>
      <c r="B116" s="35"/>
      <c r="C116" s="35"/>
      <c r="D116" s="82"/>
      <c r="E116" s="26"/>
      <c r="F116" s="51"/>
      <c r="G116" s="51"/>
      <c r="H116" s="51"/>
      <c r="I116" s="51"/>
      <c r="J116" s="27"/>
      <c r="K116" s="35"/>
      <c r="L116" s="35"/>
      <c r="M116" s="35"/>
      <c r="N116" s="35"/>
      <c r="O116" s="35"/>
      <c r="P116" s="35"/>
      <c r="Q116" s="35"/>
      <c r="R116" s="35"/>
      <c r="S116" s="35"/>
      <c r="T116" s="35"/>
      <c r="U116" s="35"/>
      <c r="V116" s="35"/>
      <c r="W116" s="35"/>
      <c r="X116" s="35"/>
      <c r="Y116" s="35"/>
      <c r="Z116" s="35"/>
      <c r="AA116" s="35"/>
      <c r="AB116" s="35"/>
    </row>
    <row r="117">
      <c r="A117" s="35"/>
      <c r="B117" s="35"/>
      <c r="C117" s="35"/>
      <c r="D117" s="82"/>
      <c r="E117" s="26"/>
      <c r="F117" s="51"/>
      <c r="G117" s="51"/>
      <c r="H117" s="51"/>
      <c r="I117" s="51"/>
      <c r="J117" s="27"/>
      <c r="K117" s="35"/>
      <c r="L117" s="35"/>
      <c r="M117" s="35"/>
      <c r="N117" s="35"/>
      <c r="O117" s="35"/>
      <c r="P117" s="35"/>
      <c r="Q117" s="35"/>
      <c r="R117" s="35"/>
      <c r="S117" s="35"/>
      <c r="T117" s="35"/>
      <c r="U117" s="35"/>
      <c r="V117" s="35"/>
      <c r="W117" s="35"/>
      <c r="X117" s="35"/>
      <c r="Y117" s="35"/>
      <c r="Z117" s="35"/>
      <c r="AA117" s="35"/>
      <c r="AB117" s="35"/>
    </row>
    <row r="118">
      <c r="A118" s="35"/>
      <c r="B118" s="35"/>
      <c r="C118" s="35"/>
      <c r="D118" s="82"/>
      <c r="E118" s="26"/>
      <c r="F118" s="51"/>
      <c r="G118" s="51"/>
      <c r="H118" s="51"/>
      <c r="I118" s="51"/>
      <c r="J118" s="27"/>
      <c r="K118" s="35"/>
      <c r="L118" s="35"/>
      <c r="M118" s="35"/>
      <c r="N118" s="35"/>
      <c r="O118" s="35"/>
      <c r="P118" s="35"/>
      <c r="Q118" s="35"/>
      <c r="R118" s="35"/>
      <c r="S118" s="35"/>
      <c r="T118" s="35"/>
      <c r="U118" s="35"/>
      <c r="V118" s="35"/>
      <c r="W118" s="35"/>
      <c r="X118" s="35"/>
      <c r="Y118" s="35"/>
      <c r="Z118" s="35"/>
      <c r="AA118" s="35"/>
      <c r="AB118" s="35"/>
    </row>
    <row r="119">
      <c r="A119" s="35"/>
      <c r="B119" s="35"/>
      <c r="C119" s="35"/>
      <c r="D119" s="82"/>
      <c r="E119" s="26"/>
      <c r="F119" s="51"/>
      <c r="G119" s="51"/>
      <c r="H119" s="51"/>
      <c r="I119" s="51"/>
      <c r="J119" s="27"/>
      <c r="K119" s="35"/>
      <c r="L119" s="35"/>
      <c r="M119" s="35"/>
      <c r="N119" s="35"/>
      <c r="O119" s="35"/>
      <c r="P119" s="35"/>
      <c r="Q119" s="35"/>
      <c r="R119" s="35"/>
      <c r="S119" s="35"/>
      <c r="T119" s="35"/>
      <c r="U119" s="35"/>
      <c r="V119" s="35"/>
      <c r="W119" s="35"/>
      <c r="X119" s="35"/>
      <c r="Y119" s="35"/>
      <c r="Z119" s="35"/>
      <c r="AA119" s="35"/>
      <c r="AB119" s="35"/>
    </row>
    <row r="120">
      <c r="A120" s="35"/>
      <c r="B120" s="35"/>
      <c r="C120" s="35"/>
      <c r="D120" s="82"/>
      <c r="E120" s="26"/>
      <c r="F120" s="51"/>
      <c r="G120" s="51"/>
      <c r="H120" s="51"/>
      <c r="I120" s="51"/>
      <c r="J120" s="27"/>
      <c r="K120" s="35"/>
      <c r="L120" s="35"/>
      <c r="M120" s="35"/>
      <c r="N120" s="35"/>
      <c r="O120" s="35"/>
      <c r="P120" s="35"/>
      <c r="Q120" s="35"/>
      <c r="R120" s="35"/>
      <c r="S120" s="35"/>
      <c r="T120" s="35"/>
      <c r="U120" s="35"/>
      <c r="V120" s="35"/>
      <c r="W120" s="35"/>
      <c r="X120" s="35"/>
      <c r="Y120" s="35"/>
      <c r="Z120" s="35"/>
      <c r="AA120" s="35"/>
      <c r="AB120" s="35"/>
    </row>
    <row r="121">
      <c r="A121" s="35"/>
      <c r="B121" s="35"/>
      <c r="C121" s="35"/>
      <c r="D121" s="82"/>
      <c r="E121" s="26"/>
      <c r="F121" s="51"/>
      <c r="G121" s="51"/>
      <c r="H121" s="51"/>
      <c r="I121" s="51"/>
      <c r="J121" s="27"/>
      <c r="K121" s="35"/>
      <c r="L121" s="35"/>
      <c r="M121" s="35"/>
      <c r="N121" s="35"/>
      <c r="O121" s="35"/>
      <c r="P121" s="35"/>
      <c r="Q121" s="35"/>
      <c r="R121" s="35"/>
      <c r="S121" s="35"/>
      <c r="T121" s="35"/>
      <c r="U121" s="35"/>
      <c r="V121" s="35"/>
      <c r="W121" s="35"/>
      <c r="X121" s="35"/>
      <c r="Y121" s="35"/>
      <c r="Z121" s="35"/>
      <c r="AA121" s="35"/>
      <c r="AB121" s="35"/>
    </row>
    <row r="122">
      <c r="A122" s="35"/>
      <c r="B122" s="35"/>
      <c r="C122" s="35"/>
      <c r="D122" s="35"/>
      <c r="E122" s="26"/>
      <c r="F122" s="51"/>
      <c r="G122" s="51"/>
      <c r="H122" s="51"/>
      <c r="I122" s="51"/>
      <c r="J122" s="27"/>
      <c r="K122" s="35"/>
      <c r="L122" s="35"/>
      <c r="M122" s="35"/>
      <c r="N122" s="35"/>
      <c r="O122" s="35"/>
      <c r="P122" s="35"/>
      <c r="Q122" s="35"/>
      <c r="R122" s="35"/>
      <c r="S122" s="35"/>
      <c r="T122" s="35"/>
      <c r="U122" s="35"/>
      <c r="V122" s="35"/>
      <c r="W122" s="35"/>
      <c r="X122" s="35"/>
      <c r="Y122" s="35"/>
      <c r="Z122" s="35"/>
      <c r="AA122" s="35"/>
      <c r="AB122" s="35"/>
    </row>
    <row r="123">
      <c r="A123" s="35"/>
      <c r="B123" s="35"/>
      <c r="C123" s="35"/>
      <c r="D123" s="35"/>
      <c r="E123" s="26"/>
      <c r="F123" s="51"/>
      <c r="G123" s="51"/>
      <c r="H123" s="51"/>
      <c r="I123" s="51"/>
      <c r="J123" s="27"/>
      <c r="K123" s="35"/>
      <c r="L123" s="35"/>
      <c r="M123" s="35"/>
      <c r="N123" s="35"/>
      <c r="O123" s="35"/>
      <c r="P123" s="35"/>
      <c r="Q123" s="35"/>
      <c r="R123" s="35"/>
      <c r="S123" s="35"/>
      <c r="T123" s="35"/>
      <c r="U123" s="35"/>
      <c r="V123" s="35"/>
      <c r="W123" s="35"/>
      <c r="X123" s="35"/>
      <c r="Y123" s="35"/>
      <c r="Z123" s="35"/>
      <c r="AA123" s="35"/>
      <c r="AB123" s="35"/>
    </row>
    <row r="124">
      <c r="A124" s="35"/>
      <c r="B124" s="35"/>
      <c r="C124" s="35"/>
      <c r="D124" s="35"/>
      <c r="E124" s="26"/>
      <c r="F124" s="51"/>
      <c r="G124" s="51"/>
      <c r="H124" s="51"/>
      <c r="I124" s="51"/>
      <c r="J124" s="27"/>
      <c r="K124" s="35"/>
      <c r="L124" s="35"/>
      <c r="M124" s="35"/>
      <c r="N124" s="35"/>
      <c r="O124" s="35"/>
      <c r="P124" s="35"/>
      <c r="Q124" s="35"/>
      <c r="R124" s="35"/>
      <c r="S124" s="35"/>
      <c r="T124" s="35"/>
      <c r="U124" s="35"/>
      <c r="V124" s="35"/>
      <c r="W124" s="35"/>
      <c r="X124" s="35"/>
      <c r="Y124" s="35"/>
      <c r="Z124" s="35"/>
      <c r="AA124" s="35"/>
      <c r="AB124" s="35"/>
    </row>
    <row r="125">
      <c r="A125" s="35"/>
      <c r="B125" s="35"/>
      <c r="C125" s="35"/>
      <c r="D125" s="35"/>
      <c r="E125" s="26"/>
      <c r="F125" s="51"/>
      <c r="G125" s="51"/>
      <c r="H125" s="51"/>
      <c r="I125" s="51"/>
      <c r="J125" s="27"/>
      <c r="K125" s="35"/>
      <c r="L125" s="35"/>
      <c r="M125" s="35"/>
      <c r="N125" s="35"/>
      <c r="O125" s="35"/>
      <c r="P125" s="35"/>
      <c r="Q125" s="35"/>
      <c r="R125" s="35"/>
      <c r="S125" s="35"/>
      <c r="T125" s="35"/>
      <c r="U125" s="35"/>
      <c r="V125" s="35"/>
      <c r="W125" s="35"/>
      <c r="X125" s="35"/>
      <c r="Y125" s="35"/>
      <c r="Z125" s="35"/>
      <c r="AA125" s="35"/>
      <c r="AB125" s="35"/>
    </row>
    <row r="126">
      <c r="A126" s="35"/>
      <c r="B126" s="35"/>
      <c r="C126" s="35"/>
      <c r="D126" s="35"/>
      <c r="E126" s="26"/>
      <c r="F126" s="51"/>
      <c r="G126" s="51"/>
      <c r="H126" s="51"/>
      <c r="I126" s="51"/>
      <c r="J126" s="27"/>
      <c r="K126" s="35"/>
      <c r="L126" s="35"/>
      <c r="M126" s="35"/>
      <c r="N126" s="35"/>
      <c r="O126" s="35"/>
      <c r="P126" s="35"/>
      <c r="Q126" s="35"/>
      <c r="R126" s="35"/>
      <c r="S126" s="35"/>
      <c r="T126" s="35"/>
      <c r="U126" s="35"/>
      <c r="V126" s="35"/>
      <c r="W126" s="35"/>
      <c r="X126" s="35"/>
      <c r="Y126" s="35"/>
      <c r="Z126" s="35"/>
      <c r="AA126" s="35"/>
      <c r="AB126" s="35"/>
    </row>
    <row r="127">
      <c r="A127" s="35"/>
      <c r="B127" s="35"/>
      <c r="C127" s="35"/>
      <c r="D127" s="35"/>
      <c r="E127" s="26"/>
      <c r="F127" s="51"/>
      <c r="G127" s="51"/>
      <c r="H127" s="51"/>
      <c r="I127" s="51"/>
      <c r="J127" s="27"/>
      <c r="K127" s="35"/>
      <c r="L127" s="35"/>
      <c r="M127" s="35"/>
      <c r="N127" s="35"/>
      <c r="O127" s="35"/>
      <c r="P127" s="35"/>
      <c r="Q127" s="35"/>
      <c r="R127" s="35"/>
      <c r="S127" s="35"/>
      <c r="T127" s="35"/>
      <c r="U127" s="35"/>
      <c r="V127" s="35"/>
      <c r="W127" s="35"/>
      <c r="X127" s="35"/>
      <c r="Y127" s="35"/>
      <c r="Z127" s="35"/>
      <c r="AA127" s="35"/>
      <c r="AB127" s="35"/>
    </row>
    <row r="128">
      <c r="A128" s="35"/>
      <c r="B128" s="35"/>
      <c r="C128" s="35"/>
      <c r="D128" s="35"/>
      <c r="E128" s="26"/>
      <c r="F128" s="51"/>
      <c r="G128" s="51"/>
      <c r="H128" s="51"/>
      <c r="I128" s="51"/>
      <c r="J128" s="27"/>
      <c r="K128" s="35"/>
      <c r="L128" s="35"/>
      <c r="M128" s="35"/>
      <c r="N128" s="35"/>
      <c r="O128" s="35"/>
      <c r="P128" s="35"/>
      <c r="Q128" s="35"/>
      <c r="R128" s="35"/>
      <c r="S128" s="35"/>
      <c r="T128" s="35"/>
      <c r="U128" s="35"/>
      <c r="V128" s="35"/>
      <c r="W128" s="35"/>
      <c r="X128" s="35"/>
      <c r="Y128" s="35"/>
      <c r="Z128" s="35"/>
      <c r="AA128" s="35"/>
      <c r="AB128" s="35"/>
    </row>
    <row r="129">
      <c r="A129" s="35"/>
      <c r="B129" s="35"/>
      <c r="C129" s="35"/>
      <c r="D129" s="35"/>
      <c r="E129" s="26"/>
      <c r="F129" s="51"/>
      <c r="G129" s="51"/>
      <c r="H129" s="51"/>
      <c r="I129" s="51"/>
      <c r="J129" s="27"/>
      <c r="K129" s="35"/>
      <c r="L129" s="35"/>
      <c r="M129" s="35"/>
      <c r="N129" s="35"/>
      <c r="O129" s="35"/>
      <c r="P129" s="35"/>
      <c r="Q129" s="35"/>
      <c r="R129" s="35"/>
      <c r="S129" s="35"/>
      <c r="T129" s="35"/>
      <c r="U129" s="35"/>
      <c r="V129" s="35"/>
      <c r="W129" s="35"/>
      <c r="X129" s="35"/>
      <c r="Y129" s="35"/>
      <c r="Z129" s="35"/>
      <c r="AA129" s="35"/>
      <c r="AB129" s="35"/>
    </row>
    <row r="130">
      <c r="A130" s="35"/>
      <c r="B130" s="35"/>
      <c r="C130" s="35"/>
      <c r="D130" s="35"/>
      <c r="E130" s="26"/>
      <c r="F130" s="51"/>
      <c r="G130" s="51"/>
      <c r="H130" s="51"/>
      <c r="I130" s="51"/>
      <c r="J130" s="27"/>
      <c r="K130" s="35"/>
      <c r="L130" s="35"/>
      <c r="M130" s="35"/>
      <c r="N130" s="35"/>
      <c r="O130" s="35"/>
      <c r="P130" s="35"/>
      <c r="Q130" s="35"/>
      <c r="R130" s="35"/>
      <c r="S130" s="35"/>
      <c r="T130" s="35"/>
      <c r="U130" s="35"/>
      <c r="V130" s="35"/>
      <c r="W130" s="35"/>
      <c r="X130" s="35"/>
      <c r="Y130" s="35"/>
      <c r="Z130" s="35"/>
      <c r="AA130" s="35"/>
      <c r="AB130" s="35"/>
    </row>
    <row r="131">
      <c r="A131" s="35"/>
      <c r="B131" s="35"/>
      <c r="C131" s="35"/>
      <c r="D131" s="35"/>
      <c r="E131" s="26"/>
      <c r="F131" s="51"/>
      <c r="G131" s="51"/>
      <c r="H131" s="51"/>
      <c r="I131" s="51"/>
      <c r="J131" s="27"/>
      <c r="K131" s="35"/>
      <c r="L131" s="35"/>
      <c r="M131" s="35"/>
      <c r="N131" s="35"/>
      <c r="O131" s="35"/>
      <c r="P131" s="35"/>
      <c r="Q131" s="35"/>
      <c r="R131" s="35"/>
      <c r="S131" s="35"/>
      <c r="T131" s="35"/>
      <c r="U131" s="35"/>
      <c r="V131" s="35"/>
      <c r="W131" s="35"/>
      <c r="X131" s="35"/>
      <c r="Y131" s="35"/>
      <c r="Z131" s="35"/>
      <c r="AA131" s="35"/>
      <c r="AB131" s="35"/>
    </row>
    <row r="132">
      <c r="A132" s="35"/>
      <c r="B132" s="35"/>
      <c r="C132" s="35"/>
      <c r="D132" s="35"/>
      <c r="E132" s="26"/>
      <c r="F132" s="51"/>
      <c r="G132" s="51"/>
      <c r="H132" s="51"/>
      <c r="I132" s="51"/>
      <c r="J132" s="27"/>
      <c r="K132" s="35"/>
      <c r="L132" s="35"/>
      <c r="M132" s="35"/>
      <c r="N132" s="35"/>
      <c r="O132" s="35"/>
      <c r="P132" s="35"/>
      <c r="Q132" s="35"/>
      <c r="R132" s="35"/>
      <c r="S132" s="35"/>
      <c r="T132" s="35"/>
      <c r="U132" s="35"/>
      <c r="V132" s="35"/>
      <c r="W132" s="35"/>
      <c r="X132" s="35"/>
      <c r="Y132" s="35"/>
      <c r="Z132" s="35"/>
      <c r="AA132" s="35"/>
      <c r="AB132" s="35"/>
    </row>
    <row r="133">
      <c r="A133" s="35"/>
      <c r="B133" s="35"/>
      <c r="C133" s="35"/>
      <c r="D133" s="35"/>
      <c r="E133" s="26"/>
      <c r="F133" s="51"/>
      <c r="G133" s="51"/>
      <c r="H133" s="51"/>
      <c r="I133" s="51"/>
      <c r="J133" s="27"/>
      <c r="K133" s="35"/>
      <c r="L133" s="35"/>
      <c r="M133" s="35"/>
      <c r="N133" s="35"/>
      <c r="O133" s="35"/>
      <c r="P133" s="35"/>
      <c r="Q133" s="35"/>
      <c r="R133" s="35"/>
      <c r="S133" s="35"/>
      <c r="T133" s="35"/>
      <c r="U133" s="35"/>
      <c r="V133" s="35"/>
      <c r="W133" s="35"/>
      <c r="X133" s="35"/>
      <c r="Y133" s="35"/>
      <c r="Z133" s="35"/>
      <c r="AA133" s="35"/>
      <c r="AB133" s="35"/>
    </row>
    <row r="134">
      <c r="A134" s="35"/>
      <c r="B134" s="35"/>
      <c r="C134" s="35"/>
      <c r="D134" s="35"/>
      <c r="E134" s="26"/>
      <c r="F134" s="51"/>
      <c r="G134" s="51"/>
      <c r="H134" s="51"/>
      <c r="I134" s="51"/>
      <c r="J134" s="27"/>
      <c r="K134" s="35"/>
      <c r="L134" s="35"/>
      <c r="M134" s="35"/>
      <c r="N134" s="35"/>
      <c r="O134" s="35"/>
      <c r="P134" s="35"/>
      <c r="Q134" s="35"/>
      <c r="R134" s="35"/>
      <c r="S134" s="35"/>
      <c r="T134" s="35"/>
      <c r="U134" s="35"/>
      <c r="V134" s="35"/>
      <c r="W134" s="35"/>
      <c r="X134" s="35"/>
      <c r="Y134" s="35"/>
      <c r="Z134" s="35"/>
      <c r="AA134" s="35"/>
      <c r="AB134" s="35"/>
    </row>
    <row r="135">
      <c r="A135" s="35"/>
      <c r="B135" s="35"/>
      <c r="C135" s="35"/>
      <c r="D135" s="35"/>
      <c r="E135" s="26"/>
      <c r="F135" s="51"/>
      <c r="G135" s="51"/>
      <c r="H135" s="51"/>
      <c r="I135" s="51"/>
      <c r="J135" s="27"/>
      <c r="K135" s="35"/>
      <c r="L135" s="35"/>
      <c r="M135" s="35"/>
      <c r="N135" s="35"/>
      <c r="O135" s="35"/>
      <c r="P135" s="35"/>
      <c r="Q135" s="35"/>
      <c r="R135" s="35"/>
      <c r="S135" s="35"/>
      <c r="T135" s="35"/>
      <c r="U135" s="35"/>
      <c r="V135" s="35"/>
      <c r="W135" s="35"/>
      <c r="X135" s="35"/>
      <c r="Y135" s="35"/>
      <c r="Z135" s="35"/>
      <c r="AA135" s="35"/>
      <c r="AB135" s="35"/>
    </row>
    <row r="136">
      <c r="A136" s="35"/>
      <c r="B136" s="35"/>
      <c r="C136" s="35"/>
      <c r="D136" s="35"/>
      <c r="E136" s="26"/>
      <c r="F136" s="51"/>
      <c r="G136" s="51"/>
      <c r="H136" s="51"/>
      <c r="I136" s="51"/>
      <c r="J136" s="27"/>
      <c r="K136" s="35"/>
      <c r="L136" s="35"/>
      <c r="M136" s="35"/>
      <c r="N136" s="35"/>
      <c r="O136" s="35"/>
      <c r="P136" s="35"/>
      <c r="Q136" s="35"/>
      <c r="R136" s="35"/>
      <c r="S136" s="35"/>
      <c r="T136" s="35"/>
      <c r="U136" s="35"/>
      <c r="V136" s="35"/>
      <c r="W136" s="35"/>
      <c r="X136" s="35"/>
      <c r="Y136" s="35"/>
      <c r="Z136" s="35"/>
      <c r="AA136" s="35"/>
      <c r="AB136" s="35"/>
    </row>
    <row r="137">
      <c r="A137" s="35"/>
      <c r="B137" s="35"/>
      <c r="C137" s="35"/>
      <c r="D137" s="35"/>
      <c r="E137" s="26"/>
      <c r="F137" s="51"/>
      <c r="G137" s="51"/>
      <c r="H137" s="51"/>
      <c r="I137" s="51"/>
      <c r="J137" s="27"/>
      <c r="K137" s="35"/>
      <c r="L137" s="35"/>
      <c r="M137" s="35"/>
      <c r="N137" s="35"/>
      <c r="O137" s="35"/>
      <c r="P137" s="35"/>
      <c r="Q137" s="35"/>
      <c r="R137" s="35"/>
      <c r="S137" s="35"/>
      <c r="T137" s="35"/>
      <c r="U137" s="35"/>
      <c r="V137" s="35"/>
      <c r="W137" s="35"/>
      <c r="X137" s="35"/>
      <c r="Y137" s="35"/>
      <c r="Z137" s="35"/>
      <c r="AA137" s="35"/>
      <c r="AB137" s="35"/>
    </row>
    <row r="138">
      <c r="A138" s="35"/>
      <c r="B138" s="35"/>
      <c r="C138" s="35"/>
      <c r="D138" s="35"/>
      <c r="E138" s="26"/>
      <c r="F138" s="51"/>
      <c r="G138" s="51"/>
      <c r="H138" s="51"/>
      <c r="I138" s="51"/>
      <c r="J138" s="27"/>
      <c r="K138" s="35"/>
      <c r="L138" s="35"/>
      <c r="M138" s="35"/>
      <c r="N138" s="35"/>
      <c r="O138" s="35"/>
      <c r="P138" s="35"/>
      <c r="Q138" s="35"/>
      <c r="R138" s="35"/>
      <c r="S138" s="35"/>
      <c r="T138" s="35"/>
      <c r="U138" s="35"/>
      <c r="V138" s="35"/>
      <c r="W138" s="35"/>
      <c r="X138" s="35"/>
      <c r="Y138" s="35"/>
      <c r="Z138" s="35"/>
      <c r="AA138" s="35"/>
      <c r="AB138" s="35"/>
    </row>
    <row r="139">
      <c r="A139" s="35"/>
      <c r="B139" s="35"/>
      <c r="C139" s="35"/>
      <c r="D139" s="35"/>
      <c r="E139" s="26"/>
      <c r="F139" s="51"/>
      <c r="G139" s="51"/>
      <c r="H139" s="51"/>
      <c r="I139" s="51"/>
      <c r="J139" s="27"/>
      <c r="K139" s="35"/>
      <c r="L139" s="35"/>
      <c r="M139" s="35"/>
      <c r="N139" s="35"/>
      <c r="O139" s="35"/>
      <c r="P139" s="35"/>
      <c r="Q139" s="35"/>
      <c r="R139" s="35"/>
      <c r="S139" s="35"/>
      <c r="T139" s="35"/>
      <c r="U139" s="35"/>
      <c r="V139" s="35"/>
      <c r="W139" s="35"/>
      <c r="X139" s="35"/>
      <c r="Y139" s="35"/>
      <c r="Z139" s="35"/>
      <c r="AA139" s="35"/>
      <c r="AB139" s="35"/>
    </row>
    <row r="140">
      <c r="A140" s="35"/>
      <c r="B140" s="35"/>
      <c r="C140" s="35"/>
      <c r="D140" s="35"/>
      <c r="E140" s="26"/>
      <c r="F140" s="51"/>
      <c r="G140" s="51"/>
      <c r="H140" s="51"/>
      <c r="I140" s="51"/>
      <c r="J140" s="27"/>
      <c r="K140" s="35"/>
      <c r="L140" s="35"/>
      <c r="M140" s="35"/>
      <c r="N140" s="35"/>
      <c r="O140" s="35"/>
      <c r="P140" s="35"/>
      <c r="Q140" s="35"/>
      <c r="R140" s="35"/>
      <c r="S140" s="35"/>
      <c r="T140" s="35"/>
      <c r="U140" s="35"/>
      <c r="V140" s="35"/>
      <c r="W140" s="35"/>
      <c r="X140" s="35"/>
      <c r="Y140" s="35"/>
      <c r="Z140" s="35"/>
      <c r="AA140" s="35"/>
      <c r="AB140" s="35"/>
    </row>
    <row r="141">
      <c r="A141" s="35"/>
      <c r="B141" s="35"/>
      <c r="C141" s="35"/>
      <c r="D141" s="35"/>
      <c r="E141" s="26"/>
      <c r="F141" s="51"/>
      <c r="G141" s="51"/>
      <c r="H141" s="51"/>
      <c r="I141" s="51"/>
      <c r="J141" s="27"/>
      <c r="K141" s="35"/>
      <c r="L141" s="35"/>
      <c r="M141" s="35"/>
      <c r="N141" s="35"/>
      <c r="O141" s="35"/>
      <c r="P141" s="35"/>
      <c r="Q141" s="35"/>
      <c r="R141" s="35"/>
      <c r="S141" s="35"/>
      <c r="T141" s="35"/>
      <c r="U141" s="35"/>
      <c r="V141" s="35"/>
      <c r="W141" s="35"/>
      <c r="X141" s="35"/>
      <c r="Y141" s="35"/>
      <c r="Z141" s="35"/>
      <c r="AA141" s="35"/>
      <c r="AB141" s="35"/>
    </row>
    <row r="142">
      <c r="A142" s="35"/>
      <c r="B142" s="35"/>
      <c r="C142" s="35"/>
      <c r="D142" s="35"/>
      <c r="E142" s="26"/>
      <c r="F142" s="51"/>
      <c r="G142" s="51"/>
      <c r="H142" s="51"/>
      <c r="I142" s="51"/>
      <c r="J142" s="27"/>
      <c r="K142" s="35"/>
      <c r="L142" s="35"/>
      <c r="M142" s="35"/>
      <c r="N142" s="35"/>
      <c r="O142" s="35"/>
      <c r="P142" s="35"/>
      <c r="Q142" s="35"/>
      <c r="R142" s="35"/>
      <c r="S142" s="35"/>
      <c r="T142" s="35"/>
      <c r="U142" s="35"/>
      <c r="V142" s="35"/>
      <c r="W142" s="35"/>
      <c r="X142" s="35"/>
      <c r="Y142" s="35"/>
      <c r="Z142" s="35"/>
      <c r="AA142" s="35"/>
      <c r="AB142" s="35"/>
    </row>
    <row r="143">
      <c r="A143" s="35"/>
      <c r="B143" s="35"/>
      <c r="C143" s="35"/>
      <c r="D143" s="35"/>
      <c r="E143" s="26"/>
      <c r="F143" s="51"/>
      <c r="G143" s="51"/>
      <c r="H143" s="51"/>
      <c r="I143" s="51"/>
      <c r="J143" s="27"/>
      <c r="K143" s="35"/>
      <c r="L143" s="35"/>
      <c r="M143" s="35"/>
      <c r="N143" s="35"/>
      <c r="O143" s="35"/>
      <c r="P143" s="35"/>
      <c r="Q143" s="35"/>
      <c r="R143" s="35"/>
      <c r="S143" s="35"/>
      <c r="T143" s="35"/>
      <c r="U143" s="35"/>
      <c r="V143" s="35"/>
      <c r="W143" s="35"/>
      <c r="X143" s="35"/>
      <c r="Y143" s="35"/>
      <c r="Z143" s="35"/>
      <c r="AA143" s="35"/>
      <c r="AB143" s="35"/>
    </row>
    <row r="144">
      <c r="A144" s="35"/>
      <c r="B144" s="35"/>
      <c r="C144" s="35"/>
      <c r="D144" s="35"/>
      <c r="E144" s="26"/>
      <c r="F144" s="51"/>
      <c r="G144" s="51"/>
      <c r="H144" s="51"/>
      <c r="I144" s="51"/>
      <c r="J144" s="27"/>
      <c r="K144" s="35"/>
      <c r="L144" s="35"/>
      <c r="M144" s="35"/>
      <c r="N144" s="35"/>
      <c r="O144" s="35"/>
      <c r="P144" s="35"/>
      <c r="Q144" s="35"/>
      <c r="R144" s="35"/>
      <c r="S144" s="35"/>
      <c r="T144" s="35"/>
      <c r="U144" s="35"/>
      <c r="V144" s="35"/>
      <c r="W144" s="35"/>
      <c r="X144" s="35"/>
      <c r="Y144" s="35"/>
      <c r="Z144" s="35"/>
      <c r="AA144" s="35"/>
      <c r="AB144" s="35"/>
    </row>
    <row r="145">
      <c r="A145" s="35"/>
      <c r="B145" s="35"/>
      <c r="C145" s="35"/>
      <c r="D145" s="35"/>
      <c r="E145" s="26"/>
      <c r="F145" s="51"/>
      <c r="G145" s="51"/>
      <c r="H145" s="51"/>
      <c r="I145" s="51"/>
      <c r="J145" s="27"/>
      <c r="K145" s="35"/>
      <c r="L145" s="35"/>
      <c r="M145" s="35"/>
      <c r="N145" s="35"/>
      <c r="O145" s="35"/>
      <c r="P145" s="35"/>
      <c r="Q145" s="35"/>
      <c r="R145" s="35"/>
      <c r="S145" s="35"/>
      <c r="T145" s="35"/>
      <c r="U145" s="35"/>
      <c r="V145" s="35"/>
      <c r="W145" s="35"/>
      <c r="X145" s="35"/>
      <c r="Y145" s="35"/>
      <c r="Z145" s="35"/>
      <c r="AA145" s="35"/>
      <c r="AB145" s="35"/>
    </row>
    <row r="146">
      <c r="A146" s="35"/>
      <c r="B146" s="35"/>
      <c r="C146" s="35"/>
      <c r="D146" s="35"/>
      <c r="E146" s="26"/>
      <c r="F146" s="51"/>
      <c r="G146" s="51"/>
      <c r="H146" s="51"/>
      <c r="I146" s="51"/>
      <c r="J146" s="27"/>
      <c r="K146" s="35"/>
      <c r="L146" s="35"/>
      <c r="M146" s="35"/>
      <c r="N146" s="35"/>
      <c r="O146" s="35"/>
      <c r="P146" s="35"/>
      <c r="Q146" s="35"/>
      <c r="R146" s="35"/>
      <c r="S146" s="35"/>
      <c r="T146" s="35"/>
      <c r="U146" s="35"/>
      <c r="V146" s="35"/>
      <c r="W146" s="35"/>
      <c r="X146" s="35"/>
      <c r="Y146" s="35"/>
      <c r="Z146" s="35"/>
      <c r="AA146" s="35"/>
      <c r="AB146" s="35"/>
    </row>
    <row r="147">
      <c r="A147" s="35"/>
      <c r="B147" s="35"/>
      <c r="C147" s="35"/>
      <c r="D147" s="35"/>
      <c r="E147" s="26"/>
      <c r="F147" s="51"/>
      <c r="G147" s="51"/>
      <c r="H147" s="51"/>
      <c r="I147" s="51"/>
      <c r="J147" s="27"/>
      <c r="K147" s="35"/>
      <c r="L147" s="35"/>
      <c r="M147" s="35"/>
      <c r="N147" s="35"/>
      <c r="O147" s="35"/>
      <c r="P147" s="35"/>
      <c r="Q147" s="35"/>
      <c r="R147" s="35"/>
      <c r="S147" s="35"/>
      <c r="T147" s="35"/>
      <c r="U147" s="35"/>
      <c r="V147" s="35"/>
      <c r="W147" s="35"/>
      <c r="X147" s="35"/>
      <c r="Y147" s="35"/>
      <c r="Z147" s="35"/>
      <c r="AA147" s="35"/>
      <c r="AB147" s="35"/>
    </row>
    <row r="148">
      <c r="A148" s="35"/>
      <c r="B148" s="35"/>
      <c r="C148" s="35"/>
      <c r="D148" s="35"/>
      <c r="E148" s="26"/>
      <c r="F148" s="51"/>
      <c r="G148" s="51"/>
      <c r="H148" s="51"/>
      <c r="I148" s="51"/>
      <c r="J148" s="27"/>
      <c r="K148" s="35"/>
      <c r="L148" s="35"/>
      <c r="M148" s="35"/>
      <c r="N148" s="35"/>
      <c r="O148" s="35"/>
      <c r="P148" s="35"/>
      <c r="Q148" s="35"/>
      <c r="R148" s="35"/>
      <c r="S148" s="35"/>
      <c r="T148" s="35"/>
      <c r="U148" s="35"/>
      <c r="V148" s="35"/>
      <c r="W148" s="35"/>
      <c r="X148" s="35"/>
      <c r="Y148" s="35"/>
      <c r="Z148" s="35"/>
      <c r="AA148" s="35"/>
      <c r="AB148" s="35"/>
    </row>
    <row r="149">
      <c r="A149" s="35"/>
      <c r="B149" s="35"/>
      <c r="C149" s="35"/>
      <c r="D149" s="35"/>
      <c r="E149" s="26"/>
      <c r="F149" s="51"/>
      <c r="G149" s="51"/>
      <c r="H149" s="51"/>
      <c r="I149" s="51"/>
      <c r="J149" s="27"/>
      <c r="K149" s="35"/>
      <c r="L149" s="35"/>
      <c r="M149" s="35"/>
      <c r="N149" s="35"/>
      <c r="O149" s="35"/>
      <c r="P149" s="35"/>
      <c r="Q149" s="35"/>
      <c r="R149" s="35"/>
      <c r="S149" s="35"/>
      <c r="T149" s="35"/>
      <c r="U149" s="35"/>
      <c r="V149" s="35"/>
      <c r="W149" s="35"/>
      <c r="X149" s="35"/>
      <c r="Y149" s="35"/>
      <c r="Z149" s="35"/>
      <c r="AA149" s="35"/>
      <c r="AB149" s="35"/>
    </row>
    <row r="150">
      <c r="A150" s="35"/>
      <c r="B150" s="35"/>
      <c r="C150" s="35"/>
      <c r="D150" s="35"/>
      <c r="E150" s="26"/>
      <c r="F150" s="51"/>
      <c r="G150" s="51"/>
      <c r="H150" s="51"/>
      <c r="I150" s="51"/>
      <c r="J150" s="27"/>
      <c r="K150" s="35"/>
      <c r="L150" s="35"/>
      <c r="M150" s="35"/>
      <c r="N150" s="35"/>
      <c r="O150" s="35"/>
      <c r="P150" s="35"/>
      <c r="Q150" s="35"/>
      <c r="R150" s="35"/>
      <c r="S150" s="35"/>
      <c r="T150" s="35"/>
      <c r="U150" s="35"/>
      <c r="V150" s="35"/>
      <c r="W150" s="35"/>
      <c r="X150" s="35"/>
      <c r="Y150" s="35"/>
      <c r="Z150" s="35"/>
      <c r="AA150" s="35"/>
      <c r="AB150" s="35"/>
    </row>
    <row r="151">
      <c r="A151" s="35"/>
      <c r="B151" s="35"/>
      <c r="C151" s="35"/>
      <c r="D151" s="35"/>
      <c r="E151" s="26"/>
      <c r="F151" s="51"/>
      <c r="G151" s="51"/>
      <c r="H151" s="51"/>
      <c r="I151" s="51"/>
      <c r="J151" s="27"/>
      <c r="K151" s="35"/>
      <c r="L151" s="35"/>
      <c r="M151" s="35"/>
      <c r="N151" s="35"/>
      <c r="O151" s="35"/>
      <c r="P151" s="35"/>
      <c r="Q151" s="35"/>
      <c r="R151" s="35"/>
      <c r="S151" s="35"/>
      <c r="T151" s="35"/>
      <c r="U151" s="35"/>
      <c r="V151" s="35"/>
      <c r="W151" s="35"/>
      <c r="X151" s="35"/>
      <c r="Y151" s="35"/>
      <c r="Z151" s="35"/>
      <c r="AA151" s="35"/>
      <c r="AB151" s="35"/>
    </row>
    <row r="152">
      <c r="A152" s="35"/>
      <c r="B152" s="35"/>
      <c r="C152" s="35"/>
      <c r="D152" s="35"/>
      <c r="E152" s="26"/>
      <c r="F152" s="51"/>
      <c r="G152" s="51"/>
      <c r="H152" s="51"/>
      <c r="I152" s="51"/>
      <c r="J152" s="27"/>
      <c r="K152" s="35"/>
      <c r="L152" s="35"/>
      <c r="M152" s="35"/>
      <c r="N152" s="35"/>
      <c r="O152" s="35"/>
      <c r="P152" s="35"/>
      <c r="Q152" s="35"/>
      <c r="R152" s="35"/>
      <c r="S152" s="35"/>
      <c r="T152" s="35"/>
      <c r="U152" s="35"/>
      <c r="V152" s="35"/>
      <c r="W152" s="35"/>
      <c r="X152" s="35"/>
      <c r="Y152" s="35"/>
      <c r="Z152" s="35"/>
      <c r="AA152" s="35"/>
      <c r="AB152" s="35"/>
    </row>
    <row r="153">
      <c r="A153" s="35"/>
      <c r="B153" s="35"/>
      <c r="C153" s="35"/>
      <c r="D153" s="35"/>
      <c r="E153" s="26"/>
      <c r="F153" s="51"/>
      <c r="G153" s="51"/>
      <c r="H153" s="51"/>
      <c r="I153" s="51"/>
      <c r="J153" s="27"/>
      <c r="K153" s="35"/>
      <c r="L153" s="35"/>
      <c r="M153" s="35"/>
      <c r="N153" s="35"/>
      <c r="O153" s="35"/>
      <c r="P153" s="35"/>
      <c r="Q153" s="35"/>
      <c r="R153" s="35"/>
      <c r="S153" s="35"/>
      <c r="T153" s="35"/>
      <c r="U153" s="35"/>
      <c r="V153" s="35"/>
      <c r="W153" s="35"/>
      <c r="X153" s="35"/>
      <c r="Y153" s="35"/>
      <c r="Z153" s="35"/>
      <c r="AA153" s="35"/>
      <c r="AB153" s="35"/>
    </row>
    <row r="154">
      <c r="A154" s="35"/>
      <c r="B154" s="35"/>
      <c r="C154" s="35"/>
      <c r="D154" s="35"/>
      <c r="E154" s="26"/>
      <c r="F154" s="51"/>
      <c r="G154" s="51"/>
      <c r="H154" s="51"/>
      <c r="I154" s="51"/>
      <c r="J154" s="27"/>
      <c r="K154" s="35"/>
      <c r="L154" s="35"/>
      <c r="M154" s="35"/>
      <c r="N154" s="35"/>
      <c r="O154" s="35"/>
      <c r="P154" s="35"/>
      <c r="Q154" s="35"/>
      <c r="R154" s="35"/>
      <c r="S154" s="35"/>
      <c r="T154" s="35"/>
      <c r="U154" s="35"/>
      <c r="V154" s="35"/>
      <c r="W154" s="35"/>
      <c r="X154" s="35"/>
      <c r="Y154" s="35"/>
      <c r="Z154" s="35"/>
      <c r="AA154" s="35"/>
      <c r="AB154" s="35"/>
    </row>
    <row r="155">
      <c r="A155" s="35"/>
      <c r="B155" s="35"/>
      <c r="C155" s="35"/>
      <c r="D155" s="35"/>
      <c r="E155" s="26"/>
      <c r="F155" s="51"/>
      <c r="G155" s="51"/>
      <c r="H155" s="51"/>
      <c r="I155" s="51"/>
      <c r="J155" s="27"/>
      <c r="K155" s="35"/>
      <c r="L155" s="35"/>
      <c r="M155" s="35"/>
      <c r="N155" s="35"/>
      <c r="O155" s="35"/>
      <c r="P155" s="35"/>
      <c r="Q155" s="35"/>
      <c r="R155" s="35"/>
      <c r="S155" s="35"/>
      <c r="T155" s="35"/>
      <c r="U155" s="35"/>
      <c r="V155" s="35"/>
      <c r="W155" s="35"/>
      <c r="X155" s="35"/>
      <c r="Y155" s="35"/>
      <c r="Z155" s="35"/>
      <c r="AA155" s="35"/>
      <c r="AB155" s="35"/>
    </row>
    <row r="156">
      <c r="A156" s="35"/>
      <c r="B156" s="35"/>
      <c r="C156" s="35"/>
      <c r="D156" s="35"/>
      <c r="E156" s="26"/>
      <c r="F156" s="51"/>
      <c r="G156" s="51"/>
      <c r="H156" s="51"/>
      <c r="I156" s="51"/>
      <c r="J156" s="27"/>
      <c r="K156" s="35"/>
      <c r="L156" s="35"/>
      <c r="M156" s="35"/>
      <c r="N156" s="35"/>
      <c r="O156" s="35"/>
      <c r="P156" s="35"/>
      <c r="Q156" s="35"/>
      <c r="R156" s="35"/>
      <c r="S156" s="35"/>
      <c r="T156" s="35"/>
      <c r="U156" s="35"/>
      <c r="V156" s="35"/>
      <c r="W156" s="35"/>
      <c r="X156" s="35"/>
      <c r="Y156" s="35"/>
      <c r="Z156" s="35"/>
      <c r="AA156" s="35"/>
      <c r="AB156" s="35"/>
    </row>
    <row r="157">
      <c r="A157" s="35"/>
      <c r="B157" s="35"/>
      <c r="C157" s="35"/>
      <c r="D157" s="35"/>
      <c r="E157" s="26"/>
      <c r="F157" s="51"/>
      <c r="G157" s="51"/>
      <c r="H157" s="51"/>
      <c r="I157" s="51"/>
      <c r="J157" s="27"/>
      <c r="K157" s="35"/>
      <c r="L157" s="35"/>
      <c r="M157" s="35"/>
      <c r="N157" s="35"/>
      <c r="O157" s="35"/>
      <c r="P157" s="35"/>
      <c r="Q157" s="35"/>
      <c r="R157" s="35"/>
      <c r="S157" s="35"/>
      <c r="T157" s="35"/>
      <c r="U157" s="35"/>
      <c r="V157" s="35"/>
      <c r="W157" s="35"/>
      <c r="X157" s="35"/>
      <c r="Y157" s="35"/>
      <c r="Z157" s="35"/>
      <c r="AA157" s="35"/>
      <c r="AB157" s="35"/>
    </row>
    <row r="158">
      <c r="A158" s="35"/>
      <c r="B158" s="35"/>
      <c r="C158" s="35"/>
      <c r="D158" s="35"/>
      <c r="E158" s="26"/>
      <c r="F158" s="51"/>
      <c r="G158" s="51"/>
      <c r="H158" s="51"/>
      <c r="I158" s="51"/>
      <c r="J158" s="27"/>
      <c r="K158" s="35"/>
      <c r="L158" s="35"/>
      <c r="M158" s="35"/>
      <c r="N158" s="35"/>
      <c r="O158" s="35"/>
      <c r="P158" s="35"/>
      <c r="Q158" s="35"/>
      <c r="R158" s="35"/>
      <c r="S158" s="35"/>
      <c r="T158" s="35"/>
      <c r="U158" s="35"/>
      <c r="V158" s="35"/>
      <c r="W158" s="35"/>
      <c r="X158" s="35"/>
      <c r="Y158" s="35"/>
      <c r="Z158" s="35"/>
      <c r="AA158" s="35"/>
      <c r="AB158" s="35"/>
    </row>
    <row r="159">
      <c r="A159" s="35"/>
      <c r="B159" s="35"/>
      <c r="C159" s="35"/>
      <c r="D159" s="35"/>
      <c r="E159" s="26"/>
      <c r="F159" s="51"/>
      <c r="G159" s="51"/>
      <c r="H159" s="51"/>
      <c r="I159" s="51"/>
      <c r="J159" s="27"/>
      <c r="K159" s="35"/>
      <c r="L159" s="35"/>
      <c r="M159" s="35"/>
      <c r="N159" s="35"/>
      <c r="O159" s="35"/>
      <c r="P159" s="35"/>
      <c r="Q159" s="35"/>
      <c r="R159" s="35"/>
      <c r="S159" s="35"/>
      <c r="T159" s="35"/>
      <c r="U159" s="35"/>
      <c r="V159" s="35"/>
      <c r="W159" s="35"/>
      <c r="X159" s="35"/>
      <c r="Y159" s="35"/>
      <c r="Z159" s="35"/>
      <c r="AA159" s="35"/>
      <c r="AB159" s="35"/>
    </row>
    <row r="160">
      <c r="A160" s="35"/>
      <c r="B160" s="35"/>
      <c r="C160" s="35"/>
      <c r="D160" s="35"/>
      <c r="E160" s="26"/>
      <c r="F160" s="51"/>
      <c r="G160" s="51"/>
      <c r="H160" s="51"/>
      <c r="I160" s="51"/>
      <c r="J160" s="27"/>
      <c r="K160" s="35"/>
      <c r="L160" s="35"/>
      <c r="M160" s="35"/>
      <c r="N160" s="35"/>
      <c r="O160" s="35"/>
      <c r="P160" s="35"/>
      <c r="Q160" s="35"/>
      <c r="R160" s="35"/>
      <c r="S160" s="35"/>
      <c r="T160" s="35"/>
      <c r="U160" s="35"/>
      <c r="V160" s="35"/>
      <c r="W160" s="35"/>
      <c r="X160" s="35"/>
      <c r="Y160" s="35"/>
      <c r="Z160" s="35"/>
      <c r="AA160" s="35"/>
      <c r="AB160" s="35"/>
    </row>
    <row r="161">
      <c r="A161" s="35"/>
      <c r="B161" s="35"/>
      <c r="C161" s="35"/>
      <c r="D161" s="35"/>
      <c r="E161" s="26"/>
      <c r="F161" s="51"/>
      <c r="G161" s="51"/>
      <c r="H161" s="51"/>
      <c r="I161" s="51"/>
      <c r="J161" s="27"/>
      <c r="K161" s="35"/>
      <c r="L161" s="35"/>
      <c r="M161" s="35"/>
      <c r="N161" s="35"/>
      <c r="O161" s="35"/>
      <c r="P161" s="35"/>
      <c r="Q161" s="35"/>
      <c r="R161" s="35"/>
      <c r="S161" s="35"/>
      <c r="T161" s="35"/>
      <c r="U161" s="35"/>
      <c r="V161" s="35"/>
      <c r="W161" s="35"/>
      <c r="X161" s="35"/>
      <c r="Y161" s="35"/>
      <c r="Z161" s="35"/>
      <c r="AA161" s="35"/>
      <c r="AB161" s="35"/>
    </row>
    <row r="162">
      <c r="A162" s="35"/>
      <c r="B162" s="35"/>
      <c r="C162" s="35"/>
      <c r="D162" s="35"/>
      <c r="E162" s="26"/>
      <c r="F162" s="51"/>
      <c r="G162" s="51"/>
      <c r="H162" s="51"/>
      <c r="I162" s="51"/>
      <c r="J162" s="27"/>
      <c r="K162" s="35"/>
      <c r="L162" s="35"/>
      <c r="M162" s="35"/>
      <c r="N162" s="35"/>
      <c r="O162" s="35"/>
      <c r="P162" s="35"/>
      <c r="Q162" s="35"/>
      <c r="R162" s="35"/>
      <c r="S162" s="35"/>
      <c r="T162" s="35"/>
      <c r="U162" s="35"/>
      <c r="V162" s="35"/>
      <c r="W162" s="35"/>
      <c r="X162" s="35"/>
      <c r="Y162" s="35"/>
      <c r="Z162" s="35"/>
      <c r="AA162" s="35"/>
      <c r="AB162" s="35"/>
    </row>
    <row r="163">
      <c r="A163" s="35"/>
      <c r="B163" s="35"/>
      <c r="C163" s="35"/>
      <c r="D163" s="35"/>
      <c r="E163" s="26"/>
      <c r="F163" s="51"/>
      <c r="G163" s="51"/>
      <c r="H163" s="51"/>
      <c r="I163" s="51"/>
      <c r="J163" s="27"/>
      <c r="K163" s="35"/>
      <c r="L163" s="35"/>
      <c r="M163" s="35"/>
      <c r="N163" s="35"/>
      <c r="O163" s="35"/>
      <c r="P163" s="35"/>
      <c r="Q163" s="35"/>
      <c r="R163" s="35"/>
      <c r="S163" s="35"/>
      <c r="T163" s="35"/>
      <c r="U163" s="35"/>
      <c r="V163" s="35"/>
      <c r="W163" s="35"/>
      <c r="X163" s="35"/>
      <c r="Y163" s="35"/>
      <c r="Z163" s="35"/>
      <c r="AA163" s="35"/>
      <c r="AB163" s="35"/>
    </row>
    <row r="164">
      <c r="A164" s="35"/>
      <c r="B164" s="35"/>
      <c r="C164" s="35"/>
      <c r="D164" s="35"/>
      <c r="E164" s="26"/>
      <c r="F164" s="51"/>
      <c r="G164" s="51"/>
      <c r="H164" s="51"/>
      <c r="I164" s="51"/>
      <c r="J164" s="27"/>
      <c r="K164" s="35"/>
      <c r="L164" s="35"/>
      <c r="M164" s="35"/>
      <c r="N164" s="35"/>
      <c r="O164" s="35"/>
      <c r="P164" s="35"/>
      <c r="Q164" s="35"/>
      <c r="R164" s="35"/>
      <c r="S164" s="35"/>
      <c r="T164" s="35"/>
      <c r="U164" s="35"/>
      <c r="V164" s="35"/>
      <c r="W164" s="35"/>
      <c r="X164" s="35"/>
      <c r="Y164" s="35"/>
      <c r="Z164" s="35"/>
      <c r="AA164" s="35"/>
      <c r="AB164" s="35"/>
    </row>
    <row r="165">
      <c r="A165" s="35"/>
      <c r="B165" s="35"/>
      <c r="C165" s="35"/>
      <c r="D165" s="35"/>
      <c r="E165" s="26"/>
      <c r="F165" s="51"/>
      <c r="G165" s="51"/>
      <c r="H165" s="51"/>
      <c r="I165" s="51"/>
      <c r="J165" s="27"/>
      <c r="K165" s="35"/>
      <c r="L165" s="35"/>
      <c r="M165" s="35"/>
      <c r="N165" s="35"/>
      <c r="O165" s="35"/>
      <c r="P165" s="35"/>
      <c r="Q165" s="35"/>
      <c r="R165" s="35"/>
      <c r="S165" s="35"/>
      <c r="T165" s="35"/>
      <c r="U165" s="35"/>
      <c r="V165" s="35"/>
      <c r="W165" s="35"/>
      <c r="X165" s="35"/>
      <c r="Y165" s="35"/>
      <c r="Z165" s="35"/>
      <c r="AA165" s="35"/>
      <c r="AB165" s="35"/>
    </row>
    <row r="166">
      <c r="A166" s="35"/>
      <c r="B166" s="35"/>
      <c r="C166" s="35"/>
      <c r="D166" s="35"/>
      <c r="E166" s="26"/>
      <c r="F166" s="51"/>
      <c r="G166" s="51"/>
      <c r="H166" s="51"/>
      <c r="I166" s="51"/>
      <c r="J166" s="27"/>
      <c r="K166" s="35"/>
      <c r="L166" s="35"/>
      <c r="M166" s="35"/>
      <c r="N166" s="35"/>
      <c r="O166" s="35"/>
      <c r="P166" s="35"/>
      <c r="Q166" s="35"/>
      <c r="R166" s="35"/>
      <c r="S166" s="35"/>
      <c r="T166" s="35"/>
      <c r="U166" s="35"/>
      <c r="V166" s="35"/>
      <c r="W166" s="35"/>
      <c r="X166" s="35"/>
      <c r="Y166" s="35"/>
      <c r="Z166" s="35"/>
      <c r="AA166" s="35"/>
      <c r="AB166" s="35"/>
    </row>
    <row r="167">
      <c r="A167" s="35"/>
      <c r="B167" s="35"/>
      <c r="C167" s="35"/>
      <c r="D167" s="35"/>
      <c r="E167" s="26"/>
      <c r="F167" s="51"/>
      <c r="G167" s="51"/>
      <c r="H167" s="51"/>
      <c r="I167" s="51"/>
      <c r="J167" s="27"/>
      <c r="K167" s="35"/>
      <c r="L167" s="35"/>
      <c r="M167" s="35"/>
      <c r="N167" s="35"/>
      <c r="O167" s="35"/>
      <c r="P167" s="35"/>
      <c r="Q167" s="35"/>
      <c r="R167" s="35"/>
      <c r="S167" s="35"/>
      <c r="T167" s="35"/>
      <c r="U167" s="35"/>
      <c r="V167" s="35"/>
      <c r="W167" s="35"/>
      <c r="X167" s="35"/>
      <c r="Y167" s="35"/>
      <c r="Z167" s="35"/>
      <c r="AA167" s="35"/>
      <c r="AB167" s="35"/>
    </row>
    <row r="168">
      <c r="A168" s="35"/>
      <c r="B168" s="35"/>
      <c r="C168" s="35"/>
      <c r="D168" s="35"/>
      <c r="E168" s="26"/>
      <c r="F168" s="51"/>
      <c r="G168" s="51"/>
      <c r="H168" s="51"/>
      <c r="I168" s="51"/>
      <c r="J168" s="27"/>
      <c r="K168" s="35"/>
      <c r="L168" s="35"/>
      <c r="M168" s="35"/>
      <c r="N168" s="35"/>
      <c r="O168" s="35"/>
      <c r="P168" s="35"/>
      <c r="Q168" s="35"/>
      <c r="R168" s="35"/>
      <c r="S168" s="35"/>
      <c r="T168" s="35"/>
      <c r="U168" s="35"/>
      <c r="V168" s="35"/>
      <c r="W168" s="35"/>
      <c r="X168" s="35"/>
      <c r="Y168" s="35"/>
      <c r="Z168" s="35"/>
      <c r="AA168" s="35"/>
      <c r="AB168" s="35"/>
    </row>
    <row r="169">
      <c r="A169" s="35"/>
      <c r="B169" s="35"/>
      <c r="C169" s="35"/>
      <c r="D169" s="35"/>
      <c r="E169" s="26"/>
      <c r="F169" s="51"/>
      <c r="G169" s="51"/>
      <c r="H169" s="51"/>
      <c r="I169" s="51"/>
      <c r="J169" s="27"/>
      <c r="K169" s="35"/>
      <c r="L169" s="35"/>
      <c r="M169" s="35"/>
      <c r="N169" s="35"/>
      <c r="O169" s="35"/>
      <c r="P169" s="35"/>
      <c r="Q169" s="35"/>
      <c r="R169" s="35"/>
      <c r="S169" s="35"/>
      <c r="T169" s="35"/>
      <c r="U169" s="35"/>
      <c r="V169" s="35"/>
      <c r="W169" s="35"/>
      <c r="X169" s="35"/>
      <c r="Y169" s="35"/>
      <c r="Z169" s="35"/>
      <c r="AA169" s="35"/>
      <c r="AB169" s="35"/>
    </row>
    <row r="170">
      <c r="A170" s="35"/>
      <c r="B170" s="35"/>
      <c r="C170" s="35"/>
      <c r="D170" s="35"/>
      <c r="E170" s="26"/>
      <c r="F170" s="51"/>
      <c r="G170" s="51"/>
      <c r="H170" s="51"/>
      <c r="I170" s="51"/>
      <c r="J170" s="27"/>
      <c r="K170" s="35"/>
      <c r="L170" s="35"/>
      <c r="M170" s="35"/>
      <c r="N170" s="35"/>
      <c r="O170" s="35"/>
      <c r="P170" s="35"/>
      <c r="Q170" s="35"/>
      <c r="R170" s="35"/>
      <c r="S170" s="35"/>
      <c r="T170" s="35"/>
      <c r="U170" s="35"/>
      <c r="V170" s="35"/>
      <c r="W170" s="35"/>
      <c r="X170" s="35"/>
      <c r="Y170" s="35"/>
      <c r="Z170" s="35"/>
      <c r="AA170" s="35"/>
      <c r="AB170" s="35"/>
    </row>
    <row r="171">
      <c r="A171" s="35"/>
      <c r="B171" s="35"/>
      <c r="C171" s="35"/>
      <c r="D171" s="35"/>
      <c r="E171" s="26"/>
      <c r="F171" s="51"/>
      <c r="G171" s="51"/>
      <c r="H171" s="51"/>
      <c r="I171" s="51"/>
      <c r="J171" s="27"/>
      <c r="K171" s="35"/>
      <c r="L171" s="35"/>
      <c r="M171" s="35"/>
      <c r="N171" s="35"/>
      <c r="O171" s="35"/>
      <c r="P171" s="35"/>
      <c r="Q171" s="35"/>
      <c r="R171" s="35"/>
      <c r="S171" s="35"/>
      <c r="T171" s="35"/>
      <c r="U171" s="35"/>
      <c r="V171" s="35"/>
      <c r="W171" s="35"/>
      <c r="X171" s="35"/>
      <c r="Y171" s="35"/>
      <c r="Z171" s="35"/>
      <c r="AA171" s="35"/>
      <c r="AB171" s="35"/>
    </row>
    <row r="172">
      <c r="A172" s="35"/>
      <c r="B172" s="35"/>
      <c r="C172" s="35"/>
      <c r="D172" s="35"/>
      <c r="E172" s="26"/>
      <c r="F172" s="51"/>
      <c r="G172" s="51"/>
      <c r="H172" s="51"/>
      <c r="I172" s="51"/>
      <c r="J172" s="27"/>
      <c r="K172" s="35"/>
      <c r="L172" s="35"/>
      <c r="M172" s="35"/>
      <c r="N172" s="35"/>
      <c r="O172" s="35"/>
      <c r="P172" s="35"/>
      <c r="Q172" s="35"/>
      <c r="R172" s="35"/>
      <c r="S172" s="35"/>
      <c r="T172" s="35"/>
      <c r="U172" s="35"/>
      <c r="V172" s="35"/>
      <c r="W172" s="35"/>
      <c r="X172" s="35"/>
      <c r="Y172" s="35"/>
      <c r="Z172" s="35"/>
      <c r="AA172" s="35"/>
      <c r="AB172" s="35"/>
    </row>
    <row r="173">
      <c r="A173" s="35"/>
      <c r="B173" s="35"/>
      <c r="C173" s="35"/>
      <c r="D173" s="35"/>
      <c r="E173" s="26"/>
      <c r="F173" s="51"/>
      <c r="G173" s="51"/>
      <c r="H173" s="51"/>
      <c r="I173" s="51"/>
      <c r="J173" s="27"/>
      <c r="K173" s="35"/>
      <c r="L173" s="35"/>
      <c r="M173" s="35"/>
      <c r="N173" s="35"/>
      <c r="O173" s="35"/>
      <c r="P173" s="35"/>
      <c r="Q173" s="35"/>
      <c r="R173" s="35"/>
      <c r="S173" s="35"/>
      <c r="T173" s="35"/>
      <c r="U173" s="35"/>
      <c r="V173" s="35"/>
      <c r="W173" s="35"/>
      <c r="X173" s="35"/>
      <c r="Y173" s="35"/>
      <c r="Z173" s="35"/>
      <c r="AA173" s="35"/>
      <c r="AB173" s="35"/>
    </row>
    <row r="174">
      <c r="A174" s="35"/>
      <c r="B174" s="35"/>
      <c r="C174" s="35"/>
      <c r="D174" s="35"/>
      <c r="E174" s="26"/>
      <c r="F174" s="51"/>
      <c r="G174" s="51"/>
      <c r="H174" s="51"/>
      <c r="I174" s="51"/>
      <c r="J174" s="27"/>
      <c r="K174" s="35"/>
      <c r="L174" s="35"/>
      <c r="M174" s="35"/>
      <c r="N174" s="35"/>
      <c r="O174" s="35"/>
      <c r="P174" s="35"/>
      <c r="Q174" s="35"/>
      <c r="R174" s="35"/>
      <c r="S174" s="35"/>
      <c r="T174" s="35"/>
      <c r="U174" s="35"/>
      <c r="V174" s="35"/>
      <c r="W174" s="35"/>
      <c r="X174" s="35"/>
      <c r="Y174" s="35"/>
      <c r="Z174" s="35"/>
      <c r="AA174" s="35"/>
      <c r="AB174" s="35"/>
    </row>
    <row r="175">
      <c r="A175" s="35"/>
      <c r="B175" s="35"/>
      <c r="C175" s="35"/>
      <c r="D175" s="35"/>
      <c r="E175" s="26"/>
      <c r="F175" s="51"/>
      <c r="G175" s="51"/>
      <c r="H175" s="51"/>
      <c r="I175" s="51"/>
      <c r="J175" s="27"/>
      <c r="K175" s="35"/>
      <c r="L175" s="35"/>
      <c r="M175" s="35"/>
      <c r="N175" s="35"/>
      <c r="O175" s="35"/>
      <c r="P175" s="35"/>
      <c r="Q175" s="35"/>
      <c r="R175" s="35"/>
      <c r="S175" s="35"/>
      <c r="T175" s="35"/>
      <c r="U175" s="35"/>
      <c r="V175" s="35"/>
      <c r="W175" s="35"/>
      <c r="X175" s="35"/>
      <c r="Y175" s="35"/>
      <c r="Z175" s="35"/>
      <c r="AA175" s="35"/>
      <c r="AB175" s="35"/>
    </row>
    <row r="176">
      <c r="A176" s="35"/>
      <c r="B176" s="35"/>
      <c r="C176" s="35"/>
      <c r="D176" s="35"/>
      <c r="E176" s="26"/>
      <c r="F176" s="51"/>
      <c r="G176" s="51"/>
      <c r="H176" s="51"/>
      <c r="I176" s="51"/>
      <c r="J176" s="27"/>
      <c r="K176" s="35"/>
      <c r="L176" s="35"/>
      <c r="M176" s="35"/>
      <c r="N176" s="35"/>
      <c r="O176" s="35"/>
      <c r="P176" s="35"/>
      <c r="Q176" s="35"/>
      <c r="R176" s="35"/>
      <c r="S176" s="35"/>
      <c r="T176" s="35"/>
      <c r="U176" s="35"/>
      <c r="V176" s="35"/>
      <c r="W176" s="35"/>
      <c r="X176" s="35"/>
      <c r="Y176" s="35"/>
      <c r="Z176" s="35"/>
      <c r="AA176" s="35"/>
      <c r="AB176" s="35"/>
    </row>
    <row r="177">
      <c r="A177" s="35"/>
      <c r="B177" s="35"/>
      <c r="C177" s="35"/>
      <c r="D177" s="35"/>
      <c r="E177" s="26"/>
      <c r="F177" s="51"/>
      <c r="G177" s="51"/>
      <c r="H177" s="51"/>
      <c r="I177" s="51"/>
      <c r="J177" s="27"/>
      <c r="K177" s="35"/>
      <c r="L177" s="35"/>
      <c r="M177" s="35"/>
      <c r="N177" s="35"/>
      <c r="O177" s="35"/>
      <c r="P177" s="35"/>
      <c r="Q177" s="35"/>
      <c r="R177" s="35"/>
      <c r="S177" s="35"/>
      <c r="T177" s="35"/>
      <c r="U177" s="35"/>
      <c r="V177" s="35"/>
      <c r="W177" s="35"/>
      <c r="X177" s="35"/>
      <c r="Y177" s="35"/>
      <c r="Z177" s="35"/>
      <c r="AA177" s="35"/>
      <c r="AB177" s="35"/>
    </row>
    <row r="178">
      <c r="A178" s="35"/>
      <c r="B178" s="35"/>
      <c r="C178" s="35"/>
      <c r="D178" s="35"/>
      <c r="E178" s="26"/>
      <c r="F178" s="51"/>
      <c r="G178" s="51"/>
      <c r="H178" s="51"/>
      <c r="I178" s="51"/>
      <c r="J178" s="27"/>
      <c r="K178" s="35"/>
      <c r="L178" s="35"/>
      <c r="M178" s="35"/>
      <c r="N178" s="35"/>
      <c r="O178" s="35"/>
      <c r="P178" s="35"/>
      <c r="Q178" s="35"/>
      <c r="R178" s="35"/>
      <c r="S178" s="35"/>
      <c r="T178" s="35"/>
      <c r="U178" s="35"/>
      <c r="V178" s="35"/>
      <c r="W178" s="35"/>
      <c r="X178" s="35"/>
      <c r="Y178" s="35"/>
      <c r="Z178" s="35"/>
      <c r="AA178" s="35"/>
      <c r="AB178" s="35"/>
    </row>
    <row r="179">
      <c r="A179" s="35"/>
      <c r="B179" s="35"/>
      <c r="C179" s="35"/>
      <c r="D179" s="35"/>
      <c r="E179" s="26"/>
      <c r="F179" s="51"/>
      <c r="G179" s="51"/>
      <c r="H179" s="51"/>
      <c r="I179" s="51"/>
      <c r="J179" s="27"/>
      <c r="K179" s="35"/>
      <c r="L179" s="35"/>
      <c r="M179" s="35"/>
      <c r="N179" s="35"/>
      <c r="O179" s="35"/>
      <c r="P179" s="35"/>
      <c r="Q179" s="35"/>
      <c r="R179" s="35"/>
      <c r="S179" s="35"/>
      <c r="T179" s="35"/>
      <c r="U179" s="35"/>
      <c r="V179" s="35"/>
      <c r="W179" s="35"/>
      <c r="X179" s="35"/>
      <c r="Y179" s="35"/>
      <c r="Z179" s="35"/>
      <c r="AA179" s="35"/>
      <c r="AB179" s="35"/>
    </row>
    <row r="180">
      <c r="A180" s="35"/>
      <c r="B180" s="35"/>
      <c r="C180" s="35"/>
      <c r="D180" s="35"/>
      <c r="E180" s="26"/>
      <c r="F180" s="51"/>
      <c r="G180" s="51"/>
      <c r="H180" s="51"/>
      <c r="I180" s="51"/>
      <c r="J180" s="27"/>
      <c r="K180" s="35"/>
      <c r="L180" s="35"/>
      <c r="M180" s="35"/>
      <c r="N180" s="35"/>
      <c r="O180" s="35"/>
      <c r="P180" s="35"/>
      <c r="Q180" s="35"/>
      <c r="R180" s="35"/>
      <c r="S180" s="35"/>
      <c r="T180" s="35"/>
      <c r="U180" s="35"/>
      <c r="V180" s="35"/>
      <c r="W180" s="35"/>
      <c r="X180" s="35"/>
      <c r="Y180" s="35"/>
      <c r="Z180" s="35"/>
      <c r="AA180" s="35"/>
      <c r="AB180" s="35"/>
    </row>
    <row r="181">
      <c r="A181" s="35"/>
      <c r="B181" s="35"/>
      <c r="C181" s="35"/>
      <c r="D181" s="35"/>
      <c r="E181" s="26"/>
      <c r="F181" s="51"/>
      <c r="G181" s="51"/>
      <c r="H181" s="51"/>
      <c r="I181" s="51"/>
      <c r="J181" s="27"/>
      <c r="K181" s="35"/>
      <c r="L181" s="35"/>
      <c r="M181" s="35"/>
      <c r="N181" s="35"/>
      <c r="O181" s="35"/>
      <c r="P181" s="35"/>
      <c r="Q181" s="35"/>
      <c r="R181" s="35"/>
      <c r="S181" s="35"/>
      <c r="T181" s="35"/>
      <c r="U181" s="35"/>
      <c r="V181" s="35"/>
      <c r="W181" s="35"/>
      <c r="X181" s="35"/>
      <c r="Y181" s="35"/>
      <c r="Z181" s="35"/>
      <c r="AA181" s="35"/>
      <c r="AB181" s="35"/>
    </row>
    <row r="182">
      <c r="A182" s="35"/>
      <c r="B182" s="35"/>
      <c r="C182" s="35"/>
      <c r="D182" s="35"/>
      <c r="E182" s="26"/>
      <c r="F182" s="51"/>
      <c r="G182" s="51"/>
      <c r="H182" s="51"/>
      <c r="I182" s="51"/>
      <c r="J182" s="27"/>
      <c r="K182" s="35"/>
      <c r="L182" s="35"/>
      <c r="M182" s="35"/>
      <c r="N182" s="35"/>
      <c r="O182" s="35"/>
      <c r="P182" s="35"/>
      <c r="Q182" s="35"/>
      <c r="R182" s="35"/>
      <c r="S182" s="35"/>
      <c r="T182" s="35"/>
      <c r="U182" s="35"/>
      <c r="V182" s="35"/>
      <c r="W182" s="35"/>
      <c r="X182" s="35"/>
      <c r="Y182" s="35"/>
      <c r="Z182" s="35"/>
      <c r="AA182" s="35"/>
      <c r="AB182" s="35"/>
    </row>
    <row r="183">
      <c r="A183" s="35"/>
      <c r="B183" s="35"/>
      <c r="C183" s="35"/>
      <c r="D183" s="35"/>
      <c r="E183" s="26"/>
      <c r="F183" s="51"/>
      <c r="G183" s="51"/>
      <c r="H183" s="51"/>
      <c r="I183" s="51"/>
      <c r="J183" s="27"/>
      <c r="K183" s="35"/>
      <c r="L183" s="35"/>
      <c r="M183" s="35"/>
      <c r="N183" s="35"/>
      <c r="O183" s="35"/>
      <c r="P183" s="35"/>
      <c r="Q183" s="35"/>
      <c r="R183" s="35"/>
      <c r="S183" s="35"/>
      <c r="T183" s="35"/>
      <c r="U183" s="35"/>
      <c r="V183" s="35"/>
      <c r="W183" s="35"/>
      <c r="X183" s="35"/>
      <c r="Y183" s="35"/>
      <c r="Z183" s="35"/>
      <c r="AA183" s="35"/>
      <c r="AB183" s="35"/>
    </row>
    <row r="184">
      <c r="A184" s="35"/>
      <c r="B184" s="35"/>
      <c r="C184" s="35"/>
      <c r="D184" s="35"/>
      <c r="E184" s="26"/>
      <c r="F184" s="51"/>
      <c r="G184" s="51"/>
      <c r="H184" s="51"/>
      <c r="I184" s="51"/>
      <c r="J184" s="27"/>
      <c r="K184" s="35"/>
      <c r="L184" s="35"/>
      <c r="M184" s="35"/>
      <c r="N184" s="35"/>
      <c r="O184" s="35"/>
      <c r="P184" s="35"/>
      <c r="Q184" s="35"/>
      <c r="R184" s="35"/>
      <c r="S184" s="35"/>
      <c r="T184" s="35"/>
      <c r="U184" s="35"/>
      <c r="V184" s="35"/>
      <c r="W184" s="35"/>
      <c r="X184" s="35"/>
      <c r="Y184" s="35"/>
      <c r="Z184" s="35"/>
      <c r="AA184" s="35"/>
      <c r="AB184" s="35"/>
    </row>
    <row r="185">
      <c r="A185" s="35"/>
      <c r="B185" s="35"/>
      <c r="C185" s="35"/>
      <c r="D185" s="35"/>
      <c r="E185" s="26"/>
      <c r="F185" s="51"/>
      <c r="G185" s="51"/>
      <c r="H185" s="51"/>
      <c r="I185" s="51"/>
      <c r="J185" s="27"/>
      <c r="K185" s="35"/>
      <c r="L185" s="35"/>
      <c r="M185" s="35"/>
      <c r="N185" s="35"/>
      <c r="O185" s="35"/>
      <c r="P185" s="35"/>
      <c r="Q185" s="35"/>
      <c r="R185" s="35"/>
      <c r="S185" s="35"/>
      <c r="T185" s="35"/>
      <c r="U185" s="35"/>
      <c r="V185" s="35"/>
      <c r="W185" s="35"/>
      <c r="X185" s="35"/>
      <c r="Y185" s="35"/>
      <c r="Z185" s="35"/>
      <c r="AA185" s="35"/>
      <c r="AB185" s="35"/>
    </row>
    <row r="186">
      <c r="A186" s="35"/>
      <c r="B186" s="35"/>
      <c r="C186" s="35"/>
      <c r="D186" s="35"/>
      <c r="E186" s="26"/>
      <c r="F186" s="51"/>
      <c r="G186" s="51"/>
      <c r="H186" s="51"/>
      <c r="I186" s="51"/>
      <c r="J186" s="27"/>
      <c r="K186" s="35"/>
      <c r="L186" s="35"/>
      <c r="M186" s="35"/>
      <c r="N186" s="35"/>
      <c r="O186" s="35"/>
      <c r="P186" s="35"/>
      <c r="Q186" s="35"/>
      <c r="R186" s="35"/>
      <c r="S186" s="35"/>
      <c r="T186" s="35"/>
      <c r="U186" s="35"/>
      <c r="V186" s="35"/>
      <c r="W186" s="35"/>
      <c r="X186" s="35"/>
      <c r="Y186" s="35"/>
      <c r="Z186" s="35"/>
      <c r="AA186" s="35"/>
      <c r="AB186" s="35"/>
    </row>
    <row r="187">
      <c r="A187" s="35"/>
      <c r="B187" s="35"/>
      <c r="C187" s="35"/>
      <c r="D187" s="35"/>
      <c r="E187" s="26"/>
      <c r="F187" s="51"/>
      <c r="G187" s="51"/>
      <c r="H187" s="51"/>
      <c r="I187" s="51"/>
      <c r="J187" s="27"/>
      <c r="K187" s="35"/>
      <c r="L187" s="35"/>
      <c r="M187" s="35"/>
      <c r="N187" s="35"/>
      <c r="O187" s="35"/>
      <c r="P187" s="35"/>
      <c r="Q187" s="35"/>
      <c r="R187" s="35"/>
      <c r="S187" s="35"/>
      <c r="T187" s="35"/>
      <c r="U187" s="35"/>
      <c r="V187" s="35"/>
      <c r="W187" s="35"/>
      <c r="X187" s="35"/>
      <c r="Y187" s="35"/>
      <c r="Z187" s="35"/>
      <c r="AA187" s="35"/>
      <c r="AB187" s="35"/>
    </row>
    <row r="188">
      <c r="A188" s="35"/>
      <c r="B188" s="35"/>
      <c r="C188" s="35"/>
      <c r="D188" s="35"/>
      <c r="E188" s="26"/>
      <c r="F188" s="51"/>
      <c r="G188" s="51"/>
      <c r="H188" s="51"/>
      <c r="I188" s="51"/>
      <c r="J188" s="27"/>
      <c r="K188" s="35"/>
      <c r="L188" s="35"/>
      <c r="M188" s="35"/>
      <c r="N188" s="35"/>
      <c r="O188" s="35"/>
      <c r="P188" s="35"/>
      <c r="Q188" s="35"/>
      <c r="R188" s="35"/>
      <c r="S188" s="35"/>
      <c r="T188" s="35"/>
      <c r="U188" s="35"/>
      <c r="V188" s="35"/>
      <c r="W188" s="35"/>
      <c r="X188" s="35"/>
      <c r="Y188" s="35"/>
      <c r="Z188" s="35"/>
      <c r="AA188" s="35"/>
      <c r="AB188" s="35"/>
    </row>
    <row r="189">
      <c r="A189" s="35"/>
      <c r="B189" s="35"/>
      <c r="C189" s="35"/>
      <c r="D189" s="35"/>
      <c r="E189" s="26"/>
      <c r="F189" s="51"/>
      <c r="G189" s="51"/>
      <c r="H189" s="51"/>
      <c r="I189" s="51"/>
      <c r="J189" s="27"/>
      <c r="K189" s="35"/>
      <c r="L189" s="35"/>
      <c r="M189" s="35"/>
      <c r="N189" s="35"/>
      <c r="O189" s="35"/>
      <c r="P189" s="35"/>
      <c r="Q189" s="35"/>
      <c r="R189" s="35"/>
      <c r="S189" s="35"/>
      <c r="T189" s="35"/>
      <c r="U189" s="35"/>
      <c r="V189" s="35"/>
      <c r="W189" s="35"/>
      <c r="X189" s="35"/>
      <c r="Y189" s="35"/>
      <c r="Z189" s="35"/>
      <c r="AA189" s="35"/>
      <c r="AB189" s="35"/>
    </row>
    <row r="190">
      <c r="A190" s="35"/>
      <c r="B190" s="35"/>
      <c r="C190" s="35"/>
      <c r="D190" s="35"/>
      <c r="E190" s="26"/>
      <c r="F190" s="51"/>
      <c r="G190" s="51"/>
      <c r="H190" s="51"/>
      <c r="I190" s="51"/>
      <c r="J190" s="27"/>
      <c r="K190" s="35"/>
      <c r="L190" s="35"/>
      <c r="M190" s="35"/>
      <c r="N190" s="35"/>
      <c r="O190" s="35"/>
      <c r="P190" s="35"/>
      <c r="Q190" s="35"/>
      <c r="R190" s="35"/>
      <c r="S190" s="35"/>
      <c r="T190" s="35"/>
      <c r="U190" s="35"/>
      <c r="V190" s="35"/>
      <c r="W190" s="35"/>
      <c r="X190" s="35"/>
      <c r="Y190" s="35"/>
      <c r="Z190" s="35"/>
      <c r="AA190" s="35"/>
      <c r="AB190" s="35"/>
    </row>
    <row r="191">
      <c r="A191" s="35"/>
      <c r="B191" s="35"/>
      <c r="C191" s="35"/>
      <c r="D191" s="35"/>
      <c r="E191" s="26"/>
      <c r="F191" s="51"/>
      <c r="G191" s="51"/>
      <c r="H191" s="51"/>
      <c r="I191" s="51"/>
      <c r="J191" s="27"/>
      <c r="K191" s="35"/>
      <c r="L191" s="35"/>
      <c r="M191" s="35"/>
      <c r="N191" s="35"/>
      <c r="O191" s="35"/>
      <c r="P191" s="35"/>
      <c r="Q191" s="35"/>
      <c r="R191" s="35"/>
      <c r="S191" s="35"/>
      <c r="T191" s="35"/>
      <c r="U191" s="35"/>
      <c r="V191" s="35"/>
      <c r="W191" s="35"/>
      <c r="X191" s="35"/>
      <c r="Y191" s="35"/>
      <c r="Z191" s="35"/>
      <c r="AA191" s="35"/>
      <c r="AB191" s="35"/>
    </row>
    <row r="192">
      <c r="A192" s="35"/>
      <c r="B192" s="35"/>
      <c r="C192" s="35"/>
      <c r="D192" s="35"/>
      <c r="E192" s="26"/>
      <c r="F192" s="51"/>
      <c r="G192" s="51"/>
      <c r="H192" s="51"/>
      <c r="I192" s="51"/>
      <c r="J192" s="27"/>
      <c r="K192" s="35"/>
      <c r="L192" s="35"/>
      <c r="M192" s="35"/>
      <c r="N192" s="35"/>
      <c r="O192" s="35"/>
      <c r="P192" s="35"/>
      <c r="Q192" s="35"/>
      <c r="R192" s="35"/>
      <c r="S192" s="35"/>
      <c r="T192" s="35"/>
      <c r="U192" s="35"/>
      <c r="V192" s="35"/>
      <c r="W192" s="35"/>
      <c r="X192" s="35"/>
      <c r="Y192" s="35"/>
      <c r="Z192" s="35"/>
      <c r="AA192" s="35"/>
      <c r="AB192" s="35"/>
    </row>
    <row r="193">
      <c r="A193" s="35"/>
      <c r="B193" s="35"/>
      <c r="C193" s="35"/>
      <c r="D193" s="35"/>
      <c r="E193" s="26"/>
      <c r="F193" s="51"/>
      <c r="G193" s="51"/>
      <c r="H193" s="51"/>
      <c r="I193" s="51"/>
      <c r="J193" s="27"/>
      <c r="K193" s="35"/>
      <c r="L193" s="35"/>
      <c r="M193" s="35"/>
      <c r="N193" s="35"/>
      <c r="O193" s="35"/>
      <c r="P193" s="35"/>
      <c r="Q193" s="35"/>
      <c r="R193" s="35"/>
      <c r="S193" s="35"/>
      <c r="T193" s="35"/>
      <c r="U193" s="35"/>
      <c r="V193" s="35"/>
      <c r="W193" s="35"/>
      <c r="X193" s="35"/>
      <c r="Y193" s="35"/>
      <c r="Z193" s="35"/>
      <c r="AA193" s="35"/>
      <c r="AB193" s="35"/>
    </row>
    <row r="194">
      <c r="A194" s="35"/>
      <c r="B194" s="35"/>
      <c r="C194" s="35"/>
      <c r="D194" s="35"/>
      <c r="E194" s="26"/>
      <c r="F194" s="51"/>
      <c r="G194" s="51"/>
      <c r="H194" s="51"/>
      <c r="I194" s="51"/>
      <c r="J194" s="27"/>
      <c r="K194" s="35"/>
      <c r="L194" s="35"/>
      <c r="M194" s="35"/>
      <c r="N194" s="35"/>
      <c r="O194" s="35"/>
      <c r="P194" s="35"/>
      <c r="Q194" s="35"/>
      <c r="R194" s="35"/>
      <c r="S194" s="35"/>
      <c r="T194" s="35"/>
      <c r="U194" s="35"/>
      <c r="V194" s="35"/>
      <c r="W194" s="35"/>
      <c r="X194" s="35"/>
      <c r="Y194" s="35"/>
      <c r="Z194" s="35"/>
      <c r="AA194" s="35"/>
      <c r="AB194" s="35"/>
    </row>
    <row r="195">
      <c r="A195" s="35"/>
      <c r="B195" s="35"/>
      <c r="C195" s="35"/>
      <c r="D195" s="35"/>
      <c r="E195" s="26"/>
      <c r="F195" s="51"/>
      <c r="G195" s="51"/>
      <c r="H195" s="51"/>
      <c r="I195" s="51"/>
      <c r="J195" s="27"/>
      <c r="K195" s="35"/>
      <c r="L195" s="35"/>
      <c r="M195" s="35"/>
      <c r="N195" s="35"/>
      <c r="O195" s="35"/>
      <c r="P195" s="35"/>
      <c r="Q195" s="35"/>
      <c r="R195" s="35"/>
      <c r="S195" s="35"/>
      <c r="T195" s="35"/>
      <c r="U195" s="35"/>
      <c r="V195" s="35"/>
      <c r="W195" s="35"/>
      <c r="X195" s="35"/>
      <c r="Y195" s="35"/>
      <c r="Z195" s="35"/>
      <c r="AA195" s="35"/>
      <c r="AB195" s="35"/>
    </row>
    <row r="196">
      <c r="A196" s="35"/>
      <c r="B196" s="35"/>
      <c r="C196" s="35"/>
      <c r="D196" s="35"/>
      <c r="E196" s="26"/>
      <c r="F196" s="51"/>
      <c r="G196" s="51"/>
      <c r="H196" s="51"/>
      <c r="I196" s="51"/>
      <c r="J196" s="27"/>
      <c r="K196" s="35"/>
      <c r="L196" s="35"/>
      <c r="M196" s="35"/>
      <c r="N196" s="35"/>
      <c r="O196" s="35"/>
      <c r="P196" s="35"/>
      <c r="Q196" s="35"/>
      <c r="R196" s="35"/>
      <c r="S196" s="35"/>
      <c r="T196" s="35"/>
      <c r="U196" s="35"/>
      <c r="V196" s="35"/>
      <c r="W196" s="35"/>
      <c r="X196" s="35"/>
      <c r="Y196" s="35"/>
      <c r="Z196" s="35"/>
      <c r="AA196" s="35"/>
      <c r="AB196" s="35"/>
    </row>
    <row r="197">
      <c r="A197" s="35"/>
      <c r="B197" s="35"/>
      <c r="C197" s="35"/>
      <c r="D197" s="35"/>
      <c r="E197" s="26"/>
      <c r="F197" s="51"/>
      <c r="G197" s="51"/>
      <c r="H197" s="51"/>
      <c r="I197" s="51"/>
      <c r="J197" s="27"/>
      <c r="K197" s="35"/>
      <c r="L197" s="35"/>
      <c r="M197" s="35"/>
      <c r="N197" s="35"/>
      <c r="O197" s="35"/>
      <c r="P197" s="35"/>
      <c r="Q197" s="35"/>
      <c r="R197" s="35"/>
      <c r="S197" s="35"/>
      <c r="T197" s="35"/>
      <c r="U197" s="35"/>
      <c r="V197" s="35"/>
      <c r="W197" s="35"/>
      <c r="X197" s="35"/>
      <c r="Y197" s="35"/>
      <c r="Z197" s="35"/>
      <c r="AA197" s="35"/>
      <c r="AB197" s="35"/>
    </row>
    <row r="198">
      <c r="A198" s="35"/>
      <c r="B198" s="35"/>
      <c r="C198" s="35"/>
      <c r="D198" s="35"/>
      <c r="E198" s="26"/>
      <c r="F198" s="51"/>
      <c r="G198" s="51"/>
      <c r="H198" s="51"/>
      <c r="I198" s="51"/>
      <c r="J198" s="27"/>
      <c r="K198" s="35"/>
      <c r="L198" s="35"/>
      <c r="M198" s="35"/>
      <c r="N198" s="35"/>
      <c r="O198" s="35"/>
      <c r="P198" s="35"/>
      <c r="Q198" s="35"/>
      <c r="R198" s="35"/>
      <c r="S198" s="35"/>
      <c r="T198" s="35"/>
      <c r="U198" s="35"/>
      <c r="V198" s="35"/>
      <c r="W198" s="35"/>
      <c r="X198" s="35"/>
      <c r="Y198" s="35"/>
      <c r="Z198" s="35"/>
      <c r="AA198" s="35"/>
      <c r="AB198" s="35"/>
    </row>
    <row r="199">
      <c r="A199" s="35"/>
      <c r="B199" s="35"/>
      <c r="C199" s="35"/>
      <c r="D199" s="35"/>
      <c r="E199" s="26"/>
      <c r="F199" s="51"/>
      <c r="G199" s="51"/>
      <c r="H199" s="51"/>
      <c r="I199" s="51"/>
      <c r="J199" s="27"/>
      <c r="K199" s="35"/>
      <c r="L199" s="35"/>
      <c r="M199" s="35"/>
      <c r="N199" s="35"/>
      <c r="O199" s="35"/>
      <c r="P199" s="35"/>
      <c r="Q199" s="35"/>
      <c r="R199" s="35"/>
      <c r="S199" s="35"/>
      <c r="T199" s="35"/>
      <c r="U199" s="35"/>
      <c r="V199" s="35"/>
      <c r="W199" s="35"/>
      <c r="X199" s="35"/>
      <c r="Y199" s="35"/>
      <c r="Z199" s="35"/>
      <c r="AA199" s="35"/>
      <c r="AB199" s="35"/>
    </row>
    <row r="200">
      <c r="A200" s="35"/>
      <c r="B200" s="35"/>
      <c r="C200" s="35"/>
      <c r="D200" s="35"/>
      <c r="E200" s="26"/>
      <c r="F200" s="51"/>
      <c r="G200" s="51"/>
      <c r="H200" s="51"/>
      <c r="I200" s="51"/>
      <c r="J200" s="27"/>
      <c r="K200" s="35"/>
      <c r="L200" s="35"/>
      <c r="M200" s="35"/>
      <c r="N200" s="35"/>
      <c r="O200" s="35"/>
      <c r="P200" s="35"/>
      <c r="Q200" s="35"/>
      <c r="R200" s="35"/>
      <c r="S200" s="35"/>
      <c r="T200" s="35"/>
      <c r="U200" s="35"/>
      <c r="V200" s="35"/>
      <c r="W200" s="35"/>
      <c r="X200" s="35"/>
      <c r="Y200" s="35"/>
      <c r="Z200" s="35"/>
      <c r="AA200" s="35"/>
      <c r="AB200" s="35"/>
    </row>
    <row r="201">
      <c r="A201" s="35"/>
      <c r="B201" s="35"/>
      <c r="C201" s="35"/>
      <c r="D201" s="35"/>
      <c r="E201" s="26"/>
      <c r="F201" s="51"/>
      <c r="G201" s="51"/>
      <c r="H201" s="51"/>
      <c r="I201" s="51"/>
      <c r="J201" s="27"/>
      <c r="K201" s="35"/>
      <c r="L201" s="35"/>
      <c r="M201" s="35"/>
      <c r="N201" s="35"/>
      <c r="O201" s="35"/>
      <c r="P201" s="35"/>
      <c r="Q201" s="35"/>
      <c r="R201" s="35"/>
      <c r="S201" s="35"/>
      <c r="T201" s="35"/>
      <c r="U201" s="35"/>
      <c r="V201" s="35"/>
      <c r="W201" s="35"/>
      <c r="X201" s="35"/>
      <c r="Y201" s="35"/>
      <c r="Z201" s="35"/>
      <c r="AA201" s="35"/>
      <c r="AB201" s="35"/>
    </row>
    <row r="202">
      <c r="A202" s="35"/>
      <c r="B202" s="35"/>
      <c r="C202" s="35"/>
      <c r="D202" s="35"/>
      <c r="E202" s="26"/>
      <c r="F202" s="51"/>
      <c r="G202" s="51"/>
      <c r="H202" s="51"/>
      <c r="I202" s="51"/>
      <c r="J202" s="27"/>
      <c r="K202" s="35"/>
      <c r="L202" s="35"/>
      <c r="M202" s="35"/>
      <c r="N202" s="35"/>
      <c r="O202" s="35"/>
      <c r="P202" s="35"/>
      <c r="Q202" s="35"/>
      <c r="R202" s="35"/>
      <c r="S202" s="35"/>
      <c r="T202" s="35"/>
      <c r="U202" s="35"/>
      <c r="V202" s="35"/>
      <c r="W202" s="35"/>
      <c r="X202" s="35"/>
      <c r="Y202" s="35"/>
      <c r="Z202" s="35"/>
      <c r="AA202" s="35"/>
      <c r="AB202" s="35"/>
    </row>
    <row r="203">
      <c r="A203" s="35"/>
      <c r="B203" s="35"/>
      <c r="C203" s="35"/>
      <c r="D203" s="35"/>
      <c r="E203" s="26"/>
      <c r="F203" s="51"/>
      <c r="G203" s="51"/>
      <c r="H203" s="51"/>
      <c r="I203" s="51"/>
      <c r="J203" s="27"/>
      <c r="K203" s="35"/>
      <c r="L203" s="35"/>
      <c r="M203" s="35"/>
      <c r="N203" s="35"/>
      <c r="O203" s="35"/>
      <c r="P203" s="35"/>
      <c r="Q203" s="35"/>
      <c r="R203" s="35"/>
      <c r="S203" s="35"/>
      <c r="T203" s="35"/>
      <c r="U203" s="35"/>
      <c r="V203" s="35"/>
      <c r="W203" s="35"/>
      <c r="X203" s="35"/>
      <c r="Y203" s="35"/>
      <c r="Z203" s="35"/>
      <c r="AA203" s="35"/>
      <c r="AB203" s="35"/>
    </row>
    <row r="204">
      <c r="A204" s="35"/>
      <c r="B204" s="35"/>
      <c r="C204" s="35"/>
      <c r="D204" s="35"/>
      <c r="E204" s="26"/>
      <c r="F204" s="51"/>
      <c r="G204" s="51"/>
      <c r="H204" s="51"/>
      <c r="I204" s="51"/>
      <c r="J204" s="27"/>
      <c r="K204" s="35"/>
      <c r="L204" s="35"/>
      <c r="M204" s="35"/>
      <c r="N204" s="35"/>
      <c r="O204" s="35"/>
      <c r="P204" s="35"/>
      <c r="Q204" s="35"/>
      <c r="R204" s="35"/>
      <c r="S204" s="35"/>
      <c r="T204" s="35"/>
      <c r="U204" s="35"/>
      <c r="V204" s="35"/>
      <c r="W204" s="35"/>
      <c r="X204" s="35"/>
      <c r="Y204" s="35"/>
      <c r="Z204" s="35"/>
      <c r="AA204" s="35"/>
      <c r="AB204" s="35"/>
    </row>
    <row r="205">
      <c r="A205" s="35"/>
      <c r="B205" s="35"/>
      <c r="C205" s="35"/>
      <c r="D205" s="35"/>
      <c r="E205" s="26"/>
      <c r="F205" s="51"/>
      <c r="G205" s="51"/>
      <c r="H205" s="51"/>
      <c r="I205" s="51"/>
      <c r="J205" s="27"/>
      <c r="K205" s="35"/>
      <c r="L205" s="35"/>
      <c r="M205" s="35"/>
      <c r="N205" s="35"/>
      <c r="O205" s="35"/>
      <c r="P205" s="35"/>
      <c r="Q205" s="35"/>
      <c r="R205" s="35"/>
      <c r="S205" s="35"/>
      <c r="T205" s="35"/>
      <c r="U205" s="35"/>
      <c r="V205" s="35"/>
      <c r="W205" s="35"/>
      <c r="X205" s="35"/>
      <c r="Y205" s="35"/>
      <c r="Z205" s="35"/>
      <c r="AA205" s="35"/>
      <c r="AB205" s="35"/>
    </row>
    <row r="206">
      <c r="A206" s="35"/>
      <c r="B206" s="35"/>
      <c r="C206" s="35"/>
      <c r="D206" s="35"/>
      <c r="E206" s="26"/>
      <c r="F206" s="51"/>
      <c r="G206" s="51"/>
      <c r="H206" s="51"/>
      <c r="I206" s="51"/>
      <c r="J206" s="27"/>
      <c r="K206" s="35"/>
      <c r="L206" s="35"/>
      <c r="M206" s="35"/>
      <c r="N206" s="35"/>
      <c r="O206" s="35"/>
      <c r="P206" s="35"/>
      <c r="Q206" s="35"/>
      <c r="R206" s="35"/>
      <c r="S206" s="35"/>
      <c r="T206" s="35"/>
      <c r="U206" s="35"/>
      <c r="V206" s="35"/>
      <c r="W206" s="35"/>
      <c r="X206" s="35"/>
      <c r="Y206" s="35"/>
      <c r="Z206" s="35"/>
      <c r="AA206" s="35"/>
      <c r="AB206" s="35"/>
    </row>
    <row r="207">
      <c r="A207" s="35"/>
      <c r="B207" s="35"/>
      <c r="C207" s="35"/>
      <c r="D207" s="35"/>
      <c r="E207" s="26"/>
      <c r="F207" s="51"/>
      <c r="G207" s="51"/>
      <c r="H207" s="51"/>
      <c r="I207" s="51"/>
      <c r="J207" s="27"/>
      <c r="K207" s="35"/>
      <c r="L207" s="35"/>
      <c r="M207" s="35"/>
      <c r="N207" s="35"/>
      <c r="O207" s="35"/>
      <c r="P207" s="35"/>
      <c r="Q207" s="35"/>
      <c r="R207" s="35"/>
      <c r="S207" s="35"/>
      <c r="T207" s="35"/>
      <c r="U207" s="35"/>
      <c r="V207" s="35"/>
      <c r="W207" s="35"/>
      <c r="X207" s="35"/>
      <c r="Y207" s="35"/>
      <c r="Z207" s="35"/>
      <c r="AA207" s="35"/>
      <c r="AB207" s="35"/>
    </row>
    <row r="208">
      <c r="A208" s="35"/>
      <c r="B208" s="35"/>
      <c r="C208" s="35"/>
      <c r="D208" s="35"/>
      <c r="E208" s="26"/>
      <c r="F208" s="51"/>
      <c r="G208" s="51"/>
      <c r="H208" s="51"/>
      <c r="I208" s="51"/>
      <c r="J208" s="27"/>
      <c r="K208" s="35"/>
      <c r="L208" s="35"/>
      <c r="M208" s="35"/>
      <c r="N208" s="35"/>
      <c r="O208" s="35"/>
      <c r="P208" s="35"/>
      <c r="Q208" s="35"/>
      <c r="R208" s="35"/>
      <c r="S208" s="35"/>
      <c r="T208" s="35"/>
      <c r="U208" s="35"/>
      <c r="V208" s="35"/>
      <c r="W208" s="35"/>
      <c r="X208" s="35"/>
      <c r="Y208" s="35"/>
      <c r="Z208" s="35"/>
      <c r="AA208" s="35"/>
      <c r="AB208" s="35"/>
    </row>
    <row r="209">
      <c r="A209" s="35"/>
      <c r="B209" s="35"/>
      <c r="C209" s="35"/>
      <c r="D209" s="35"/>
      <c r="E209" s="26"/>
      <c r="F209" s="51"/>
      <c r="G209" s="51"/>
      <c r="H209" s="51"/>
      <c r="I209" s="51"/>
      <c r="J209" s="27"/>
      <c r="K209" s="35"/>
      <c r="L209" s="35"/>
      <c r="M209" s="35"/>
      <c r="N209" s="35"/>
      <c r="O209" s="35"/>
      <c r="P209" s="35"/>
      <c r="Q209" s="35"/>
      <c r="R209" s="35"/>
      <c r="S209" s="35"/>
      <c r="T209" s="35"/>
      <c r="U209" s="35"/>
      <c r="V209" s="35"/>
      <c r="W209" s="35"/>
      <c r="X209" s="35"/>
      <c r="Y209" s="35"/>
      <c r="Z209" s="35"/>
      <c r="AA209" s="35"/>
      <c r="AB209" s="35"/>
    </row>
    <row r="210">
      <c r="A210" s="35"/>
      <c r="B210" s="35"/>
      <c r="C210" s="35"/>
      <c r="D210" s="35"/>
      <c r="E210" s="26"/>
      <c r="F210" s="51"/>
      <c r="G210" s="51"/>
      <c r="H210" s="51"/>
      <c r="I210" s="51"/>
      <c r="J210" s="27"/>
      <c r="K210" s="35"/>
      <c r="L210" s="35"/>
      <c r="M210" s="35"/>
      <c r="N210" s="35"/>
      <c r="O210" s="35"/>
      <c r="P210" s="35"/>
      <c r="Q210" s="35"/>
      <c r="R210" s="35"/>
      <c r="S210" s="35"/>
      <c r="T210" s="35"/>
      <c r="U210" s="35"/>
      <c r="V210" s="35"/>
      <c r="W210" s="35"/>
      <c r="X210" s="35"/>
      <c r="Y210" s="35"/>
      <c r="Z210" s="35"/>
      <c r="AA210" s="35"/>
      <c r="AB210" s="35"/>
    </row>
    <row r="211">
      <c r="A211" s="35"/>
      <c r="B211" s="35"/>
      <c r="C211" s="35"/>
      <c r="D211" s="35"/>
      <c r="E211" s="26"/>
      <c r="F211" s="51"/>
      <c r="G211" s="51"/>
      <c r="H211" s="51"/>
      <c r="I211" s="51"/>
      <c r="J211" s="27"/>
      <c r="K211" s="35"/>
      <c r="L211" s="35"/>
      <c r="M211" s="35"/>
      <c r="N211" s="35"/>
      <c r="O211" s="35"/>
      <c r="P211" s="35"/>
      <c r="Q211" s="35"/>
      <c r="R211" s="35"/>
      <c r="S211" s="35"/>
      <c r="T211" s="35"/>
      <c r="U211" s="35"/>
      <c r="V211" s="35"/>
      <c r="W211" s="35"/>
      <c r="X211" s="35"/>
      <c r="Y211" s="35"/>
      <c r="Z211" s="35"/>
      <c r="AA211" s="35"/>
      <c r="AB211" s="35"/>
    </row>
    <row r="212">
      <c r="A212" s="35"/>
      <c r="B212" s="35"/>
      <c r="C212" s="35"/>
      <c r="D212" s="35"/>
      <c r="E212" s="26"/>
      <c r="F212" s="51"/>
      <c r="G212" s="51"/>
      <c r="H212" s="51"/>
      <c r="I212" s="51"/>
      <c r="J212" s="27"/>
      <c r="K212" s="35"/>
      <c r="L212" s="35"/>
      <c r="M212" s="35"/>
      <c r="N212" s="35"/>
      <c r="O212" s="35"/>
      <c r="P212" s="35"/>
      <c r="Q212" s="35"/>
      <c r="R212" s="35"/>
      <c r="S212" s="35"/>
      <c r="T212" s="35"/>
      <c r="U212" s="35"/>
      <c r="V212" s="35"/>
      <c r="W212" s="35"/>
      <c r="X212" s="35"/>
      <c r="Y212" s="35"/>
      <c r="Z212" s="35"/>
      <c r="AA212" s="35"/>
      <c r="AB212" s="35"/>
    </row>
    <row r="213">
      <c r="A213" s="35"/>
      <c r="B213" s="35"/>
      <c r="C213" s="35"/>
      <c r="D213" s="35"/>
      <c r="E213" s="26"/>
      <c r="F213" s="51"/>
      <c r="G213" s="51"/>
      <c r="H213" s="51"/>
      <c r="I213" s="51"/>
      <c r="J213" s="27"/>
      <c r="K213" s="35"/>
      <c r="L213" s="35"/>
      <c r="M213" s="35"/>
      <c r="N213" s="35"/>
      <c r="O213" s="35"/>
      <c r="P213" s="35"/>
      <c r="Q213" s="35"/>
      <c r="R213" s="35"/>
      <c r="S213" s="35"/>
      <c r="T213" s="35"/>
      <c r="U213" s="35"/>
      <c r="V213" s="35"/>
      <c r="W213" s="35"/>
      <c r="X213" s="35"/>
      <c r="Y213" s="35"/>
      <c r="Z213" s="35"/>
      <c r="AA213" s="35"/>
      <c r="AB213" s="35"/>
    </row>
    <row r="214">
      <c r="A214" s="35"/>
      <c r="B214" s="35"/>
      <c r="C214" s="35"/>
      <c r="D214" s="35"/>
      <c r="E214" s="26"/>
      <c r="F214" s="51"/>
      <c r="G214" s="51"/>
      <c r="H214" s="51"/>
      <c r="I214" s="51"/>
      <c r="J214" s="27"/>
      <c r="K214" s="35"/>
      <c r="L214" s="35"/>
      <c r="M214" s="35"/>
      <c r="N214" s="35"/>
      <c r="O214" s="35"/>
      <c r="P214" s="35"/>
      <c r="Q214" s="35"/>
      <c r="R214" s="35"/>
      <c r="S214" s="35"/>
      <c r="T214" s="35"/>
      <c r="U214" s="35"/>
      <c r="V214" s="35"/>
      <c r="W214" s="35"/>
      <c r="X214" s="35"/>
      <c r="Y214" s="35"/>
      <c r="Z214" s="35"/>
      <c r="AA214" s="35"/>
      <c r="AB214" s="35"/>
    </row>
    <row r="215">
      <c r="A215" s="35"/>
      <c r="B215" s="35"/>
      <c r="C215" s="35"/>
      <c r="D215" s="35"/>
      <c r="E215" s="26"/>
      <c r="F215" s="51"/>
      <c r="G215" s="51"/>
      <c r="H215" s="51"/>
      <c r="I215" s="51"/>
      <c r="J215" s="27"/>
      <c r="K215" s="35"/>
      <c r="L215" s="35"/>
      <c r="M215" s="35"/>
      <c r="N215" s="35"/>
      <c r="O215" s="35"/>
      <c r="P215" s="35"/>
      <c r="Q215" s="35"/>
      <c r="R215" s="35"/>
      <c r="S215" s="35"/>
      <c r="T215" s="35"/>
      <c r="U215" s="35"/>
      <c r="V215" s="35"/>
      <c r="W215" s="35"/>
      <c r="X215" s="35"/>
      <c r="Y215" s="35"/>
      <c r="Z215" s="35"/>
      <c r="AA215" s="35"/>
      <c r="AB215" s="35"/>
    </row>
    <row r="216">
      <c r="A216" s="35"/>
      <c r="B216" s="35"/>
      <c r="C216" s="35"/>
      <c r="D216" s="35"/>
      <c r="E216" s="26"/>
      <c r="F216" s="51"/>
      <c r="G216" s="51"/>
      <c r="H216" s="51"/>
      <c r="I216" s="51"/>
      <c r="J216" s="27"/>
      <c r="K216" s="35"/>
      <c r="L216" s="35"/>
      <c r="M216" s="35"/>
      <c r="N216" s="35"/>
      <c r="O216" s="35"/>
      <c r="P216" s="35"/>
      <c r="Q216" s="35"/>
      <c r="R216" s="35"/>
      <c r="S216" s="35"/>
      <c r="T216" s="35"/>
      <c r="U216" s="35"/>
      <c r="V216" s="35"/>
      <c r="W216" s="35"/>
      <c r="X216" s="35"/>
      <c r="Y216" s="35"/>
      <c r="Z216" s="35"/>
      <c r="AA216" s="35"/>
      <c r="AB216" s="35"/>
    </row>
    <row r="217">
      <c r="A217" s="35"/>
      <c r="B217" s="35"/>
      <c r="C217" s="35"/>
      <c r="D217" s="35"/>
      <c r="E217" s="26"/>
      <c r="F217" s="51"/>
      <c r="G217" s="51"/>
      <c r="H217" s="51"/>
      <c r="I217" s="51"/>
      <c r="J217" s="27"/>
      <c r="K217" s="35"/>
      <c r="L217" s="35"/>
      <c r="M217" s="35"/>
      <c r="N217" s="35"/>
      <c r="O217" s="35"/>
      <c r="P217" s="35"/>
      <c r="Q217" s="35"/>
      <c r="R217" s="35"/>
      <c r="S217" s="35"/>
      <c r="T217" s="35"/>
      <c r="U217" s="35"/>
      <c r="V217" s="35"/>
      <c r="W217" s="35"/>
      <c r="X217" s="35"/>
      <c r="Y217" s="35"/>
      <c r="Z217" s="35"/>
      <c r="AA217" s="35"/>
      <c r="AB217" s="35"/>
    </row>
    <row r="218">
      <c r="A218" s="35"/>
      <c r="B218" s="35"/>
      <c r="C218" s="35"/>
      <c r="D218" s="35"/>
      <c r="E218" s="26"/>
      <c r="F218" s="51"/>
      <c r="G218" s="51"/>
      <c r="H218" s="51"/>
      <c r="I218" s="51"/>
      <c r="J218" s="27"/>
      <c r="K218" s="35"/>
      <c r="L218" s="35"/>
      <c r="M218" s="35"/>
      <c r="N218" s="35"/>
      <c r="O218" s="35"/>
      <c r="P218" s="35"/>
      <c r="Q218" s="35"/>
      <c r="R218" s="35"/>
      <c r="S218" s="35"/>
      <c r="T218" s="35"/>
      <c r="U218" s="35"/>
      <c r="V218" s="35"/>
      <c r="W218" s="35"/>
      <c r="X218" s="35"/>
      <c r="Y218" s="35"/>
      <c r="Z218" s="35"/>
      <c r="AA218" s="35"/>
      <c r="AB218" s="35"/>
    </row>
    <row r="219">
      <c r="A219" s="35"/>
      <c r="B219" s="35"/>
      <c r="C219" s="35"/>
      <c r="D219" s="35"/>
      <c r="E219" s="26"/>
      <c r="F219" s="51"/>
      <c r="G219" s="51"/>
      <c r="H219" s="51"/>
      <c r="I219" s="51"/>
      <c r="J219" s="27"/>
      <c r="K219" s="35"/>
      <c r="L219" s="35"/>
      <c r="M219" s="35"/>
      <c r="N219" s="35"/>
      <c r="O219" s="35"/>
      <c r="P219" s="35"/>
      <c r="Q219" s="35"/>
      <c r="R219" s="35"/>
      <c r="S219" s="35"/>
      <c r="T219" s="35"/>
      <c r="U219" s="35"/>
      <c r="V219" s="35"/>
      <c r="W219" s="35"/>
      <c r="X219" s="35"/>
      <c r="Y219" s="35"/>
      <c r="Z219" s="35"/>
      <c r="AA219" s="35"/>
      <c r="AB219" s="35"/>
    </row>
    <row r="220">
      <c r="A220" s="35"/>
      <c r="B220" s="35"/>
      <c r="C220" s="35"/>
      <c r="D220" s="35"/>
      <c r="E220" s="26"/>
      <c r="F220" s="51"/>
      <c r="G220" s="51"/>
      <c r="H220" s="51"/>
      <c r="I220" s="51"/>
      <c r="J220" s="27"/>
      <c r="K220" s="35"/>
      <c r="L220" s="35"/>
      <c r="M220" s="35"/>
      <c r="N220" s="35"/>
      <c r="O220" s="35"/>
      <c r="P220" s="35"/>
      <c r="Q220" s="35"/>
      <c r="R220" s="35"/>
      <c r="S220" s="35"/>
      <c r="T220" s="35"/>
      <c r="U220" s="35"/>
      <c r="V220" s="35"/>
      <c r="W220" s="35"/>
      <c r="X220" s="35"/>
      <c r="Y220" s="35"/>
      <c r="Z220" s="35"/>
      <c r="AA220" s="35"/>
      <c r="AB220" s="35"/>
    </row>
    <row r="221">
      <c r="A221" s="35"/>
      <c r="B221" s="35"/>
      <c r="C221" s="35"/>
      <c r="D221" s="35"/>
      <c r="E221" s="26"/>
      <c r="F221" s="51"/>
      <c r="G221" s="51"/>
      <c r="H221" s="51"/>
      <c r="I221" s="51"/>
      <c r="J221" s="27"/>
      <c r="K221" s="35"/>
      <c r="L221" s="35"/>
      <c r="M221" s="35"/>
      <c r="N221" s="35"/>
      <c r="O221" s="35"/>
      <c r="P221" s="35"/>
      <c r="Q221" s="35"/>
      <c r="R221" s="35"/>
      <c r="S221" s="35"/>
      <c r="T221" s="35"/>
      <c r="U221" s="35"/>
      <c r="V221" s="35"/>
      <c r="W221" s="35"/>
      <c r="X221" s="35"/>
      <c r="Y221" s="35"/>
      <c r="Z221" s="35"/>
      <c r="AA221" s="35"/>
      <c r="AB221" s="35"/>
    </row>
    <row r="222">
      <c r="A222" s="35"/>
      <c r="B222" s="35"/>
      <c r="C222" s="35"/>
      <c r="D222" s="35"/>
      <c r="E222" s="26"/>
      <c r="F222" s="51"/>
      <c r="G222" s="51"/>
      <c r="H222" s="51"/>
      <c r="I222" s="51"/>
      <c r="J222" s="27"/>
      <c r="K222" s="35"/>
      <c r="L222" s="35"/>
      <c r="M222" s="35"/>
      <c r="N222" s="35"/>
      <c r="O222" s="35"/>
      <c r="P222" s="35"/>
      <c r="Q222" s="35"/>
      <c r="R222" s="35"/>
      <c r="S222" s="35"/>
      <c r="T222" s="35"/>
      <c r="U222" s="35"/>
      <c r="V222" s="35"/>
      <c r="W222" s="35"/>
      <c r="X222" s="35"/>
      <c r="Y222" s="35"/>
      <c r="Z222" s="35"/>
      <c r="AA222" s="35"/>
      <c r="AB222" s="35"/>
    </row>
    <row r="223">
      <c r="A223" s="35"/>
      <c r="B223" s="35"/>
      <c r="C223" s="35"/>
      <c r="D223" s="35"/>
      <c r="E223" s="26"/>
      <c r="F223" s="51"/>
      <c r="G223" s="51"/>
      <c r="H223" s="51"/>
      <c r="I223" s="51"/>
      <c r="J223" s="27"/>
      <c r="K223" s="35"/>
      <c r="L223" s="35"/>
      <c r="M223" s="35"/>
      <c r="N223" s="35"/>
      <c r="O223" s="35"/>
      <c r="P223" s="35"/>
      <c r="Q223" s="35"/>
      <c r="R223" s="35"/>
      <c r="S223" s="35"/>
      <c r="T223" s="35"/>
      <c r="U223" s="35"/>
      <c r="V223" s="35"/>
      <c r="W223" s="35"/>
      <c r="X223" s="35"/>
      <c r="Y223" s="35"/>
      <c r="Z223" s="35"/>
      <c r="AA223" s="35"/>
      <c r="AB223" s="35"/>
    </row>
    <row r="224">
      <c r="A224" s="35"/>
      <c r="B224" s="35"/>
      <c r="C224" s="35"/>
      <c r="D224" s="35"/>
      <c r="E224" s="26"/>
      <c r="F224" s="51"/>
      <c r="G224" s="51"/>
      <c r="H224" s="51"/>
      <c r="I224" s="51"/>
      <c r="J224" s="27"/>
      <c r="K224" s="35"/>
      <c r="L224" s="35"/>
      <c r="M224" s="35"/>
      <c r="N224" s="35"/>
      <c r="O224" s="35"/>
      <c r="P224" s="35"/>
      <c r="Q224" s="35"/>
      <c r="R224" s="35"/>
      <c r="S224" s="35"/>
      <c r="T224" s="35"/>
      <c r="U224" s="35"/>
      <c r="V224" s="35"/>
      <c r="W224" s="35"/>
      <c r="X224" s="35"/>
      <c r="Y224" s="35"/>
      <c r="Z224" s="35"/>
      <c r="AA224" s="35"/>
      <c r="AB224" s="35"/>
    </row>
    <row r="225">
      <c r="A225" s="35"/>
      <c r="B225" s="35"/>
      <c r="C225" s="35"/>
      <c r="D225" s="35"/>
      <c r="E225" s="26"/>
      <c r="F225" s="51"/>
      <c r="G225" s="51"/>
      <c r="H225" s="51"/>
      <c r="I225" s="51"/>
      <c r="J225" s="27"/>
      <c r="K225" s="35"/>
      <c r="L225" s="35"/>
      <c r="M225" s="35"/>
      <c r="N225" s="35"/>
      <c r="O225" s="35"/>
      <c r="P225" s="35"/>
      <c r="Q225" s="35"/>
      <c r="R225" s="35"/>
      <c r="S225" s="35"/>
      <c r="T225" s="35"/>
      <c r="U225" s="35"/>
      <c r="V225" s="35"/>
      <c r="W225" s="35"/>
      <c r="X225" s="35"/>
      <c r="Y225" s="35"/>
      <c r="Z225" s="35"/>
      <c r="AA225" s="35"/>
      <c r="AB225" s="35"/>
    </row>
    <row r="226">
      <c r="A226" s="35"/>
      <c r="B226" s="35"/>
      <c r="C226" s="35"/>
      <c r="D226" s="35"/>
      <c r="E226" s="26"/>
      <c r="F226" s="51"/>
      <c r="G226" s="51"/>
      <c r="H226" s="51"/>
      <c r="I226" s="51"/>
      <c r="J226" s="27"/>
      <c r="K226" s="35"/>
      <c r="L226" s="35"/>
      <c r="M226" s="35"/>
      <c r="N226" s="35"/>
      <c r="O226" s="35"/>
      <c r="P226" s="35"/>
      <c r="Q226" s="35"/>
      <c r="R226" s="35"/>
      <c r="S226" s="35"/>
      <c r="T226" s="35"/>
      <c r="U226" s="35"/>
      <c r="V226" s="35"/>
      <c r="W226" s="35"/>
      <c r="X226" s="35"/>
      <c r="Y226" s="35"/>
      <c r="Z226" s="35"/>
      <c r="AA226" s="35"/>
      <c r="AB226" s="35"/>
    </row>
    <row r="227">
      <c r="A227" s="35"/>
      <c r="B227" s="35"/>
      <c r="C227" s="35"/>
      <c r="D227" s="35"/>
      <c r="E227" s="26"/>
      <c r="F227" s="51"/>
      <c r="G227" s="51"/>
      <c r="H227" s="51"/>
      <c r="I227" s="51"/>
      <c r="J227" s="27"/>
      <c r="K227" s="35"/>
      <c r="L227" s="35"/>
      <c r="M227" s="35"/>
      <c r="N227" s="35"/>
      <c r="O227" s="35"/>
      <c r="P227" s="35"/>
      <c r="Q227" s="35"/>
      <c r="R227" s="35"/>
      <c r="S227" s="35"/>
      <c r="T227" s="35"/>
      <c r="U227" s="35"/>
      <c r="V227" s="35"/>
      <c r="W227" s="35"/>
      <c r="X227" s="35"/>
      <c r="Y227" s="35"/>
      <c r="Z227" s="35"/>
      <c r="AA227" s="35"/>
      <c r="AB227" s="35"/>
    </row>
    <row r="228">
      <c r="A228" s="35"/>
      <c r="B228" s="35"/>
      <c r="C228" s="35"/>
      <c r="D228" s="35"/>
      <c r="E228" s="26"/>
      <c r="F228" s="51"/>
      <c r="G228" s="51"/>
      <c r="H228" s="51"/>
      <c r="I228" s="51"/>
      <c r="J228" s="27"/>
      <c r="K228" s="35"/>
      <c r="L228" s="35"/>
      <c r="M228" s="35"/>
      <c r="N228" s="35"/>
      <c r="O228" s="35"/>
      <c r="P228" s="35"/>
      <c r="Q228" s="35"/>
      <c r="R228" s="35"/>
      <c r="S228" s="35"/>
      <c r="T228" s="35"/>
      <c r="U228" s="35"/>
      <c r="V228" s="35"/>
      <c r="W228" s="35"/>
      <c r="X228" s="35"/>
      <c r="Y228" s="35"/>
      <c r="Z228" s="35"/>
      <c r="AA228" s="35"/>
      <c r="AB228" s="35"/>
    </row>
    <row r="229">
      <c r="A229" s="35"/>
      <c r="B229" s="35"/>
      <c r="C229" s="35"/>
      <c r="D229" s="35"/>
      <c r="E229" s="26"/>
      <c r="F229" s="51"/>
      <c r="G229" s="51"/>
      <c r="H229" s="51"/>
      <c r="I229" s="51"/>
      <c r="J229" s="27"/>
      <c r="K229" s="35"/>
      <c r="L229" s="35"/>
      <c r="M229" s="35"/>
      <c r="N229" s="35"/>
      <c r="O229" s="35"/>
      <c r="P229" s="35"/>
      <c r="Q229" s="35"/>
      <c r="R229" s="35"/>
      <c r="S229" s="35"/>
      <c r="T229" s="35"/>
      <c r="U229" s="35"/>
      <c r="V229" s="35"/>
      <c r="W229" s="35"/>
      <c r="X229" s="35"/>
      <c r="Y229" s="35"/>
      <c r="Z229" s="35"/>
      <c r="AA229" s="35"/>
      <c r="AB229" s="35"/>
    </row>
    <row r="230">
      <c r="A230" s="35"/>
      <c r="B230" s="35"/>
      <c r="C230" s="35"/>
      <c r="D230" s="35"/>
      <c r="E230" s="26"/>
      <c r="F230" s="51"/>
      <c r="G230" s="51"/>
      <c r="H230" s="51"/>
      <c r="I230" s="51"/>
      <c r="J230" s="27"/>
      <c r="K230" s="35"/>
      <c r="L230" s="35"/>
      <c r="M230" s="35"/>
      <c r="N230" s="35"/>
      <c r="O230" s="35"/>
      <c r="P230" s="35"/>
      <c r="Q230" s="35"/>
      <c r="R230" s="35"/>
      <c r="S230" s="35"/>
      <c r="T230" s="35"/>
      <c r="U230" s="35"/>
      <c r="V230" s="35"/>
      <c r="W230" s="35"/>
      <c r="X230" s="35"/>
      <c r="Y230" s="35"/>
      <c r="Z230" s="35"/>
      <c r="AA230" s="35"/>
      <c r="AB230" s="35"/>
    </row>
    <row r="231">
      <c r="A231" s="35"/>
      <c r="B231" s="35"/>
      <c r="C231" s="35"/>
      <c r="D231" s="35"/>
      <c r="E231" s="26"/>
      <c r="F231" s="51"/>
      <c r="G231" s="51"/>
      <c r="H231" s="51"/>
      <c r="I231" s="51"/>
      <c r="J231" s="27"/>
      <c r="K231" s="35"/>
      <c r="L231" s="35"/>
      <c r="M231" s="35"/>
      <c r="N231" s="35"/>
      <c r="O231" s="35"/>
      <c r="P231" s="35"/>
      <c r="Q231" s="35"/>
      <c r="R231" s="35"/>
      <c r="S231" s="35"/>
      <c r="T231" s="35"/>
      <c r="U231" s="35"/>
      <c r="V231" s="35"/>
      <c r="W231" s="35"/>
      <c r="X231" s="35"/>
      <c r="Y231" s="35"/>
      <c r="Z231" s="35"/>
      <c r="AA231" s="35"/>
      <c r="AB231" s="35"/>
    </row>
    <row r="232">
      <c r="A232" s="35"/>
      <c r="B232" s="35"/>
      <c r="C232" s="35"/>
      <c r="D232" s="35"/>
      <c r="E232" s="26"/>
      <c r="F232" s="51"/>
      <c r="G232" s="51"/>
      <c r="H232" s="51"/>
      <c r="I232" s="51"/>
      <c r="J232" s="27"/>
      <c r="K232" s="35"/>
      <c r="L232" s="35"/>
      <c r="M232" s="35"/>
      <c r="N232" s="35"/>
      <c r="O232" s="35"/>
      <c r="P232" s="35"/>
      <c r="Q232" s="35"/>
      <c r="R232" s="35"/>
      <c r="S232" s="35"/>
      <c r="T232" s="35"/>
      <c r="U232" s="35"/>
      <c r="V232" s="35"/>
      <c r="W232" s="35"/>
      <c r="X232" s="35"/>
      <c r="Y232" s="35"/>
      <c r="Z232" s="35"/>
      <c r="AA232" s="35"/>
      <c r="AB232" s="35"/>
    </row>
    <row r="233">
      <c r="A233" s="35"/>
      <c r="B233" s="35"/>
      <c r="C233" s="35"/>
      <c r="D233" s="35"/>
      <c r="E233" s="26"/>
      <c r="F233" s="51"/>
      <c r="G233" s="51"/>
      <c r="H233" s="51"/>
      <c r="I233" s="51"/>
      <c r="J233" s="27"/>
      <c r="K233" s="35"/>
      <c r="L233" s="35"/>
      <c r="M233" s="35"/>
      <c r="N233" s="35"/>
      <c r="O233" s="35"/>
      <c r="P233" s="35"/>
      <c r="Q233" s="35"/>
      <c r="R233" s="35"/>
      <c r="S233" s="35"/>
      <c r="T233" s="35"/>
      <c r="U233" s="35"/>
      <c r="V233" s="35"/>
      <c r="W233" s="35"/>
      <c r="X233" s="35"/>
      <c r="Y233" s="35"/>
      <c r="Z233" s="35"/>
      <c r="AA233" s="35"/>
      <c r="AB233" s="35"/>
    </row>
  </sheetData>
  <mergeCells count="5">
    <mergeCell ref="B1:K1"/>
    <mergeCell ref="E33:F33"/>
    <mergeCell ref="G33:H33"/>
    <mergeCell ref="M33:N33"/>
    <mergeCell ref="O33:P33"/>
  </mergeCells>
  <dataValidations>
    <dataValidation type="list" allowBlank="1" sqref="H2">
      <formula1>"0%,5%,10%,15%,20%,25%,30%"</formula1>
    </dataValidation>
    <dataValidation type="list" allowBlank="1" showInputMessage="1" showErrorMessage="1" prompt="It indicates that % of task can be achieved using AI" sqref="D7:D31">
      <formula1>"0%,5%,7%,10%,12%,15%,17%,20%"</formula1>
    </dataValidation>
    <dataValidation type="decimal" allowBlank="1" showDropDown="1" showInputMessage="1" showErrorMessage="1" prompt="Enter a number between 1 and 6" sqref="N7:N31">
      <formula1>1.0</formula1>
      <formula2>6.0</formula2>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0"/>
  <cols>
    <col customWidth="1" min="1" max="1" width="4.63"/>
    <col customWidth="1" min="2" max="2" width="38.13"/>
    <col customWidth="1" min="3" max="3" width="38.5"/>
    <col customWidth="1" min="4" max="4" width="9.88"/>
    <col customWidth="1" min="5" max="5" width="9.13"/>
    <col customWidth="1" min="6" max="6" width="7.0"/>
    <col customWidth="1" min="7" max="7" width="8.5"/>
    <col customWidth="1" min="8" max="8" width="9.25"/>
    <col customWidth="1" min="9" max="9" width="25.75"/>
    <col customWidth="1" min="10" max="10" width="25.25"/>
    <col customWidth="1" min="11" max="11" width="13.38"/>
    <col customWidth="1" min="12" max="12" width="13.25"/>
    <col customWidth="1" min="13" max="13" width="8.88"/>
    <col customWidth="1" min="14" max="14" width="9.5"/>
  </cols>
  <sheetData>
    <row r="1">
      <c r="A1" s="53"/>
      <c r="B1" s="53" t="s">
        <v>56</v>
      </c>
      <c r="L1" s="35"/>
      <c r="M1" s="35"/>
      <c r="N1" s="35"/>
      <c r="O1" s="35"/>
      <c r="P1" s="35"/>
      <c r="Q1" s="35"/>
      <c r="R1" s="35"/>
      <c r="S1" s="35"/>
      <c r="T1" s="35"/>
      <c r="U1" s="35"/>
      <c r="V1" s="35"/>
      <c r="W1" s="35"/>
      <c r="X1" s="35"/>
      <c r="Y1" s="35"/>
      <c r="Z1" s="35"/>
      <c r="AA1" s="35"/>
    </row>
    <row r="2">
      <c r="A2" s="55"/>
      <c r="B2" s="55" t="s">
        <v>57</v>
      </c>
      <c r="C2" s="57"/>
      <c r="E2" s="105" t="s">
        <v>94</v>
      </c>
      <c r="F2" s="106" t="s">
        <v>95</v>
      </c>
      <c r="H2" s="59">
        <v>0.0</v>
      </c>
      <c r="I2" s="91" t="s">
        <v>58</v>
      </c>
      <c r="L2" s="105" t="s">
        <v>94</v>
      </c>
      <c r="M2" s="106" t="s">
        <v>95</v>
      </c>
      <c r="N2" s="35"/>
      <c r="O2" s="35"/>
      <c r="P2" s="35"/>
      <c r="Q2" s="35"/>
      <c r="R2" s="35"/>
      <c r="S2" s="35"/>
      <c r="T2" s="35"/>
      <c r="U2" s="35"/>
      <c r="V2" s="35"/>
      <c r="W2" s="35"/>
      <c r="X2" s="35"/>
      <c r="Y2" s="35"/>
      <c r="Z2" s="35"/>
      <c r="AA2" s="35"/>
    </row>
    <row r="3">
      <c r="A3" s="55"/>
      <c r="B3" s="55" t="s">
        <v>59</v>
      </c>
      <c r="C3" s="107">
        <v>45525.0</v>
      </c>
      <c r="E3" s="26">
        <f>ROUNDUP(C4/2,0)</f>
        <v>0</v>
      </c>
      <c r="F3" s="58">
        <f>ROUNDUP(C4/2,0)</f>
        <v>0</v>
      </c>
      <c r="H3" s="62">
        <f>ROUNDUP(G87*H2,0)</f>
        <v>0</v>
      </c>
      <c r="I3" s="91" t="s">
        <v>60</v>
      </c>
      <c r="L3" s="26">
        <f>ROUNDUP(M4/2,0)</f>
        <v>0</v>
      </c>
      <c r="M3" s="58">
        <f>ROUNDUP(M4/2,0)</f>
        <v>0</v>
      </c>
      <c r="N3" s="35"/>
      <c r="O3" s="35"/>
      <c r="P3" s="35"/>
      <c r="Q3" s="35"/>
      <c r="R3" s="35"/>
      <c r="S3" s="35"/>
      <c r="T3" s="35"/>
      <c r="U3" s="35"/>
      <c r="V3" s="35"/>
      <c r="W3" s="35"/>
      <c r="X3" s="35"/>
      <c r="Y3" s="35"/>
      <c r="Z3" s="35"/>
      <c r="AA3" s="35"/>
    </row>
    <row r="4">
      <c r="A4" s="55"/>
      <c r="B4" s="55" t="s">
        <v>61</v>
      </c>
      <c r="C4" s="57">
        <f>ROUNDUP(SUM(G87,H3),0)</f>
        <v>0</v>
      </c>
      <c r="E4" s="26"/>
      <c r="F4" s="51"/>
      <c r="G4" s="51"/>
      <c r="H4" s="51"/>
      <c r="I4" s="18"/>
      <c r="J4" s="18"/>
      <c r="K4" s="35"/>
      <c r="L4" s="64" t="s">
        <v>62</v>
      </c>
      <c r="M4" s="57">
        <f>ROUNDUP(SUM(N87,H3),0)</f>
        <v>0</v>
      </c>
      <c r="N4" s="108" t="str">
        <f>(C4-M4)/C4</f>
        <v>#DIV/0!</v>
      </c>
      <c r="O4" s="35"/>
      <c r="P4" s="35"/>
      <c r="Q4" s="35"/>
      <c r="R4" s="35"/>
      <c r="S4" s="35"/>
      <c r="T4" s="35"/>
      <c r="U4" s="35"/>
      <c r="V4" s="35"/>
      <c r="W4" s="35"/>
      <c r="X4" s="35"/>
      <c r="Y4" s="35"/>
      <c r="Z4" s="35"/>
      <c r="AA4" s="35"/>
    </row>
    <row r="5">
      <c r="A5" s="55"/>
      <c r="B5" s="65" t="s">
        <v>63</v>
      </c>
      <c r="C5" s="66"/>
      <c r="D5" s="26"/>
      <c r="E5" s="35"/>
      <c r="F5" s="35"/>
      <c r="G5" s="35"/>
      <c r="H5" s="35"/>
      <c r="I5" s="35"/>
      <c r="J5" s="35"/>
      <c r="K5" s="35"/>
      <c r="L5" s="35"/>
      <c r="M5" s="35"/>
      <c r="N5" s="35"/>
      <c r="O5" s="35"/>
      <c r="P5" s="35"/>
      <c r="Q5" s="35"/>
      <c r="R5" s="35"/>
      <c r="S5" s="35"/>
      <c r="T5" s="35"/>
      <c r="U5" s="35"/>
      <c r="V5" s="35"/>
      <c r="W5" s="35"/>
      <c r="X5" s="35"/>
      <c r="Y5" s="35"/>
      <c r="Z5" s="35"/>
      <c r="AA5" s="35"/>
    </row>
    <row r="6">
      <c r="A6" s="68"/>
      <c r="B6" s="68" t="s">
        <v>64</v>
      </c>
      <c r="C6" s="68" t="s">
        <v>65</v>
      </c>
      <c r="D6" s="69" t="s">
        <v>66</v>
      </c>
      <c r="E6" s="21" t="s">
        <v>67</v>
      </c>
      <c r="F6" s="70" t="s">
        <v>68</v>
      </c>
      <c r="G6" s="71" t="s">
        <v>69</v>
      </c>
      <c r="H6" s="72" t="s">
        <v>70</v>
      </c>
      <c r="I6" s="67" t="s">
        <v>71</v>
      </c>
      <c r="J6" s="67" t="s">
        <v>96</v>
      </c>
      <c r="K6" s="73" t="s">
        <v>73</v>
      </c>
      <c r="L6" s="74" t="s">
        <v>74</v>
      </c>
      <c r="M6" s="70" t="s">
        <v>68</v>
      </c>
      <c r="N6" s="71" t="s">
        <v>69</v>
      </c>
      <c r="O6" s="72" t="s">
        <v>70</v>
      </c>
      <c r="P6" s="35"/>
      <c r="Q6" s="35"/>
      <c r="R6" s="35"/>
      <c r="S6" s="35"/>
      <c r="T6" s="35"/>
      <c r="U6" s="35"/>
      <c r="V6" s="35"/>
      <c r="W6" s="35"/>
      <c r="X6" s="35"/>
      <c r="Y6" s="35"/>
      <c r="Z6" s="35"/>
      <c r="AA6" s="35"/>
    </row>
    <row r="7">
      <c r="A7" s="109"/>
      <c r="B7" s="110"/>
      <c r="C7" s="51"/>
      <c r="D7" s="77">
        <v>0.0</v>
      </c>
      <c r="E7" s="51"/>
      <c r="F7" s="109">
        <v>6.0</v>
      </c>
      <c r="G7" s="85">
        <f t="array" ref="G7">ROUNDUP(IF(EQ(A7, ""),E7*INDEX(UncertaintyFactors!$C$2:$D$7, F7, 1), 0), 1)</f>
        <v>0</v>
      </c>
      <c r="H7" s="86">
        <f t="array" ref="H7">ROUNDUP(IF(EQ(A7, ""), E7*INDEX(UncertaintyFactors!$C$2:$D$7, F7, 2), 0), 1)</f>
        <v>0</v>
      </c>
      <c r="I7" s="111"/>
      <c r="J7" s="111"/>
      <c r="K7" s="112"/>
      <c r="L7" s="83">
        <f t="shared" ref="L7:L85" si="1">E7-(E7*D7)</f>
        <v>0</v>
      </c>
      <c r="M7" s="84">
        <f t="shared" ref="M7:M86" si="2">F7</f>
        <v>6</v>
      </c>
      <c r="N7" s="85">
        <f t="array" ref="N7">ROUNDUP(IF(EQ(A7, ""),L7*INDEX(UncertaintyFactors!$C$2:$D$7, M7, 1), 0), 1)</f>
        <v>0</v>
      </c>
      <c r="O7" s="86">
        <f t="array" ref="O7">ROUNDUP(IF(EQ(A7, ""), L7*INDEX(UncertaintyFactors!$C$2:$D$7, M7, 2), 0), 1)</f>
        <v>0</v>
      </c>
      <c r="P7" s="51"/>
      <c r="Q7" s="51"/>
      <c r="R7" s="51"/>
      <c r="S7" s="51"/>
      <c r="T7" s="51"/>
      <c r="U7" s="51"/>
      <c r="V7" s="51"/>
      <c r="W7" s="51"/>
      <c r="X7" s="51"/>
      <c r="Y7" s="51"/>
      <c r="Z7" s="51"/>
      <c r="AA7" s="51"/>
    </row>
    <row r="8">
      <c r="A8" s="109"/>
      <c r="B8" s="110"/>
      <c r="C8" s="51"/>
      <c r="D8" s="77">
        <v>0.0</v>
      </c>
      <c r="E8" s="51"/>
      <c r="F8" s="109">
        <v>6.0</v>
      </c>
      <c r="G8" s="85">
        <f t="array" ref="G8">ROUNDUP(IF(EQ(A8, ""),E8*INDEX(UncertaintyFactors!$C$2:$D$7, F8, 1), 0), 1)</f>
        <v>0</v>
      </c>
      <c r="H8" s="86">
        <f t="array" ref="H8">ROUNDUP(IF(EQ(A8, ""), E8*INDEX(UncertaintyFactors!$C$2:$D$7, F8, 2), 0), 1)</f>
        <v>0</v>
      </c>
      <c r="I8" s="111"/>
      <c r="J8" s="111"/>
      <c r="K8" s="112"/>
      <c r="L8" s="83">
        <f t="shared" si="1"/>
        <v>0</v>
      </c>
      <c r="M8" s="84">
        <f t="shared" si="2"/>
        <v>6</v>
      </c>
      <c r="N8" s="85">
        <f t="array" ref="N8">ROUNDUP(IF(EQ(A8, ""),L8*INDEX(UncertaintyFactors!$C$2:$D$7, M8, 1), 0), 1)</f>
        <v>0</v>
      </c>
      <c r="O8" s="86">
        <f t="array" ref="O8">ROUNDUP(IF(EQ(A8, ""), L8*INDEX(UncertaintyFactors!$C$2:$D$7, M8, 2), 0), 1)</f>
        <v>0</v>
      </c>
      <c r="P8" s="51"/>
      <c r="Q8" s="51"/>
      <c r="R8" s="51"/>
      <c r="S8" s="51"/>
      <c r="T8" s="51"/>
      <c r="U8" s="51"/>
      <c r="V8" s="51"/>
      <c r="W8" s="51"/>
      <c r="X8" s="51"/>
      <c r="Y8" s="51"/>
      <c r="Z8" s="51"/>
      <c r="AA8" s="51"/>
    </row>
    <row r="9">
      <c r="A9" s="109"/>
      <c r="B9" s="110"/>
      <c r="C9" s="51"/>
      <c r="D9" s="77">
        <v>0.0</v>
      </c>
      <c r="E9" s="51"/>
      <c r="F9" s="109">
        <v>6.0</v>
      </c>
      <c r="G9" s="85">
        <f t="array" ref="G9">ROUNDUP(IF(EQ(A9, ""),E9*INDEX(UncertaintyFactors!$C$2:$D$7, F9, 1), 0), 1)</f>
        <v>0</v>
      </c>
      <c r="H9" s="86">
        <f t="array" ref="H9">ROUNDUP(IF(EQ(A9, ""), E9*INDEX(UncertaintyFactors!$C$2:$D$7, F9, 2), 0), 1)</f>
        <v>0</v>
      </c>
      <c r="I9" s="111"/>
      <c r="J9" s="111"/>
      <c r="K9" s="112"/>
      <c r="L9" s="83">
        <f t="shared" si="1"/>
        <v>0</v>
      </c>
      <c r="M9" s="84">
        <f t="shared" si="2"/>
        <v>6</v>
      </c>
      <c r="N9" s="85">
        <f t="array" ref="N9">ROUNDUP(IF(EQ(A9, ""),L9*INDEX(UncertaintyFactors!$C$2:$D$7, M9, 1), 0), 1)</f>
        <v>0</v>
      </c>
      <c r="O9" s="86">
        <f t="array" ref="O9">ROUNDUP(IF(EQ(A9, ""), L9*INDEX(UncertaintyFactors!$C$2:$D$7, M9, 2), 0), 1)</f>
        <v>0</v>
      </c>
      <c r="P9" s="51"/>
      <c r="Q9" s="51"/>
      <c r="R9" s="51"/>
      <c r="S9" s="51"/>
      <c r="T9" s="51"/>
      <c r="U9" s="51"/>
      <c r="V9" s="51"/>
      <c r="W9" s="51"/>
      <c r="X9" s="51"/>
      <c r="Y9" s="51"/>
      <c r="Z9" s="51"/>
      <c r="AA9" s="51"/>
    </row>
    <row r="10">
      <c r="A10" s="109"/>
      <c r="B10" s="110"/>
      <c r="C10" s="51"/>
      <c r="D10" s="77">
        <v>0.0</v>
      </c>
      <c r="E10" s="51"/>
      <c r="F10" s="109">
        <v>6.0</v>
      </c>
      <c r="G10" s="85">
        <f t="array" ref="G10">ROUNDUP(IF(EQ(A10, ""),E10*INDEX(UncertaintyFactors!$C$2:$D$7, F10, 1), 0), 1)</f>
        <v>0</v>
      </c>
      <c r="H10" s="86">
        <f t="array" ref="H10">ROUNDUP(IF(EQ(A10, ""), E10*INDEX(UncertaintyFactors!$C$2:$D$7, F10, 2), 0), 1)</f>
        <v>0</v>
      </c>
      <c r="I10" s="111"/>
      <c r="J10" s="111"/>
      <c r="K10" s="112"/>
      <c r="L10" s="83">
        <f t="shared" si="1"/>
        <v>0</v>
      </c>
      <c r="M10" s="84">
        <f t="shared" si="2"/>
        <v>6</v>
      </c>
      <c r="N10" s="85">
        <f t="array" ref="N10">ROUNDUP(IF(EQ(A10, ""),L10*INDEX(UncertaintyFactors!$C$2:$D$7, M10, 1), 0), 1)</f>
        <v>0</v>
      </c>
      <c r="O10" s="86">
        <f t="array" ref="O10">ROUNDUP(IF(EQ(A10, ""), L10*INDEX(UncertaintyFactors!$C$2:$D$7, M10, 2), 0), 1)</f>
        <v>0</v>
      </c>
      <c r="P10" s="51"/>
      <c r="Q10" s="51"/>
      <c r="R10" s="51"/>
      <c r="S10" s="51"/>
      <c r="T10" s="51"/>
      <c r="U10" s="51"/>
      <c r="V10" s="51"/>
      <c r="W10" s="51"/>
      <c r="X10" s="51"/>
      <c r="Y10" s="51"/>
      <c r="Z10" s="51"/>
      <c r="AA10" s="51"/>
    </row>
    <row r="11">
      <c r="A11" s="109"/>
      <c r="B11" s="110"/>
      <c r="C11" s="51"/>
      <c r="D11" s="77">
        <v>0.0</v>
      </c>
      <c r="E11" s="51"/>
      <c r="F11" s="109">
        <v>6.0</v>
      </c>
      <c r="G11" s="85">
        <f t="array" ref="G11">ROUNDUP(IF(EQ(A11, ""),E11*INDEX(UncertaintyFactors!$C$2:$D$7, F11, 1), 0), 1)</f>
        <v>0</v>
      </c>
      <c r="H11" s="86">
        <f t="array" ref="H11">ROUNDUP(IF(EQ(A11, ""), E11*INDEX(UncertaintyFactors!$C$2:$D$7, F11, 2), 0), 1)</f>
        <v>0</v>
      </c>
      <c r="I11" s="111"/>
      <c r="J11" s="111"/>
      <c r="K11" s="112"/>
      <c r="L11" s="83">
        <f t="shared" si="1"/>
        <v>0</v>
      </c>
      <c r="M11" s="84">
        <f t="shared" si="2"/>
        <v>6</v>
      </c>
      <c r="N11" s="85">
        <f t="array" ref="N11">ROUNDUP(IF(EQ(A11, ""),L11*INDEX(UncertaintyFactors!$C$2:$D$7, M11, 1), 0), 1)</f>
        <v>0</v>
      </c>
      <c r="O11" s="86">
        <f t="array" ref="O11">ROUNDUP(IF(EQ(A11, ""), L11*INDEX(UncertaintyFactors!$C$2:$D$7, M11, 2), 0), 1)</f>
        <v>0</v>
      </c>
      <c r="P11" s="51"/>
      <c r="Q11" s="51"/>
      <c r="R11" s="51"/>
      <c r="S11" s="51"/>
      <c r="T11" s="51"/>
      <c r="U11" s="51"/>
      <c r="V11" s="51"/>
      <c r="W11" s="51"/>
      <c r="X11" s="51"/>
      <c r="Y11" s="51"/>
      <c r="Z11" s="51"/>
      <c r="AA11" s="51"/>
    </row>
    <row r="12">
      <c r="A12" s="109"/>
      <c r="B12" s="110"/>
      <c r="C12" s="51"/>
      <c r="D12" s="77">
        <v>0.0</v>
      </c>
      <c r="E12" s="51"/>
      <c r="F12" s="109">
        <v>6.0</v>
      </c>
      <c r="G12" s="85">
        <f t="array" ref="G12">ROUNDUP(IF(EQ(A12, ""),E12*INDEX(UncertaintyFactors!$C$2:$D$7, F12, 1), 0), 1)</f>
        <v>0</v>
      </c>
      <c r="H12" s="86">
        <f t="array" ref="H12">ROUNDUP(IF(EQ(A12, ""), E12*INDEX(UncertaintyFactors!$C$2:$D$7, F12, 2), 0), 1)</f>
        <v>0</v>
      </c>
      <c r="I12" s="111"/>
      <c r="J12" s="111"/>
      <c r="K12" s="112"/>
      <c r="L12" s="83">
        <f t="shared" si="1"/>
        <v>0</v>
      </c>
      <c r="M12" s="84">
        <f t="shared" si="2"/>
        <v>6</v>
      </c>
      <c r="N12" s="85">
        <f t="array" ref="N12">ROUNDUP(IF(EQ(A12, ""),L12*INDEX(UncertaintyFactors!$C$2:$D$7, M12, 1), 0), 1)</f>
        <v>0</v>
      </c>
      <c r="O12" s="86">
        <f t="array" ref="O12">ROUNDUP(IF(EQ(A12, ""), L12*INDEX(UncertaintyFactors!$C$2:$D$7, M12, 2), 0), 1)</f>
        <v>0</v>
      </c>
      <c r="P12" s="51"/>
      <c r="Q12" s="51"/>
      <c r="R12" s="51"/>
      <c r="S12" s="51"/>
      <c r="T12" s="51"/>
      <c r="U12" s="51"/>
      <c r="V12" s="51"/>
      <c r="W12" s="51"/>
      <c r="X12" s="51"/>
      <c r="Y12" s="51"/>
      <c r="Z12" s="51"/>
      <c r="AA12" s="51"/>
    </row>
    <row r="13">
      <c r="A13" s="109"/>
      <c r="B13" s="110"/>
      <c r="C13" s="51"/>
      <c r="D13" s="77">
        <v>0.0</v>
      </c>
      <c r="E13" s="51"/>
      <c r="F13" s="109">
        <v>6.0</v>
      </c>
      <c r="G13" s="85">
        <f t="array" ref="G13">ROUNDUP(IF(EQ(A13, ""),E13*INDEX(UncertaintyFactors!$C$2:$D$7, F13, 1), 0), 1)</f>
        <v>0</v>
      </c>
      <c r="H13" s="86">
        <f t="array" ref="H13">ROUNDUP(IF(EQ(A13, ""), E13*INDEX(UncertaintyFactors!$C$2:$D$7, F13, 2), 0), 1)</f>
        <v>0</v>
      </c>
      <c r="I13" s="111"/>
      <c r="J13" s="111"/>
      <c r="K13" s="112"/>
      <c r="L13" s="83">
        <f t="shared" si="1"/>
        <v>0</v>
      </c>
      <c r="M13" s="84">
        <f t="shared" si="2"/>
        <v>6</v>
      </c>
      <c r="N13" s="85">
        <f t="array" ref="N13">ROUNDUP(IF(EQ(A13, ""),L13*INDEX(UncertaintyFactors!$C$2:$D$7, M13, 1), 0), 1)</f>
        <v>0</v>
      </c>
      <c r="O13" s="86">
        <f t="array" ref="O13">ROUNDUP(IF(EQ(A13, ""), L13*INDEX(UncertaintyFactors!$C$2:$D$7, M13, 2), 0), 1)</f>
        <v>0</v>
      </c>
      <c r="P13" s="51"/>
      <c r="Q13" s="51"/>
      <c r="R13" s="51"/>
      <c r="S13" s="51"/>
      <c r="T13" s="51"/>
      <c r="U13" s="51"/>
      <c r="V13" s="51"/>
      <c r="W13" s="51"/>
      <c r="X13" s="51"/>
      <c r="Y13" s="51"/>
      <c r="Z13" s="51"/>
      <c r="AA13" s="51"/>
    </row>
    <row r="14">
      <c r="A14" s="109"/>
      <c r="B14" s="110"/>
      <c r="C14" s="51"/>
      <c r="D14" s="77">
        <v>0.0</v>
      </c>
      <c r="E14" s="51"/>
      <c r="F14" s="109">
        <v>6.0</v>
      </c>
      <c r="G14" s="85">
        <f t="array" ref="G14">ROUNDUP(IF(EQ(A14, ""),E14*INDEX(UncertaintyFactors!$C$2:$D$7, F14, 1), 0), 1)</f>
        <v>0</v>
      </c>
      <c r="H14" s="86">
        <f t="array" ref="H14">ROUNDUP(IF(EQ(A14, ""), E14*INDEX(UncertaintyFactors!$C$2:$D$7, F14, 2), 0), 1)</f>
        <v>0</v>
      </c>
      <c r="I14" s="111"/>
      <c r="J14" s="111"/>
      <c r="K14" s="112"/>
      <c r="L14" s="83">
        <f t="shared" si="1"/>
        <v>0</v>
      </c>
      <c r="M14" s="84">
        <f t="shared" si="2"/>
        <v>6</v>
      </c>
      <c r="N14" s="85">
        <f t="array" ref="N14">ROUNDUP(IF(EQ(A14, ""),L14*INDEX(UncertaintyFactors!$C$2:$D$7, M14, 1), 0), 1)</f>
        <v>0</v>
      </c>
      <c r="O14" s="86">
        <f t="array" ref="O14">ROUNDUP(IF(EQ(A14, ""), L14*INDEX(UncertaintyFactors!$C$2:$D$7, M14, 2), 0), 1)</f>
        <v>0</v>
      </c>
      <c r="P14" s="51"/>
      <c r="Q14" s="51"/>
      <c r="R14" s="51"/>
      <c r="S14" s="51"/>
      <c r="T14" s="51"/>
      <c r="U14" s="51"/>
      <c r="V14" s="51"/>
      <c r="W14" s="51"/>
      <c r="X14" s="51"/>
      <c r="Y14" s="51"/>
      <c r="Z14" s="51"/>
      <c r="AA14" s="51"/>
    </row>
    <row r="15">
      <c r="A15" s="109"/>
      <c r="B15" s="110"/>
      <c r="C15" s="51"/>
      <c r="D15" s="77">
        <v>0.0</v>
      </c>
      <c r="E15" s="51"/>
      <c r="F15" s="109">
        <v>6.0</v>
      </c>
      <c r="G15" s="85">
        <f t="array" ref="G15">ROUNDUP(IF(EQ(A15, ""),E15*INDEX(UncertaintyFactors!$C$2:$D$7, F15, 1), 0), 1)</f>
        <v>0</v>
      </c>
      <c r="H15" s="86">
        <f t="array" ref="H15">ROUNDUP(IF(EQ(A15, ""), E15*INDEX(UncertaintyFactors!$C$2:$D$7, F15, 2), 0), 1)</f>
        <v>0</v>
      </c>
      <c r="I15" s="111"/>
      <c r="J15" s="111"/>
      <c r="K15" s="112"/>
      <c r="L15" s="83">
        <f t="shared" si="1"/>
        <v>0</v>
      </c>
      <c r="M15" s="84">
        <f t="shared" si="2"/>
        <v>6</v>
      </c>
      <c r="N15" s="85">
        <f t="array" ref="N15">ROUNDUP(IF(EQ(A15, ""),L15*INDEX(UncertaintyFactors!$C$2:$D$7, M15, 1), 0), 1)</f>
        <v>0</v>
      </c>
      <c r="O15" s="86">
        <f t="array" ref="O15">ROUNDUP(IF(EQ(A15, ""), L15*INDEX(UncertaintyFactors!$C$2:$D$7, M15, 2), 0), 1)</f>
        <v>0</v>
      </c>
      <c r="P15" s="51"/>
      <c r="Q15" s="51"/>
      <c r="R15" s="51"/>
      <c r="S15" s="51"/>
      <c r="T15" s="51"/>
      <c r="U15" s="51"/>
      <c r="V15" s="51"/>
      <c r="W15" s="51"/>
      <c r="X15" s="51"/>
      <c r="Y15" s="51"/>
      <c r="Z15" s="51"/>
      <c r="AA15" s="51"/>
    </row>
    <row r="16">
      <c r="A16" s="109"/>
      <c r="B16" s="110"/>
      <c r="C16" s="51"/>
      <c r="D16" s="77">
        <v>0.0</v>
      </c>
      <c r="E16" s="51"/>
      <c r="F16" s="109">
        <v>6.0</v>
      </c>
      <c r="G16" s="85">
        <f t="array" ref="G16">ROUNDUP(IF(EQ(A16, ""),E16*INDEX(UncertaintyFactors!$C$2:$D$7, F16, 1), 0), 1)</f>
        <v>0</v>
      </c>
      <c r="H16" s="86">
        <f t="array" ref="H16">ROUNDUP(IF(EQ(A16, ""), E16*INDEX(UncertaintyFactors!$C$2:$D$7, F16, 2), 0), 1)</f>
        <v>0</v>
      </c>
      <c r="I16" s="111"/>
      <c r="J16" s="111"/>
      <c r="K16" s="112"/>
      <c r="L16" s="83">
        <f t="shared" si="1"/>
        <v>0</v>
      </c>
      <c r="M16" s="84">
        <f t="shared" si="2"/>
        <v>6</v>
      </c>
      <c r="N16" s="85">
        <f t="array" ref="N16">ROUNDUP(IF(EQ(A16, ""),L16*INDEX(UncertaintyFactors!$C$2:$D$7, M16, 1), 0), 1)</f>
        <v>0</v>
      </c>
      <c r="O16" s="86">
        <f t="array" ref="O16">ROUNDUP(IF(EQ(A16, ""), L16*INDEX(UncertaintyFactors!$C$2:$D$7, M16, 2), 0), 1)</f>
        <v>0</v>
      </c>
      <c r="P16" s="51"/>
      <c r="Q16" s="51"/>
      <c r="R16" s="51"/>
      <c r="S16" s="51"/>
      <c r="T16" s="51"/>
      <c r="U16" s="51"/>
      <c r="V16" s="51"/>
      <c r="W16" s="51"/>
      <c r="X16" s="51"/>
      <c r="Y16" s="51"/>
      <c r="Z16" s="51"/>
      <c r="AA16" s="51"/>
    </row>
    <row r="17">
      <c r="A17" s="109"/>
      <c r="B17" s="110"/>
      <c r="C17" s="51"/>
      <c r="D17" s="77">
        <v>0.0</v>
      </c>
      <c r="E17" s="51"/>
      <c r="F17" s="109">
        <v>6.0</v>
      </c>
      <c r="G17" s="85">
        <f t="array" ref="G17">ROUNDUP(IF(EQ(A17, ""),E17*INDEX(UncertaintyFactors!$C$2:$D$7, F17, 1), 0), 1)</f>
        <v>0</v>
      </c>
      <c r="H17" s="86">
        <f t="array" ref="H17">ROUNDUP(IF(EQ(A17, ""), E17*INDEX(UncertaintyFactors!$C$2:$D$7, F17, 2), 0), 1)</f>
        <v>0</v>
      </c>
      <c r="I17" s="111"/>
      <c r="J17" s="111"/>
      <c r="K17" s="112"/>
      <c r="L17" s="83">
        <f t="shared" si="1"/>
        <v>0</v>
      </c>
      <c r="M17" s="84">
        <f t="shared" si="2"/>
        <v>6</v>
      </c>
      <c r="N17" s="85">
        <f t="array" ref="N17">ROUNDUP(IF(EQ(A17, ""),L17*INDEX(UncertaintyFactors!$C$2:$D$7, M17, 1), 0), 1)</f>
        <v>0</v>
      </c>
      <c r="O17" s="86">
        <f t="array" ref="O17">ROUNDUP(IF(EQ(A17, ""), L17*INDEX(UncertaintyFactors!$C$2:$D$7, M17, 2), 0), 1)</f>
        <v>0</v>
      </c>
      <c r="P17" s="51"/>
      <c r="Q17" s="51"/>
      <c r="R17" s="51"/>
      <c r="S17" s="51"/>
      <c r="T17" s="51"/>
      <c r="U17" s="51"/>
      <c r="V17" s="51"/>
      <c r="W17" s="51"/>
      <c r="X17" s="51"/>
      <c r="Y17" s="51"/>
      <c r="Z17" s="51"/>
      <c r="AA17" s="51"/>
    </row>
    <row r="18">
      <c r="A18" s="109"/>
      <c r="B18" s="110"/>
      <c r="C18" s="51"/>
      <c r="D18" s="77">
        <v>0.0</v>
      </c>
      <c r="E18" s="51"/>
      <c r="F18" s="109">
        <v>6.0</v>
      </c>
      <c r="G18" s="85">
        <f t="array" ref="G18">ROUNDUP(IF(EQ(A18, ""),E18*INDEX(UncertaintyFactors!$C$2:$D$7, F18, 1), 0), 1)</f>
        <v>0</v>
      </c>
      <c r="H18" s="86">
        <f t="array" ref="H18">ROUNDUP(IF(EQ(A18, ""), E18*INDEX(UncertaintyFactors!$C$2:$D$7, F18, 2), 0), 1)</f>
        <v>0</v>
      </c>
      <c r="I18" s="111"/>
      <c r="J18" s="111"/>
      <c r="K18" s="112"/>
      <c r="L18" s="83">
        <f t="shared" si="1"/>
        <v>0</v>
      </c>
      <c r="M18" s="84">
        <f t="shared" si="2"/>
        <v>6</v>
      </c>
      <c r="N18" s="85">
        <f t="array" ref="N18">ROUNDUP(IF(EQ(A18, ""),L18*INDEX(UncertaintyFactors!$C$2:$D$7, M18, 1), 0), 1)</f>
        <v>0</v>
      </c>
      <c r="O18" s="86">
        <f t="array" ref="O18">ROUNDUP(IF(EQ(A18, ""), L18*INDEX(UncertaintyFactors!$C$2:$D$7, M18, 2), 0), 1)</f>
        <v>0</v>
      </c>
      <c r="P18" s="51"/>
      <c r="Q18" s="51"/>
      <c r="R18" s="51"/>
      <c r="S18" s="51"/>
      <c r="T18" s="51"/>
      <c r="U18" s="51"/>
      <c r="V18" s="51"/>
      <c r="W18" s="51"/>
      <c r="X18" s="51"/>
      <c r="Y18" s="51"/>
      <c r="Z18" s="51"/>
      <c r="AA18" s="51"/>
    </row>
    <row r="19">
      <c r="A19" s="109"/>
      <c r="B19" s="110"/>
      <c r="C19" s="51"/>
      <c r="D19" s="77">
        <v>0.0</v>
      </c>
      <c r="E19" s="51"/>
      <c r="F19" s="109">
        <v>6.0</v>
      </c>
      <c r="G19" s="85">
        <f t="array" ref="G19">ROUNDUP(IF(EQ(A19, ""),E19*INDEX(UncertaintyFactors!$C$2:$D$7, F19, 1), 0), 1)</f>
        <v>0</v>
      </c>
      <c r="H19" s="86">
        <f t="array" ref="H19">ROUNDUP(IF(EQ(A19, ""), E19*INDEX(UncertaintyFactors!$C$2:$D$7, F19, 2), 0), 1)</f>
        <v>0</v>
      </c>
      <c r="I19" s="111"/>
      <c r="J19" s="111"/>
      <c r="K19" s="112"/>
      <c r="L19" s="83">
        <f t="shared" si="1"/>
        <v>0</v>
      </c>
      <c r="M19" s="84">
        <f t="shared" si="2"/>
        <v>6</v>
      </c>
      <c r="N19" s="85">
        <f t="array" ref="N19">ROUNDUP(IF(EQ(A19, ""),L19*INDEX(UncertaintyFactors!$C$2:$D$7, M19, 1), 0), 1)</f>
        <v>0</v>
      </c>
      <c r="O19" s="86">
        <f t="array" ref="O19">ROUNDUP(IF(EQ(A19, ""), L19*INDEX(UncertaintyFactors!$C$2:$D$7, M19, 2), 0), 1)</f>
        <v>0</v>
      </c>
      <c r="P19" s="51"/>
      <c r="Q19" s="51"/>
      <c r="R19" s="51"/>
      <c r="S19" s="51"/>
      <c r="T19" s="51"/>
      <c r="U19" s="51"/>
      <c r="V19" s="51"/>
      <c r="W19" s="51"/>
      <c r="X19" s="51"/>
      <c r="Y19" s="51"/>
      <c r="Z19" s="51"/>
      <c r="AA19" s="51"/>
    </row>
    <row r="20">
      <c r="A20" s="109"/>
      <c r="B20" s="110"/>
      <c r="C20" s="51"/>
      <c r="D20" s="77">
        <v>0.0</v>
      </c>
      <c r="E20" s="51"/>
      <c r="F20" s="109">
        <v>6.0</v>
      </c>
      <c r="G20" s="85">
        <f t="array" ref="G20">ROUNDUP(IF(EQ(A20, ""),E20*INDEX(UncertaintyFactors!$C$2:$D$7, F20, 1), 0), 1)</f>
        <v>0</v>
      </c>
      <c r="H20" s="86">
        <f t="array" ref="H20">ROUNDUP(IF(EQ(A20, ""), E20*INDEX(UncertaintyFactors!$C$2:$D$7, F20, 2), 0), 1)</f>
        <v>0</v>
      </c>
      <c r="I20" s="111"/>
      <c r="J20" s="111"/>
      <c r="K20" s="112"/>
      <c r="L20" s="83">
        <f t="shared" si="1"/>
        <v>0</v>
      </c>
      <c r="M20" s="84">
        <f t="shared" si="2"/>
        <v>6</v>
      </c>
      <c r="N20" s="85">
        <f t="array" ref="N20">ROUNDUP(IF(EQ(A20, ""),L20*INDEX(UncertaintyFactors!$C$2:$D$7, M20, 1), 0), 1)</f>
        <v>0</v>
      </c>
      <c r="O20" s="86">
        <f t="array" ref="O20">ROUNDUP(IF(EQ(A20, ""), L20*INDEX(UncertaintyFactors!$C$2:$D$7, M20, 2), 0), 1)</f>
        <v>0</v>
      </c>
      <c r="P20" s="51"/>
      <c r="Q20" s="51"/>
      <c r="R20" s="51"/>
      <c r="S20" s="51"/>
      <c r="T20" s="51"/>
      <c r="U20" s="51"/>
      <c r="V20" s="51"/>
      <c r="W20" s="51"/>
      <c r="X20" s="51"/>
      <c r="Y20" s="51"/>
      <c r="Z20" s="51"/>
      <c r="AA20" s="51"/>
    </row>
    <row r="21">
      <c r="A21" s="109"/>
      <c r="B21" s="110"/>
      <c r="C21" s="51"/>
      <c r="D21" s="77">
        <v>0.0</v>
      </c>
      <c r="E21" s="51"/>
      <c r="F21" s="109">
        <v>6.0</v>
      </c>
      <c r="G21" s="85">
        <f t="array" ref="G21">ROUNDUP(IF(EQ(A21, ""),E21*INDEX(UncertaintyFactors!$C$2:$D$7, F21, 1), 0), 1)</f>
        <v>0</v>
      </c>
      <c r="H21" s="86">
        <f t="array" ref="H21">ROUNDUP(IF(EQ(A21, ""), E21*INDEX(UncertaintyFactors!$C$2:$D$7, F21, 2), 0), 1)</f>
        <v>0</v>
      </c>
      <c r="I21" s="111"/>
      <c r="J21" s="111"/>
      <c r="K21" s="112"/>
      <c r="L21" s="83">
        <f t="shared" si="1"/>
        <v>0</v>
      </c>
      <c r="M21" s="84">
        <f t="shared" si="2"/>
        <v>6</v>
      </c>
      <c r="N21" s="85">
        <f t="array" ref="N21">ROUNDUP(IF(EQ(A21, ""),L21*INDEX(UncertaintyFactors!$C$2:$D$7, M21, 1), 0), 1)</f>
        <v>0</v>
      </c>
      <c r="O21" s="86">
        <f t="array" ref="O21">ROUNDUP(IF(EQ(A21, ""), L21*INDEX(UncertaintyFactors!$C$2:$D$7, M21, 2), 0), 1)</f>
        <v>0</v>
      </c>
      <c r="P21" s="51"/>
      <c r="Q21" s="51"/>
      <c r="R21" s="51"/>
      <c r="S21" s="51"/>
      <c r="T21" s="51"/>
      <c r="U21" s="51"/>
      <c r="V21" s="51"/>
      <c r="W21" s="51"/>
      <c r="X21" s="51"/>
      <c r="Y21" s="51"/>
      <c r="Z21" s="51"/>
      <c r="AA21" s="51"/>
    </row>
    <row r="22" ht="15.75" customHeight="1">
      <c r="A22" s="109"/>
      <c r="B22" s="113"/>
      <c r="C22" s="51"/>
      <c r="D22" s="77">
        <v>0.0</v>
      </c>
      <c r="E22" s="51"/>
      <c r="F22" s="109">
        <v>6.0</v>
      </c>
      <c r="G22" s="85">
        <f t="array" ref="G22">ROUNDUP(IF(EQ(A22, ""),E22*INDEX(UncertaintyFactors!$C$2:$D$7, F22, 1), 0), 1)</f>
        <v>0</v>
      </c>
      <c r="H22" s="86">
        <f t="array" ref="H22">ROUNDUP(IF(EQ(A22, ""), E22*INDEX(UncertaintyFactors!$C$2:$D$7, F22, 2), 0), 1)</f>
        <v>0</v>
      </c>
      <c r="I22" s="111"/>
      <c r="J22" s="111"/>
      <c r="K22" s="112"/>
      <c r="L22" s="83">
        <f t="shared" si="1"/>
        <v>0</v>
      </c>
      <c r="M22" s="84">
        <f t="shared" si="2"/>
        <v>6</v>
      </c>
      <c r="N22" s="85">
        <f t="array" ref="N22">ROUNDUP(IF(EQ(A22, ""),L22*INDEX(UncertaintyFactors!$C$2:$D$7, M22, 1), 0), 1)</f>
        <v>0</v>
      </c>
      <c r="O22" s="86">
        <f t="array" ref="O22">ROUNDUP(IF(EQ(A22, ""), L22*INDEX(UncertaintyFactors!$C$2:$D$7, M22, 2), 0), 1)</f>
        <v>0</v>
      </c>
      <c r="P22" s="51"/>
      <c r="Q22" s="51"/>
      <c r="R22" s="51"/>
      <c r="S22" s="51"/>
      <c r="T22" s="51"/>
      <c r="U22" s="51"/>
      <c r="V22" s="51"/>
      <c r="W22" s="51"/>
      <c r="X22" s="51"/>
      <c r="Y22" s="51"/>
      <c r="Z22" s="51"/>
      <c r="AA22" s="51"/>
    </row>
    <row r="23" ht="15.75" customHeight="1">
      <c r="A23" s="109"/>
      <c r="B23" s="110"/>
      <c r="C23" s="51"/>
      <c r="D23" s="77">
        <v>0.0</v>
      </c>
      <c r="E23" s="51"/>
      <c r="F23" s="109">
        <v>6.0</v>
      </c>
      <c r="G23" s="85">
        <f t="array" ref="G23">ROUNDUP(IF(EQ(A23, ""),E23*INDEX(UncertaintyFactors!$C$2:$D$7, F23, 1), 0), 1)</f>
        <v>0</v>
      </c>
      <c r="H23" s="86">
        <f t="array" ref="H23">ROUNDUP(IF(EQ(A23, ""), E23*INDEX(UncertaintyFactors!$C$2:$D$7, F23, 2), 0), 1)</f>
        <v>0</v>
      </c>
      <c r="I23" s="111"/>
      <c r="J23" s="111"/>
      <c r="K23" s="112"/>
      <c r="L23" s="83">
        <f t="shared" si="1"/>
        <v>0</v>
      </c>
      <c r="M23" s="84">
        <f t="shared" si="2"/>
        <v>6</v>
      </c>
      <c r="N23" s="85">
        <f t="array" ref="N23">ROUNDUP(IF(EQ(A23, ""),L23*INDEX(UncertaintyFactors!$C$2:$D$7, M23, 1), 0), 1)</f>
        <v>0</v>
      </c>
      <c r="O23" s="86">
        <f t="array" ref="O23">ROUNDUP(IF(EQ(A23, ""), L23*INDEX(UncertaintyFactors!$C$2:$D$7, M23, 2), 0), 1)</f>
        <v>0</v>
      </c>
      <c r="P23" s="51"/>
      <c r="Q23" s="51"/>
      <c r="R23" s="51"/>
      <c r="S23" s="51"/>
      <c r="T23" s="51"/>
      <c r="U23" s="51"/>
      <c r="V23" s="51"/>
      <c r="W23" s="51"/>
      <c r="X23" s="51"/>
      <c r="Y23" s="51"/>
      <c r="Z23" s="51"/>
      <c r="AA23" s="51"/>
    </row>
    <row r="24" ht="15.75" customHeight="1">
      <c r="A24" s="109"/>
      <c r="B24" s="110"/>
      <c r="C24" s="51"/>
      <c r="D24" s="77">
        <v>0.0</v>
      </c>
      <c r="E24" s="51"/>
      <c r="F24" s="109">
        <v>6.0</v>
      </c>
      <c r="G24" s="85">
        <f t="array" ref="G24">ROUNDUP(IF(EQ(A24, ""),E24*INDEX(UncertaintyFactors!$C$2:$D$7, F24, 1), 0), 1)</f>
        <v>0</v>
      </c>
      <c r="H24" s="86">
        <f t="array" ref="H24">ROUNDUP(IF(EQ(A24, ""), E24*INDEX(UncertaintyFactors!$C$2:$D$7, F24, 2), 0), 1)</f>
        <v>0</v>
      </c>
      <c r="I24" s="111"/>
      <c r="J24" s="111"/>
      <c r="K24" s="112"/>
      <c r="L24" s="83">
        <f t="shared" si="1"/>
        <v>0</v>
      </c>
      <c r="M24" s="84">
        <f t="shared" si="2"/>
        <v>6</v>
      </c>
      <c r="N24" s="85">
        <f t="array" ref="N24">ROUNDUP(IF(EQ(A24, ""),L24*INDEX(UncertaintyFactors!$C$2:$D$7, M24, 1), 0), 1)</f>
        <v>0</v>
      </c>
      <c r="O24" s="86">
        <f t="array" ref="O24">ROUNDUP(IF(EQ(A24, ""), L24*INDEX(UncertaintyFactors!$C$2:$D$7, M24, 2), 0), 1)</f>
        <v>0</v>
      </c>
      <c r="P24" s="51"/>
      <c r="Q24" s="51"/>
      <c r="R24" s="51"/>
      <c r="S24" s="51"/>
      <c r="T24" s="51"/>
      <c r="U24" s="51"/>
      <c r="V24" s="51"/>
      <c r="W24" s="51"/>
      <c r="X24" s="51"/>
      <c r="Y24" s="51"/>
      <c r="Z24" s="51"/>
      <c r="AA24" s="51"/>
    </row>
    <row r="25" ht="15.75" customHeight="1">
      <c r="A25" s="109"/>
      <c r="B25" s="110"/>
      <c r="C25" s="51"/>
      <c r="D25" s="77">
        <v>0.0</v>
      </c>
      <c r="E25" s="51"/>
      <c r="F25" s="109">
        <v>6.0</v>
      </c>
      <c r="G25" s="85">
        <f t="array" ref="G25">ROUNDUP(IF(EQ(A25, ""),E25*INDEX(UncertaintyFactors!$C$2:$D$7, F25, 1), 0), 1)</f>
        <v>0</v>
      </c>
      <c r="H25" s="86">
        <f t="array" ref="H25">ROUNDUP(IF(EQ(A25, ""), E25*INDEX(UncertaintyFactors!$C$2:$D$7, F25, 2), 0), 1)</f>
        <v>0</v>
      </c>
      <c r="I25" s="111"/>
      <c r="J25" s="111"/>
      <c r="K25" s="112"/>
      <c r="L25" s="83">
        <f t="shared" si="1"/>
        <v>0</v>
      </c>
      <c r="M25" s="84">
        <f t="shared" si="2"/>
        <v>6</v>
      </c>
      <c r="N25" s="85">
        <f t="array" ref="N25">ROUNDUP(IF(EQ(A25, ""),L25*INDEX(UncertaintyFactors!$C$2:$D$7, M25, 1), 0), 1)</f>
        <v>0</v>
      </c>
      <c r="O25" s="86">
        <f t="array" ref="O25">ROUNDUP(IF(EQ(A25, ""), L25*INDEX(UncertaintyFactors!$C$2:$D$7, M25, 2), 0), 1)</f>
        <v>0</v>
      </c>
      <c r="P25" s="51"/>
      <c r="Q25" s="51"/>
      <c r="R25" s="51"/>
      <c r="S25" s="51"/>
      <c r="T25" s="51"/>
      <c r="U25" s="51"/>
      <c r="V25" s="51"/>
      <c r="W25" s="51"/>
      <c r="X25" s="51"/>
      <c r="Y25" s="51"/>
      <c r="Z25" s="51"/>
      <c r="AA25" s="51"/>
    </row>
    <row r="26" ht="15.75" customHeight="1">
      <c r="A26" s="109"/>
      <c r="B26" s="110"/>
      <c r="C26" s="51"/>
      <c r="D26" s="77">
        <v>0.0</v>
      </c>
      <c r="E26" s="51"/>
      <c r="F26" s="109">
        <v>6.0</v>
      </c>
      <c r="G26" s="85">
        <f t="array" ref="G26">ROUNDUP(IF(EQ(A26, ""),E26*INDEX(UncertaintyFactors!$C$2:$D$7, F26, 1), 0), 1)</f>
        <v>0</v>
      </c>
      <c r="H26" s="86">
        <f t="array" ref="H26">ROUNDUP(IF(EQ(A26, ""), E26*INDEX(UncertaintyFactors!$C$2:$D$7, F26, 2), 0), 1)</f>
        <v>0</v>
      </c>
      <c r="I26" s="111"/>
      <c r="J26" s="111"/>
      <c r="K26" s="112"/>
      <c r="L26" s="83">
        <f t="shared" si="1"/>
        <v>0</v>
      </c>
      <c r="M26" s="84">
        <f t="shared" si="2"/>
        <v>6</v>
      </c>
      <c r="N26" s="85">
        <f t="array" ref="N26">ROUNDUP(IF(EQ(A26, ""),L26*INDEX(UncertaintyFactors!$C$2:$D$7, M26, 1), 0), 1)</f>
        <v>0</v>
      </c>
      <c r="O26" s="86">
        <f t="array" ref="O26">ROUNDUP(IF(EQ(A26, ""), L26*INDEX(UncertaintyFactors!$C$2:$D$7, M26, 2), 0), 1)</f>
        <v>0</v>
      </c>
      <c r="P26" s="51"/>
      <c r="Q26" s="51"/>
      <c r="R26" s="51"/>
      <c r="S26" s="51"/>
      <c r="T26" s="51"/>
      <c r="U26" s="51"/>
      <c r="V26" s="51"/>
      <c r="W26" s="51"/>
      <c r="X26" s="51"/>
      <c r="Y26" s="51"/>
      <c r="Z26" s="51"/>
      <c r="AA26" s="51"/>
    </row>
    <row r="27" ht="15.75" customHeight="1">
      <c r="A27" s="109"/>
      <c r="B27" s="110"/>
      <c r="C27" s="51"/>
      <c r="D27" s="77">
        <v>0.0</v>
      </c>
      <c r="E27" s="51"/>
      <c r="F27" s="109">
        <v>6.0</v>
      </c>
      <c r="G27" s="85">
        <f t="array" ref="G27">ROUNDUP(IF(EQ(A27, ""),E27*INDEX(UncertaintyFactors!$C$2:$D$7, F27, 1), 0), 1)</f>
        <v>0</v>
      </c>
      <c r="H27" s="86">
        <f t="array" ref="H27">ROUNDUP(IF(EQ(A27, ""), E27*INDEX(UncertaintyFactors!$C$2:$D$7, F27, 2), 0), 1)</f>
        <v>0</v>
      </c>
      <c r="I27" s="111"/>
      <c r="J27" s="111"/>
      <c r="K27" s="112"/>
      <c r="L27" s="83">
        <f t="shared" si="1"/>
        <v>0</v>
      </c>
      <c r="M27" s="84">
        <f t="shared" si="2"/>
        <v>6</v>
      </c>
      <c r="N27" s="85">
        <f t="array" ref="N27">ROUNDUP(IF(EQ(A27, ""),L27*INDEX(UncertaintyFactors!$C$2:$D$7, M27, 1), 0), 1)</f>
        <v>0</v>
      </c>
      <c r="O27" s="86">
        <f t="array" ref="O27">ROUNDUP(IF(EQ(A27, ""), L27*INDEX(UncertaintyFactors!$C$2:$D$7, M27, 2), 0), 1)</f>
        <v>0</v>
      </c>
      <c r="P27" s="51"/>
      <c r="Q27" s="51"/>
      <c r="R27" s="51"/>
      <c r="S27" s="51"/>
      <c r="T27" s="51"/>
      <c r="U27" s="51"/>
      <c r="V27" s="51"/>
      <c r="W27" s="51"/>
      <c r="X27" s="51"/>
      <c r="Y27" s="51"/>
      <c r="Z27" s="51"/>
      <c r="AA27" s="51"/>
    </row>
    <row r="28" ht="15.75" customHeight="1">
      <c r="A28" s="109"/>
      <c r="B28" s="110"/>
      <c r="C28" s="51"/>
      <c r="D28" s="77">
        <v>0.0</v>
      </c>
      <c r="E28" s="51"/>
      <c r="F28" s="109">
        <v>6.0</v>
      </c>
      <c r="G28" s="85">
        <f t="array" ref="G28">ROUNDUP(IF(EQ(A28, ""),E28*INDEX(UncertaintyFactors!$C$2:$D$7, F28, 1), 0), 1)</f>
        <v>0</v>
      </c>
      <c r="H28" s="86">
        <f t="array" ref="H28">ROUNDUP(IF(EQ(A28, ""), E28*INDEX(UncertaintyFactors!$C$2:$D$7, F28, 2), 0), 1)</f>
        <v>0</v>
      </c>
      <c r="I28" s="111"/>
      <c r="J28" s="111"/>
      <c r="K28" s="112"/>
      <c r="L28" s="83">
        <f t="shared" si="1"/>
        <v>0</v>
      </c>
      <c r="M28" s="84">
        <f t="shared" si="2"/>
        <v>6</v>
      </c>
      <c r="N28" s="85">
        <f t="array" ref="N28">ROUNDUP(IF(EQ(A28, ""),L28*INDEX(UncertaintyFactors!$C$2:$D$7, M28, 1), 0), 1)</f>
        <v>0</v>
      </c>
      <c r="O28" s="86">
        <f t="array" ref="O28">ROUNDUP(IF(EQ(A28, ""), L28*INDEX(UncertaintyFactors!$C$2:$D$7, M28, 2), 0), 1)</f>
        <v>0</v>
      </c>
      <c r="P28" s="51"/>
      <c r="Q28" s="51"/>
      <c r="R28" s="51"/>
      <c r="S28" s="51"/>
      <c r="T28" s="51"/>
      <c r="U28" s="51"/>
      <c r="V28" s="51"/>
      <c r="W28" s="51"/>
      <c r="X28" s="51"/>
      <c r="Y28" s="51"/>
      <c r="Z28" s="51"/>
      <c r="AA28" s="51"/>
    </row>
    <row r="29" ht="15.75" customHeight="1">
      <c r="A29" s="109"/>
      <c r="B29" s="110"/>
      <c r="C29" s="51"/>
      <c r="D29" s="77">
        <v>0.0</v>
      </c>
      <c r="E29" s="51"/>
      <c r="F29" s="109">
        <v>6.0</v>
      </c>
      <c r="G29" s="85">
        <f t="array" ref="G29">ROUNDUP(IF(EQ(A29, ""),E29*INDEX(UncertaintyFactors!$C$2:$D$7, F29, 1), 0), 1)</f>
        <v>0</v>
      </c>
      <c r="H29" s="86">
        <f t="array" ref="H29">ROUNDUP(IF(EQ(A29, ""), E29*INDEX(UncertaintyFactors!$C$2:$D$7, F29, 2), 0), 1)</f>
        <v>0</v>
      </c>
      <c r="I29" s="111"/>
      <c r="J29" s="111"/>
      <c r="K29" s="112"/>
      <c r="L29" s="83">
        <f t="shared" si="1"/>
        <v>0</v>
      </c>
      <c r="M29" s="84">
        <f t="shared" si="2"/>
        <v>6</v>
      </c>
      <c r="N29" s="85">
        <f t="array" ref="N29">ROUNDUP(IF(EQ(A29, ""),L29*INDEX(UncertaintyFactors!$C$2:$D$7, M29, 1), 0), 1)</f>
        <v>0</v>
      </c>
      <c r="O29" s="86">
        <f t="array" ref="O29">ROUNDUP(IF(EQ(A29, ""), L29*INDEX(UncertaintyFactors!$C$2:$D$7, M29, 2), 0), 1)</f>
        <v>0</v>
      </c>
      <c r="P29" s="51"/>
      <c r="Q29" s="51"/>
      <c r="R29" s="51"/>
      <c r="S29" s="51"/>
      <c r="T29" s="51"/>
      <c r="U29" s="51"/>
      <c r="V29" s="51"/>
      <c r="W29" s="51"/>
      <c r="X29" s="51"/>
      <c r="Y29" s="51"/>
      <c r="Z29" s="51"/>
      <c r="AA29" s="51"/>
    </row>
    <row r="30" ht="15.75" customHeight="1">
      <c r="A30" s="109"/>
      <c r="B30" s="110"/>
      <c r="C30" s="51"/>
      <c r="D30" s="77">
        <v>0.0</v>
      </c>
      <c r="E30" s="51"/>
      <c r="F30" s="109">
        <v>6.0</v>
      </c>
      <c r="G30" s="85">
        <f t="array" ref="G30">ROUNDUP(IF(EQ(A30, ""),E30*INDEX(UncertaintyFactors!$C$2:$D$7, F30, 1), 0), 1)</f>
        <v>0</v>
      </c>
      <c r="H30" s="86">
        <f t="array" ref="H30">ROUNDUP(IF(EQ(A30, ""), E30*INDEX(UncertaintyFactors!$C$2:$D$7, F30, 2), 0), 1)</f>
        <v>0</v>
      </c>
      <c r="I30" s="111"/>
      <c r="J30" s="111"/>
      <c r="K30" s="112"/>
      <c r="L30" s="83">
        <f t="shared" si="1"/>
        <v>0</v>
      </c>
      <c r="M30" s="84">
        <f t="shared" si="2"/>
        <v>6</v>
      </c>
      <c r="N30" s="85">
        <f t="array" ref="N30">ROUNDUP(IF(EQ(A30, ""),L30*INDEX(UncertaintyFactors!$C$2:$D$7, M30, 1), 0), 1)</f>
        <v>0</v>
      </c>
      <c r="O30" s="86">
        <f t="array" ref="O30">ROUNDUP(IF(EQ(A30, ""), L30*INDEX(UncertaintyFactors!$C$2:$D$7, M30, 2), 0), 1)</f>
        <v>0</v>
      </c>
      <c r="P30" s="51"/>
      <c r="Q30" s="51"/>
      <c r="R30" s="51"/>
      <c r="S30" s="51"/>
      <c r="T30" s="51"/>
      <c r="U30" s="51"/>
      <c r="V30" s="51"/>
      <c r="W30" s="51"/>
      <c r="X30" s="51"/>
      <c r="Y30" s="51"/>
      <c r="Z30" s="51"/>
      <c r="AA30" s="51"/>
    </row>
    <row r="31" ht="15.75" customHeight="1">
      <c r="A31" s="109"/>
      <c r="B31" s="110"/>
      <c r="C31" s="51"/>
      <c r="D31" s="77">
        <v>0.0</v>
      </c>
      <c r="E31" s="51"/>
      <c r="F31" s="109">
        <v>6.0</v>
      </c>
      <c r="G31" s="85">
        <f t="array" ref="G31">ROUNDUP(IF(EQ(A31, ""),E31*INDEX(UncertaintyFactors!$C$2:$D$7, F31, 1), 0), 1)</f>
        <v>0</v>
      </c>
      <c r="H31" s="86">
        <f t="array" ref="H31">ROUNDUP(IF(EQ(A31, ""), E31*INDEX(UncertaintyFactors!$C$2:$D$7, F31, 2), 0), 1)</f>
        <v>0</v>
      </c>
      <c r="I31" s="111"/>
      <c r="J31" s="111"/>
      <c r="K31" s="112"/>
      <c r="L31" s="83">
        <f t="shared" si="1"/>
        <v>0</v>
      </c>
      <c r="M31" s="84">
        <f t="shared" si="2"/>
        <v>6</v>
      </c>
      <c r="N31" s="85">
        <f t="array" ref="N31">ROUNDUP(IF(EQ(A31, ""),L31*INDEX(UncertaintyFactors!$C$2:$D$7, M31, 1), 0), 1)</f>
        <v>0</v>
      </c>
      <c r="O31" s="86">
        <f t="array" ref="O31">ROUNDUP(IF(EQ(A31, ""), L31*INDEX(UncertaintyFactors!$C$2:$D$7, M31, 2), 0), 1)</f>
        <v>0</v>
      </c>
      <c r="P31" s="51"/>
      <c r="Q31" s="51"/>
      <c r="R31" s="51"/>
      <c r="S31" s="51"/>
      <c r="T31" s="51"/>
      <c r="U31" s="51"/>
      <c r="V31" s="51"/>
      <c r="W31" s="51"/>
      <c r="X31" s="51"/>
      <c r="Y31" s="51"/>
      <c r="Z31" s="51"/>
      <c r="AA31" s="51"/>
    </row>
    <row r="32" ht="15.75" customHeight="1">
      <c r="A32" s="109"/>
      <c r="B32" s="114"/>
      <c r="C32" s="51"/>
      <c r="D32" s="77">
        <v>0.0</v>
      </c>
      <c r="E32" s="51"/>
      <c r="F32" s="109">
        <v>6.0</v>
      </c>
      <c r="G32" s="85">
        <f t="array" ref="G32">ROUNDUP(IF(EQ(A32, ""),E32*INDEX(UncertaintyFactors!$C$2:$D$7, F32, 1), 0), 1)</f>
        <v>0</v>
      </c>
      <c r="H32" s="86">
        <f t="array" ref="H32">ROUNDUP(IF(EQ(A32, ""), E32*INDEX(UncertaintyFactors!$C$2:$D$7, F32, 2), 0), 1)</f>
        <v>0</v>
      </c>
      <c r="I32" s="111"/>
      <c r="J32" s="111"/>
      <c r="K32" s="112"/>
      <c r="L32" s="83">
        <f t="shared" si="1"/>
        <v>0</v>
      </c>
      <c r="M32" s="84">
        <f t="shared" si="2"/>
        <v>6</v>
      </c>
      <c r="N32" s="85">
        <f t="array" ref="N32">ROUNDUP(IF(EQ(A32, ""),L32*INDEX(UncertaintyFactors!$C$2:$D$7, M32, 1), 0), 1)</f>
        <v>0</v>
      </c>
      <c r="O32" s="86">
        <f t="array" ref="O32">ROUNDUP(IF(EQ(A32, ""), L32*INDEX(UncertaintyFactors!$C$2:$D$7, M32, 2), 0), 1)</f>
        <v>0</v>
      </c>
      <c r="P32" s="51"/>
      <c r="Q32" s="51"/>
      <c r="R32" s="51"/>
      <c r="S32" s="51"/>
      <c r="T32" s="51"/>
      <c r="U32" s="51"/>
      <c r="V32" s="51"/>
      <c r="W32" s="51"/>
      <c r="X32" s="51"/>
      <c r="Y32" s="51"/>
      <c r="Z32" s="51"/>
      <c r="AA32" s="51"/>
    </row>
    <row r="33" ht="15.75" customHeight="1">
      <c r="A33" s="109"/>
      <c r="B33" s="110"/>
      <c r="C33" s="51"/>
      <c r="D33" s="77">
        <v>0.0</v>
      </c>
      <c r="E33" s="51"/>
      <c r="F33" s="109">
        <v>6.0</v>
      </c>
      <c r="G33" s="85">
        <f t="array" ref="G33">ROUNDUP(IF(EQ(A33, ""),E33*INDEX(UncertaintyFactors!$C$2:$D$7, F33, 1), 0), 1)</f>
        <v>0</v>
      </c>
      <c r="H33" s="86">
        <f t="array" ref="H33">ROUNDUP(IF(EQ(A33, ""), E33*INDEX(UncertaintyFactors!$C$2:$D$7, F33, 2), 0), 1)</f>
        <v>0</v>
      </c>
      <c r="I33" s="111"/>
      <c r="J33" s="111"/>
      <c r="K33" s="112"/>
      <c r="L33" s="83">
        <f t="shared" si="1"/>
        <v>0</v>
      </c>
      <c r="M33" s="84">
        <f t="shared" si="2"/>
        <v>6</v>
      </c>
      <c r="N33" s="85">
        <f t="array" ref="N33">ROUNDUP(IF(EQ(A33, ""),L33*INDEX(UncertaintyFactors!$C$2:$D$7, M33, 1), 0), 1)</f>
        <v>0</v>
      </c>
      <c r="O33" s="86">
        <f t="array" ref="O33">ROUNDUP(IF(EQ(A33, ""), L33*INDEX(UncertaintyFactors!$C$2:$D$7, M33, 2), 0), 1)</f>
        <v>0</v>
      </c>
      <c r="P33" s="51"/>
      <c r="Q33" s="51"/>
      <c r="R33" s="51"/>
      <c r="S33" s="51"/>
      <c r="T33" s="51"/>
      <c r="U33" s="51"/>
      <c r="V33" s="51"/>
      <c r="W33" s="51"/>
      <c r="X33" s="51"/>
      <c r="Y33" s="51"/>
      <c r="Z33" s="51"/>
      <c r="AA33" s="51"/>
    </row>
    <row r="34" ht="15.75" customHeight="1">
      <c r="A34" s="109"/>
      <c r="B34" s="110"/>
      <c r="C34" s="51"/>
      <c r="D34" s="77">
        <v>0.0</v>
      </c>
      <c r="E34" s="51"/>
      <c r="F34" s="109">
        <v>6.0</v>
      </c>
      <c r="G34" s="85">
        <f t="array" ref="G34">ROUNDUP(IF(EQ(A34, ""),E34*INDEX(UncertaintyFactors!$C$2:$D$7, F34, 1), 0), 1)</f>
        <v>0</v>
      </c>
      <c r="H34" s="86">
        <f t="array" ref="H34">ROUNDUP(IF(EQ(A34, ""), E34*INDEX(UncertaintyFactors!$C$2:$D$7, F34, 2), 0), 1)</f>
        <v>0</v>
      </c>
      <c r="I34" s="111"/>
      <c r="J34" s="111"/>
      <c r="K34" s="112"/>
      <c r="L34" s="83">
        <f t="shared" si="1"/>
        <v>0</v>
      </c>
      <c r="M34" s="84">
        <f t="shared" si="2"/>
        <v>6</v>
      </c>
      <c r="N34" s="85">
        <f t="array" ref="N34">ROUNDUP(IF(EQ(A34, ""),L34*INDEX(UncertaintyFactors!$C$2:$D$7, M34, 1), 0), 1)</f>
        <v>0</v>
      </c>
      <c r="O34" s="86">
        <f t="array" ref="O34">ROUNDUP(IF(EQ(A34, ""), L34*INDEX(UncertaintyFactors!$C$2:$D$7, M34, 2), 0), 1)</f>
        <v>0</v>
      </c>
      <c r="P34" s="51"/>
      <c r="Q34" s="51"/>
      <c r="R34" s="51"/>
      <c r="S34" s="51"/>
      <c r="T34" s="51"/>
      <c r="U34" s="51"/>
      <c r="V34" s="51"/>
      <c r="W34" s="51"/>
      <c r="X34" s="51"/>
      <c r="Y34" s="51"/>
      <c r="Z34" s="51"/>
      <c r="AA34" s="51"/>
    </row>
    <row r="35" ht="15.75" customHeight="1">
      <c r="A35" s="109"/>
      <c r="B35" s="110"/>
      <c r="C35" s="51"/>
      <c r="D35" s="77">
        <v>0.0</v>
      </c>
      <c r="E35" s="51"/>
      <c r="F35" s="109">
        <v>6.0</v>
      </c>
      <c r="G35" s="85">
        <f t="array" ref="G35">ROUNDUP(IF(EQ(A35, ""),E35*INDEX(UncertaintyFactors!$C$2:$D$7, F35, 1), 0), 1)</f>
        <v>0</v>
      </c>
      <c r="H35" s="86">
        <f t="array" ref="H35">ROUNDUP(IF(EQ(A35, ""), E35*INDEX(UncertaintyFactors!$C$2:$D$7, F35, 2), 0), 1)</f>
        <v>0</v>
      </c>
      <c r="I35" s="111"/>
      <c r="J35" s="111"/>
      <c r="K35" s="112"/>
      <c r="L35" s="83">
        <f t="shared" si="1"/>
        <v>0</v>
      </c>
      <c r="M35" s="84">
        <f t="shared" si="2"/>
        <v>6</v>
      </c>
      <c r="N35" s="85">
        <f t="array" ref="N35">ROUNDUP(IF(EQ(A35, ""),L35*INDEX(UncertaintyFactors!$C$2:$D$7, M35, 1), 0), 1)</f>
        <v>0</v>
      </c>
      <c r="O35" s="86">
        <f t="array" ref="O35">ROUNDUP(IF(EQ(A35, ""), L35*INDEX(UncertaintyFactors!$C$2:$D$7, M35, 2), 0), 1)</f>
        <v>0</v>
      </c>
      <c r="P35" s="51"/>
      <c r="Q35" s="51"/>
      <c r="R35" s="51"/>
      <c r="S35" s="51"/>
      <c r="T35" s="51"/>
      <c r="U35" s="51"/>
      <c r="V35" s="51"/>
      <c r="W35" s="51"/>
      <c r="X35" s="51"/>
      <c r="Y35" s="51"/>
      <c r="Z35" s="51"/>
      <c r="AA35" s="51"/>
    </row>
    <row r="36" ht="15.75" customHeight="1">
      <c r="A36" s="109"/>
      <c r="B36" s="110"/>
      <c r="C36" s="51"/>
      <c r="D36" s="77">
        <v>0.0</v>
      </c>
      <c r="E36" s="51"/>
      <c r="F36" s="109">
        <v>6.0</v>
      </c>
      <c r="G36" s="85">
        <f t="array" ref="G36">ROUNDUP(IF(EQ(A36, ""),E36*INDEX(UncertaintyFactors!$C$2:$D$7, F36, 1), 0), 1)</f>
        <v>0</v>
      </c>
      <c r="H36" s="86">
        <f t="array" ref="H36">ROUNDUP(IF(EQ(A36, ""), E36*INDEX(UncertaintyFactors!$C$2:$D$7, F36, 2), 0), 1)</f>
        <v>0</v>
      </c>
      <c r="I36" s="111"/>
      <c r="J36" s="111"/>
      <c r="K36" s="112"/>
      <c r="L36" s="83">
        <f t="shared" si="1"/>
        <v>0</v>
      </c>
      <c r="M36" s="84">
        <f t="shared" si="2"/>
        <v>6</v>
      </c>
      <c r="N36" s="85">
        <f t="array" ref="N36">ROUNDUP(IF(EQ(A36, ""),L36*INDEX(UncertaintyFactors!$C$2:$D$7, M36, 1), 0), 1)</f>
        <v>0</v>
      </c>
      <c r="O36" s="86">
        <f t="array" ref="O36">ROUNDUP(IF(EQ(A36, ""), L36*INDEX(UncertaintyFactors!$C$2:$D$7, M36, 2), 0), 1)</f>
        <v>0</v>
      </c>
      <c r="P36" s="51"/>
      <c r="Q36" s="51"/>
      <c r="R36" s="51"/>
      <c r="S36" s="51"/>
      <c r="T36" s="51"/>
      <c r="U36" s="51"/>
      <c r="V36" s="51"/>
      <c r="W36" s="51"/>
      <c r="X36" s="51"/>
      <c r="Y36" s="51"/>
      <c r="Z36" s="51"/>
      <c r="AA36" s="51"/>
    </row>
    <row r="37" ht="15.75" customHeight="1">
      <c r="A37" s="109"/>
      <c r="B37" s="110"/>
      <c r="C37" s="51"/>
      <c r="D37" s="77">
        <v>0.0</v>
      </c>
      <c r="E37" s="51"/>
      <c r="F37" s="109">
        <v>6.0</v>
      </c>
      <c r="G37" s="85">
        <f t="array" ref="G37">ROUNDUP(IF(EQ(A37, ""),E37*INDEX(UncertaintyFactors!$C$2:$D$7, F37, 1), 0), 1)</f>
        <v>0</v>
      </c>
      <c r="H37" s="86">
        <f t="array" ref="H37">ROUNDUP(IF(EQ(A37, ""), E37*INDEX(UncertaintyFactors!$C$2:$D$7, F37, 2), 0), 1)</f>
        <v>0</v>
      </c>
      <c r="I37" s="111"/>
      <c r="J37" s="111"/>
      <c r="K37" s="112"/>
      <c r="L37" s="83">
        <f t="shared" si="1"/>
        <v>0</v>
      </c>
      <c r="M37" s="84">
        <f t="shared" si="2"/>
        <v>6</v>
      </c>
      <c r="N37" s="85">
        <f t="array" ref="N37">ROUNDUP(IF(EQ(A37, ""),L37*INDEX(UncertaintyFactors!$C$2:$D$7, M37, 1), 0), 1)</f>
        <v>0</v>
      </c>
      <c r="O37" s="86">
        <f t="array" ref="O37">ROUNDUP(IF(EQ(A37, ""), L37*INDEX(UncertaintyFactors!$C$2:$D$7, M37, 2), 0), 1)</f>
        <v>0</v>
      </c>
      <c r="P37" s="51"/>
      <c r="Q37" s="51"/>
      <c r="R37" s="51"/>
      <c r="S37" s="51"/>
      <c r="T37" s="51"/>
      <c r="U37" s="51"/>
      <c r="V37" s="51"/>
      <c r="W37" s="51"/>
      <c r="X37" s="51"/>
      <c r="Y37" s="51"/>
      <c r="Z37" s="51"/>
      <c r="AA37" s="51"/>
    </row>
    <row r="38" ht="15.75" customHeight="1">
      <c r="A38" s="109"/>
      <c r="B38" s="110"/>
      <c r="C38" s="51"/>
      <c r="D38" s="77">
        <v>0.0</v>
      </c>
      <c r="E38" s="51"/>
      <c r="F38" s="109">
        <v>6.0</v>
      </c>
      <c r="G38" s="85">
        <f t="array" ref="G38">ROUNDUP(IF(EQ(A38, ""),E38*INDEX(UncertaintyFactors!$C$2:$D$7, F38, 1), 0), 1)</f>
        <v>0</v>
      </c>
      <c r="H38" s="86">
        <f t="array" ref="H38">ROUNDUP(IF(EQ(A38, ""), E38*INDEX(UncertaintyFactors!$C$2:$D$7, F38, 2), 0), 1)</f>
        <v>0</v>
      </c>
      <c r="I38" s="111"/>
      <c r="J38" s="111"/>
      <c r="K38" s="112"/>
      <c r="L38" s="83">
        <f t="shared" si="1"/>
        <v>0</v>
      </c>
      <c r="M38" s="84">
        <f t="shared" si="2"/>
        <v>6</v>
      </c>
      <c r="N38" s="85">
        <f t="array" ref="N38">ROUNDUP(IF(EQ(A38, ""),L38*INDEX(UncertaintyFactors!$C$2:$D$7, M38, 1), 0), 1)</f>
        <v>0</v>
      </c>
      <c r="O38" s="86">
        <f t="array" ref="O38">ROUNDUP(IF(EQ(A38, ""), L38*INDEX(UncertaintyFactors!$C$2:$D$7, M38, 2), 0), 1)</f>
        <v>0</v>
      </c>
      <c r="P38" s="51"/>
      <c r="Q38" s="51"/>
      <c r="R38" s="51"/>
      <c r="S38" s="51"/>
      <c r="T38" s="51"/>
      <c r="U38" s="51"/>
      <c r="V38" s="51"/>
      <c r="W38" s="51"/>
      <c r="X38" s="51"/>
      <c r="Y38" s="51"/>
      <c r="Z38" s="51"/>
      <c r="AA38" s="51"/>
    </row>
    <row r="39" ht="15.75" customHeight="1">
      <c r="A39" s="109"/>
      <c r="B39" s="110"/>
      <c r="C39" s="51"/>
      <c r="D39" s="77">
        <v>0.0</v>
      </c>
      <c r="E39" s="51"/>
      <c r="F39" s="109">
        <v>6.0</v>
      </c>
      <c r="G39" s="85">
        <f t="array" ref="G39">ROUNDUP(IF(EQ(A39, ""),E39*INDEX(UncertaintyFactors!$C$2:$D$7, F39, 1), 0), 1)</f>
        <v>0</v>
      </c>
      <c r="H39" s="86">
        <f t="array" ref="H39">ROUNDUP(IF(EQ(A39, ""), E39*INDEX(UncertaintyFactors!$C$2:$D$7, F39, 2), 0), 1)</f>
        <v>0</v>
      </c>
      <c r="I39" s="111"/>
      <c r="J39" s="111"/>
      <c r="K39" s="112"/>
      <c r="L39" s="83">
        <f t="shared" si="1"/>
        <v>0</v>
      </c>
      <c r="M39" s="84">
        <f t="shared" si="2"/>
        <v>6</v>
      </c>
      <c r="N39" s="85">
        <f t="array" ref="N39">ROUNDUP(IF(EQ(A39, ""),L39*INDEX(UncertaintyFactors!$C$2:$D$7, M39, 1), 0), 1)</f>
        <v>0</v>
      </c>
      <c r="O39" s="86">
        <f t="array" ref="O39">ROUNDUP(IF(EQ(A39, ""), L39*INDEX(UncertaintyFactors!$C$2:$D$7, M39, 2), 0), 1)</f>
        <v>0</v>
      </c>
      <c r="P39" s="51"/>
      <c r="Q39" s="51"/>
      <c r="R39" s="51"/>
      <c r="S39" s="51"/>
      <c r="T39" s="51"/>
      <c r="U39" s="51"/>
      <c r="V39" s="51"/>
      <c r="W39" s="51"/>
      <c r="X39" s="51"/>
      <c r="Y39" s="51"/>
      <c r="Z39" s="51"/>
      <c r="AA39" s="51"/>
    </row>
    <row r="40" ht="15.75" customHeight="1">
      <c r="A40" s="109"/>
      <c r="B40" s="110"/>
      <c r="C40" s="51"/>
      <c r="D40" s="77">
        <v>0.0</v>
      </c>
      <c r="E40" s="51"/>
      <c r="F40" s="109">
        <v>6.0</v>
      </c>
      <c r="G40" s="85">
        <f t="array" ref="G40">ROUNDUP(IF(EQ(A40, ""),E40*INDEX(UncertaintyFactors!$C$2:$D$7, F40, 1), 0), 1)</f>
        <v>0</v>
      </c>
      <c r="H40" s="86">
        <f t="array" ref="H40">ROUNDUP(IF(EQ(A40, ""), E40*INDEX(UncertaintyFactors!$C$2:$D$7, F40, 2), 0), 1)</f>
        <v>0</v>
      </c>
      <c r="I40" s="111"/>
      <c r="J40" s="111"/>
      <c r="K40" s="112"/>
      <c r="L40" s="83">
        <f t="shared" si="1"/>
        <v>0</v>
      </c>
      <c r="M40" s="84">
        <f t="shared" si="2"/>
        <v>6</v>
      </c>
      <c r="N40" s="85">
        <f t="array" ref="N40">ROUNDUP(IF(EQ(A40, ""),L40*INDEX(UncertaintyFactors!$C$2:$D$7, M40, 1), 0), 1)</f>
        <v>0</v>
      </c>
      <c r="O40" s="86">
        <f t="array" ref="O40">ROUNDUP(IF(EQ(A40, ""), L40*INDEX(UncertaintyFactors!$C$2:$D$7, M40, 2), 0), 1)</f>
        <v>0</v>
      </c>
      <c r="P40" s="51"/>
      <c r="Q40" s="51"/>
      <c r="R40" s="51"/>
      <c r="S40" s="51"/>
      <c r="T40" s="51"/>
      <c r="U40" s="51"/>
      <c r="V40" s="51"/>
      <c r="W40" s="51"/>
      <c r="X40" s="51"/>
      <c r="Y40" s="51"/>
      <c r="Z40" s="51"/>
      <c r="AA40" s="51"/>
    </row>
    <row r="41" ht="15.75" customHeight="1">
      <c r="A41" s="109"/>
      <c r="B41" s="110"/>
      <c r="C41" s="51"/>
      <c r="D41" s="77">
        <v>0.0</v>
      </c>
      <c r="E41" s="51"/>
      <c r="F41" s="109">
        <v>6.0</v>
      </c>
      <c r="G41" s="85">
        <f t="array" ref="G41">ROUNDUP(IF(EQ(A41, ""),E41*INDEX(UncertaintyFactors!$C$2:$D$7, F41, 1), 0), 1)</f>
        <v>0</v>
      </c>
      <c r="H41" s="86">
        <f t="array" ref="H41">ROUNDUP(IF(EQ(A41, ""), E41*INDEX(UncertaintyFactors!$C$2:$D$7, F41, 2), 0), 1)</f>
        <v>0</v>
      </c>
      <c r="I41" s="111"/>
      <c r="J41" s="111"/>
      <c r="K41" s="112"/>
      <c r="L41" s="83">
        <f t="shared" si="1"/>
        <v>0</v>
      </c>
      <c r="M41" s="84">
        <f t="shared" si="2"/>
        <v>6</v>
      </c>
      <c r="N41" s="85">
        <f t="array" ref="N41">ROUNDUP(IF(EQ(A41, ""),L41*INDEX(UncertaintyFactors!$C$2:$D$7, M41, 1), 0), 1)</f>
        <v>0</v>
      </c>
      <c r="O41" s="86">
        <f t="array" ref="O41">ROUNDUP(IF(EQ(A41, ""), L41*INDEX(UncertaintyFactors!$C$2:$D$7, M41, 2), 0), 1)</f>
        <v>0</v>
      </c>
      <c r="P41" s="51"/>
      <c r="Q41" s="51"/>
      <c r="R41" s="51"/>
      <c r="S41" s="51"/>
      <c r="T41" s="51"/>
      <c r="U41" s="51"/>
      <c r="V41" s="51"/>
      <c r="W41" s="51"/>
      <c r="X41" s="51"/>
      <c r="Y41" s="51"/>
      <c r="Z41" s="51"/>
      <c r="AA41" s="51"/>
    </row>
    <row r="42" ht="15.75" customHeight="1">
      <c r="A42" s="109"/>
      <c r="B42" s="114"/>
      <c r="C42" s="51"/>
      <c r="D42" s="77">
        <v>0.0</v>
      </c>
      <c r="E42" s="51"/>
      <c r="F42" s="109">
        <v>6.0</v>
      </c>
      <c r="G42" s="85">
        <f t="array" ref="G42">ROUNDUP(IF(EQ(A42, ""),E42*INDEX(UncertaintyFactors!$C$2:$D$7, F42, 1), 0), 1)</f>
        <v>0</v>
      </c>
      <c r="H42" s="86">
        <f t="array" ref="H42">ROUNDUP(IF(EQ(A42, ""), E42*INDEX(UncertaintyFactors!$C$2:$D$7, F42, 2), 0), 1)</f>
        <v>0</v>
      </c>
      <c r="I42" s="111"/>
      <c r="J42" s="111"/>
      <c r="K42" s="112"/>
      <c r="L42" s="83">
        <f t="shared" si="1"/>
        <v>0</v>
      </c>
      <c r="M42" s="84">
        <f t="shared" si="2"/>
        <v>6</v>
      </c>
      <c r="N42" s="85">
        <f t="array" ref="N42">ROUNDUP(IF(EQ(A42, ""),L42*INDEX(UncertaintyFactors!$C$2:$D$7, M42, 1), 0), 1)</f>
        <v>0</v>
      </c>
      <c r="O42" s="86">
        <f t="array" ref="O42">ROUNDUP(IF(EQ(A42, ""), L42*INDEX(UncertaintyFactors!$C$2:$D$7, M42, 2), 0), 1)</f>
        <v>0</v>
      </c>
      <c r="P42" s="51"/>
      <c r="Q42" s="51"/>
      <c r="R42" s="51"/>
      <c r="S42" s="51"/>
      <c r="T42" s="51"/>
      <c r="U42" s="51"/>
      <c r="V42" s="51"/>
      <c r="W42" s="51"/>
      <c r="X42" s="51"/>
      <c r="Y42" s="51"/>
      <c r="Z42" s="51"/>
      <c r="AA42" s="51"/>
    </row>
    <row r="43" ht="15.75" customHeight="1">
      <c r="A43" s="109"/>
      <c r="B43" s="110"/>
      <c r="C43" s="51"/>
      <c r="D43" s="77">
        <v>0.0</v>
      </c>
      <c r="E43" s="51"/>
      <c r="F43" s="109">
        <v>6.0</v>
      </c>
      <c r="G43" s="85">
        <f t="array" ref="G43">ROUNDUP(IF(EQ(A43, ""),E43*INDEX(UncertaintyFactors!$C$2:$D$7, F43, 1), 0), 1)</f>
        <v>0</v>
      </c>
      <c r="H43" s="86">
        <f t="array" ref="H43">ROUNDUP(IF(EQ(A43, ""), E43*INDEX(UncertaintyFactors!$C$2:$D$7, F43, 2), 0), 1)</f>
        <v>0</v>
      </c>
      <c r="I43" s="111"/>
      <c r="J43" s="111"/>
      <c r="K43" s="112"/>
      <c r="L43" s="83">
        <f t="shared" si="1"/>
        <v>0</v>
      </c>
      <c r="M43" s="84">
        <f t="shared" si="2"/>
        <v>6</v>
      </c>
      <c r="N43" s="85">
        <f t="array" ref="N43">ROUNDUP(IF(EQ(A43, ""),L43*INDEX(UncertaintyFactors!$C$2:$D$7, M43, 1), 0), 1)</f>
        <v>0</v>
      </c>
      <c r="O43" s="86">
        <f t="array" ref="O43">ROUNDUP(IF(EQ(A43, ""), L43*INDEX(UncertaintyFactors!$C$2:$D$7, M43, 2), 0), 1)</f>
        <v>0</v>
      </c>
      <c r="P43" s="51"/>
      <c r="Q43" s="51"/>
      <c r="R43" s="51"/>
      <c r="S43" s="51"/>
      <c r="T43" s="51"/>
      <c r="U43" s="51"/>
      <c r="V43" s="51"/>
      <c r="W43" s="51"/>
      <c r="X43" s="51"/>
      <c r="Y43" s="51"/>
      <c r="Z43" s="51"/>
      <c r="AA43" s="51"/>
    </row>
    <row r="44" ht="15.75" customHeight="1">
      <c r="A44" s="109"/>
      <c r="B44" s="110"/>
      <c r="C44" s="51"/>
      <c r="D44" s="77">
        <v>0.0</v>
      </c>
      <c r="E44" s="51"/>
      <c r="F44" s="109">
        <v>6.0</v>
      </c>
      <c r="G44" s="85">
        <f t="array" ref="G44">ROUNDUP(IF(EQ(A44, ""),E44*INDEX(UncertaintyFactors!$C$2:$D$7, F44, 1), 0), 1)</f>
        <v>0</v>
      </c>
      <c r="H44" s="86">
        <f t="array" ref="H44">ROUNDUP(IF(EQ(A44, ""), E44*INDEX(UncertaintyFactors!$C$2:$D$7, F44, 2), 0), 1)</f>
        <v>0</v>
      </c>
      <c r="I44" s="111"/>
      <c r="J44" s="111"/>
      <c r="K44" s="112"/>
      <c r="L44" s="83">
        <f t="shared" si="1"/>
        <v>0</v>
      </c>
      <c r="M44" s="84">
        <f t="shared" si="2"/>
        <v>6</v>
      </c>
      <c r="N44" s="85">
        <f t="array" ref="N44">ROUNDUP(IF(EQ(A44, ""),L44*INDEX(UncertaintyFactors!$C$2:$D$7, M44, 1), 0), 1)</f>
        <v>0</v>
      </c>
      <c r="O44" s="86">
        <f t="array" ref="O44">ROUNDUP(IF(EQ(A44, ""), L44*INDEX(UncertaintyFactors!$C$2:$D$7, M44, 2), 0), 1)</f>
        <v>0</v>
      </c>
      <c r="P44" s="51"/>
      <c r="Q44" s="51"/>
      <c r="R44" s="51"/>
      <c r="S44" s="51"/>
      <c r="T44" s="51"/>
      <c r="U44" s="51"/>
      <c r="V44" s="51"/>
      <c r="W44" s="51"/>
      <c r="X44" s="51"/>
      <c r="Y44" s="51"/>
      <c r="Z44" s="51"/>
      <c r="AA44" s="51"/>
    </row>
    <row r="45" ht="15.75" customHeight="1">
      <c r="A45" s="109"/>
      <c r="B45" s="110"/>
      <c r="C45" s="51"/>
      <c r="D45" s="77">
        <v>0.0</v>
      </c>
      <c r="E45" s="51"/>
      <c r="F45" s="109">
        <v>6.0</v>
      </c>
      <c r="G45" s="85">
        <f t="array" ref="G45">ROUNDUP(IF(EQ(A45, ""),E45*INDEX(UncertaintyFactors!$C$2:$D$7, F45, 1), 0), 1)</f>
        <v>0</v>
      </c>
      <c r="H45" s="86">
        <f t="array" ref="H45">ROUNDUP(IF(EQ(A45, ""), E45*INDEX(UncertaintyFactors!$C$2:$D$7, F45, 2), 0), 1)</f>
        <v>0</v>
      </c>
      <c r="I45" s="111"/>
      <c r="J45" s="111"/>
      <c r="K45" s="112"/>
      <c r="L45" s="83">
        <f t="shared" si="1"/>
        <v>0</v>
      </c>
      <c r="M45" s="84">
        <f t="shared" si="2"/>
        <v>6</v>
      </c>
      <c r="N45" s="85">
        <f t="array" ref="N45">ROUNDUP(IF(EQ(A45, ""),L45*INDEX(UncertaintyFactors!$C$2:$D$7, M45, 1), 0), 1)</f>
        <v>0</v>
      </c>
      <c r="O45" s="86">
        <f t="array" ref="O45">ROUNDUP(IF(EQ(A45, ""), L45*INDEX(UncertaintyFactors!$C$2:$D$7, M45, 2), 0), 1)</f>
        <v>0</v>
      </c>
      <c r="P45" s="51"/>
      <c r="Q45" s="51"/>
      <c r="R45" s="51"/>
      <c r="S45" s="51"/>
      <c r="T45" s="51"/>
      <c r="U45" s="51"/>
      <c r="V45" s="51"/>
      <c r="W45" s="51"/>
      <c r="X45" s="51"/>
      <c r="Y45" s="51"/>
      <c r="Z45" s="51"/>
      <c r="AA45" s="51"/>
    </row>
    <row r="46" ht="15.75" customHeight="1">
      <c r="A46" s="109"/>
      <c r="B46" s="114"/>
      <c r="C46" s="51"/>
      <c r="D46" s="77">
        <v>0.0</v>
      </c>
      <c r="E46" s="51"/>
      <c r="F46" s="109">
        <v>6.0</v>
      </c>
      <c r="G46" s="85">
        <f t="array" ref="G46">ROUNDUP(IF(EQ(A46, ""),E46*INDEX(UncertaintyFactors!$C$2:$D$7, F46, 1), 0), 1)</f>
        <v>0</v>
      </c>
      <c r="H46" s="86">
        <f t="array" ref="H46">ROUNDUP(IF(EQ(A46, ""), E46*INDEX(UncertaintyFactors!$C$2:$D$7, F46, 2), 0), 1)</f>
        <v>0</v>
      </c>
      <c r="I46" s="111"/>
      <c r="J46" s="111"/>
      <c r="K46" s="112"/>
      <c r="L46" s="83">
        <f t="shared" si="1"/>
        <v>0</v>
      </c>
      <c r="M46" s="84">
        <f t="shared" si="2"/>
        <v>6</v>
      </c>
      <c r="N46" s="85">
        <f t="array" ref="N46">ROUNDUP(IF(EQ(A46, ""),L46*INDEX(UncertaintyFactors!$C$2:$D$7, M46, 1), 0), 1)</f>
        <v>0</v>
      </c>
      <c r="O46" s="86">
        <f t="array" ref="O46">ROUNDUP(IF(EQ(A46, ""), L46*INDEX(UncertaintyFactors!$C$2:$D$7, M46, 2), 0), 1)</f>
        <v>0</v>
      </c>
      <c r="P46" s="51"/>
      <c r="Q46" s="51"/>
      <c r="R46" s="51"/>
      <c r="S46" s="51"/>
      <c r="T46" s="51"/>
      <c r="U46" s="51"/>
      <c r="V46" s="51"/>
      <c r="W46" s="51"/>
      <c r="X46" s="51"/>
      <c r="Y46" s="51"/>
      <c r="Z46" s="51"/>
      <c r="AA46" s="51"/>
    </row>
    <row r="47" ht="15.75" customHeight="1">
      <c r="A47" s="109"/>
      <c r="B47" s="110"/>
      <c r="C47" s="51"/>
      <c r="D47" s="77">
        <v>0.0</v>
      </c>
      <c r="E47" s="51"/>
      <c r="F47" s="109">
        <v>6.0</v>
      </c>
      <c r="G47" s="85">
        <f t="array" ref="G47">ROUNDUP(IF(EQ(A47, ""),E47*INDEX(UncertaintyFactors!$C$2:$D$7, F47, 1), 0), 1)</f>
        <v>0</v>
      </c>
      <c r="H47" s="86">
        <f t="array" ref="H47">ROUNDUP(IF(EQ(A47, ""), E47*INDEX(UncertaintyFactors!$C$2:$D$7, F47, 2), 0), 1)</f>
        <v>0</v>
      </c>
      <c r="I47" s="111"/>
      <c r="J47" s="111"/>
      <c r="K47" s="112"/>
      <c r="L47" s="83">
        <f t="shared" si="1"/>
        <v>0</v>
      </c>
      <c r="M47" s="84">
        <f t="shared" si="2"/>
        <v>6</v>
      </c>
      <c r="N47" s="85">
        <f t="array" ref="N47">ROUNDUP(IF(EQ(A47, ""),L47*INDEX(UncertaintyFactors!$C$2:$D$7, M47, 1), 0), 1)</f>
        <v>0</v>
      </c>
      <c r="O47" s="86">
        <f t="array" ref="O47">ROUNDUP(IF(EQ(A47, ""), L47*INDEX(UncertaintyFactors!$C$2:$D$7, M47, 2), 0), 1)</f>
        <v>0</v>
      </c>
      <c r="P47" s="51"/>
      <c r="Q47" s="51"/>
      <c r="R47" s="51"/>
      <c r="S47" s="51"/>
      <c r="T47" s="51"/>
      <c r="U47" s="51"/>
      <c r="V47" s="51"/>
      <c r="W47" s="51"/>
      <c r="X47" s="51"/>
      <c r="Y47" s="51"/>
      <c r="Z47" s="51"/>
      <c r="AA47" s="51"/>
    </row>
    <row r="48" ht="15.75" customHeight="1">
      <c r="A48" s="109"/>
      <c r="B48" s="110"/>
      <c r="C48" s="51"/>
      <c r="D48" s="77">
        <v>0.0</v>
      </c>
      <c r="E48" s="51"/>
      <c r="F48" s="109">
        <v>6.0</v>
      </c>
      <c r="G48" s="85">
        <f t="array" ref="G48">ROUNDUP(IF(EQ(A48, ""),E48*INDEX(UncertaintyFactors!$C$2:$D$7, F48, 1), 0), 1)</f>
        <v>0</v>
      </c>
      <c r="H48" s="86">
        <f t="array" ref="H48">ROUNDUP(IF(EQ(A48, ""), E48*INDEX(UncertaintyFactors!$C$2:$D$7, F48, 2), 0), 1)</f>
        <v>0</v>
      </c>
      <c r="I48" s="111"/>
      <c r="J48" s="111"/>
      <c r="K48" s="112"/>
      <c r="L48" s="83">
        <f t="shared" si="1"/>
        <v>0</v>
      </c>
      <c r="M48" s="84">
        <f t="shared" si="2"/>
        <v>6</v>
      </c>
      <c r="N48" s="85">
        <f t="array" ref="N48">ROUNDUP(IF(EQ(A48, ""),L48*INDEX(UncertaintyFactors!$C$2:$D$7, M48, 1), 0), 1)</f>
        <v>0</v>
      </c>
      <c r="O48" s="86">
        <f t="array" ref="O48">ROUNDUP(IF(EQ(A48, ""), L48*INDEX(UncertaintyFactors!$C$2:$D$7, M48, 2), 0), 1)</f>
        <v>0</v>
      </c>
      <c r="P48" s="51"/>
      <c r="Q48" s="51"/>
      <c r="R48" s="51"/>
      <c r="S48" s="51"/>
      <c r="T48" s="51"/>
      <c r="U48" s="51"/>
      <c r="V48" s="51"/>
      <c r="W48" s="51"/>
      <c r="X48" s="51"/>
      <c r="Y48" s="51"/>
      <c r="Z48" s="51"/>
      <c r="AA48" s="51"/>
    </row>
    <row r="49" ht="15.75" customHeight="1">
      <c r="A49" s="109"/>
      <c r="B49" s="110"/>
      <c r="C49" s="51"/>
      <c r="D49" s="77">
        <v>0.0</v>
      </c>
      <c r="E49" s="51"/>
      <c r="F49" s="109">
        <v>6.0</v>
      </c>
      <c r="G49" s="85">
        <f t="array" ref="G49">ROUNDUP(IF(EQ(A49, ""),E49*INDEX(UncertaintyFactors!$C$2:$D$7, F49, 1), 0), 1)</f>
        <v>0</v>
      </c>
      <c r="H49" s="86">
        <f t="array" ref="H49">ROUNDUP(IF(EQ(A49, ""), E49*INDEX(UncertaintyFactors!$C$2:$D$7, F49, 2), 0), 1)</f>
        <v>0</v>
      </c>
      <c r="I49" s="111"/>
      <c r="J49" s="111"/>
      <c r="K49" s="112"/>
      <c r="L49" s="83">
        <f t="shared" si="1"/>
        <v>0</v>
      </c>
      <c r="M49" s="84">
        <f t="shared" si="2"/>
        <v>6</v>
      </c>
      <c r="N49" s="85">
        <f t="array" ref="N49">ROUNDUP(IF(EQ(A49, ""),L49*INDEX(UncertaintyFactors!$C$2:$D$7, M49, 1), 0), 1)</f>
        <v>0</v>
      </c>
      <c r="O49" s="86">
        <f t="array" ref="O49">ROUNDUP(IF(EQ(A49, ""), L49*INDEX(UncertaintyFactors!$C$2:$D$7, M49, 2), 0), 1)</f>
        <v>0</v>
      </c>
      <c r="P49" s="51"/>
      <c r="Q49" s="51"/>
      <c r="R49" s="51"/>
      <c r="S49" s="51"/>
      <c r="T49" s="51"/>
      <c r="U49" s="51"/>
      <c r="V49" s="51"/>
      <c r="W49" s="51"/>
      <c r="X49" s="51"/>
      <c r="Y49" s="51"/>
      <c r="Z49" s="51"/>
      <c r="AA49" s="51"/>
    </row>
    <row r="50" ht="15.75" customHeight="1">
      <c r="A50" s="109"/>
      <c r="B50" s="110"/>
      <c r="C50" s="51"/>
      <c r="D50" s="77">
        <v>0.0</v>
      </c>
      <c r="E50" s="51"/>
      <c r="F50" s="109">
        <v>6.0</v>
      </c>
      <c r="G50" s="85">
        <f t="array" ref="G50">ROUNDUP(IF(EQ(A50, ""),E50*INDEX(UncertaintyFactors!$C$2:$D$7, F50, 1), 0), 1)</f>
        <v>0</v>
      </c>
      <c r="H50" s="86">
        <f t="array" ref="H50">ROUNDUP(IF(EQ(A50, ""), E50*INDEX(UncertaintyFactors!$C$2:$D$7, F50, 2), 0), 1)</f>
        <v>0</v>
      </c>
      <c r="I50" s="111"/>
      <c r="J50" s="111"/>
      <c r="K50" s="112"/>
      <c r="L50" s="83">
        <f t="shared" si="1"/>
        <v>0</v>
      </c>
      <c r="M50" s="84">
        <f t="shared" si="2"/>
        <v>6</v>
      </c>
      <c r="N50" s="85">
        <f t="array" ref="N50">ROUNDUP(IF(EQ(A50, ""),L50*INDEX(UncertaintyFactors!$C$2:$D$7, M50, 1), 0), 1)</f>
        <v>0</v>
      </c>
      <c r="O50" s="86">
        <f t="array" ref="O50">ROUNDUP(IF(EQ(A50, ""), L50*INDEX(UncertaintyFactors!$C$2:$D$7, M50, 2), 0), 1)</f>
        <v>0</v>
      </c>
      <c r="P50" s="51"/>
      <c r="Q50" s="51"/>
      <c r="R50" s="51"/>
      <c r="S50" s="51"/>
      <c r="T50" s="51"/>
      <c r="U50" s="51"/>
      <c r="V50" s="51"/>
      <c r="W50" s="51"/>
      <c r="X50" s="51"/>
      <c r="Y50" s="51"/>
      <c r="Z50" s="51"/>
      <c r="AA50" s="51"/>
    </row>
    <row r="51" ht="15.75" customHeight="1">
      <c r="A51" s="109"/>
      <c r="B51" s="114"/>
      <c r="C51" s="51"/>
      <c r="D51" s="77">
        <v>0.0</v>
      </c>
      <c r="E51" s="51"/>
      <c r="F51" s="109">
        <v>6.0</v>
      </c>
      <c r="G51" s="85">
        <f t="array" ref="G51">ROUNDUP(IF(EQ(A51, ""),E51*INDEX(UncertaintyFactors!$C$2:$D$7, F51, 1), 0), 1)</f>
        <v>0</v>
      </c>
      <c r="H51" s="86">
        <f t="array" ref="H51">ROUNDUP(IF(EQ(A51, ""), E51*INDEX(UncertaintyFactors!$C$2:$D$7, F51, 2), 0), 1)</f>
        <v>0</v>
      </c>
      <c r="I51" s="111"/>
      <c r="J51" s="111"/>
      <c r="K51" s="112"/>
      <c r="L51" s="83">
        <f t="shared" si="1"/>
        <v>0</v>
      </c>
      <c r="M51" s="84">
        <f t="shared" si="2"/>
        <v>6</v>
      </c>
      <c r="N51" s="85">
        <f t="array" ref="N51">ROUNDUP(IF(EQ(A51, ""),L51*INDEX(UncertaintyFactors!$C$2:$D$7, M51, 1), 0), 1)</f>
        <v>0</v>
      </c>
      <c r="O51" s="86">
        <f t="array" ref="O51">ROUNDUP(IF(EQ(A51, ""), L51*INDEX(UncertaintyFactors!$C$2:$D$7, M51, 2), 0), 1)</f>
        <v>0</v>
      </c>
      <c r="P51" s="51"/>
      <c r="Q51" s="51"/>
      <c r="R51" s="51"/>
      <c r="S51" s="51"/>
      <c r="T51" s="51"/>
      <c r="U51" s="51"/>
      <c r="V51" s="51"/>
      <c r="W51" s="51"/>
      <c r="X51" s="51"/>
      <c r="Y51" s="51"/>
      <c r="Z51" s="51"/>
      <c r="AA51" s="51"/>
    </row>
    <row r="52" ht="15.75" customHeight="1">
      <c r="A52" s="109"/>
      <c r="B52" s="110"/>
      <c r="C52" s="51"/>
      <c r="D52" s="77">
        <v>0.0</v>
      </c>
      <c r="E52" s="51"/>
      <c r="F52" s="109">
        <v>6.0</v>
      </c>
      <c r="G52" s="85">
        <f t="array" ref="G52">ROUNDUP(IF(EQ(A52, ""),E52*INDEX(UncertaintyFactors!$C$2:$D$7, F52, 1), 0), 1)</f>
        <v>0</v>
      </c>
      <c r="H52" s="86">
        <f t="array" ref="H52">ROUNDUP(IF(EQ(A52, ""), E52*INDEX(UncertaintyFactors!$C$2:$D$7, F52, 2), 0), 1)</f>
        <v>0</v>
      </c>
      <c r="I52" s="111"/>
      <c r="J52" s="111"/>
      <c r="K52" s="112"/>
      <c r="L52" s="83">
        <f t="shared" si="1"/>
        <v>0</v>
      </c>
      <c r="M52" s="84">
        <f t="shared" si="2"/>
        <v>6</v>
      </c>
      <c r="N52" s="85">
        <f t="array" ref="N52">ROUNDUP(IF(EQ(A52, ""),L52*INDEX(UncertaintyFactors!$C$2:$D$7, M52, 1), 0), 1)</f>
        <v>0</v>
      </c>
      <c r="O52" s="86">
        <f t="array" ref="O52">ROUNDUP(IF(EQ(A52, ""), L52*INDEX(UncertaintyFactors!$C$2:$D$7, M52, 2), 0), 1)</f>
        <v>0</v>
      </c>
      <c r="P52" s="51"/>
      <c r="Q52" s="51"/>
      <c r="R52" s="51"/>
      <c r="S52" s="51"/>
      <c r="T52" s="51"/>
      <c r="U52" s="51"/>
      <c r="V52" s="51"/>
      <c r="W52" s="51"/>
      <c r="X52" s="51"/>
      <c r="Y52" s="51"/>
      <c r="Z52" s="51"/>
      <c r="AA52" s="51"/>
    </row>
    <row r="53" ht="15.75" customHeight="1">
      <c r="A53" s="109"/>
      <c r="B53" s="110"/>
      <c r="C53" s="51"/>
      <c r="D53" s="77">
        <v>0.0</v>
      </c>
      <c r="E53" s="51"/>
      <c r="F53" s="109">
        <v>6.0</v>
      </c>
      <c r="G53" s="85">
        <f t="array" ref="G53">ROUNDUP(IF(EQ(A53, ""),E53*INDEX(UncertaintyFactors!$C$2:$D$7, F53, 1), 0), 1)</f>
        <v>0</v>
      </c>
      <c r="H53" s="86">
        <f t="array" ref="H53">ROUNDUP(IF(EQ(A53, ""), E53*INDEX(UncertaintyFactors!$C$2:$D$7, F53, 2), 0), 1)</f>
        <v>0</v>
      </c>
      <c r="I53" s="111"/>
      <c r="J53" s="111"/>
      <c r="K53" s="112"/>
      <c r="L53" s="83">
        <f t="shared" si="1"/>
        <v>0</v>
      </c>
      <c r="M53" s="84">
        <f t="shared" si="2"/>
        <v>6</v>
      </c>
      <c r="N53" s="85">
        <f t="array" ref="N53">ROUNDUP(IF(EQ(A53, ""),L53*INDEX(UncertaintyFactors!$C$2:$D$7, M53, 1), 0), 1)</f>
        <v>0</v>
      </c>
      <c r="O53" s="86">
        <f t="array" ref="O53">ROUNDUP(IF(EQ(A53, ""), L53*INDEX(UncertaintyFactors!$C$2:$D$7, M53, 2), 0), 1)</f>
        <v>0</v>
      </c>
      <c r="P53" s="51"/>
      <c r="Q53" s="51"/>
      <c r="R53" s="51"/>
      <c r="S53" s="51"/>
      <c r="T53" s="51"/>
      <c r="U53" s="51"/>
      <c r="V53" s="51"/>
      <c r="W53" s="51"/>
      <c r="X53" s="51"/>
      <c r="Y53" s="51"/>
      <c r="Z53" s="51"/>
      <c r="AA53" s="51"/>
    </row>
    <row r="54" ht="15.75" customHeight="1">
      <c r="A54" s="109"/>
      <c r="B54" s="110"/>
      <c r="C54" s="51"/>
      <c r="D54" s="77">
        <v>0.0</v>
      </c>
      <c r="E54" s="51"/>
      <c r="F54" s="109">
        <v>6.0</v>
      </c>
      <c r="G54" s="85">
        <f t="array" ref="G54">ROUNDUP(IF(EQ(A54, ""),E54*INDEX(UncertaintyFactors!$C$2:$D$7, F54, 1), 0), 1)</f>
        <v>0</v>
      </c>
      <c r="H54" s="86">
        <f t="array" ref="H54">ROUNDUP(IF(EQ(A54, ""), E54*INDEX(UncertaintyFactors!$C$2:$D$7, F54, 2), 0), 1)</f>
        <v>0</v>
      </c>
      <c r="I54" s="111"/>
      <c r="J54" s="111"/>
      <c r="K54" s="112"/>
      <c r="L54" s="83">
        <f t="shared" si="1"/>
        <v>0</v>
      </c>
      <c r="M54" s="84">
        <f t="shared" si="2"/>
        <v>6</v>
      </c>
      <c r="N54" s="85">
        <f t="array" ref="N54">ROUNDUP(IF(EQ(A54, ""),L54*INDEX(UncertaintyFactors!$C$2:$D$7, M54, 1), 0), 1)</f>
        <v>0</v>
      </c>
      <c r="O54" s="86">
        <f t="array" ref="O54">ROUNDUP(IF(EQ(A54, ""), L54*INDEX(UncertaintyFactors!$C$2:$D$7, M54, 2), 0), 1)</f>
        <v>0</v>
      </c>
      <c r="P54" s="51"/>
      <c r="Q54" s="51"/>
      <c r="R54" s="51"/>
      <c r="S54" s="51"/>
      <c r="T54" s="51"/>
      <c r="U54" s="51"/>
      <c r="V54" s="51"/>
      <c r="W54" s="51"/>
      <c r="X54" s="51"/>
      <c r="Y54" s="51"/>
      <c r="Z54" s="51"/>
      <c r="AA54" s="51"/>
    </row>
    <row r="55" ht="15.75" customHeight="1">
      <c r="A55" s="109"/>
      <c r="B55" s="110"/>
      <c r="C55" s="51"/>
      <c r="D55" s="77">
        <v>0.0</v>
      </c>
      <c r="E55" s="51"/>
      <c r="F55" s="109">
        <v>6.0</v>
      </c>
      <c r="G55" s="85">
        <f t="array" ref="G55">ROUNDUP(IF(EQ(A55, ""),E55*INDEX(UncertaintyFactors!$C$2:$D$7, F55, 1), 0), 1)</f>
        <v>0</v>
      </c>
      <c r="H55" s="86">
        <f t="array" ref="H55">ROUNDUP(IF(EQ(A55, ""), E55*INDEX(UncertaintyFactors!$C$2:$D$7, F55, 2), 0), 1)</f>
        <v>0</v>
      </c>
      <c r="I55" s="111"/>
      <c r="J55" s="111"/>
      <c r="K55" s="112"/>
      <c r="L55" s="83">
        <f t="shared" si="1"/>
        <v>0</v>
      </c>
      <c r="M55" s="84">
        <f t="shared" si="2"/>
        <v>6</v>
      </c>
      <c r="N55" s="85">
        <f t="array" ref="N55">ROUNDUP(IF(EQ(A55, ""),L55*INDEX(UncertaintyFactors!$C$2:$D$7, M55, 1), 0), 1)</f>
        <v>0</v>
      </c>
      <c r="O55" s="86">
        <f t="array" ref="O55">ROUNDUP(IF(EQ(A55, ""), L55*INDEX(UncertaintyFactors!$C$2:$D$7, M55, 2), 0), 1)</f>
        <v>0</v>
      </c>
      <c r="P55" s="51"/>
      <c r="Q55" s="51"/>
      <c r="R55" s="51"/>
      <c r="S55" s="51"/>
      <c r="T55" s="51"/>
      <c r="U55" s="51"/>
      <c r="V55" s="51"/>
      <c r="W55" s="51"/>
      <c r="X55" s="51"/>
      <c r="Y55" s="51"/>
      <c r="Z55" s="51"/>
      <c r="AA55" s="51"/>
    </row>
    <row r="56" ht="15.75" customHeight="1">
      <c r="A56" s="109"/>
      <c r="B56" s="110"/>
      <c r="C56" s="51"/>
      <c r="D56" s="77">
        <v>0.0</v>
      </c>
      <c r="E56" s="51"/>
      <c r="F56" s="109">
        <v>6.0</v>
      </c>
      <c r="G56" s="85">
        <f t="array" ref="G56">ROUNDUP(IF(EQ(A56, ""),E56*INDEX(UncertaintyFactors!$C$2:$D$7, F56, 1), 0), 1)</f>
        <v>0</v>
      </c>
      <c r="H56" s="86">
        <f t="array" ref="H56">ROUNDUP(IF(EQ(A56, ""), E56*INDEX(UncertaintyFactors!$C$2:$D$7, F56, 2), 0), 1)</f>
        <v>0</v>
      </c>
      <c r="I56" s="111"/>
      <c r="J56" s="111"/>
      <c r="K56" s="112"/>
      <c r="L56" s="83">
        <f t="shared" si="1"/>
        <v>0</v>
      </c>
      <c r="M56" s="84">
        <f t="shared" si="2"/>
        <v>6</v>
      </c>
      <c r="N56" s="85">
        <f t="array" ref="N56">ROUNDUP(IF(EQ(A56, ""),L56*INDEX(UncertaintyFactors!$C$2:$D$7, M56, 1), 0), 1)</f>
        <v>0</v>
      </c>
      <c r="O56" s="86">
        <f t="array" ref="O56">ROUNDUP(IF(EQ(A56, ""), L56*INDEX(UncertaintyFactors!$C$2:$D$7, M56, 2), 0), 1)</f>
        <v>0</v>
      </c>
      <c r="P56" s="51"/>
      <c r="Q56" s="51"/>
      <c r="R56" s="51"/>
      <c r="S56" s="51"/>
      <c r="T56" s="51"/>
      <c r="U56" s="51"/>
      <c r="V56" s="51"/>
      <c r="W56" s="51"/>
      <c r="X56" s="51"/>
      <c r="Y56" s="51"/>
      <c r="Z56" s="51"/>
      <c r="AA56" s="51"/>
    </row>
    <row r="57" ht="15.75" customHeight="1">
      <c r="A57" s="109"/>
      <c r="B57" s="110"/>
      <c r="C57" s="51"/>
      <c r="D57" s="77">
        <v>0.0</v>
      </c>
      <c r="E57" s="51"/>
      <c r="F57" s="109">
        <v>6.0</v>
      </c>
      <c r="G57" s="85">
        <f t="array" ref="G57">ROUNDUP(IF(EQ(A57, ""),E57*INDEX(UncertaintyFactors!$C$2:$D$7, F57, 1), 0), 1)</f>
        <v>0</v>
      </c>
      <c r="H57" s="86">
        <f t="array" ref="H57">ROUNDUP(IF(EQ(A57, ""), E57*INDEX(UncertaintyFactors!$C$2:$D$7, F57, 2), 0), 1)</f>
        <v>0</v>
      </c>
      <c r="I57" s="111"/>
      <c r="J57" s="111"/>
      <c r="K57" s="112"/>
      <c r="L57" s="83">
        <f t="shared" si="1"/>
        <v>0</v>
      </c>
      <c r="M57" s="84">
        <f t="shared" si="2"/>
        <v>6</v>
      </c>
      <c r="N57" s="85">
        <f t="array" ref="N57">ROUNDUP(IF(EQ(A57, ""),L57*INDEX(UncertaintyFactors!$C$2:$D$7, M57, 1), 0), 1)</f>
        <v>0</v>
      </c>
      <c r="O57" s="86">
        <f t="array" ref="O57">ROUNDUP(IF(EQ(A57, ""), L57*INDEX(UncertaintyFactors!$C$2:$D$7, M57, 2), 0), 1)</f>
        <v>0</v>
      </c>
      <c r="P57" s="51"/>
      <c r="Q57" s="51"/>
      <c r="R57" s="51"/>
      <c r="S57" s="51"/>
      <c r="T57" s="51"/>
      <c r="U57" s="51"/>
      <c r="V57" s="51"/>
      <c r="W57" s="51"/>
      <c r="X57" s="51"/>
      <c r="Y57" s="51"/>
      <c r="Z57" s="51"/>
      <c r="AA57" s="51"/>
    </row>
    <row r="58" ht="15.75" customHeight="1">
      <c r="A58" s="109"/>
      <c r="B58" s="110"/>
      <c r="C58" s="51"/>
      <c r="D58" s="77">
        <v>0.0</v>
      </c>
      <c r="E58" s="51"/>
      <c r="F58" s="109">
        <v>6.0</v>
      </c>
      <c r="G58" s="85">
        <f t="array" ref="G58">ROUNDUP(IF(EQ(A58, ""),E58*INDEX(UncertaintyFactors!$C$2:$D$7, F58, 1), 0), 1)</f>
        <v>0</v>
      </c>
      <c r="H58" s="86">
        <f t="array" ref="H58">ROUNDUP(IF(EQ(A58, ""), E58*INDEX(UncertaintyFactors!$C$2:$D$7, F58, 2), 0), 1)</f>
        <v>0</v>
      </c>
      <c r="I58" s="111"/>
      <c r="J58" s="111"/>
      <c r="K58" s="112"/>
      <c r="L58" s="83">
        <f t="shared" si="1"/>
        <v>0</v>
      </c>
      <c r="M58" s="84">
        <f t="shared" si="2"/>
        <v>6</v>
      </c>
      <c r="N58" s="85">
        <f t="array" ref="N58">ROUNDUP(IF(EQ(A58, ""),L58*INDEX(UncertaintyFactors!$C$2:$D$7, M58, 1), 0), 1)</f>
        <v>0</v>
      </c>
      <c r="O58" s="86">
        <f t="array" ref="O58">ROUNDUP(IF(EQ(A58, ""), L58*INDEX(UncertaintyFactors!$C$2:$D$7, M58, 2), 0), 1)</f>
        <v>0</v>
      </c>
      <c r="P58" s="51"/>
      <c r="Q58" s="51"/>
      <c r="R58" s="51"/>
      <c r="S58" s="51"/>
      <c r="T58" s="51"/>
      <c r="U58" s="51"/>
      <c r="V58" s="51"/>
      <c r="W58" s="51"/>
      <c r="X58" s="51"/>
      <c r="Y58" s="51"/>
      <c r="Z58" s="51"/>
      <c r="AA58" s="51"/>
    </row>
    <row r="59" ht="15.75" customHeight="1">
      <c r="A59" s="109"/>
      <c r="B59" s="110"/>
      <c r="C59" s="51"/>
      <c r="D59" s="77">
        <v>0.0</v>
      </c>
      <c r="E59" s="51"/>
      <c r="F59" s="109">
        <v>6.0</v>
      </c>
      <c r="G59" s="85">
        <f t="array" ref="G59">ROUNDUP(IF(EQ(A59, ""),E59*INDEX(UncertaintyFactors!$C$2:$D$7, F59, 1), 0), 1)</f>
        <v>0</v>
      </c>
      <c r="H59" s="86">
        <f t="array" ref="H59">ROUNDUP(IF(EQ(A59, ""), E59*INDEX(UncertaintyFactors!$C$2:$D$7, F59, 2), 0), 1)</f>
        <v>0</v>
      </c>
      <c r="I59" s="111"/>
      <c r="J59" s="111"/>
      <c r="K59" s="112"/>
      <c r="L59" s="83">
        <f t="shared" si="1"/>
        <v>0</v>
      </c>
      <c r="M59" s="84">
        <f t="shared" si="2"/>
        <v>6</v>
      </c>
      <c r="N59" s="85">
        <f t="array" ref="N59">ROUNDUP(IF(EQ(A59, ""),L59*INDEX(UncertaintyFactors!$C$2:$D$7, M59, 1), 0), 1)</f>
        <v>0</v>
      </c>
      <c r="O59" s="86">
        <f t="array" ref="O59">ROUNDUP(IF(EQ(A59, ""), L59*INDEX(UncertaintyFactors!$C$2:$D$7, M59, 2), 0), 1)</f>
        <v>0</v>
      </c>
      <c r="P59" s="51"/>
      <c r="Q59" s="51"/>
      <c r="R59" s="51"/>
      <c r="S59" s="51"/>
      <c r="T59" s="51"/>
      <c r="U59" s="51"/>
      <c r="V59" s="51"/>
      <c r="W59" s="51"/>
      <c r="X59" s="51"/>
      <c r="Y59" s="51"/>
      <c r="Z59" s="51"/>
      <c r="AA59" s="51"/>
    </row>
    <row r="60" ht="15.75" customHeight="1">
      <c r="A60" s="109"/>
      <c r="B60" s="110"/>
      <c r="C60" s="51"/>
      <c r="D60" s="77">
        <v>0.0</v>
      </c>
      <c r="E60" s="51"/>
      <c r="F60" s="109">
        <v>6.0</v>
      </c>
      <c r="G60" s="85">
        <f t="array" ref="G60">ROUNDUP(IF(EQ(A60, ""),E60*INDEX(UncertaintyFactors!$C$2:$D$7, F60, 1), 0), 1)</f>
        <v>0</v>
      </c>
      <c r="H60" s="86">
        <f t="array" ref="H60">ROUNDUP(IF(EQ(A60, ""), E60*INDEX(UncertaintyFactors!$C$2:$D$7, F60, 2), 0), 1)</f>
        <v>0</v>
      </c>
      <c r="I60" s="111"/>
      <c r="J60" s="111"/>
      <c r="K60" s="112"/>
      <c r="L60" s="83">
        <f t="shared" si="1"/>
        <v>0</v>
      </c>
      <c r="M60" s="84">
        <f t="shared" si="2"/>
        <v>6</v>
      </c>
      <c r="N60" s="85">
        <f t="array" ref="N60">ROUNDUP(IF(EQ(A60, ""),L60*INDEX(UncertaintyFactors!$C$2:$D$7, M60, 1), 0), 1)</f>
        <v>0</v>
      </c>
      <c r="O60" s="86">
        <f t="array" ref="O60">ROUNDUP(IF(EQ(A60, ""), L60*INDEX(UncertaintyFactors!$C$2:$D$7, M60, 2), 0), 1)</f>
        <v>0</v>
      </c>
      <c r="P60" s="51"/>
      <c r="Q60" s="51"/>
      <c r="R60" s="51"/>
      <c r="S60" s="51"/>
      <c r="T60" s="51"/>
      <c r="U60" s="51"/>
      <c r="V60" s="51"/>
      <c r="W60" s="51"/>
      <c r="X60" s="51"/>
      <c r="Y60" s="51"/>
      <c r="Z60" s="51"/>
      <c r="AA60" s="51"/>
    </row>
    <row r="61" ht="15.75" customHeight="1">
      <c r="A61" s="109"/>
      <c r="B61" s="110"/>
      <c r="C61" s="51"/>
      <c r="D61" s="77">
        <v>0.0</v>
      </c>
      <c r="E61" s="51"/>
      <c r="F61" s="109">
        <v>6.0</v>
      </c>
      <c r="G61" s="85">
        <f t="array" ref="G61">ROUNDUP(IF(EQ(A61, ""),E61*INDEX(UncertaintyFactors!$C$2:$D$7, F61, 1), 0), 1)</f>
        <v>0</v>
      </c>
      <c r="H61" s="86">
        <f t="array" ref="H61">ROUNDUP(IF(EQ(A61, ""), E61*INDEX(UncertaintyFactors!$C$2:$D$7, F61, 2), 0), 1)</f>
        <v>0</v>
      </c>
      <c r="I61" s="111"/>
      <c r="J61" s="111"/>
      <c r="K61" s="112"/>
      <c r="L61" s="83">
        <f t="shared" si="1"/>
        <v>0</v>
      </c>
      <c r="M61" s="84">
        <f t="shared" si="2"/>
        <v>6</v>
      </c>
      <c r="N61" s="85">
        <f t="array" ref="N61">ROUNDUP(IF(EQ(A61, ""),L61*INDEX(UncertaintyFactors!$C$2:$D$7, M61, 1), 0), 1)</f>
        <v>0</v>
      </c>
      <c r="O61" s="86">
        <f t="array" ref="O61">ROUNDUP(IF(EQ(A61, ""), L61*INDEX(UncertaintyFactors!$C$2:$D$7, M61, 2), 0), 1)</f>
        <v>0</v>
      </c>
      <c r="P61" s="51"/>
      <c r="Q61" s="51"/>
      <c r="R61" s="51"/>
      <c r="S61" s="51"/>
      <c r="T61" s="51"/>
      <c r="U61" s="51"/>
      <c r="V61" s="51"/>
      <c r="W61" s="51"/>
      <c r="X61" s="51"/>
      <c r="Y61" s="51"/>
      <c r="Z61" s="51"/>
      <c r="AA61" s="51"/>
    </row>
    <row r="62" ht="15.75" customHeight="1">
      <c r="A62" s="109"/>
      <c r="B62" s="110"/>
      <c r="C62" s="51"/>
      <c r="D62" s="77">
        <v>0.0</v>
      </c>
      <c r="E62" s="51"/>
      <c r="F62" s="109">
        <v>6.0</v>
      </c>
      <c r="G62" s="85">
        <f t="array" ref="G62">ROUNDUP(IF(EQ(A62, ""),E62*INDEX(UncertaintyFactors!$C$2:$D$7, F62, 1), 0), 1)</f>
        <v>0</v>
      </c>
      <c r="H62" s="86">
        <f t="array" ref="H62">ROUNDUP(IF(EQ(A62, ""), E62*INDEX(UncertaintyFactors!$C$2:$D$7, F62, 2), 0), 1)</f>
        <v>0</v>
      </c>
      <c r="I62" s="111"/>
      <c r="J62" s="111"/>
      <c r="K62" s="112"/>
      <c r="L62" s="83">
        <f t="shared" si="1"/>
        <v>0</v>
      </c>
      <c r="M62" s="84">
        <f t="shared" si="2"/>
        <v>6</v>
      </c>
      <c r="N62" s="85">
        <f t="array" ref="N62">ROUNDUP(IF(EQ(A62, ""),L62*INDEX(UncertaintyFactors!$C$2:$D$7, M62, 1), 0), 1)</f>
        <v>0</v>
      </c>
      <c r="O62" s="86">
        <f t="array" ref="O62">ROUNDUP(IF(EQ(A62, ""), L62*INDEX(UncertaintyFactors!$C$2:$D$7, M62, 2), 0), 1)</f>
        <v>0</v>
      </c>
      <c r="P62" s="51"/>
      <c r="Q62" s="51"/>
      <c r="R62" s="51"/>
      <c r="S62" s="51"/>
      <c r="T62" s="51"/>
      <c r="U62" s="51"/>
      <c r="V62" s="51"/>
      <c r="W62" s="51"/>
      <c r="X62" s="51"/>
      <c r="Y62" s="51"/>
      <c r="Z62" s="51"/>
      <c r="AA62" s="51"/>
    </row>
    <row r="63" ht="15.75" customHeight="1">
      <c r="A63" s="109"/>
      <c r="B63" s="110"/>
      <c r="C63" s="51"/>
      <c r="D63" s="77">
        <v>0.0</v>
      </c>
      <c r="E63" s="51"/>
      <c r="F63" s="109">
        <v>6.0</v>
      </c>
      <c r="G63" s="85">
        <f t="array" ref="G63">ROUNDUP(IF(EQ(A63, ""),E63*INDEX(UncertaintyFactors!$C$2:$D$7, F63, 1), 0), 1)</f>
        <v>0</v>
      </c>
      <c r="H63" s="86">
        <f t="array" ref="H63">ROUNDUP(IF(EQ(A63, ""), E63*INDEX(UncertaintyFactors!$C$2:$D$7, F63, 2), 0), 1)</f>
        <v>0</v>
      </c>
      <c r="I63" s="111"/>
      <c r="J63" s="111"/>
      <c r="K63" s="112"/>
      <c r="L63" s="83">
        <f t="shared" si="1"/>
        <v>0</v>
      </c>
      <c r="M63" s="84">
        <f t="shared" si="2"/>
        <v>6</v>
      </c>
      <c r="N63" s="85">
        <f t="array" ref="N63">ROUNDUP(IF(EQ(A63, ""),L63*INDEX(UncertaintyFactors!$C$2:$D$7, M63, 1), 0), 1)</f>
        <v>0</v>
      </c>
      <c r="O63" s="86">
        <f t="array" ref="O63">ROUNDUP(IF(EQ(A63, ""), L63*INDEX(UncertaintyFactors!$C$2:$D$7, M63, 2), 0), 1)</f>
        <v>0</v>
      </c>
      <c r="P63" s="51"/>
      <c r="Q63" s="51"/>
      <c r="R63" s="51"/>
      <c r="S63" s="51"/>
      <c r="T63" s="51"/>
      <c r="U63" s="51"/>
      <c r="V63" s="51"/>
      <c r="W63" s="51"/>
      <c r="X63" s="51"/>
      <c r="Y63" s="51"/>
      <c r="Z63" s="51"/>
      <c r="AA63" s="51"/>
    </row>
    <row r="64" ht="15.75" customHeight="1">
      <c r="A64" s="109"/>
      <c r="B64" s="114"/>
      <c r="C64" s="51"/>
      <c r="D64" s="77">
        <v>0.0</v>
      </c>
      <c r="E64" s="51"/>
      <c r="F64" s="109">
        <v>6.0</v>
      </c>
      <c r="G64" s="85">
        <f t="array" ref="G64">ROUNDUP(IF(EQ(A64, ""),E64*INDEX(UncertaintyFactors!$C$2:$D$7, F64, 1), 0), 1)</f>
        <v>0</v>
      </c>
      <c r="H64" s="86">
        <f t="array" ref="H64">ROUNDUP(IF(EQ(A64, ""), E64*INDEX(UncertaintyFactors!$C$2:$D$7, F64, 2), 0), 1)</f>
        <v>0</v>
      </c>
      <c r="I64" s="111"/>
      <c r="J64" s="111"/>
      <c r="K64" s="112"/>
      <c r="L64" s="83">
        <f t="shared" si="1"/>
        <v>0</v>
      </c>
      <c r="M64" s="84">
        <f t="shared" si="2"/>
        <v>6</v>
      </c>
      <c r="N64" s="85">
        <f t="array" ref="N64">ROUNDUP(IF(EQ(A64, ""),L64*INDEX(UncertaintyFactors!$C$2:$D$7, M64, 1), 0), 1)</f>
        <v>0</v>
      </c>
      <c r="O64" s="86">
        <f t="array" ref="O64">ROUNDUP(IF(EQ(A64, ""), L64*INDEX(UncertaintyFactors!$C$2:$D$7, M64, 2), 0), 1)</f>
        <v>0</v>
      </c>
      <c r="P64" s="51"/>
      <c r="Q64" s="51"/>
      <c r="R64" s="51"/>
      <c r="S64" s="51"/>
      <c r="T64" s="51"/>
      <c r="U64" s="51"/>
      <c r="V64" s="51"/>
      <c r="W64" s="51"/>
      <c r="X64" s="51"/>
      <c r="Y64" s="51"/>
      <c r="Z64" s="51"/>
      <c r="AA64" s="51"/>
    </row>
    <row r="65" ht="15.75" customHeight="1">
      <c r="A65" s="109"/>
      <c r="B65" s="110"/>
      <c r="C65" s="51"/>
      <c r="D65" s="77">
        <v>0.0</v>
      </c>
      <c r="E65" s="51"/>
      <c r="F65" s="109">
        <v>6.0</v>
      </c>
      <c r="G65" s="85">
        <f t="array" ref="G65">ROUNDUP(IF(EQ(A65, ""),E65*INDEX(UncertaintyFactors!$C$2:$D$7, F65, 1), 0), 1)</f>
        <v>0</v>
      </c>
      <c r="H65" s="86">
        <f t="array" ref="H65">ROUNDUP(IF(EQ(A65, ""), E65*INDEX(UncertaintyFactors!$C$2:$D$7, F65, 2), 0), 1)</f>
        <v>0</v>
      </c>
      <c r="I65" s="111"/>
      <c r="J65" s="111"/>
      <c r="K65" s="112"/>
      <c r="L65" s="83">
        <f t="shared" si="1"/>
        <v>0</v>
      </c>
      <c r="M65" s="84">
        <f t="shared" si="2"/>
        <v>6</v>
      </c>
      <c r="N65" s="85">
        <f t="array" ref="N65">ROUNDUP(IF(EQ(A65, ""),L65*INDEX(UncertaintyFactors!$C$2:$D$7, M65, 1), 0), 1)</f>
        <v>0</v>
      </c>
      <c r="O65" s="86">
        <f t="array" ref="O65">ROUNDUP(IF(EQ(A65, ""), L65*INDEX(UncertaintyFactors!$C$2:$D$7, M65, 2), 0), 1)</f>
        <v>0</v>
      </c>
      <c r="P65" s="51"/>
      <c r="Q65" s="51"/>
      <c r="R65" s="51"/>
      <c r="S65" s="51"/>
      <c r="T65" s="51"/>
      <c r="U65" s="51"/>
      <c r="V65" s="51"/>
      <c r="W65" s="51"/>
      <c r="X65" s="51"/>
      <c r="Y65" s="51"/>
      <c r="Z65" s="51"/>
      <c r="AA65" s="51"/>
    </row>
    <row r="66" ht="15.75" customHeight="1">
      <c r="A66" s="109"/>
      <c r="B66" s="110"/>
      <c r="C66" s="51"/>
      <c r="D66" s="77">
        <v>0.0</v>
      </c>
      <c r="E66" s="51"/>
      <c r="F66" s="109">
        <v>6.0</v>
      </c>
      <c r="G66" s="85">
        <f t="array" ref="G66">ROUNDUP(IF(EQ(A66, ""),E66*INDEX(UncertaintyFactors!$C$2:$D$7, F66, 1), 0), 1)</f>
        <v>0</v>
      </c>
      <c r="H66" s="86">
        <f t="array" ref="H66">ROUNDUP(IF(EQ(A66, ""), E66*INDEX(UncertaintyFactors!$C$2:$D$7, F66, 2), 0), 1)</f>
        <v>0</v>
      </c>
      <c r="I66" s="111"/>
      <c r="J66" s="111"/>
      <c r="K66" s="112"/>
      <c r="L66" s="83">
        <f t="shared" si="1"/>
        <v>0</v>
      </c>
      <c r="M66" s="84">
        <f t="shared" si="2"/>
        <v>6</v>
      </c>
      <c r="N66" s="85">
        <f t="array" ref="N66">ROUNDUP(IF(EQ(A66, ""),L66*INDEX(UncertaintyFactors!$C$2:$D$7, M66, 1), 0), 1)</f>
        <v>0</v>
      </c>
      <c r="O66" s="86">
        <f t="array" ref="O66">ROUNDUP(IF(EQ(A66, ""), L66*INDEX(UncertaintyFactors!$C$2:$D$7, M66, 2), 0), 1)</f>
        <v>0</v>
      </c>
      <c r="P66" s="51"/>
      <c r="Q66" s="51"/>
      <c r="R66" s="51"/>
      <c r="S66" s="51"/>
      <c r="T66" s="51"/>
      <c r="U66" s="51"/>
      <c r="V66" s="51"/>
      <c r="W66" s="51"/>
      <c r="X66" s="51"/>
      <c r="Y66" s="51"/>
      <c r="Z66" s="51"/>
      <c r="AA66" s="51"/>
    </row>
    <row r="67" ht="15.75" customHeight="1">
      <c r="A67" s="109"/>
      <c r="B67" s="110"/>
      <c r="C67" s="51"/>
      <c r="D67" s="77">
        <v>0.0</v>
      </c>
      <c r="E67" s="51"/>
      <c r="F67" s="109">
        <v>6.0</v>
      </c>
      <c r="G67" s="85">
        <f t="array" ref="G67">ROUNDUP(IF(EQ(A67, ""),E67*INDEX(UncertaintyFactors!$C$2:$D$7, F67, 1), 0), 1)</f>
        <v>0</v>
      </c>
      <c r="H67" s="86">
        <f t="array" ref="H67">ROUNDUP(IF(EQ(A67, ""), E67*INDEX(UncertaintyFactors!$C$2:$D$7, F67, 2), 0), 1)</f>
        <v>0</v>
      </c>
      <c r="I67" s="111"/>
      <c r="J67" s="111"/>
      <c r="K67" s="112"/>
      <c r="L67" s="83">
        <f t="shared" si="1"/>
        <v>0</v>
      </c>
      <c r="M67" s="84">
        <f t="shared" si="2"/>
        <v>6</v>
      </c>
      <c r="N67" s="85">
        <f t="array" ref="N67">ROUNDUP(IF(EQ(A67, ""),L67*INDEX(UncertaintyFactors!$C$2:$D$7, M67, 1), 0), 1)</f>
        <v>0</v>
      </c>
      <c r="O67" s="86">
        <f t="array" ref="O67">ROUNDUP(IF(EQ(A67, ""), L67*INDEX(UncertaintyFactors!$C$2:$D$7, M67, 2), 0), 1)</f>
        <v>0</v>
      </c>
      <c r="P67" s="51"/>
      <c r="Q67" s="51"/>
      <c r="R67" s="51"/>
      <c r="S67" s="51"/>
      <c r="T67" s="51"/>
      <c r="U67" s="51"/>
      <c r="V67" s="51"/>
      <c r="W67" s="51"/>
      <c r="X67" s="51"/>
      <c r="Y67" s="51"/>
      <c r="Z67" s="51"/>
      <c r="AA67" s="51"/>
    </row>
    <row r="68" ht="15.75" customHeight="1">
      <c r="A68" s="109"/>
      <c r="B68" s="110"/>
      <c r="C68" s="51"/>
      <c r="D68" s="77">
        <v>0.0</v>
      </c>
      <c r="E68" s="51"/>
      <c r="F68" s="109">
        <v>6.0</v>
      </c>
      <c r="G68" s="85">
        <f t="array" ref="G68">ROUNDUP(IF(EQ(A68, ""),E68*INDEX(UncertaintyFactors!$C$2:$D$7, F68, 1), 0), 1)</f>
        <v>0</v>
      </c>
      <c r="H68" s="86">
        <f t="array" ref="H68">ROUNDUP(IF(EQ(A68, ""), E68*INDEX(UncertaintyFactors!$C$2:$D$7, F68, 2), 0), 1)</f>
        <v>0</v>
      </c>
      <c r="I68" s="111"/>
      <c r="J68" s="111"/>
      <c r="K68" s="112"/>
      <c r="L68" s="83">
        <f t="shared" si="1"/>
        <v>0</v>
      </c>
      <c r="M68" s="84">
        <f t="shared" si="2"/>
        <v>6</v>
      </c>
      <c r="N68" s="85">
        <f t="array" ref="N68">ROUNDUP(IF(EQ(A68, ""),L68*INDEX(UncertaintyFactors!$C$2:$D$7, M68, 1), 0), 1)</f>
        <v>0</v>
      </c>
      <c r="O68" s="86">
        <f t="array" ref="O68">ROUNDUP(IF(EQ(A68, ""), L68*INDEX(UncertaintyFactors!$C$2:$D$7, M68, 2), 0), 1)</f>
        <v>0</v>
      </c>
      <c r="P68" s="51"/>
      <c r="Q68" s="51"/>
      <c r="R68" s="51"/>
      <c r="S68" s="51"/>
      <c r="T68" s="51"/>
      <c r="U68" s="51"/>
      <c r="V68" s="51"/>
      <c r="W68" s="51"/>
      <c r="X68" s="51"/>
      <c r="Y68" s="51"/>
      <c r="Z68" s="51"/>
      <c r="AA68" s="51"/>
    </row>
    <row r="69" ht="15.75" customHeight="1">
      <c r="A69" s="109"/>
      <c r="B69" s="110"/>
      <c r="C69" s="51"/>
      <c r="D69" s="77">
        <v>0.0</v>
      </c>
      <c r="E69" s="51"/>
      <c r="F69" s="109">
        <v>6.0</v>
      </c>
      <c r="G69" s="85">
        <f t="array" ref="G69">ROUNDUP(IF(EQ(A69, ""),E69*INDEX(UncertaintyFactors!$C$2:$D$7, F69, 1), 0), 1)</f>
        <v>0</v>
      </c>
      <c r="H69" s="86">
        <f t="array" ref="H69">ROUNDUP(IF(EQ(A69, ""), E69*INDEX(UncertaintyFactors!$C$2:$D$7, F69, 2), 0), 1)</f>
        <v>0</v>
      </c>
      <c r="I69" s="111"/>
      <c r="J69" s="111"/>
      <c r="K69" s="112"/>
      <c r="L69" s="83">
        <f t="shared" si="1"/>
        <v>0</v>
      </c>
      <c r="M69" s="84">
        <f t="shared" si="2"/>
        <v>6</v>
      </c>
      <c r="N69" s="85">
        <f t="array" ref="N69">ROUNDUP(IF(EQ(A69, ""),L69*INDEX(UncertaintyFactors!$C$2:$D$7, M69, 1), 0), 1)</f>
        <v>0</v>
      </c>
      <c r="O69" s="86">
        <f t="array" ref="O69">ROUNDUP(IF(EQ(A69, ""), L69*INDEX(UncertaintyFactors!$C$2:$D$7, M69, 2), 0), 1)</f>
        <v>0</v>
      </c>
      <c r="P69" s="51"/>
      <c r="Q69" s="51"/>
      <c r="R69" s="51"/>
      <c r="S69" s="51"/>
      <c r="T69" s="51"/>
      <c r="U69" s="51"/>
      <c r="V69" s="51"/>
      <c r="W69" s="51"/>
      <c r="X69" s="51"/>
      <c r="Y69" s="51"/>
      <c r="Z69" s="51"/>
      <c r="AA69" s="51"/>
    </row>
    <row r="70" ht="15.75" customHeight="1">
      <c r="A70" s="109"/>
      <c r="B70" s="110"/>
      <c r="C70" s="51"/>
      <c r="D70" s="77">
        <v>0.0</v>
      </c>
      <c r="E70" s="51"/>
      <c r="F70" s="109">
        <v>6.0</v>
      </c>
      <c r="G70" s="85">
        <f t="array" ref="G70">ROUNDUP(IF(EQ(A70, ""),E70*INDEX(UncertaintyFactors!$C$2:$D$7, F70, 1), 0), 1)</f>
        <v>0</v>
      </c>
      <c r="H70" s="86">
        <f t="array" ref="H70">ROUNDUP(IF(EQ(A70, ""), E70*INDEX(UncertaintyFactors!$C$2:$D$7, F70, 2), 0), 1)</f>
        <v>0</v>
      </c>
      <c r="I70" s="111"/>
      <c r="J70" s="111"/>
      <c r="K70" s="112"/>
      <c r="L70" s="83">
        <f t="shared" si="1"/>
        <v>0</v>
      </c>
      <c r="M70" s="84">
        <f t="shared" si="2"/>
        <v>6</v>
      </c>
      <c r="N70" s="85">
        <f t="array" ref="N70">ROUNDUP(IF(EQ(A70, ""),L70*INDEX(UncertaintyFactors!$C$2:$D$7, M70, 1), 0), 1)</f>
        <v>0</v>
      </c>
      <c r="O70" s="86">
        <f t="array" ref="O70">ROUNDUP(IF(EQ(A70, ""), L70*INDEX(UncertaintyFactors!$C$2:$D$7, M70, 2), 0), 1)</f>
        <v>0</v>
      </c>
      <c r="P70" s="51"/>
      <c r="Q70" s="51"/>
      <c r="R70" s="51"/>
      <c r="S70" s="51"/>
      <c r="T70" s="51"/>
      <c r="U70" s="51"/>
      <c r="V70" s="51"/>
      <c r="W70" s="51"/>
      <c r="X70" s="51"/>
      <c r="Y70" s="51"/>
      <c r="Z70" s="51"/>
      <c r="AA70" s="51"/>
    </row>
    <row r="71" ht="15.75" customHeight="1">
      <c r="A71" s="109"/>
      <c r="B71" s="110"/>
      <c r="C71" s="51"/>
      <c r="D71" s="77">
        <v>0.0</v>
      </c>
      <c r="E71" s="51"/>
      <c r="F71" s="109">
        <v>6.0</v>
      </c>
      <c r="G71" s="85">
        <f t="array" ref="G71">ROUNDUP(IF(EQ(A71, ""),E71*INDEX(UncertaintyFactors!$C$2:$D$7, F71, 1), 0), 1)</f>
        <v>0</v>
      </c>
      <c r="H71" s="86">
        <f t="array" ref="H71">ROUNDUP(IF(EQ(A71, ""), E71*INDEX(UncertaintyFactors!$C$2:$D$7, F71, 2), 0), 1)</f>
        <v>0</v>
      </c>
      <c r="I71" s="111"/>
      <c r="J71" s="111"/>
      <c r="K71" s="112"/>
      <c r="L71" s="83">
        <f t="shared" si="1"/>
        <v>0</v>
      </c>
      <c r="M71" s="84">
        <f t="shared" si="2"/>
        <v>6</v>
      </c>
      <c r="N71" s="85">
        <f t="array" ref="N71">ROUNDUP(IF(EQ(A71, ""),L71*INDEX(UncertaintyFactors!$C$2:$D$7, M71, 1), 0), 1)</f>
        <v>0</v>
      </c>
      <c r="O71" s="86">
        <f t="array" ref="O71">ROUNDUP(IF(EQ(A71, ""), L71*INDEX(UncertaintyFactors!$C$2:$D$7, M71, 2), 0), 1)</f>
        <v>0</v>
      </c>
      <c r="P71" s="51"/>
      <c r="Q71" s="51"/>
      <c r="R71" s="51"/>
      <c r="S71" s="51"/>
      <c r="T71" s="51"/>
      <c r="U71" s="51"/>
      <c r="V71" s="51"/>
      <c r="W71" s="51"/>
      <c r="X71" s="51"/>
      <c r="Y71" s="51"/>
      <c r="Z71" s="51"/>
      <c r="AA71" s="51"/>
    </row>
    <row r="72" ht="15.75" customHeight="1">
      <c r="A72" s="109"/>
      <c r="B72" s="110"/>
      <c r="C72" s="51"/>
      <c r="D72" s="77">
        <v>0.0</v>
      </c>
      <c r="E72" s="51"/>
      <c r="F72" s="109">
        <v>6.0</v>
      </c>
      <c r="G72" s="85">
        <f t="array" ref="G72">ROUNDUP(IF(EQ(A72, ""),E72*INDEX(UncertaintyFactors!$C$2:$D$7, F72, 1), 0), 1)</f>
        <v>0</v>
      </c>
      <c r="H72" s="86">
        <f t="array" ref="H72">ROUNDUP(IF(EQ(A72, ""), E72*INDEX(UncertaintyFactors!$C$2:$D$7, F72, 2), 0), 1)</f>
        <v>0</v>
      </c>
      <c r="I72" s="111"/>
      <c r="J72" s="111"/>
      <c r="K72" s="112"/>
      <c r="L72" s="83">
        <f t="shared" si="1"/>
        <v>0</v>
      </c>
      <c r="M72" s="84">
        <f t="shared" si="2"/>
        <v>6</v>
      </c>
      <c r="N72" s="85">
        <f t="array" ref="N72">ROUNDUP(IF(EQ(A72, ""),L72*INDEX(UncertaintyFactors!$C$2:$D$7, M72, 1), 0), 1)</f>
        <v>0</v>
      </c>
      <c r="O72" s="86">
        <f t="array" ref="O72">ROUNDUP(IF(EQ(A72, ""), L72*INDEX(UncertaintyFactors!$C$2:$D$7, M72, 2), 0), 1)</f>
        <v>0</v>
      </c>
      <c r="P72" s="51"/>
      <c r="Q72" s="51"/>
      <c r="R72" s="51"/>
      <c r="S72" s="51"/>
      <c r="T72" s="51"/>
      <c r="U72" s="51"/>
      <c r="V72" s="51"/>
      <c r="W72" s="51"/>
      <c r="X72" s="51"/>
      <c r="Y72" s="51"/>
      <c r="Z72" s="51"/>
      <c r="AA72" s="51"/>
    </row>
    <row r="73" ht="15.75" customHeight="1">
      <c r="A73" s="109"/>
      <c r="B73" s="110"/>
      <c r="C73" s="51"/>
      <c r="D73" s="77">
        <v>0.0</v>
      </c>
      <c r="E73" s="51"/>
      <c r="F73" s="109">
        <v>6.0</v>
      </c>
      <c r="G73" s="85">
        <f t="array" ref="G73">ROUNDUP(IF(EQ(A73, ""),E73*INDEX(UncertaintyFactors!$C$2:$D$7, F73, 1), 0), 1)</f>
        <v>0</v>
      </c>
      <c r="H73" s="86">
        <f t="array" ref="H73">ROUNDUP(IF(EQ(A73, ""), E73*INDEX(UncertaintyFactors!$C$2:$D$7, F73, 2), 0), 1)</f>
        <v>0</v>
      </c>
      <c r="I73" s="111"/>
      <c r="J73" s="111"/>
      <c r="K73" s="112"/>
      <c r="L73" s="83">
        <f t="shared" si="1"/>
        <v>0</v>
      </c>
      <c r="M73" s="84">
        <f t="shared" si="2"/>
        <v>6</v>
      </c>
      <c r="N73" s="85">
        <f t="array" ref="N73">ROUNDUP(IF(EQ(A73, ""),L73*INDEX(UncertaintyFactors!$C$2:$D$7, M73, 1), 0), 1)</f>
        <v>0</v>
      </c>
      <c r="O73" s="86">
        <f t="array" ref="O73">ROUNDUP(IF(EQ(A73, ""), L73*INDEX(UncertaintyFactors!$C$2:$D$7, M73, 2), 0), 1)</f>
        <v>0</v>
      </c>
      <c r="P73" s="51"/>
      <c r="Q73" s="51"/>
      <c r="R73" s="51"/>
      <c r="S73" s="51"/>
      <c r="T73" s="51"/>
      <c r="U73" s="51"/>
      <c r="V73" s="51"/>
      <c r="W73" s="51"/>
      <c r="X73" s="51"/>
      <c r="Y73" s="51"/>
      <c r="Z73" s="51"/>
      <c r="AA73" s="51"/>
    </row>
    <row r="74" ht="15.75" customHeight="1">
      <c r="A74" s="109"/>
      <c r="B74" s="110"/>
      <c r="C74" s="51"/>
      <c r="D74" s="77">
        <v>0.0</v>
      </c>
      <c r="E74" s="51"/>
      <c r="F74" s="109">
        <v>6.0</v>
      </c>
      <c r="G74" s="85">
        <f t="array" ref="G74">ROUNDUP(IF(EQ(A74, ""),E74*INDEX(UncertaintyFactors!$C$2:$D$7, F74, 1), 0), 1)</f>
        <v>0</v>
      </c>
      <c r="H74" s="86">
        <f t="array" ref="H74">ROUNDUP(IF(EQ(A74, ""), E74*INDEX(UncertaintyFactors!$C$2:$D$7, F74, 2), 0), 1)</f>
        <v>0</v>
      </c>
      <c r="I74" s="111"/>
      <c r="J74" s="111"/>
      <c r="K74" s="112"/>
      <c r="L74" s="83">
        <f t="shared" si="1"/>
        <v>0</v>
      </c>
      <c r="M74" s="84">
        <f t="shared" si="2"/>
        <v>6</v>
      </c>
      <c r="N74" s="85">
        <f t="array" ref="N74">ROUNDUP(IF(EQ(A74, ""),L74*INDEX(UncertaintyFactors!$C$2:$D$7, M74, 1), 0), 1)</f>
        <v>0</v>
      </c>
      <c r="O74" s="86">
        <f t="array" ref="O74">ROUNDUP(IF(EQ(A74, ""), L74*INDEX(UncertaintyFactors!$C$2:$D$7, M74, 2), 0), 1)</f>
        <v>0</v>
      </c>
      <c r="P74" s="51"/>
      <c r="Q74" s="51"/>
      <c r="R74" s="51"/>
      <c r="S74" s="51"/>
      <c r="T74" s="51"/>
      <c r="U74" s="51"/>
      <c r="V74" s="51"/>
      <c r="W74" s="51"/>
      <c r="X74" s="51"/>
      <c r="Y74" s="51"/>
      <c r="Z74" s="51"/>
      <c r="AA74" s="51"/>
    </row>
    <row r="75" ht="15.75" customHeight="1">
      <c r="A75" s="109"/>
      <c r="B75" s="110"/>
      <c r="C75" s="51"/>
      <c r="D75" s="77">
        <v>0.0</v>
      </c>
      <c r="E75" s="51"/>
      <c r="F75" s="109">
        <v>6.0</v>
      </c>
      <c r="G75" s="85">
        <f t="array" ref="G75">ROUNDUP(IF(EQ(A75, ""),E75*INDEX(UncertaintyFactors!$C$2:$D$7, F75, 1), 0), 1)</f>
        <v>0</v>
      </c>
      <c r="H75" s="86">
        <f t="array" ref="H75">ROUNDUP(IF(EQ(A75, ""), E75*INDEX(UncertaintyFactors!$C$2:$D$7, F75, 2), 0), 1)</f>
        <v>0</v>
      </c>
      <c r="I75" s="111"/>
      <c r="J75" s="111"/>
      <c r="K75" s="112"/>
      <c r="L75" s="83">
        <f t="shared" si="1"/>
        <v>0</v>
      </c>
      <c r="M75" s="84">
        <f t="shared" si="2"/>
        <v>6</v>
      </c>
      <c r="N75" s="85">
        <f t="array" ref="N75">ROUNDUP(IF(EQ(A75, ""),L75*INDEX(UncertaintyFactors!$C$2:$D$7, M75, 1), 0), 1)</f>
        <v>0</v>
      </c>
      <c r="O75" s="86">
        <f t="array" ref="O75">ROUNDUP(IF(EQ(A75, ""), L75*INDEX(UncertaintyFactors!$C$2:$D$7, M75, 2), 0), 1)</f>
        <v>0</v>
      </c>
      <c r="P75" s="51"/>
      <c r="Q75" s="51"/>
      <c r="R75" s="51"/>
      <c r="S75" s="51"/>
      <c r="T75" s="51"/>
      <c r="U75" s="51"/>
      <c r="V75" s="51"/>
      <c r="W75" s="51"/>
      <c r="X75" s="51"/>
      <c r="Y75" s="51"/>
      <c r="Z75" s="51"/>
      <c r="AA75" s="51"/>
    </row>
    <row r="76" ht="15.75" customHeight="1">
      <c r="A76" s="109"/>
      <c r="B76" s="110"/>
      <c r="C76" s="51"/>
      <c r="D76" s="77">
        <v>0.0</v>
      </c>
      <c r="E76" s="51"/>
      <c r="F76" s="109">
        <v>6.0</v>
      </c>
      <c r="G76" s="85">
        <f t="array" ref="G76">ROUNDUP(IF(EQ(A76, ""),E76*INDEX(UncertaintyFactors!$C$2:$D$7, F76, 1), 0), 1)</f>
        <v>0</v>
      </c>
      <c r="H76" s="86">
        <f t="array" ref="H76">ROUNDUP(IF(EQ(A76, ""), E76*INDEX(UncertaintyFactors!$C$2:$D$7, F76, 2), 0), 1)</f>
        <v>0</v>
      </c>
      <c r="I76" s="111"/>
      <c r="J76" s="111"/>
      <c r="K76" s="112"/>
      <c r="L76" s="83">
        <f t="shared" si="1"/>
        <v>0</v>
      </c>
      <c r="M76" s="84">
        <f t="shared" si="2"/>
        <v>6</v>
      </c>
      <c r="N76" s="85">
        <f t="array" ref="N76">ROUNDUP(IF(EQ(A76, ""),L76*INDEX(UncertaintyFactors!$C$2:$D$7, M76, 1), 0), 1)</f>
        <v>0</v>
      </c>
      <c r="O76" s="86">
        <f t="array" ref="O76">ROUNDUP(IF(EQ(A76, ""), L76*INDEX(UncertaintyFactors!$C$2:$D$7, M76, 2), 0), 1)</f>
        <v>0</v>
      </c>
      <c r="P76" s="51"/>
      <c r="Q76" s="51"/>
      <c r="R76" s="51"/>
      <c r="S76" s="51"/>
      <c r="T76" s="51"/>
      <c r="U76" s="51"/>
      <c r="V76" s="51"/>
      <c r="W76" s="51"/>
      <c r="X76" s="51"/>
      <c r="Y76" s="51"/>
      <c r="Z76" s="51"/>
      <c r="AA76" s="51"/>
    </row>
    <row r="77" ht="15.75" customHeight="1">
      <c r="A77" s="109"/>
      <c r="B77" s="110"/>
      <c r="C77" s="51"/>
      <c r="D77" s="77">
        <v>0.0</v>
      </c>
      <c r="E77" s="51"/>
      <c r="F77" s="109">
        <v>6.0</v>
      </c>
      <c r="G77" s="85">
        <f t="array" ref="G77">ROUNDUP(IF(EQ(A77, ""),E77*INDEX(UncertaintyFactors!$C$2:$D$7, F77, 1), 0), 1)</f>
        <v>0</v>
      </c>
      <c r="H77" s="86">
        <f t="array" ref="H77">ROUNDUP(IF(EQ(A77, ""), E77*INDEX(UncertaintyFactors!$C$2:$D$7, F77, 2), 0), 1)</f>
        <v>0</v>
      </c>
      <c r="I77" s="111"/>
      <c r="J77" s="111"/>
      <c r="K77" s="112"/>
      <c r="L77" s="83">
        <f t="shared" si="1"/>
        <v>0</v>
      </c>
      <c r="M77" s="84">
        <f t="shared" si="2"/>
        <v>6</v>
      </c>
      <c r="N77" s="85">
        <f t="array" ref="N77">ROUNDUP(IF(EQ(A77, ""),L77*INDEX(UncertaintyFactors!$C$2:$D$7, M77, 1), 0), 1)</f>
        <v>0</v>
      </c>
      <c r="O77" s="86">
        <f t="array" ref="O77">ROUNDUP(IF(EQ(A77, ""), L77*INDEX(UncertaintyFactors!$C$2:$D$7, M77, 2), 0), 1)</f>
        <v>0</v>
      </c>
      <c r="P77" s="51"/>
      <c r="Q77" s="51"/>
      <c r="R77" s="51"/>
      <c r="S77" s="51"/>
      <c r="T77" s="51"/>
      <c r="U77" s="51"/>
      <c r="V77" s="51"/>
      <c r="W77" s="51"/>
      <c r="X77" s="51"/>
      <c r="Y77" s="51"/>
      <c r="Z77" s="51"/>
      <c r="AA77" s="51"/>
    </row>
    <row r="78" ht="15.75" customHeight="1">
      <c r="A78" s="109"/>
      <c r="B78" s="110"/>
      <c r="C78" s="51"/>
      <c r="D78" s="77">
        <v>0.0</v>
      </c>
      <c r="E78" s="51"/>
      <c r="F78" s="109">
        <v>6.0</v>
      </c>
      <c r="G78" s="85">
        <f t="array" ref="G78">ROUNDUP(IF(EQ(A78, ""),E78*INDEX(UncertaintyFactors!$C$2:$D$7, F78, 1), 0), 1)</f>
        <v>0</v>
      </c>
      <c r="H78" s="86">
        <f t="array" ref="H78">ROUNDUP(IF(EQ(A78, ""), E78*INDEX(UncertaintyFactors!$C$2:$D$7, F78, 2), 0), 1)</f>
        <v>0</v>
      </c>
      <c r="I78" s="111"/>
      <c r="J78" s="111"/>
      <c r="K78" s="112"/>
      <c r="L78" s="83">
        <f t="shared" si="1"/>
        <v>0</v>
      </c>
      <c r="M78" s="84">
        <f t="shared" si="2"/>
        <v>6</v>
      </c>
      <c r="N78" s="85">
        <f t="array" ref="N78">ROUNDUP(IF(EQ(A78, ""),L78*INDEX(UncertaintyFactors!$C$2:$D$7, M78, 1), 0), 1)</f>
        <v>0</v>
      </c>
      <c r="O78" s="86">
        <f t="array" ref="O78">ROUNDUP(IF(EQ(A78, ""), L78*INDEX(UncertaintyFactors!$C$2:$D$7, M78, 2), 0), 1)</f>
        <v>0</v>
      </c>
      <c r="P78" s="51"/>
      <c r="Q78" s="51"/>
      <c r="R78" s="51"/>
      <c r="S78" s="51"/>
      <c r="T78" s="51"/>
      <c r="U78" s="51"/>
      <c r="V78" s="51"/>
      <c r="W78" s="51"/>
      <c r="X78" s="51"/>
      <c r="Y78" s="51"/>
      <c r="Z78" s="51"/>
      <c r="AA78" s="51"/>
    </row>
    <row r="79" ht="15.75" customHeight="1">
      <c r="A79" s="109"/>
      <c r="B79" s="110"/>
      <c r="C79" s="51"/>
      <c r="D79" s="77">
        <v>0.0</v>
      </c>
      <c r="E79" s="51"/>
      <c r="F79" s="109">
        <v>6.0</v>
      </c>
      <c r="G79" s="85">
        <f t="array" ref="G79">ROUNDUP(IF(EQ(A79, ""),E79*INDEX(UncertaintyFactors!$C$2:$D$7, F79, 1), 0), 1)</f>
        <v>0</v>
      </c>
      <c r="H79" s="86">
        <f t="array" ref="H79">ROUNDUP(IF(EQ(A79, ""), E79*INDEX(UncertaintyFactors!$C$2:$D$7, F79, 2), 0), 1)</f>
        <v>0</v>
      </c>
      <c r="I79" s="111"/>
      <c r="J79" s="111"/>
      <c r="K79" s="112"/>
      <c r="L79" s="83">
        <f t="shared" si="1"/>
        <v>0</v>
      </c>
      <c r="M79" s="84">
        <f t="shared" si="2"/>
        <v>6</v>
      </c>
      <c r="N79" s="85">
        <f t="array" ref="N79">ROUNDUP(IF(EQ(A79, ""),L79*INDEX(UncertaintyFactors!$C$2:$D$7, M79, 1), 0), 1)</f>
        <v>0</v>
      </c>
      <c r="O79" s="86">
        <f t="array" ref="O79">ROUNDUP(IF(EQ(A79, ""), L79*INDEX(UncertaintyFactors!$C$2:$D$7, M79, 2), 0), 1)</f>
        <v>0</v>
      </c>
      <c r="P79" s="51"/>
      <c r="Q79" s="51"/>
      <c r="R79" s="51"/>
      <c r="S79" s="51"/>
      <c r="T79" s="51"/>
      <c r="U79" s="51"/>
      <c r="V79" s="51"/>
      <c r="W79" s="51"/>
      <c r="X79" s="51"/>
      <c r="Y79" s="51"/>
      <c r="Z79" s="51"/>
      <c r="AA79" s="51"/>
    </row>
    <row r="80" ht="15.75" customHeight="1">
      <c r="A80" s="109"/>
      <c r="B80" s="110"/>
      <c r="C80" s="51"/>
      <c r="D80" s="77">
        <v>0.0</v>
      </c>
      <c r="E80" s="51"/>
      <c r="F80" s="109">
        <v>6.0</v>
      </c>
      <c r="G80" s="85">
        <f t="array" ref="G80">ROUNDUP(IF(EQ(A80, ""),E80*INDEX(UncertaintyFactors!$C$2:$D$7, F80, 1), 0), 1)</f>
        <v>0</v>
      </c>
      <c r="H80" s="86">
        <f t="array" ref="H80">ROUNDUP(IF(EQ(A80, ""), E80*INDEX(UncertaintyFactors!$C$2:$D$7, F80, 2), 0), 1)</f>
        <v>0</v>
      </c>
      <c r="I80" s="111"/>
      <c r="J80" s="111"/>
      <c r="K80" s="112"/>
      <c r="L80" s="83">
        <f t="shared" si="1"/>
        <v>0</v>
      </c>
      <c r="M80" s="84">
        <f t="shared" si="2"/>
        <v>6</v>
      </c>
      <c r="N80" s="85">
        <f t="array" ref="N80">ROUNDUP(IF(EQ(A80, ""),L80*INDEX(UncertaintyFactors!$C$2:$D$7, M80, 1), 0), 1)</f>
        <v>0</v>
      </c>
      <c r="O80" s="86">
        <f t="array" ref="O80">ROUNDUP(IF(EQ(A80, ""), L80*INDEX(UncertaintyFactors!$C$2:$D$7, M80, 2), 0), 1)</f>
        <v>0</v>
      </c>
      <c r="P80" s="51"/>
      <c r="Q80" s="51"/>
      <c r="R80" s="51"/>
      <c r="S80" s="51"/>
      <c r="T80" s="51"/>
      <c r="U80" s="51"/>
      <c r="V80" s="51"/>
      <c r="W80" s="51"/>
      <c r="X80" s="51"/>
      <c r="Y80" s="51"/>
      <c r="Z80" s="51"/>
      <c r="AA80" s="51"/>
    </row>
    <row r="81" ht="15.75" customHeight="1">
      <c r="A81" s="109"/>
      <c r="B81" s="110"/>
      <c r="C81" s="51"/>
      <c r="D81" s="77">
        <v>0.0</v>
      </c>
      <c r="E81" s="51"/>
      <c r="F81" s="109">
        <v>6.0</v>
      </c>
      <c r="G81" s="85">
        <f t="array" ref="G81">ROUNDUP(IF(EQ(A81, ""),E81*INDEX(UncertaintyFactors!$C$2:$D$7, F81, 1), 0), 1)</f>
        <v>0</v>
      </c>
      <c r="H81" s="86">
        <f t="array" ref="H81">ROUNDUP(IF(EQ(A81, ""), E81*INDEX(UncertaintyFactors!$C$2:$D$7, F81, 2), 0), 1)</f>
        <v>0</v>
      </c>
      <c r="I81" s="111"/>
      <c r="J81" s="111"/>
      <c r="K81" s="112"/>
      <c r="L81" s="83">
        <f t="shared" si="1"/>
        <v>0</v>
      </c>
      <c r="M81" s="84">
        <f t="shared" si="2"/>
        <v>6</v>
      </c>
      <c r="N81" s="85">
        <f t="array" ref="N81">ROUNDUP(IF(EQ(A81, ""),L81*INDEX(UncertaintyFactors!$C$2:$D$7, M81, 1), 0), 1)</f>
        <v>0</v>
      </c>
      <c r="O81" s="86">
        <f t="array" ref="O81">ROUNDUP(IF(EQ(A81, ""), L81*INDEX(UncertaintyFactors!$C$2:$D$7, M81, 2), 0), 1)</f>
        <v>0</v>
      </c>
      <c r="P81" s="51"/>
      <c r="Q81" s="51"/>
      <c r="R81" s="51"/>
      <c r="S81" s="51"/>
      <c r="T81" s="51"/>
      <c r="U81" s="51"/>
      <c r="V81" s="51"/>
      <c r="W81" s="51"/>
      <c r="X81" s="51"/>
      <c r="Y81" s="51"/>
      <c r="Z81" s="51"/>
      <c r="AA81" s="51"/>
    </row>
    <row r="82" ht="15.75" customHeight="1">
      <c r="A82" s="75"/>
      <c r="B82" s="115"/>
      <c r="C82" s="35"/>
      <c r="D82" s="116">
        <v>0.0</v>
      </c>
      <c r="E82" s="26"/>
      <c r="F82" s="109">
        <v>6.0</v>
      </c>
      <c r="G82" s="80">
        <f t="array" ref="G82">ROUNDUP(IF(EQ(A82, ""),E82*INDEX(UncertaintyFactors!$C$2:$D$7, F82, 1), 0), 1)</f>
        <v>0</v>
      </c>
      <c r="H82" s="81">
        <f t="array" ref="H82">ROUNDUP(IF(EQ(A82, ""), E82*INDEX(UncertaintyFactors!$C$2:$D$7, F82, 2), 0), 1)</f>
        <v>0</v>
      </c>
      <c r="I82" s="111"/>
      <c r="J82" s="111"/>
      <c r="K82" s="117"/>
      <c r="L82" s="83">
        <f t="shared" si="1"/>
        <v>0</v>
      </c>
      <c r="M82" s="84">
        <f t="shared" si="2"/>
        <v>6</v>
      </c>
      <c r="N82" s="85">
        <f t="array" ref="N82">ROUNDUP(IF(EQ(A82, ""),L82*INDEX(UncertaintyFactors!$C$2:$D$7, M82, 1), 0), 1)</f>
        <v>0</v>
      </c>
      <c r="O82" s="86">
        <f t="array" ref="O82">ROUNDUP(IF(EQ(A82, ""), L82*INDEX(UncertaintyFactors!$C$2:$D$7, M82, 2), 0), 1)</f>
        <v>0</v>
      </c>
      <c r="P82" s="35"/>
      <c r="Q82" s="35"/>
      <c r="R82" s="35"/>
      <c r="S82" s="35"/>
      <c r="T82" s="35"/>
      <c r="U82" s="35"/>
      <c r="V82" s="35"/>
      <c r="W82" s="35"/>
      <c r="X82" s="35"/>
      <c r="Y82" s="35"/>
      <c r="Z82" s="35"/>
      <c r="AA82" s="35"/>
    </row>
    <row r="83" ht="15.75" customHeight="1">
      <c r="A83" s="75"/>
      <c r="B83" s="115"/>
      <c r="C83" s="35"/>
      <c r="D83" s="116">
        <v>0.0</v>
      </c>
      <c r="E83" s="26"/>
      <c r="F83" s="109">
        <v>6.0</v>
      </c>
      <c r="G83" s="80">
        <f t="array" ref="G83">ROUNDUP(IF(EQ(A83, ""),E83*INDEX(UncertaintyFactors!$C$2:$D$7, F83, 1), 0), 1)</f>
        <v>0</v>
      </c>
      <c r="H83" s="81">
        <f t="array" ref="H83">ROUNDUP(IF(EQ(A83, ""), E83*INDEX(UncertaintyFactors!$C$2:$D$7, F83, 2), 0), 1)</f>
        <v>0</v>
      </c>
      <c r="I83" s="111"/>
      <c r="J83" s="111"/>
      <c r="K83" s="117"/>
      <c r="L83" s="83">
        <f t="shared" si="1"/>
        <v>0</v>
      </c>
      <c r="M83" s="84">
        <f t="shared" si="2"/>
        <v>6</v>
      </c>
      <c r="N83" s="85">
        <f t="array" ref="N83">ROUNDUP(IF(EQ(A83, ""),L83*INDEX(UncertaintyFactors!$C$2:$D$7, M83, 1), 0), 1)</f>
        <v>0</v>
      </c>
      <c r="O83" s="86">
        <f t="array" ref="O83">ROUNDUP(IF(EQ(A83, ""), L83*INDEX(UncertaintyFactors!$C$2:$D$7, M83, 2), 0), 1)</f>
        <v>0</v>
      </c>
      <c r="P83" s="35"/>
      <c r="Q83" s="35"/>
      <c r="R83" s="35"/>
      <c r="S83" s="35"/>
      <c r="T83" s="35"/>
      <c r="U83" s="35"/>
      <c r="V83" s="35"/>
      <c r="W83" s="35"/>
      <c r="X83" s="35"/>
      <c r="Y83" s="35"/>
      <c r="Z83" s="35"/>
      <c r="AA83" s="35"/>
    </row>
    <row r="84" ht="15.75" customHeight="1">
      <c r="A84" s="75"/>
      <c r="B84" s="115"/>
      <c r="C84" s="35"/>
      <c r="D84" s="116">
        <v>0.0</v>
      </c>
      <c r="E84" s="26"/>
      <c r="F84" s="109">
        <v>6.0</v>
      </c>
      <c r="G84" s="80">
        <f t="array" ref="G84">ROUNDUP(IF(EQ(A84, ""),E84*INDEX(UncertaintyFactors!$C$2:$D$7, F84, 1), 0), 1)</f>
        <v>0</v>
      </c>
      <c r="H84" s="81">
        <f t="array" ref="H84">ROUNDUP(IF(EQ(A84, ""), E84*INDEX(UncertaintyFactors!$C$2:$D$7, F84, 2), 0), 1)</f>
        <v>0</v>
      </c>
      <c r="I84" s="111"/>
      <c r="J84" s="111"/>
      <c r="K84" s="117"/>
      <c r="L84" s="83">
        <f t="shared" si="1"/>
        <v>0</v>
      </c>
      <c r="M84" s="84">
        <f t="shared" si="2"/>
        <v>6</v>
      </c>
      <c r="N84" s="85">
        <f t="array" ref="N84">ROUNDUP(IF(EQ(A84, ""),L84*INDEX(UncertaintyFactors!$C$2:$D$7, M84, 1), 0), 1)</f>
        <v>0</v>
      </c>
      <c r="O84" s="86">
        <f t="array" ref="O84">ROUNDUP(IF(EQ(A84, ""), L84*INDEX(UncertaintyFactors!$C$2:$D$7, M84, 2), 0), 1)</f>
        <v>0</v>
      </c>
      <c r="P84" s="35"/>
      <c r="Q84" s="35"/>
      <c r="R84" s="35"/>
      <c r="S84" s="35"/>
      <c r="T84" s="35"/>
      <c r="U84" s="35"/>
      <c r="V84" s="35"/>
      <c r="W84" s="35"/>
      <c r="X84" s="35"/>
      <c r="Y84" s="35"/>
      <c r="Z84" s="35"/>
      <c r="AA84" s="35"/>
    </row>
    <row r="85" ht="15.75" customHeight="1">
      <c r="A85" s="75"/>
      <c r="B85" s="101"/>
      <c r="C85" s="35"/>
      <c r="D85" s="116">
        <v>0.0</v>
      </c>
      <c r="E85" s="78"/>
      <c r="F85" s="109">
        <v>6.0</v>
      </c>
      <c r="G85" s="80">
        <f t="array" ref="G85">ROUNDUP(IF(EQ(A85, ""),E85*INDEX(UncertaintyFactors!$C$2:$D$7, F85, 1), 0), 1)</f>
        <v>0</v>
      </c>
      <c r="H85" s="81">
        <f t="array" ref="H85">ROUNDUP(IF(EQ(A85, ""), E85*INDEX(UncertaintyFactors!$C$2:$D$7, F85, 2), 0), 1)</f>
        <v>0</v>
      </c>
      <c r="I85" s="111"/>
      <c r="J85" s="111"/>
      <c r="K85" s="118"/>
      <c r="L85" s="83">
        <f t="shared" si="1"/>
        <v>0</v>
      </c>
      <c r="M85" s="84">
        <f t="shared" si="2"/>
        <v>6</v>
      </c>
      <c r="N85" s="85">
        <f t="array" ref="N85">ROUNDUP(IF(EQ(A85, ""),L85*INDEX(UncertaintyFactors!$C$2:$D$7, M85, 1), 0), 1)</f>
        <v>0</v>
      </c>
      <c r="O85" s="86">
        <f t="array" ref="O85">ROUNDUP(IF(EQ(A85, ""), L85*INDEX(UncertaintyFactors!$C$2:$D$7, M85, 2), 0), 1)</f>
        <v>0</v>
      </c>
      <c r="P85" s="35"/>
      <c r="Q85" s="35"/>
      <c r="R85" s="35"/>
      <c r="S85" s="35"/>
      <c r="T85" s="35"/>
      <c r="U85" s="35"/>
      <c r="V85" s="35"/>
      <c r="W85" s="35"/>
      <c r="X85" s="35"/>
      <c r="Y85" s="35"/>
      <c r="Z85" s="35"/>
      <c r="AA85" s="35"/>
    </row>
    <row r="86" ht="15.75" customHeight="1">
      <c r="A86" s="90"/>
      <c r="B86" s="90"/>
      <c r="C86" s="92"/>
      <c r="D86" s="92"/>
      <c r="E86" s="93">
        <f>ROUNDUP(SUM(E7:E85),0)</f>
        <v>0</v>
      </c>
      <c r="F86" s="94">
        <f>AVERAGE(F7:F85)</f>
        <v>6</v>
      </c>
      <c r="G86" s="95">
        <f t="shared" ref="G86:H86" si="3">ROUNDUP(SUM(G7:G85),0)</f>
        <v>0</v>
      </c>
      <c r="H86" s="95">
        <f t="shared" si="3"/>
        <v>0</v>
      </c>
      <c r="I86" s="119"/>
      <c r="J86" s="119"/>
      <c r="K86" s="118"/>
      <c r="L86" s="93">
        <f>ROUNDUP(SUM(L7:L85),0)</f>
        <v>0</v>
      </c>
      <c r="M86" s="94">
        <f t="shared" si="2"/>
        <v>6</v>
      </c>
      <c r="N86" s="95">
        <f t="shared" ref="N86:O86" si="4">ROUNDUP(SUM(N7:N85),0)</f>
        <v>0</v>
      </c>
      <c r="O86" s="95">
        <f t="shared" si="4"/>
        <v>0</v>
      </c>
      <c r="P86" s="35"/>
      <c r="Q86" s="35"/>
      <c r="R86" s="35"/>
      <c r="S86" s="35"/>
      <c r="T86" s="35"/>
      <c r="U86" s="35"/>
      <c r="V86" s="35"/>
      <c r="W86" s="35"/>
      <c r="X86" s="35"/>
      <c r="Y86" s="35"/>
      <c r="Z86" s="35"/>
      <c r="AA86" s="35"/>
    </row>
    <row r="87" ht="15.75" customHeight="1">
      <c r="A87" s="35"/>
      <c r="B87" s="35"/>
      <c r="C87" s="35"/>
      <c r="D87" s="116"/>
      <c r="E87" s="95" t="s">
        <v>86</v>
      </c>
      <c r="G87" s="99">
        <f>ROUNDUP(AVERAGE(G86:H86),0)</f>
        <v>0</v>
      </c>
      <c r="I87" s="119"/>
      <c r="J87" s="119"/>
      <c r="K87" s="118"/>
      <c r="L87" s="95" t="s">
        <v>86</v>
      </c>
      <c r="N87" s="99">
        <f>ROUNDUP(AVERAGE(N86:O86),0)</f>
        <v>0</v>
      </c>
      <c r="P87" s="35"/>
      <c r="Q87" s="35"/>
      <c r="R87" s="35"/>
      <c r="S87" s="35"/>
      <c r="T87" s="35"/>
      <c r="U87" s="35"/>
      <c r="V87" s="35"/>
      <c r="W87" s="35"/>
      <c r="X87" s="35"/>
      <c r="Y87" s="35"/>
      <c r="Z87" s="35"/>
      <c r="AA87" s="35"/>
    </row>
    <row r="88" ht="15.75" customHeight="1">
      <c r="A88" s="35"/>
      <c r="B88" s="35"/>
      <c r="C88" s="35"/>
      <c r="D88" s="116"/>
      <c r="E88" s="26"/>
      <c r="F88" s="51"/>
      <c r="G88" s="51"/>
      <c r="H88" s="51"/>
      <c r="I88" s="111"/>
      <c r="J88" s="111"/>
      <c r="K88" s="117"/>
      <c r="L88" s="35"/>
      <c r="M88" s="35"/>
      <c r="N88" s="35"/>
      <c r="O88" s="35"/>
      <c r="P88" s="35"/>
      <c r="Q88" s="35"/>
      <c r="R88" s="35"/>
      <c r="S88" s="35"/>
      <c r="T88" s="35"/>
      <c r="U88" s="35"/>
      <c r="V88" s="35"/>
      <c r="W88" s="35"/>
      <c r="X88" s="35"/>
      <c r="Y88" s="35"/>
      <c r="Z88" s="35"/>
      <c r="AA88" s="35"/>
    </row>
    <row r="89" ht="15.75" customHeight="1">
      <c r="A89" s="35"/>
      <c r="B89" s="35"/>
      <c r="C89" s="35"/>
      <c r="D89" s="116"/>
      <c r="E89" s="26"/>
      <c r="F89" s="51"/>
      <c r="G89" s="51"/>
      <c r="H89" s="51"/>
      <c r="I89" s="18"/>
      <c r="J89" s="18"/>
      <c r="K89" s="35"/>
      <c r="L89" s="35"/>
      <c r="M89" s="35"/>
      <c r="N89" s="35"/>
      <c r="O89" s="35"/>
      <c r="P89" s="35"/>
      <c r="Q89" s="35"/>
      <c r="R89" s="35"/>
      <c r="S89" s="35"/>
      <c r="T89" s="35"/>
      <c r="U89" s="35"/>
      <c r="V89" s="35"/>
      <c r="W89" s="35"/>
      <c r="X89" s="35"/>
      <c r="Y89" s="35"/>
      <c r="Z89" s="35"/>
      <c r="AA89" s="35"/>
    </row>
    <row r="90" ht="15.75" customHeight="1">
      <c r="A90" s="35"/>
      <c r="B90" s="35"/>
      <c r="C90" s="35"/>
      <c r="D90" s="116"/>
      <c r="E90" s="26"/>
      <c r="F90" s="51"/>
      <c r="G90" s="51"/>
      <c r="H90" s="51"/>
      <c r="I90" s="18"/>
      <c r="J90" s="18"/>
      <c r="K90" s="35"/>
      <c r="L90" s="35"/>
      <c r="M90" s="35"/>
      <c r="N90" s="35"/>
      <c r="O90" s="35"/>
      <c r="P90" s="35"/>
      <c r="Q90" s="35"/>
      <c r="R90" s="35"/>
      <c r="S90" s="35"/>
      <c r="T90" s="35"/>
      <c r="U90" s="35"/>
      <c r="V90" s="35"/>
      <c r="W90" s="35"/>
      <c r="X90" s="35"/>
      <c r="Y90" s="35"/>
      <c r="Z90" s="35"/>
      <c r="AA90" s="35"/>
    </row>
    <row r="91" ht="15.75" customHeight="1">
      <c r="A91" s="35"/>
      <c r="B91" s="35"/>
      <c r="C91" s="35"/>
      <c r="D91" s="116"/>
      <c r="E91" s="26"/>
      <c r="F91" s="51"/>
      <c r="G91" s="51"/>
      <c r="H91" s="51"/>
      <c r="I91" s="18"/>
      <c r="J91" s="18"/>
      <c r="K91" s="35"/>
      <c r="L91" s="35"/>
      <c r="M91" s="35"/>
      <c r="N91" s="35"/>
      <c r="O91" s="35"/>
      <c r="P91" s="35"/>
      <c r="Q91" s="35"/>
      <c r="R91" s="35"/>
      <c r="S91" s="35"/>
      <c r="T91" s="35"/>
      <c r="U91" s="35"/>
      <c r="V91" s="35"/>
      <c r="W91" s="35"/>
      <c r="X91" s="35"/>
      <c r="Y91" s="35"/>
      <c r="Z91" s="35"/>
      <c r="AA91" s="35"/>
    </row>
    <row r="92" ht="15.75" customHeight="1">
      <c r="A92" s="35"/>
      <c r="B92" s="35"/>
      <c r="C92" s="35"/>
      <c r="D92" s="116"/>
      <c r="E92" s="26"/>
      <c r="F92" s="51"/>
      <c r="G92" s="51"/>
      <c r="H92" s="51"/>
      <c r="I92" s="18"/>
      <c r="J92" s="18"/>
      <c r="K92" s="35"/>
      <c r="L92" s="35"/>
      <c r="M92" s="35"/>
      <c r="N92" s="35"/>
      <c r="O92" s="35"/>
      <c r="P92" s="35"/>
      <c r="Q92" s="35"/>
      <c r="R92" s="35"/>
      <c r="S92" s="35"/>
      <c r="T92" s="35"/>
      <c r="U92" s="35"/>
      <c r="V92" s="35"/>
      <c r="W92" s="35"/>
      <c r="X92" s="35"/>
      <c r="Y92" s="35"/>
      <c r="Z92" s="35"/>
      <c r="AA92" s="35"/>
    </row>
    <row r="93" ht="15.75" customHeight="1">
      <c r="A93" s="35"/>
      <c r="B93" s="35"/>
      <c r="C93" s="35"/>
      <c r="D93" s="116"/>
      <c r="E93" s="26"/>
      <c r="F93" s="51"/>
      <c r="G93" s="51"/>
      <c r="H93" s="51"/>
      <c r="I93" s="18"/>
      <c r="J93" s="18"/>
      <c r="K93" s="35"/>
      <c r="L93" s="35"/>
      <c r="M93" s="35"/>
      <c r="N93" s="35"/>
      <c r="O93" s="35"/>
      <c r="P93" s="35"/>
      <c r="Q93" s="35"/>
      <c r="R93" s="35"/>
      <c r="S93" s="35"/>
      <c r="T93" s="35"/>
      <c r="U93" s="35"/>
      <c r="V93" s="35"/>
      <c r="W93" s="35"/>
      <c r="X93" s="35"/>
      <c r="Y93" s="35"/>
      <c r="Z93" s="35"/>
      <c r="AA93" s="35"/>
    </row>
    <row r="94" ht="15.75" customHeight="1">
      <c r="A94" s="35"/>
      <c r="B94" s="35"/>
      <c r="C94" s="35"/>
      <c r="D94" s="116"/>
      <c r="E94" s="26"/>
      <c r="F94" s="51"/>
      <c r="G94" s="51"/>
      <c r="H94" s="51"/>
      <c r="I94" s="18"/>
      <c r="J94" s="18"/>
      <c r="K94" s="35"/>
      <c r="L94" s="35"/>
      <c r="M94" s="35"/>
      <c r="N94" s="35"/>
      <c r="O94" s="35"/>
      <c r="P94" s="35"/>
      <c r="Q94" s="35"/>
      <c r="R94" s="35"/>
      <c r="S94" s="35"/>
      <c r="T94" s="35"/>
      <c r="U94" s="35"/>
      <c r="V94" s="35"/>
      <c r="W94" s="35"/>
      <c r="X94" s="35"/>
      <c r="Y94" s="35"/>
      <c r="Z94" s="35"/>
      <c r="AA94" s="35"/>
    </row>
    <row r="95" ht="15.75" customHeight="1">
      <c r="A95" s="35"/>
      <c r="B95" s="35"/>
      <c r="C95" s="35"/>
      <c r="D95" s="116"/>
      <c r="E95" s="26"/>
      <c r="F95" s="51"/>
      <c r="G95" s="51"/>
      <c r="H95" s="51"/>
      <c r="I95" s="18"/>
      <c r="J95" s="18"/>
      <c r="K95" s="35"/>
      <c r="L95" s="35"/>
      <c r="M95" s="35"/>
      <c r="N95" s="35"/>
      <c r="O95" s="35"/>
      <c r="P95" s="35"/>
      <c r="Q95" s="35"/>
      <c r="R95" s="35"/>
      <c r="S95" s="35"/>
      <c r="T95" s="35"/>
      <c r="U95" s="35"/>
      <c r="V95" s="35"/>
      <c r="W95" s="35"/>
      <c r="X95" s="35"/>
      <c r="Y95" s="35"/>
      <c r="Z95" s="35"/>
      <c r="AA95" s="35"/>
    </row>
    <row r="96" ht="15.75" customHeight="1">
      <c r="A96" s="35"/>
      <c r="B96" s="35"/>
      <c r="C96" s="35"/>
      <c r="D96" s="116"/>
      <c r="E96" s="26"/>
      <c r="F96" s="51"/>
      <c r="G96" s="51"/>
      <c r="H96" s="51"/>
      <c r="I96" s="18"/>
      <c r="J96" s="18"/>
      <c r="K96" s="35"/>
      <c r="L96" s="35"/>
      <c r="M96" s="35"/>
      <c r="N96" s="35"/>
      <c r="O96" s="35"/>
      <c r="P96" s="35"/>
      <c r="Q96" s="35"/>
      <c r="R96" s="35"/>
      <c r="S96" s="35"/>
      <c r="T96" s="35"/>
      <c r="U96" s="35"/>
      <c r="V96" s="35"/>
      <c r="W96" s="35"/>
      <c r="X96" s="35"/>
      <c r="Y96" s="35"/>
      <c r="Z96" s="35"/>
      <c r="AA96" s="35"/>
    </row>
    <row r="97" ht="15.75" customHeight="1">
      <c r="A97" s="35"/>
      <c r="B97" s="35"/>
      <c r="C97" s="35"/>
      <c r="D97" s="116"/>
      <c r="E97" s="26"/>
      <c r="F97" s="51"/>
      <c r="G97" s="51"/>
      <c r="H97" s="51"/>
      <c r="I97" s="18"/>
      <c r="J97" s="18"/>
      <c r="K97" s="35"/>
      <c r="L97" s="35"/>
      <c r="M97" s="35"/>
      <c r="N97" s="35"/>
      <c r="O97" s="35"/>
      <c r="P97" s="35"/>
      <c r="Q97" s="35"/>
      <c r="R97" s="35"/>
      <c r="S97" s="35"/>
      <c r="T97" s="35"/>
      <c r="U97" s="35"/>
      <c r="V97" s="35"/>
      <c r="W97" s="35"/>
      <c r="X97" s="35"/>
      <c r="Y97" s="35"/>
      <c r="Z97" s="35"/>
      <c r="AA97" s="35"/>
    </row>
    <row r="98" ht="15.75" customHeight="1">
      <c r="A98" s="35"/>
      <c r="B98" s="35"/>
      <c r="C98" s="35"/>
      <c r="D98" s="116"/>
      <c r="E98" s="26"/>
      <c r="F98" s="51"/>
      <c r="G98" s="51"/>
      <c r="H98" s="51"/>
      <c r="I98" s="18"/>
      <c r="J98" s="18"/>
      <c r="K98" s="35"/>
      <c r="L98" s="35"/>
      <c r="M98" s="35"/>
      <c r="N98" s="35"/>
      <c r="O98" s="35"/>
      <c r="P98" s="35"/>
      <c r="Q98" s="35"/>
      <c r="R98" s="35"/>
      <c r="S98" s="35"/>
      <c r="T98" s="35"/>
      <c r="U98" s="35"/>
      <c r="V98" s="35"/>
      <c r="W98" s="35"/>
      <c r="X98" s="35"/>
      <c r="Y98" s="35"/>
      <c r="Z98" s="35"/>
      <c r="AA98" s="35"/>
    </row>
    <row r="99" ht="15.75" customHeight="1">
      <c r="A99" s="35"/>
      <c r="B99" s="35"/>
      <c r="C99" s="35"/>
      <c r="D99" s="116"/>
      <c r="E99" s="26"/>
      <c r="F99" s="51"/>
      <c r="G99" s="51"/>
      <c r="H99" s="51"/>
      <c r="I99" s="18"/>
      <c r="J99" s="18"/>
      <c r="K99" s="35"/>
      <c r="L99" s="35"/>
      <c r="M99" s="35"/>
      <c r="N99" s="35"/>
      <c r="O99" s="35"/>
      <c r="P99" s="35"/>
      <c r="Q99" s="35"/>
      <c r="R99" s="35"/>
      <c r="S99" s="35"/>
      <c r="T99" s="35"/>
      <c r="U99" s="35"/>
      <c r="V99" s="35"/>
      <c r="W99" s="35"/>
      <c r="X99" s="35"/>
      <c r="Y99" s="35"/>
      <c r="Z99" s="35"/>
      <c r="AA99" s="35"/>
    </row>
    <row r="100" ht="15.75" customHeight="1">
      <c r="A100" s="35"/>
      <c r="B100" s="35"/>
      <c r="C100" s="35"/>
      <c r="D100" s="116"/>
      <c r="E100" s="26"/>
      <c r="F100" s="51"/>
      <c r="G100" s="51"/>
      <c r="H100" s="51"/>
      <c r="I100" s="18"/>
      <c r="J100" s="18"/>
      <c r="K100" s="35"/>
      <c r="L100" s="35"/>
      <c r="M100" s="35"/>
      <c r="N100" s="35"/>
      <c r="O100" s="35"/>
      <c r="P100" s="35"/>
      <c r="Q100" s="35"/>
      <c r="R100" s="35"/>
      <c r="S100" s="35"/>
      <c r="T100" s="35"/>
      <c r="U100" s="35"/>
      <c r="V100" s="35"/>
      <c r="W100" s="35"/>
      <c r="X100" s="35"/>
      <c r="Y100" s="35"/>
      <c r="Z100" s="35"/>
      <c r="AA100" s="35"/>
    </row>
    <row r="101" ht="15.75" customHeight="1">
      <c r="A101" s="35"/>
      <c r="B101" s="35"/>
      <c r="C101" s="35"/>
      <c r="D101" s="116"/>
      <c r="E101" s="26"/>
      <c r="F101" s="51"/>
      <c r="G101" s="51"/>
      <c r="H101" s="51"/>
      <c r="I101" s="18"/>
      <c r="J101" s="18"/>
      <c r="K101" s="35"/>
      <c r="L101" s="35"/>
      <c r="M101" s="35"/>
      <c r="N101" s="35"/>
      <c r="O101" s="35"/>
      <c r="P101" s="35"/>
      <c r="Q101" s="35"/>
      <c r="R101" s="35"/>
      <c r="S101" s="35"/>
      <c r="T101" s="35"/>
      <c r="U101" s="35"/>
      <c r="V101" s="35"/>
      <c r="W101" s="35"/>
      <c r="X101" s="35"/>
      <c r="Y101" s="35"/>
      <c r="Z101" s="35"/>
      <c r="AA101" s="35"/>
    </row>
    <row r="102" ht="15.75" customHeight="1">
      <c r="A102" s="35"/>
      <c r="B102" s="35"/>
      <c r="C102" s="35"/>
      <c r="D102" s="116"/>
      <c r="E102" s="26"/>
      <c r="F102" s="51"/>
      <c r="G102" s="51"/>
      <c r="H102" s="51"/>
      <c r="I102" s="18"/>
      <c r="J102" s="18"/>
      <c r="K102" s="35"/>
      <c r="L102" s="35"/>
      <c r="M102" s="35"/>
      <c r="N102" s="35"/>
      <c r="O102" s="35"/>
      <c r="P102" s="35"/>
      <c r="Q102" s="35"/>
      <c r="R102" s="35"/>
      <c r="S102" s="35"/>
      <c r="T102" s="35"/>
      <c r="U102" s="35"/>
      <c r="V102" s="35"/>
      <c r="W102" s="35"/>
      <c r="X102" s="35"/>
      <c r="Y102" s="35"/>
      <c r="Z102" s="35"/>
      <c r="AA102" s="35"/>
    </row>
    <row r="103" ht="15.75" customHeight="1">
      <c r="A103" s="35"/>
      <c r="B103" s="35"/>
      <c r="C103" s="35"/>
      <c r="D103" s="116"/>
      <c r="E103" s="26"/>
      <c r="F103" s="51"/>
      <c r="G103" s="51"/>
      <c r="H103" s="51"/>
      <c r="I103" s="18"/>
      <c r="J103" s="18"/>
      <c r="K103" s="35"/>
      <c r="L103" s="35"/>
      <c r="M103" s="35"/>
      <c r="N103" s="35"/>
      <c r="O103" s="35"/>
      <c r="P103" s="35"/>
      <c r="Q103" s="35"/>
      <c r="R103" s="35"/>
      <c r="S103" s="35"/>
      <c r="T103" s="35"/>
      <c r="U103" s="35"/>
      <c r="V103" s="35"/>
      <c r="W103" s="35"/>
      <c r="X103" s="35"/>
      <c r="Y103" s="35"/>
      <c r="Z103" s="35"/>
      <c r="AA103" s="35"/>
    </row>
    <row r="104" ht="15.75" customHeight="1">
      <c r="A104" s="35"/>
      <c r="B104" s="35"/>
      <c r="C104" s="35"/>
      <c r="D104" s="116"/>
      <c r="E104" s="26"/>
      <c r="F104" s="51"/>
      <c r="G104" s="51"/>
      <c r="H104" s="51"/>
      <c r="I104" s="18"/>
      <c r="J104" s="18"/>
      <c r="K104" s="35"/>
      <c r="L104" s="35"/>
      <c r="M104" s="35"/>
      <c r="N104" s="35"/>
      <c r="O104" s="35"/>
      <c r="P104" s="35"/>
      <c r="Q104" s="35"/>
      <c r="R104" s="35"/>
      <c r="S104" s="35"/>
      <c r="T104" s="35"/>
      <c r="U104" s="35"/>
      <c r="V104" s="35"/>
      <c r="W104" s="35"/>
      <c r="X104" s="35"/>
      <c r="Y104" s="35"/>
      <c r="Z104" s="35"/>
      <c r="AA104" s="35"/>
    </row>
    <row r="105" ht="15.75" customHeight="1">
      <c r="A105" s="35"/>
      <c r="B105" s="35"/>
      <c r="C105" s="35"/>
      <c r="D105" s="116"/>
      <c r="E105" s="26"/>
      <c r="F105" s="51"/>
      <c r="G105" s="51"/>
      <c r="H105" s="51"/>
      <c r="I105" s="18"/>
      <c r="J105" s="18"/>
      <c r="K105" s="35"/>
      <c r="L105" s="35"/>
      <c r="M105" s="35"/>
      <c r="N105" s="35"/>
      <c r="O105" s="35"/>
      <c r="P105" s="35"/>
      <c r="Q105" s="35"/>
      <c r="R105" s="35"/>
      <c r="S105" s="35"/>
      <c r="T105" s="35"/>
      <c r="U105" s="35"/>
      <c r="V105" s="35"/>
      <c r="W105" s="35"/>
      <c r="X105" s="35"/>
      <c r="Y105" s="35"/>
      <c r="Z105" s="35"/>
      <c r="AA105" s="35"/>
    </row>
    <row r="106" ht="15.75" customHeight="1">
      <c r="A106" s="35"/>
      <c r="B106" s="35"/>
      <c r="C106" s="35"/>
      <c r="D106" s="116"/>
      <c r="E106" s="26"/>
      <c r="F106" s="51"/>
      <c r="G106" s="51"/>
      <c r="H106" s="51"/>
      <c r="I106" s="18"/>
      <c r="J106" s="18"/>
      <c r="K106" s="35"/>
      <c r="L106" s="35"/>
      <c r="M106" s="35"/>
      <c r="N106" s="35"/>
      <c r="O106" s="35"/>
      <c r="P106" s="35"/>
      <c r="Q106" s="35"/>
      <c r="R106" s="35"/>
      <c r="S106" s="35"/>
      <c r="T106" s="35"/>
      <c r="U106" s="35"/>
      <c r="V106" s="35"/>
      <c r="W106" s="35"/>
      <c r="X106" s="35"/>
      <c r="Y106" s="35"/>
      <c r="Z106" s="35"/>
      <c r="AA106" s="35"/>
    </row>
    <row r="107" ht="15.75" customHeight="1">
      <c r="A107" s="35"/>
      <c r="B107" s="35"/>
      <c r="C107" s="35"/>
      <c r="D107" s="116"/>
      <c r="E107" s="26"/>
      <c r="F107" s="51"/>
      <c r="G107" s="51"/>
      <c r="H107" s="51"/>
      <c r="I107" s="18"/>
      <c r="J107" s="18"/>
      <c r="K107" s="35"/>
      <c r="L107" s="35"/>
      <c r="M107" s="35"/>
      <c r="N107" s="35"/>
      <c r="O107" s="35"/>
      <c r="P107" s="35"/>
      <c r="Q107" s="35"/>
      <c r="R107" s="35"/>
      <c r="S107" s="35"/>
      <c r="T107" s="35"/>
      <c r="U107" s="35"/>
      <c r="V107" s="35"/>
      <c r="W107" s="35"/>
      <c r="X107" s="35"/>
      <c r="Y107" s="35"/>
      <c r="Z107" s="35"/>
      <c r="AA107" s="35"/>
    </row>
    <row r="108" ht="15.75" customHeight="1">
      <c r="A108" s="35"/>
      <c r="B108" s="35"/>
      <c r="C108" s="35"/>
      <c r="D108" s="116"/>
      <c r="E108" s="26"/>
      <c r="F108" s="51"/>
      <c r="G108" s="51"/>
      <c r="H108" s="51"/>
      <c r="I108" s="18"/>
      <c r="J108" s="18"/>
      <c r="K108" s="35"/>
      <c r="L108" s="35"/>
      <c r="M108" s="35"/>
      <c r="N108" s="35"/>
      <c r="O108" s="35"/>
      <c r="P108" s="35"/>
      <c r="Q108" s="35"/>
      <c r="R108" s="35"/>
      <c r="S108" s="35"/>
      <c r="T108" s="35"/>
      <c r="U108" s="35"/>
      <c r="V108" s="35"/>
      <c r="W108" s="35"/>
      <c r="X108" s="35"/>
      <c r="Y108" s="35"/>
      <c r="Z108" s="35"/>
      <c r="AA108" s="35"/>
    </row>
    <row r="109" ht="15.75" customHeight="1">
      <c r="A109" s="35"/>
      <c r="B109" s="35"/>
      <c r="C109" s="35"/>
      <c r="D109" s="116"/>
      <c r="E109" s="26"/>
      <c r="F109" s="51"/>
      <c r="G109" s="51"/>
      <c r="H109" s="51"/>
      <c r="I109" s="18"/>
      <c r="J109" s="18"/>
      <c r="K109" s="35"/>
      <c r="L109" s="35"/>
      <c r="M109" s="35"/>
      <c r="N109" s="35"/>
      <c r="O109" s="35"/>
      <c r="P109" s="35"/>
      <c r="Q109" s="35"/>
      <c r="R109" s="35"/>
      <c r="S109" s="35"/>
      <c r="T109" s="35"/>
      <c r="U109" s="35"/>
      <c r="V109" s="35"/>
      <c r="W109" s="35"/>
      <c r="X109" s="35"/>
      <c r="Y109" s="35"/>
      <c r="Z109" s="35"/>
      <c r="AA109" s="35"/>
    </row>
    <row r="110" ht="15.75" customHeight="1">
      <c r="A110" s="35"/>
      <c r="B110" s="35"/>
      <c r="C110" s="35"/>
      <c r="D110" s="116"/>
      <c r="E110" s="26"/>
      <c r="F110" s="51"/>
      <c r="G110" s="51"/>
      <c r="H110" s="51"/>
      <c r="I110" s="18"/>
      <c r="J110" s="18"/>
      <c r="K110" s="35"/>
      <c r="L110" s="35"/>
      <c r="M110" s="35"/>
      <c r="N110" s="35"/>
      <c r="O110" s="35"/>
      <c r="P110" s="35"/>
      <c r="Q110" s="35"/>
      <c r="R110" s="35"/>
      <c r="S110" s="35"/>
      <c r="T110" s="35"/>
      <c r="U110" s="35"/>
      <c r="V110" s="35"/>
      <c r="W110" s="35"/>
      <c r="X110" s="35"/>
      <c r="Y110" s="35"/>
      <c r="Z110" s="35"/>
      <c r="AA110" s="35"/>
    </row>
    <row r="111" ht="15.75" customHeight="1">
      <c r="A111" s="35"/>
      <c r="B111" s="35"/>
      <c r="C111" s="35"/>
      <c r="D111" s="116"/>
      <c r="E111" s="26"/>
      <c r="F111" s="51"/>
      <c r="G111" s="51"/>
      <c r="H111" s="51"/>
      <c r="I111" s="18"/>
      <c r="J111" s="18"/>
      <c r="K111" s="35"/>
      <c r="L111" s="35"/>
      <c r="M111" s="35"/>
      <c r="N111" s="35"/>
      <c r="O111" s="35"/>
      <c r="P111" s="35"/>
      <c r="Q111" s="35"/>
      <c r="R111" s="35"/>
      <c r="S111" s="35"/>
      <c r="T111" s="35"/>
      <c r="U111" s="35"/>
      <c r="V111" s="35"/>
      <c r="W111" s="35"/>
      <c r="X111" s="35"/>
      <c r="Y111" s="35"/>
      <c r="Z111" s="35"/>
      <c r="AA111" s="35"/>
    </row>
    <row r="112" ht="15.75" customHeight="1">
      <c r="A112" s="35"/>
      <c r="B112" s="35"/>
      <c r="C112" s="35"/>
      <c r="D112" s="116"/>
      <c r="E112" s="26"/>
      <c r="F112" s="51"/>
      <c r="G112" s="51"/>
      <c r="H112" s="51"/>
      <c r="I112" s="18"/>
      <c r="J112" s="18"/>
      <c r="K112" s="35"/>
      <c r="L112" s="35"/>
      <c r="M112" s="35"/>
      <c r="N112" s="35"/>
      <c r="O112" s="35"/>
      <c r="P112" s="35"/>
      <c r="Q112" s="35"/>
      <c r="R112" s="35"/>
      <c r="S112" s="35"/>
      <c r="T112" s="35"/>
      <c r="U112" s="35"/>
      <c r="V112" s="35"/>
      <c r="W112" s="35"/>
      <c r="X112" s="35"/>
      <c r="Y112" s="35"/>
      <c r="Z112" s="35"/>
      <c r="AA112" s="35"/>
    </row>
    <row r="113" ht="15.75" customHeight="1">
      <c r="A113" s="35"/>
      <c r="B113" s="35"/>
      <c r="C113" s="35"/>
      <c r="D113" s="116"/>
      <c r="E113" s="26"/>
      <c r="F113" s="51"/>
      <c r="G113" s="51"/>
      <c r="H113" s="51"/>
      <c r="I113" s="18"/>
      <c r="J113" s="18"/>
      <c r="K113" s="35"/>
      <c r="L113" s="35"/>
      <c r="M113" s="35"/>
      <c r="N113" s="35"/>
      <c r="O113" s="35"/>
      <c r="P113" s="35"/>
      <c r="Q113" s="35"/>
      <c r="R113" s="35"/>
      <c r="S113" s="35"/>
      <c r="T113" s="35"/>
      <c r="U113" s="35"/>
      <c r="V113" s="35"/>
      <c r="W113" s="35"/>
      <c r="X113" s="35"/>
      <c r="Y113" s="35"/>
      <c r="Z113" s="35"/>
      <c r="AA113" s="35"/>
    </row>
    <row r="114" ht="15.75" customHeight="1">
      <c r="A114" s="35"/>
      <c r="B114" s="35"/>
      <c r="C114" s="35"/>
      <c r="D114" s="116"/>
      <c r="E114" s="26"/>
      <c r="F114" s="51"/>
      <c r="G114" s="51"/>
      <c r="H114" s="51"/>
      <c r="I114" s="18"/>
      <c r="J114" s="18"/>
      <c r="K114" s="35"/>
      <c r="L114" s="35"/>
      <c r="M114" s="35"/>
      <c r="N114" s="35"/>
      <c r="O114" s="35"/>
      <c r="P114" s="35"/>
      <c r="Q114" s="35"/>
      <c r="R114" s="35"/>
      <c r="S114" s="35"/>
      <c r="T114" s="35"/>
      <c r="U114" s="35"/>
      <c r="V114" s="35"/>
      <c r="W114" s="35"/>
      <c r="X114" s="35"/>
      <c r="Y114" s="35"/>
      <c r="Z114" s="35"/>
      <c r="AA114" s="35"/>
    </row>
    <row r="115" ht="15.75" customHeight="1">
      <c r="A115" s="35"/>
      <c r="B115" s="35"/>
      <c r="C115" s="35"/>
      <c r="D115" s="116"/>
      <c r="E115" s="26"/>
      <c r="F115" s="51"/>
      <c r="G115" s="51"/>
      <c r="H115" s="51"/>
      <c r="I115" s="18"/>
      <c r="J115" s="18"/>
      <c r="K115" s="35"/>
      <c r="L115" s="35"/>
      <c r="M115" s="35"/>
      <c r="N115" s="35"/>
      <c r="O115" s="35"/>
      <c r="P115" s="35"/>
      <c r="Q115" s="35"/>
      <c r="R115" s="35"/>
      <c r="S115" s="35"/>
      <c r="T115" s="35"/>
      <c r="U115" s="35"/>
      <c r="V115" s="35"/>
      <c r="W115" s="35"/>
      <c r="X115" s="35"/>
      <c r="Y115" s="35"/>
      <c r="Z115" s="35"/>
      <c r="AA115" s="35"/>
    </row>
    <row r="116" ht="15.75" customHeight="1">
      <c r="A116" s="35"/>
      <c r="B116" s="35"/>
      <c r="C116" s="35"/>
      <c r="D116" s="116"/>
      <c r="E116" s="26"/>
      <c r="F116" s="51"/>
      <c r="G116" s="51"/>
      <c r="H116" s="51"/>
      <c r="I116" s="18"/>
      <c r="J116" s="18"/>
      <c r="K116" s="35"/>
      <c r="L116" s="35"/>
      <c r="M116" s="35"/>
      <c r="N116" s="35"/>
      <c r="O116" s="35"/>
      <c r="P116" s="35"/>
      <c r="Q116" s="35"/>
      <c r="R116" s="35"/>
      <c r="S116" s="35"/>
      <c r="T116" s="35"/>
      <c r="U116" s="35"/>
      <c r="V116" s="35"/>
      <c r="W116" s="35"/>
      <c r="X116" s="35"/>
      <c r="Y116" s="35"/>
      <c r="Z116" s="35"/>
      <c r="AA116" s="35"/>
    </row>
    <row r="117" ht="15.75" customHeight="1">
      <c r="A117" s="35"/>
      <c r="B117" s="35"/>
      <c r="C117" s="35"/>
      <c r="D117" s="116"/>
      <c r="E117" s="26"/>
      <c r="F117" s="51"/>
      <c r="G117" s="51"/>
      <c r="H117" s="51"/>
      <c r="I117" s="18"/>
      <c r="J117" s="18"/>
      <c r="K117" s="35"/>
      <c r="L117" s="35"/>
      <c r="M117" s="35"/>
      <c r="N117" s="35"/>
      <c r="O117" s="35"/>
      <c r="P117" s="35"/>
      <c r="Q117" s="35"/>
      <c r="R117" s="35"/>
      <c r="S117" s="35"/>
      <c r="T117" s="35"/>
      <c r="U117" s="35"/>
      <c r="V117" s="35"/>
      <c r="W117" s="35"/>
      <c r="X117" s="35"/>
      <c r="Y117" s="35"/>
      <c r="Z117" s="35"/>
      <c r="AA117" s="35"/>
    </row>
    <row r="118" ht="15.75" customHeight="1">
      <c r="A118" s="35"/>
      <c r="B118" s="35"/>
      <c r="C118" s="35"/>
      <c r="D118" s="116"/>
      <c r="E118" s="26"/>
      <c r="F118" s="51"/>
      <c r="G118" s="51"/>
      <c r="H118" s="51"/>
      <c r="I118" s="18"/>
      <c r="J118" s="18"/>
      <c r="K118" s="35"/>
      <c r="L118" s="35"/>
      <c r="M118" s="35"/>
      <c r="N118" s="35"/>
      <c r="O118" s="35"/>
      <c r="P118" s="35"/>
      <c r="Q118" s="35"/>
      <c r="R118" s="35"/>
      <c r="S118" s="35"/>
      <c r="T118" s="35"/>
      <c r="U118" s="35"/>
      <c r="V118" s="35"/>
      <c r="W118" s="35"/>
      <c r="X118" s="35"/>
      <c r="Y118" s="35"/>
      <c r="Z118" s="35"/>
      <c r="AA118" s="35"/>
    </row>
    <row r="119" ht="15.75" customHeight="1">
      <c r="A119" s="35"/>
      <c r="B119" s="35"/>
      <c r="C119" s="35"/>
      <c r="D119" s="116"/>
      <c r="E119" s="26"/>
      <c r="F119" s="51"/>
      <c r="G119" s="51"/>
      <c r="H119" s="51"/>
      <c r="I119" s="18"/>
      <c r="J119" s="18"/>
      <c r="K119" s="35"/>
      <c r="L119" s="35"/>
      <c r="M119" s="35"/>
      <c r="N119" s="35"/>
      <c r="O119" s="35"/>
      <c r="P119" s="35"/>
      <c r="Q119" s="35"/>
      <c r="R119" s="35"/>
      <c r="S119" s="35"/>
      <c r="T119" s="35"/>
      <c r="U119" s="35"/>
      <c r="V119" s="35"/>
      <c r="W119" s="35"/>
      <c r="X119" s="35"/>
      <c r="Y119" s="35"/>
      <c r="Z119" s="35"/>
      <c r="AA119" s="35"/>
    </row>
    <row r="120" ht="15.75" customHeight="1">
      <c r="A120" s="35"/>
      <c r="B120" s="35"/>
      <c r="C120" s="35"/>
      <c r="D120" s="116"/>
      <c r="E120" s="26"/>
      <c r="F120" s="51"/>
      <c r="G120" s="51"/>
      <c r="H120" s="51"/>
      <c r="I120" s="18"/>
      <c r="J120" s="18"/>
      <c r="K120" s="35"/>
      <c r="L120" s="35"/>
      <c r="M120" s="35"/>
      <c r="N120" s="35"/>
      <c r="O120" s="35"/>
      <c r="P120" s="35"/>
      <c r="Q120" s="35"/>
      <c r="R120" s="35"/>
      <c r="S120" s="35"/>
      <c r="T120" s="35"/>
      <c r="U120" s="35"/>
      <c r="V120" s="35"/>
      <c r="W120" s="35"/>
      <c r="X120" s="35"/>
      <c r="Y120" s="35"/>
      <c r="Z120" s="35"/>
      <c r="AA120" s="35"/>
    </row>
    <row r="121" ht="15.75" customHeight="1">
      <c r="A121" s="35"/>
      <c r="B121" s="35"/>
      <c r="C121" s="35"/>
      <c r="D121" s="26"/>
      <c r="E121" s="26"/>
      <c r="F121" s="51"/>
      <c r="G121" s="51"/>
      <c r="H121" s="51"/>
      <c r="I121" s="18"/>
      <c r="J121" s="18"/>
      <c r="K121" s="35"/>
      <c r="L121" s="35"/>
      <c r="M121" s="35"/>
      <c r="N121" s="35"/>
      <c r="O121" s="35"/>
      <c r="P121" s="35"/>
      <c r="Q121" s="35"/>
      <c r="R121" s="35"/>
      <c r="S121" s="35"/>
      <c r="T121" s="35"/>
      <c r="U121" s="35"/>
      <c r="V121" s="35"/>
      <c r="W121" s="35"/>
      <c r="X121" s="35"/>
      <c r="Y121" s="35"/>
      <c r="Z121" s="35"/>
      <c r="AA121" s="35"/>
    </row>
    <row r="122" ht="15.75" customHeight="1">
      <c r="A122" s="35"/>
      <c r="B122" s="35"/>
      <c r="C122" s="35"/>
      <c r="D122" s="26"/>
      <c r="E122" s="26"/>
      <c r="F122" s="51"/>
      <c r="G122" s="51"/>
      <c r="H122" s="51"/>
      <c r="I122" s="18"/>
      <c r="J122" s="18"/>
      <c r="K122" s="35"/>
      <c r="L122" s="35"/>
      <c r="M122" s="35"/>
      <c r="N122" s="35"/>
      <c r="O122" s="35"/>
      <c r="P122" s="35"/>
      <c r="Q122" s="35"/>
      <c r="R122" s="35"/>
      <c r="S122" s="35"/>
      <c r="T122" s="35"/>
      <c r="U122" s="35"/>
      <c r="V122" s="35"/>
      <c r="W122" s="35"/>
      <c r="X122" s="35"/>
      <c r="Y122" s="35"/>
      <c r="Z122" s="35"/>
      <c r="AA122" s="35"/>
    </row>
    <row r="123" ht="15.75" customHeight="1">
      <c r="A123" s="35"/>
      <c r="B123" s="35"/>
      <c r="C123" s="35"/>
      <c r="D123" s="26"/>
      <c r="E123" s="26"/>
      <c r="F123" s="51"/>
      <c r="G123" s="51"/>
      <c r="H123" s="51"/>
      <c r="I123" s="18"/>
      <c r="J123" s="18"/>
      <c r="K123" s="35"/>
      <c r="L123" s="35"/>
      <c r="M123" s="35"/>
      <c r="N123" s="35"/>
      <c r="O123" s="35"/>
      <c r="P123" s="35"/>
      <c r="Q123" s="35"/>
      <c r="R123" s="35"/>
      <c r="S123" s="35"/>
      <c r="T123" s="35"/>
      <c r="U123" s="35"/>
      <c r="V123" s="35"/>
      <c r="W123" s="35"/>
      <c r="X123" s="35"/>
      <c r="Y123" s="35"/>
      <c r="Z123" s="35"/>
      <c r="AA123" s="35"/>
    </row>
    <row r="124" ht="15.75" customHeight="1">
      <c r="A124" s="35"/>
      <c r="B124" s="35"/>
      <c r="C124" s="35"/>
      <c r="D124" s="26"/>
      <c r="E124" s="26"/>
      <c r="F124" s="51"/>
      <c r="G124" s="51"/>
      <c r="H124" s="51"/>
      <c r="I124" s="18"/>
      <c r="J124" s="18"/>
      <c r="K124" s="35"/>
      <c r="L124" s="35"/>
      <c r="M124" s="35"/>
      <c r="N124" s="35"/>
      <c r="O124" s="35"/>
      <c r="P124" s="35"/>
      <c r="Q124" s="35"/>
      <c r="R124" s="35"/>
      <c r="S124" s="35"/>
      <c r="T124" s="35"/>
      <c r="U124" s="35"/>
      <c r="V124" s="35"/>
      <c r="W124" s="35"/>
      <c r="X124" s="35"/>
      <c r="Y124" s="35"/>
      <c r="Z124" s="35"/>
      <c r="AA124" s="35"/>
    </row>
    <row r="125" ht="15.75" customHeight="1">
      <c r="A125" s="35"/>
      <c r="B125" s="35"/>
      <c r="C125" s="35"/>
      <c r="D125" s="26"/>
      <c r="E125" s="26"/>
      <c r="F125" s="51"/>
      <c r="G125" s="51"/>
      <c r="H125" s="51"/>
      <c r="I125" s="18"/>
      <c r="J125" s="18"/>
      <c r="K125" s="35"/>
      <c r="L125" s="35"/>
      <c r="M125" s="35"/>
      <c r="N125" s="35"/>
      <c r="O125" s="35"/>
      <c r="P125" s="35"/>
      <c r="Q125" s="35"/>
      <c r="R125" s="35"/>
      <c r="S125" s="35"/>
      <c r="T125" s="35"/>
      <c r="U125" s="35"/>
      <c r="V125" s="35"/>
      <c r="W125" s="35"/>
      <c r="X125" s="35"/>
      <c r="Y125" s="35"/>
      <c r="Z125" s="35"/>
      <c r="AA125" s="35"/>
    </row>
    <row r="126" ht="15.75" customHeight="1">
      <c r="A126" s="35"/>
      <c r="B126" s="35"/>
      <c r="C126" s="35"/>
      <c r="D126" s="26"/>
      <c r="E126" s="26"/>
      <c r="F126" s="51"/>
      <c r="G126" s="51"/>
      <c r="H126" s="51"/>
      <c r="I126" s="18"/>
      <c r="J126" s="18"/>
      <c r="K126" s="35"/>
      <c r="L126" s="35"/>
      <c r="M126" s="35"/>
      <c r="N126" s="35"/>
      <c r="O126" s="35"/>
      <c r="P126" s="35"/>
      <c r="Q126" s="35"/>
      <c r="R126" s="35"/>
      <c r="S126" s="35"/>
      <c r="T126" s="35"/>
      <c r="U126" s="35"/>
      <c r="V126" s="35"/>
      <c r="W126" s="35"/>
      <c r="X126" s="35"/>
      <c r="Y126" s="35"/>
      <c r="Z126" s="35"/>
      <c r="AA126" s="35"/>
    </row>
    <row r="127" ht="15.75" customHeight="1">
      <c r="A127" s="35"/>
      <c r="B127" s="35"/>
      <c r="C127" s="35"/>
      <c r="D127" s="26"/>
      <c r="E127" s="26"/>
      <c r="F127" s="51"/>
      <c r="G127" s="51"/>
      <c r="H127" s="51"/>
      <c r="I127" s="18"/>
      <c r="J127" s="18"/>
      <c r="K127" s="35"/>
      <c r="L127" s="35"/>
      <c r="M127" s="35"/>
      <c r="N127" s="35"/>
      <c r="O127" s="35"/>
      <c r="P127" s="35"/>
      <c r="Q127" s="35"/>
      <c r="R127" s="35"/>
      <c r="S127" s="35"/>
      <c r="T127" s="35"/>
      <c r="U127" s="35"/>
      <c r="V127" s="35"/>
      <c r="W127" s="35"/>
      <c r="X127" s="35"/>
      <c r="Y127" s="35"/>
      <c r="Z127" s="35"/>
      <c r="AA127" s="35"/>
    </row>
    <row r="128" ht="15.75" customHeight="1">
      <c r="A128" s="35"/>
      <c r="B128" s="35"/>
      <c r="C128" s="35"/>
      <c r="D128" s="26"/>
      <c r="E128" s="26"/>
      <c r="F128" s="51"/>
      <c r="G128" s="51"/>
      <c r="H128" s="51"/>
      <c r="I128" s="18"/>
      <c r="J128" s="18"/>
      <c r="K128" s="35"/>
      <c r="L128" s="35"/>
      <c r="M128" s="35"/>
      <c r="N128" s="35"/>
      <c r="O128" s="35"/>
      <c r="P128" s="35"/>
      <c r="Q128" s="35"/>
      <c r="R128" s="35"/>
      <c r="S128" s="35"/>
      <c r="T128" s="35"/>
      <c r="U128" s="35"/>
      <c r="V128" s="35"/>
      <c r="W128" s="35"/>
      <c r="X128" s="35"/>
      <c r="Y128" s="35"/>
      <c r="Z128" s="35"/>
      <c r="AA128" s="35"/>
    </row>
    <row r="129" ht="15.75" customHeight="1">
      <c r="A129" s="35"/>
      <c r="B129" s="35"/>
      <c r="C129" s="35"/>
      <c r="D129" s="26"/>
      <c r="E129" s="26"/>
      <c r="F129" s="51"/>
      <c r="G129" s="51"/>
      <c r="H129" s="51"/>
      <c r="I129" s="18"/>
      <c r="J129" s="18"/>
      <c r="K129" s="35"/>
      <c r="L129" s="35"/>
      <c r="M129" s="35"/>
      <c r="N129" s="35"/>
      <c r="O129" s="35"/>
      <c r="P129" s="35"/>
      <c r="Q129" s="35"/>
      <c r="R129" s="35"/>
      <c r="S129" s="35"/>
      <c r="T129" s="35"/>
      <c r="U129" s="35"/>
      <c r="V129" s="35"/>
      <c r="W129" s="35"/>
      <c r="X129" s="35"/>
      <c r="Y129" s="35"/>
      <c r="Z129" s="35"/>
      <c r="AA129" s="35"/>
    </row>
    <row r="130" ht="15.75" customHeight="1">
      <c r="A130" s="35"/>
      <c r="B130" s="35"/>
      <c r="C130" s="35"/>
      <c r="D130" s="26"/>
      <c r="E130" s="26"/>
      <c r="F130" s="51"/>
      <c r="G130" s="51"/>
      <c r="H130" s="51"/>
      <c r="I130" s="18"/>
      <c r="J130" s="18"/>
      <c r="K130" s="35"/>
      <c r="L130" s="35"/>
      <c r="M130" s="35"/>
      <c r="N130" s="35"/>
      <c r="O130" s="35"/>
      <c r="P130" s="35"/>
      <c r="Q130" s="35"/>
      <c r="R130" s="35"/>
      <c r="S130" s="35"/>
      <c r="T130" s="35"/>
      <c r="U130" s="35"/>
      <c r="V130" s="35"/>
      <c r="W130" s="35"/>
      <c r="X130" s="35"/>
      <c r="Y130" s="35"/>
      <c r="Z130" s="35"/>
      <c r="AA130" s="35"/>
    </row>
    <row r="131" ht="15.75" customHeight="1">
      <c r="A131" s="35"/>
      <c r="B131" s="35"/>
      <c r="C131" s="35"/>
      <c r="D131" s="26"/>
      <c r="E131" s="26"/>
      <c r="F131" s="51"/>
      <c r="G131" s="51"/>
      <c r="H131" s="51"/>
      <c r="I131" s="18"/>
      <c r="J131" s="18"/>
      <c r="K131" s="35"/>
      <c r="L131" s="35"/>
      <c r="M131" s="35"/>
      <c r="N131" s="35"/>
      <c r="O131" s="35"/>
      <c r="P131" s="35"/>
      <c r="Q131" s="35"/>
      <c r="R131" s="35"/>
      <c r="S131" s="35"/>
      <c r="T131" s="35"/>
      <c r="U131" s="35"/>
      <c r="V131" s="35"/>
      <c r="W131" s="35"/>
      <c r="X131" s="35"/>
      <c r="Y131" s="35"/>
      <c r="Z131" s="35"/>
      <c r="AA131" s="35"/>
    </row>
    <row r="132" ht="15.75" customHeight="1">
      <c r="A132" s="35"/>
      <c r="B132" s="35"/>
      <c r="C132" s="35"/>
      <c r="D132" s="26"/>
      <c r="E132" s="26"/>
      <c r="F132" s="51"/>
      <c r="G132" s="51"/>
      <c r="H132" s="51"/>
      <c r="I132" s="18"/>
      <c r="J132" s="18"/>
      <c r="K132" s="35"/>
      <c r="L132" s="35"/>
      <c r="M132" s="35"/>
      <c r="N132" s="35"/>
      <c r="O132" s="35"/>
      <c r="P132" s="35"/>
      <c r="Q132" s="35"/>
      <c r="R132" s="35"/>
      <c r="S132" s="35"/>
      <c r="T132" s="35"/>
      <c r="U132" s="35"/>
      <c r="V132" s="35"/>
      <c r="W132" s="35"/>
      <c r="X132" s="35"/>
      <c r="Y132" s="35"/>
      <c r="Z132" s="35"/>
      <c r="AA132" s="35"/>
    </row>
    <row r="133" ht="15.75" customHeight="1">
      <c r="A133" s="35"/>
      <c r="B133" s="35"/>
      <c r="C133" s="35"/>
      <c r="D133" s="26"/>
      <c r="E133" s="26"/>
      <c r="F133" s="51"/>
      <c r="G133" s="51"/>
      <c r="H133" s="51"/>
      <c r="I133" s="18"/>
      <c r="J133" s="18"/>
      <c r="K133" s="35"/>
      <c r="L133" s="35"/>
      <c r="M133" s="35"/>
      <c r="N133" s="35"/>
      <c r="O133" s="35"/>
      <c r="P133" s="35"/>
      <c r="Q133" s="35"/>
      <c r="R133" s="35"/>
      <c r="S133" s="35"/>
      <c r="T133" s="35"/>
      <c r="U133" s="35"/>
      <c r="V133" s="35"/>
      <c r="W133" s="35"/>
      <c r="X133" s="35"/>
      <c r="Y133" s="35"/>
      <c r="Z133" s="35"/>
      <c r="AA133" s="35"/>
    </row>
    <row r="134" ht="15.75" customHeight="1">
      <c r="A134" s="35"/>
      <c r="B134" s="35"/>
      <c r="C134" s="35"/>
      <c r="D134" s="26"/>
      <c r="E134" s="26"/>
      <c r="F134" s="51"/>
      <c r="G134" s="51"/>
      <c r="H134" s="51"/>
      <c r="I134" s="18"/>
      <c r="J134" s="18"/>
      <c r="K134" s="35"/>
      <c r="L134" s="35"/>
      <c r="M134" s="35"/>
      <c r="N134" s="35"/>
      <c r="O134" s="35"/>
      <c r="P134" s="35"/>
      <c r="Q134" s="35"/>
      <c r="R134" s="35"/>
      <c r="S134" s="35"/>
      <c r="T134" s="35"/>
      <c r="U134" s="35"/>
      <c r="V134" s="35"/>
      <c r="W134" s="35"/>
      <c r="X134" s="35"/>
      <c r="Y134" s="35"/>
      <c r="Z134" s="35"/>
      <c r="AA134" s="35"/>
    </row>
    <row r="135" ht="15.75" customHeight="1">
      <c r="A135" s="35"/>
      <c r="B135" s="35"/>
      <c r="C135" s="35"/>
      <c r="D135" s="26"/>
      <c r="E135" s="26"/>
      <c r="F135" s="51"/>
      <c r="G135" s="51"/>
      <c r="H135" s="51"/>
      <c r="I135" s="18"/>
      <c r="J135" s="18"/>
      <c r="K135" s="35"/>
      <c r="L135" s="35"/>
      <c r="M135" s="35"/>
      <c r="N135" s="35"/>
      <c r="O135" s="35"/>
      <c r="P135" s="35"/>
      <c r="Q135" s="35"/>
      <c r="R135" s="35"/>
      <c r="S135" s="35"/>
      <c r="T135" s="35"/>
      <c r="U135" s="35"/>
      <c r="V135" s="35"/>
      <c r="W135" s="35"/>
      <c r="X135" s="35"/>
      <c r="Y135" s="35"/>
      <c r="Z135" s="35"/>
      <c r="AA135" s="35"/>
    </row>
    <row r="136" ht="15.75" customHeight="1">
      <c r="A136" s="35"/>
      <c r="B136" s="35"/>
      <c r="C136" s="35"/>
      <c r="D136" s="26"/>
      <c r="E136" s="26"/>
      <c r="F136" s="51"/>
      <c r="G136" s="51"/>
      <c r="H136" s="51"/>
      <c r="I136" s="18"/>
      <c r="J136" s="18"/>
      <c r="K136" s="35"/>
      <c r="L136" s="35"/>
      <c r="M136" s="35"/>
      <c r="N136" s="35"/>
      <c r="O136" s="35"/>
      <c r="P136" s="35"/>
      <c r="Q136" s="35"/>
      <c r="R136" s="35"/>
      <c r="S136" s="35"/>
      <c r="T136" s="35"/>
      <c r="U136" s="35"/>
      <c r="V136" s="35"/>
      <c r="W136" s="35"/>
      <c r="X136" s="35"/>
      <c r="Y136" s="35"/>
      <c r="Z136" s="35"/>
      <c r="AA136" s="35"/>
    </row>
    <row r="137" ht="15.75" customHeight="1">
      <c r="A137" s="35"/>
      <c r="B137" s="35"/>
      <c r="C137" s="35"/>
      <c r="D137" s="26"/>
      <c r="E137" s="26"/>
      <c r="F137" s="51"/>
      <c r="G137" s="51"/>
      <c r="H137" s="51"/>
      <c r="I137" s="18"/>
      <c r="J137" s="18"/>
      <c r="K137" s="35"/>
      <c r="L137" s="35"/>
      <c r="M137" s="35"/>
      <c r="N137" s="35"/>
      <c r="O137" s="35"/>
      <c r="P137" s="35"/>
      <c r="Q137" s="35"/>
      <c r="R137" s="35"/>
      <c r="S137" s="35"/>
      <c r="T137" s="35"/>
      <c r="U137" s="35"/>
      <c r="V137" s="35"/>
      <c r="W137" s="35"/>
      <c r="X137" s="35"/>
      <c r="Y137" s="35"/>
      <c r="Z137" s="35"/>
      <c r="AA137" s="35"/>
    </row>
    <row r="138" ht="15.75" customHeight="1">
      <c r="A138" s="35"/>
      <c r="B138" s="35"/>
      <c r="C138" s="35"/>
      <c r="D138" s="26"/>
      <c r="E138" s="26"/>
      <c r="F138" s="51"/>
      <c r="G138" s="51"/>
      <c r="H138" s="51"/>
      <c r="I138" s="18"/>
      <c r="J138" s="18"/>
      <c r="K138" s="35"/>
      <c r="L138" s="35"/>
      <c r="M138" s="35"/>
      <c r="N138" s="35"/>
      <c r="O138" s="35"/>
      <c r="P138" s="35"/>
      <c r="Q138" s="35"/>
      <c r="R138" s="35"/>
      <c r="S138" s="35"/>
      <c r="T138" s="35"/>
      <c r="U138" s="35"/>
      <c r="V138" s="35"/>
      <c r="W138" s="35"/>
      <c r="X138" s="35"/>
      <c r="Y138" s="35"/>
      <c r="Z138" s="35"/>
      <c r="AA138" s="35"/>
    </row>
    <row r="139" ht="15.75" customHeight="1">
      <c r="A139" s="35"/>
      <c r="B139" s="35"/>
      <c r="C139" s="35"/>
      <c r="D139" s="26"/>
      <c r="E139" s="26"/>
      <c r="F139" s="51"/>
      <c r="G139" s="51"/>
      <c r="H139" s="51"/>
      <c r="I139" s="18"/>
      <c r="J139" s="18"/>
      <c r="K139" s="35"/>
      <c r="L139" s="35"/>
      <c r="M139" s="35"/>
      <c r="N139" s="35"/>
      <c r="O139" s="35"/>
      <c r="P139" s="35"/>
      <c r="Q139" s="35"/>
      <c r="R139" s="35"/>
      <c r="S139" s="35"/>
      <c r="T139" s="35"/>
      <c r="U139" s="35"/>
      <c r="V139" s="35"/>
      <c r="W139" s="35"/>
      <c r="X139" s="35"/>
      <c r="Y139" s="35"/>
      <c r="Z139" s="35"/>
      <c r="AA139" s="35"/>
    </row>
    <row r="140" ht="15.75" customHeight="1">
      <c r="A140" s="35"/>
      <c r="B140" s="35"/>
      <c r="C140" s="35"/>
      <c r="D140" s="26"/>
      <c r="E140" s="26"/>
      <c r="F140" s="51"/>
      <c r="G140" s="51"/>
      <c r="H140" s="51"/>
      <c r="I140" s="18"/>
      <c r="J140" s="18"/>
      <c r="K140" s="35"/>
      <c r="L140" s="35"/>
      <c r="M140" s="35"/>
      <c r="N140" s="35"/>
      <c r="O140" s="35"/>
      <c r="P140" s="35"/>
      <c r="Q140" s="35"/>
      <c r="R140" s="35"/>
      <c r="S140" s="35"/>
      <c r="T140" s="35"/>
      <c r="U140" s="35"/>
      <c r="V140" s="35"/>
      <c r="W140" s="35"/>
      <c r="X140" s="35"/>
      <c r="Y140" s="35"/>
      <c r="Z140" s="35"/>
      <c r="AA140" s="35"/>
    </row>
    <row r="141" ht="15.75" customHeight="1">
      <c r="A141" s="35"/>
      <c r="B141" s="35"/>
      <c r="C141" s="35"/>
      <c r="D141" s="26"/>
      <c r="E141" s="26"/>
      <c r="F141" s="51"/>
      <c r="G141" s="51"/>
      <c r="H141" s="51"/>
      <c r="I141" s="18"/>
      <c r="J141" s="18"/>
      <c r="K141" s="35"/>
      <c r="L141" s="35"/>
      <c r="M141" s="35"/>
      <c r="N141" s="35"/>
      <c r="O141" s="35"/>
      <c r="P141" s="35"/>
      <c r="Q141" s="35"/>
      <c r="R141" s="35"/>
      <c r="S141" s="35"/>
      <c r="T141" s="35"/>
      <c r="U141" s="35"/>
      <c r="V141" s="35"/>
      <c r="W141" s="35"/>
      <c r="X141" s="35"/>
      <c r="Y141" s="35"/>
      <c r="Z141" s="35"/>
      <c r="AA141" s="35"/>
    </row>
    <row r="142" ht="15.75" customHeight="1">
      <c r="A142" s="35"/>
      <c r="B142" s="35"/>
      <c r="C142" s="35"/>
      <c r="D142" s="26"/>
      <c r="E142" s="26"/>
      <c r="F142" s="51"/>
      <c r="G142" s="51"/>
      <c r="H142" s="51"/>
      <c r="I142" s="18"/>
      <c r="J142" s="18"/>
      <c r="K142" s="35"/>
      <c r="L142" s="35"/>
      <c r="M142" s="35"/>
      <c r="N142" s="35"/>
      <c r="O142" s="35"/>
      <c r="P142" s="35"/>
      <c r="Q142" s="35"/>
      <c r="R142" s="35"/>
      <c r="S142" s="35"/>
      <c r="T142" s="35"/>
      <c r="U142" s="35"/>
      <c r="V142" s="35"/>
      <c r="W142" s="35"/>
      <c r="X142" s="35"/>
      <c r="Y142" s="35"/>
      <c r="Z142" s="35"/>
      <c r="AA142" s="35"/>
    </row>
    <row r="143" ht="15.75" customHeight="1">
      <c r="A143" s="35"/>
      <c r="B143" s="35"/>
      <c r="C143" s="35"/>
      <c r="D143" s="26"/>
      <c r="E143" s="26"/>
      <c r="F143" s="51"/>
      <c r="G143" s="51"/>
      <c r="H143" s="51"/>
      <c r="I143" s="18"/>
      <c r="J143" s="18"/>
      <c r="K143" s="35"/>
      <c r="L143" s="35"/>
      <c r="M143" s="35"/>
      <c r="N143" s="35"/>
      <c r="O143" s="35"/>
      <c r="P143" s="35"/>
      <c r="Q143" s="35"/>
      <c r="R143" s="35"/>
      <c r="S143" s="35"/>
      <c r="T143" s="35"/>
      <c r="U143" s="35"/>
      <c r="V143" s="35"/>
      <c r="W143" s="35"/>
      <c r="X143" s="35"/>
      <c r="Y143" s="35"/>
      <c r="Z143" s="35"/>
      <c r="AA143" s="35"/>
    </row>
    <row r="144" ht="15.75" customHeight="1">
      <c r="A144" s="35"/>
      <c r="B144" s="35"/>
      <c r="C144" s="35"/>
      <c r="D144" s="26"/>
      <c r="E144" s="26"/>
      <c r="F144" s="51"/>
      <c r="G144" s="51"/>
      <c r="H144" s="51"/>
      <c r="I144" s="18"/>
      <c r="J144" s="18"/>
      <c r="K144" s="35"/>
      <c r="L144" s="35"/>
      <c r="M144" s="35"/>
      <c r="N144" s="35"/>
      <c r="O144" s="35"/>
      <c r="P144" s="35"/>
      <c r="Q144" s="35"/>
      <c r="R144" s="35"/>
      <c r="S144" s="35"/>
      <c r="T144" s="35"/>
      <c r="U144" s="35"/>
      <c r="V144" s="35"/>
      <c r="W144" s="35"/>
      <c r="X144" s="35"/>
      <c r="Y144" s="35"/>
      <c r="Z144" s="35"/>
      <c r="AA144" s="35"/>
    </row>
    <row r="145" ht="15.75" customHeight="1">
      <c r="A145" s="35"/>
      <c r="B145" s="35"/>
      <c r="C145" s="35"/>
      <c r="D145" s="26"/>
      <c r="E145" s="26"/>
      <c r="F145" s="51"/>
      <c r="G145" s="51"/>
      <c r="H145" s="51"/>
      <c r="I145" s="18"/>
      <c r="J145" s="18"/>
      <c r="K145" s="35"/>
      <c r="L145" s="35"/>
      <c r="M145" s="35"/>
      <c r="N145" s="35"/>
      <c r="O145" s="35"/>
      <c r="P145" s="35"/>
      <c r="Q145" s="35"/>
      <c r="R145" s="35"/>
      <c r="S145" s="35"/>
      <c r="T145" s="35"/>
      <c r="U145" s="35"/>
      <c r="V145" s="35"/>
      <c r="W145" s="35"/>
      <c r="X145" s="35"/>
      <c r="Y145" s="35"/>
      <c r="Z145" s="35"/>
      <c r="AA145" s="35"/>
    </row>
    <row r="146" ht="15.75" customHeight="1">
      <c r="A146" s="35"/>
      <c r="B146" s="35"/>
      <c r="C146" s="35"/>
      <c r="D146" s="26"/>
      <c r="E146" s="26"/>
      <c r="F146" s="51"/>
      <c r="G146" s="51"/>
      <c r="H146" s="51"/>
      <c r="I146" s="18"/>
      <c r="J146" s="18"/>
      <c r="K146" s="35"/>
      <c r="L146" s="35"/>
      <c r="M146" s="35"/>
      <c r="N146" s="35"/>
      <c r="O146" s="35"/>
      <c r="P146" s="35"/>
      <c r="Q146" s="35"/>
      <c r="R146" s="35"/>
      <c r="S146" s="35"/>
      <c r="T146" s="35"/>
      <c r="U146" s="35"/>
      <c r="V146" s="35"/>
      <c r="W146" s="35"/>
      <c r="X146" s="35"/>
      <c r="Y146" s="35"/>
      <c r="Z146" s="35"/>
      <c r="AA146" s="35"/>
    </row>
    <row r="147" ht="15.75" customHeight="1">
      <c r="A147" s="35"/>
      <c r="B147" s="35"/>
      <c r="C147" s="35"/>
      <c r="D147" s="26"/>
      <c r="E147" s="26"/>
      <c r="F147" s="51"/>
      <c r="G147" s="51"/>
      <c r="H147" s="51"/>
      <c r="I147" s="18"/>
      <c r="J147" s="18"/>
      <c r="K147" s="35"/>
      <c r="L147" s="35"/>
      <c r="M147" s="35"/>
      <c r="N147" s="35"/>
      <c r="O147" s="35"/>
      <c r="P147" s="35"/>
      <c r="Q147" s="35"/>
      <c r="R147" s="35"/>
      <c r="S147" s="35"/>
      <c r="T147" s="35"/>
      <c r="U147" s="35"/>
      <c r="V147" s="35"/>
      <c r="W147" s="35"/>
      <c r="X147" s="35"/>
      <c r="Y147" s="35"/>
      <c r="Z147" s="35"/>
      <c r="AA147" s="35"/>
    </row>
    <row r="148" ht="15.75" customHeight="1">
      <c r="A148" s="35"/>
      <c r="B148" s="35"/>
      <c r="C148" s="35"/>
      <c r="D148" s="26"/>
      <c r="E148" s="26"/>
      <c r="F148" s="51"/>
      <c r="G148" s="51"/>
      <c r="H148" s="51"/>
      <c r="I148" s="18"/>
      <c r="J148" s="18"/>
      <c r="K148" s="35"/>
      <c r="L148" s="35"/>
      <c r="M148" s="35"/>
      <c r="N148" s="35"/>
      <c r="O148" s="35"/>
      <c r="P148" s="35"/>
      <c r="Q148" s="35"/>
      <c r="R148" s="35"/>
      <c r="S148" s="35"/>
      <c r="T148" s="35"/>
      <c r="U148" s="35"/>
      <c r="V148" s="35"/>
      <c r="W148" s="35"/>
      <c r="X148" s="35"/>
      <c r="Y148" s="35"/>
      <c r="Z148" s="35"/>
      <c r="AA148" s="35"/>
    </row>
    <row r="149" ht="15.75" customHeight="1">
      <c r="A149" s="35"/>
      <c r="B149" s="35"/>
      <c r="C149" s="35"/>
      <c r="D149" s="26"/>
      <c r="E149" s="26"/>
      <c r="F149" s="51"/>
      <c r="G149" s="51"/>
      <c r="H149" s="51"/>
      <c r="I149" s="18"/>
      <c r="J149" s="18"/>
      <c r="K149" s="35"/>
      <c r="L149" s="35"/>
      <c r="M149" s="35"/>
      <c r="N149" s="35"/>
      <c r="O149" s="35"/>
      <c r="P149" s="35"/>
      <c r="Q149" s="35"/>
      <c r="R149" s="35"/>
      <c r="S149" s="35"/>
      <c r="T149" s="35"/>
      <c r="U149" s="35"/>
      <c r="V149" s="35"/>
      <c r="W149" s="35"/>
      <c r="X149" s="35"/>
      <c r="Y149" s="35"/>
      <c r="Z149" s="35"/>
      <c r="AA149" s="35"/>
    </row>
    <row r="150" ht="15.75" customHeight="1">
      <c r="A150" s="35"/>
      <c r="B150" s="35"/>
      <c r="C150" s="35"/>
      <c r="D150" s="26"/>
      <c r="E150" s="26"/>
      <c r="F150" s="51"/>
      <c r="G150" s="51"/>
      <c r="H150" s="51"/>
      <c r="I150" s="18"/>
      <c r="J150" s="18"/>
      <c r="K150" s="35"/>
      <c r="L150" s="35"/>
      <c r="M150" s="35"/>
      <c r="N150" s="35"/>
      <c r="O150" s="35"/>
      <c r="P150" s="35"/>
      <c r="Q150" s="35"/>
      <c r="R150" s="35"/>
      <c r="S150" s="35"/>
      <c r="T150" s="35"/>
      <c r="U150" s="35"/>
      <c r="V150" s="35"/>
      <c r="W150" s="35"/>
      <c r="X150" s="35"/>
      <c r="Y150" s="35"/>
      <c r="Z150" s="35"/>
      <c r="AA150" s="35"/>
    </row>
    <row r="151" ht="15.75" customHeight="1">
      <c r="A151" s="35"/>
      <c r="B151" s="35"/>
      <c r="C151" s="35"/>
      <c r="D151" s="26"/>
      <c r="E151" s="26"/>
      <c r="F151" s="51"/>
      <c r="G151" s="51"/>
      <c r="H151" s="51"/>
      <c r="I151" s="18"/>
      <c r="J151" s="18"/>
      <c r="K151" s="35"/>
      <c r="L151" s="35"/>
      <c r="M151" s="35"/>
      <c r="N151" s="35"/>
      <c r="O151" s="35"/>
      <c r="P151" s="35"/>
      <c r="Q151" s="35"/>
      <c r="R151" s="35"/>
      <c r="S151" s="35"/>
      <c r="T151" s="35"/>
      <c r="U151" s="35"/>
      <c r="V151" s="35"/>
      <c r="W151" s="35"/>
      <c r="X151" s="35"/>
      <c r="Y151" s="35"/>
      <c r="Z151" s="35"/>
      <c r="AA151" s="35"/>
    </row>
    <row r="152" ht="15.75" customHeight="1">
      <c r="A152" s="35"/>
      <c r="B152" s="35"/>
      <c r="C152" s="35"/>
      <c r="D152" s="26"/>
      <c r="E152" s="26"/>
      <c r="F152" s="51"/>
      <c r="G152" s="51"/>
      <c r="H152" s="51"/>
      <c r="I152" s="18"/>
      <c r="J152" s="18"/>
      <c r="K152" s="35"/>
      <c r="L152" s="35"/>
      <c r="M152" s="35"/>
      <c r="N152" s="35"/>
      <c r="O152" s="35"/>
      <c r="P152" s="35"/>
      <c r="Q152" s="35"/>
      <c r="R152" s="35"/>
      <c r="S152" s="35"/>
      <c r="T152" s="35"/>
      <c r="U152" s="35"/>
      <c r="V152" s="35"/>
      <c r="W152" s="35"/>
      <c r="X152" s="35"/>
      <c r="Y152" s="35"/>
      <c r="Z152" s="35"/>
      <c r="AA152" s="35"/>
    </row>
    <row r="153" ht="15.75" customHeight="1">
      <c r="A153" s="35"/>
      <c r="B153" s="35"/>
      <c r="C153" s="35"/>
      <c r="D153" s="26"/>
      <c r="E153" s="26"/>
      <c r="F153" s="51"/>
      <c r="G153" s="51"/>
      <c r="H153" s="51"/>
      <c r="I153" s="18"/>
      <c r="J153" s="18"/>
      <c r="K153" s="35"/>
      <c r="L153" s="35"/>
      <c r="M153" s="35"/>
      <c r="N153" s="35"/>
      <c r="O153" s="35"/>
      <c r="P153" s="35"/>
      <c r="Q153" s="35"/>
      <c r="R153" s="35"/>
      <c r="S153" s="35"/>
      <c r="T153" s="35"/>
      <c r="U153" s="35"/>
      <c r="V153" s="35"/>
      <c r="W153" s="35"/>
      <c r="X153" s="35"/>
      <c r="Y153" s="35"/>
      <c r="Z153" s="35"/>
      <c r="AA153" s="35"/>
    </row>
    <row r="154" ht="15.75" customHeight="1">
      <c r="A154" s="35"/>
      <c r="B154" s="35"/>
      <c r="C154" s="35"/>
      <c r="D154" s="26"/>
      <c r="E154" s="26"/>
      <c r="F154" s="51"/>
      <c r="G154" s="51"/>
      <c r="H154" s="51"/>
      <c r="I154" s="18"/>
      <c r="J154" s="18"/>
      <c r="K154" s="35"/>
      <c r="L154" s="35"/>
      <c r="M154" s="35"/>
      <c r="N154" s="35"/>
      <c r="O154" s="35"/>
      <c r="P154" s="35"/>
      <c r="Q154" s="35"/>
      <c r="R154" s="35"/>
      <c r="S154" s="35"/>
      <c r="T154" s="35"/>
      <c r="U154" s="35"/>
      <c r="V154" s="35"/>
      <c r="W154" s="35"/>
      <c r="X154" s="35"/>
      <c r="Y154" s="35"/>
      <c r="Z154" s="35"/>
      <c r="AA154" s="35"/>
    </row>
    <row r="155" ht="15.75" customHeight="1">
      <c r="A155" s="35"/>
      <c r="B155" s="35"/>
      <c r="C155" s="35"/>
      <c r="D155" s="26"/>
      <c r="E155" s="26"/>
      <c r="F155" s="51"/>
      <c r="G155" s="51"/>
      <c r="H155" s="51"/>
      <c r="I155" s="18"/>
      <c r="J155" s="18"/>
      <c r="K155" s="35"/>
      <c r="L155" s="35"/>
      <c r="M155" s="35"/>
      <c r="N155" s="35"/>
      <c r="O155" s="35"/>
      <c r="P155" s="35"/>
      <c r="Q155" s="35"/>
      <c r="R155" s="35"/>
      <c r="S155" s="35"/>
      <c r="T155" s="35"/>
      <c r="U155" s="35"/>
      <c r="V155" s="35"/>
      <c r="W155" s="35"/>
      <c r="X155" s="35"/>
      <c r="Y155" s="35"/>
      <c r="Z155" s="35"/>
      <c r="AA155" s="35"/>
    </row>
    <row r="156" ht="15.75" customHeight="1">
      <c r="A156" s="35"/>
      <c r="B156" s="35"/>
      <c r="C156" s="35"/>
      <c r="D156" s="26"/>
      <c r="E156" s="26"/>
      <c r="F156" s="51"/>
      <c r="G156" s="51"/>
      <c r="H156" s="51"/>
      <c r="I156" s="18"/>
      <c r="J156" s="18"/>
      <c r="K156" s="35"/>
      <c r="L156" s="35"/>
      <c r="M156" s="35"/>
      <c r="N156" s="35"/>
      <c r="O156" s="35"/>
      <c r="P156" s="35"/>
      <c r="Q156" s="35"/>
      <c r="R156" s="35"/>
      <c r="S156" s="35"/>
      <c r="T156" s="35"/>
      <c r="U156" s="35"/>
      <c r="V156" s="35"/>
      <c r="W156" s="35"/>
      <c r="X156" s="35"/>
      <c r="Y156" s="35"/>
      <c r="Z156" s="35"/>
      <c r="AA156" s="35"/>
    </row>
    <row r="157" ht="15.75" customHeight="1">
      <c r="A157" s="35"/>
      <c r="B157" s="35"/>
      <c r="C157" s="35"/>
      <c r="D157" s="26"/>
      <c r="E157" s="26"/>
      <c r="F157" s="51"/>
      <c r="G157" s="51"/>
      <c r="H157" s="51"/>
      <c r="I157" s="18"/>
      <c r="J157" s="18"/>
      <c r="K157" s="35"/>
      <c r="L157" s="35"/>
      <c r="M157" s="35"/>
      <c r="N157" s="35"/>
      <c r="O157" s="35"/>
      <c r="P157" s="35"/>
      <c r="Q157" s="35"/>
      <c r="R157" s="35"/>
      <c r="S157" s="35"/>
      <c r="T157" s="35"/>
      <c r="U157" s="35"/>
      <c r="V157" s="35"/>
      <c r="W157" s="35"/>
      <c r="X157" s="35"/>
      <c r="Y157" s="35"/>
      <c r="Z157" s="35"/>
      <c r="AA157" s="35"/>
    </row>
    <row r="158" ht="15.75" customHeight="1">
      <c r="A158" s="35"/>
      <c r="B158" s="35"/>
      <c r="C158" s="35"/>
      <c r="D158" s="26"/>
      <c r="E158" s="26"/>
      <c r="F158" s="51"/>
      <c r="G158" s="51"/>
      <c r="H158" s="51"/>
      <c r="I158" s="18"/>
      <c r="J158" s="18"/>
      <c r="K158" s="35"/>
      <c r="L158" s="35"/>
      <c r="M158" s="35"/>
      <c r="N158" s="35"/>
      <c r="O158" s="35"/>
      <c r="P158" s="35"/>
      <c r="Q158" s="35"/>
      <c r="R158" s="35"/>
      <c r="S158" s="35"/>
      <c r="T158" s="35"/>
      <c r="U158" s="35"/>
      <c r="V158" s="35"/>
      <c r="W158" s="35"/>
      <c r="X158" s="35"/>
      <c r="Y158" s="35"/>
      <c r="Z158" s="35"/>
      <c r="AA158" s="35"/>
    </row>
    <row r="159" ht="15.75" customHeight="1">
      <c r="A159" s="35"/>
      <c r="B159" s="35"/>
      <c r="C159" s="35"/>
      <c r="D159" s="26"/>
      <c r="E159" s="26"/>
      <c r="F159" s="51"/>
      <c r="G159" s="51"/>
      <c r="H159" s="51"/>
      <c r="I159" s="18"/>
      <c r="J159" s="18"/>
      <c r="K159" s="35"/>
      <c r="L159" s="35"/>
      <c r="M159" s="35"/>
      <c r="N159" s="35"/>
      <c r="O159" s="35"/>
      <c r="P159" s="35"/>
      <c r="Q159" s="35"/>
      <c r="R159" s="35"/>
      <c r="S159" s="35"/>
      <c r="T159" s="35"/>
      <c r="U159" s="35"/>
      <c r="V159" s="35"/>
      <c r="W159" s="35"/>
      <c r="X159" s="35"/>
      <c r="Y159" s="35"/>
      <c r="Z159" s="35"/>
      <c r="AA159" s="35"/>
    </row>
    <row r="160" ht="15.75" customHeight="1">
      <c r="A160" s="35"/>
      <c r="B160" s="35"/>
      <c r="C160" s="35"/>
      <c r="D160" s="26"/>
      <c r="E160" s="26"/>
      <c r="F160" s="51"/>
      <c r="G160" s="51"/>
      <c r="H160" s="51"/>
      <c r="I160" s="18"/>
      <c r="J160" s="18"/>
      <c r="K160" s="35"/>
      <c r="L160" s="35"/>
      <c r="M160" s="35"/>
      <c r="N160" s="35"/>
      <c r="O160" s="35"/>
      <c r="P160" s="35"/>
      <c r="Q160" s="35"/>
      <c r="R160" s="35"/>
      <c r="S160" s="35"/>
      <c r="T160" s="35"/>
      <c r="U160" s="35"/>
      <c r="V160" s="35"/>
      <c r="W160" s="35"/>
      <c r="X160" s="35"/>
      <c r="Y160" s="35"/>
      <c r="Z160" s="35"/>
      <c r="AA160" s="35"/>
    </row>
    <row r="161" ht="15.75" customHeight="1">
      <c r="A161" s="35"/>
      <c r="B161" s="57"/>
      <c r="C161" s="35"/>
      <c r="D161" s="26"/>
      <c r="E161" s="26"/>
      <c r="F161" s="51"/>
      <c r="G161" s="51"/>
      <c r="H161" s="51"/>
      <c r="I161" s="18"/>
      <c r="J161" s="18"/>
      <c r="K161" s="35"/>
      <c r="L161" s="35"/>
      <c r="M161" s="35"/>
      <c r="N161" s="35"/>
      <c r="O161" s="35"/>
      <c r="P161" s="35"/>
      <c r="Q161" s="35"/>
      <c r="R161" s="35"/>
      <c r="S161" s="35"/>
      <c r="T161" s="35"/>
      <c r="U161" s="35"/>
      <c r="V161" s="35"/>
      <c r="W161" s="35"/>
      <c r="X161" s="35"/>
      <c r="Y161" s="35"/>
      <c r="Z161" s="35"/>
      <c r="AA161" s="35"/>
    </row>
    <row r="162" ht="15.75" customHeight="1">
      <c r="A162" s="35"/>
      <c r="B162" s="57"/>
      <c r="C162" s="35"/>
      <c r="D162" s="26"/>
      <c r="E162" s="26"/>
      <c r="F162" s="51"/>
      <c r="G162" s="51"/>
      <c r="H162" s="51"/>
      <c r="I162" s="18"/>
      <c r="J162" s="18"/>
      <c r="K162" s="35"/>
      <c r="L162" s="35"/>
      <c r="M162" s="35"/>
      <c r="N162" s="35"/>
      <c r="O162" s="35"/>
      <c r="P162" s="35"/>
      <c r="Q162" s="35"/>
      <c r="R162" s="35"/>
      <c r="S162" s="35"/>
      <c r="T162" s="35"/>
      <c r="U162" s="35"/>
      <c r="V162" s="35"/>
      <c r="W162" s="35"/>
      <c r="X162" s="35"/>
      <c r="Y162" s="35"/>
      <c r="Z162" s="35"/>
      <c r="AA162" s="35"/>
    </row>
    <row r="163" ht="15.75" customHeight="1">
      <c r="A163" s="35"/>
      <c r="B163" s="57"/>
      <c r="C163" s="35"/>
      <c r="D163" s="26"/>
      <c r="E163" s="26"/>
      <c r="F163" s="51"/>
      <c r="G163" s="51"/>
      <c r="H163" s="51"/>
      <c r="I163" s="18"/>
      <c r="J163" s="18"/>
      <c r="K163" s="35"/>
      <c r="L163" s="35"/>
      <c r="M163" s="35"/>
      <c r="N163" s="35"/>
      <c r="O163" s="35"/>
      <c r="P163" s="35"/>
      <c r="Q163" s="35"/>
      <c r="R163" s="35"/>
      <c r="S163" s="35"/>
      <c r="T163" s="35"/>
      <c r="U163" s="35"/>
      <c r="V163" s="35"/>
      <c r="W163" s="35"/>
      <c r="X163" s="35"/>
      <c r="Y163" s="35"/>
      <c r="Z163" s="35"/>
      <c r="AA163" s="35"/>
    </row>
    <row r="164" ht="15.75" customHeight="1">
      <c r="A164" s="35"/>
      <c r="B164" s="57"/>
      <c r="C164" s="35"/>
      <c r="D164" s="26"/>
      <c r="E164" s="26"/>
      <c r="F164" s="51"/>
      <c r="G164" s="51"/>
      <c r="H164" s="51"/>
      <c r="I164" s="18"/>
      <c r="J164" s="18"/>
      <c r="K164" s="35"/>
      <c r="L164" s="35"/>
      <c r="M164" s="35"/>
      <c r="N164" s="35"/>
      <c r="O164" s="35"/>
      <c r="P164" s="35"/>
      <c r="Q164" s="35"/>
      <c r="R164" s="35"/>
      <c r="S164" s="35"/>
      <c r="T164" s="35"/>
      <c r="U164" s="35"/>
      <c r="V164" s="35"/>
      <c r="W164" s="35"/>
      <c r="X164" s="35"/>
      <c r="Y164" s="35"/>
      <c r="Z164" s="35"/>
      <c r="AA164" s="35"/>
    </row>
    <row r="165" ht="15.75" customHeight="1">
      <c r="A165" s="35"/>
      <c r="B165" s="57"/>
      <c r="C165" s="35"/>
      <c r="D165" s="26"/>
      <c r="E165" s="26"/>
      <c r="F165" s="51"/>
      <c r="G165" s="51"/>
      <c r="H165" s="51"/>
      <c r="I165" s="18"/>
      <c r="J165" s="18"/>
      <c r="K165" s="35"/>
      <c r="L165" s="35"/>
      <c r="M165" s="35"/>
      <c r="N165" s="35"/>
      <c r="O165" s="35"/>
      <c r="P165" s="35"/>
      <c r="Q165" s="35"/>
      <c r="R165" s="35"/>
      <c r="S165" s="35"/>
      <c r="T165" s="35"/>
      <c r="U165" s="35"/>
      <c r="V165" s="35"/>
      <c r="W165" s="35"/>
      <c r="X165" s="35"/>
      <c r="Y165" s="35"/>
      <c r="Z165" s="35"/>
      <c r="AA165" s="35"/>
    </row>
    <row r="166" ht="15.75" customHeight="1">
      <c r="A166" s="35"/>
      <c r="B166" s="57"/>
      <c r="C166" s="35"/>
      <c r="D166" s="26"/>
      <c r="E166" s="26"/>
      <c r="F166" s="51"/>
      <c r="G166" s="51"/>
      <c r="H166" s="51"/>
      <c r="I166" s="18"/>
      <c r="J166" s="18"/>
      <c r="K166" s="35"/>
      <c r="L166" s="35"/>
      <c r="M166" s="35"/>
      <c r="N166" s="35"/>
      <c r="O166" s="35"/>
      <c r="P166" s="35"/>
      <c r="Q166" s="35"/>
      <c r="R166" s="35"/>
      <c r="S166" s="35"/>
      <c r="T166" s="35"/>
      <c r="U166" s="35"/>
      <c r="V166" s="35"/>
      <c r="W166" s="35"/>
      <c r="X166" s="35"/>
      <c r="Y166" s="35"/>
      <c r="Z166" s="35"/>
      <c r="AA166" s="35"/>
    </row>
    <row r="167" ht="15.75" customHeight="1">
      <c r="A167" s="35"/>
      <c r="B167" s="57"/>
      <c r="C167" s="35"/>
      <c r="D167" s="26"/>
      <c r="E167" s="26"/>
      <c r="F167" s="51"/>
      <c r="G167" s="51"/>
      <c r="H167" s="51"/>
      <c r="I167" s="18"/>
      <c r="J167" s="18"/>
      <c r="K167" s="35"/>
      <c r="L167" s="35"/>
      <c r="M167" s="35"/>
      <c r="N167" s="35"/>
      <c r="O167" s="35"/>
      <c r="P167" s="35"/>
      <c r="Q167" s="35"/>
      <c r="R167" s="35"/>
      <c r="S167" s="35"/>
      <c r="T167" s="35"/>
      <c r="U167" s="35"/>
      <c r="V167" s="35"/>
      <c r="W167" s="35"/>
      <c r="X167" s="35"/>
      <c r="Y167" s="35"/>
      <c r="Z167" s="35"/>
      <c r="AA167" s="35"/>
    </row>
    <row r="168" ht="15.75" customHeight="1">
      <c r="A168" s="35"/>
      <c r="B168" s="57"/>
      <c r="C168" s="35"/>
      <c r="D168" s="26"/>
      <c r="E168" s="26"/>
      <c r="F168" s="51"/>
      <c r="G168" s="51"/>
      <c r="H168" s="51"/>
      <c r="I168" s="18"/>
      <c r="J168" s="18"/>
      <c r="K168" s="35"/>
      <c r="L168" s="35"/>
      <c r="M168" s="35"/>
      <c r="N168" s="35"/>
      <c r="O168" s="35"/>
      <c r="P168" s="35"/>
      <c r="Q168" s="35"/>
      <c r="R168" s="35"/>
      <c r="S168" s="35"/>
      <c r="T168" s="35"/>
      <c r="U168" s="35"/>
      <c r="V168" s="35"/>
      <c r="W168" s="35"/>
      <c r="X168" s="35"/>
      <c r="Y168" s="35"/>
      <c r="Z168" s="35"/>
      <c r="AA168" s="35"/>
    </row>
    <row r="169" ht="15.75" customHeight="1">
      <c r="A169" s="35"/>
      <c r="B169" s="57"/>
      <c r="C169" s="35"/>
      <c r="D169" s="26"/>
      <c r="E169" s="26"/>
      <c r="F169" s="51"/>
      <c r="G169" s="51"/>
      <c r="H169" s="51"/>
      <c r="I169" s="18"/>
      <c r="J169" s="18"/>
      <c r="K169" s="35"/>
      <c r="L169" s="35"/>
      <c r="M169" s="35"/>
      <c r="N169" s="35"/>
      <c r="O169" s="35"/>
      <c r="P169" s="35"/>
      <c r="Q169" s="35"/>
      <c r="R169" s="35"/>
      <c r="S169" s="35"/>
      <c r="T169" s="35"/>
      <c r="U169" s="35"/>
      <c r="V169" s="35"/>
      <c r="W169" s="35"/>
      <c r="X169" s="35"/>
      <c r="Y169" s="35"/>
      <c r="Z169" s="35"/>
      <c r="AA169" s="35"/>
    </row>
    <row r="170" ht="15.75" customHeight="1">
      <c r="A170" s="35"/>
      <c r="B170" s="57"/>
      <c r="C170" s="35"/>
      <c r="D170" s="26"/>
      <c r="E170" s="26"/>
      <c r="F170" s="51"/>
      <c r="G170" s="51"/>
      <c r="H170" s="51"/>
      <c r="I170" s="18"/>
      <c r="J170" s="18"/>
      <c r="K170" s="35"/>
      <c r="L170" s="35"/>
      <c r="M170" s="35"/>
      <c r="N170" s="35"/>
      <c r="O170" s="35"/>
      <c r="P170" s="35"/>
      <c r="Q170" s="35"/>
      <c r="R170" s="35"/>
      <c r="S170" s="35"/>
      <c r="T170" s="35"/>
      <c r="U170" s="35"/>
      <c r="V170" s="35"/>
      <c r="W170" s="35"/>
      <c r="X170" s="35"/>
      <c r="Y170" s="35"/>
      <c r="Z170" s="35"/>
      <c r="AA170" s="35"/>
    </row>
    <row r="171" ht="15.75" customHeight="1">
      <c r="A171" s="35"/>
      <c r="B171" s="57"/>
      <c r="C171" s="35"/>
      <c r="D171" s="26"/>
      <c r="E171" s="26"/>
      <c r="F171" s="51"/>
      <c r="G171" s="51"/>
      <c r="H171" s="51"/>
      <c r="I171" s="18"/>
      <c r="J171" s="18"/>
      <c r="K171" s="35"/>
      <c r="L171" s="35"/>
      <c r="M171" s="35"/>
      <c r="N171" s="35"/>
      <c r="O171" s="35"/>
      <c r="P171" s="35"/>
      <c r="Q171" s="35"/>
      <c r="R171" s="35"/>
      <c r="S171" s="35"/>
      <c r="T171" s="35"/>
      <c r="U171" s="35"/>
      <c r="V171" s="35"/>
      <c r="W171" s="35"/>
      <c r="X171" s="35"/>
      <c r="Y171" s="35"/>
      <c r="Z171" s="35"/>
      <c r="AA171" s="35"/>
    </row>
    <row r="172" ht="15.75" customHeight="1">
      <c r="A172" s="35"/>
      <c r="B172" s="57"/>
      <c r="C172" s="35"/>
      <c r="D172" s="26"/>
      <c r="E172" s="26"/>
      <c r="F172" s="51"/>
      <c r="G172" s="51"/>
      <c r="H172" s="51"/>
      <c r="I172" s="18"/>
      <c r="J172" s="18"/>
      <c r="K172" s="35"/>
      <c r="L172" s="35"/>
      <c r="M172" s="35"/>
      <c r="N172" s="35"/>
      <c r="O172" s="35"/>
      <c r="P172" s="35"/>
      <c r="Q172" s="35"/>
      <c r="R172" s="35"/>
      <c r="S172" s="35"/>
      <c r="T172" s="35"/>
      <c r="U172" s="35"/>
      <c r="V172" s="35"/>
      <c r="W172" s="35"/>
      <c r="X172" s="35"/>
      <c r="Y172" s="35"/>
      <c r="Z172" s="35"/>
      <c r="AA172" s="35"/>
    </row>
    <row r="173" ht="15.75" customHeight="1">
      <c r="A173" s="35"/>
      <c r="B173" s="57"/>
      <c r="C173" s="35"/>
      <c r="D173" s="26"/>
      <c r="E173" s="26"/>
      <c r="F173" s="51"/>
      <c r="G173" s="51"/>
      <c r="H173" s="51"/>
      <c r="I173" s="18"/>
      <c r="J173" s="18"/>
      <c r="K173" s="35"/>
      <c r="L173" s="35"/>
      <c r="M173" s="35"/>
      <c r="N173" s="35"/>
      <c r="O173" s="35"/>
      <c r="P173" s="35"/>
      <c r="Q173" s="35"/>
      <c r="R173" s="35"/>
      <c r="S173" s="35"/>
      <c r="T173" s="35"/>
      <c r="U173" s="35"/>
      <c r="V173" s="35"/>
      <c r="W173" s="35"/>
      <c r="X173" s="35"/>
      <c r="Y173" s="35"/>
      <c r="Z173" s="35"/>
      <c r="AA173" s="35"/>
    </row>
    <row r="174" ht="15.75" customHeight="1">
      <c r="A174" s="35"/>
      <c r="B174" s="57"/>
      <c r="C174" s="35"/>
      <c r="D174" s="26"/>
      <c r="E174" s="26"/>
      <c r="F174" s="51"/>
      <c r="G174" s="51"/>
      <c r="H174" s="51"/>
      <c r="I174" s="18"/>
      <c r="J174" s="18"/>
      <c r="K174" s="35"/>
      <c r="L174" s="35"/>
      <c r="M174" s="35"/>
      <c r="N174" s="35"/>
      <c r="O174" s="35"/>
      <c r="P174" s="35"/>
      <c r="Q174" s="35"/>
      <c r="R174" s="35"/>
      <c r="S174" s="35"/>
      <c r="T174" s="35"/>
      <c r="U174" s="35"/>
      <c r="V174" s="35"/>
      <c r="W174" s="35"/>
      <c r="X174" s="35"/>
      <c r="Y174" s="35"/>
      <c r="Z174" s="35"/>
      <c r="AA174" s="35"/>
    </row>
    <row r="175" ht="15.75" customHeight="1">
      <c r="A175" s="35"/>
      <c r="B175" s="57"/>
      <c r="C175" s="35"/>
      <c r="D175" s="26"/>
      <c r="E175" s="26"/>
      <c r="F175" s="51"/>
      <c r="G175" s="51"/>
      <c r="H175" s="51"/>
      <c r="I175" s="18"/>
      <c r="J175" s="18"/>
      <c r="K175" s="35"/>
      <c r="L175" s="35"/>
      <c r="M175" s="35"/>
      <c r="N175" s="35"/>
      <c r="O175" s="35"/>
      <c r="P175" s="35"/>
      <c r="Q175" s="35"/>
      <c r="R175" s="35"/>
      <c r="S175" s="35"/>
      <c r="T175" s="35"/>
      <c r="U175" s="35"/>
      <c r="V175" s="35"/>
      <c r="W175" s="35"/>
      <c r="X175" s="35"/>
      <c r="Y175" s="35"/>
      <c r="Z175" s="35"/>
      <c r="AA175" s="35"/>
    </row>
    <row r="176" ht="15.75" customHeight="1">
      <c r="A176" s="35"/>
      <c r="B176" s="57"/>
      <c r="C176" s="35"/>
      <c r="D176" s="26"/>
      <c r="E176" s="26"/>
      <c r="F176" s="51"/>
      <c r="G176" s="51"/>
      <c r="H176" s="51"/>
      <c r="I176" s="18"/>
      <c r="J176" s="18"/>
      <c r="K176" s="35"/>
      <c r="L176" s="35"/>
      <c r="M176" s="35"/>
      <c r="N176" s="35"/>
      <c r="O176" s="35"/>
      <c r="P176" s="35"/>
      <c r="Q176" s="35"/>
      <c r="R176" s="35"/>
      <c r="S176" s="35"/>
      <c r="T176" s="35"/>
      <c r="U176" s="35"/>
      <c r="V176" s="35"/>
      <c r="W176" s="35"/>
      <c r="X176" s="35"/>
      <c r="Y176" s="35"/>
      <c r="Z176" s="35"/>
      <c r="AA176" s="35"/>
    </row>
    <row r="177" ht="15.75" customHeight="1">
      <c r="A177" s="35"/>
      <c r="B177" s="57"/>
      <c r="C177" s="35"/>
      <c r="D177" s="26"/>
      <c r="E177" s="26"/>
      <c r="F177" s="51"/>
      <c r="G177" s="51"/>
      <c r="H177" s="51"/>
      <c r="I177" s="18"/>
      <c r="J177" s="18"/>
      <c r="K177" s="35"/>
      <c r="L177" s="35"/>
      <c r="M177" s="35"/>
      <c r="N177" s="35"/>
      <c r="O177" s="35"/>
      <c r="P177" s="35"/>
      <c r="Q177" s="35"/>
      <c r="R177" s="35"/>
      <c r="S177" s="35"/>
      <c r="T177" s="35"/>
      <c r="U177" s="35"/>
      <c r="V177" s="35"/>
      <c r="W177" s="35"/>
      <c r="X177" s="35"/>
      <c r="Y177" s="35"/>
      <c r="Z177" s="35"/>
      <c r="AA177" s="35"/>
    </row>
    <row r="178" ht="15.75" customHeight="1">
      <c r="A178" s="35"/>
      <c r="B178" s="57"/>
      <c r="C178" s="35"/>
      <c r="D178" s="26"/>
      <c r="E178" s="26"/>
      <c r="F178" s="51"/>
      <c r="G178" s="51"/>
      <c r="H178" s="51"/>
      <c r="I178" s="18"/>
      <c r="J178" s="18"/>
      <c r="K178" s="35"/>
      <c r="L178" s="35"/>
      <c r="M178" s="35"/>
      <c r="N178" s="35"/>
      <c r="O178" s="35"/>
      <c r="P178" s="35"/>
      <c r="Q178" s="35"/>
      <c r="R178" s="35"/>
      <c r="S178" s="35"/>
      <c r="T178" s="35"/>
      <c r="U178" s="35"/>
      <c r="V178" s="35"/>
      <c r="W178" s="35"/>
      <c r="X178" s="35"/>
      <c r="Y178" s="35"/>
      <c r="Z178" s="35"/>
      <c r="AA178" s="35"/>
    </row>
    <row r="179" ht="15.75" customHeight="1">
      <c r="A179" s="35"/>
      <c r="B179" s="57"/>
      <c r="C179" s="35"/>
      <c r="D179" s="26"/>
      <c r="E179" s="26"/>
      <c r="F179" s="51"/>
      <c r="G179" s="51"/>
      <c r="H179" s="51"/>
      <c r="I179" s="18"/>
      <c r="J179" s="18"/>
      <c r="K179" s="35"/>
      <c r="L179" s="35"/>
      <c r="M179" s="35"/>
      <c r="N179" s="35"/>
      <c r="O179" s="35"/>
      <c r="P179" s="35"/>
      <c r="Q179" s="35"/>
      <c r="R179" s="35"/>
      <c r="S179" s="35"/>
      <c r="T179" s="35"/>
      <c r="U179" s="35"/>
      <c r="V179" s="35"/>
      <c r="W179" s="35"/>
      <c r="X179" s="35"/>
      <c r="Y179" s="35"/>
      <c r="Z179" s="35"/>
      <c r="AA179" s="35"/>
    </row>
    <row r="180" ht="15.75" customHeight="1">
      <c r="A180" s="35"/>
      <c r="B180" s="57"/>
      <c r="C180" s="35"/>
      <c r="D180" s="26"/>
      <c r="E180" s="26"/>
      <c r="F180" s="51"/>
      <c r="G180" s="51"/>
      <c r="H180" s="51"/>
      <c r="I180" s="18"/>
      <c r="J180" s="18"/>
      <c r="K180" s="35"/>
      <c r="L180" s="35"/>
      <c r="M180" s="35"/>
      <c r="N180" s="35"/>
      <c r="O180" s="35"/>
      <c r="P180" s="35"/>
      <c r="Q180" s="35"/>
      <c r="R180" s="35"/>
      <c r="S180" s="35"/>
      <c r="T180" s="35"/>
      <c r="U180" s="35"/>
      <c r="V180" s="35"/>
      <c r="W180" s="35"/>
      <c r="X180" s="35"/>
      <c r="Y180" s="35"/>
      <c r="Z180" s="35"/>
      <c r="AA180" s="35"/>
    </row>
    <row r="181" ht="15.75" customHeight="1">
      <c r="A181" s="35"/>
      <c r="B181" s="57"/>
      <c r="C181" s="35"/>
      <c r="D181" s="26"/>
      <c r="E181" s="26"/>
      <c r="F181" s="51"/>
      <c r="G181" s="51"/>
      <c r="H181" s="51"/>
      <c r="I181" s="18"/>
      <c r="J181" s="18"/>
      <c r="K181" s="35"/>
      <c r="L181" s="35"/>
      <c r="M181" s="35"/>
      <c r="N181" s="35"/>
      <c r="O181" s="35"/>
      <c r="P181" s="35"/>
      <c r="Q181" s="35"/>
      <c r="R181" s="35"/>
      <c r="S181" s="35"/>
      <c r="T181" s="35"/>
      <c r="U181" s="35"/>
      <c r="V181" s="35"/>
      <c r="W181" s="35"/>
      <c r="X181" s="35"/>
      <c r="Y181" s="35"/>
      <c r="Z181" s="35"/>
      <c r="AA181" s="35"/>
    </row>
    <row r="182" ht="15.75" customHeight="1">
      <c r="A182" s="35"/>
      <c r="B182" s="57"/>
      <c r="C182" s="35"/>
      <c r="D182" s="26"/>
      <c r="E182" s="26"/>
      <c r="F182" s="51"/>
      <c r="G182" s="51"/>
      <c r="H182" s="51"/>
      <c r="I182" s="18"/>
      <c r="J182" s="18"/>
      <c r="K182" s="35"/>
      <c r="L182" s="35"/>
      <c r="M182" s="35"/>
      <c r="N182" s="35"/>
      <c r="O182" s="35"/>
      <c r="P182" s="35"/>
      <c r="Q182" s="35"/>
      <c r="R182" s="35"/>
      <c r="S182" s="35"/>
      <c r="T182" s="35"/>
      <c r="U182" s="35"/>
      <c r="V182" s="35"/>
      <c r="W182" s="35"/>
      <c r="X182" s="35"/>
      <c r="Y182" s="35"/>
      <c r="Z182" s="35"/>
      <c r="AA182" s="35"/>
    </row>
    <row r="183" ht="15.75" customHeight="1">
      <c r="A183" s="35"/>
      <c r="B183" s="57"/>
      <c r="C183" s="35"/>
      <c r="D183" s="26"/>
      <c r="E183" s="26"/>
      <c r="F183" s="51"/>
      <c r="G183" s="51"/>
      <c r="H183" s="51"/>
      <c r="I183" s="18"/>
      <c r="J183" s="18"/>
      <c r="K183" s="35"/>
      <c r="L183" s="35"/>
      <c r="M183" s="35"/>
      <c r="N183" s="35"/>
      <c r="O183" s="35"/>
      <c r="P183" s="35"/>
      <c r="Q183" s="35"/>
      <c r="R183" s="35"/>
      <c r="S183" s="35"/>
      <c r="T183" s="35"/>
      <c r="U183" s="35"/>
      <c r="V183" s="35"/>
      <c r="W183" s="35"/>
      <c r="X183" s="35"/>
      <c r="Y183" s="35"/>
      <c r="Z183" s="35"/>
      <c r="AA183" s="35"/>
    </row>
    <row r="184" ht="15.75" customHeight="1">
      <c r="A184" s="35"/>
      <c r="B184" s="57"/>
      <c r="C184" s="35"/>
      <c r="D184" s="26"/>
      <c r="E184" s="26"/>
      <c r="F184" s="51"/>
      <c r="G184" s="51"/>
      <c r="H184" s="51"/>
      <c r="I184" s="18"/>
      <c r="J184" s="18"/>
      <c r="K184" s="35"/>
      <c r="L184" s="35"/>
      <c r="M184" s="35"/>
      <c r="N184" s="35"/>
      <c r="O184" s="35"/>
      <c r="P184" s="35"/>
      <c r="Q184" s="35"/>
      <c r="R184" s="35"/>
      <c r="S184" s="35"/>
      <c r="T184" s="35"/>
      <c r="U184" s="35"/>
      <c r="V184" s="35"/>
      <c r="W184" s="35"/>
      <c r="X184" s="35"/>
      <c r="Y184" s="35"/>
      <c r="Z184" s="35"/>
      <c r="AA184" s="35"/>
    </row>
    <row r="185" ht="15.75" customHeight="1">
      <c r="A185" s="35"/>
      <c r="B185" s="57"/>
      <c r="C185" s="35"/>
      <c r="D185" s="26"/>
      <c r="E185" s="26"/>
      <c r="F185" s="51"/>
      <c r="G185" s="51"/>
      <c r="H185" s="51"/>
      <c r="I185" s="18"/>
      <c r="J185" s="18"/>
      <c r="K185" s="35"/>
      <c r="L185" s="35"/>
      <c r="M185" s="35"/>
      <c r="N185" s="35"/>
      <c r="O185" s="35"/>
      <c r="P185" s="35"/>
      <c r="Q185" s="35"/>
      <c r="R185" s="35"/>
      <c r="S185" s="35"/>
      <c r="T185" s="35"/>
      <c r="U185" s="35"/>
      <c r="V185" s="35"/>
      <c r="W185" s="35"/>
      <c r="X185" s="35"/>
      <c r="Y185" s="35"/>
      <c r="Z185" s="35"/>
      <c r="AA185" s="35"/>
    </row>
    <row r="186" ht="15.75" customHeight="1">
      <c r="A186" s="35"/>
      <c r="B186" s="57"/>
      <c r="C186" s="35"/>
      <c r="D186" s="26"/>
      <c r="E186" s="26"/>
      <c r="F186" s="51"/>
      <c r="G186" s="51"/>
      <c r="H186" s="51"/>
      <c r="I186" s="18"/>
      <c r="J186" s="18"/>
      <c r="K186" s="35"/>
      <c r="L186" s="35"/>
      <c r="M186" s="35"/>
      <c r="N186" s="35"/>
      <c r="O186" s="35"/>
      <c r="P186" s="35"/>
      <c r="Q186" s="35"/>
      <c r="R186" s="35"/>
      <c r="S186" s="35"/>
      <c r="T186" s="35"/>
      <c r="U186" s="35"/>
      <c r="V186" s="35"/>
      <c r="W186" s="35"/>
      <c r="X186" s="35"/>
      <c r="Y186" s="35"/>
      <c r="Z186" s="35"/>
      <c r="AA186" s="35"/>
    </row>
    <row r="187" ht="15.75" customHeight="1">
      <c r="A187" s="35"/>
      <c r="B187" s="57"/>
      <c r="C187" s="35"/>
      <c r="D187" s="26"/>
      <c r="E187" s="26"/>
      <c r="F187" s="51"/>
      <c r="G187" s="51"/>
      <c r="H187" s="51"/>
      <c r="I187" s="18"/>
      <c r="J187" s="18"/>
      <c r="K187" s="35"/>
      <c r="L187" s="35"/>
      <c r="M187" s="35"/>
      <c r="N187" s="35"/>
      <c r="O187" s="35"/>
      <c r="P187" s="35"/>
      <c r="Q187" s="35"/>
      <c r="R187" s="35"/>
      <c r="S187" s="35"/>
      <c r="T187" s="35"/>
      <c r="U187" s="35"/>
      <c r="V187" s="35"/>
      <c r="W187" s="35"/>
      <c r="X187" s="35"/>
      <c r="Y187" s="35"/>
      <c r="Z187" s="35"/>
      <c r="AA187" s="35"/>
    </row>
    <row r="188" ht="15.75" customHeight="1">
      <c r="A188" s="35"/>
      <c r="B188" s="57"/>
      <c r="C188" s="35"/>
      <c r="D188" s="26"/>
      <c r="E188" s="26"/>
      <c r="F188" s="51"/>
      <c r="G188" s="51"/>
      <c r="H188" s="51"/>
      <c r="I188" s="18"/>
      <c r="J188" s="18"/>
      <c r="K188" s="35"/>
      <c r="L188" s="35"/>
      <c r="M188" s="35"/>
      <c r="N188" s="35"/>
      <c r="O188" s="35"/>
      <c r="P188" s="35"/>
      <c r="Q188" s="35"/>
      <c r="R188" s="35"/>
      <c r="S188" s="35"/>
      <c r="T188" s="35"/>
      <c r="U188" s="35"/>
      <c r="V188" s="35"/>
      <c r="W188" s="35"/>
      <c r="X188" s="35"/>
      <c r="Y188" s="35"/>
      <c r="Z188" s="35"/>
      <c r="AA188" s="35"/>
    </row>
    <row r="189" ht="15.75" customHeight="1">
      <c r="A189" s="35"/>
      <c r="B189" s="57"/>
      <c r="C189" s="35"/>
      <c r="D189" s="26"/>
      <c r="E189" s="26"/>
      <c r="F189" s="51"/>
      <c r="G189" s="51"/>
      <c r="H189" s="51"/>
      <c r="I189" s="18"/>
      <c r="J189" s="18"/>
      <c r="K189" s="35"/>
      <c r="L189" s="35"/>
      <c r="M189" s="35"/>
      <c r="N189" s="35"/>
      <c r="O189" s="35"/>
      <c r="P189" s="35"/>
      <c r="Q189" s="35"/>
      <c r="R189" s="35"/>
      <c r="S189" s="35"/>
      <c r="T189" s="35"/>
      <c r="U189" s="35"/>
      <c r="V189" s="35"/>
      <c r="W189" s="35"/>
      <c r="X189" s="35"/>
      <c r="Y189" s="35"/>
      <c r="Z189" s="35"/>
      <c r="AA189" s="35"/>
    </row>
    <row r="190" ht="15.75" customHeight="1">
      <c r="A190" s="35"/>
      <c r="B190" s="57"/>
      <c r="C190" s="35"/>
      <c r="D190" s="26"/>
      <c r="E190" s="26"/>
      <c r="F190" s="51"/>
      <c r="G190" s="51"/>
      <c r="H190" s="51"/>
      <c r="I190" s="18"/>
      <c r="J190" s="18"/>
      <c r="K190" s="35"/>
      <c r="L190" s="35"/>
      <c r="M190" s="35"/>
      <c r="N190" s="35"/>
      <c r="O190" s="35"/>
      <c r="P190" s="35"/>
      <c r="Q190" s="35"/>
      <c r="R190" s="35"/>
      <c r="S190" s="35"/>
      <c r="T190" s="35"/>
      <c r="U190" s="35"/>
      <c r="V190" s="35"/>
      <c r="W190" s="35"/>
      <c r="X190" s="35"/>
      <c r="Y190" s="35"/>
      <c r="Z190" s="35"/>
      <c r="AA190" s="35"/>
    </row>
    <row r="191" ht="15.75" customHeight="1">
      <c r="A191" s="35"/>
      <c r="B191" s="57"/>
      <c r="C191" s="35"/>
      <c r="D191" s="26"/>
      <c r="E191" s="26"/>
      <c r="F191" s="51"/>
      <c r="G191" s="51"/>
      <c r="H191" s="51"/>
      <c r="I191" s="18"/>
      <c r="J191" s="18"/>
      <c r="K191" s="35"/>
      <c r="L191" s="35"/>
      <c r="M191" s="35"/>
      <c r="N191" s="35"/>
      <c r="O191" s="35"/>
      <c r="P191" s="35"/>
      <c r="Q191" s="35"/>
      <c r="R191" s="35"/>
      <c r="S191" s="35"/>
      <c r="T191" s="35"/>
      <c r="U191" s="35"/>
      <c r="V191" s="35"/>
      <c r="W191" s="35"/>
      <c r="X191" s="35"/>
      <c r="Y191" s="35"/>
      <c r="Z191" s="35"/>
      <c r="AA191" s="35"/>
    </row>
    <row r="192" ht="15.75" customHeight="1">
      <c r="A192" s="35"/>
      <c r="B192" s="57"/>
      <c r="C192" s="35"/>
      <c r="D192" s="26"/>
      <c r="E192" s="26"/>
      <c r="F192" s="51"/>
      <c r="G192" s="51"/>
      <c r="H192" s="51"/>
      <c r="I192" s="18"/>
      <c r="J192" s="18"/>
      <c r="K192" s="35"/>
      <c r="L192" s="35"/>
      <c r="M192" s="35"/>
      <c r="N192" s="35"/>
      <c r="O192" s="35"/>
      <c r="P192" s="35"/>
      <c r="Q192" s="35"/>
      <c r="R192" s="35"/>
      <c r="S192" s="35"/>
      <c r="T192" s="35"/>
      <c r="U192" s="35"/>
      <c r="V192" s="35"/>
      <c r="W192" s="35"/>
      <c r="X192" s="35"/>
      <c r="Y192" s="35"/>
      <c r="Z192" s="35"/>
      <c r="AA192" s="35"/>
    </row>
    <row r="193" ht="15.75" customHeight="1">
      <c r="A193" s="35"/>
      <c r="B193" s="57"/>
      <c r="C193" s="35"/>
      <c r="D193" s="26"/>
      <c r="E193" s="26"/>
      <c r="F193" s="51"/>
      <c r="G193" s="51"/>
      <c r="H193" s="51"/>
      <c r="I193" s="18"/>
      <c r="J193" s="18"/>
      <c r="K193" s="35"/>
      <c r="L193" s="35"/>
      <c r="M193" s="35"/>
      <c r="N193" s="35"/>
      <c r="O193" s="35"/>
      <c r="P193" s="35"/>
      <c r="Q193" s="35"/>
      <c r="R193" s="35"/>
      <c r="S193" s="35"/>
      <c r="T193" s="35"/>
      <c r="U193" s="35"/>
      <c r="V193" s="35"/>
      <c r="W193" s="35"/>
      <c r="X193" s="35"/>
      <c r="Y193" s="35"/>
      <c r="Z193" s="35"/>
      <c r="AA193" s="35"/>
    </row>
    <row r="194" ht="15.75" customHeight="1">
      <c r="A194" s="35"/>
      <c r="B194" s="57"/>
      <c r="C194" s="35"/>
      <c r="D194" s="26"/>
      <c r="E194" s="26"/>
      <c r="F194" s="51"/>
      <c r="G194" s="51"/>
      <c r="H194" s="51"/>
      <c r="I194" s="18"/>
      <c r="J194" s="18"/>
      <c r="K194" s="35"/>
      <c r="L194" s="35"/>
      <c r="M194" s="35"/>
      <c r="N194" s="35"/>
      <c r="O194" s="35"/>
      <c r="P194" s="35"/>
      <c r="Q194" s="35"/>
      <c r="R194" s="35"/>
      <c r="S194" s="35"/>
      <c r="T194" s="35"/>
      <c r="U194" s="35"/>
      <c r="V194" s="35"/>
      <c r="W194" s="35"/>
      <c r="X194" s="35"/>
      <c r="Y194" s="35"/>
      <c r="Z194" s="35"/>
      <c r="AA194" s="35"/>
    </row>
    <row r="195" ht="15.75" customHeight="1">
      <c r="A195" s="35"/>
      <c r="B195" s="57"/>
      <c r="C195" s="35"/>
      <c r="D195" s="26"/>
      <c r="E195" s="26"/>
      <c r="F195" s="51"/>
      <c r="G195" s="51"/>
      <c r="H195" s="51"/>
      <c r="I195" s="18"/>
      <c r="J195" s="18"/>
      <c r="K195" s="35"/>
      <c r="L195" s="35"/>
      <c r="M195" s="35"/>
      <c r="N195" s="35"/>
      <c r="O195" s="35"/>
      <c r="P195" s="35"/>
      <c r="Q195" s="35"/>
      <c r="R195" s="35"/>
      <c r="S195" s="35"/>
      <c r="T195" s="35"/>
      <c r="U195" s="35"/>
      <c r="V195" s="35"/>
      <c r="W195" s="35"/>
      <c r="X195" s="35"/>
      <c r="Y195" s="35"/>
      <c r="Z195" s="35"/>
      <c r="AA195" s="35"/>
    </row>
    <row r="196" ht="15.75" customHeight="1">
      <c r="A196" s="35"/>
      <c r="B196" s="57"/>
      <c r="C196" s="35"/>
      <c r="D196" s="26"/>
      <c r="E196" s="26"/>
      <c r="F196" s="51"/>
      <c r="G196" s="51"/>
      <c r="H196" s="51"/>
      <c r="I196" s="18"/>
      <c r="J196" s="18"/>
      <c r="K196" s="35"/>
      <c r="L196" s="35"/>
      <c r="M196" s="35"/>
      <c r="N196" s="35"/>
      <c r="O196" s="35"/>
      <c r="P196" s="35"/>
      <c r="Q196" s="35"/>
      <c r="R196" s="35"/>
      <c r="S196" s="35"/>
      <c r="T196" s="35"/>
      <c r="U196" s="35"/>
      <c r="V196" s="35"/>
      <c r="W196" s="35"/>
      <c r="X196" s="35"/>
      <c r="Y196" s="35"/>
      <c r="Z196" s="35"/>
      <c r="AA196" s="35"/>
    </row>
    <row r="197" ht="15.75" customHeight="1">
      <c r="A197" s="35"/>
      <c r="B197" s="57"/>
      <c r="C197" s="35"/>
      <c r="D197" s="26"/>
      <c r="E197" s="26"/>
      <c r="F197" s="51"/>
      <c r="G197" s="51"/>
      <c r="H197" s="51"/>
      <c r="I197" s="18"/>
      <c r="J197" s="18"/>
      <c r="K197" s="35"/>
      <c r="L197" s="35"/>
      <c r="M197" s="35"/>
      <c r="N197" s="35"/>
      <c r="O197" s="35"/>
      <c r="P197" s="35"/>
      <c r="Q197" s="35"/>
      <c r="R197" s="35"/>
      <c r="S197" s="35"/>
      <c r="T197" s="35"/>
      <c r="U197" s="35"/>
      <c r="V197" s="35"/>
      <c r="W197" s="35"/>
      <c r="X197" s="35"/>
      <c r="Y197" s="35"/>
      <c r="Z197" s="35"/>
      <c r="AA197" s="35"/>
    </row>
    <row r="198" ht="15.75" customHeight="1">
      <c r="A198" s="35"/>
      <c r="B198" s="57"/>
      <c r="C198" s="35"/>
      <c r="D198" s="26"/>
      <c r="E198" s="26"/>
      <c r="F198" s="51"/>
      <c r="G198" s="51"/>
      <c r="H198" s="51"/>
      <c r="I198" s="18"/>
      <c r="J198" s="18"/>
      <c r="K198" s="35"/>
      <c r="L198" s="35"/>
      <c r="M198" s="35"/>
      <c r="N198" s="35"/>
      <c r="O198" s="35"/>
      <c r="P198" s="35"/>
      <c r="Q198" s="35"/>
      <c r="R198" s="35"/>
      <c r="S198" s="35"/>
      <c r="T198" s="35"/>
      <c r="U198" s="35"/>
      <c r="V198" s="35"/>
      <c r="W198" s="35"/>
      <c r="X198" s="35"/>
      <c r="Y198" s="35"/>
      <c r="Z198" s="35"/>
      <c r="AA198" s="35"/>
    </row>
    <row r="199" ht="15.75" customHeight="1">
      <c r="A199" s="35"/>
      <c r="B199" s="57"/>
      <c r="C199" s="35"/>
      <c r="D199" s="26"/>
      <c r="E199" s="26"/>
      <c r="F199" s="51"/>
      <c r="G199" s="51"/>
      <c r="H199" s="51"/>
      <c r="I199" s="18"/>
      <c r="J199" s="18"/>
      <c r="K199" s="35"/>
      <c r="L199" s="35"/>
      <c r="M199" s="35"/>
      <c r="N199" s="35"/>
      <c r="O199" s="35"/>
      <c r="P199" s="35"/>
      <c r="Q199" s="35"/>
      <c r="R199" s="35"/>
      <c r="S199" s="35"/>
      <c r="T199" s="35"/>
      <c r="U199" s="35"/>
      <c r="V199" s="35"/>
      <c r="W199" s="35"/>
      <c r="X199" s="35"/>
      <c r="Y199" s="35"/>
      <c r="Z199" s="35"/>
      <c r="AA199" s="35"/>
    </row>
    <row r="200" ht="15.75" customHeight="1">
      <c r="A200" s="35"/>
      <c r="B200" s="57"/>
      <c r="C200" s="35"/>
      <c r="D200" s="26"/>
      <c r="E200" s="26"/>
      <c r="F200" s="51"/>
      <c r="G200" s="51"/>
      <c r="H200" s="51"/>
      <c r="I200" s="18"/>
      <c r="J200" s="18"/>
      <c r="K200" s="35"/>
      <c r="L200" s="35"/>
      <c r="M200" s="35"/>
      <c r="N200" s="35"/>
      <c r="O200" s="35"/>
      <c r="P200" s="35"/>
      <c r="Q200" s="35"/>
      <c r="R200" s="35"/>
      <c r="S200" s="35"/>
      <c r="T200" s="35"/>
      <c r="U200" s="35"/>
      <c r="V200" s="35"/>
      <c r="W200" s="35"/>
      <c r="X200" s="35"/>
      <c r="Y200" s="35"/>
      <c r="Z200" s="35"/>
      <c r="AA200" s="35"/>
    </row>
    <row r="201" ht="15.75" customHeight="1">
      <c r="A201" s="35"/>
      <c r="B201" s="57"/>
      <c r="C201" s="35"/>
      <c r="D201" s="26"/>
      <c r="E201" s="26"/>
      <c r="F201" s="51"/>
      <c r="G201" s="51"/>
      <c r="H201" s="51"/>
      <c r="I201" s="18"/>
      <c r="J201" s="18"/>
      <c r="K201" s="35"/>
      <c r="L201" s="35"/>
      <c r="M201" s="35"/>
      <c r="N201" s="35"/>
      <c r="O201" s="35"/>
      <c r="P201" s="35"/>
      <c r="Q201" s="35"/>
      <c r="R201" s="35"/>
      <c r="S201" s="35"/>
      <c r="T201" s="35"/>
      <c r="U201" s="35"/>
      <c r="V201" s="35"/>
      <c r="W201" s="35"/>
      <c r="X201" s="35"/>
      <c r="Y201" s="35"/>
      <c r="Z201" s="35"/>
      <c r="AA201" s="35"/>
    </row>
    <row r="202" ht="15.75" customHeight="1">
      <c r="A202" s="35"/>
      <c r="B202" s="57"/>
      <c r="C202" s="35"/>
      <c r="D202" s="26"/>
      <c r="E202" s="26"/>
      <c r="F202" s="51"/>
      <c r="G202" s="51"/>
      <c r="H202" s="51"/>
      <c r="I202" s="18"/>
      <c r="J202" s="18"/>
      <c r="K202" s="35"/>
      <c r="L202" s="35"/>
      <c r="M202" s="35"/>
      <c r="N202" s="35"/>
      <c r="O202" s="35"/>
      <c r="P202" s="35"/>
      <c r="Q202" s="35"/>
      <c r="R202" s="35"/>
      <c r="S202" s="35"/>
      <c r="T202" s="35"/>
      <c r="U202" s="35"/>
      <c r="V202" s="35"/>
      <c r="W202" s="35"/>
      <c r="X202" s="35"/>
      <c r="Y202" s="35"/>
      <c r="Z202" s="35"/>
      <c r="AA202" s="35"/>
    </row>
    <row r="203" ht="15.75" customHeight="1">
      <c r="A203" s="35"/>
      <c r="B203" s="57"/>
      <c r="C203" s="35"/>
      <c r="D203" s="26"/>
      <c r="E203" s="26"/>
      <c r="F203" s="51"/>
      <c r="G203" s="51"/>
      <c r="H203" s="51"/>
      <c r="I203" s="18"/>
      <c r="J203" s="18"/>
      <c r="K203" s="35"/>
      <c r="L203" s="35"/>
      <c r="M203" s="35"/>
      <c r="N203" s="35"/>
      <c r="O203" s="35"/>
      <c r="P203" s="35"/>
      <c r="Q203" s="35"/>
      <c r="R203" s="35"/>
      <c r="S203" s="35"/>
      <c r="T203" s="35"/>
      <c r="U203" s="35"/>
      <c r="V203" s="35"/>
      <c r="W203" s="35"/>
      <c r="X203" s="35"/>
      <c r="Y203" s="35"/>
      <c r="Z203" s="35"/>
      <c r="AA203" s="35"/>
    </row>
    <row r="204" ht="15.75" customHeight="1">
      <c r="A204" s="35"/>
      <c r="B204" s="57"/>
      <c r="C204" s="35"/>
      <c r="D204" s="26"/>
      <c r="E204" s="26"/>
      <c r="F204" s="51"/>
      <c r="G204" s="51"/>
      <c r="H204" s="51"/>
      <c r="I204" s="18"/>
      <c r="J204" s="18"/>
      <c r="K204" s="35"/>
      <c r="L204" s="35"/>
      <c r="M204" s="35"/>
      <c r="N204" s="35"/>
      <c r="O204" s="35"/>
      <c r="P204" s="35"/>
      <c r="Q204" s="35"/>
      <c r="R204" s="35"/>
      <c r="S204" s="35"/>
      <c r="T204" s="35"/>
      <c r="U204" s="35"/>
      <c r="V204" s="35"/>
      <c r="W204" s="35"/>
      <c r="X204" s="35"/>
      <c r="Y204" s="35"/>
      <c r="Z204" s="35"/>
      <c r="AA204" s="35"/>
    </row>
    <row r="205" ht="15.75" customHeight="1">
      <c r="A205" s="35"/>
      <c r="B205" s="57"/>
      <c r="C205" s="35"/>
      <c r="D205" s="26"/>
      <c r="E205" s="26"/>
      <c r="F205" s="51"/>
      <c r="G205" s="51"/>
      <c r="H205" s="51"/>
      <c r="I205" s="18"/>
      <c r="J205" s="18"/>
      <c r="K205" s="35"/>
      <c r="L205" s="35"/>
      <c r="M205" s="35"/>
      <c r="N205" s="35"/>
      <c r="O205" s="35"/>
      <c r="P205" s="35"/>
      <c r="Q205" s="35"/>
      <c r="R205" s="35"/>
      <c r="S205" s="35"/>
      <c r="T205" s="35"/>
      <c r="U205" s="35"/>
      <c r="V205" s="35"/>
      <c r="W205" s="35"/>
      <c r="X205" s="35"/>
      <c r="Y205" s="35"/>
      <c r="Z205" s="35"/>
      <c r="AA205" s="35"/>
    </row>
    <row r="206" ht="15.75" customHeight="1">
      <c r="A206" s="35"/>
      <c r="B206" s="57"/>
      <c r="C206" s="35"/>
      <c r="D206" s="26"/>
      <c r="E206" s="26"/>
      <c r="F206" s="51"/>
      <c r="G206" s="51"/>
      <c r="H206" s="51"/>
      <c r="I206" s="18"/>
      <c r="J206" s="18"/>
      <c r="K206" s="35"/>
      <c r="L206" s="35"/>
      <c r="M206" s="35"/>
      <c r="N206" s="35"/>
      <c r="O206" s="35"/>
      <c r="P206" s="35"/>
      <c r="Q206" s="35"/>
      <c r="R206" s="35"/>
      <c r="S206" s="35"/>
      <c r="T206" s="35"/>
      <c r="U206" s="35"/>
      <c r="V206" s="35"/>
      <c r="W206" s="35"/>
      <c r="X206" s="35"/>
      <c r="Y206" s="35"/>
      <c r="Z206" s="35"/>
      <c r="AA206" s="35"/>
    </row>
    <row r="207" ht="15.75" customHeight="1">
      <c r="A207" s="35"/>
      <c r="B207" s="57"/>
      <c r="C207" s="35"/>
      <c r="D207" s="26"/>
      <c r="E207" s="26"/>
      <c r="F207" s="51"/>
      <c r="G207" s="51"/>
      <c r="H207" s="51"/>
      <c r="I207" s="18"/>
      <c r="J207" s="18"/>
      <c r="K207" s="35"/>
      <c r="L207" s="35"/>
      <c r="M207" s="35"/>
      <c r="N207" s="35"/>
      <c r="O207" s="35"/>
      <c r="P207" s="35"/>
      <c r="Q207" s="35"/>
      <c r="R207" s="35"/>
      <c r="S207" s="35"/>
      <c r="T207" s="35"/>
      <c r="U207" s="35"/>
      <c r="V207" s="35"/>
      <c r="W207" s="35"/>
      <c r="X207" s="35"/>
      <c r="Y207" s="35"/>
      <c r="Z207" s="35"/>
      <c r="AA207" s="35"/>
    </row>
    <row r="208" ht="15.75" customHeight="1">
      <c r="A208" s="35"/>
      <c r="B208" s="57"/>
      <c r="C208" s="35"/>
      <c r="D208" s="26"/>
      <c r="E208" s="26"/>
      <c r="F208" s="51"/>
      <c r="G208" s="51"/>
      <c r="H208" s="51"/>
      <c r="I208" s="18"/>
      <c r="J208" s="18"/>
      <c r="K208" s="35"/>
      <c r="L208" s="35"/>
      <c r="M208" s="35"/>
      <c r="N208" s="35"/>
      <c r="O208" s="35"/>
      <c r="P208" s="35"/>
      <c r="Q208" s="35"/>
      <c r="R208" s="35"/>
      <c r="S208" s="35"/>
      <c r="T208" s="35"/>
      <c r="U208" s="35"/>
      <c r="V208" s="35"/>
      <c r="W208" s="35"/>
      <c r="X208" s="35"/>
      <c r="Y208" s="35"/>
      <c r="Z208" s="35"/>
      <c r="AA208" s="35"/>
    </row>
    <row r="209" ht="15.75" customHeight="1">
      <c r="A209" s="35"/>
      <c r="B209" s="57"/>
      <c r="C209" s="35"/>
      <c r="D209" s="26"/>
      <c r="E209" s="26"/>
      <c r="F209" s="51"/>
      <c r="G209" s="51"/>
      <c r="H209" s="51"/>
      <c r="I209" s="18"/>
      <c r="J209" s="18"/>
      <c r="K209" s="35"/>
      <c r="L209" s="35"/>
      <c r="M209" s="35"/>
      <c r="N209" s="35"/>
      <c r="O209" s="35"/>
      <c r="P209" s="35"/>
      <c r="Q209" s="35"/>
      <c r="R209" s="35"/>
      <c r="S209" s="35"/>
      <c r="T209" s="35"/>
      <c r="U209" s="35"/>
      <c r="V209" s="35"/>
      <c r="W209" s="35"/>
      <c r="X209" s="35"/>
      <c r="Y209" s="35"/>
      <c r="Z209" s="35"/>
      <c r="AA209" s="35"/>
    </row>
    <row r="210" ht="15.75" customHeight="1">
      <c r="A210" s="35"/>
      <c r="B210" s="57"/>
      <c r="C210" s="35"/>
      <c r="D210" s="26"/>
      <c r="E210" s="26"/>
      <c r="F210" s="51"/>
      <c r="G210" s="51"/>
      <c r="H210" s="51"/>
      <c r="I210" s="18"/>
      <c r="J210" s="18"/>
      <c r="K210" s="35"/>
      <c r="L210" s="35"/>
      <c r="M210" s="35"/>
      <c r="N210" s="35"/>
      <c r="O210" s="35"/>
      <c r="P210" s="35"/>
      <c r="Q210" s="35"/>
      <c r="R210" s="35"/>
      <c r="S210" s="35"/>
      <c r="T210" s="35"/>
      <c r="U210" s="35"/>
      <c r="V210" s="35"/>
      <c r="W210" s="35"/>
      <c r="X210" s="35"/>
      <c r="Y210" s="35"/>
      <c r="Z210" s="35"/>
      <c r="AA210" s="35"/>
    </row>
    <row r="211" ht="15.75" customHeight="1">
      <c r="A211" s="35"/>
      <c r="B211" s="57"/>
      <c r="C211" s="35"/>
      <c r="D211" s="26"/>
      <c r="E211" s="26"/>
      <c r="F211" s="51"/>
      <c r="G211" s="51"/>
      <c r="H211" s="51"/>
      <c r="I211" s="18"/>
      <c r="J211" s="18"/>
      <c r="K211" s="35"/>
      <c r="L211" s="35"/>
      <c r="M211" s="35"/>
      <c r="N211" s="35"/>
      <c r="O211" s="35"/>
      <c r="P211" s="35"/>
      <c r="Q211" s="35"/>
      <c r="R211" s="35"/>
      <c r="S211" s="35"/>
      <c r="T211" s="35"/>
      <c r="U211" s="35"/>
      <c r="V211" s="35"/>
      <c r="W211" s="35"/>
      <c r="X211" s="35"/>
      <c r="Y211" s="35"/>
      <c r="Z211" s="35"/>
      <c r="AA211" s="35"/>
    </row>
    <row r="212" ht="15.75" customHeight="1">
      <c r="A212" s="35"/>
      <c r="B212" s="57"/>
      <c r="C212" s="35"/>
      <c r="D212" s="26"/>
      <c r="E212" s="26"/>
      <c r="F212" s="51"/>
      <c r="G212" s="51"/>
      <c r="H212" s="51"/>
      <c r="I212" s="18"/>
      <c r="J212" s="18"/>
      <c r="K212" s="35"/>
      <c r="L212" s="35"/>
      <c r="M212" s="35"/>
      <c r="N212" s="35"/>
      <c r="O212" s="35"/>
      <c r="P212" s="35"/>
      <c r="Q212" s="35"/>
      <c r="R212" s="35"/>
      <c r="S212" s="35"/>
      <c r="T212" s="35"/>
      <c r="U212" s="35"/>
      <c r="V212" s="35"/>
      <c r="W212" s="35"/>
      <c r="X212" s="35"/>
      <c r="Y212" s="35"/>
      <c r="Z212" s="35"/>
      <c r="AA212" s="35"/>
    </row>
    <row r="213" ht="15.75" customHeight="1">
      <c r="A213" s="35"/>
      <c r="B213" s="57"/>
      <c r="C213" s="35"/>
      <c r="D213" s="26"/>
      <c r="E213" s="26"/>
      <c r="F213" s="51"/>
      <c r="G213" s="51"/>
      <c r="H213" s="51"/>
      <c r="I213" s="18"/>
      <c r="J213" s="18"/>
      <c r="K213" s="35"/>
      <c r="L213" s="35"/>
      <c r="M213" s="35"/>
      <c r="N213" s="35"/>
      <c r="O213" s="35"/>
      <c r="P213" s="35"/>
      <c r="Q213" s="35"/>
      <c r="R213" s="35"/>
      <c r="S213" s="35"/>
      <c r="T213" s="35"/>
      <c r="U213" s="35"/>
      <c r="V213" s="35"/>
      <c r="W213" s="35"/>
      <c r="X213" s="35"/>
      <c r="Y213" s="35"/>
      <c r="Z213" s="35"/>
      <c r="AA213" s="35"/>
    </row>
    <row r="214" ht="15.75" customHeight="1">
      <c r="A214" s="35"/>
      <c r="B214" s="57"/>
      <c r="C214" s="35"/>
      <c r="D214" s="26"/>
      <c r="E214" s="26"/>
      <c r="F214" s="51"/>
      <c r="G214" s="51"/>
      <c r="H214" s="51"/>
      <c r="I214" s="18"/>
      <c r="J214" s="18"/>
      <c r="K214" s="35"/>
      <c r="L214" s="35"/>
      <c r="M214" s="35"/>
      <c r="N214" s="35"/>
      <c r="O214" s="35"/>
      <c r="P214" s="35"/>
      <c r="Q214" s="35"/>
      <c r="R214" s="35"/>
      <c r="S214" s="35"/>
      <c r="T214" s="35"/>
      <c r="U214" s="35"/>
      <c r="V214" s="35"/>
      <c r="W214" s="35"/>
      <c r="X214" s="35"/>
      <c r="Y214" s="35"/>
      <c r="Z214" s="35"/>
      <c r="AA214" s="35"/>
    </row>
    <row r="215" ht="15.75" customHeight="1">
      <c r="A215" s="35"/>
      <c r="B215" s="57"/>
      <c r="C215" s="35"/>
      <c r="D215" s="26"/>
      <c r="E215" s="26"/>
      <c r="F215" s="51"/>
      <c r="G215" s="51"/>
      <c r="H215" s="51"/>
      <c r="I215" s="18"/>
      <c r="J215" s="18"/>
      <c r="K215" s="35"/>
      <c r="L215" s="35"/>
      <c r="M215" s="35"/>
      <c r="N215" s="35"/>
      <c r="O215" s="35"/>
      <c r="P215" s="35"/>
      <c r="Q215" s="35"/>
      <c r="R215" s="35"/>
      <c r="S215" s="35"/>
      <c r="T215" s="35"/>
      <c r="U215" s="35"/>
      <c r="V215" s="35"/>
      <c r="W215" s="35"/>
      <c r="X215" s="35"/>
      <c r="Y215" s="35"/>
      <c r="Z215" s="35"/>
      <c r="AA215" s="35"/>
    </row>
    <row r="216" ht="15.75" customHeight="1">
      <c r="A216" s="35"/>
      <c r="B216" s="57"/>
      <c r="C216" s="35"/>
      <c r="D216" s="26"/>
      <c r="E216" s="26"/>
      <c r="F216" s="51"/>
      <c r="G216" s="51"/>
      <c r="H216" s="51"/>
      <c r="I216" s="18"/>
      <c r="J216" s="18"/>
      <c r="K216" s="35"/>
      <c r="L216" s="35"/>
      <c r="M216" s="35"/>
      <c r="N216" s="35"/>
      <c r="O216" s="35"/>
      <c r="P216" s="35"/>
      <c r="Q216" s="35"/>
      <c r="R216" s="35"/>
      <c r="S216" s="35"/>
      <c r="T216" s="35"/>
      <c r="U216" s="35"/>
      <c r="V216" s="35"/>
      <c r="W216" s="35"/>
      <c r="X216" s="35"/>
      <c r="Y216" s="35"/>
      <c r="Z216" s="35"/>
      <c r="AA216" s="35"/>
    </row>
    <row r="217" ht="15.75" customHeight="1">
      <c r="A217" s="35"/>
      <c r="B217" s="57"/>
      <c r="C217" s="35"/>
      <c r="D217" s="26"/>
      <c r="E217" s="26"/>
      <c r="F217" s="51"/>
      <c r="G217" s="51"/>
      <c r="H217" s="51"/>
      <c r="I217" s="18"/>
      <c r="J217" s="18"/>
      <c r="K217" s="35"/>
      <c r="L217" s="35"/>
      <c r="M217" s="35"/>
      <c r="N217" s="35"/>
      <c r="O217" s="35"/>
      <c r="P217" s="35"/>
      <c r="Q217" s="35"/>
      <c r="R217" s="35"/>
      <c r="S217" s="35"/>
      <c r="T217" s="35"/>
      <c r="U217" s="35"/>
      <c r="V217" s="35"/>
      <c r="W217" s="35"/>
      <c r="X217" s="35"/>
      <c r="Y217" s="35"/>
      <c r="Z217" s="35"/>
      <c r="AA217" s="35"/>
    </row>
    <row r="218" ht="15.75" customHeight="1">
      <c r="A218" s="35"/>
      <c r="B218" s="57"/>
      <c r="C218" s="35"/>
      <c r="D218" s="26"/>
      <c r="E218" s="26"/>
      <c r="F218" s="51"/>
      <c r="G218" s="51"/>
      <c r="H218" s="51"/>
      <c r="I218" s="18"/>
      <c r="J218" s="18"/>
      <c r="K218" s="35"/>
      <c r="L218" s="35"/>
      <c r="M218" s="35"/>
      <c r="N218" s="35"/>
      <c r="O218" s="35"/>
      <c r="P218" s="35"/>
      <c r="Q218" s="35"/>
      <c r="R218" s="35"/>
      <c r="S218" s="35"/>
      <c r="T218" s="35"/>
      <c r="U218" s="35"/>
      <c r="V218" s="35"/>
      <c r="W218" s="35"/>
      <c r="X218" s="35"/>
      <c r="Y218" s="35"/>
      <c r="Z218" s="35"/>
      <c r="AA218" s="35"/>
    </row>
    <row r="219" ht="15.75" customHeight="1">
      <c r="A219" s="35"/>
      <c r="B219" s="57"/>
      <c r="C219" s="35"/>
      <c r="D219" s="26"/>
      <c r="E219" s="26"/>
      <c r="F219" s="51"/>
      <c r="G219" s="51"/>
      <c r="H219" s="51"/>
      <c r="I219" s="18"/>
      <c r="J219" s="18"/>
      <c r="K219" s="35"/>
      <c r="L219" s="35"/>
      <c r="M219" s="35"/>
      <c r="N219" s="35"/>
      <c r="O219" s="35"/>
      <c r="P219" s="35"/>
      <c r="Q219" s="35"/>
      <c r="R219" s="35"/>
      <c r="S219" s="35"/>
      <c r="T219" s="35"/>
      <c r="U219" s="35"/>
      <c r="V219" s="35"/>
      <c r="W219" s="35"/>
      <c r="X219" s="35"/>
      <c r="Y219" s="35"/>
      <c r="Z219" s="35"/>
      <c r="AA219" s="35"/>
    </row>
    <row r="220" ht="15.75" customHeight="1">
      <c r="A220" s="35"/>
      <c r="B220" s="57"/>
      <c r="C220" s="35"/>
      <c r="D220" s="26"/>
      <c r="E220" s="26"/>
      <c r="F220" s="51"/>
      <c r="G220" s="51"/>
      <c r="H220" s="51"/>
      <c r="I220" s="18"/>
      <c r="J220" s="18"/>
      <c r="K220" s="35"/>
      <c r="L220" s="35"/>
      <c r="M220" s="35"/>
      <c r="N220" s="35"/>
      <c r="O220" s="35"/>
      <c r="P220" s="35"/>
      <c r="Q220" s="35"/>
      <c r="R220" s="35"/>
      <c r="S220" s="35"/>
      <c r="T220" s="35"/>
      <c r="U220" s="35"/>
      <c r="V220" s="35"/>
      <c r="W220" s="35"/>
      <c r="X220" s="35"/>
      <c r="Y220" s="35"/>
      <c r="Z220" s="35"/>
      <c r="AA220" s="35"/>
    </row>
    <row r="221" ht="15.75" customHeight="1">
      <c r="A221" s="35"/>
      <c r="B221" s="57"/>
      <c r="C221" s="35"/>
      <c r="D221" s="26"/>
      <c r="E221" s="26"/>
      <c r="F221" s="51"/>
      <c r="G221" s="51"/>
      <c r="H221" s="51"/>
      <c r="I221" s="18"/>
      <c r="J221" s="18"/>
      <c r="K221" s="35"/>
      <c r="L221" s="35"/>
      <c r="M221" s="35"/>
      <c r="N221" s="35"/>
      <c r="O221" s="35"/>
      <c r="P221" s="35"/>
      <c r="Q221" s="35"/>
      <c r="R221" s="35"/>
      <c r="S221" s="35"/>
      <c r="T221" s="35"/>
      <c r="U221" s="35"/>
      <c r="V221" s="35"/>
      <c r="W221" s="35"/>
      <c r="X221" s="35"/>
      <c r="Y221" s="35"/>
      <c r="Z221" s="35"/>
      <c r="AA221" s="35"/>
    </row>
    <row r="222" ht="15.75" customHeight="1">
      <c r="A222" s="35"/>
      <c r="B222" s="57"/>
      <c r="C222" s="35"/>
      <c r="D222" s="26"/>
      <c r="E222" s="26"/>
      <c r="F222" s="51"/>
      <c r="G222" s="51"/>
      <c r="H222" s="51"/>
      <c r="I222" s="18"/>
      <c r="J222" s="18"/>
      <c r="K222" s="35"/>
      <c r="L222" s="35"/>
      <c r="M222" s="35"/>
      <c r="N222" s="35"/>
      <c r="O222" s="35"/>
      <c r="P222" s="35"/>
      <c r="Q222" s="35"/>
      <c r="R222" s="35"/>
      <c r="S222" s="35"/>
      <c r="T222" s="35"/>
      <c r="U222" s="35"/>
      <c r="V222" s="35"/>
      <c r="W222" s="35"/>
      <c r="X222" s="35"/>
      <c r="Y222" s="35"/>
      <c r="Z222" s="35"/>
      <c r="AA222" s="35"/>
    </row>
    <row r="223" ht="15.75" customHeight="1">
      <c r="A223" s="35"/>
      <c r="B223" s="57"/>
      <c r="C223" s="35"/>
      <c r="D223" s="26"/>
      <c r="E223" s="26"/>
      <c r="F223" s="51"/>
      <c r="G223" s="51"/>
      <c r="H223" s="51"/>
      <c r="I223" s="18"/>
      <c r="J223" s="18"/>
      <c r="K223" s="35"/>
      <c r="L223" s="35"/>
      <c r="M223" s="35"/>
      <c r="N223" s="35"/>
      <c r="O223" s="35"/>
      <c r="P223" s="35"/>
      <c r="Q223" s="35"/>
      <c r="R223" s="35"/>
      <c r="S223" s="35"/>
      <c r="T223" s="35"/>
      <c r="U223" s="35"/>
      <c r="V223" s="35"/>
      <c r="W223" s="35"/>
      <c r="X223" s="35"/>
      <c r="Y223" s="35"/>
      <c r="Z223" s="35"/>
      <c r="AA223" s="35"/>
    </row>
    <row r="224" ht="15.75" customHeight="1">
      <c r="A224" s="35"/>
      <c r="B224" s="57"/>
      <c r="C224" s="35"/>
      <c r="D224" s="26"/>
      <c r="E224" s="26"/>
      <c r="F224" s="51"/>
      <c r="G224" s="51"/>
      <c r="H224" s="51"/>
      <c r="I224" s="18"/>
      <c r="J224" s="18"/>
      <c r="K224" s="35"/>
      <c r="L224" s="35"/>
      <c r="M224" s="35"/>
      <c r="N224" s="35"/>
      <c r="O224" s="35"/>
      <c r="P224" s="35"/>
      <c r="Q224" s="35"/>
      <c r="R224" s="35"/>
      <c r="S224" s="35"/>
      <c r="T224" s="35"/>
      <c r="U224" s="35"/>
      <c r="V224" s="35"/>
      <c r="W224" s="35"/>
      <c r="X224" s="35"/>
      <c r="Y224" s="35"/>
      <c r="Z224" s="35"/>
      <c r="AA224" s="35"/>
    </row>
    <row r="225" ht="15.75" customHeight="1">
      <c r="A225" s="35"/>
      <c r="B225" s="57"/>
      <c r="C225" s="35"/>
      <c r="D225" s="26"/>
      <c r="E225" s="26"/>
      <c r="F225" s="51"/>
      <c r="G225" s="51"/>
      <c r="H225" s="51"/>
      <c r="I225" s="18"/>
      <c r="J225" s="18"/>
      <c r="K225" s="35"/>
      <c r="L225" s="35"/>
      <c r="M225" s="35"/>
      <c r="N225" s="35"/>
      <c r="O225" s="35"/>
      <c r="P225" s="35"/>
      <c r="Q225" s="35"/>
      <c r="R225" s="35"/>
      <c r="S225" s="35"/>
      <c r="T225" s="35"/>
      <c r="U225" s="35"/>
      <c r="V225" s="35"/>
      <c r="W225" s="35"/>
      <c r="X225" s="35"/>
      <c r="Y225" s="35"/>
      <c r="Z225" s="35"/>
      <c r="AA225" s="35"/>
    </row>
    <row r="226" ht="15.75" customHeight="1">
      <c r="A226" s="35"/>
      <c r="B226" s="57"/>
      <c r="C226" s="35"/>
      <c r="D226" s="26"/>
      <c r="E226" s="26"/>
      <c r="F226" s="51"/>
      <c r="G226" s="51"/>
      <c r="H226" s="51"/>
      <c r="I226" s="18"/>
      <c r="J226" s="18"/>
      <c r="K226" s="35"/>
      <c r="L226" s="35"/>
      <c r="M226" s="35"/>
      <c r="N226" s="35"/>
      <c r="O226" s="35"/>
      <c r="P226" s="35"/>
      <c r="Q226" s="35"/>
      <c r="R226" s="35"/>
      <c r="S226" s="35"/>
      <c r="T226" s="35"/>
      <c r="U226" s="35"/>
      <c r="V226" s="35"/>
      <c r="W226" s="35"/>
      <c r="X226" s="35"/>
      <c r="Y226" s="35"/>
      <c r="Z226" s="35"/>
      <c r="AA226" s="35"/>
    </row>
    <row r="227" ht="15.75" customHeight="1">
      <c r="A227" s="35"/>
      <c r="B227" s="57"/>
      <c r="C227" s="35"/>
      <c r="D227" s="26"/>
      <c r="E227" s="26"/>
      <c r="F227" s="51"/>
      <c r="G227" s="51"/>
      <c r="H227" s="51"/>
      <c r="I227" s="18"/>
      <c r="J227" s="18"/>
      <c r="K227" s="35"/>
      <c r="L227" s="35"/>
      <c r="M227" s="35"/>
      <c r="N227" s="35"/>
      <c r="O227" s="35"/>
      <c r="P227" s="35"/>
      <c r="Q227" s="35"/>
      <c r="R227" s="35"/>
      <c r="S227" s="35"/>
      <c r="T227" s="35"/>
      <c r="U227" s="35"/>
      <c r="V227" s="35"/>
      <c r="W227" s="35"/>
      <c r="X227" s="35"/>
      <c r="Y227" s="35"/>
      <c r="Z227" s="35"/>
      <c r="AA227" s="35"/>
    </row>
    <row r="228" ht="15.75" customHeight="1">
      <c r="A228" s="35"/>
      <c r="B228" s="57"/>
      <c r="C228" s="35"/>
      <c r="D228" s="26"/>
      <c r="E228" s="26"/>
      <c r="F228" s="51"/>
      <c r="G228" s="51"/>
      <c r="H228" s="51"/>
      <c r="I228" s="18"/>
      <c r="J228" s="18"/>
      <c r="K228" s="35"/>
      <c r="L228" s="35"/>
      <c r="M228" s="35"/>
      <c r="N228" s="35"/>
      <c r="O228" s="35"/>
      <c r="P228" s="35"/>
      <c r="Q228" s="35"/>
      <c r="R228" s="35"/>
      <c r="S228" s="35"/>
      <c r="T228" s="35"/>
      <c r="U228" s="35"/>
      <c r="V228" s="35"/>
      <c r="W228" s="35"/>
      <c r="X228" s="35"/>
      <c r="Y228" s="35"/>
      <c r="Z228" s="35"/>
      <c r="AA228" s="35"/>
    </row>
    <row r="229" ht="15.75" customHeight="1">
      <c r="A229" s="35"/>
      <c r="B229" s="57"/>
      <c r="C229" s="35"/>
      <c r="D229" s="26"/>
      <c r="E229" s="26"/>
      <c r="F229" s="51"/>
      <c r="G229" s="51"/>
      <c r="H229" s="51"/>
      <c r="I229" s="18"/>
      <c r="J229" s="18"/>
      <c r="K229" s="35"/>
      <c r="L229" s="35"/>
      <c r="M229" s="35"/>
      <c r="N229" s="35"/>
      <c r="O229" s="35"/>
      <c r="P229" s="35"/>
      <c r="Q229" s="35"/>
      <c r="R229" s="35"/>
      <c r="S229" s="35"/>
      <c r="T229" s="35"/>
      <c r="U229" s="35"/>
      <c r="V229" s="35"/>
      <c r="W229" s="35"/>
      <c r="X229" s="35"/>
      <c r="Y229" s="35"/>
      <c r="Z229" s="35"/>
      <c r="AA229" s="35"/>
    </row>
    <row r="230" ht="15.75" customHeight="1">
      <c r="A230" s="35"/>
      <c r="B230" s="57"/>
      <c r="C230" s="35"/>
      <c r="D230" s="26"/>
      <c r="E230" s="26"/>
      <c r="F230" s="51"/>
      <c r="G230" s="51"/>
      <c r="H230" s="51"/>
      <c r="I230" s="18"/>
      <c r="J230" s="18"/>
      <c r="K230" s="35"/>
      <c r="L230" s="35"/>
      <c r="M230" s="35"/>
      <c r="N230" s="35"/>
      <c r="O230" s="35"/>
      <c r="P230" s="35"/>
      <c r="Q230" s="35"/>
      <c r="R230" s="35"/>
      <c r="S230" s="35"/>
      <c r="T230" s="35"/>
      <c r="U230" s="35"/>
      <c r="V230" s="35"/>
      <c r="W230" s="35"/>
      <c r="X230" s="35"/>
      <c r="Y230" s="35"/>
      <c r="Z230" s="35"/>
      <c r="AA230" s="35"/>
    </row>
    <row r="231" ht="15.75" customHeight="1">
      <c r="A231" s="35"/>
      <c r="B231" s="57"/>
      <c r="C231" s="35"/>
      <c r="D231" s="26"/>
      <c r="E231" s="26"/>
      <c r="F231" s="51"/>
      <c r="G231" s="51"/>
      <c r="H231" s="51"/>
      <c r="I231" s="18"/>
      <c r="J231" s="18"/>
      <c r="K231" s="35"/>
      <c r="L231" s="35"/>
      <c r="M231" s="35"/>
      <c r="N231" s="35"/>
      <c r="O231" s="35"/>
      <c r="P231" s="35"/>
      <c r="Q231" s="35"/>
      <c r="R231" s="35"/>
      <c r="S231" s="35"/>
      <c r="T231" s="35"/>
      <c r="U231" s="35"/>
      <c r="V231" s="35"/>
      <c r="W231" s="35"/>
      <c r="X231" s="35"/>
      <c r="Y231" s="35"/>
      <c r="Z231" s="35"/>
      <c r="AA231" s="35"/>
    </row>
    <row r="232" ht="15.75" customHeight="1">
      <c r="A232" s="35"/>
      <c r="B232" s="57"/>
      <c r="C232" s="35"/>
      <c r="D232" s="26"/>
      <c r="E232" s="26"/>
      <c r="F232" s="51"/>
      <c r="G232" s="51"/>
      <c r="H232" s="51"/>
      <c r="I232" s="18"/>
      <c r="J232" s="18"/>
      <c r="K232" s="35"/>
      <c r="L232" s="35"/>
      <c r="M232" s="35"/>
      <c r="N232" s="35"/>
      <c r="O232" s="35"/>
      <c r="P232" s="35"/>
      <c r="Q232" s="35"/>
      <c r="R232" s="35"/>
      <c r="S232" s="35"/>
      <c r="T232" s="35"/>
      <c r="U232" s="35"/>
      <c r="V232" s="35"/>
      <c r="W232" s="35"/>
      <c r="X232" s="35"/>
      <c r="Y232" s="35"/>
      <c r="Z232" s="35"/>
      <c r="AA232" s="35"/>
    </row>
    <row r="233" ht="15.75" customHeight="1">
      <c r="A233" s="35"/>
      <c r="B233" s="57"/>
      <c r="C233" s="35"/>
      <c r="D233" s="26"/>
      <c r="E233" s="26"/>
      <c r="F233" s="51"/>
      <c r="G233" s="51"/>
      <c r="H233" s="51"/>
      <c r="I233" s="18"/>
      <c r="J233" s="18"/>
      <c r="K233" s="35"/>
      <c r="L233" s="35"/>
      <c r="M233" s="35"/>
      <c r="N233" s="35"/>
      <c r="O233" s="35"/>
      <c r="P233" s="35"/>
      <c r="Q233" s="35"/>
      <c r="R233" s="35"/>
      <c r="S233" s="35"/>
      <c r="T233" s="35"/>
      <c r="U233" s="35"/>
      <c r="V233" s="35"/>
      <c r="W233" s="35"/>
      <c r="X233" s="35"/>
      <c r="Y233" s="35"/>
      <c r="Z233" s="35"/>
      <c r="AA233" s="35"/>
    </row>
    <row r="234" ht="15.75" customHeight="1">
      <c r="A234" s="35"/>
      <c r="B234" s="57"/>
      <c r="C234" s="35"/>
      <c r="D234" s="26"/>
      <c r="E234" s="26"/>
      <c r="F234" s="51"/>
      <c r="G234" s="51"/>
      <c r="H234" s="51"/>
      <c r="I234" s="18"/>
      <c r="J234" s="18"/>
      <c r="K234" s="35"/>
      <c r="L234" s="35"/>
      <c r="M234" s="35"/>
      <c r="N234" s="35"/>
      <c r="O234" s="35"/>
      <c r="P234" s="35"/>
      <c r="Q234" s="35"/>
      <c r="R234" s="35"/>
      <c r="S234" s="35"/>
      <c r="T234" s="35"/>
      <c r="U234" s="35"/>
      <c r="V234" s="35"/>
      <c r="W234" s="35"/>
      <c r="X234" s="35"/>
      <c r="Y234" s="35"/>
      <c r="Z234" s="35"/>
      <c r="AA234" s="35"/>
    </row>
    <row r="235" ht="15.75" customHeight="1">
      <c r="A235" s="35"/>
      <c r="B235" s="57"/>
      <c r="C235" s="35"/>
      <c r="D235" s="26"/>
      <c r="E235" s="26"/>
      <c r="F235" s="51"/>
      <c r="G235" s="51"/>
      <c r="H235" s="51"/>
      <c r="I235" s="18"/>
      <c r="J235" s="18"/>
      <c r="K235" s="35"/>
      <c r="L235" s="35"/>
      <c r="M235" s="35"/>
      <c r="N235" s="35"/>
      <c r="O235" s="35"/>
      <c r="P235" s="35"/>
      <c r="Q235" s="35"/>
      <c r="R235" s="35"/>
      <c r="S235" s="35"/>
      <c r="T235" s="35"/>
      <c r="U235" s="35"/>
      <c r="V235" s="35"/>
      <c r="W235" s="35"/>
      <c r="X235" s="35"/>
      <c r="Y235" s="35"/>
      <c r="Z235" s="35"/>
      <c r="AA235" s="35"/>
    </row>
    <row r="236" ht="15.75" customHeight="1">
      <c r="A236" s="35"/>
      <c r="B236" s="57"/>
      <c r="C236" s="35"/>
      <c r="D236" s="26"/>
      <c r="E236" s="26"/>
      <c r="F236" s="51"/>
      <c r="G236" s="51"/>
      <c r="H236" s="51"/>
      <c r="I236" s="18"/>
      <c r="J236" s="18"/>
      <c r="K236" s="35"/>
      <c r="L236" s="35"/>
      <c r="M236" s="35"/>
      <c r="N236" s="35"/>
      <c r="O236" s="35"/>
      <c r="P236" s="35"/>
      <c r="Q236" s="35"/>
      <c r="R236" s="35"/>
      <c r="S236" s="35"/>
      <c r="T236" s="35"/>
      <c r="U236" s="35"/>
      <c r="V236" s="35"/>
      <c r="W236" s="35"/>
      <c r="X236" s="35"/>
      <c r="Y236" s="35"/>
      <c r="Z236" s="35"/>
      <c r="AA236" s="35"/>
    </row>
    <row r="237" ht="15.75" customHeight="1">
      <c r="A237" s="35"/>
      <c r="B237" s="57"/>
      <c r="C237" s="35"/>
      <c r="D237" s="26"/>
      <c r="E237" s="26"/>
      <c r="F237" s="51"/>
      <c r="G237" s="51"/>
      <c r="H237" s="51"/>
      <c r="I237" s="18"/>
      <c r="J237" s="18"/>
      <c r="K237" s="35"/>
      <c r="L237" s="35"/>
      <c r="M237" s="35"/>
      <c r="N237" s="35"/>
      <c r="O237" s="35"/>
      <c r="P237" s="35"/>
      <c r="Q237" s="35"/>
      <c r="R237" s="35"/>
      <c r="S237" s="35"/>
      <c r="T237" s="35"/>
      <c r="U237" s="35"/>
      <c r="V237" s="35"/>
      <c r="W237" s="35"/>
      <c r="X237" s="35"/>
      <c r="Y237" s="35"/>
      <c r="Z237" s="35"/>
      <c r="AA237" s="35"/>
    </row>
    <row r="238" ht="15.75" customHeight="1">
      <c r="A238" s="35"/>
      <c r="B238" s="57"/>
      <c r="C238" s="35"/>
      <c r="D238" s="26"/>
      <c r="E238" s="26"/>
      <c r="F238" s="51"/>
      <c r="G238" s="51"/>
      <c r="H238" s="51"/>
      <c r="I238" s="18"/>
      <c r="J238" s="18"/>
      <c r="K238" s="35"/>
      <c r="L238" s="35"/>
      <c r="M238" s="35"/>
      <c r="N238" s="35"/>
      <c r="O238" s="35"/>
      <c r="P238" s="35"/>
      <c r="Q238" s="35"/>
      <c r="R238" s="35"/>
      <c r="S238" s="35"/>
      <c r="T238" s="35"/>
      <c r="U238" s="35"/>
      <c r="V238" s="35"/>
      <c r="W238" s="35"/>
      <c r="X238" s="35"/>
      <c r="Y238" s="35"/>
      <c r="Z238" s="35"/>
      <c r="AA238" s="35"/>
    </row>
    <row r="239" ht="15.75" customHeight="1">
      <c r="A239" s="35"/>
      <c r="B239" s="57"/>
      <c r="C239" s="35"/>
      <c r="D239" s="26"/>
      <c r="E239" s="26"/>
      <c r="F239" s="51"/>
      <c r="G239" s="51"/>
      <c r="H239" s="51"/>
      <c r="I239" s="18"/>
      <c r="J239" s="18"/>
      <c r="K239" s="35"/>
      <c r="L239" s="35"/>
      <c r="M239" s="35"/>
      <c r="N239" s="35"/>
      <c r="O239" s="35"/>
      <c r="P239" s="35"/>
      <c r="Q239" s="35"/>
      <c r="R239" s="35"/>
      <c r="S239" s="35"/>
      <c r="T239" s="35"/>
      <c r="U239" s="35"/>
      <c r="V239" s="35"/>
      <c r="W239" s="35"/>
      <c r="X239" s="35"/>
      <c r="Y239" s="35"/>
      <c r="Z239" s="35"/>
      <c r="AA239" s="35"/>
    </row>
    <row r="240" ht="15.75" customHeight="1">
      <c r="A240" s="35"/>
      <c r="B240" s="57"/>
      <c r="C240" s="35"/>
      <c r="D240" s="26"/>
      <c r="E240" s="26"/>
      <c r="F240" s="51"/>
      <c r="G240" s="51"/>
      <c r="H240" s="51"/>
      <c r="I240" s="18"/>
      <c r="J240" s="18"/>
      <c r="K240" s="35"/>
      <c r="L240" s="35"/>
      <c r="M240" s="35"/>
      <c r="N240" s="35"/>
      <c r="O240" s="35"/>
      <c r="P240" s="35"/>
      <c r="Q240" s="35"/>
      <c r="R240" s="35"/>
      <c r="S240" s="35"/>
      <c r="T240" s="35"/>
      <c r="U240" s="35"/>
      <c r="V240" s="35"/>
      <c r="W240" s="35"/>
      <c r="X240" s="35"/>
      <c r="Y240" s="35"/>
      <c r="Z240" s="35"/>
      <c r="AA240" s="35"/>
    </row>
    <row r="241" ht="15.75" customHeight="1">
      <c r="A241" s="35"/>
      <c r="B241" s="57"/>
      <c r="C241" s="35"/>
      <c r="D241" s="26"/>
      <c r="E241" s="26"/>
      <c r="F241" s="51"/>
      <c r="G241" s="51"/>
      <c r="H241" s="51"/>
      <c r="I241" s="18"/>
      <c r="J241" s="18"/>
      <c r="K241" s="35"/>
      <c r="L241" s="35"/>
      <c r="M241" s="35"/>
      <c r="N241" s="35"/>
      <c r="O241" s="35"/>
      <c r="P241" s="35"/>
      <c r="Q241" s="35"/>
      <c r="R241" s="35"/>
      <c r="S241" s="35"/>
      <c r="T241" s="35"/>
      <c r="U241" s="35"/>
      <c r="V241" s="35"/>
      <c r="W241" s="35"/>
      <c r="X241" s="35"/>
      <c r="Y241" s="35"/>
      <c r="Z241" s="35"/>
      <c r="AA241" s="35"/>
    </row>
    <row r="242" ht="15.75" customHeight="1">
      <c r="A242" s="35"/>
      <c r="B242" s="57"/>
      <c r="C242" s="35"/>
      <c r="D242" s="26"/>
      <c r="E242" s="26"/>
      <c r="F242" s="51"/>
      <c r="G242" s="51"/>
      <c r="H242" s="51"/>
      <c r="I242" s="18"/>
      <c r="J242" s="18"/>
      <c r="K242" s="35"/>
      <c r="L242" s="35"/>
      <c r="M242" s="35"/>
      <c r="N242" s="35"/>
      <c r="O242" s="35"/>
      <c r="P242" s="35"/>
      <c r="Q242" s="35"/>
      <c r="R242" s="35"/>
      <c r="S242" s="35"/>
      <c r="T242" s="35"/>
      <c r="U242" s="35"/>
      <c r="V242" s="35"/>
      <c r="W242" s="35"/>
      <c r="X242" s="35"/>
      <c r="Y242" s="35"/>
      <c r="Z242" s="35"/>
      <c r="AA242" s="35"/>
    </row>
    <row r="243" ht="15.75" customHeight="1">
      <c r="A243" s="35"/>
      <c r="B243" s="57"/>
      <c r="C243" s="35"/>
      <c r="D243" s="26"/>
      <c r="E243" s="26"/>
      <c r="F243" s="51"/>
      <c r="G243" s="51"/>
      <c r="H243" s="51"/>
      <c r="I243" s="18"/>
      <c r="J243" s="18"/>
      <c r="K243" s="35"/>
      <c r="L243" s="35"/>
      <c r="M243" s="35"/>
      <c r="N243" s="35"/>
      <c r="O243" s="35"/>
      <c r="P243" s="35"/>
      <c r="Q243" s="35"/>
      <c r="R243" s="35"/>
      <c r="S243" s="35"/>
      <c r="T243" s="35"/>
      <c r="U243" s="35"/>
      <c r="V243" s="35"/>
      <c r="W243" s="35"/>
      <c r="X243" s="35"/>
      <c r="Y243" s="35"/>
      <c r="Z243" s="35"/>
      <c r="AA243" s="35"/>
    </row>
    <row r="244" ht="15.75" customHeight="1">
      <c r="A244" s="35"/>
      <c r="B244" s="57"/>
      <c r="C244" s="35"/>
      <c r="D244" s="26"/>
      <c r="E244" s="26"/>
      <c r="F244" s="51"/>
      <c r="G244" s="51"/>
      <c r="H244" s="51"/>
      <c r="I244" s="18"/>
      <c r="J244" s="18"/>
      <c r="K244" s="35"/>
      <c r="L244" s="35"/>
      <c r="M244" s="35"/>
      <c r="N244" s="35"/>
      <c r="O244" s="35"/>
      <c r="P244" s="35"/>
      <c r="Q244" s="35"/>
      <c r="R244" s="35"/>
      <c r="S244" s="35"/>
      <c r="T244" s="35"/>
      <c r="U244" s="35"/>
      <c r="V244" s="35"/>
      <c r="W244" s="35"/>
      <c r="X244" s="35"/>
      <c r="Y244" s="35"/>
      <c r="Z244" s="35"/>
      <c r="AA244" s="35"/>
    </row>
    <row r="245" ht="15.75" customHeight="1">
      <c r="A245" s="35"/>
      <c r="B245" s="57"/>
      <c r="C245" s="35"/>
      <c r="D245" s="26"/>
      <c r="E245" s="26"/>
      <c r="F245" s="51"/>
      <c r="G245" s="51"/>
      <c r="H245" s="51"/>
      <c r="I245" s="18"/>
      <c r="J245" s="18"/>
      <c r="K245" s="35"/>
      <c r="L245" s="35"/>
      <c r="M245" s="35"/>
      <c r="N245" s="35"/>
      <c r="O245" s="35"/>
      <c r="P245" s="35"/>
      <c r="Q245" s="35"/>
      <c r="R245" s="35"/>
      <c r="S245" s="35"/>
      <c r="T245" s="35"/>
      <c r="U245" s="35"/>
      <c r="V245" s="35"/>
      <c r="W245" s="35"/>
      <c r="X245" s="35"/>
      <c r="Y245" s="35"/>
      <c r="Z245" s="35"/>
      <c r="AA245" s="35"/>
    </row>
    <row r="246" ht="15.75" customHeight="1">
      <c r="A246" s="35"/>
      <c r="B246" s="57"/>
      <c r="C246" s="35"/>
      <c r="D246" s="26"/>
      <c r="E246" s="26"/>
      <c r="F246" s="51"/>
      <c r="G246" s="51"/>
      <c r="H246" s="51"/>
      <c r="I246" s="18"/>
      <c r="J246" s="18"/>
      <c r="K246" s="35"/>
      <c r="L246" s="35"/>
      <c r="M246" s="35"/>
      <c r="N246" s="35"/>
      <c r="O246" s="35"/>
      <c r="P246" s="35"/>
      <c r="Q246" s="35"/>
      <c r="R246" s="35"/>
      <c r="S246" s="35"/>
      <c r="T246" s="35"/>
      <c r="U246" s="35"/>
      <c r="V246" s="35"/>
      <c r="W246" s="35"/>
      <c r="X246" s="35"/>
      <c r="Y246" s="35"/>
      <c r="Z246" s="35"/>
      <c r="AA246" s="35"/>
    </row>
    <row r="247" ht="15.75" customHeight="1">
      <c r="A247" s="35"/>
      <c r="B247" s="57"/>
      <c r="C247" s="35"/>
      <c r="D247" s="26"/>
      <c r="E247" s="26"/>
      <c r="F247" s="51"/>
      <c r="G247" s="51"/>
      <c r="H247" s="51"/>
      <c r="I247" s="18"/>
      <c r="J247" s="18"/>
      <c r="K247" s="35"/>
      <c r="L247" s="35"/>
      <c r="M247" s="35"/>
      <c r="N247" s="35"/>
      <c r="O247" s="35"/>
      <c r="P247" s="35"/>
      <c r="Q247" s="35"/>
      <c r="R247" s="35"/>
      <c r="S247" s="35"/>
      <c r="T247" s="35"/>
      <c r="U247" s="35"/>
      <c r="V247" s="35"/>
      <c r="W247" s="35"/>
      <c r="X247" s="35"/>
      <c r="Y247" s="35"/>
      <c r="Z247" s="35"/>
      <c r="AA247" s="35"/>
    </row>
    <row r="248" ht="15.75" customHeight="1">
      <c r="A248" s="35"/>
      <c r="B248" s="57"/>
      <c r="C248" s="35"/>
      <c r="D248" s="26"/>
      <c r="E248" s="26"/>
      <c r="F248" s="51"/>
      <c r="G248" s="51"/>
      <c r="H248" s="51"/>
      <c r="I248" s="18"/>
      <c r="J248" s="18"/>
      <c r="K248" s="35"/>
      <c r="L248" s="35"/>
      <c r="M248" s="35"/>
      <c r="N248" s="35"/>
      <c r="O248" s="35"/>
      <c r="P248" s="35"/>
      <c r="Q248" s="35"/>
      <c r="R248" s="35"/>
      <c r="S248" s="35"/>
      <c r="T248" s="35"/>
      <c r="U248" s="35"/>
      <c r="V248" s="35"/>
      <c r="W248" s="35"/>
      <c r="X248" s="35"/>
      <c r="Y248" s="35"/>
      <c r="Z248" s="35"/>
      <c r="AA248" s="35"/>
    </row>
    <row r="249" ht="15.75" customHeight="1">
      <c r="A249" s="35"/>
      <c r="B249" s="57"/>
      <c r="C249" s="35"/>
      <c r="D249" s="26"/>
      <c r="E249" s="26"/>
      <c r="F249" s="51"/>
      <c r="G249" s="51"/>
      <c r="H249" s="51"/>
      <c r="I249" s="18"/>
      <c r="J249" s="18"/>
      <c r="K249" s="35"/>
      <c r="L249" s="35"/>
      <c r="M249" s="35"/>
      <c r="N249" s="35"/>
      <c r="O249" s="35"/>
      <c r="P249" s="35"/>
      <c r="Q249" s="35"/>
      <c r="R249" s="35"/>
      <c r="S249" s="35"/>
      <c r="T249" s="35"/>
      <c r="U249" s="35"/>
      <c r="V249" s="35"/>
      <c r="W249" s="35"/>
      <c r="X249" s="35"/>
      <c r="Y249" s="35"/>
      <c r="Z249" s="35"/>
      <c r="AA249" s="35"/>
    </row>
    <row r="250" ht="15.75" customHeight="1">
      <c r="A250" s="35"/>
      <c r="B250" s="57"/>
      <c r="C250" s="35"/>
      <c r="D250" s="26"/>
      <c r="E250" s="26"/>
      <c r="F250" s="51"/>
      <c r="G250" s="51"/>
      <c r="H250" s="51"/>
      <c r="I250" s="18"/>
      <c r="J250" s="18"/>
      <c r="K250" s="35"/>
      <c r="L250" s="35"/>
      <c r="M250" s="35"/>
      <c r="N250" s="35"/>
      <c r="O250" s="35"/>
      <c r="P250" s="35"/>
      <c r="Q250" s="35"/>
      <c r="R250" s="35"/>
      <c r="S250" s="35"/>
      <c r="T250" s="35"/>
      <c r="U250" s="35"/>
      <c r="V250" s="35"/>
      <c r="W250" s="35"/>
      <c r="X250" s="35"/>
      <c r="Y250" s="35"/>
      <c r="Z250" s="35"/>
      <c r="AA250" s="35"/>
    </row>
    <row r="251" ht="15.75" customHeight="1">
      <c r="A251" s="35"/>
      <c r="B251" s="57"/>
      <c r="C251" s="35"/>
      <c r="D251" s="26"/>
      <c r="E251" s="26"/>
      <c r="F251" s="51"/>
      <c r="G251" s="51"/>
      <c r="H251" s="51"/>
      <c r="I251" s="18"/>
      <c r="J251" s="18"/>
      <c r="K251" s="35"/>
      <c r="L251" s="35"/>
      <c r="M251" s="35"/>
      <c r="N251" s="35"/>
      <c r="O251" s="35"/>
      <c r="P251" s="35"/>
      <c r="Q251" s="35"/>
      <c r="R251" s="35"/>
      <c r="S251" s="35"/>
      <c r="T251" s="35"/>
      <c r="U251" s="35"/>
      <c r="V251" s="35"/>
      <c r="W251" s="35"/>
      <c r="X251" s="35"/>
      <c r="Y251" s="35"/>
      <c r="Z251" s="35"/>
      <c r="AA251" s="35"/>
    </row>
    <row r="252" ht="15.75" customHeight="1">
      <c r="A252" s="35"/>
      <c r="B252" s="57"/>
      <c r="C252" s="35"/>
      <c r="D252" s="26"/>
      <c r="E252" s="26"/>
      <c r="F252" s="51"/>
      <c r="G252" s="51"/>
      <c r="H252" s="51"/>
      <c r="I252" s="18"/>
      <c r="J252" s="18"/>
      <c r="K252" s="35"/>
      <c r="L252" s="35"/>
      <c r="M252" s="35"/>
      <c r="N252" s="35"/>
      <c r="O252" s="35"/>
      <c r="P252" s="35"/>
      <c r="Q252" s="35"/>
      <c r="R252" s="35"/>
      <c r="S252" s="35"/>
      <c r="T252" s="35"/>
      <c r="U252" s="35"/>
      <c r="V252" s="35"/>
      <c r="W252" s="35"/>
      <c r="X252" s="35"/>
      <c r="Y252" s="35"/>
      <c r="Z252" s="35"/>
      <c r="AA252" s="35"/>
    </row>
    <row r="253" ht="15.75" customHeight="1">
      <c r="A253" s="35"/>
      <c r="B253" s="57"/>
      <c r="C253" s="35"/>
      <c r="D253" s="26"/>
      <c r="E253" s="26"/>
      <c r="F253" s="51"/>
      <c r="G253" s="51"/>
      <c r="H253" s="51"/>
      <c r="I253" s="18"/>
      <c r="J253" s="18"/>
      <c r="K253" s="35"/>
      <c r="L253" s="35"/>
      <c r="M253" s="35"/>
      <c r="N253" s="35"/>
      <c r="O253" s="35"/>
      <c r="P253" s="35"/>
      <c r="Q253" s="35"/>
      <c r="R253" s="35"/>
      <c r="S253" s="35"/>
      <c r="T253" s="35"/>
      <c r="U253" s="35"/>
      <c r="V253" s="35"/>
      <c r="W253" s="35"/>
      <c r="X253" s="35"/>
      <c r="Y253" s="35"/>
      <c r="Z253" s="35"/>
      <c r="AA253" s="35"/>
    </row>
    <row r="254" ht="15.75" customHeight="1">
      <c r="A254" s="35"/>
      <c r="B254" s="57"/>
      <c r="C254" s="35"/>
      <c r="D254" s="26"/>
      <c r="E254" s="26"/>
      <c r="F254" s="51"/>
      <c r="G254" s="51"/>
      <c r="H254" s="51"/>
      <c r="I254" s="18"/>
      <c r="J254" s="18"/>
      <c r="K254" s="35"/>
      <c r="L254" s="35"/>
      <c r="M254" s="35"/>
      <c r="N254" s="35"/>
      <c r="O254" s="35"/>
      <c r="P254" s="35"/>
      <c r="Q254" s="35"/>
      <c r="R254" s="35"/>
      <c r="S254" s="35"/>
      <c r="T254" s="35"/>
      <c r="U254" s="35"/>
      <c r="V254" s="35"/>
      <c r="W254" s="35"/>
      <c r="X254" s="35"/>
      <c r="Y254" s="35"/>
      <c r="Z254" s="35"/>
      <c r="AA254" s="35"/>
    </row>
    <row r="255" ht="15.75" customHeight="1">
      <c r="A255" s="35"/>
      <c r="B255" s="57"/>
      <c r="C255" s="35"/>
      <c r="D255" s="26"/>
      <c r="E255" s="26"/>
      <c r="F255" s="51"/>
      <c r="G255" s="51"/>
      <c r="H255" s="51"/>
      <c r="I255" s="18"/>
      <c r="J255" s="18"/>
      <c r="K255" s="35"/>
      <c r="L255" s="35"/>
      <c r="M255" s="35"/>
      <c r="N255" s="35"/>
      <c r="O255" s="35"/>
      <c r="P255" s="35"/>
      <c r="Q255" s="35"/>
      <c r="R255" s="35"/>
      <c r="S255" s="35"/>
      <c r="T255" s="35"/>
      <c r="U255" s="35"/>
      <c r="V255" s="35"/>
      <c r="W255" s="35"/>
      <c r="X255" s="35"/>
      <c r="Y255" s="35"/>
      <c r="Z255" s="35"/>
      <c r="AA255" s="35"/>
    </row>
    <row r="256" ht="15.75" customHeight="1">
      <c r="A256" s="35"/>
      <c r="B256" s="57"/>
      <c r="C256" s="35"/>
      <c r="D256" s="26"/>
      <c r="E256" s="26"/>
      <c r="F256" s="51"/>
      <c r="G256" s="51"/>
      <c r="H256" s="51"/>
      <c r="I256" s="18"/>
      <c r="J256" s="18"/>
      <c r="K256" s="35"/>
      <c r="L256" s="35"/>
      <c r="M256" s="35"/>
      <c r="N256" s="35"/>
      <c r="O256" s="35"/>
      <c r="P256" s="35"/>
      <c r="Q256" s="35"/>
      <c r="R256" s="35"/>
      <c r="S256" s="35"/>
      <c r="T256" s="35"/>
      <c r="U256" s="35"/>
      <c r="V256" s="35"/>
      <c r="W256" s="35"/>
      <c r="X256" s="35"/>
      <c r="Y256" s="35"/>
      <c r="Z256" s="35"/>
      <c r="AA256" s="35"/>
    </row>
    <row r="257" ht="15.75" customHeight="1">
      <c r="A257" s="35"/>
      <c r="B257" s="57"/>
      <c r="C257" s="35"/>
      <c r="D257" s="26"/>
      <c r="E257" s="26"/>
      <c r="F257" s="51"/>
      <c r="G257" s="51"/>
      <c r="H257" s="51"/>
      <c r="I257" s="18"/>
      <c r="J257" s="18"/>
      <c r="K257" s="35"/>
      <c r="L257" s="35"/>
      <c r="M257" s="35"/>
      <c r="N257" s="35"/>
      <c r="O257" s="35"/>
      <c r="P257" s="35"/>
      <c r="Q257" s="35"/>
      <c r="R257" s="35"/>
      <c r="S257" s="35"/>
      <c r="T257" s="35"/>
      <c r="U257" s="35"/>
      <c r="V257" s="35"/>
      <c r="W257" s="35"/>
      <c r="X257" s="35"/>
      <c r="Y257" s="35"/>
      <c r="Z257" s="35"/>
      <c r="AA257" s="35"/>
    </row>
    <row r="258" ht="15.75" customHeight="1">
      <c r="A258" s="35"/>
      <c r="B258" s="57"/>
      <c r="C258" s="35"/>
      <c r="D258" s="26"/>
      <c r="E258" s="26"/>
      <c r="F258" s="51"/>
      <c r="G258" s="51"/>
      <c r="H258" s="51"/>
      <c r="I258" s="18"/>
      <c r="J258" s="18"/>
      <c r="K258" s="35"/>
      <c r="L258" s="35"/>
      <c r="M258" s="35"/>
      <c r="N258" s="35"/>
      <c r="O258" s="35"/>
      <c r="P258" s="35"/>
      <c r="Q258" s="35"/>
      <c r="R258" s="35"/>
      <c r="S258" s="35"/>
      <c r="T258" s="35"/>
      <c r="U258" s="35"/>
      <c r="V258" s="35"/>
      <c r="W258" s="35"/>
      <c r="X258" s="35"/>
      <c r="Y258" s="35"/>
      <c r="Z258" s="35"/>
      <c r="AA258" s="35"/>
    </row>
    <row r="259" ht="15.75" customHeight="1">
      <c r="A259" s="35"/>
      <c r="B259" s="57"/>
      <c r="C259" s="35"/>
      <c r="D259" s="26"/>
      <c r="E259" s="26"/>
      <c r="F259" s="51"/>
      <c r="G259" s="51"/>
      <c r="H259" s="51"/>
      <c r="I259" s="18"/>
      <c r="J259" s="18"/>
      <c r="K259" s="35"/>
      <c r="L259" s="35"/>
      <c r="M259" s="35"/>
      <c r="N259" s="35"/>
      <c r="O259" s="35"/>
      <c r="P259" s="35"/>
      <c r="Q259" s="35"/>
      <c r="R259" s="35"/>
      <c r="S259" s="35"/>
      <c r="T259" s="35"/>
      <c r="U259" s="35"/>
      <c r="V259" s="35"/>
      <c r="W259" s="35"/>
      <c r="X259" s="35"/>
      <c r="Y259" s="35"/>
      <c r="Z259" s="35"/>
      <c r="AA259" s="35"/>
    </row>
    <row r="260" ht="15.75" customHeight="1">
      <c r="A260" s="35"/>
      <c r="B260" s="57"/>
      <c r="C260" s="35"/>
      <c r="D260" s="26"/>
      <c r="E260" s="26"/>
      <c r="F260" s="51"/>
      <c r="G260" s="51"/>
      <c r="H260" s="51"/>
      <c r="I260" s="18"/>
      <c r="J260" s="18"/>
      <c r="K260" s="35"/>
      <c r="L260" s="35"/>
      <c r="M260" s="35"/>
      <c r="N260" s="35"/>
      <c r="O260" s="35"/>
      <c r="P260" s="35"/>
      <c r="Q260" s="35"/>
      <c r="R260" s="35"/>
      <c r="S260" s="35"/>
      <c r="T260" s="35"/>
      <c r="U260" s="35"/>
      <c r="V260" s="35"/>
      <c r="W260" s="35"/>
      <c r="X260" s="35"/>
      <c r="Y260" s="35"/>
      <c r="Z260" s="35"/>
      <c r="AA260" s="35"/>
    </row>
    <row r="261" ht="15.75" customHeight="1">
      <c r="A261" s="35"/>
      <c r="B261" s="57"/>
      <c r="C261" s="35"/>
      <c r="D261" s="26"/>
      <c r="E261" s="26"/>
      <c r="F261" s="51"/>
      <c r="G261" s="51"/>
      <c r="H261" s="51"/>
      <c r="I261" s="18"/>
      <c r="J261" s="18"/>
      <c r="K261" s="35"/>
      <c r="L261" s="35"/>
      <c r="M261" s="35"/>
      <c r="N261" s="35"/>
      <c r="O261" s="35"/>
      <c r="P261" s="35"/>
      <c r="Q261" s="35"/>
      <c r="R261" s="35"/>
      <c r="S261" s="35"/>
      <c r="T261" s="35"/>
      <c r="U261" s="35"/>
      <c r="V261" s="35"/>
      <c r="W261" s="35"/>
      <c r="X261" s="35"/>
      <c r="Y261" s="35"/>
      <c r="Z261" s="35"/>
      <c r="AA261" s="35"/>
    </row>
    <row r="262" ht="15.75" customHeight="1">
      <c r="A262" s="35"/>
      <c r="B262" s="57"/>
      <c r="C262" s="35"/>
      <c r="D262" s="26"/>
      <c r="E262" s="26"/>
      <c r="F262" s="51"/>
      <c r="G262" s="51"/>
      <c r="H262" s="51"/>
      <c r="I262" s="18"/>
      <c r="J262" s="18"/>
      <c r="K262" s="35"/>
      <c r="L262" s="35"/>
      <c r="M262" s="35"/>
      <c r="N262" s="35"/>
      <c r="O262" s="35"/>
      <c r="P262" s="35"/>
      <c r="Q262" s="35"/>
      <c r="R262" s="35"/>
      <c r="S262" s="35"/>
      <c r="T262" s="35"/>
      <c r="U262" s="35"/>
      <c r="V262" s="35"/>
      <c r="W262" s="35"/>
      <c r="X262" s="35"/>
      <c r="Y262" s="35"/>
      <c r="Z262" s="35"/>
      <c r="AA262" s="35"/>
    </row>
    <row r="263" ht="15.75" customHeight="1">
      <c r="A263" s="35"/>
      <c r="B263" s="57"/>
      <c r="C263" s="35"/>
      <c r="D263" s="26"/>
      <c r="E263" s="26"/>
      <c r="F263" s="51"/>
      <c r="G263" s="51"/>
      <c r="H263" s="51"/>
      <c r="I263" s="18"/>
      <c r="J263" s="18"/>
      <c r="K263" s="35"/>
      <c r="L263" s="35"/>
      <c r="M263" s="35"/>
      <c r="N263" s="35"/>
      <c r="O263" s="35"/>
      <c r="P263" s="35"/>
      <c r="Q263" s="35"/>
      <c r="R263" s="35"/>
      <c r="S263" s="35"/>
      <c r="T263" s="35"/>
      <c r="U263" s="35"/>
      <c r="V263" s="35"/>
      <c r="W263" s="35"/>
      <c r="X263" s="35"/>
      <c r="Y263" s="35"/>
      <c r="Z263" s="35"/>
      <c r="AA263" s="35"/>
    </row>
    <row r="264" ht="15.75" customHeight="1">
      <c r="A264" s="35"/>
      <c r="B264" s="57"/>
      <c r="C264" s="35"/>
      <c r="D264" s="26"/>
      <c r="E264" s="26"/>
      <c r="F264" s="51"/>
      <c r="G264" s="51"/>
      <c r="H264" s="51"/>
      <c r="I264" s="18"/>
      <c r="J264" s="18"/>
      <c r="K264" s="35"/>
      <c r="L264" s="35"/>
      <c r="M264" s="35"/>
      <c r="N264" s="35"/>
      <c r="O264" s="35"/>
      <c r="P264" s="35"/>
      <c r="Q264" s="35"/>
      <c r="R264" s="35"/>
      <c r="S264" s="35"/>
      <c r="T264" s="35"/>
      <c r="U264" s="35"/>
      <c r="V264" s="35"/>
      <c r="W264" s="35"/>
      <c r="X264" s="35"/>
      <c r="Y264" s="35"/>
      <c r="Z264" s="35"/>
      <c r="AA264" s="35"/>
    </row>
    <row r="265" ht="15.75" customHeight="1">
      <c r="A265" s="35"/>
      <c r="B265" s="57"/>
      <c r="C265" s="35"/>
      <c r="D265" s="26"/>
      <c r="E265" s="26"/>
      <c r="F265" s="51"/>
      <c r="G265" s="51"/>
      <c r="H265" s="51"/>
      <c r="I265" s="18"/>
      <c r="J265" s="18"/>
      <c r="K265" s="35"/>
      <c r="L265" s="35"/>
      <c r="M265" s="35"/>
      <c r="N265" s="35"/>
      <c r="O265" s="35"/>
      <c r="P265" s="35"/>
      <c r="Q265" s="35"/>
      <c r="R265" s="35"/>
      <c r="S265" s="35"/>
      <c r="T265" s="35"/>
      <c r="U265" s="35"/>
      <c r="V265" s="35"/>
      <c r="W265" s="35"/>
      <c r="X265" s="35"/>
      <c r="Y265" s="35"/>
      <c r="Z265" s="35"/>
      <c r="AA265" s="35"/>
    </row>
    <row r="266" ht="15.75" customHeight="1">
      <c r="A266" s="35"/>
      <c r="B266" s="57"/>
      <c r="C266" s="35"/>
      <c r="D266" s="26"/>
      <c r="E266" s="26"/>
      <c r="F266" s="51"/>
      <c r="G266" s="51"/>
      <c r="H266" s="51"/>
      <c r="I266" s="18"/>
      <c r="J266" s="18"/>
      <c r="K266" s="35"/>
      <c r="L266" s="35"/>
      <c r="M266" s="35"/>
      <c r="N266" s="35"/>
      <c r="O266" s="35"/>
      <c r="P266" s="35"/>
      <c r="Q266" s="35"/>
      <c r="R266" s="35"/>
      <c r="S266" s="35"/>
      <c r="T266" s="35"/>
      <c r="U266" s="35"/>
      <c r="V266" s="35"/>
      <c r="W266" s="35"/>
      <c r="X266" s="35"/>
      <c r="Y266" s="35"/>
      <c r="Z266" s="35"/>
      <c r="AA266" s="35"/>
    </row>
    <row r="267" ht="15.75" customHeight="1">
      <c r="A267" s="35"/>
      <c r="B267" s="57"/>
      <c r="C267" s="35"/>
      <c r="D267" s="26"/>
      <c r="E267" s="26"/>
      <c r="F267" s="51"/>
      <c r="G267" s="51"/>
      <c r="H267" s="51"/>
      <c r="I267" s="18"/>
      <c r="J267" s="18"/>
      <c r="K267" s="35"/>
      <c r="L267" s="35"/>
      <c r="M267" s="35"/>
      <c r="N267" s="35"/>
      <c r="O267" s="35"/>
      <c r="P267" s="35"/>
      <c r="Q267" s="35"/>
      <c r="R267" s="35"/>
      <c r="S267" s="35"/>
      <c r="T267" s="35"/>
      <c r="U267" s="35"/>
      <c r="V267" s="35"/>
      <c r="W267" s="35"/>
      <c r="X267" s="35"/>
      <c r="Y267" s="35"/>
      <c r="Z267" s="35"/>
      <c r="AA267" s="35"/>
    </row>
    <row r="268" ht="15.75" customHeight="1">
      <c r="A268" s="35"/>
      <c r="B268" s="57"/>
      <c r="C268" s="35"/>
      <c r="D268" s="26"/>
      <c r="E268" s="26"/>
      <c r="F268" s="51"/>
      <c r="G268" s="51"/>
      <c r="H268" s="51"/>
      <c r="I268" s="18"/>
      <c r="J268" s="18"/>
      <c r="K268" s="35"/>
      <c r="L268" s="35"/>
      <c r="M268" s="35"/>
      <c r="N268" s="35"/>
      <c r="O268" s="35"/>
      <c r="P268" s="35"/>
      <c r="Q268" s="35"/>
      <c r="R268" s="35"/>
      <c r="S268" s="35"/>
      <c r="T268" s="35"/>
      <c r="U268" s="35"/>
      <c r="V268" s="35"/>
      <c r="W268" s="35"/>
      <c r="X268" s="35"/>
      <c r="Y268" s="35"/>
      <c r="Z268" s="35"/>
      <c r="AA268" s="35"/>
    </row>
    <row r="269" ht="15.75" customHeight="1">
      <c r="A269" s="35"/>
      <c r="B269" s="57"/>
      <c r="C269" s="35"/>
      <c r="D269" s="26"/>
      <c r="E269" s="26"/>
      <c r="F269" s="51"/>
      <c r="G269" s="51"/>
      <c r="H269" s="51"/>
      <c r="I269" s="18"/>
      <c r="J269" s="18"/>
      <c r="K269" s="35"/>
      <c r="L269" s="35"/>
      <c r="M269" s="35"/>
      <c r="N269" s="35"/>
      <c r="O269" s="35"/>
      <c r="P269" s="35"/>
      <c r="Q269" s="35"/>
      <c r="R269" s="35"/>
      <c r="S269" s="35"/>
      <c r="T269" s="35"/>
      <c r="U269" s="35"/>
      <c r="V269" s="35"/>
      <c r="W269" s="35"/>
      <c r="X269" s="35"/>
      <c r="Y269" s="35"/>
      <c r="Z269" s="35"/>
      <c r="AA269" s="35"/>
    </row>
    <row r="270" ht="15.75" customHeight="1">
      <c r="A270" s="35"/>
      <c r="B270" s="57"/>
      <c r="C270" s="35"/>
      <c r="D270" s="26"/>
      <c r="E270" s="26"/>
      <c r="F270" s="51"/>
      <c r="G270" s="51"/>
      <c r="H270" s="51"/>
      <c r="I270" s="18"/>
      <c r="J270" s="18"/>
      <c r="K270" s="35"/>
      <c r="L270" s="35"/>
      <c r="M270" s="35"/>
      <c r="N270" s="35"/>
      <c r="O270" s="35"/>
      <c r="P270" s="35"/>
      <c r="Q270" s="35"/>
      <c r="R270" s="35"/>
      <c r="S270" s="35"/>
      <c r="T270" s="35"/>
      <c r="U270" s="35"/>
      <c r="V270" s="35"/>
      <c r="W270" s="35"/>
      <c r="X270" s="35"/>
      <c r="Y270" s="35"/>
      <c r="Z270" s="35"/>
      <c r="AA270" s="35"/>
    </row>
    <row r="271" ht="15.75" customHeight="1">
      <c r="A271" s="35"/>
      <c r="B271" s="57"/>
      <c r="C271" s="35"/>
      <c r="D271" s="26"/>
      <c r="E271" s="26"/>
      <c r="F271" s="51"/>
      <c r="G271" s="51"/>
      <c r="H271" s="51"/>
      <c r="I271" s="18"/>
      <c r="J271" s="18"/>
      <c r="K271" s="35"/>
      <c r="L271" s="35"/>
      <c r="M271" s="35"/>
      <c r="N271" s="35"/>
      <c r="O271" s="35"/>
      <c r="P271" s="35"/>
      <c r="Q271" s="35"/>
      <c r="R271" s="35"/>
      <c r="S271" s="35"/>
      <c r="T271" s="35"/>
      <c r="U271" s="35"/>
      <c r="V271" s="35"/>
      <c r="W271" s="35"/>
      <c r="X271" s="35"/>
      <c r="Y271" s="35"/>
      <c r="Z271" s="35"/>
      <c r="AA271" s="35"/>
    </row>
    <row r="272" ht="15.75" customHeight="1">
      <c r="A272" s="35"/>
      <c r="B272" s="57"/>
      <c r="C272" s="35"/>
      <c r="D272" s="26"/>
      <c r="E272" s="26"/>
      <c r="F272" s="51"/>
      <c r="G272" s="51"/>
      <c r="H272" s="51"/>
      <c r="I272" s="18"/>
      <c r="J272" s="18"/>
      <c r="K272" s="35"/>
      <c r="L272" s="35"/>
      <c r="M272" s="35"/>
      <c r="N272" s="35"/>
      <c r="O272" s="35"/>
      <c r="P272" s="35"/>
      <c r="Q272" s="35"/>
      <c r="R272" s="35"/>
      <c r="S272" s="35"/>
      <c r="T272" s="35"/>
      <c r="U272" s="35"/>
      <c r="V272" s="35"/>
      <c r="W272" s="35"/>
      <c r="X272" s="35"/>
      <c r="Y272" s="35"/>
      <c r="Z272" s="35"/>
      <c r="AA272" s="35"/>
    </row>
    <row r="273" ht="15.75" customHeight="1">
      <c r="A273" s="35"/>
      <c r="B273" s="57"/>
      <c r="C273" s="35"/>
      <c r="D273" s="26"/>
      <c r="E273" s="26"/>
      <c r="F273" s="51"/>
      <c r="G273" s="51"/>
      <c r="H273" s="51"/>
      <c r="I273" s="18"/>
      <c r="J273" s="18"/>
      <c r="K273" s="35"/>
      <c r="L273" s="35"/>
      <c r="M273" s="35"/>
      <c r="N273" s="35"/>
      <c r="O273" s="35"/>
      <c r="P273" s="35"/>
      <c r="Q273" s="35"/>
      <c r="R273" s="35"/>
      <c r="S273" s="35"/>
      <c r="T273" s="35"/>
      <c r="U273" s="35"/>
      <c r="V273" s="35"/>
      <c r="W273" s="35"/>
      <c r="X273" s="35"/>
      <c r="Y273" s="35"/>
      <c r="Z273" s="35"/>
      <c r="AA273" s="35"/>
    </row>
    <row r="274" ht="15.75" customHeight="1">
      <c r="A274" s="35"/>
      <c r="B274" s="57"/>
      <c r="C274" s="35"/>
      <c r="D274" s="26"/>
      <c r="E274" s="26"/>
      <c r="F274" s="51"/>
      <c r="G274" s="51"/>
      <c r="H274" s="51"/>
      <c r="I274" s="18"/>
      <c r="J274" s="18"/>
      <c r="K274" s="35"/>
      <c r="L274" s="35"/>
      <c r="M274" s="35"/>
      <c r="N274" s="35"/>
      <c r="O274" s="35"/>
      <c r="P274" s="35"/>
      <c r="Q274" s="35"/>
      <c r="R274" s="35"/>
      <c r="S274" s="35"/>
      <c r="T274" s="35"/>
      <c r="U274" s="35"/>
      <c r="V274" s="35"/>
      <c r="W274" s="35"/>
      <c r="X274" s="35"/>
      <c r="Y274" s="35"/>
      <c r="Z274" s="35"/>
      <c r="AA274" s="35"/>
    </row>
    <row r="275" ht="15.75" customHeight="1">
      <c r="A275" s="35"/>
      <c r="B275" s="57"/>
      <c r="C275" s="35"/>
      <c r="D275" s="26"/>
      <c r="E275" s="26"/>
      <c r="F275" s="51"/>
      <c r="G275" s="51"/>
      <c r="H275" s="51"/>
      <c r="I275" s="18"/>
      <c r="J275" s="18"/>
      <c r="K275" s="35"/>
      <c r="L275" s="35"/>
      <c r="M275" s="35"/>
      <c r="N275" s="35"/>
      <c r="O275" s="35"/>
      <c r="P275" s="35"/>
      <c r="Q275" s="35"/>
      <c r="R275" s="35"/>
      <c r="S275" s="35"/>
      <c r="T275" s="35"/>
      <c r="U275" s="35"/>
      <c r="V275" s="35"/>
      <c r="W275" s="35"/>
      <c r="X275" s="35"/>
      <c r="Y275" s="35"/>
      <c r="Z275" s="35"/>
      <c r="AA275" s="35"/>
    </row>
    <row r="276" ht="15.75" customHeight="1">
      <c r="A276" s="35"/>
      <c r="B276" s="57"/>
      <c r="C276" s="35"/>
      <c r="D276" s="26"/>
      <c r="E276" s="26"/>
      <c r="F276" s="51"/>
      <c r="G276" s="51"/>
      <c r="H276" s="51"/>
      <c r="I276" s="18"/>
      <c r="J276" s="18"/>
      <c r="K276" s="35"/>
      <c r="L276" s="35"/>
      <c r="M276" s="35"/>
      <c r="N276" s="35"/>
      <c r="O276" s="35"/>
      <c r="P276" s="35"/>
      <c r="Q276" s="35"/>
      <c r="R276" s="35"/>
      <c r="S276" s="35"/>
      <c r="T276" s="35"/>
      <c r="U276" s="35"/>
      <c r="V276" s="35"/>
      <c r="W276" s="35"/>
      <c r="X276" s="35"/>
      <c r="Y276" s="35"/>
      <c r="Z276" s="35"/>
      <c r="AA276" s="35"/>
    </row>
    <row r="277" ht="15.75" customHeight="1">
      <c r="A277" s="35"/>
      <c r="B277" s="57"/>
      <c r="C277" s="35"/>
      <c r="D277" s="26"/>
      <c r="E277" s="26"/>
      <c r="F277" s="51"/>
      <c r="G277" s="51"/>
      <c r="H277" s="51"/>
      <c r="I277" s="18"/>
      <c r="J277" s="18"/>
      <c r="K277" s="35"/>
      <c r="L277" s="35"/>
      <c r="M277" s="35"/>
      <c r="N277" s="35"/>
      <c r="O277" s="35"/>
      <c r="P277" s="35"/>
      <c r="Q277" s="35"/>
      <c r="R277" s="35"/>
      <c r="S277" s="35"/>
      <c r="T277" s="35"/>
      <c r="U277" s="35"/>
      <c r="V277" s="35"/>
      <c r="W277" s="35"/>
      <c r="X277" s="35"/>
      <c r="Y277" s="35"/>
      <c r="Z277" s="35"/>
      <c r="AA277" s="35"/>
    </row>
    <row r="278" ht="15.75" customHeight="1">
      <c r="A278" s="35"/>
      <c r="B278" s="57"/>
      <c r="C278" s="35"/>
      <c r="D278" s="26"/>
      <c r="E278" s="26"/>
      <c r="F278" s="51"/>
      <c r="G278" s="51"/>
      <c r="H278" s="51"/>
      <c r="I278" s="18"/>
      <c r="J278" s="18"/>
      <c r="K278" s="35"/>
      <c r="L278" s="35"/>
      <c r="M278" s="35"/>
      <c r="N278" s="35"/>
      <c r="O278" s="35"/>
      <c r="P278" s="35"/>
      <c r="Q278" s="35"/>
      <c r="R278" s="35"/>
      <c r="S278" s="35"/>
      <c r="T278" s="35"/>
      <c r="U278" s="35"/>
      <c r="V278" s="35"/>
      <c r="W278" s="35"/>
      <c r="X278" s="35"/>
      <c r="Y278" s="35"/>
      <c r="Z278" s="35"/>
      <c r="AA278" s="35"/>
    </row>
    <row r="279" ht="15.75" customHeight="1">
      <c r="A279" s="35"/>
      <c r="B279" s="57"/>
      <c r="C279" s="35"/>
      <c r="D279" s="26"/>
      <c r="E279" s="26"/>
      <c r="F279" s="51"/>
      <c r="G279" s="51"/>
      <c r="H279" s="51"/>
      <c r="I279" s="18"/>
      <c r="J279" s="18"/>
      <c r="K279" s="35"/>
      <c r="L279" s="35"/>
      <c r="M279" s="35"/>
      <c r="N279" s="35"/>
      <c r="O279" s="35"/>
      <c r="P279" s="35"/>
      <c r="Q279" s="35"/>
      <c r="R279" s="35"/>
      <c r="S279" s="35"/>
      <c r="T279" s="35"/>
      <c r="U279" s="35"/>
      <c r="V279" s="35"/>
      <c r="W279" s="35"/>
      <c r="X279" s="35"/>
      <c r="Y279" s="35"/>
      <c r="Z279" s="35"/>
      <c r="AA279" s="35"/>
    </row>
    <row r="280" ht="15.75" customHeight="1">
      <c r="A280" s="35"/>
      <c r="B280" s="57"/>
      <c r="C280" s="35"/>
      <c r="D280" s="26"/>
      <c r="E280" s="26"/>
      <c r="F280" s="51"/>
      <c r="G280" s="51"/>
      <c r="H280" s="51"/>
      <c r="I280" s="18"/>
      <c r="J280" s="18"/>
      <c r="K280" s="35"/>
      <c r="L280" s="35"/>
      <c r="M280" s="35"/>
      <c r="N280" s="35"/>
      <c r="O280" s="35"/>
      <c r="P280" s="35"/>
      <c r="Q280" s="35"/>
      <c r="R280" s="35"/>
      <c r="S280" s="35"/>
      <c r="T280" s="35"/>
      <c r="U280" s="35"/>
      <c r="V280" s="35"/>
      <c r="W280" s="35"/>
      <c r="X280" s="35"/>
      <c r="Y280" s="35"/>
      <c r="Z280" s="35"/>
      <c r="AA280" s="35"/>
    </row>
    <row r="281" ht="15.75" customHeight="1">
      <c r="A281" s="35"/>
      <c r="B281" s="57"/>
      <c r="C281" s="35"/>
      <c r="D281" s="26"/>
      <c r="E281" s="26"/>
      <c r="F281" s="51"/>
      <c r="G281" s="51"/>
      <c r="H281" s="51"/>
      <c r="I281" s="18"/>
      <c r="J281" s="18"/>
      <c r="K281" s="35"/>
      <c r="L281" s="35"/>
      <c r="M281" s="35"/>
      <c r="N281" s="35"/>
      <c r="O281" s="35"/>
      <c r="P281" s="35"/>
      <c r="Q281" s="35"/>
      <c r="R281" s="35"/>
      <c r="S281" s="35"/>
      <c r="T281" s="35"/>
      <c r="U281" s="35"/>
      <c r="V281" s="35"/>
      <c r="W281" s="35"/>
      <c r="X281" s="35"/>
      <c r="Y281" s="35"/>
      <c r="Z281" s="35"/>
      <c r="AA281" s="35"/>
    </row>
    <row r="282" ht="15.75" customHeight="1">
      <c r="A282" s="35"/>
      <c r="B282" s="57"/>
      <c r="C282" s="35"/>
      <c r="D282" s="26"/>
      <c r="E282" s="26"/>
      <c r="F282" s="51"/>
      <c r="G282" s="51"/>
      <c r="H282" s="51"/>
      <c r="I282" s="18"/>
      <c r="J282" s="18"/>
      <c r="K282" s="35"/>
      <c r="L282" s="35"/>
      <c r="M282" s="35"/>
      <c r="N282" s="35"/>
      <c r="O282" s="35"/>
      <c r="P282" s="35"/>
      <c r="Q282" s="35"/>
      <c r="R282" s="35"/>
      <c r="S282" s="35"/>
      <c r="T282" s="35"/>
      <c r="U282" s="35"/>
      <c r="V282" s="35"/>
      <c r="W282" s="35"/>
      <c r="X282" s="35"/>
      <c r="Y282" s="35"/>
      <c r="Z282" s="35"/>
      <c r="AA282" s="35"/>
    </row>
    <row r="283" ht="15.75" customHeight="1">
      <c r="A283" s="35"/>
      <c r="B283" s="57"/>
      <c r="C283" s="35"/>
      <c r="D283" s="26"/>
      <c r="E283" s="26"/>
      <c r="F283" s="51"/>
      <c r="G283" s="51"/>
      <c r="H283" s="51"/>
      <c r="I283" s="18"/>
      <c r="J283" s="18"/>
      <c r="K283" s="35"/>
      <c r="L283" s="35"/>
      <c r="M283" s="35"/>
      <c r="N283" s="35"/>
      <c r="O283" s="35"/>
      <c r="P283" s="35"/>
      <c r="Q283" s="35"/>
      <c r="R283" s="35"/>
      <c r="S283" s="35"/>
      <c r="T283" s="35"/>
      <c r="U283" s="35"/>
      <c r="V283" s="35"/>
      <c r="W283" s="35"/>
      <c r="X283" s="35"/>
      <c r="Y283" s="35"/>
      <c r="Z283" s="35"/>
      <c r="AA283" s="35"/>
    </row>
    <row r="284" ht="15.75" customHeight="1">
      <c r="A284" s="35"/>
      <c r="B284" s="57"/>
      <c r="C284" s="35"/>
      <c r="D284" s="26"/>
      <c r="E284" s="26"/>
      <c r="F284" s="51"/>
      <c r="G284" s="51"/>
      <c r="H284" s="51"/>
      <c r="I284" s="18"/>
      <c r="J284" s="18"/>
      <c r="K284" s="35"/>
      <c r="L284" s="35"/>
      <c r="M284" s="35"/>
      <c r="N284" s="35"/>
      <c r="O284" s="35"/>
      <c r="P284" s="35"/>
      <c r="Q284" s="35"/>
      <c r="R284" s="35"/>
      <c r="S284" s="35"/>
      <c r="T284" s="35"/>
      <c r="U284" s="35"/>
      <c r="V284" s="35"/>
      <c r="W284" s="35"/>
      <c r="X284" s="35"/>
      <c r="Y284" s="35"/>
      <c r="Z284" s="35"/>
      <c r="AA284" s="35"/>
    </row>
    <row r="285" ht="15.75" customHeight="1">
      <c r="A285" s="35"/>
      <c r="B285" s="57"/>
      <c r="C285" s="35"/>
      <c r="D285" s="26"/>
      <c r="E285" s="26"/>
      <c r="F285" s="51"/>
      <c r="G285" s="51"/>
      <c r="H285" s="51"/>
      <c r="I285" s="18"/>
      <c r="J285" s="18"/>
      <c r="K285" s="35"/>
      <c r="L285" s="35"/>
      <c r="M285" s="35"/>
      <c r="N285" s="35"/>
      <c r="O285" s="35"/>
      <c r="P285" s="35"/>
      <c r="Q285" s="35"/>
      <c r="R285" s="35"/>
      <c r="S285" s="35"/>
      <c r="T285" s="35"/>
      <c r="U285" s="35"/>
      <c r="V285" s="35"/>
      <c r="W285" s="35"/>
      <c r="X285" s="35"/>
      <c r="Y285" s="35"/>
      <c r="Z285" s="35"/>
      <c r="AA285" s="35"/>
    </row>
    <row r="286" ht="15.75" customHeight="1">
      <c r="A286" s="35"/>
      <c r="B286" s="57"/>
      <c r="C286" s="35"/>
      <c r="D286" s="26"/>
      <c r="E286" s="26"/>
      <c r="F286" s="51"/>
      <c r="G286" s="51"/>
      <c r="H286" s="51"/>
      <c r="I286" s="18"/>
      <c r="J286" s="18"/>
      <c r="K286" s="35"/>
      <c r="L286" s="35"/>
      <c r="M286" s="35"/>
      <c r="N286" s="35"/>
      <c r="O286" s="35"/>
      <c r="P286" s="35"/>
      <c r="Q286" s="35"/>
      <c r="R286" s="35"/>
      <c r="S286" s="35"/>
      <c r="T286" s="35"/>
      <c r="U286" s="35"/>
      <c r="V286" s="35"/>
      <c r="W286" s="35"/>
      <c r="X286" s="35"/>
      <c r="Y286" s="35"/>
      <c r="Z286" s="35"/>
      <c r="AA286" s="35"/>
    </row>
    <row r="287" ht="15.75" customHeight="1">
      <c r="A287" s="35"/>
      <c r="B287" s="57"/>
      <c r="C287" s="35"/>
      <c r="D287" s="26"/>
      <c r="E287" s="26"/>
      <c r="F287" s="51"/>
      <c r="G287" s="51"/>
      <c r="H287" s="51"/>
      <c r="I287" s="18"/>
      <c r="J287" s="18"/>
      <c r="K287" s="35"/>
      <c r="L287" s="35"/>
      <c r="M287" s="35"/>
      <c r="N287" s="35"/>
      <c r="O287" s="35"/>
      <c r="P287" s="35"/>
      <c r="Q287" s="35"/>
      <c r="R287" s="35"/>
      <c r="S287" s="35"/>
      <c r="T287" s="35"/>
      <c r="U287" s="35"/>
      <c r="V287" s="35"/>
      <c r="W287" s="35"/>
      <c r="X287" s="35"/>
      <c r="Y287" s="35"/>
      <c r="Z287" s="35"/>
      <c r="AA287" s="35"/>
    </row>
    <row r="288" ht="15.75" customHeight="1">
      <c r="B288" s="120"/>
      <c r="D288" s="121"/>
      <c r="E288" s="58"/>
      <c r="F288" s="58"/>
      <c r="G288" s="58"/>
      <c r="H288" s="58"/>
      <c r="I288" s="120"/>
      <c r="J288" s="120"/>
    </row>
    <row r="289" ht="15.75" customHeight="1">
      <c r="B289" s="120"/>
      <c r="D289" s="121"/>
      <c r="E289" s="58"/>
      <c r="F289" s="58"/>
      <c r="G289" s="58"/>
      <c r="H289" s="58"/>
      <c r="I289" s="120"/>
      <c r="J289" s="120"/>
    </row>
    <row r="290" ht="15.75" customHeight="1">
      <c r="B290" s="120"/>
      <c r="D290" s="121"/>
      <c r="E290" s="58"/>
      <c r="F290" s="58"/>
      <c r="G290" s="58"/>
      <c r="H290" s="58"/>
      <c r="I290" s="120"/>
      <c r="J290" s="120"/>
    </row>
    <row r="291" ht="15.75" customHeight="1">
      <c r="B291" s="120"/>
      <c r="D291" s="121"/>
      <c r="E291" s="58"/>
      <c r="F291" s="58"/>
      <c r="G291" s="58"/>
      <c r="H291" s="58"/>
      <c r="I291" s="120"/>
      <c r="J291" s="120"/>
    </row>
    <row r="292" ht="15.75" customHeight="1">
      <c r="D292" s="121"/>
    </row>
    <row r="293" ht="15.75" customHeight="1">
      <c r="D293" s="121"/>
    </row>
    <row r="294" ht="15.75" customHeight="1">
      <c r="D294" s="121"/>
    </row>
    <row r="295" ht="15.75" customHeight="1">
      <c r="D295" s="121"/>
    </row>
    <row r="296" ht="15.75" customHeight="1">
      <c r="D296" s="121"/>
    </row>
    <row r="297" ht="15.75" customHeight="1">
      <c r="D297" s="121"/>
    </row>
    <row r="298" ht="15.75" customHeight="1">
      <c r="D298" s="121"/>
    </row>
    <row r="299" ht="15.75" customHeight="1">
      <c r="D299" s="121"/>
    </row>
    <row r="300" ht="15.75" customHeight="1">
      <c r="D300" s="121"/>
    </row>
    <row r="301" ht="15.75" customHeight="1">
      <c r="D301" s="121"/>
    </row>
    <row r="302" ht="15.75" customHeight="1">
      <c r="D302" s="121"/>
    </row>
    <row r="303" ht="15.75" customHeight="1">
      <c r="D303" s="121"/>
    </row>
    <row r="304" ht="15.75" customHeight="1">
      <c r="D304" s="121"/>
    </row>
    <row r="305" ht="15.75" customHeight="1">
      <c r="D305" s="121"/>
    </row>
    <row r="306" ht="15.75" customHeight="1">
      <c r="D306" s="121"/>
    </row>
    <row r="307" ht="15.75" customHeight="1">
      <c r="D307" s="121"/>
    </row>
    <row r="308" ht="15.75" customHeight="1">
      <c r="D308" s="121"/>
    </row>
    <row r="309" ht="15.75" customHeight="1">
      <c r="D309" s="121"/>
    </row>
    <row r="310" ht="15.75" customHeight="1">
      <c r="D310" s="121"/>
    </row>
    <row r="311" ht="15.75" customHeight="1">
      <c r="D311" s="121"/>
    </row>
    <row r="312" ht="15.75" customHeight="1">
      <c r="D312" s="121"/>
    </row>
    <row r="313" ht="15.75" customHeight="1">
      <c r="D313" s="121"/>
    </row>
    <row r="314" ht="15.75" customHeight="1">
      <c r="D314" s="121"/>
    </row>
    <row r="315" ht="15.75" customHeight="1">
      <c r="D315" s="121"/>
    </row>
    <row r="316" ht="15.75" customHeight="1">
      <c r="D316" s="121"/>
    </row>
    <row r="317" ht="15.75" customHeight="1">
      <c r="D317" s="121"/>
    </row>
    <row r="318" ht="15.75" customHeight="1">
      <c r="D318" s="121"/>
    </row>
    <row r="319" ht="15.75" customHeight="1">
      <c r="D319" s="121"/>
    </row>
    <row r="320" ht="15.75" customHeight="1">
      <c r="D320" s="121"/>
    </row>
    <row r="321" ht="15.75" customHeight="1">
      <c r="D321" s="121"/>
    </row>
    <row r="322" ht="15.75" customHeight="1">
      <c r="D322" s="121"/>
    </row>
    <row r="323" ht="15.75" customHeight="1">
      <c r="D323" s="121"/>
    </row>
    <row r="324" ht="15.75" customHeight="1">
      <c r="D324" s="121"/>
    </row>
    <row r="325" ht="15.75" customHeight="1">
      <c r="D325" s="121"/>
    </row>
    <row r="326" ht="15.75" customHeight="1">
      <c r="D326" s="121"/>
    </row>
    <row r="327" ht="15.75" customHeight="1">
      <c r="D327" s="121"/>
    </row>
    <row r="328" ht="15.75" customHeight="1">
      <c r="D328" s="121"/>
    </row>
    <row r="329" ht="15.75" customHeight="1">
      <c r="D329" s="121"/>
    </row>
    <row r="330" ht="15.75" customHeight="1">
      <c r="D330" s="121"/>
    </row>
    <row r="331" ht="15.75" customHeight="1">
      <c r="D331" s="121"/>
    </row>
    <row r="332" ht="15.75" customHeight="1">
      <c r="D332" s="121"/>
    </row>
    <row r="333" ht="15.75" customHeight="1">
      <c r="D333" s="121"/>
    </row>
    <row r="334" ht="15.75" customHeight="1">
      <c r="D334" s="121"/>
    </row>
    <row r="335" ht="15.75" customHeight="1">
      <c r="D335" s="121"/>
    </row>
    <row r="336" ht="15.75" customHeight="1">
      <c r="D336" s="121"/>
    </row>
    <row r="337" ht="15.75" customHeight="1">
      <c r="D337" s="121"/>
    </row>
    <row r="338" ht="15.75" customHeight="1">
      <c r="D338" s="121"/>
    </row>
    <row r="339" ht="15.75" customHeight="1">
      <c r="D339" s="121"/>
    </row>
    <row r="340" ht="15.75" customHeight="1">
      <c r="D340" s="121"/>
    </row>
    <row r="341" ht="15.75" customHeight="1">
      <c r="D341" s="121"/>
    </row>
    <row r="342" ht="15.75" customHeight="1">
      <c r="D342" s="121"/>
    </row>
    <row r="343" ht="15.75" customHeight="1">
      <c r="D343" s="121"/>
    </row>
    <row r="344" ht="15.75" customHeight="1">
      <c r="D344" s="121"/>
    </row>
    <row r="345" ht="15.75" customHeight="1">
      <c r="D345" s="121"/>
    </row>
    <row r="346" ht="15.75" customHeight="1">
      <c r="D346" s="121"/>
    </row>
    <row r="347" ht="15.75" customHeight="1">
      <c r="D347" s="121"/>
    </row>
    <row r="348" ht="15.75" customHeight="1">
      <c r="D348" s="121"/>
    </row>
    <row r="349" ht="15.75" customHeight="1">
      <c r="D349" s="121"/>
    </row>
    <row r="350" ht="15.75" customHeight="1">
      <c r="D350" s="121"/>
    </row>
    <row r="351" ht="15.75" customHeight="1">
      <c r="D351" s="121"/>
    </row>
    <row r="352" ht="15.75" customHeight="1">
      <c r="D352" s="121"/>
    </row>
    <row r="353" ht="15.75" customHeight="1">
      <c r="D353" s="121"/>
    </row>
    <row r="354" ht="15.75" customHeight="1">
      <c r="D354" s="121"/>
    </row>
    <row r="355" ht="15.75" customHeight="1">
      <c r="D355" s="121"/>
    </row>
    <row r="356" ht="15.75" customHeight="1">
      <c r="D356" s="121"/>
    </row>
    <row r="357" ht="15.75" customHeight="1">
      <c r="D357" s="121"/>
    </row>
    <row r="358" ht="15.75" customHeight="1">
      <c r="D358" s="121"/>
    </row>
    <row r="359" ht="15.75" customHeight="1">
      <c r="D359" s="121"/>
    </row>
    <row r="360" ht="15.75" customHeight="1">
      <c r="D360" s="121"/>
    </row>
    <row r="361" ht="15.75" customHeight="1">
      <c r="D361" s="121"/>
    </row>
    <row r="362" ht="15.75" customHeight="1">
      <c r="D362" s="121"/>
    </row>
    <row r="363" ht="15.75" customHeight="1">
      <c r="D363" s="121"/>
    </row>
    <row r="364" ht="15.75" customHeight="1">
      <c r="D364" s="121"/>
    </row>
    <row r="365" ht="15.75" customHeight="1">
      <c r="D365" s="121"/>
    </row>
    <row r="366" ht="15.75" customHeight="1">
      <c r="D366" s="121"/>
    </row>
    <row r="367" ht="15.75" customHeight="1">
      <c r="D367" s="121"/>
    </row>
    <row r="368" ht="15.75" customHeight="1">
      <c r="D368" s="121"/>
    </row>
    <row r="369" ht="15.75" customHeight="1">
      <c r="D369" s="121"/>
    </row>
    <row r="370" ht="15.75" customHeight="1">
      <c r="D370" s="121"/>
    </row>
    <row r="371" ht="15.75" customHeight="1">
      <c r="D371" s="121"/>
    </row>
    <row r="372" ht="15.75" customHeight="1">
      <c r="D372" s="121"/>
    </row>
    <row r="373" ht="15.75" customHeight="1">
      <c r="D373" s="121"/>
    </row>
    <row r="374" ht="15.75" customHeight="1">
      <c r="D374" s="121"/>
    </row>
    <row r="375" ht="15.75" customHeight="1">
      <c r="D375" s="121"/>
    </row>
    <row r="376" ht="15.75" customHeight="1">
      <c r="D376" s="121"/>
    </row>
    <row r="377" ht="15.75" customHeight="1">
      <c r="D377" s="121"/>
    </row>
    <row r="378" ht="15.75" customHeight="1">
      <c r="D378" s="121"/>
    </row>
    <row r="379" ht="15.75" customHeight="1">
      <c r="D379" s="121"/>
    </row>
    <row r="380" ht="15.75" customHeight="1">
      <c r="D380" s="121"/>
    </row>
    <row r="381" ht="15.75" customHeight="1">
      <c r="D381" s="121"/>
    </row>
    <row r="382" ht="15.75" customHeight="1">
      <c r="D382" s="121"/>
    </row>
    <row r="383" ht="15.75" customHeight="1">
      <c r="D383" s="121"/>
    </row>
    <row r="384" ht="15.75" customHeight="1">
      <c r="D384" s="121"/>
    </row>
    <row r="385" ht="15.75" customHeight="1">
      <c r="D385" s="121"/>
    </row>
    <row r="386" ht="15.75" customHeight="1">
      <c r="D386" s="121"/>
    </row>
    <row r="387" ht="15.75" customHeight="1">
      <c r="D387" s="121"/>
    </row>
    <row r="388" ht="15.75" customHeight="1">
      <c r="D388" s="121"/>
    </row>
    <row r="389" ht="15.75" customHeight="1">
      <c r="D389" s="121"/>
    </row>
    <row r="390" ht="15.75" customHeight="1">
      <c r="D390" s="121"/>
    </row>
    <row r="391" ht="15.75" customHeight="1">
      <c r="D391" s="121"/>
    </row>
    <row r="392" ht="15.75" customHeight="1">
      <c r="D392" s="121"/>
    </row>
    <row r="393" ht="15.75" customHeight="1">
      <c r="D393" s="121"/>
    </row>
    <row r="394" ht="15.75" customHeight="1">
      <c r="D394" s="121"/>
    </row>
    <row r="395" ht="15.75" customHeight="1">
      <c r="D395" s="121"/>
    </row>
    <row r="396" ht="15.75" customHeight="1">
      <c r="D396" s="121"/>
    </row>
    <row r="397" ht="15.75" customHeight="1">
      <c r="D397" s="121"/>
    </row>
    <row r="398" ht="15.75" customHeight="1">
      <c r="D398" s="121"/>
    </row>
    <row r="399" ht="15.75" customHeight="1">
      <c r="D399" s="121"/>
    </row>
    <row r="400" ht="15.75" customHeight="1">
      <c r="D400" s="121"/>
    </row>
    <row r="401" ht="15.75" customHeight="1">
      <c r="D401" s="121"/>
    </row>
    <row r="402" ht="15.75" customHeight="1">
      <c r="D402" s="121"/>
    </row>
    <row r="403" ht="15.75" customHeight="1">
      <c r="D403" s="121"/>
    </row>
    <row r="404" ht="15.75" customHeight="1">
      <c r="D404" s="121"/>
    </row>
    <row r="405" ht="15.75" customHeight="1">
      <c r="D405" s="121"/>
    </row>
    <row r="406" ht="15.75" customHeight="1">
      <c r="D406" s="121"/>
    </row>
    <row r="407" ht="15.75" customHeight="1">
      <c r="D407" s="121"/>
    </row>
    <row r="408" ht="15.75" customHeight="1">
      <c r="D408" s="121"/>
    </row>
    <row r="409" ht="15.75" customHeight="1">
      <c r="D409" s="121"/>
    </row>
    <row r="410" ht="15.75" customHeight="1">
      <c r="D410" s="121"/>
    </row>
    <row r="411" ht="15.75" customHeight="1">
      <c r="D411" s="121"/>
    </row>
    <row r="412" ht="15.75" customHeight="1">
      <c r="D412" s="121"/>
    </row>
    <row r="413" ht="15.75" customHeight="1">
      <c r="D413" s="121"/>
    </row>
    <row r="414" ht="15.75" customHeight="1">
      <c r="D414" s="121"/>
    </row>
    <row r="415" ht="15.75" customHeight="1">
      <c r="D415" s="121"/>
    </row>
    <row r="416" ht="15.75" customHeight="1">
      <c r="D416" s="121"/>
    </row>
    <row r="417" ht="15.75" customHeight="1">
      <c r="D417" s="121"/>
    </row>
    <row r="418" ht="15.75" customHeight="1">
      <c r="D418" s="121"/>
    </row>
    <row r="419" ht="15.75" customHeight="1">
      <c r="D419" s="121"/>
    </row>
    <row r="420" ht="15.75" customHeight="1">
      <c r="D420" s="121"/>
    </row>
    <row r="421" ht="15.75" customHeight="1">
      <c r="D421" s="121"/>
    </row>
    <row r="422" ht="15.75" customHeight="1">
      <c r="D422" s="121"/>
    </row>
    <row r="423" ht="15.75" customHeight="1">
      <c r="D423" s="121"/>
    </row>
    <row r="424" ht="15.75" customHeight="1">
      <c r="D424" s="121"/>
    </row>
    <row r="425" ht="15.75" customHeight="1">
      <c r="D425" s="121"/>
    </row>
    <row r="426" ht="15.75" customHeight="1">
      <c r="D426" s="121"/>
    </row>
    <row r="427" ht="15.75" customHeight="1">
      <c r="D427" s="121"/>
    </row>
    <row r="428" ht="15.75" customHeight="1">
      <c r="D428" s="121"/>
    </row>
    <row r="429" ht="15.75" customHeight="1">
      <c r="D429" s="121"/>
    </row>
    <row r="430" ht="15.75" customHeight="1">
      <c r="D430" s="121"/>
    </row>
    <row r="431" ht="15.75" customHeight="1">
      <c r="D431" s="121"/>
    </row>
    <row r="432" ht="15.75" customHeight="1">
      <c r="D432" s="121"/>
    </row>
    <row r="433" ht="15.75" customHeight="1">
      <c r="D433" s="121"/>
    </row>
    <row r="434" ht="15.75" customHeight="1">
      <c r="D434" s="121"/>
    </row>
    <row r="435" ht="15.75" customHeight="1">
      <c r="D435" s="121"/>
    </row>
    <row r="436" ht="15.75" customHeight="1">
      <c r="D436" s="121"/>
    </row>
    <row r="437" ht="15.75" customHeight="1">
      <c r="D437" s="121"/>
    </row>
    <row r="438" ht="15.75" customHeight="1">
      <c r="D438" s="121"/>
    </row>
    <row r="439" ht="15.75" customHeight="1">
      <c r="D439" s="121"/>
    </row>
    <row r="440" ht="15.75" customHeight="1">
      <c r="D440" s="121"/>
    </row>
    <row r="441" ht="15.75" customHeight="1">
      <c r="D441" s="121"/>
    </row>
    <row r="442" ht="15.75" customHeight="1">
      <c r="D442" s="121"/>
    </row>
    <row r="443" ht="15.75" customHeight="1">
      <c r="D443" s="121"/>
    </row>
    <row r="444" ht="15.75" customHeight="1">
      <c r="D444" s="121"/>
    </row>
    <row r="445" ht="15.75" customHeight="1">
      <c r="D445" s="121"/>
    </row>
    <row r="446" ht="15.75" customHeight="1">
      <c r="D446" s="121"/>
    </row>
    <row r="447" ht="15.75" customHeight="1">
      <c r="D447" s="121"/>
    </row>
    <row r="448" ht="15.75" customHeight="1">
      <c r="D448" s="121"/>
    </row>
    <row r="449" ht="15.75" customHeight="1">
      <c r="D449" s="121"/>
    </row>
    <row r="450" ht="15.75" customHeight="1">
      <c r="D450" s="121"/>
    </row>
    <row r="451" ht="15.75" customHeight="1">
      <c r="D451" s="121"/>
    </row>
    <row r="452" ht="15.75" customHeight="1">
      <c r="D452" s="121"/>
    </row>
    <row r="453" ht="15.75" customHeight="1">
      <c r="D453" s="121"/>
    </row>
    <row r="454" ht="15.75" customHeight="1">
      <c r="D454" s="121"/>
    </row>
    <row r="455" ht="15.75" customHeight="1">
      <c r="D455" s="121"/>
    </row>
    <row r="456" ht="15.75" customHeight="1">
      <c r="D456" s="121"/>
    </row>
    <row r="457" ht="15.75" customHeight="1">
      <c r="D457" s="121"/>
    </row>
    <row r="458" ht="15.75" customHeight="1">
      <c r="D458" s="121"/>
    </row>
    <row r="459" ht="15.75" customHeight="1">
      <c r="D459" s="121"/>
    </row>
    <row r="460" ht="15.75" customHeight="1">
      <c r="D460" s="121"/>
    </row>
    <row r="461" ht="15.75" customHeight="1">
      <c r="D461" s="121"/>
    </row>
    <row r="462" ht="15.75" customHeight="1">
      <c r="D462" s="121"/>
    </row>
    <row r="463" ht="15.75" customHeight="1">
      <c r="D463" s="121"/>
    </row>
    <row r="464" ht="15.75" customHeight="1">
      <c r="D464" s="121"/>
    </row>
    <row r="465" ht="15.75" customHeight="1">
      <c r="D465" s="121"/>
    </row>
    <row r="466" ht="15.75" customHeight="1">
      <c r="D466" s="121"/>
    </row>
    <row r="467" ht="15.75" customHeight="1">
      <c r="D467" s="121"/>
    </row>
    <row r="468" ht="15.75" customHeight="1">
      <c r="D468" s="121"/>
    </row>
    <row r="469" ht="15.75" customHeight="1">
      <c r="D469" s="121"/>
    </row>
    <row r="470" ht="15.75" customHeight="1">
      <c r="D470" s="121"/>
    </row>
    <row r="471" ht="15.75" customHeight="1">
      <c r="D471" s="121"/>
    </row>
    <row r="472" ht="15.75" customHeight="1">
      <c r="D472" s="121"/>
    </row>
    <row r="473" ht="15.75" customHeight="1">
      <c r="D473" s="121"/>
    </row>
    <row r="474" ht="15.75" customHeight="1">
      <c r="D474" s="121"/>
    </row>
    <row r="475" ht="15.75" customHeight="1">
      <c r="D475" s="121"/>
    </row>
    <row r="476" ht="15.75" customHeight="1">
      <c r="D476" s="121"/>
    </row>
    <row r="477" ht="15.75" customHeight="1">
      <c r="D477" s="121"/>
    </row>
    <row r="478" ht="15.75" customHeight="1">
      <c r="D478" s="121"/>
    </row>
    <row r="479" ht="15.75" customHeight="1">
      <c r="D479" s="121"/>
    </row>
    <row r="480" ht="15.75" customHeight="1">
      <c r="D480" s="121"/>
    </row>
    <row r="481" ht="15.75" customHeight="1">
      <c r="D481" s="121"/>
    </row>
    <row r="482" ht="15.75" customHeight="1">
      <c r="D482" s="121"/>
    </row>
    <row r="483" ht="15.75" customHeight="1">
      <c r="D483" s="121"/>
    </row>
    <row r="484" ht="15.75" customHeight="1">
      <c r="D484" s="121"/>
    </row>
    <row r="485" ht="15.75" customHeight="1">
      <c r="D485" s="121"/>
    </row>
    <row r="486" ht="15.75" customHeight="1">
      <c r="D486" s="121"/>
    </row>
    <row r="487" ht="15.75" customHeight="1">
      <c r="D487" s="121"/>
    </row>
    <row r="488" ht="15.75" customHeight="1">
      <c r="D488" s="121"/>
    </row>
    <row r="489" ht="15.75" customHeight="1">
      <c r="D489" s="121"/>
    </row>
    <row r="490" ht="15.75" customHeight="1">
      <c r="D490" s="121"/>
    </row>
    <row r="491" ht="15.75" customHeight="1">
      <c r="D491" s="121"/>
    </row>
    <row r="492" ht="15.75" customHeight="1">
      <c r="D492" s="121"/>
    </row>
    <row r="493" ht="15.75" customHeight="1">
      <c r="D493" s="121"/>
    </row>
    <row r="494" ht="15.75" customHeight="1">
      <c r="D494" s="121"/>
    </row>
    <row r="495" ht="15.75" customHeight="1">
      <c r="D495" s="121"/>
    </row>
    <row r="496" ht="15.75" customHeight="1">
      <c r="D496" s="121"/>
    </row>
    <row r="497" ht="15.75" customHeight="1">
      <c r="D497" s="121"/>
    </row>
    <row r="498" ht="15.75" customHeight="1">
      <c r="D498" s="121"/>
    </row>
    <row r="499" ht="15.75" customHeight="1">
      <c r="D499" s="121"/>
    </row>
    <row r="500" ht="15.75" customHeight="1">
      <c r="D500" s="121"/>
    </row>
    <row r="501" ht="15.75" customHeight="1">
      <c r="D501" s="121"/>
    </row>
    <row r="502" ht="15.75" customHeight="1">
      <c r="D502" s="121"/>
    </row>
    <row r="503" ht="15.75" customHeight="1">
      <c r="D503" s="121"/>
    </row>
    <row r="504" ht="15.75" customHeight="1">
      <c r="D504" s="121"/>
    </row>
    <row r="505" ht="15.75" customHeight="1">
      <c r="D505" s="121"/>
    </row>
    <row r="506" ht="15.75" customHeight="1">
      <c r="D506" s="121"/>
    </row>
    <row r="507" ht="15.75" customHeight="1">
      <c r="D507" s="121"/>
    </row>
    <row r="508" ht="15.75" customHeight="1">
      <c r="D508" s="121"/>
    </row>
    <row r="509" ht="15.75" customHeight="1">
      <c r="D509" s="121"/>
    </row>
    <row r="510" ht="15.75" customHeight="1">
      <c r="D510" s="121"/>
    </row>
    <row r="511" ht="15.75" customHeight="1">
      <c r="D511" s="121"/>
    </row>
    <row r="512" ht="15.75" customHeight="1">
      <c r="D512" s="121"/>
    </row>
    <row r="513" ht="15.75" customHeight="1">
      <c r="D513" s="121"/>
    </row>
    <row r="514" ht="15.75" customHeight="1">
      <c r="D514" s="121"/>
    </row>
    <row r="515" ht="15.75" customHeight="1">
      <c r="D515" s="121"/>
    </row>
    <row r="516" ht="15.75" customHeight="1">
      <c r="D516" s="121"/>
    </row>
    <row r="517" ht="15.75" customHeight="1">
      <c r="D517" s="121"/>
    </row>
    <row r="518" ht="15.75" customHeight="1">
      <c r="D518" s="121"/>
    </row>
    <row r="519" ht="15.75" customHeight="1">
      <c r="D519" s="121"/>
    </row>
    <row r="520" ht="15.75" customHeight="1">
      <c r="D520" s="121"/>
    </row>
    <row r="521" ht="15.75" customHeight="1">
      <c r="D521" s="121"/>
    </row>
    <row r="522" ht="15.75" customHeight="1">
      <c r="D522" s="121"/>
    </row>
    <row r="523" ht="15.75" customHeight="1">
      <c r="D523" s="121"/>
    </row>
    <row r="524" ht="15.75" customHeight="1">
      <c r="D524" s="121"/>
    </row>
    <row r="525" ht="15.75" customHeight="1">
      <c r="D525" s="121"/>
    </row>
    <row r="526" ht="15.75" customHeight="1">
      <c r="D526" s="121"/>
    </row>
    <row r="527" ht="15.75" customHeight="1">
      <c r="D527" s="121"/>
    </row>
    <row r="528" ht="15.75" customHeight="1">
      <c r="D528" s="121"/>
    </row>
    <row r="529" ht="15.75" customHeight="1">
      <c r="D529" s="121"/>
    </row>
    <row r="530" ht="15.75" customHeight="1">
      <c r="D530" s="121"/>
    </row>
    <row r="531" ht="15.75" customHeight="1">
      <c r="D531" s="121"/>
    </row>
    <row r="532" ht="15.75" customHeight="1">
      <c r="D532" s="121"/>
    </row>
    <row r="533" ht="15.75" customHeight="1">
      <c r="D533" s="121"/>
    </row>
    <row r="534" ht="15.75" customHeight="1">
      <c r="D534" s="121"/>
    </row>
    <row r="535" ht="15.75" customHeight="1">
      <c r="D535" s="121"/>
    </row>
    <row r="536" ht="15.75" customHeight="1">
      <c r="D536" s="121"/>
    </row>
    <row r="537" ht="15.75" customHeight="1">
      <c r="D537" s="121"/>
    </row>
    <row r="538" ht="15.75" customHeight="1">
      <c r="D538" s="121"/>
    </row>
    <row r="539" ht="15.75" customHeight="1">
      <c r="D539" s="121"/>
    </row>
    <row r="540" ht="15.75" customHeight="1">
      <c r="D540" s="121"/>
    </row>
    <row r="541" ht="15.75" customHeight="1">
      <c r="D541" s="121"/>
    </row>
    <row r="542" ht="15.75" customHeight="1">
      <c r="D542" s="121"/>
    </row>
    <row r="543" ht="15.75" customHeight="1">
      <c r="D543" s="121"/>
    </row>
    <row r="544" ht="15.75" customHeight="1">
      <c r="D544" s="121"/>
    </row>
    <row r="545" ht="15.75" customHeight="1">
      <c r="D545" s="121"/>
    </row>
    <row r="546" ht="15.75" customHeight="1">
      <c r="D546" s="121"/>
    </row>
    <row r="547" ht="15.75" customHeight="1">
      <c r="D547" s="121"/>
    </row>
    <row r="548" ht="15.75" customHeight="1">
      <c r="D548" s="121"/>
    </row>
    <row r="549" ht="15.75" customHeight="1">
      <c r="D549" s="121"/>
    </row>
    <row r="550" ht="15.75" customHeight="1">
      <c r="D550" s="121"/>
    </row>
    <row r="551" ht="15.75" customHeight="1">
      <c r="D551" s="121"/>
    </row>
    <row r="552" ht="15.75" customHeight="1">
      <c r="D552" s="121"/>
    </row>
    <row r="553" ht="15.75" customHeight="1">
      <c r="D553" s="121"/>
    </row>
    <row r="554" ht="15.75" customHeight="1">
      <c r="D554" s="121"/>
    </row>
    <row r="555" ht="15.75" customHeight="1">
      <c r="D555" s="121"/>
    </row>
    <row r="556" ht="15.75" customHeight="1">
      <c r="D556" s="121"/>
    </row>
    <row r="557" ht="15.75" customHeight="1">
      <c r="D557" s="121"/>
    </row>
    <row r="558" ht="15.75" customHeight="1">
      <c r="D558" s="121"/>
    </row>
    <row r="559" ht="15.75" customHeight="1">
      <c r="D559" s="121"/>
    </row>
    <row r="560" ht="15.75" customHeight="1">
      <c r="D560" s="121"/>
    </row>
    <row r="561" ht="15.75" customHeight="1">
      <c r="D561" s="121"/>
    </row>
    <row r="562" ht="15.75" customHeight="1">
      <c r="D562" s="121"/>
    </row>
    <row r="563" ht="15.75" customHeight="1">
      <c r="D563" s="121"/>
    </row>
    <row r="564" ht="15.75" customHeight="1">
      <c r="D564" s="121"/>
    </row>
    <row r="565" ht="15.75" customHeight="1">
      <c r="D565" s="121"/>
    </row>
    <row r="566" ht="15.75" customHeight="1">
      <c r="D566" s="121"/>
    </row>
    <row r="567" ht="15.75" customHeight="1">
      <c r="D567" s="121"/>
    </row>
    <row r="568" ht="15.75" customHeight="1">
      <c r="D568" s="121"/>
    </row>
    <row r="569" ht="15.75" customHeight="1">
      <c r="D569" s="121"/>
    </row>
    <row r="570" ht="15.75" customHeight="1">
      <c r="D570" s="121"/>
    </row>
    <row r="571" ht="15.75" customHeight="1">
      <c r="D571" s="121"/>
    </row>
    <row r="572" ht="15.75" customHeight="1">
      <c r="D572" s="121"/>
    </row>
    <row r="573" ht="15.75" customHeight="1">
      <c r="D573" s="121"/>
    </row>
    <row r="574" ht="15.75" customHeight="1">
      <c r="D574" s="121"/>
    </row>
    <row r="575" ht="15.75" customHeight="1">
      <c r="D575" s="121"/>
    </row>
    <row r="576" ht="15.75" customHeight="1">
      <c r="D576" s="121"/>
    </row>
    <row r="577" ht="15.75" customHeight="1">
      <c r="D577" s="121"/>
    </row>
    <row r="578" ht="15.75" customHeight="1">
      <c r="D578" s="121"/>
    </row>
    <row r="579" ht="15.75" customHeight="1">
      <c r="D579" s="121"/>
    </row>
    <row r="580" ht="15.75" customHeight="1">
      <c r="D580" s="121"/>
    </row>
    <row r="581" ht="15.75" customHeight="1">
      <c r="D581" s="121"/>
    </row>
    <row r="582" ht="15.75" customHeight="1">
      <c r="D582" s="121"/>
    </row>
    <row r="583" ht="15.75" customHeight="1">
      <c r="D583" s="121"/>
    </row>
    <row r="584" ht="15.75" customHeight="1">
      <c r="D584" s="121"/>
    </row>
    <row r="585" ht="15.75" customHeight="1">
      <c r="D585" s="121"/>
    </row>
    <row r="586" ht="15.75" customHeight="1">
      <c r="D586" s="121"/>
    </row>
    <row r="587" ht="15.75" customHeight="1">
      <c r="D587" s="121"/>
    </row>
    <row r="588" ht="15.75" customHeight="1">
      <c r="D588" s="121"/>
    </row>
    <row r="589" ht="15.75" customHeight="1">
      <c r="D589" s="121"/>
    </row>
    <row r="590" ht="15.75" customHeight="1">
      <c r="D590" s="121"/>
    </row>
    <row r="591" ht="15.75" customHeight="1">
      <c r="D591" s="121"/>
    </row>
    <row r="592" ht="15.75" customHeight="1">
      <c r="D592" s="121"/>
    </row>
    <row r="593" ht="15.75" customHeight="1">
      <c r="D593" s="121"/>
    </row>
    <row r="594" ht="15.75" customHeight="1">
      <c r="D594" s="121"/>
    </row>
    <row r="595" ht="15.75" customHeight="1">
      <c r="D595" s="121"/>
    </row>
    <row r="596" ht="15.75" customHeight="1">
      <c r="D596" s="121"/>
    </row>
    <row r="597" ht="15.75" customHeight="1">
      <c r="D597" s="121"/>
    </row>
    <row r="598" ht="15.75" customHeight="1">
      <c r="D598" s="121"/>
    </row>
    <row r="599" ht="15.75" customHeight="1">
      <c r="D599" s="121"/>
    </row>
    <row r="600" ht="15.75" customHeight="1">
      <c r="D600" s="121"/>
    </row>
    <row r="601" ht="15.75" customHeight="1">
      <c r="D601" s="121"/>
    </row>
    <row r="602" ht="15.75" customHeight="1">
      <c r="D602" s="121"/>
    </row>
    <row r="603" ht="15.75" customHeight="1">
      <c r="D603" s="121"/>
    </row>
    <row r="604" ht="15.75" customHeight="1">
      <c r="D604" s="121"/>
    </row>
    <row r="605" ht="15.75" customHeight="1">
      <c r="D605" s="121"/>
    </row>
    <row r="606" ht="15.75" customHeight="1">
      <c r="D606" s="121"/>
    </row>
    <row r="607" ht="15.75" customHeight="1">
      <c r="D607" s="121"/>
    </row>
    <row r="608" ht="15.75" customHeight="1">
      <c r="D608" s="121"/>
    </row>
    <row r="609" ht="15.75" customHeight="1">
      <c r="D609" s="121"/>
    </row>
    <row r="610" ht="15.75" customHeight="1">
      <c r="D610" s="121"/>
    </row>
    <row r="611" ht="15.75" customHeight="1">
      <c r="D611" s="121"/>
    </row>
    <row r="612" ht="15.75" customHeight="1">
      <c r="D612" s="121"/>
    </row>
    <row r="613" ht="15.75" customHeight="1">
      <c r="D613" s="121"/>
    </row>
    <row r="614" ht="15.75" customHeight="1">
      <c r="D614" s="121"/>
    </row>
    <row r="615" ht="15.75" customHeight="1">
      <c r="D615" s="121"/>
    </row>
    <row r="616" ht="15.75" customHeight="1">
      <c r="D616" s="121"/>
    </row>
    <row r="617" ht="15.75" customHeight="1">
      <c r="D617" s="121"/>
    </row>
    <row r="618" ht="15.75" customHeight="1">
      <c r="D618" s="121"/>
    </row>
    <row r="619" ht="15.75" customHeight="1">
      <c r="D619" s="121"/>
    </row>
    <row r="620" ht="15.75" customHeight="1">
      <c r="D620" s="121"/>
    </row>
    <row r="621" ht="15.75" customHeight="1">
      <c r="D621" s="121"/>
    </row>
    <row r="622" ht="15.75" customHeight="1">
      <c r="D622" s="121"/>
    </row>
    <row r="623" ht="15.75" customHeight="1">
      <c r="D623" s="121"/>
    </row>
    <row r="624" ht="15.75" customHeight="1">
      <c r="D624" s="121"/>
    </row>
    <row r="625" ht="15.75" customHeight="1">
      <c r="D625" s="121"/>
    </row>
    <row r="626" ht="15.75" customHeight="1">
      <c r="D626" s="121"/>
    </row>
    <row r="627" ht="15.75" customHeight="1">
      <c r="D627" s="121"/>
    </row>
    <row r="628" ht="15.75" customHeight="1">
      <c r="D628" s="121"/>
    </row>
    <row r="629" ht="15.75" customHeight="1">
      <c r="D629" s="121"/>
    </row>
    <row r="630" ht="15.75" customHeight="1">
      <c r="D630" s="121"/>
    </row>
    <row r="631" ht="15.75" customHeight="1">
      <c r="D631" s="121"/>
    </row>
    <row r="632" ht="15.75" customHeight="1">
      <c r="D632" s="121"/>
    </row>
    <row r="633" ht="15.75" customHeight="1">
      <c r="D633" s="121"/>
    </row>
    <row r="634" ht="15.75" customHeight="1">
      <c r="D634" s="121"/>
    </row>
    <row r="635" ht="15.75" customHeight="1">
      <c r="D635" s="121"/>
    </row>
    <row r="636" ht="15.75" customHeight="1">
      <c r="D636" s="121"/>
    </row>
    <row r="637" ht="15.75" customHeight="1">
      <c r="D637" s="121"/>
    </row>
    <row r="638" ht="15.75" customHeight="1">
      <c r="D638" s="121"/>
    </row>
    <row r="639" ht="15.75" customHeight="1">
      <c r="D639" s="121"/>
    </row>
    <row r="640" ht="15.75" customHeight="1">
      <c r="D640" s="121"/>
    </row>
    <row r="641" ht="15.75" customHeight="1">
      <c r="D641" s="121"/>
    </row>
    <row r="642" ht="15.75" customHeight="1">
      <c r="D642" s="121"/>
    </row>
    <row r="643" ht="15.75" customHeight="1">
      <c r="D643" s="121"/>
    </row>
    <row r="644" ht="15.75" customHeight="1">
      <c r="D644" s="121"/>
    </row>
    <row r="645" ht="15.75" customHeight="1">
      <c r="D645" s="121"/>
    </row>
    <row r="646" ht="15.75" customHeight="1">
      <c r="D646" s="121"/>
    </row>
    <row r="647" ht="15.75" customHeight="1">
      <c r="D647" s="121"/>
    </row>
    <row r="648" ht="15.75" customHeight="1">
      <c r="D648" s="121"/>
    </row>
    <row r="649" ht="15.75" customHeight="1">
      <c r="D649" s="121"/>
    </row>
    <row r="650" ht="15.75" customHeight="1">
      <c r="D650" s="121"/>
    </row>
    <row r="651" ht="15.75" customHeight="1">
      <c r="D651" s="121"/>
    </row>
    <row r="652" ht="15.75" customHeight="1">
      <c r="D652" s="121"/>
    </row>
    <row r="653" ht="15.75" customHeight="1">
      <c r="D653" s="121"/>
    </row>
    <row r="654" ht="15.75" customHeight="1">
      <c r="D654" s="121"/>
    </row>
    <row r="655" ht="15.75" customHeight="1">
      <c r="D655" s="121"/>
    </row>
    <row r="656" ht="15.75" customHeight="1">
      <c r="D656" s="121"/>
    </row>
    <row r="657" ht="15.75" customHeight="1">
      <c r="D657" s="121"/>
    </row>
    <row r="658" ht="15.75" customHeight="1">
      <c r="D658" s="121"/>
    </row>
    <row r="659" ht="15.75" customHeight="1">
      <c r="D659" s="121"/>
    </row>
    <row r="660" ht="15.75" customHeight="1">
      <c r="D660" s="121"/>
    </row>
    <row r="661" ht="15.75" customHeight="1">
      <c r="D661" s="121"/>
    </row>
    <row r="662" ht="15.75" customHeight="1">
      <c r="D662" s="121"/>
    </row>
    <row r="663" ht="15.75" customHeight="1">
      <c r="D663" s="121"/>
    </row>
    <row r="664" ht="15.75" customHeight="1">
      <c r="D664" s="121"/>
    </row>
    <row r="665" ht="15.75" customHeight="1">
      <c r="D665" s="121"/>
    </row>
    <row r="666" ht="15.75" customHeight="1">
      <c r="D666" s="121"/>
    </row>
    <row r="667" ht="15.75" customHeight="1">
      <c r="D667" s="121"/>
    </row>
    <row r="668" ht="15.75" customHeight="1">
      <c r="D668" s="121"/>
    </row>
    <row r="669" ht="15.75" customHeight="1">
      <c r="D669" s="121"/>
    </row>
    <row r="670" ht="15.75" customHeight="1">
      <c r="D670" s="121"/>
    </row>
    <row r="671" ht="15.75" customHeight="1">
      <c r="D671" s="121"/>
    </row>
    <row r="672" ht="15.75" customHeight="1">
      <c r="D672" s="121"/>
    </row>
    <row r="673" ht="15.75" customHeight="1">
      <c r="D673" s="121"/>
    </row>
    <row r="674" ht="15.75" customHeight="1">
      <c r="D674" s="121"/>
    </row>
    <row r="675" ht="15.75" customHeight="1">
      <c r="D675" s="121"/>
    </row>
    <row r="676" ht="15.75" customHeight="1">
      <c r="D676" s="121"/>
    </row>
    <row r="677" ht="15.75" customHeight="1">
      <c r="D677" s="121"/>
    </row>
    <row r="678" ht="15.75" customHeight="1">
      <c r="D678" s="121"/>
    </row>
    <row r="679" ht="15.75" customHeight="1">
      <c r="D679" s="121"/>
    </row>
    <row r="680" ht="15.75" customHeight="1">
      <c r="D680" s="121"/>
    </row>
    <row r="681" ht="15.75" customHeight="1">
      <c r="D681" s="121"/>
    </row>
    <row r="682" ht="15.75" customHeight="1">
      <c r="D682" s="121"/>
    </row>
    <row r="683" ht="15.75" customHeight="1">
      <c r="D683" s="121"/>
    </row>
    <row r="684" ht="15.75" customHeight="1">
      <c r="D684" s="121"/>
    </row>
    <row r="685" ht="15.75" customHeight="1">
      <c r="D685" s="121"/>
    </row>
    <row r="686" ht="15.75" customHeight="1">
      <c r="D686" s="121"/>
    </row>
    <row r="687" ht="15.75" customHeight="1">
      <c r="D687" s="121"/>
    </row>
    <row r="688" ht="15.75" customHeight="1">
      <c r="D688" s="121"/>
    </row>
    <row r="689" ht="15.75" customHeight="1">
      <c r="D689" s="121"/>
    </row>
    <row r="690" ht="15.75" customHeight="1">
      <c r="D690" s="121"/>
    </row>
    <row r="691" ht="15.75" customHeight="1">
      <c r="D691" s="121"/>
    </row>
    <row r="692" ht="15.75" customHeight="1">
      <c r="D692" s="121"/>
    </row>
    <row r="693" ht="15.75" customHeight="1">
      <c r="D693" s="121"/>
    </row>
    <row r="694" ht="15.75" customHeight="1">
      <c r="D694" s="121"/>
    </row>
    <row r="695" ht="15.75" customHeight="1">
      <c r="D695" s="121"/>
    </row>
    <row r="696" ht="15.75" customHeight="1">
      <c r="D696" s="121"/>
    </row>
    <row r="697" ht="15.75" customHeight="1">
      <c r="D697" s="121"/>
    </row>
    <row r="698" ht="15.75" customHeight="1">
      <c r="D698" s="121"/>
    </row>
    <row r="699" ht="15.75" customHeight="1">
      <c r="D699" s="121"/>
    </row>
    <row r="700" ht="15.75" customHeight="1">
      <c r="D700" s="121"/>
    </row>
    <row r="701" ht="15.75" customHeight="1">
      <c r="D701" s="121"/>
    </row>
    <row r="702" ht="15.75" customHeight="1">
      <c r="D702" s="121"/>
    </row>
    <row r="703" ht="15.75" customHeight="1">
      <c r="D703" s="121"/>
    </row>
    <row r="704" ht="15.75" customHeight="1">
      <c r="D704" s="121"/>
    </row>
    <row r="705" ht="15.75" customHeight="1">
      <c r="D705" s="121"/>
    </row>
    <row r="706" ht="15.75" customHeight="1">
      <c r="D706" s="121"/>
    </row>
    <row r="707" ht="15.75" customHeight="1">
      <c r="D707" s="121"/>
    </row>
    <row r="708" ht="15.75" customHeight="1">
      <c r="D708" s="121"/>
    </row>
    <row r="709" ht="15.75" customHeight="1">
      <c r="D709" s="121"/>
    </row>
    <row r="710" ht="15.75" customHeight="1">
      <c r="D710" s="121"/>
    </row>
    <row r="711" ht="15.75" customHeight="1">
      <c r="D711" s="121"/>
    </row>
    <row r="712" ht="15.75" customHeight="1">
      <c r="D712" s="121"/>
    </row>
    <row r="713" ht="15.75" customHeight="1">
      <c r="D713" s="121"/>
    </row>
    <row r="714" ht="15.75" customHeight="1">
      <c r="D714" s="121"/>
    </row>
    <row r="715" ht="15.75" customHeight="1">
      <c r="D715" s="121"/>
    </row>
    <row r="716" ht="15.75" customHeight="1">
      <c r="D716" s="121"/>
    </row>
    <row r="717" ht="15.75" customHeight="1">
      <c r="D717" s="121"/>
    </row>
    <row r="718" ht="15.75" customHeight="1">
      <c r="D718" s="121"/>
    </row>
    <row r="719" ht="15.75" customHeight="1">
      <c r="D719" s="121"/>
    </row>
    <row r="720" ht="15.75" customHeight="1">
      <c r="D720" s="121"/>
    </row>
    <row r="721" ht="15.75" customHeight="1">
      <c r="D721" s="121"/>
    </row>
    <row r="722" ht="15.75" customHeight="1">
      <c r="D722" s="121"/>
    </row>
    <row r="723" ht="15.75" customHeight="1">
      <c r="D723" s="121"/>
    </row>
    <row r="724" ht="15.75" customHeight="1">
      <c r="D724" s="121"/>
    </row>
    <row r="725" ht="15.75" customHeight="1">
      <c r="D725" s="121"/>
    </row>
    <row r="726" ht="15.75" customHeight="1">
      <c r="D726" s="121"/>
    </row>
    <row r="727" ht="15.75" customHeight="1">
      <c r="D727" s="121"/>
    </row>
    <row r="728" ht="15.75" customHeight="1">
      <c r="D728" s="121"/>
    </row>
    <row r="729" ht="15.75" customHeight="1">
      <c r="D729" s="121"/>
    </row>
    <row r="730" ht="15.75" customHeight="1">
      <c r="D730" s="121"/>
    </row>
    <row r="731" ht="15.75" customHeight="1">
      <c r="D731" s="121"/>
    </row>
    <row r="732" ht="15.75" customHeight="1">
      <c r="D732" s="121"/>
    </row>
    <row r="733" ht="15.75" customHeight="1">
      <c r="D733" s="121"/>
    </row>
    <row r="734" ht="15.75" customHeight="1">
      <c r="D734" s="121"/>
    </row>
    <row r="735" ht="15.75" customHeight="1">
      <c r="D735" s="121"/>
    </row>
    <row r="736" ht="15.75" customHeight="1">
      <c r="D736" s="121"/>
    </row>
    <row r="737" ht="15.75" customHeight="1">
      <c r="D737" s="121"/>
    </row>
    <row r="738" ht="15.75" customHeight="1">
      <c r="D738" s="121"/>
    </row>
    <row r="739" ht="15.75" customHeight="1">
      <c r="D739" s="121"/>
    </row>
    <row r="740" ht="15.75" customHeight="1">
      <c r="D740" s="121"/>
    </row>
    <row r="741" ht="15.75" customHeight="1">
      <c r="D741" s="121"/>
    </row>
    <row r="742" ht="15.75" customHeight="1">
      <c r="D742" s="121"/>
    </row>
    <row r="743" ht="15.75" customHeight="1">
      <c r="D743" s="121"/>
    </row>
    <row r="744" ht="15.75" customHeight="1">
      <c r="D744" s="121"/>
    </row>
    <row r="745" ht="15.75" customHeight="1">
      <c r="D745" s="121"/>
    </row>
    <row r="746" ht="15.75" customHeight="1">
      <c r="D746" s="121"/>
    </row>
    <row r="747" ht="15.75" customHeight="1">
      <c r="D747" s="121"/>
    </row>
    <row r="748" ht="15.75" customHeight="1">
      <c r="D748" s="121"/>
    </row>
    <row r="749" ht="15.75" customHeight="1">
      <c r="D749" s="121"/>
    </row>
    <row r="750" ht="15.75" customHeight="1">
      <c r="D750" s="121"/>
    </row>
    <row r="751" ht="15.75" customHeight="1">
      <c r="D751" s="121"/>
    </row>
    <row r="752" ht="15.75" customHeight="1">
      <c r="D752" s="121"/>
    </row>
    <row r="753" ht="15.75" customHeight="1">
      <c r="D753" s="121"/>
    </row>
    <row r="754" ht="15.75" customHeight="1">
      <c r="D754" s="121"/>
    </row>
    <row r="755" ht="15.75" customHeight="1">
      <c r="D755" s="121"/>
    </row>
    <row r="756" ht="15.75" customHeight="1">
      <c r="D756" s="121"/>
    </row>
    <row r="757" ht="15.75" customHeight="1">
      <c r="D757" s="121"/>
    </row>
    <row r="758" ht="15.75" customHeight="1">
      <c r="D758" s="121"/>
    </row>
    <row r="759" ht="15.75" customHeight="1">
      <c r="D759" s="121"/>
    </row>
    <row r="760" ht="15.75" customHeight="1">
      <c r="D760" s="121"/>
    </row>
    <row r="761" ht="15.75" customHeight="1">
      <c r="D761" s="121"/>
    </row>
    <row r="762" ht="15.75" customHeight="1">
      <c r="D762" s="121"/>
    </row>
    <row r="763" ht="15.75" customHeight="1">
      <c r="D763" s="121"/>
    </row>
    <row r="764" ht="15.75" customHeight="1">
      <c r="D764" s="121"/>
    </row>
    <row r="765" ht="15.75" customHeight="1">
      <c r="D765" s="121"/>
    </row>
    <row r="766" ht="15.75" customHeight="1">
      <c r="D766" s="121"/>
    </row>
    <row r="767" ht="15.75" customHeight="1">
      <c r="D767" s="121"/>
    </row>
    <row r="768" ht="15.75" customHeight="1">
      <c r="D768" s="121"/>
    </row>
    <row r="769" ht="15.75" customHeight="1">
      <c r="D769" s="121"/>
    </row>
    <row r="770" ht="15.75" customHeight="1">
      <c r="D770" s="121"/>
    </row>
    <row r="771" ht="15.75" customHeight="1">
      <c r="D771" s="121"/>
    </row>
    <row r="772" ht="15.75" customHeight="1">
      <c r="D772" s="121"/>
    </row>
    <row r="773" ht="15.75" customHeight="1">
      <c r="D773" s="121"/>
    </row>
    <row r="774" ht="15.75" customHeight="1">
      <c r="D774" s="121"/>
    </row>
    <row r="775" ht="15.75" customHeight="1">
      <c r="D775" s="121"/>
    </row>
    <row r="776" ht="15.75" customHeight="1">
      <c r="D776" s="121"/>
    </row>
    <row r="777" ht="15.75" customHeight="1">
      <c r="D777" s="121"/>
    </row>
    <row r="778" ht="15.75" customHeight="1">
      <c r="D778" s="121"/>
    </row>
    <row r="779" ht="15.75" customHeight="1">
      <c r="D779" s="121"/>
    </row>
    <row r="780" ht="15.75" customHeight="1">
      <c r="D780" s="121"/>
    </row>
    <row r="781" ht="15.75" customHeight="1">
      <c r="D781" s="121"/>
    </row>
    <row r="782" ht="15.75" customHeight="1">
      <c r="D782" s="121"/>
    </row>
    <row r="783" ht="15.75" customHeight="1">
      <c r="D783" s="121"/>
    </row>
    <row r="784" ht="15.75" customHeight="1">
      <c r="D784" s="121"/>
    </row>
    <row r="785" ht="15.75" customHeight="1">
      <c r="D785" s="121"/>
    </row>
    <row r="786" ht="15.75" customHeight="1">
      <c r="D786" s="121"/>
    </row>
    <row r="787" ht="15.75" customHeight="1">
      <c r="D787" s="121"/>
    </row>
    <row r="788" ht="15.75" customHeight="1">
      <c r="D788" s="121"/>
    </row>
    <row r="789" ht="15.75" customHeight="1">
      <c r="D789" s="121"/>
    </row>
    <row r="790" ht="15.75" customHeight="1">
      <c r="D790" s="121"/>
    </row>
    <row r="791" ht="15.75" customHeight="1">
      <c r="D791" s="121"/>
    </row>
    <row r="792" ht="15.75" customHeight="1">
      <c r="D792" s="121"/>
    </row>
    <row r="793" ht="15.75" customHeight="1">
      <c r="D793" s="121"/>
    </row>
    <row r="794" ht="15.75" customHeight="1">
      <c r="D794" s="121"/>
    </row>
    <row r="795" ht="15.75" customHeight="1">
      <c r="D795" s="121"/>
    </row>
    <row r="796" ht="15.75" customHeight="1">
      <c r="D796" s="121"/>
    </row>
    <row r="797" ht="15.75" customHeight="1">
      <c r="D797" s="121"/>
    </row>
    <row r="798" ht="15.75" customHeight="1">
      <c r="D798" s="121"/>
    </row>
    <row r="799" ht="15.75" customHeight="1">
      <c r="D799" s="121"/>
    </row>
    <row r="800" ht="15.75" customHeight="1">
      <c r="D800" s="121"/>
    </row>
    <row r="801" ht="15.75" customHeight="1">
      <c r="D801" s="121"/>
    </row>
    <row r="802" ht="15.75" customHeight="1">
      <c r="D802" s="121"/>
    </row>
    <row r="803" ht="15.75" customHeight="1">
      <c r="D803" s="121"/>
    </row>
    <row r="804" ht="15.75" customHeight="1">
      <c r="D804" s="121"/>
    </row>
    <row r="805" ht="15.75" customHeight="1">
      <c r="D805" s="121"/>
    </row>
    <row r="806" ht="15.75" customHeight="1">
      <c r="D806" s="121"/>
    </row>
    <row r="807" ht="15.75" customHeight="1">
      <c r="D807" s="121"/>
    </row>
    <row r="808" ht="15.75" customHeight="1">
      <c r="D808" s="121"/>
    </row>
    <row r="809" ht="15.75" customHeight="1">
      <c r="D809" s="121"/>
    </row>
    <row r="810" ht="15.75" customHeight="1">
      <c r="D810" s="121"/>
    </row>
    <row r="811" ht="15.75" customHeight="1">
      <c r="D811" s="121"/>
    </row>
    <row r="812" ht="15.75" customHeight="1">
      <c r="D812" s="121"/>
    </row>
    <row r="813" ht="15.75" customHeight="1">
      <c r="D813" s="121"/>
    </row>
    <row r="814" ht="15.75" customHeight="1">
      <c r="D814" s="121"/>
    </row>
    <row r="815" ht="15.75" customHeight="1">
      <c r="D815" s="121"/>
    </row>
    <row r="816" ht="15.75" customHeight="1">
      <c r="D816" s="121"/>
    </row>
    <row r="817" ht="15.75" customHeight="1">
      <c r="D817" s="121"/>
    </row>
    <row r="818" ht="15.75" customHeight="1">
      <c r="D818" s="121"/>
    </row>
    <row r="819" ht="15.75" customHeight="1">
      <c r="D819" s="121"/>
    </row>
    <row r="820" ht="15.75" customHeight="1">
      <c r="D820" s="121"/>
    </row>
    <row r="821" ht="15.75" customHeight="1">
      <c r="D821" s="121"/>
    </row>
    <row r="822" ht="15.75" customHeight="1">
      <c r="D822" s="121"/>
    </row>
    <row r="823" ht="15.75" customHeight="1">
      <c r="D823" s="121"/>
    </row>
    <row r="824" ht="15.75" customHeight="1">
      <c r="D824" s="121"/>
    </row>
    <row r="825" ht="15.75" customHeight="1">
      <c r="D825" s="121"/>
    </row>
    <row r="826" ht="15.75" customHeight="1">
      <c r="D826" s="121"/>
    </row>
    <row r="827" ht="15.75" customHeight="1">
      <c r="D827" s="121"/>
    </row>
    <row r="828" ht="15.75" customHeight="1">
      <c r="D828" s="121"/>
    </row>
    <row r="829" ht="15.75" customHeight="1">
      <c r="D829" s="121"/>
    </row>
    <row r="830" ht="15.75" customHeight="1">
      <c r="D830" s="121"/>
    </row>
    <row r="831" ht="15.75" customHeight="1">
      <c r="D831" s="121"/>
    </row>
    <row r="832" ht="15.75" customHeight="1">
      <c r="D832" s="121"/>
    </row>
    <row r="833" ht="15.75" customHeight="1">
      <c r="D833" s="121"/>
    </row>
    <row r="834" ht="15.75" customHeight="1">
      <c r="D834" s="121"/>
    </row>
    <row r="835" ht="15.75" customHeight="1">
      <c r="D835" s="121"/>
    </row>
    <row r="836" ht="15.75" customHeight="1">
      <c r="D836" s="121"/>
    </row>
    <row r="837" ht="15.75" customHeight="1">
      <c r="D837" s="121"/>
    </row>
    <row r="838" ht="15.75" customHeight="1">
      <c r="D838" s="121"/>
    </row>
    <row r="839" ht="15.75" customHeight="1">
      <c r="D839" s="121"/>
    </row>
    <row r="840" ht="15.75" customHeight="1">
      <c r="D840" s="121"/>
    </row>
    <row r="841" ht="15.75" customHeight="1">
      <c r="D841" s="121"/>
    </row>
    <row r="842" ht="15.75" customHeight="1">
      <c r="D842" s="121"/>
    </row>
    <row r="843" ht="15.75" customHeight="1">
      <c r="D843" s="121"/>
    </row>
    <row r="844" ht="15.75" customHeight="1">
      <c r="D844" s="121"/>
    </row>
    <row r="845" ht="15.75" customHeight="1">
      <c r="D845" s="121"/>
    </row>
    <row r="846" ht="15.75" customHeight="1">
      <c r="D846" s="121"/>
    </row>
    <row r="847" ht="15.75" customHeight="1">
      <c r="D847" s="121"/>
    </row>
    <row r="848" ht="15.75" customHeight="1">
      <c r="D848" s="121"/>
    </row>
    <row r="849" ht="15.75" customHeight="1">
      <c r="D849" s="121"/>
    </row>
    <row r="850" ht="15.75" customHeight="1">
      <c r="D850" s="121"/>
    </row>
    <row r="851" ht="15.75" customHeight="1">
      <c r="D851" s="121"/>
    </row>
    <row r="852" ht="15.75" customHeight="1">
      <c r="D852" s="121"/>
    </row>
    <row r="853" ht="15.75" customHeight="1">
      <c r="D853" s="121"/>
    </row>
    <row r="854" ht="15.75" customHeight="1">
      <c r="D854" s="121"/>
    </row>
    <row r="855" ht="15.75" customHeight="1">
      <c r="D855" s="121"/>
    </row>
    <row r="856" ht="15.75" customHeight="1">
      <c r="D856" s="121"/>
    </row>
    <row r="857" ht="15.75" customHeight="1">
      <c r="D857" s="121"/>
    </row>
    <row r="858" ht="15.75" customHeight="1">
      <c r="D858" s="121"/>
    </row>
    <row r="859" ht="15.75" customHeight="1">
      <c r="D859" s="121"/>
    </row>
    <row r="860" ht="15.75" customHeight="1">
      <c r="D860" s="121"/>
    </row>
    <row r="861" ht="15.75" customHeight="1">
      <c r="D861" s="121"/>
    </row>
    <row r="862" ht="15.75" customHeight="1">
      <c r="D862" s="121"/>
    </row>
    <row r="863" ht="15.75" customHeight="1">
      <c r="D863" s="121"/>
    </row>
    <row r="864" ht="15.75" customHeight="1">
      <c r="D864" s="121"/>
    </row>
    <row r="865" ht="15.75" customHeight="1">
      <c r="D865" s="121"/>
    </row>
    <row r="866" ht="15.75" customHeight="1">
      <c r="D866" s="121"/>
    </row>
    <row r="867" ht="15.75" customHeight="1">
      <c r="D867" s="121"/>
    </row>
    <row r="868" ht="15.75" customHeight="1">
      <c r="D868" s="121"/>
    </row>
    <row r="869" ht="15.75" customHeight="1">
      <c r="D869" s="121"/>
    </row>
    <row r="870" ht="15.75" customHeight="1">
      <c r="D870" s="121"/>
    </row>
    <row r="871" ht="15.75" customHeight="1">
      <c r="D871" s="121"/>
    </row>
    <row r="872" ht="15.75" customHeight="1">
      <c r="D872" s="121"/>
    </row>
    <row r="873" ht="15.75" customHeight="1">
      <c r="D873" s="121"/>
    </row>
    <row r="874" ht="15.75" customHeight="1">
      <c r="D874" s="121"/>
    </row>
    <row r="875" ht="15.75" customHeight="1">
      <c r="D875" s="121"/>
    </row>
    <row r="876" ht="15.75" customHeight="1">
      <c r="D876" s="121"/>
    </row>
    <row r="877" ht="15.75" customHeight="1">
      <c r="D877" s="121"/>
    </row>
    <row r="878" ht="15.75" customHeight="1">
      <c r="D878" s="121"/>
    </row>
    <row r="879" ht="15.75" customHeight="1">
      <c r="D879" s="121"/>
    </row>
    <row r="880" ht="15.75" customHeight="1">
      <c r="D880" s="121"/>
    </row>
    <row r="881" ht="15.75" customHeight="1">
      <c r="D881" s="121"/>
    </row>
    <row r="882" ht="15.75" customHeight="1">
      <c r="D882" s="121"/>
    </row>
    <row r="883" ht="15.75" customHeight="1">
      <c r="D883" s="121"/>
    </row>
    <row r="884" ht="15.75" customHeight="1">
      <c r="D884" s="121"/>
    </row>
    <row r="885" ht="15.75" customHeight="1">
      <c r="D885" s="121"/>
    </row>
    <row r="886" ht="15.75" customHeight="1">
      <c r="D886" s="121"/>
    </row>
    <row r="887" ht="15.75" customHeight="1">
      <c r="D887" s="121"/>
    </row>
    <row r="888" ht="15.75" customHeight="1">
      <c r="D888" s="121"/>
    </row>
    <row r="889" ht="15.75" customHeight="1">
      <c r="D889" s="121"/>
    </row>
    <row r="890" ht="15.75" customHeight="1">
      <c r="D890" s="121"/>
    </row>
    <row r="891" ht="15.75" customHeight="1">
      <c r="D891" s="121"/>
    </row>
    <row r="892" ht="15.75" customHeight="1">
      <c r="D892" s="121"/>
    </row>
    <row r="893" ht="15.75" customHeight="1">
      <c r="D893" s="121"/>
    </row>
    <row r="894" ht="15.75" customHeight="1">
      <c r="D894" s="121"/>
    </row>
    <row r="895" ht="15.75" customHeight="1">
      <c r="D895" s="121"/>
    </row>
    <row r="896" ht="15.75" customHeight="1">
      <c r="D896" s="121"/>
    </row>
    <row r="897" ht="15.75" customHeight="1">
      <c r="D897" s="121"/>
    </row>
    <row r="898" ht="15.75" customHeight="1">
      <c r="D898" s="121"/>
    </row>
    <row r="899" ht="15.75" customHeight="1">
      <c r="D899" s="121"/>
    </row>
    <row r="900" ht="15.75" customHeight="1">
      <c r="D900" s="121"/>
    </row>
    <row r="901" ht="15.75" customHeight="1">
      <c r="D901" s="121"/>
    </row>
    <row r="902" ht="15.75" customHeight="1">
      <c r="D902" s="121"/>
    </row>
    <row r="903" ht="15.75" customHeight="1">
      <c r="D903" s="121"/>
    </row>
    <row r="904" ht="15.75" customHeight="1">
      <c r="D904" s="121"/>
    </row>
    <row r="905" ht="15.75" customHeight="1">
      <c r="D905" s="121"/>
    </row>
    <row r="906" ht="15.75" customHeight="1">
      <c r="D906" s="121"/>
    </row>
    <row r="907" ht="15.75" customHeight="1">
      <c r="D907" s="121"/>
    </row>
    <row r="908" ht="15.75" customHeight="1">
      <c r="D908" s="121"/>
    </row>
    <row r="909" ht="15.75" customHeight="1">
      <c r="D909" s="121"/>
    </row>
    <row r="910" ht="15.75" customHeight="1">
      <c r="D910" s="121"/>
    </row>
    <row r="911" ht="15.75" customHeight="1">
      <c r="D911" s="121"/>
    </row>
    <row r="912" ht="15.75" customHeight="1">
      <c r="D912" s="121"/>
    </row>
    <row r="913" ht="15.75" customHeight="1">
      <c r="D913" s="121"/>
    </row>
    <row r="914" ht="15.75" customHeight="1">
      <c r="D914" s="121"/>
    </row>
    <row r="915" ht="15.75" customHeight="1">
      <c r="D915" s="121"/>
    </row>
    <row r="916" ht="15.75" customHeight="1">
      <c r="D916" s="121"/>
    </row>
    <row r="917" ht="15.75" customHeight="1">
      <c r="D917" s="121"/>
    </row>
    <row r="918" ht="15.75" customHeight="1">
      <c r="D918" s="121"/>
    </row>
    <row r="919" ht="15.75" customHeight="1">
      <c r="D919" s="121"/>
    </row>
    <row r="920" ht="15.75" customHeight="1">
      <c r="D920" s="121"/>
    </row>
    <row r="921" ht="15.75" customHeight="1">
      <c r="D921" s="121"/>
    </row>
    <row r="922" ht="15.75" customHeight="1">
      <c r="D922" s="121"/>
    </row>
    <row r="923" ht="15.75" customHeight="1">
      <c r="D923" s="121"/>
    </row>
    <row r="924" ht="15.75" customHeight="1">
      <c r="D924" s="121"/>
    </row>
    <row r="925" ht="15.75" customHeight="1">
      <c r="D925" s="121"/>
    </row>
    <row r="926" ht="15.75" customHeight="1">
      <c r="D926" s="121"/>
    </row>
    <row r="927" ht="15.75" customHeight="1">
      <c r="D927" s="121"/>
    </row>
    <row r="928" ht="15.75" customHeight="1">
      <c r="D928" s="121"/>
    </row>
    <row r="929" ht="15.75" customHeight="1">
      <c r="D929" s="121"/>
    </row>
    <row r="930" ht="15.75" customHeight="1">
      <c r="D930" s="121"/>
    </row>
    <row r="931" ht="15.75" customHeight="1">
      <c r="D931" s="121"/>
    </row>
    <row r="932" ht="15.75" customHeight="1">
      <c r="D932" s="121"/>
    </row>
    <row r="933" ht="15.75" customHeight="1">
      <c r="D933" s="121"/>
    </row>
    <row r="934" ht="15.75" customHeight="1">
      <c r="D934" s="121"/>
    </row>
    <row r="935" ht="15.75" customHeight="1">
      <c r="D935" s="121"/>
    </row>
    <row r="936" ht="15.75" customHeight="1">
      <c r="D936" s="121"/>
    </row>
    <row r="937" ht="15.75" customHeight="1">
      <c r="D937" s="121"/>
    </row>
    <row r="938" ht="15.75" customHeight="1">
      <c r="D938" s="121"/>
    </row>
    <row r="939" ht="15.75" customHeight="1">
      <c r="D939" s="121"/>
    </row>
    <row r="940" ht="15.75" customHeight="1">
      <c r="D940" s="121"/>
    </row>
    <row r="941" ht="15.75" customHeight="1">
      <c r="D941" s="121"/>
    </row>
    <row r="942" ht="15.75" customHeight="1">
      <c r="D942" s="121"/>
    </row>
    <row r="943" ht="15.75" customHeight="1">
      <c r="D943" s="121"/>
    </row>
    <row r="944" ht="15.75" customHeight="1">
      <c r="D944" s="121"/>
    </row>
    <row r="945" ht="15.75" customHeight="1">
      <c r="D945" s="121"/>
    </row>
    <row r="946" ht="15.75" customHeight="1">
      <c r="D946" s="121"/>
    </row>
    <row r="947" ht="15.75" customHeight="1">
      <c r="D947" s="121"/>
    </row>
    <row r="948" ht="15.75" customHeight="1">
      <c r="D948" s="121"/>
    </row>
    <row r="949" ht="15.75" customHeight="1">
      <c r="D949" s="121"/>
    </row>
    <row r="950" ht="15.75" customHeight="1">
      <c r="D950" s="121"/>
    </row>
    <row r="951" ht="15.75" customHeight="1">
      <c r="D951" s="121"/>
    </row>
    <row r="952" ht="15.75" customHeight="1">
      <c r="D952" s="121"/>
    </row>
    <row r="953" ht="15.75" customHeight="1">
      <c r="D953" s="121"/>
    </row>
    <row r="954" ht="15.75" customHeight="1">
      <c r="D954" s="121"/>
    </row>
    <row r="955" ht="15.75" customHeight="1">
      <c r="D955" s="121"/>
    </row>
    <row r="956" ht="15.75" customHeight="1">
      <c r="D956" s="121"/>
    </row>
    <row r="957" ht="15.75" customHeight="1">
      <c r="D957" s="121"/>
    </row>
    <row r="958" ht="15.75" customHeight="1">
      <c r="D958" s="121"/>
    </row>
    <row r="959" ht="15.75" customHeight="1">
      <c r="D959" s="121"/>
    </row>
    <row r="960" ht="15.75" customHeight="1">
      <c r="D960" s="121"/>
    </row>
    <row r="961" ht="15.75" customHeight="1">
      <c r="D961" s="121"/>
    </row>
    <row r="962" ht="15.75" customHeight="1">
      <c r="D962" s="121"/>
    </row>
    <row r="963" ht="15.75" customHeight="1">
      <c r="D963" s="121"/>
    </row>
    <row r="964" ht="15.75" customHeight="1">
      <c r="D964" s="121"/>
    </row>
    <row r="965" ht="15.75" customHeight="1">
      <c r="D965" s="121"/>
    </row>
    <row r="966" ht="15.75" customHeight="1">
      <c r="D966" s="121"/>
    </row>
    <row r="967" ht="15.75" customHeight="1">
      <c r="D967" s="121"/>
    </row>
    <row r="968" ht="15.75" customHeight="1">
      <c r="D968" s="121"/>
    </row>
    <row r="969" ht="15.75" customHeight="1">
      <c r="D969" s="121"/>
    </row>
    <row r="970" ht="15.75" customHeight="1">
      <c r="D970" s="121"/>
    </row>
    <row r="971" ht="15.75" customHeight="1">
      <c r="D971" s="121"/>
    </row>
    <row r="972" ht="15.75" customHeight="1">
      <c r="D972" s="121"/>
    </row>
    <row r="973" ht="15.75" customHeight="1">
      <c r="D973" s="121"/>
    </row>
    <row r="974" ht="15.75" customHeight="1">
      <c r="D974" s="121"/>
    </row>
    <row r="975" ht="15.75" customHeight="1">
      <c r="D975" s="121"/>
    </row>
    <row r="976" ht="15.75" customHeight="1">
      <c r="D976" s="121"/>
    </row>
    <row r="977" ht="15.75" customHeight="1">
      <c r="D977" s="121"/>
    </row>
    <row r="978" ht="15.75" customHeight="1">
      <c r="D978" s="121"/>
    </row>
    <row r="979" ht="15.75" customHeight="1">
      <c r="D979" s="121"/>
    </row>
    <row r="980" ht="15.75" customHeight="1">
      <c r="D980" s="121"/>
    </row>
    <row r="981" ht="15.75" customHeight="1">
      <c r="D981" s="121"/>
    </row>
    <row r="982" ht="15.75" customHeight="1">
      <c r="D982" s="121"/>
    </row>
    <row r="983" ht="15.75" customHeight="1">
      <c r="D983" s="121"/>
    </row>
    <row r="984" ht="15.75" customHeight="1">
      <c r="D984" s="121"/>
    </row>
    <row r="985" ht="15.75" customHeight="1">
      <c r="D985" s="121"/>
    </row>
    <row r="986" ht="15.75" customHeight="1">
      <c r="D986" s="121"/>
    </row>
    <row r="987" ht="15.75" customHeight="1">
      <c r="D987" s="121"/>
    </row>
    <row r="988" ht="15.75" customHeight="1">
      <c r="D988" s="121"/>
    </row>
    <row r="989" ht="15.75" customHeight="1">
      <c r="D989" s="121"/>
    </row>
    <row r="990" ht="15.75" customHeight="1">
      <c r="D990" s="121"/>
    </row>
    <row r="991" ht="15.75" customHeight="1">
      <c r="D991" s="121"/>
    </row>
    <row r="992" ht="15.75" customHeight="1">
      <c r="D992" s="121"/>
    </row>
    <row r="993" ht="15.75" customHeight="1">
      <c r="D993" s="121"/>
    </row>
    <row r="994" ht="15.75" customHeight="1">
      <c r="D994" s="121"/>
    </row>
    <row r="995" ht="15.75" customHeight="1">
      <c r="D995" s="121"/>
    </row>
    <row r="996" ht="15.75" customHeight="1">
      <c r="D996" s="121"/>
    </row>
    <row r="997" ht="15.75" customHeight="1">
      <c r="D997" s="121"/>
    </row>
    <row r="998" ht="15.75" customHeight="1">
      <c r="D998" s="121"/>
    </row>
    <row r="999" ht="15.75" customHeight="1">
      <c r="D999" s="121"/>
    </row>
    <row r="1000" ht="15.75" customHeight="1">
      <c r="D1000" s="121"/>
    </row>
    <row r="1001" ht="15.75" customHeight="1">
      <c r="D1001" s="121"/>
    </row>
  </sheetData>
  <mergeCells count="5">
    <mergeCell ref="B1:K1"/>
    <mergeCell ref="E87:F87"/>
    <mergeCell ref="G87:H87"/>
    <mergeCell ref="L87:M87"/>
    <mergeCell ref="N87:O87"/>
  </mergeCells>
  <dataValidations>
    <dataValidation type="list" allowBlank="1" sqref="H2">
      <formula1>"0%,5%,10%,15%,20%,25%,30%"</formula1>
    </dataValidation>
    <dataValidation type="list" allowBlank="1" showInputMessage="1" showErrorMessage="1" prompt="It indicates that % of task can be achieved using AI" sqref="D7:D85">
      <formula1>"0%,5%,7%,10%,12%,15%,17%,20%"</formula1>
    </dataValidation>
    <dataValidation type="decimal" allowBlank="1" showDropDown="1" showInputMessage="1" showErrorMessage="1" prompt="Enter a number between 1 and 6" sqref="F7:F85 M7:M86">
      <formula1>1.0</formula1>
      <formula2>6.0</formula2>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0"/>
  <cols>
    <col customWidth="1" min="1" max="1" width="4.63"/>
    <col customWidth="1" min="2" max="2" width="38.13"/>
    <col customWidth="1" min="3" max="3" width="38.5"/>
    <col customWidth="1" min="4" max="4" width="9.13"/>
    <col customWidth="1" min="5" max="5" width="7.0"/>
    <col customWidth="1" min="6" max="6" width="8.5"/>
    <col customWidth="1" min="7" max="7" width="9.25"/>
    <col customWidth="1" min="8" max="8" width="25.75"/>
    <col customWidth="1" min="9" max="9" width="25.25"/>
    <col customWidth="1" min="10" max="10" width="13.38"/>
  </cols>
  <sheetData>
    <row r="1">
      <c r="A1" s="53"/>
      <c r="B1" s="53" t="s">
        <v>56</v>
      </c>
      <c r="K1" s="35"/>
      <c r="L1" s="35"/>
      <c r="M1" s="35"/>
      <c r="N1" s="35"/>
      <c r="O1" s="35"/>
      <c r="P1" s="35"/>
      <c r="Q1" s="35"/>
      <c r="R1" s="35"/>
      <c r="S1" s="35"/>
      <c r="T1" s="35"/>
      <c r="U1" s="35"/>
      <c r="V1" s="35"/>
      <c r="W1" s="35"/>
      <c r="X1" s="35"/>
      <c r="Y1" s="35"/>
      <c r="Z1" s="35"/>
      <c r="AA1" s="35"/>
    </row>
    <row r="2">
      <c r="A2" s="55"/>
      <c r="B2" s="55" t="s">
        <v>57</v>
      </c>
      <c r="C2" s="57"/>
      <c r="D2" s="105" t="s">
        <v>94</v>
      </c>
      <c r="E2" s="106" t="s">
        <v>95</v>
      </c>
      <c r="G2" s="59">
        <v>0.1</v>
      </c>
      <c r="H2" s="91" t="s">
        <v>58</v>
      </c>
      <c r="L2" s="35"/>
      <c r="M2" s="35"/>
      <c r="N2" s="35"/>
      <c r="O2" s="35"/>
      <c r="P2" s="35"/>
      <c r="Q2" s="35"/>
      <c r="R2" s="35"/>
      <c r="S2" s="35"/>
      <c r="T2" s="35"/>
      <c r="U2" s="35"/>
      <c r="V2" s="35"/>
      <c r="W2" s="35"/>
      <c r="X2" s="35"/>
      <c r="Y2" s="35"/>
      <c r="Z2" s="35"/>
      <c r="AA2" s="35"/>
    </row>
    <row r="3">
      <c r="A3" s="55"/>
      <c r="B3" s="55" t="s">
        <v>59</v>
      </c>
      <c r="C3" s="61">
        <v>45020.0</v>
      </c>
      <c r="D3" s="26">
        <f>ROUNDUP(C4/2,0)</f>
        <v>788</v>
      </c>
      <c r="E3" s="58">
        <f>ROUNDUP(C4/2,0)</f>
        <v>788</v>
      </c>
      <c r="G3" s="62">
        <f>ROUNDUP(F87*G2,0)</f>
        <v>144</v>
      </c>
      <c r="H3" s="91" t="s">
        <v>60</v>
      </c>
      <c r="L3" s="35"/>
      <c r="M3" s="35"/>
      <c r="N3" s="35"/>
      <c r="O3" s="35"/>
      <c r="P3" s="35"/>
      <c r="Q3" s="35"/>
      <c r="R3" s="35"/>
      <c r="S3" s="35"/>
      <c r="T3" s="35"/>
      <c r="U3" s="35"/>
      <c r="V3" s="35"/>
      <c r="W3" s="35"/>
      <c r="X3" s="35"/>
      <c r="Y3" s="35"/>
      <c r="Z3" s="35"/>
      <c r="AA3" s="35"/>
    </row>
    <row r="4">
      <c r="A4" s="55"/>
      <c r="B4" s="55" t="s">
        <v>61</v>
      </c>
      <c r="C4" s="57">
        <f>ROUNDUP(SUM(F87,G3),0)</f>
        <v>1576</v>
      </c>
      <c r="D4" s="26"/>
      <c r="E4" s="51"/>
      <c r="F4" s="51"/>
      <c r="G4" s="51"/>
      <c r="H4" s="18"/>
      <c r="I4" s="18"/>
      <c r="J4" s="35"/>
      <c r="K4" s="35"/>
      <c r="L4" s="35"/>
      <c r="M4" s="35"/>
      <c r="N4" s="35"/>
      <c r="O4" s="35"/>
      <c r="P4" s="35"/>
      <c r="Q4" s="35"/>
      <c r="R4" s="35"/>
      <c r="S4" s="35"/>
      <c r="T4" s="35"/>
      <c r="U4" s="35"/>
      <c r="V4" s="35"/>
      <c r="W4" s="35"/>
      <c r="X4" s="35"/>
      <c r="Y4" s="35"/>
      <c r="Z4" s="35"/>
      <c r="AA4" s="35"/>
    </row>
    <row r="5">
      <c r="A5" s="55"/>
      <c r="B5" s="65" t="s">
        <v>63</v>
      </c>
      <c r="C5" s="66"/>
      <c r="D5" s="35"/>
      <c r="E5" s="35"/>
      <c r="F5" s="35"/>
      <c r="G5" s="35"/>
      <c r="H5" s="35"/>
      <c r="I5" s="35"/>
      <c r="J5" s="35"/>
      <c r="K5" s="35"/>
      <c r="L5" s="35"/>
      <c r="M5" s="35"/>
      <c r="N5" s="35"/>
      <c r="O5" s="35"/>
      <c r="P5" s="35"/>
      <c r="Q5" s="35"/>
      <c r="R5" s="35"/>
      <c r="S5" s="35"/>
      <c r="T5" s="35"/>
      <c r="U5" s="35"/>
      <c r="V5" s="35"/>
      <c r="W5" s="35"/>
      <c r="X5" s="35"/>
      <c r="Y5" s="35"/>
      <c r="Z5" s="35"/>
      <c r="AA5" s="35"/>
    </row>
    <row r="6">
      <c r="A6" s="68"/>
      <c r="B6" s="68" t="s">
        <v>64</v>
      </c>
      <c r="C6" s="68" t="s">
        <v>65</v>
      </c>
      <c r="D6" s="21" t="s">
        <v>67</v>
      </c>
      <c r="E6" s="70" t="s">
        <v>68</v>
      </c>
      <c r="F6" s="71" t="s">
        <v>69</v>
      </c>
      <c r="G6" s="72" t="s">
        <v>70</v>
      </c>
      <c r="H6" s="67" t="s">
        <v>71</v>
      </c>
      <c r="I6" s="67" t="s">
        <v>96</v>
      </c>
      <c r="J6" s="73" t="s">
        <v>73</v>
      </c>
      <c r="K6" s="35"/>
      <c r="L6" s="35"/>
      <c r="M6" s="35"/>
      <c r="N6" s="35"/>
      <c r="O6" s="35"/>
      <c r="P6" s="35"/>
      <c r="Q6" s="35"/>
      <c r="R6" s="35"/>
      <c r="S6" s="35"/>
      <c r="T6" s="35"/>
      <c r="U6" s="35"/>
      <c r="V6" s="35"/>
      <c r="W6" s="35"/>
      <c r="X6" s="35"/>
      <c r="Y6" s="35"/>
      <c r="Z6" s="35"/>
      <c r="AA6" s="35"/>
    </row>
    <row r="7">
      <c r="A7" s="109"/>
      <c r="B7" s="122" t="s">
        <v>97</v>
      </c>
      <c r="C7" s="123"/>
      <c r="D7" s="124">
        <v>16.0</v>
      </c>
      <c r="E7" s="125">
        <v>5.0</v>
      </c>
      <c r="F7" s="126">
        <f t="array" ref="F7">ROUNDUP(IF(EQ(A7, ""),D7*INDEX(UncertaintyFactors!$C$2:$D$7, E7, 1), 0), 1)</f>
        <v>16</v>
      </c>
      <c r="G7" s="127">
        <f t="array" ref="G7">ROUNDUP(IF(EQ(A7, ""), D7*INDEX(UncertaintyFactors!$C$2:$D$7, E7, 2), 0), 1)</f>
        <v>20</v>
      </c>
      <c r="H7" s="128" t="s">
        <v>98</v>
      </c>
      <c r="I7" s="111"/>
      <c r="J7" s="112"/>
      <c r="K7" s="51"/>
      <c r="L7" s="51"/>
      <c r="M7" s="51"/>
      <c r="N7" s="51"/>
      <c r="O7" s="51"/>
      <c r="P7" s="51"/>
      <c r="Q7" s="51"/>
      <c r="R7" s="51"/>
      <c r="S7" s="51"/>
      <c r="T7" s="51"/>
      <c r="U7" s="51"/>
      <c r="V7" s="51"/>
      <c r="W7" s="51"/>
      <c r="X7" s="51"/>
      <c r="Y7" s="51"/>
      <c r="Z7" s="51"/>
      <c r="AA7" s="51"/>
    </row>
    <row r="8">
      <c r="A8" s="109"/>
      <c r="B8" s="129" t="s">
        <v>99</v>
      </c>
      <c r="C8" s="130"/>
      <c r="D8" s="130"/>
      <c r="E8" s="125">
        <v>5.0</v>
      </c>
      <c r="F8" s="126">
        <f t="array" ref="F8">ROUNDUP(IF(EQ(A8, ""),D8*INDEX(UncertaintyFactors!$C$2:$D$7, E8, 1), 0), 1)</f>
        <v>0</v>
      </c>
      <c r="G8" s="127">
        <f t="array" ref="G8">ROUNDUP(IF(EQ(A8, ""), D8*INDEX(UncertaintyFactors!$C$2:$D$7, E8, 2), 0), 1)</f>
        <v>0</v>
      </c>
      <c r="H8" s="131"/>
      <c r="I8" s="111"/>
      <c r="J8" s="112"/>
      <c r="K8" s="51"/>
      <c r="L8" s="51"/>
      <c r="M8" s="51"/>
      <c r="N8" s="51"/>
      <c r="O8" s="51"/>
      <c r="P8" s="51"/>
      <c r="Q8" s="51"/>
      <c r="R8" s="51"/>
      <c r="S8" s="51"/>
      <c r="T8" s="51"/>
      <c r="U8" s="51"/>
      <c r="V8" s="51"/>
      <c r="W8" s="51"/>
      <c r="X8" s="51"/>
      <c r="Y8" s="51"/>
      <c r="Z8" s="51"/>
      <c r="AA8" s="51"/>
    </row>
    <row r="9">
      <c r="A9" s="109"/>
      <c r="B9" s="122" t="s">
        <v>100</v>
      </c>
      <c r="C9" s="124" t="s">
        <v>101</v>
      </c>
      <c r="D9" s="124">
        <v>80.0</v>
      </c>
      <c r="E9" s="125">
        <v>4.0</v>
      </c>
      <c r="F9" s="126">
        <f t="array" ref="F9">ROUNDUP(IF(EQ(A9, ""),D9*INDEX(UncertaintyFactors!$C$2:$D$7, E9, 1), 0), 1)</f>
        <v>80</v>
      </c>
      <c r="G9" s="127">
        <f t="array" ref="G9">ROUNDUP(IF(EQ(A9, ""), D9*INDEX(UncertaintyFactors!$C$2:$D$7, E9, 2), 0), 1)</f>
        <v>120</v>
      </c>
      <c r="H9" s="131" t="s">
        <v>102</v>
      </c>
      <c r="I9" s="111"/>
      <c r="J9" s="112"/>
      <c r="K9" s="51"/>
      <c r="L9" s="51"/>
      <c r="M9" s="51"/>
      <c r="N9" s="51"/>
      <c r="O9" s="51"/>
      <c r="P9" s="51"/>
      <c r="Q9" s="51"/>
      <c r="R9" s="51"/>
      <c r="S9" s="51"/>
      <c r="T9" s="51"/>
      <c r="U9" s="51"/>
      <c r="V9" s="51"/>
      <c r="W9" s="51"/>
      <c r="X9" s="51"/>
      <c r="Y9" s="51"/>
      <c r="Z9" s="51"/>
      <c r="AA9" s="51"/>
    </row>
    <row r="10">
      <c r="A10" s="109"/>
      <c r="B10" s="122" t="s">
        <v>103</v>
      </c>
      <c r="C10" s="130"/>
      <c r="D10" s="124">
        <v>4.0</v>
      </c>
      <c r="E10" s="125">
        <v>6.0</v>
      </c>
      <c r="F10" s="126">
        <f t="array" ref="F10">ROUNDUP(IF(EQ(A10, ""),D10*INDEX(UncertaintyFactors!$C$2:$D$7, E10, 1), 0), 1)</f>
        <v>4</v>
      </c>
      <c r="G10" s="127">
        <f t="array" ref="G10">ROUNDUP(IF(EQ(A10, ""), D10*INDEX(UncertaintyFactors!$C$2:$D$7, E10, 2), 0), 1)</f>
        <v>4</v>
      </c>
      <c r="H10" s="131"/>
      <c r="I10" s="111"/>
      <c r="J10" s="112"/>
      <c r="K10" s="51"/>
      <c r="L10" s="51"/>
      <c r="M10" s="51"/>
      <c r="N10" s="51"/>
      <c r="O10" s="51"/>
      <c r="P10" s="51"/>
      <c r="Q10" s="51"/>
      <c r="R10" s="51"/>
      <c r="S10" s="51"/>
      <c r="T10" s="51"/>
      <c r="U10" s="51"/>
      <c r="V10" s="51"/>
      <c r="W10" s="51"/>
      <c r="X10" s="51"/>
      <c r="Y10" s="51"/>
      <c r="Z10" s="51"/>
      <c r="AA10" s="51"/>
    </row>
    <row r="11">
      <c r="A11" s="109"/>
      <c r="B11" s="122" t="s">
        <v>104</v>
      </c>
      <c r="C11" s="130"/>
      <c r="D11" s="124">
        <v>60.0</v>
      </c>
      <c r="E11" s="125">
        <v>5.0</v>
      </c>
      <c r="F11" s="126">
        <f t="array" ref="F11">ROUNDUP(IF(EQ(A11, ""),D11*INDEX(UncertaintyFactors!$C$2:$D$7, E11, 1), 0), 1)</f>
        <v>60</v>
      </c>
      <c r="G11" s="127">
        <f t="array" ref="G11">ROUNDUP(IF(EQ(A11, ""), D11*INDEX(UncertaintyFactors!$C$2:$D$7, E11, 2), 0), 1)</f>
        <v>75</v>
      </c>
      <c r="H11" s="132" t="s">
        <v>105</v>
      </c>
      <c r="I11" s="111"/>
      <c r="J11" s="112"/>
      <c r="K11" s="51"/>
      <c r="L11" s="51"/>
      <c r="M11" s="51"/>
      <c r="N11" s="51"/>
      <c r="O11" s="51"/>
      <c r="P11" s="51"/>
      <c r="Q11" s="51"/>
      <c r="R11" s="51"/>
      <c r="S11" s="51"/>
      <c r="T11" s="51"/>
      <c r="U11" s="51"/>
      <c r="V11" s="51"/>
      <c r="W11" s="51"/>
      <c r="X11" s="51"/>
      <c r="Y11" s="51"/>
      <c r="Z11" s="51"/>
      <c r="AA11" s="51"/>
    </row>
    <row r="12">
      <c r="A12" s="109"/>
      <c r="B12" s="122" t="s">
        <v>106</v>
      </c>
      <c r="C12" s="130"/>
      <c r="D12" s="124">
        <v>40.0</v>
      </c>
      <c r="E12" s="125">
        <v>6.0</v>
      </c>
      <c r="F12" s="126">
        <f t="array" ref="F12">ROUNDUP(IF(EQ(A12, ""),D12*INDEX(UncertaintyFactors!$C$2:$D$7, E12, 1), 0), 1)</f>
        <v>40</v>
      </c>
      <c r="G12" s="127">
        <f t="array" ref="G12">ROUNDUP(IF(EQ(A12, ""), D12*INDEX(UncertaintyFactors!$C$2:$D$7, E12, 2), 0), 1)</f>
        <v>40</v>
      </c>
      <c r="H12" s="133" t="s">
        <v>107</v>
      </c>
      <c r="I12" s="111"/>
      <c r="J12" s="112"/>
      <c r="K12" s="51"/>
      <c r="L12" s="51"/>
      <c r="M12" s="51"/>
      <c r="N12" s="51"/>
      <c r="O12" s="51"/>
      <c r="P12" s="51"/>
      <c r="Q12" s="51"/>
      <c r="R12" s="51"/>
      <c r="S12" s="51"/>
      <c r="T12" s="51"/>
      <c r="U12" s="51"/>
      <c r="V12" s="51"/>
      <c r="W12" s="51"/>
      <c r="X12" s="51"/>
      <c r="Y12" s="51"/>
      <c r="Z12" s="51"/>
      <c r="AA12" s="51"/>
    </row>
    <row r="13">
      <c r="A13" s="109"/>
      <c r="B13" s="122" t="s">
        <v>108</v>
      </c>
      <c r="C13" s="130"/>
      <c r="D13" s="124">
        <v>16.0</v>
      </c>
      <c r="E13" s="125">
        <v>6.0</v>
      </c>
      <c r="F13" s="126">
        <f t="array" ref="F13">ROUNDUP(IF(EQ(A13, ""),D13*INDEX(UncertaintyFactors!$C$2:$D$7, E13, 1), 0), 1)</f>
        <v>16</v>
      </c>
      <c r="G13" s="127">
        <f t="array" ref="G13">ROUNDUP(IF(EQ(A13, ""), D13*INDEX(UncertaintyFactors!$C$2:$D$7, E13, 2), 0), 1)</f>
        <v>16</v>
      </c>
      <c r="H13" s="131"/>
      <c r="I13" s="111"/>
      <c r="J13" s="112"/>
      <c r="K13" s="51"/>
      <c r="L13" s="51"/>
      <c r="M13" s="51"/>
      <c r="N13" s="51"/>
      <c r="O13" s="51"/>
      <c r="P13" s="51"/>
      <c r="Q13" s="51"/>
      <c r="R13" s="51"/>
      <c r="S13" s="51"/>
      <c r="T13" s="51"/>
      <c r="U13" s="51"/>
      <c r="V13" s="51"/>
      <c r="W13" s="51"/>
      <c r="X13" s="51"/>
      <c r="Y13" s="51"/>
      <c r="Z13" s="51"/>
      <c r="AA13" s="51"/>
    </row>
    <row r="14">
      <c r="A14" s="109"/>
      <c r="B14" s="122" t="s">
        <v>109</v>
      </c>
      <c r="C14" s="130"/>
      <c r="D14" s="124">
        <v>16.0</v>
      </c>
      <c r="E14" s="125">
        <v>6.0</v>
      </c>
      <c r="F14" s="126">
        <f t="array" ref="F14">ROUNDUP(IF(EQ(A14, ""),D14*INDEX(UncertaintyFactors!$C$2:$D$7, E14, 1), 0), 1)</f>
        <v>16</v>
      </c>
      <c r="G14" s="127">
        <f t="array" ref="G14">ROUNDUP(IF(EQ(A14, ""), D14*INDEX(UncertaintyFactors!$C$2:$D$7, E14, 2), 0), 1)</f>
        <v>16</v>
      </c>
      <c r="H14" s="131"/>
      <c r="I14" s="111"/>
      <c r="J14" s="112"/>
      <c r="K14" s="51"/>
      <c r="L14" s="51"/>
      <c r="M14" s="51"/>
      <c r="N14" s="51"/>
      <c r="O14" s="51"/>
      <c r="P14" s="51"/>
      <c r="Q14" s="51"/>
      <c r="R14" s="51"/>
      <c r="S14" s="51"/>
      <c r="T14" s="51"/>
      <c r="U14" s="51"/>
      <c r="V14" s="51"/>
      <c r="W14" s="51"/>
      <c r="X14" s="51"/>
      <c r="Y14" s="51"/>
      <c r="Z14" s="51"/>
      <c r="AA14" s="51"/>
    </row>
    <row r="15">
      <c r="A15" s="109"/>
      <c r="B15" s="122" t="s">
        <v>110</v>
      </c>
      <c r="C15" s="130"/>
      <c r="D15" s="124">
        <v>16.0</v>
      </c>
      <c r="E15" s="125">
        <v>6.0</v>
      </c>
      <c r="F15" s="126">
        <f t="array" ref="F15">ROUNDUP(IF(EQ(A15, ""),D15*INDEX(UncertaintyFactors!$C$2:$D$7, E15, 1), 0), 1)</f>
        <v>16</v>
      </c>
      <c r="G15" s="127">
        <f t="array" ref="G15">ROUNDUP(IF(EQ(A15, ""), D15*INDEX(UncertaintyFactors!$C$2:$D$7, E15, 2), 0), 1)</f>
        <v>16</v>
      </c>
      <c r="H15" s="131"/>
      <c r="I15" s="111"/>
      <c r="J15" s="112"/>
      <c r="K15" s="51"/>
      <c r="L15" s="51"/>
      <c r="M15" s="51"/>
      <c r="N15" s="51"/>
      <c r="O15" s="51"/>
      <c r="P15" s="51"/>
      <c r="Q15" s="51"/>
      <c r="R15" s="51"/>
      <c r="S15" s="51"/>
      <c r="T15" s="51"/>
      <c r="U15" s="51"/>
      <c r="V15" s="51"/>
      <c r="W15" s="51"/>
      <c r="X15" s="51"/>
      <c r="Y15" s="51"/>
      <c r="Z15" s="51"/>
      <c r="AA15" s="51"/>
    </row>
    <row r="16">
      <c r="A16" s="109"/>
      <c r="B16" s="122" t="s">
        <v>111</v>
      </c>
      <c r="C16" s="130"/>
      <c r="D16" s="124">
        <v>8.0</v>
      </c>
      <c r="E16" s="125">
        <v>6.0</v>
      </c>
      <c r="F16" s="126">
        <f t="array" ref="F16">ROUNDUP(IF(EQ(A16, ""),D16*INDEX(UncertaintyFactors!$C$2:$D$7, E16, 1), 0), 1)</f>
        <v>8</v>
      </c>
      <c r="G16" s="127">
        <f t="array" ref="G16">ROUNDUP(IF(EQ(A16, ""), D16*INDEX(UncertaintyFactors!$C$2:$D$7, E16, 2), 0), 1)</f>
        <v>8</v>
      </c>
      <c r="H16" s="134"/>
      <c r="I16" s="111"/>
      <c r="J16" s="112"/>
      <c r="K16" s="51"/>
      <c r="L16" s="51"/>
      <c r="M16" s="51"/>
      <c r="N16" s="51"/>
      <c r="O16" s="51"/>
      <c r="P16" s="51"/>
      <c r="Q16" s="51"/>
      <c r="R16" s="51"/>
      <c r="S16" s="51"/>
      <c r="T16" s="51"/>
      <c r="U16" s="51"/>
      <c r="V16" s="51"/>
      <c r="W16" s="51"/>
      <c r="X16" s="51"/>
      <c r="Y16" s="51"/>
      <c r="Z16" s="51"/>
      <c r="AA16" s="51"/>
    </row>
    <row r="17">
      <c r="A17" s="109"/>
      <c r="B17" s="122" t="s">
        <v>112</v>
      </c>
      <c r="C17" s="130"/>
      <c r="D17" s="130"/>
      <c r="E17" s="125">
        <v>6.0</v>
      </c>
      <c r="F17" s="126">
        <f t="array" ref="F17">ROUNDUP(IF(EQ(A17, ""),D17*INDEX(UncertaintyFactors!$C$2:$D$7, E17, 1), 0), 1)</f>
        <v>0</v>
      </c>
      <c r="G17" s="127">
        <f t="array" ref="G17">ROUNDUP(IF(EQ(A17, ""), D17*INDEX(UncertaintyFactors!$C$2:$D$7, E17, 2), 0), 1)</f>
        <v>0</v>
      </c>
      <c r="H17" s="131"/>
      <c r="I17" s="111"/>
      <c r="J17" s="112"/>
      <c r="K17" s="51"/>
      <c r="L17" s="51"/>
      <c r="M17" s="51"/>
      <c r="N17" s="51"/>
      <c r="O17" s="51"/>
      <c r="P17" s="51"/>
      <c r="Q17" s="51"/>
      <c r="R17" s="51"/>
      <c r="S17" s="51"/>
      <c r="T17" s="51"/>
      <c r="U17" s="51"/>
      <c r="V17" s="51"/>
      <c r="W17" s="51"/>
      <c r="X17" s="51"/>
      <c r="Y17" s="51"/>
      <c r="Z17" s="51"/>
      <c r="AA17" s="51"/>
    </row>
    <row r="18">
      <c r="A18" s="109"/>
      <c r="B18" s="122" t="s">
        <v>113</v>
      </c>
      <c r="C18" s="130"/>
      <c r="D18" s="124">
        <v>32.0</v>
      </c>
      <c r="E18" s="125">
        <v>5.0</v>
      </c>
      <c r="F18" s="126">
        <f t="array" ref="F18">ROUNDUP(IF(EQ(A18, ""),D18*INDEX(UncertaintyFactors!$C$2:$D$7, E18, 1), 0), 1)</f>
        <v>32</v>
      </c>
      <c r="G18" s="127">
        <f t="array" ref="G18">ROUNDUP(IF(EQ(A18, ""), D18*INDEX(UncertaintyFactors!$C$2:$D$7, E18, 2), 0), 1)</f>
        <v>40</v>
      </c>
      <c r="H18" s="132" t="s">
        <v>114</v>
      </c>
      <c r="I18" s="111"/>
      <c r="J18" s="112"/>
      <c r="K18" s="51"/>
      <c r="L18" s="51"/>
      <c r="M18" s="51"/>
      <c r="N18" s="51"/>
      <c r="O18" s="51"/>
      <c r="P18" s="51"/>
      <c r="Q18" s="51"/>
      <c r="R18" s="51"/>
      <c r="S18" s="51"/>
      <c r="T18" s="51"/>
      <c r="U18" s="51"/>
      <c r="V18" s="51"/>
      <c r="W18" s="51"/>
      <c r="X18" s="51"/>
      <c r="Y18" s="51"/>
      <c r="Z18" s="51"/>
      <c r="AA18" s="51"/>
    </row>
    <row r="19">
      <c r="A19" s="109"/>
      <c r="B19" s="135" t="s">
        <v>115</v>
      </c>
      <c r="C19" s="123"/>
      <c r="D19" s="136">
        <v>16.0</v>
      </c>
      <c r="E19" s="125">
        <v>6.0</v>
      </c>
      <c r="F19" s="126">
        <f t="array" ref="F19">ROUNDUP(IF(EQ(A19, ""),D19*INDEX(UncertaintyFactors!$C$2:$D$7, E19, 1), 0), 1)</f>
        <v>16</v>
      </c>
      <c r="G19" s="127">
        <f t="array" ref="G19">ROUNDUP(IF(EQ(A19, ""), D19*INDEX(UncertaintyFactors!$C$2:$D$7, E19, 2), 0), 1)</f>
        <v>16</v>
      </c>
      <c r="H19" s="134"/>
      <c r="I19" s="111"/>
      <c r="J19" s="112"/>
      <c r="K19" s="51"/>
      <c r="L19" s="51"/>
      <c r="M19" s="51"/>
      <c r="N19" s="51"/>
      <c r="O19" s="51"/>
      <c r="P19" s="51"/>
      <c r="Q19" s="51"/>
      <c r="R19" s="51"/>
      <c r="S19" s="51"/>
      <c r="T19" s="51"/>
      <c r="U19" s="51"/>
      <c r="V19" s="51"/>
      <c r="W19" s="51"/>
      <c r="X19" s="51"/>
      <c r="Y19" s="51"/>
      <c r="Z19" s="51"/>
      <c r="AA19" s="51"/>
    </row>
    <row r="20">
      <c r="A20" s="109"/>
      <c r="B20" s="135" t="s">
        <v>116</v>
      </c>
      <c r="C20" s="123"/>
      <c r="D20" s="136">
        <v>8.0</v>
      </c>
      <c r="E20" s="125">
        <v>6.0</v>
      </c>
      <c r="F20" s="126">
        <f t="array" ref="F20">ROUNDUP(IF(EQ(A20, ""),D20*INDEX(UncertaintyFactors!$C$2:$D$7, E20, 1), 0), 1)</f>
        <v>8</v>
      </c>
      <c r="G20" s="127">
        <f t="array" ref="G20">ROUNDUP(IF(EQ(A20, ""), D20*INDEX(UncertaintyFactors!$C$2:$D$7, E20, 2), 0), 1)</f>
        <v>8</v>
      </c>
      <c r="H20" s="134"/>
      <c r="I20" s="111"/>
      <c r="J20" s="112"/>
      <c r="K20" s="51"/>
      <c r="L20" s="51"/>
      <c r="M20" s="51"/>
      <c r="N20" s="51"/>
      <c r="O20" s="51"/>
      <c r="P20" s="51"/>
      <c r="Q20" s="51"/>
      <c r="R20" s="51"/>
      <c r="S20" s="51"/>
      <c r="T20" s="51"/>
      <c r="U20" s="51"/>
      <c r="V20" s="51"/>
      <c r="W20" s="51"/>
      <c r="X20" s="51"/>
      <c r="Y20" s="51"/>
      <c r="Z20" s="51"/>
      <c r="AA20" s="51"/>
    </row>
    <row r="21">
      <c r="A21" s="109"/>
      <c r="B21" s="135" t="s">
        <v>117</v>
      </c>
      <c r="C21" s="123"/>
      <c r="D21" s="136">
        <v>16.0</v>
      </c>
      <c r="E21" s="125">
        <v>6.0</v>
      </c>
      <c r="F21" s="126">
        <f t="array" ref="F21">ROUNDUP(IF(EQ(A21, ""),D21*INDEX(UncertaintyFactors!$C$2:$D$7, E21, 1), 0), 1)</f>
        <v>16</v>
      </c>
      <c r="G21" s="127">
        <f t="array" ref="G21">ROUNDUP(IF(EQ(A21, ""), D21*INDEX(UncertaintyFactors!$C$2:$D$7, E21, 2), 0), 1)</f>
        <v>16</v>
      </c>
      <c r="H21" s="134"/>
      <c r="I21" s="111"/>
      <c r="J21" s="112"/>
      <c r="K21" s="51"/>
      <c r="L21" s="51"/>
      <c r="M21" s="51"/>
      <c r="N21" s="51"/>
      <c r="O21" s="51"/>
      <c r="P21" s="51"/>
      <c r="Q21" s="51"/>
      <c r="R21" s="51"/>
      <c r="S21" s="51"/>
      <c r="T21" s="51"/>
      <c r="U21" s="51"/>
      <c r="V21" s="51"/>
      <c r="W21" s="51"/>
      <c r="X21" s="51"/>
      <c r="Y21" s="51"/>
      <c r="Z21" s="51"/>
      <c r="AA21" s="51"/>
    </row>
    <row r="22" ht="15.75" customHeight="1">
      <c r="A22" s="109"/>
      <c r="B22" s="122" t="s">
        <v>118</v>
      </c>
      <c r="C22" s="123"/>
      <c r="D22" s="136">
        <v>60.0</v>
      </c>
      <c r="E22" s="125">
        <v>6.0</v>
      </c>
      <c r="F22" s="126">
        <f t="array" ref="F22">ROUNDUP(IF(EQ(A22, ""),D22*INDEX(UncertaintyFactors!$C$2:$D$7, E22, 1), 0), 1)</f>
        <v>60</v>
      </c>
      <c r="G22" s="127">
        <f t="array" ref="G22">ROUNDUP(IF(EQ(A22, ""), D22*INDEX(UncertaintyFactors!$C$2:$D$7, E22, 2), 0), 1)</f>
        <v>60</v>
      </c>
      <c r="H22" s="133" t="s">
        <v>119</v>
      </c>
      <c r="I22" s="111"/>
      <c r="J22" s="112"/>
      <c r="K22" s="51"/>
      <c r="L22" s="51"/>
      <c r="M22" s="51"/>
      <c r="N22" s="51"/>
      <c r="O22" s="51"/>
      <c r="P22" s="51"/>
      <c r="Q22" s="51"/>
      <c r="R22" s="51"/>
      <c r="S22" s="51"/>
      <c r="T22" s="51"/>
      <c r="U22" s="51"/>
      <c r="V22" s="51"/>
      <c r="W22" s="51"/>
      <c r="X22" s="51"/>
      <c r="Y22" s="51"/>
      <c r="Z22" s="51"/>
      <c r="AA22" s="51"/>
    </row>
    <row r="23" ht="15.75" customHeight="1">
      <c r="A23" s="109"/>
      <c r="B23" s="137" t="s">
        <v>120</v>
      </c>
      <c r="C23" s="123"/>
      <c r="D23" s="123"/>
      <c r="E23" s="125">
        <v>6.0</v>
      </c>
      <c r="F23" s="126">
        <f t="array" ref="F23">ROUNDUP(IF(EQ(A23, ""),D23*INDEX(UncertaintyFactors!$C$2:$D$7, E23, 1), 0), 1)</f>
        <v>0</v>
      </c>
      <c r="G23" s="127">
        <f t="array" ref="G23">ROUNDUP(IF(EQ(A23, ""), D23*INDEX(UncertaintyFactors!$C$2:$D$7, E23, 2), 0), 1)</f>
        <v>0</v>
      </c>
      <c r="H23" s="134"/>
      <c r="I23" s="111"/>
      <c r="J23" s="112"/>
      <c r="K23" s="51"/>
      <c r="L23" s="51"/>
      <c r="M23" s="51"/>
      <c r="N23" s="51"/>
      <c r="O23" s="51"/>
      <c r="P23" s="51"/>
      <c r="Q23" s="51"/>
      <c r="R23" s="51"/>
      <c r="S23" s="51"/>
      <c r="T23" s="51"/>
      <c r="U23" s="51"/>
      <c r="V23" s="51"/>
      <c r="W23" s="51"/>
      <c r="X23" s="51"/>
      <c r="Y23" s="51"/>
      <c r="Z23" s="51"/>
      <c r="AA23" s="51"/>
    </row>
    <row r="24" ht="15.75" customHeight="1">
      <c r="A24" s="109"/>
      <c r="B24" s="135" t="s">
        <v>121</v>
      </c>
      <c r="C24" s="123"/>
      <c r="D24" s="136">
        <v>40.0</v>
      </c>
      <c r="E24" s="125">
        <v>6.0</v>
      </c>
      <c r="F24" s="126">
        <f t="array" ref="F24">ROUNDUP(IF(EQ(A24, ""),D24*INDEX(UncertaintyFactors!$C$2:$D$7, E24, 1), 0), 1)</f>
        <v>40</v>
      </c>
      <c r="G24" s="127">
        <f t="array" ref="G24">ROUNDUP(IF(EQ(A24, ""), D24*INDEX(UncertaintyFactors!$C$2:$D$7, E24, 2), 0), 1)</f>
        <v>40</v>
      </c>
      <c r="H24" s="133" t="s">
        <v>122</v>
      </c>
      <c r="I24" s="111"/>
      <c r="J24" s="112"/>
      <c r="K24" s="51"/>
      <c r="L24" s="51"/>
      <c r="M24" s="51"/>
      <c r="N24" s="51"/>
      <c r="O24" s="51"/>
      <c r="P24" s="51"/>
      <c r="Q24" s="51"/>
      <c r="R24" s="51"/>
      <c r="S24" s="51"/>
      <c r="T24" s="51"/>
      <c r="U24" s="51"/>
      <c r="V24" s="51"/>
      <c r="W24" s="51"/>
      <c r="X24" s="51"/>
      <c r="Y24" s="51"/>
      <c r="Z24" s="51"/>
      <c r="AA24" s="51"/>
    </row>
    <row r="25" ht="15.75" customHeight="1">
      <c r="A25" s="109"/>
      <c r="B25" s="135" t="s">
        <v>123</v>
      </c>
      <c r="C25" s="123"/>
      <c r="D25" s="136">
        <v>8.0</v>
      </c>
      <c r="E25" s="125">
        <v>6.0</v>
      </c>
      <c r="F25" s="126">
        <f t="array" ref="F25">ROUNDUP(IF(EQ(A25, ""),D25*INDEX(UncertaintyFactors!$C$2:$D$7, E25, 1), 0), 1)</f>
        <v>8</v>
      </c>
      <c r="G25" s="127">
        <f t="array" ref="G25">ROUNDUP(IF(EQ(A25, ""), D25*INDEX(UncertaintyFactors!$C$2:$D$7, E25, 2), 0), 1)</f>
        <v>8</v>
      </c>
      <c r="H25" s="133" t="s">
        <v>124</v>
      </c>
      <c r="I25" s="111"/>
      <c r="J25" s="112"/>
      <c r="K25" s="51"/>
      <c r="L25" s="51"/>
      <c r="M25" s="51"/>
      <c r="N25" s="51"/>
      <c r="O25" s="51"/>
      <c r="P25" s="51"/>
      <c r="Q25" s="51"/>
      <c r="R25" s="51"/>
      <c r="S25" s="51"/>
      <c r="T25" s="51"/>
      <c r="U25" s="51"/>
      <c r="V25" s="51"/>
      <c r="W25" s="51"/>
      <c r="X25" s="51"/>
      <c r="Y25" s="51"/>
      <c r="Z25" s="51"/>
      <c r="AA25" s="51"/>
    </row>
    <row r="26" ht="15.75" customHeight="1">
      <c r="A26" s="109"/>
      <c r="B26" s="138"/>
      <c r="C26" s="123"/>
      <c r="D26" s="123"/>
      <c r="E26" s="125">
        <v>6.0</v>
      </c>
      <c r="F26" s="126">
        <f t="array" ref="F26">ROUNDUP(IF(EQ(A26, ""),D26*INDEX(UncertaintyFactors!$C$2:$D$7, E26, 1), 0), 1)</f>
        <v>0</v>
      </c>
      <c r="G26" s="127">
        <f t="array" ref="G26">ROUNDUP(IF(EQ(A26, ""), D26*INDEX(UncertaintyFactors!$C$2:$D$7, E26, 2), 0), 1)</f>
        <v>0</v>
      </c>
      <c r="H26" s="134"/>
      <c r="I26" s="111"/>
      <c r="J26" s="112"/>
      <c r="K26" s="51"/>
      <c r="L26" s="51"/>
      <c r="M26" s="51"/>
      <c r="N26" s="51"/>
      <c r="O26" s="51"/>
      <c r="P26" s="51"/>
      <c r="Q26" s="51"/>
      <c r="R26" s="51"/>
      <c r="S26" s="51"/>
      <c r="T26" s="51"/>
      <c r="U26" s="51"/>
      <c r="V26" s="51"/>
      <c r="W26" s="51"/>
      <c r="X26" s="51"/>
      <c r="Y26" s="51"/>
      <c r="Z26" s="51"/>
      <c r="AA26" s="51"/>
    </row>
    <row r="27" ht="15.75" customHeight="1">
      <c r="A27" s="109"/>
      <c r="B27" s="138"/>
      <c r="C27" s="123"/>
      <c r="D27" s="123"/>
      <c r="E27" s="125">
        <v>6.0</v>
      </c>
      <c r="F27" s="126">
        <f t="array" ref="F27">ROUNDUP(IF(EQ(A27, ""),D27*INDEX(UncertaintyFactors!$C$2:$D$7, E27, 1), 0), 1)</f>
        <v>0</v>
      </c>
      <c r="G27" s="127">
        <f t="array" ref="G27">ROUNDUP(IF(EQ(A27, ""), D27*INDEX(UncertaintyFactors!$C$2:$D$7, E27, 2), 0), 1)</f>
        <v>0</v>
      </c>
      <c r="H27" s="134"/>
      <c r="I27" s="111"/>
      <c r="J27" s="112"/>
      <c r="K27" s="51"/>
      <c r="L27" s="51"/>
      <c r="M27" s="51"/>
      <c r="N27" s="51"/>
      <c r="O27" s="51"/>
      <c r="P27" s="51"/>
      <c r="Q27" s="51"/>
      <c r="R27" s="51"/>
      <c r="S27" s="51"/>
      <c r="T27" s="51"/>
      <c r="U27" s="51"/>
      <c r="V27" s="51"/>
      <c r="W27" s="51"/>
      <c r="X27" s="51"/>
      <c r="Y27" s="51"/>
      <c r="Z27" s="51"/>
      <c r="AA27" s="51"/>
    </row>
    <row r="28" ht="15.75" customHeight="1">
      <c r="A28" s="109"/>
      <c r="B28" s="135" t="s">
        <v>125</v>
      </c>
      <c r="C28" s="123"/>
      <c r="D28" s="136">
        <v>60.0</v>
      </c>
      <c r="E28" s="125">
        <v>6.0</v>
      </c>
      <c r="F28" s="126">
        <f t="array" ref="F28">ROUNDUP(IF(EQ(A28, ""),D28*INDEX(UncertaintyFactors!$C$2:$D$7, E28, 1), 0), 1)</f>
        <v>60</v>
      </c>
      <c r="G28" s="127">
        <f t="array" ref="G28">ROUNDUP(IF(EQ(A28, ""), D28*INDEX(UncertaintyFactors!$C$2:$D$7, E28, 2), 0), 1)</f>
        <v>60</v>
      </c>
      <c r="H28" s="133" t="s">
        <v>126</v>
      </c>
      <c r="I28" s="111"/>
      <c r="J28" s="112"/>
      <c r="K28" s="51"/>
      <c r="L28" s="51"/>
      <c r="M28" s="51"/>
      <c r="N28" s="51"/>
      <c r="O28" s="51"/>
      <c r="P28" s="51"/>
      <c r="Q28" s="51"/>
      <c r="R28" s="51"/>
      <c r="S28" s="51"/>
      <c r="T28" s="51"/>
      <c r="U28" s="51"/>
      <c r="V28" s="51"/>
      <c r="W28" s="51"/>
      <c r="X28" s="51"/>
      <c r="Y28" s="51"/>
      <c r="Z28" s="51"/>
      <c r="AA28" s="51"/>
    </row>
    <row r="29" ht="15.75" customHeight="1">
      <c r="A29" s="109"/>
      <c r="B29" s="135" t="s">
        <v>127</v>
      </c>
      <c r="C29" s="123"/>
      <c r="D29" s="136">
        <v>80.0</v>
      </c>
      <c r="E29" s="125">
        <v>5.0</v>
      </c>
      <c r="F29" s="126">
        <f t="array" ref="F29">ROUNDUP(IF(EQ(A29, ""),D29*INDEX(UncertaintyFactors!$C$2:$D$7, E29, 1), 0), 1)</f>
        <v>80</v>
      </c>
      <c r="G29" s="127">
        <f t="array" ref="G29">ROUNDUP(IF(EQ(A29, ""), D29*INDEX(UncertaintyFactors!$C$2:$D$7, E29, 2), 0), 1)</f>
        <v>100</v>
      </c>
      <c r="H29" s="133" t="s">
        <v>128</v>
      </c>
      <c r="I29" s="111"/>
      <c r="J29" s="112"/>
      <c r="K29" s="51"/>
      <c r="L29" s="51"/>
      <c r="M29" s="51"/>
      <c r="N29" s="51"/>
      <c r="O29" s="51"/>
      <c r="P29" s="51"/>
      <c r="Q29" s="51"/>
      <c r="R29" s="51"/>
      <c r="S29" s="51"/>
      <c r="T29" s="51"/>
      <c r="U29" s="51"/>
      <c r="V29" s="51"/>
      <c r="W29" s="51"/>
      <c r="X29" s="51"/>
      <c r="Y29" s="51"/>
      <c r="Z29" s="51"/>
      <c r="AA29" s="51"/>
    </row>
    <row r="30" ht="15.75" customHeight="1">
      <c r="A30" s="109"/>
      <c r="B30" s="138"/>
      <c r="C30" s="123"/>
      <c r="D30" s="123"/>
      <c r="E30" s="125">
        <v>6.0</v>
      </c>
      <c r="F30" s="126">
        <f t="array" ref="F30">ROUNDUP(IF(EQ(A30, ""),D30*INDEX(UncertaintyFactors!$C$2:$D$7, E30, 1), 0), 1)</f>
        <v>0</v>
      </c>
      <c r="G30" s="127">
        <f t="array" ref="G30">ROUNDUP(IF(EQ(A30, ""), D30*INDEX(UncertaintyFactors!$C$2:$D$7, E30, 2), 0), 1)</f>
        <v>0</v>
      </c>
      <c r="H30" s="134"/>
      <c r="I30" s="111"/>
      <c r="J30" s="112"/>
      <c r="K30" s="51"/>
      <c r="L30" s="51"/>
      <c r="M30" s="51"/>
      <c r="N30" s="51"/>
      <c r="O30" s="51"/>
      <c r="P30" s="51"/>
      <c r="Q30" s="51"/>
      <c r="R30" s="51"/>
      <c r="S30" s="51"/>
      <c r="T30" s="51"/>
      <c r="U30" s="51"/>
      <c r="V30" s="51"/>
      <c r="W30" s="51"/>
      <c r="X30" s="51"/>
      <c r="Y30" s="51"/>
      <c r="Z30" s="51"/>
      <c r="AA30" s="51"/>
    </row>
    <row r="31" ht="15.75" customHeight="1">
      <c r="A31" s="109"/>
      <c r="B31" s="137" t="s">
        <v>129</v>
      </c>
      <c r="C31" s="123"/>
      <c r="D31" s="123"/>
      <c r="E31" s="125">
        <v>6.0</v>
      </c>
      <c r="F31" s="126">
        <f t="array" ref="F31">ROUNDUP(IF(EQ(A31, ""),D31*INDEX(UncertaintyFactors!$C$2:$D$7, E31, 1), 0), 1)</f>
        <v>0</v>
      </c>
      <c r="G31" s="127">
        <f t="array" ref="G31">ROUNDUP(IF(EQ(A31, ""), D31*INDEX(UncertaintyFactors!$C$2:$D$7, E31, 2), 0), 1)</f>
        <v>0</v>
      </c>
      <c r="H31" s="134"/>
      <c r="I31" s="111"/>
      <c r="J31" s="112"/>
      <c r="K31" s="51"/>
      <c r="L31" s="51"/>
      <c r="M31" s="51"/>
      <c r="N31" s="51"/>
      <c r="O31" s="51"/>
      <c r="P31" s="51"/>
      <c r="Q31" s="51"/>
      <c r="R31" s="51"/>
      <c r="S31" s="51"/>
      <c r="T31" s="51"/>
      <c r="U31" s="51"/>
      <c r="V31" s="51"/>
      <c r="W31" s="51"/>
      <c r="X31" s="51"/>
      <c r="Y31" s="51"/>
      <c r="Z31" s="51"/>
      <c r="AA31" s="51"/>
    </row>
    <row r="32" ht="15.75" customHeight="1">
      <c r="A32" s="109"/>
      <c r="B32" s="135" t="s">
        <v>130</v>
      </c>
      <c r="C32" s="123"/>
      <c r="D32" s="136">
        <v>100.0</v>
      </c>
      <c r="E32" s="125">
        <v>6.0</v>
      </c>
      <c r="F32" s="126">
        <f t="array" ref="F32">ROUNDUP(IF(EQ(A32, ""),D32*INDEX(UncertaintyFactors!$C$2:$D$7, E32, 1), 0), 1)</f>
        <v>100</v>
      </c>
      <c r="G32" s="127">
        <f t="array" ref="G32">ROUNDUP(IF(EQ(A32, ""), D32*INDEX(UncertaintyFactors!$C$2:$D$7, E32, 2), 0), 1)</f>
        <v>100</v>
      </c>
      <c r="H32" s="139" t="s">
        <v>131</v>
      </c>
      <c r="I32" s="111"/>
      <c r="J32" s="112"/>
      <c r="K32" s="51"/>
      <c r="L32" s="51"/>
      <c r="M32" s="51"/>
      <c r="N32" s="51"/>
      <c r="O32" s="51"/>
      <c r="P32" s="51"/>
      <c r="Q32" s="51"/>
      <c r="R32" s="51"/>
      <c r="S32" s="51"/>
      <c r="T32" s="51"/>
      <c r="U32" s="51"/>
      <c r="V32" s="51"/>
      <c r="W32" s="51"/>
      <c r="X32" s="51"/>
      <c r="Y32" s="51"/>
      <c r="Z32" s="51"/>
      <c r="AA32" s="51"/>
    </row>
    <row r="33" ht="15.75" customHeight="1">
      <c r="A33" s="109"/>
      <c r="B33" s="135" t="s">
        <v>132</v>
      </c>
      <c r="C33" s="123"/>
      <c r="D33" s="136">
        <v>20.0</v>
      </c>
      <c r="E33" s="125">
        <v>6.0</v>
      </c>
      <c r="F33" s="126">
        <f t="array" ref="F33">ROUNDUP(IF(EQ(A33, ""),D33*INDEX(UncertaintyFactors!$C$2:$D$7, E33, 1), 0), 1)</f>
        <v>20</v>
      </c>
      <c r="G33" s="127">
        <f t="array" ref="G33">ROUNDUP(IF(EQ(A33, ""), D33*INDEX(UncertaintyFactors!$C$2:$D$7, E33, 2), 0), 1)</f>
        <v>20</v>
      </c>
      <c r="H33" s="133" t="s">
        <v>133</v>
      </c>
      <c r="I33" s="111"/>
      <c r="J33" s="112"/>
      <c r="K33" s="51"/>
      <c r="L33" s="51"/>
      <c r="M33" s="51"/>
      <c r="N33" s="51"/>
      <c r="O33" s="51"/>
      <c r="P33" s="51"/>
      <c r="Q33" s="51"/>
      <c r="R33" s="51"/>
      <c r="S33" s="51"/>
      <c r="T33" s="51"/>
      <c r="U33" s="51"/>
      <c r="V33" s="51"/>
      <c r="W33" s="51"/>
      <c r="X33" s="51"/>
      <c r="Y33" s="51"/>
      <c r="Z33" s="51"/>
      <c r="AA33" s="51"/>
    </row>
    <row r="34" ht="15.75" customHeight="1">
      <c r="A34" s="109"/>
      <c r="B34" s="138"/>
      <c r="C34" s="123"/>
      <c r="D34" s="123"/>
      <c r="E34" s="125">
        <v>6.0</v>
      </c>
      <c r="F34" s="126">
        <f t="array" ref="F34">ROUNDUP(IF(EQ(A34, ""),D34*INDEX(UncertaintyFactors!$C$2:$D$7, E34, 1), 0), 1)</f>
        <v>0</v>
      </c>
      <c r="G34" s="127">
        <f t="array" ref="G34">ROUNDUP(IF(EQ(A34, ""), D34*INDEX(UncertaintyFactors!$C$2:$D$7, E34, 2), 0), 1)</f>
        <v>0</v>
      </c>
      <c r="H34" s="134"/>
      <c r="I34" s="111"/>
      <c r="J34" s="112"/>
      <c r="K34" s="51"/>
      <c r="L34" s="51"/>
      <c r="M34" s="51"/>
      <c r="N34" s="51"/>
      <c r="O34" s="51"/>
      <c r="P34" s="51"/>
      <c r="Q34" s="51"/>
      <c r="R34" s="51"/>
      <c r="S34" s="51"/>
      <c r="T34" s="51"/>
      <c r="U34" s="51"/>
      <c r="V34" s="51"/>
      <c r="W34" s="51"/>
      <c r="X34" s="51"/>
      <c r="Y34" s="51"/>
      <c r="Z34" s="51"/>
      <c r="AA34" s="51"/>
    </row>
    <row r="35" ht="15.75" customHeight="1">
      <c r="A35" s="109"/>
      <c r="B35" s="135" t="s">
        <v>134</v>
      </c>
      <c r="C35" s="123"/>
      <c r="D35" s="136">
        <v>60.0</v>
      </c>
      <c r="E35" s="125">
        <v>5.0</v>
      </c>
      <c r="F35" s="126">
        <f t="array" ref="F35">ROUNDUP(IF(EQ(A35, ""),D35*INDEX(UncertaintyFactors!$C$2:$D$7, E35, 1), 0), 1)</f>
        <v>60</v>
      </c>
      <c r="G35" s="127">
        <f t="array" ref="G35">ROUNDUP(IF(EQ(A35, ""), D35*INDEX(UncertaintyFactors!$C$2:$D$7, E35, 2), 0), 1)</f>
        <v>75</v>
      </c>
      <c r="H35" s="133" t="s">
        <v>135</v>
      </c>
      <c r="I35" s="111"/>
      <c r="J35" s="112"/>
      <c r="K35" s="51"/>
      <c r="L35" s="51"/>
      <c r="M35" s="51"/>
      <c r="N35" s="51"/>
      <c r="O35" s="51"/>
      <c r="P35" s="51"/>
      <c r="Q35" s="51"/>
      <c r="R35" s="51"/>
      <c r="S35" s="51"/>
      <c r="T35" s="51"/>
      <c r="U35" s="51"/>
      <c r="V35" s="51"/>
      <c r="W35" s="51"/>
      <c r="X35" s="51"/>
      <c r="Y35" s="51"/>
      <c r="Z35" s="51"/>
      <c r="AA35" s="51"/>
    </row>
    <row r="36" ht="15.75" customHeight="1">
      <c r="A36" s="109"/>
      <c r="B36" s="138"/>
      <c r="C36" s="123"/>
      <c r="D36" s="123"/>
      <c r="E36" s="125">
        <v>6.0</v>
      </c>
      <c r="F36" s="126">
        <f t="array" ref="F36">ROUNDUP(IF(EQ(A36, ""),D36*INDEX(UncertaintyFactors!$C$2:$D$7, E36, 1), 0), 1)</f>
        <v>0</v>
      </c>
      <c r="G36" s="127">
        <f t="array" ref="G36">ROUNDUP(IF(EQ(A36, ""), D36*INDEX(UncertaintyFactors!$C$2:$D$7, E36, 2), 0), 1)</f>
        <v>0</v>
      </c>
      <c r="H36" s="134"/>
      <c r="I36" s="111"/>
      <c r="J36" s="112"/>
      <c r="K36" s="51"/>
      <c r="L36" s="51"/>
      <c r="M36" s="51"/>
      <c r="N36" s="51"/>
      <c r="O36" s="51"/>
      <c r="P36" s="51"/>
      <c r="Q36" s="51"/>
      <c r="R36" s="51"/>
      <c r="S36" s="51"/>
      <c r="T36" s="51"/>
      <c r="U36" s="51"/>
      <c r="V36" s="51"/>
      <c r="W36" s="51"/>
      <c r="X36" s="51"/>
      <c r="Y36" s="51"/>
      <c r="Z36" s="51"/>
      <c r="AA36" s="51"/>
    </row>
    <row r="37" ht="15.75" customHeight="1">
      <c r="A37" s="109"/>
      <c r="B37" s="137" t="s">
        <v>136</v>
      </c>
      <c r="C37" s="123"/>
      <c r="D37" s="123"/>
      <c r="E37" s="125">
        <v>6.0</v>
      </c>
      <c r="F37" s="126">
        <f t="array" ref="F37">ROUNDUP(IF(EQ(A37, ""),D37*INDEX(UncertaintyFactors!$C$2:$D$7, E37, 1), 0), 1)</f>
        <v>0</v>
      </c>
      <c r="G37" s="127">
        <f t="array" ref="G37">ROUNDUP(IF(EQ(A37, ""), D37*INDEX(UncertaintyFactors!$C$2:$D$7, E37, 2), 0), 1)</f>
        <v>0</v>
      </c>
      <c r="H37" s="134"/>
      <c r="I37" s="111"/>
      <c r="J37" s="112"/>
      <c r="K37" s="51"/>
      <c r="L37" s="51"/>
      <c r="M37" s="51"/>
      <c r="N37" s="51"/>
      <c r="O37" s="51"/>
      <c r="P37" s="51"/>
      <c r="Q37" s="51"/>
      <c r="R37" s="51"/>
      <c r="S37" s="51"/>
      <c r="T37" s="51"/>
      <c r="U37" s="51"/>
      <c r="V37" s="51"/>
      <c r="W37" s="51"/>
      <c r="X37" s="51"/>
      <c r="Y37" s="51"/>
      <c r="Z37" s="51"/>
      <c r="AA37" s="51"/>
    </row>
    <row r="38" ht="15.75" customHeight="1">
      <c r="A38" s="109"/>
      <c r="B38" s="135" t="s">
        <v>137</v>
      </c>
      <c r="C38" s="123"/>
      <c r="D38" s="136">
        <v>320.0</v>
      </c>
      <c r="E38" s="125">
        <v>5.0</v>
      </c>
      <c r="F38" s="126">
        <f t="array" ref="F38">ROUNDUP(IF(EQ(A38, ""),D38*INDEX(UncertaintyFactors!$C$2:$D$7, E38, 1), 0), 1)</f>
        <v>320</v>
      </c>
      <c r="G38" s="127">
        <f t="array" ref="G38">ROUNDUP(IF(EQ(A38, ""), D38*INDEX(UncertaintyFactors!$C$2:$D$7, E38, 2), 0), 1)</f>
        <v>400</v>
      </c>
      <c r="H38" s="139" t="s">
        <v>138</v>
      </c>
      <c r="I38" s="111"/>
      <c r="J38" s="112"/>
      <c r="K38" s="51"/>
      <c r="L38" s="51"/>
      <c r="M38" s="51"/>
      <c r="N38" s="51"/>
      <c r="O38" s="51"/>
      <c r="P38" s="51"/>
      <c r="Q38" s="51"/>
      <c r="R38" s="51"/>
      <c r="S38" s="51"/>
      <c r="T38" s="51"/>
      <c r="U38" s="51"/>
      <c r="V38" s="51"/>
      <c r="W38" s="51"/>
      <c r="X38" s="51"/>
      <c r="Y38" s="51"/>
      <c r="Z38" s="51"/>
      <c r="AA38" s="51"/>
    </row>
    <row r="39" ht="15.75" customHeight="1">
      <c r="A39" s="109"/>
      <c r="B39" s="135" t="s">
        <v>139</v>
      </c>
      <c r="C39" s="123"/>
      <c r="D39" s="136">
        <v>120.0</v>
      </c>
      <c r="E39" s="125">
        <v>5.0</v>
      </c>
      <c r="F39" s="126">
        <f t="array" ref="F39">ROUNDUP(IF(EQ(A39, ""),D39*INDEX(UncertaintyFactors!$C$2:$D$7, E39, 1), 0), 1)</f>
        <v>120</v>
      </c>
      <c r="G39" s="127">
        <f t="array" ref="G39">ROUNDUP(IF(EQ(A39, ""), D39*INDEX(UncertaintyFactors!$C$2:$D$7, E39, 2), 0), 1)</f>
        <v>150</v>
      </c>
      <c r="H39" s="133" t="s">
        <v>140</v>
      </c>
      <c r="I39" s="111"/>
      <c r="J39" s="112"/>
      <c r="K39" s="51"/>
      <c r="L39" s="51"/>
      <c r="M39" s="51"/>
      <c r="N39" s="51"/>
      <c r="O39" s="51"/>
      <c r="P39" s="51"/>
      <c r="Q39" s="51"/>
      <c r="R39" s="51"/>
      <c r="S39" s="51"/>
      <c r="T39" s="51"/>
      <c r="U39" s="51"/>
      <c r="V39" s="51"/>
      <c r="W39" s="51"/>
      <c r="X39" s="51"/>
      <c r="Y39" s="51"/>
      <c r="Z39" s="51"/>
      <c r="AA39" s="51"/>
    </row>
    <row r="40" ht="15.75" customHeight="1">
      <c r="A40" s="109"/>
      <c r="B40" s="138"/>
      <c r="C40" s="123"/>
      <c r="D40" s="123"/>
      <c r="E40" s="125">
        <v>6.0</v>
      </c>
      <c r="F40" s="126">
        <f t="array" ref="F40">ROUNDUP(IF(EQ(A40, ""),D40*INDEX(UncertaintyFactors!$C$2:$D$7, E40, 1), 0), 1)</f>
        <v>0</v>
      </c>
      <c r="G40" s="127">
        <f t="array" ref="G40">ROUNDUP(IF(EQ(A40, ""), D40*INDEX(UncertaintyFactors!$C$2:$D$7, E40, 2), 0), 1)</f>
        <v>0</v>
      </c>
      <c r="H40" s="140"/>
      <c r="I40" s="111"/>
      <c r="J40" s="112"/>
      <c r="K40" s="51"/>
      <c r="L40" s="51"/>
      <c r="M40" s="51"/>
      <c r="N40" s="51"/>
      <c r="O40" s="51"/>
      <c r="P40" s="51"/>
      <c r="Q40" s="51"/>
      <c r="R40" s="51"/>
      <c r="S40" s="51"/>
      <c r="T40" s="51"/>
      <c r="U40" s="51"/>
      <c r="V40" s="51"/>
      <c r="W40" s="51"/>
      <c r="X40" s="51"/>
      <c r="Y40" s="51"/>
      <c r="Z40" s="51"/>
      <c r="AA40" s="51"/>
    </row>
    <row r="41" ht="15.75" customHeight="1">
      <c r="A41" s="109"/>
      <c r="B41" s="135" t="s">
        <v>141</v>
      </c>
      <c r="C41" s="123"/>
      <c r="D41" s="136">
        <v>40.0</v>
      </c>
      <c r="E41" s="125">
        <v>6.0</v>
      </c>
      <c r="F41" s="126">
        <f t="array" ref="F41">ROUNDUP(IF(EQ(A41, ""),D41*INDEX(UncertaintyFactors!$C$2:$D$7, E41, 1), 0), 1)</f>
        <v>40</v>
      </c>
      <c r="G41" s="127">
        <f t="array" ref="G41">ROUNDUP(IF(EQ(A41, ""), D41*INDEX(UncertaintyFactors!$C$2:$D$7, E41, 2), 0), 1)</f>
        <v>40</v>
      </c>
      <c r="H41" s="141" t="s">
        <v>142</v>
      </c>
      <c r="I41" s="111"/>
      <c r="J41" s="112"/>
      <c r="K41" s="51"/>
      <c r="L41" s="51"/>
      <c r="M41" s="51"/>
      <c r="N41" s="51"/>
      <c r="O41" s="51"/>
      <c r="P41" s="51"/>
      <c r="Q41" s="51"/>
      <c r="R41" s="51"/>
      <c r="S41" s="51"/>
      <c r="T41" s="51"/>
      <c r="U41" s="51"/>
      <c r="V41" s="51"/>
      <c r="W41" s="51"/>
      <c r="X41" s="51"/>
      <c r="Y41" s="51"/>
      <c r="Z41" s="51"/>
      <c r="AA41" s="51"/>
    </row>
    <row r="42" ht="15.75" customHeight="1">
      <c r="A42" s="109"/>
      <c r="B42" s="135" t="s">
        <v>143</v>
      </c>
      <c r="C42" s="123"/>
      <c r="D42" s="136">
        <v>80.0</v>
      </c>
      <c r="E42" s="125">
        <v>5.0</v>
      </c>
      <c r="F42" s="126">
        <f t="array" ref="F42">ROUNDUP(IF(EQ(A42, ""),D42*INDEX(UncertaintyFactors!$C$2:$D$7, E42, 1), 0), 1)</f>
        <v>80</v>
      </c>
      <c r="G42" s="127">
        <f t="array" ref="G42">ROUNDUP(IF(EQ(A42, ""), D42*INDEX(UncertaintyFactors!$C$2:$D$7, E42, 2), 0), 1)</f>
        <v>100</v>
      </c>
      <c r="H42" s="141" t="s">
        <v>144</v>
      </c>
      <c r="I42" s="111"/>
      <c r="J42" s="112"/>
      <c r="K42" s="51"/>
      <c r="L42" s="51"/>
      <c r="M42" s="51"/>
      <c r="N42" s="51"/>
      <c r="O42" s="51"/>
      <c r="P42" s="51"/>
      <c r="Q42" s="51"/>
      <c r="R42" s="51"/>
      <c r="S42" s="51"/>
      <c r="T42" s="51"/>
      <c r="U42" s="51"/>
      <c r="V42" s="51"/>
      <c r="W42" s="51"/>
      <c r="X42" s="51"/>
      <c r="Y42" s="51"/>
      <c r="Z42" s="51"/>
      <c r="AA42" s="51"/>
    </row>
    <row r="43" ht="15.75" customHeight="1">
      <c r="A43" s="109"/>
      <c r="B43" s="110"/>
      <c r="C43" s="51"/>
      <c r="D43" s="51"/>
      <c r="E43" s="109">
        <v>6.0</v>
      </c>
      <c r="F43" s="85">
        <f t="array" ref="F43">ROUNDUP(IF(EQ(A43, ""),D43*INDEX(UncertaintyFactors!$C$2:$D$7, E43, 1), 0), 1)</f>
        <v>0</v>
      </c>
      <c r="G43" s="86">
        <f t="array" ref="G43">ROUNDUP(IF(EQ(A43, ""), D43*INDEX(UncertaintyFactors!$C$2:$D$7, E43, 2), 0), 1)</f>
        <v>0</v>
      </c>
      <c r="H43" s="111"/>
      <c r="I43" s="111"/>
      <c r="J43" s="112"/>
      <c r="K43" s="51"/>
      <c r="L43" s="51"/>
      <c r="M43" s="51"/>
      <c r="N43" s="51"/>
      <c r="O43" s="51"/>
      <c r="P43" s="51"/>
      <c r="Q43" s="51"/>
      <c r="R43" s="51"/>
      <c r="S43" s="51"/>
      <c r="T43" s="51"/>
      <c r="U43" s="51"/>
      <c r="V43" s="51"/>
      <c r="W43" s="51"/>
      <c r="X43" s="51"/>
      <c r="Y43" s="51"/>
      <c r="Z43" s="51"/>
      <c r="AA43" s="51"/>
    </row>
    <row r="44" ht="15.75" customHeight="1">
      <c r="A44" s="109"/>
      <c r="B44" s="110"/>
      <c r="C44" s="51"/>
      <c r="D44" s="51"/>
      <c r="E44" s="109">
        <v>6.0</v>
      </c>
      <c r="F44" s="85">
        <f t="array" ref="F44">ROUNDUP(IF(EQ(A44, ""),D44*INDEX(UncertaintyFactors!$C$2:$D$7, E44, 1), 0), 1)</f>
        <v>0</v>
      </c>
      <c r="G44" s="86">
        <f t="array" ref="G44">ROUNDUP(IF(EQ(A44, ""), D44*INDEX(UncertaintyFactors!$C$2:$D$7, E44, 2), 0), 1)</f>
        <v>0</v>
      </c>
      <c r="H44" s="111"/>
      <c r="I44" s="111"/>
      <c r="J44" s="112"/>
      <c r="K44" s="51"/>
      <c r="L44" s="51"/>
      <c r="M44" s="51"/>
      <c r="N44" s="51"/>
      <c r="O44" s="51"/>
      <c r="P44" s="51"/>
      <c r="Q44" s="51"/>
      <c r="R44" s="51"/>
      <c r="S44" s="51"/>
      <c r="T44" s="51"/>
      <c r="U44" s="51"/>
      <c r="V44" s="51"/>
      <c r="W44" s="51"/>
      <c r="X44" s="51"/>
      <c r="Y44" s="51"/>
      <c r="Z44" s="51"/>
      <c r="AA44" s="51"/>
    </row>
    <row r="45" ht="15.75" customHeight="1">
      <c r="A45" s="109"/>
      <c r="B45" s="110"/>
      <c r="C45" s="51"/>
      <c r="D45" s="51"/>
      <c r="E45" s="109">
        <v>6.0</v>
      </c>
      <c r="F45" s="85">
        <f t="array" ref="F45">ROUNDUP(IF(EQ(A45, ""),D45*INDEX(UncertaintyFactors!$C$2:$D$7, E45, 1), 0), 1)</f>
        <v>0</v>
      </c>
      <c r="G45" s="86">
        <f t="array" ref="G45">ROUNDUP(IF(EQ(A45, ""), D45*INDEX(UncertaintyFactors!$C$2:$D$7, E45, 2), 0), 1)</f>
        <v>0</v>
      </c>
      <c r="H45" s="111"/>
      <c r="I45" s="111"/>
      <c r="J45" s="112"/>
      <c r="K45" s="51"/>
      <c r="L45" s="51"/>
      <c r="M45" s="51"/>
      <c r="N45" s="51"/>
      <c r="O45" s="51"/>
      <c r="P45" s="51"/>
      <c r="Q45" s="51"/>
      <c r="R45" s="51"/>
      <c r="S45" s="51"/>
      <c r="T45" s="51"/>
      <c r="U45" s="51"/>
      <c r="V45" s="51"/>
      <c r="W45" s="51"/>
      <c r="X45" s="51"/>
      <c r="Y45" s="51"/>
      <c r="Z45" s="51"/>
      <c r="AA45" s="51"/>
    </row>
    <row r="46" ht="15.75" customHeight="1">
      <c r="A46" s="109"/>
      <c r="B46" s="114"/>
      <c r="C46" s="51"/>
      <c r="D46" s="51"/>
      <c r="E46" s="109">
        <v>6.0</v>
      </c>
      <c r="F46" s="85">
        <f t="array" ref="F46">ROUNDUP(IF(EQ(A46, ""),D46*INDEX(UncertaintyFactors!$C$2:$D$7, E46, 1), 0), 1)</f>
        <v>0</v>
      </c>
      <c r="G46" s="86">
        <f t="array" ref="G46">ROUNDUP(IF(EQ(A46, ""), D46*INDEX(UncertaintyFactors!$C$2:$D$7, E46, 2), 0), 1)</f>
        <v>0</v>
      </c>
      <c r="H46" s="111"/>
      <c r="I46" s="111"/>
      <c r="J46" s="112"/>
      <c r="K46" s="51"/>
      <c r="L46" s="51"/>
      <c r="M46" s="51"/>
      <c r="N46" s="51"/>
      <c r="O46" s="51"/>
      <c r="P46" s="51"/>
      <c r="Q46" s="51"/>
      <c r="R46" s="51"/>
      <c r="S46" s="51"/>
      <c r="T46" s="51"/>
      <c r="U46" s="51"/>
      <c r="V46" s="51"/>
      <c r="W46" s="51"/>
      <c r="X46" s="51"/>
      <c r="Y46" s="51"/>
      <c r="Z46" s="51"/>
      <c r="AA46" s="51"/>
    </row>
    <row r="47" ht="15.75" customHeight="1">
      <c r="A47" s="109"/>
      <c r="B47" s="110"/>
      <c r="C47" s="51"/>
      <c r="D47" s="51"/>
      <c r="E47" s="109">
        <v>6.0</v>
      </c>
      <c r="F47" s="85">
        <f t="array" ref="F47">ROUNDUP(IF(EQ(A47, ""),D47*INDEX(UncertaintyFactors!$C$2:$D$7, E47, 1), 0), 1)</f>
        <v>0</v>
      </c>
      <c r="G47" s="86">
        <f t="array" ref="G47">ROUNDUP(IF(EQ(A47, ""), D47*INDEX(UncertaintyFactors!$C$2:$D$7, E47, 2), 0), 1)</f>
        <v>0</v>
      </c>
      <c r="H47" s="111"/>
      <c r="I47" s="111"/>
      <c r="J47" s="112"/>
      <c r="K47" s="51"/>
      <c r="L47" s="51"/>
      <c r="M47" s="51"/>
      <c r="N47" s="51"/>
      <c r="O47" s="51"/>
      <c r="P47" s="51"/>
      <c r="Q47" s="51"/>
      <c r="R47" s="51"/>
      <c r="S47" s="51"/>
      <c r="T47" s="51"/>
      <c r="U47" s="51"/>
      <c r="V47" s="51"/>
      <c r="W47" s="51"/>
      <c r="X47" s="51"/>
      <c r="Y47" s="51"/>
      <c r="Z47" s="51"/>
      <c r="AA47" s="51"/>
    </row>
    <row r="48" ht="15.75" customHeight="1">
      <c r="A48" s="109"/>
      <c r="B48" s="110"/>
      <c r="C48" s="51"/>
      <c r="D48" s="51"/>
      <c r="E48" s="109">
        <v>6.0</v>
      </c>
      <c r="F48" s="85">
        <f t="array" ref="F48">ROUNDUP(IF(EQ(A48, ""),D48*INDEX(UncertaintyFactors!$C$2:$D$7, E48, 1), 0), 1)</f>
        <v>0</v>
      </c>
      <c r="G48" s="86">
        <f t="array" ref="G48">ROUNDUP(IF(EQ(A48, ""), D48*INDEX(UncertaintyFactors!$C$2:$D$7, E48, 2), 0), 1)</f>
        <v>0</v>
      </c>
      <c r="H48" s="111"/>
      <c r="I48" s="111"/>
      <c r="J48" s="112"/>
      <c r="K48" s="51"/>
      <c r="L48" s="51"/>
      <c r="M48" s="51"/>
      <c r="N48" s="51"/>
      <c r="O48" s="51"/>
      <c r="P48" s="51"/>
      <c r="Q48" s="51"/>
      <c r="R48" s="51"/>
      <c r="S48" s="51"/>
      <c r="T48" s="51"/>
      <c r="U48" s="51"/>
      <c r="V48" s="51"/>
      <c r="W48" s="51"/>
      <c r="X48" s="51"/>
      <c r="Y48" s="51"/>
      <c r="Z48" s="51"/>
      <c r="AA48" s="51"/>
    </row>
    <row r="49" ht="15.75" customHeight="1">
      <c r="A49" s="109"/>
      <c r="B49" s="110"/>
      <c r="C49" s="51"/>
      <c r="D49" s="51"/>
      <c r="E49" s="109">
        <v>6.0</v>
      </c>
      <c r="F49" s="85">
        <f t="array" ref="F49">ROUNDUP(IF(EQ(A49, ""),D49*INDEX(UncertaintyFactors!$C$2:$D$7, E49, 1), 0), 1)</f>
        <v>0</v>
      </c>
      <c r="G49" s="86">
        <f t="array" ref="G49">ROUNDUP(IF(EQ(A49, ""), D49*INDEX(UncertaintyFactors!$C$2:$D$7, E49, 2), 0), 1)</f>
        <v>0</v>
      </c>
      <c r="H49" s="111"/>
      <c r="I49" s="111"/>
      <c r="J49" s="112"/>
      <c r="K49" s="51"/>
      <c r="L49" s="51"/>
      <c r="M49" s="51"/>
      <c r="N49" s="51"/>
      <c r="O49" s="51"/>
      <c r="P49" s="51"/>
      <c r="Q49" s="51"/>
      <c r="R49" s="51"/>
      <c r="S49" s="51"/>
      <c r="T49" s="51"/>
      <c r="U49" s="51"/>
      <c r="V49" s="51"/>
      <c r="W49" s="51"/>
      <c r="X49" s="51"/>
      <c r="Y49" s="51"/>
      <c r="Z49" s="51"/>
      <c r="AA49" s="51"/>
    </row>
    <row r="50" ht="15.75" customHeight="1">
      <c r="A50" s="109"/>
      <c r="B50" s="110"/>
      <c r="C50" s="51"/>
      <c r="D50" s="51"/>
      <c r="E50" s="109">
        <v>6.0</v>
      </c>
      <c r="F50" s="85">
        <f t="array" ref="F50">ROUNDUP(IF(EQ(A50, ""),D50*INDEX(UncertaintyFactors!$C$2:$D$7, E50, 1), 0), 1)</f>
        <v>0</v>
      </c>
      <c r="G50" s="86">
        <f t="array" ref="G50">ROUNDUP(IF(EQ(A50, ""), D50*INDEX(UncertaintyFactors!$C$2:$D$7, E50, 2), 0), 1)</f>
        <v>0</v>
      </c>
      <c r="H50" s="111"/>
      <c r="I50" s="111"/>
      <c r="J50" s="112"/>
      <c r="K50" s="51"/>
      <c r="L50" s="51"/>
      <c r="M50" s="51"/>
      <c r="N50" s="51"/>
      <c r="O50" s="51"/>
      <c r="P50" s="51"/>
      <c r="Q50" s="51"/>
      <c r="R50" s="51"/>
      <c r="S50" s="51"/>
      <c r="T50" s="51"/>
      <c r="U50" s="51"/>
      <c r="V50" s="51"/>
      <c r="W50" s="51"/>
      <c r="X50" s="51"/>
      <c r="Y50" s="51"/>
      <c r="Z50" s="51"/>
      <c r="AA50" s="51"/>
    </row>
    <row r="51" ht="15.75" customHeight="1">
      <c r="A51" s="109"/>
      <c r="B51" s="114"/>
      <c r="C51" s="51"/>
      <c r="D51" s="51"/>
      <c r="E51" s="109">
        <v>6.0</v>
      </c>
      <c r="F51" s="85">
        <f t="array" ref="F51">ROUNDUP(IF(EQ(A51, ""),D51*INDEX(UncertaintyFactors!$C$2:$D$7, E51, 1), 0), 1)</f>
        <v>0</v>
      </c>
      <c r="G51" s="86">
        <f t="array" ref="G51">ROUNDUP(IF(EQ(A51, ""), D51*INDEX(UncertaintyFactors!$C$2:$D$7, E51, 2), 0), 1)</f>
        <v>0</v>
      </c>
      <c r="H51" s="111"/>
      <c r="I51" s="111"/>
      <c r="J51" s="112"/>
      <c r="K51" s="51"/>
      <c r="L51" s="51"/>
      <c r="M51" s="51"/>
      <c r="N51" s="51"/>
      <c r="O51" s="51"/>
      <c r="P51" s="51"/>
      <c r="Q51" s="51"/>
      <c r="R51" s="51"/>
      <c r="S51" s="51"/>
      <c r="T51" s="51"/>
      <c r="U51" s="51"/>
      <c r="V51" s="51"/>
      <c r="W51" s="51"/>
      <c r="X51" s="51"/>
      <c r="Y51" s="51"/>
      <c r="Z51" s="51"/>
      <c r="AA51" s="51"/>
    </row>
    <row r="52" ht="15.75" customHeight="1">
      <c r="A52" s="109"/>
      <c r="B52" s="110"/>
      <c r="C52" s="51"/>
      <c r="D52" s="51"/>
      <c r="E52" s="109">
        <v>6.0</v>
      </c>
      <c r="F52" s="85">
        <f t="array" ref="F52">ROUNDUP(IF(EQ(A52, ""),D52*INDEX(UncertaintyFactors!$C$2:$D$7, E52, 1), 0), 1)</f>
        <v>0</v>
      </c>
      <c r="G52" s="86">
        <f t="array" ref="G52">ROUNDUP(IF(EQ(A52, ""), D52*INDEX(UncertaintyFactors!$C$2:$D$7, E52, 2), 0), 1)</f>
        <v>0</v>
      </c>
      <c r="H52" s="111"/>
      <c r="I52" s="111"/>
      <c r="J52" s="112"/>
      <c r="K52" s="51"/>
      <c r="L52" s="51"/>
      <c r="M52" s="51"/>
      <c r="N52" s="51"/>
      <c r="O52" s="51"/>
      <c r="P52" s="51"/>
      <c r="Q52" s="51"/>
      <c r="R52" s="51"/>
      <c r="S52" s="51"/>
      <c r="T52" s="51"/>
      <c r="U52" s="51"/>
      <c r="V52" s="51"/>
      <c r="W52" s="51"/>
      <c r="X52" s="51"/>
      <c r="Y52" s="51"/>
      <c r="Z52" s="51"/>
      <c r="AA52" s="51"/>
    </row>
    <row r="53" ht="15.75" customHeight="1">
      <c r="A53" s="109"/>
      <c r="B53" s="110"/>
      <c r="C53" s="51"/>
      <c r="D53" s="51"/>
      <c r="E53" s="109">
        <v>6.0</v>
      </c>
      <c r="F53" s="85">
        <f t="array" ref="F53">ROUNDUP(IF(EQ(A53, ""),D53*INDEX(UncertaintyFactors!$C$2:$D$7, E53, 1), 0), 1)</f>
        <v>0</v>
      </c>
      <c r="G53" s="86">
        <f t="array" ref="G53">ROUNDUP(IF(EQ(A53, ""), D53*INDEX(UncertaintyFactors!$C$2:$D$7, E53, 2), 0), 1)</f>
        <v>0</v>
      </c>
      <c r="H53" s="111"/>
      <c r="I53" s="111"/>
      <c r="J53" s="112"/>
      <c r="K53" s="51"/>
      <c r="L53" s="51"/>
      <c r="M53" s="51"/>
      <c r="N53" s="51"/>
      <c r="O53" s="51"/>
      <c r="P53" s="51"/>
      <c r="Q53" s="51"/>
      <c r="R53" s="51"/>
      <c r="S53" s="51"/>
      <c r="T53" s="51"/>
      <c r="U53" s="51"/>
      <c r="V53" s="51"/>
      <c r="W53" s="51"/>
      <c r="X53" s="51"/>
      <c r="Y53" s="51"/>
      <c r="Z53" s="51"/>
      <c r="AA53" s="51"/>
    </row>
    <row r="54" ht="15.75" customHeight="1">
      <c r="A54" s="109"/>
      <c r="B54" s="110"/>
      <c r="C54" s="51"/>
      <c r="D54" s="51"/>
      <c r="E54" s="109">
        <v>6.0</v>
      </c>
      <c r="F54" s="85">
        <f t="array" ref="F54">ROUNDUP(IF(EQ(A54, ""),D54*INDEX(UncertaintyFactors!$C$2:$D$7, E54, 1), 0), 1)</f>
        <v>0</v>
      </c>
      <c r="G54" s="86">
        <f t="array" ref="G54">ROUNDUP(IF(EQ(A54, ""), D54*INDEX(UncertaintyFactors!$C$2:$D$7, E54, 2), 0), 1)</f>
        <v>0</v>
      </c>
      <c r="H54" s="111"/>
      <c r="I54" s="111"/>
      <c r="J54" s="112"/>
      <c r="K54" s="51"/>
      <c r="L54" s="51"/>
      <c r="M54" s="51"/>
      <c r="N54" s="51"/>
      <c r="O54" s="51"/>
      <c r="P54" s="51"/>
      <c r="Q54" s="51"/>
      <c r="R54" s="51"/>
      <c r="S54" s="51"/>
      <c r="T54" s="51"/>
      <c r="U54" s="51"/>
      <c r="V54" s="51"/>
      <c r="W54" s="51"/>
      <c r="X54" s="51"/>
      <c r="Y54" s="51"/>
      <c r="Z54" s="51"/>
      <c r="AA54" s="51"/>
    </row>
    <row r="55" ht="15.75" customHeight="1">
      <c r="A55" s="109"/>
      <c r="B55" s="110"/>
      <c r="C55" s="51"/>
      <c r="D55" s="51"/>
      <c r="E55" s="109">
        <v>6.0</v>
      </c>
      <c r="F55" s="85">
        <f t="array" ref="F55">ROUNDUP(IF(EQ(A55, ""),D55*INDEX(UncertaintyFactors!$C$2:$D$7, E55, 1), 0), 1)</f>
        <v>0</v>
      </c>
      <c r="G55" s="86">
        <f t="array" ref="G55">ROUNDUP(IF(EQ(A55, ""), D55*INDEX(UncertaintyFactors!$C$2:$D$7, E55, 2), 0), 1)</f>
        <v>0</v>
      </c>
      <c r="H55" s="111"/>
      <c r="I55" s="111"/>
      <c r="J55" s="112"/>
      <c r="K55" s="51"/>
      <c r="L55" s="51"/>
      <c r="M55" s="51"/>
      <c r="N55" s="51"/>
      <c r="O55" s="51"/>
      <c r="P55" s="51"/>
      <c r="Q55" s="51"/>
      <c r="R55" s="51"/>
      <c r="S55" s="51"/>
      <c r="T55" s="51"/>
      <c r="U55" s="51"/>
      <c r="V55" s="51"/>
      <c r="W55" s="51"/>
      <c r="X55" s="51"/>
      <c r="Y55" s="51"/>
      <c r="Z55" s="51"/>
      <c r="AA55" s="51"/>
    </row>
    <row r="56" ht="15.75" customHeight="1">
      <c r="A56" s="109"/>
      <c r="B56" s="110"/>
      <c r="C56" s="51"/>
      <c r="D56" s="51"/>
      <c r="E56" s="109">
        <v>6.0</v>
      </c>
      <c r="F56" s="85">
        <f t="array" ref="F56">ROUNDUP(IF(EQ(A56, ""),D56*INDEX(UncertaintyFactors!$C$2:$D$7, E56, 1), 0), 1)</f>
        <v>0</v>
      </c>
      <c r="G56" s="86">
        <f t="array" ref="G56">ROUNDUP(IF(EQ(A56, ""), D56*INDEX(UncertaintyFactors!$C$2:$D$7, E56, 2), 0), 1)</f>
        <v>0</v>
      </c>
      <c r="H56" s="111"/>
      <c r="I56" s="111"/>
      <c r="J56" s="112"/>
      <c r="K56" s="51"/>
      <c r="L56" s="51"/>
      <c r="M56" s="51"/>
      <c r="N56" s="51"/>
      <c r="O56" s="51"/>
      <c r="P56" s="51"/>
      <c r="Q56" s="51"/>
      <c r="R56" s="51"/>
      <c r="S56" s="51"/>
      <c r="T56" s="51"/>
      <c r="U56" s="51"/>
      <c r="V56" s="51"/>
      <c r="W56" s="51"/>
      <c r="X56" s="51"/>
      <c r="Y56" s="51"/>
      <c r="Z56" s="51"/>
      <c r="AA56" s="51"/>
    </row>
    <row r="57" ht="15.75" customHeight="1">
      <c r="A57" s="109"/>
      <c r="B57" s="110"/>
      <c r="C57" s="51"/>
      <c r="D57" s="51"/>
      <c r="E57" s="109">
        <v>6.0</v>
      </c>
      <c r="F57" s="85">
        <f t="array" ref="F57">ROUNDUP(IF(EQ(A57, ""),D57*INDEX(UncertaintyFactors!$C$2:$D$7, E57, 1), 0), 1)</f>
        <v>0</v>
      </c>
      <c r="G57" s="86">
        <f t="array" ref="G57">ROUNDUP(IF(EQ(A57, ""), D57*INDEX(UncertaintyFactors!$C$2:$D$7, E57, 2), 0), 1)</f>
        <v>0</v>
      </c>
      <c r="H57" s="111"/>
      <c r="I57" s="111"/>
      <c r="J57" s="112"/>
      <c r="K57" s="51"/>
      <c r="L57" s="51"/>
      <c r="M57" s="51"/>
      <c r="N57" s="51"/>
      <c r="O57" s="51"/>
      <c r="P57" s="51"/>
      <c r="Q57" s="51"/>
      <c r="R57" s="51"/>
      <c r="S57" s="51"/>
      <c r="T57" s="51"/>
      <c r="U57" s="51"/>
      <c r="V57" s="51"/>
      <c r="W57" s="51"/>
      <c r="X57" s="51"/>
      <c r="Y57" s="51"/>
      <c r="Z57" s="51"/>
      <c r="AA57" s="51"/>
    </row>
    <row r="58" ht="15.75" customHeight="1">
      <c r="A58" s="109"/>
      <c r="B58" s="110"/>
      <c r="C58" s="51"/>
      <c r="D58" s="51"/>
      <c r="E58" s="109">
        <v>6.0</v>
      </c>
      <c r="F58" s="85">
        <f t="array" ref="F58">ROUNDUP(IF(EQ(A58, ""),D58*INDEX(UncertaintyFactors!$C$2:$D$7, E58, 1), 0), 1)</f>
        <v>0</v>
      </c>
      <c r="G58" s="86">
        <f t="array" ref="G58">ROUNDUP(IF(EQ(A58, ""), D58*INDEX(UncertaintyFactors!$C$2:$D$7, E58, 2), 0), 1)</f>
        <v>0</v>
      </c>
      <c r="H58" s="111"/>
      <c r="I58" s="111"/>
      <c r="J58" s="112"/>
      <c r="K58" s="51"/>
      <c r="L58" s="51"/>
      <c r="M58" s="51"/>
      <c r="N58" s="51"/>
      <c r="O58" s="51"/>
      <c r="P58" s="51"/>
      <c r="Q58" s="51"/>
      <c r="R58" s="51"/>
      <c r="S58" s="51"/>
      <c r="T58" s="51"/>
      <c r="U58" s="51"/>
      <c r="V58" s="51"/>
      <c r="W58" s="51"/>
      <c r="X58" s="51"/>
      <c r="Y58" s="51"/>
      <c r="Z58" s="51"/>
      <c r="AA58" s="51"/>
    </row>
    <row r="59" ht="15.75" customHeight="1">
      <c r="A59" s="109"/>
      <c r="B59" s="110"/>
      <c r="C59" s="51"/>
      <c r="D59" s="51"/>
      <c r="E59" s="109">
        <v>6.0</v>
      </c>
      <c r="F59" s="85">
        <f t="array" ref="F59">ROUNDUP(IF(EQ(A59, ""),D59*INDEX(UncertaintyFactors!$C$2:$D$7, E59, 1), 0), 1)</f>
        <v>0</v>
      </c>
      <c r="G59" s="86">
        <f t="array" ref="G59">ROUNDUP(IF(EQ(A59, ""), D59*INDEX(UncertaintyFactors!$C$2:$D$7, E59, 2), 0), 1)</f>
        <v>0</v>
      </c>
      <c r="H59" s="111"/>
      <c r="I59" s="111"/>
      <c r="J59" s="112"/>
      <c r="K59" s="51"/>
      <c r="L59" s="51"/>
      <c r="M59" s="51"/>
      <c r="N59" s="51"/>
      <c r="O59" s="51"/>
      <c r="P59" s="51"/>
      <c r="Q59" s="51"/>
      <c r="R59" s="51"/>
      <c r="S59" s="51"/>
      <c r="T59" s="51"/>
      <c r="U59" s="51"/>
      <c r="V59" s="51"/>
      <c r="W59" s="51"/>
      <c r="X59" s="51"/>
      <c r="Y59" s="51"/>
      <c r="Z59" s="51"/>
      <c r="AA59" s="51"/>
    </row>
    <row r="60" ht="15.75" customHeight="1">
      <c r="A60" s="109"/>
      <c r="B60" s="110"/>
      <c r="C60" s="51"/>
      <c r="D60" s="51"/>
      <c r="E60" s="109">
        <v>6.0</v>
      </c>
      <c r="F60" s="85">
        <f t="array" ref="F60">ROUNDUP(IF(EQ(A60, ""),D60*INDEX(UncertaintyFactors!$C$2:$D$7, E60, 1), 0), 1)</f>
        <v>0</v>
      </c>
      <c r="G60" s="86">
        <f t="array" ref="G60">ROUNDUP(IF(EQ(A60, ""), D60*INDEX(UncertaintyFactors!$C$2:$D$7, E60, 2), 0), 1)</f>
        <v>0</v>
      </c>
      <c r="H60" s="111"/>
      <c r="I60" s="111"/>
      <c r="J60" s="112"/>
      <c r="K60" s="51"/>
      <c r="L60" s="51"/>
      <c r="M60" s="51"/>
      <c r="N60" s="51"/>
      <c r="O60" s="51"/>
      <c r="P60" s="51"/>
      <c r="Q60" s="51"/>
      <c r="R60" s="51"/>
      <c r="S60" s="51"/>
      <c r="T60" s="51"/>
      <c r="U60" s="51"/>
      <c r="V60" s="51"/>
      <c r="W60" s="51"/>
      <c r="X60" s="51"/>
      <c r="Y60" s="51"/>
      <c r="Z60" s="51"/>
      <c r="AA60" s="51"/>
    </row>
    <row r="61" ht="15.75" customHeight="1">
      <c r="A61" s="109"/>
      <c r="B61" s="110"/>
      <c r="C61" s="51"/>
      <c r="D61" s="51"/>
      <c r="E61" s="109">
        <v>6.0</v>
      </c>
      <c r="F61" s="85">
        <f t="array" ref="F61">ROUNDUP(IF(EQ(A61, ""),D61*INDEX(UncertaintyFactors!$C$2:$D$7, E61, 1), 0), 1)</f>
        <v>0</v>
      </c>
      <c r="G61" s="86">
        <f t="array" ref="G61">ROUNDUP(IF(EQ(A61, ""), D61*INDEX(UncertaintyFactors!$C$2:$D$7, E61, 2), 0), 1)</f>
        <v>0</v>
      </c>
      <c r="H61" s="111"/>
      <c r="I61" s="111"/>
      <c r="J61" s="112"/>
      <c r="K61" s="51"/>
      <c r="L61" s="51"/>
      <c r="M61" s="51"/>
      <c r="N61" s="51"/>
      <c r="O61" s="51"/>
      <c r="P61" s="51"/>
      <c r="Q61" s="51"/>
      <c r="R61" s="51"/>
      <c r="S61" s="51"/>
      <c r="T61" s="51"/>
      <c r="U61" s="51"/>
      <c r="V61" s="51"/>
      <c r="W61" s="51"/>
      <c r="X61" s="51"/>
      <c r="Y61" s="51"/>
      <c r="Z61" s="51"/>
      <c r="AA61" s="51"/>
    </row>
    <row r="62" ht="15.75" customHeight="1">
      <c r="A62" s="109"/>
      <c r="B62" s="110"/>
      <c r="C62" s="51"/>
      <c r="D62" s="51"/>
      <c r="E62" s="109">
        <v>6.0</v>
      </c>
      <c r="F62" s="85">
        <f t="array" ref="F62">ROUNDUP(IF(EQ(A62, ""),D62*INDEX(UncertaintyFactors!$C$2:$D$7, E62, 1), 0), 1)</f>
        <v>0</v>
      </c>
      <c r="G62" s="86">
        <f t="array" ref="G62">ROUNDUP(IF(EQ(A62, ""), D62*INDEX(UncertaintyFactors!$C$2:$D$7, E62, 2), 0), 1)</f>
        <v>0</v>
      </c>
      <c r="H62" s="111"/>
      <c r="I62" s="111"/>
      <c r="J62" s="112"/>
      <c r="K62" s="51"/>
      <c r="L62" s="51"/>
      <c r="M62" s="51"/>
      <c r="N62" s="51"/>
      <c r="O62" s="51"/>
      <c r="P62" s="51"/>
      <c r="Q62" s="51"/>
      <c r="R62" s="51"/>
      <c r="S62" s="51"/>
      <c r="T62" s="51"/>
      <c r="U62" s="51"/>
      <c r="V62" s="51"/>
      <c r="W62" s="51"/>
      <c r="X62" s="51"/>
      <c r="Y62" s="51"/>
      <c r="Z62" s="51"/>
      <c r="AA62" s="51"/>
    </row>
    <row r="63" ht="15.75" customHeight="1">
      <c r="A63" s="109"/>
      <c r="B63" s="110"/>
      <c r="C63" s="51"/>
      <c r="D63" s="51"/>
      <c r="E63" s="109">
        <v>6.0</v>
      </c>
      <c r="F63" s="85">
        <f t="array" ref="F63">ROUNDUP(IF(EQ(A63, ""),D63*INDEX(UncertaintyFactors!$C$2:$D$7, E63, 1), 0), 1)</f>
        <v>0</v>
      </c>
      <c r="G63" s="86">
        <f t="array" ref="G63">ROUNDUP(IF(EQ(A63, ""), D63*INDEX(UncertaintyFactors!$C$2:$D$7, E63, 2), 0), 1)</f>
        <v>0</v>
      </c>
      <c r="H63" s="111"/>
      <c r="I63" s="111"/>
      <c r="J63" s="112"/>
      <c r="K63" s="51"/>
      <c r="L63" s="51"/>
      <c r="M63" s="51"/>
      <c r="N63" s="51"/>
      <c r="O63" s="51"/>
      <c r="P63" s="51"/>
      <c r="Q63" s="51"/>
      <c r="R63" s="51"/>
      <c r="S63" s="51"/>
      <c r="T63" s="51"/>
      <c r="U63" s="51"/>
      <c r="V63" s="51"/>
      <c r="W63" s="51"/>
      <c r="X63" s="51"/>
      <c r="Y63" s="51"/>
      <c r="Z63" s="51"/>
      <c r="AA63" s="51"/>
    </row>
    <row r="64" ht="15.75" customHeight="1">
      <c r="A64" s="109"/>
      <c r="B64" s="114"/>
      <c r="C64" s="51"/>
      <c r="D64" s="51"/>
      <c r="E64" s="109">
        <v>6.0</v>
      </c>
      <c r="F64" s="85">
        <f t="array" ref="F64">ROUNDUP(IF(EQ(A64, ""),D64*INDEX(UncertaintyFactors!$C$2:$D$7, E64, 1), 0), 1)</f>
        <v>0</v>
      </c>
      <c r="G64" s="86">
        <f t="array" ref="G64">ROUNDUP(IF(EQ(A64, ""), D64*INDEX(UncertaintyFactors!$C$2:$D$7, E64, 2), 0), 1)</f>
        <v>0</v>
      </c>
      <c r="H64" s="111"/>
      <c r="I64" s="111"/>
      <c r="J64" s="112"/>
      <c r="K64" s="51"/>
      <c r="L64" s="51"/>
      <c r="M64" s="51"/>
      <c r="N64" s="51"/>
      <c r="O64" s="51"/>
      <c r="P64" s="51"/>
      <c r="Q64" s="51"/>
      <c r="R64" s="51"/>
      <c r="S64" s="51"/>
      <c r="T64" s="51"/>
      <c r="U64" s="51"/>
      <c r="V64" s="51"/>
      <c r="W64" s="51"/>
      <c r="X64" s="51"/>
      <c r="Y64" s="51"/>
      <c r="Z64" s="51"/>
      <c r="AA64" s="51"/>
    </row>
    <row r="65" ht="15.75" customHeight="1">
      <c r="A65" s="109"/>
      <c r="B65" s="110"/>
      <c r="C65" s="51"/>
      <c r="D65" s="51"/>
      <c r="E65" s="109">
        <v>6.0</v>
      </c>
      <c r="F65" s="85">
        <f t="array" ref="F65">ROUNDUP(IF(EQ(A65, ""),D65*INDEX(UncertaintyFactors!$C$2:$D$7, E65, 1), 0), 1)</f>
        <v>0</v>
      </c>
      <c r="G65" s="86">
        <f t="array" ref="G65">ROUNDUP(IF(EQ(A65, ""), D65*INDEX(UncertaintyFactors!$C$2:$D$7, E65, 2), 0), 1)</f>
        <v>0</v>
      </c>
      <c r="H65" s="111"/>
      <c r="I65" s="111"/>
      <c r="J65" s="112"/>
      <c r="K65" s="51"/>
      <c r="L65" s="51"/>
      <c r="M65" s="51"/>
      <c r="N65" s="51"/>
      <c r="O65" s="51"/>
      <c r="P65" s="51"/>
      <c r="Q65" s="51"/>
      <c r="R65" s="51"/>
      <c r="S65" s="51"/>
      <c r="T65" s="51"/>
      <c r="U65" s="51"/>
      <c r="V65" s="51"/>
      <c r="W65" s="51"/>
      <c r="X65" s="51"/>
      <c r="Y65" s="51"/>
      <c r="Z65" s="51"/>
      <c r="AA65" s="51"/>
    </row>
    <row r="66" ht="15.75" customHeight="1">
      <c r="A66" s="109"/>
      <c r="B66" s="110"/>
      <c r="C66" s="51"/>
      <c r="D66" s="51"/>
      <c r="E66" s="109">
        <v>6.0</v>
      </c>
      <c r="F66" s="85">
        <f t="array" ref="F66">ROUNDUP(IF(EQ(A66, ""),D66*INDEX(UncertaintyFactors!$C$2:$D$7, E66, 1), 0), 1)</f>
        <v>0</v>
      </c>
      <c r="G66" s="86">
        <f t="array" ref="G66">ROUNDUP(IF(EQ(A66, ""), D66*INDEX(UncertaintyFactors!$C$2:$D$7, E66, 2), 0), 1)</f>
        <v>0</v>
      </c>
      <c r="H66" s="111"/>
      <c r="I66" s="111"/>
      <c r="J66" s="112"/>
      <c r="K66" s="51"/>
      <c r="L66" s="51"/>
      <c r="M66" s="51"/>
      <c r="N66" s="51"/>
      <c r="O66" s="51"/>
      <c r="P66" s="51"/>
      <c r="Q66" s="51"/>
      <c r="R66" s="51"/>
      <c r="S66" s="51"/>
      <c r="T66" s="51"/>
      <c r="U66" s="51"/>
      <c r="V66" s="51"/>
      <c r="W66" s="51"/>
      <c r="X66" s="51"/>
      <c r="Y66" s="51"/>
      <c r="Z66" s="51"/>
      <c r="AA66" s="51"/>
    </row>
    <row r="67" ht="15.75" customHeight="1">
      <c r="A67" s="109"/>
      <c r="B67" s="110"/>
      <c r="C67" s="51"/>
      <c r="D67" s="51"/>
      <c r="E67" s="109">
        <v>6.0</v>
      </c>
      <c r="F67" s="85">
        <f t="array" ref="F67">ROUNDUP(IF(EQ(A67, ""),D67*INDEX(UncertaintyFactors!$C$2:$D$7, E67, 1), 0), 1)</f>
        <v>0</v>
      </c>
      <c r="G67" s="86">
        <f t="array" ref="G67">ROUNDUP(IF(EQ(A67, ""), D67*INDEX(UncertaintyFactors!$C$2:$D$7, E67, 2), 0), 1)</f>
        <v>0</v>
      </c>
      <c r="H67" s="111"/>
      <c r="I67" s="111"/>
      <c r="J67" s="112"/>
      <c r="K67" s="51"/>
      <c r="L67" s="51"/>
      <c r="M67" s="51"/>
      <c r="N67" s="51"/>
      <c r="O67" s="51"/>
      <c r="P67" s="51"/>
      <c r="Q67" s="51"/>
      <c r="R67" s="51"/>
      <c r="S67" s="51"/>
      <c r="T67" s="51"/>
      <c r="U67" s="51"/>
      <c r="V67" s="51"/>
      <c r="W67" s="51"/>
      <c r="X67" s="51"/>
      <c r="Y67" s="51"/>
      <c r="Z67" s="51"/>
      <c r="AA67" s="51"/>
    </row>
    <row r="68" ht="15.75" customHeight="1">
      <c r="A68" s="109"/>
      <c r="B68" s="110"/>
      <c r="C68" s="51"/>
      <c r="D68" s="51"/>
      <c r="E68" s="109">
        <v>6.0</v>
      </c>
      <c r="F68" s="85">
        <f t="array" ref="F68">ROUNDUP(IF(EQ(A68, ""),D68*INDEX(UncertaintyFactors!$C$2:$D$7, E68, 1), 0), 1)</f>
        <v>0</v>
      </c>
      <c r="G68" s="86">
        <f t="array" ref="G68">ROUNDUP(IF(EQ(A68, ""), D68*INDEX(UncertaintyFactors!$C$2:$D$7, E68, 2), 0), 1)</f>
        <v>0</v>
      </c>
      <c r="H68" s="111"/>
      <c r="I68" s="111"/>
      <c r="J68" s="112"/>
      <c r="K68" s="51"/>
      <c r="L68" s="51"/>
      <c r="M68" s="51"/>
      <c r="N68" s="51"/>
      <c r="O68" s="51"/>
      <c r="P68" s="51"/>
      <c r="Q68" s="51"/>
      <c r="R68" s="51"/>
      <c r="S68" s="51"/>
      <c r="T68" s="51"/>
      <c r="U68" s="51"/>
      <c r="V68" s="51"/>
      <c r="W68" s="51"/>
      <c r="X68" s="51"/>
      <c r="Y68" s="51"/>
      <c r="Z68" s="51"/>
      <c r="AA68" s="51"/>
    </row>
    <row r="69" ht="15.75" customHeight="1">
      <c r="A69" s="109"/>
      <c r="B69" s="110"/>
      <c r="C69" s="51"/>
      <c r="D69" s="51"/>
      <c r="E69" s="109">
        <v>6.0</v>
      </c>
      <c r="F69" s="85">
        <f t="array" ref="F69">ROUNDUP(IF(EQ(A69, ""),D69*INDEX(UncertaintyFactors!$C$2:$D$7, E69, 1), 0), 1)</f>
        <v>0</v>
      </c>
      <c r="G69" s="86">
        <f t="array" ref="G69">ROUNDUP(IF(EQ(A69, ""), D69*INDEX(UncertaintyFactors!$C$2:$D$7, E69, 2), 0), 1)</f>
        <v>0</v>
      </c>
      <c r="H69" s="111"/>
      <c r="I69" s="111"/>
      <c r="J69" s="112"/>
      <c r="K69" s="51"/>
      <c r="L69" s="51"/>
      <c r="M69" s="51"/>
      <c r="N69" s="51"/>
      <c r="O69" s="51"/>
      <c r="P69" s="51"/>
      <c r="Q69" s="51"/>
      <c r="R69" s="51"/>
      <c r="S69" s="51"/>
      <c r="T69" s="51"/>
      <c r="U69" s="51"/>
      <c r="V69" s="51"/>
      <c r="W69" s="51"/>
      <c r="X69" s="51"/>
      <c r="Y69" s="51"/>
      <c r="Z69" s="51"/>
      <c r="AA69" s="51"/>
    </row>
    <row r="70" ht="15.75" customHeight="1">
      <c r="A70" s="109"/>
      <c r="B70" s="110"/>
      <c r="C70" s="51"/>
      <c r="D70" s="51"/>
      <c r="E70" s="109">
        <v>6.0</v>
      </c>
      <c r="F70" s="85">
        <f t="array" ref="F70">ROUNDUP(IF(EQ(A70, ""),D70*INDEX(UncertaintyFactors!$C$2:$D$7, E70, 1), 0), 1)</f>
        <v>0</v>
      </c>
      <c r="G70" s="86">
        <f t="array" ref="G70">ROUNDUP(IF(EQ(A70, ""), D70*INDEX(UncertaintyFactors!$C$2:$D$7, E70, 2), 0), 1)</f>
        <v>0</v>
      </c>
      <c r="H70" s="111"/>
      <c r="I70" s="111"/>
      <c r="J70" s="112"/>
      <c r="K70" s="51"/>
      <c r="L70" s="51"/>
      <c r="M70" s="51"/>
      <c r="N70" s="51"/>
      <c r="O70" s="51"/>
      <c r="P70" s="51"/>
      <c r="Q70" s="51"/>
      <c r="R70" s="51"/>
      <c r="S70" s="51"/>
      <c r="T70" s="51"/>
      <c r="U70" s="51"/>
      <c r="V70" s="51"/>
      <c r="W70" s="51"/>
      <c r="X70" s="51"/>
      <c r="Y70" s="51"/>
      <c r="Z70" s="51"/>
      <c r="AA70" s="51"/>
    </row>
    <row r="71" ht="15.75" customHeight="1">
      <c r="A71" s="109"/>
      <c r="B71" s="110"/>
      <c r="C71" s="51"/>
      <c r="D71" s="51"/>
      <c r="E71" s="109">
        <v>6.0</v>
      </c>
      <c r="F71" s="85">
        <f t="array" ref="F71">ROUNDUP(IF(EQ(A71, ""),D71*INDEX(UncertaintyFactors!$C$2:$D$7, E71, 1), 0), 1)</f>
        <v>0</v>
      </c>
      <c r="G71" s="86">
        <f t="array" ref="G71">ROUNDUP(IF(EQ(A71, ""), D71*INDEX(UncertaintyFactors!$C$2:$D$7, E71, 2), 0), 1)</f>
        <v>0</v>
      </c>
      <c r="H71" s="111"/>
      <c r="I71" s="111"/>
      <c r="J71" s="112"/>
      <c r="K71" s="51"/>
      <c r="L71" s="51"/>
      <c r="M71" s="51"/>
      <c r="N71" s="51"/>
      <c r="O71" s="51"/>
      <c r="P71" s="51"/>
      <c r="Q71" s="51"/>
      <c r="R71" s="51"/>
      <c r="S71" s="51"/>
      <c r="T71" s="51"/>
      <c r="U71" s="51"/>
      <c r="V71" s="51"/>
      <c r="W71" s="51"/>
      <c r="X71" s="51"/>
      <c r="Y71" s="51"/>
      <c r="Z71" s="51"/>
      <c r="AA71" s="51"/>
    </row>
    <row r="72" ht="15.75" customHeight="1">
      <c r="A72" s="109"/>
      <c r="B72" s="110"/>
      <c r="C72" s="51"/>
      <c r="D72" s="51"/>
      <c r="E72" s="109">
        <v>6.0</v>
      </c>
      <c r="F72" s="85">
        <f t="array" ref="F72">ROUNDUP(IF(EQ(A72, ""),D72*INDEX(UncertaintyFactors!$C$2:$D$7, E72, 1), 0), 1)</f>
        <v>0</v>
      </c>
      <c r="G72" s="86">
        <f t="array" ref="G72">ROUNDUP(IF(EQ(A72, ""), D72*INDEX(UncertaintyFactors!$C$2:$D$7, E72, 2), 0), 1)</f>
        <v>0</v>
      </c>
      <c r="H72" s="111"/>
      <c r="I72" s="111"/>
      <c r="J72" s="112"/>
      <c r="K72" s="51"/>
      <c r="L72" s="51"/>
      <c r="M72" s="51"/>
      <c r="N72" s="51"/>
      <c r="O72" s="51"/>
      <c r="P72" s="51"/>
      <c r="Q72" s="51"/>
      <c r="R72" s="51"/>
      <c r="S72" s="51"/>
      <c r="T72" s="51"/>
      <c r="U72" s="51"/>
      <c r="V72" s="51"/>
      <c r="W72" s="51"/>
      <c r="X72" s="51"/>
      <c r="Y72" s="51"/>
      <c r="Z72" s="51"/>
      <c r="AA72" s="51"/>
    </row>
    <row r="73" ht="15.75" customHeight="1">
      <c r="A73" s="109"/>
      <c r="B73" s="110"/>
      <c r="C73" s="51"/>
      <c r="D73" s="51"/>
      <c r="E73" s="109">
        <v>6.0</v>
      </c>
      <c r="F73" s="85">
        <f t="array" ref="F73">ROUNDUP(IF(EQ(A73, ""),D73*INDEX(UncertaintyFactors!$C$2:$D$7, E73, 1), 0), 1)</f>
        <v>0</v>
      </c>
      <c r="G73" s="86">
        <f t="array" ref="G73">ROUNDUP(IF(EQ(A73, ""), D73*INDEX(UncertaintyFactors!$C$2:$D$7, E73, 2), 0), 1)</f>
        <v>0</v>
      </c>
      <c r="H73" s="111"/>
      <c r="I73" s="111"/>
      <c r="J73" s="112"/>
      <c r="K73" s="51"/>
      <c r="L73" s="51"/>
      <c r="M73" s="51"/>
      <c r="N73" s="51"/>
      <c r="O73" s="51"/>
      <c r="P73" s="51"/>
      <c r="Q73" s="51"/>
      <c r="R73" s="51"/>
      <c r="S73" s="51"/>
      <c r="T73" s="51"/>
      <c r="U73" s="51"/>
      <c r="V73" s="51"/>
      <c r="W73" s="51"/>
      <c r="X73" s="51"/>
      <c r="Y73" s="51"/>
      <c r="Z73" s="51"/>
      <c r="AA73" s="51"/>
    </row>
    <row r="74" ht="15.75" customHeight="1">
      <c r="A74" s="109"/>
      <c r="B74" s="110"/>
      <c r="C74" s="51"/>
      <c r="D74" s="51"/>
      <c r="E74" s="109">
        <v>6.0</v>
      </c>
      <c r="F74" s="85">
        <f t="array" ref="F74">ROUNDUP(IF(EQ(A74, ""),D74*INDEX(UncertaintyFactors!$C$2:$D$7, E74, 1), 0), 1)</f>
        <v>0</v>
      </c>
      <c r="G74" s="86">
        <f t="array" ref="G74">ROUNDUP(IF(EQ(A74, ""), D74*INDEX(UncertaintyFactors!$C$2:$D$7, E74, 2), 0), 1)</f>
        <v>0</v>
      </c>
      <c r="H74" s="111"/>
      <c r="I74" s="111"/>
      <c r="J74" s="112"/>
      <c r="K74" s="51"/>
      <c r="L74" s="51"/>
      <c r="M74" s="51"/>
      <c r="N74" s="51"/>
      <c r="O74" s="51"/>
      <c r="P74" s="51"/>
      <c r="Q74" s="51"/>
      <c r="R74" s="51"/>
      <c r="S74" s="51"/>
      <c r="T74" s="51"/>
      <c r="U74" s="51"/>
      <c r="V74" s="51"/>
      <c r="W74" s="51"/>
      <c r="X74" s="51"/>
      <c r="Y74" s="51"/>
      <c r="Z74" s="51"/>
      <c r="AA74" s="51"/>
    </row>
    <row r="75" ht="15.75" customHeight="1">
      <c r="A75" s="109"/>
      <c r="B75" s="110"/>
      <c r="C75" s="51"/>
      <c r="D75" s="51"/>
      <c r="E75" s="109">
        <v>6.0</v>
      </c>
      <c r="F75" s="85">
        <f t="array" ref="F75">ROUNDUP(IF(EQ(A75, ""),D75*INDEX(UncertaintyFactors!$C$2:$D$7, E75, 1), 0), 1)</f>
        <v>0</v>
      </c>
      <c r="G75" s="86">
        <f t="array" ref="G75">ROUNDUP(IF(EQ(A75, ""), D75*INDEX(UncertaintyFactors!$C$2:$D$7, E75, 2), 0), 1)</f>
        <v>0</v>
      </c>
      <c r="H75" s="111"/>
      <c r="I75" s="111"/>
      <c r="J75" s="112"/>
      <c r="K75" s="51"/>
      <c r="L75" s="51"/>
      <c r="M75" s="51"/>
      <c r="N75" s="51"/>
      <c r="O75" s="51"/>
      <c r="P75" s="51"/>
      <c r="Q75" s="51"/>
      <c r="R75" s="51"/>
      <c r="S75" s="51"/>
      <c r="T75" s="51"/>
      <c r="U75" s="51"/>
      <c r="V75" s="51"/>
      <c r="W75" s="51"/>
      <c r="X75" s="51"/>
      <c r="Y75" s="51"/>
      <c r="Z75" s="51"/>
      <c r="AA75" s="51"/>
    </row>
    <row r="76" ht="15.75" customHeight="1">
      <c r="A76" s="109"/>
      <c r="B76" s="110"/>
      <c r="C76" s="51"/>
      <c r="D76" s="51"/>
      <c r="E76" s="109">
        <v>6.0</v>
      </c>
      <c r="F76" s="85">
        <f t="array" ref="F76">ROUNDUP(IF(EQ(A76, ""),D76*INDEX(UncertaintyFactors!$C$2:$D$7, E76, 1), 0), 1)</f>
        <v>0</v>
      </c>
      <c r="G76" s="86">
        <f t="array" ref="G76">ROUNDUP(IF(EQ(A76, ""), D76*INDEX(UncertaintyFactors!$C$2:$D$7, E76, 2), 0), 1)</f>
        <v>0</v>
      </c>
      <c r="H76" s="111"/>
      <c r="I76" s="111"/>
      <c r="J76" s="112"/>
      <c r="K76" s="51"/>
      <c r="L76" s="51"/>
      <c r="M76" s="51"/>
      <c r="N76" s="51"/>
      <c r="O76" s="51"/>
      <c r="P76" s="51"/>
      <c r="Q76" s="51"/>
      <c r="R76" s="51"/>
      <c r="S76" s="51"/>
      <c r="T76" s="51"/>
      <c r="U76" s="51"/>
      <c r="V76" s="51"/>
      <c r="W76" s="51"/>
      <c r="X76" s="51"/>
      <c r="Y76" s="51"/>
      <c r="Z76" s="51"/>
      <c r="AA76" s="51"/>
    </row>
    <row r="77" ht="15.75" customHeight="1">
      <c r="A77" s="109"/>
      <c r="B77" s="110"/>
      <c r="C77" s="51"/>
      <c r="D77" s="51"/>
      <c r="E77" s="109">
        <v>6.0</v>
      </c>
      <c r="F77" s="85">
        <f t="array" ref="F77">ROUNDUP(IF(EQ(A77, ""),D77*INDEX(UncertaintyFactors!$C$2:$D$7, E77, 1), 0), 1)</f>
        <v>0</v>
      </c>
      <c r="G77" s="86">
        <f t="array" ref="G77">ROUNDUP(IF(EQ(A77, ""), D77*INDEX(UncertaintyFactors!$C$2:$D$7, E77, 2), 0), 1)</f>
        <v>0</v>
      </c>
      <c r="H77" s="111"/>
      <c r="I77" s="111"/>
      <c r="J77" s="112"/>
      <c r="K77" s="51"/>
      <c r="L77" s="51"/>
      <c r="M77" s="51"/>
      <c r="N77" s="51"/>
      <c r="O77" s="51"/>
      <c r="P77" s="51"/>
      <c r="Q77" s="51"/>
      <c r="R77" s="51"/>
      <c r="S77" s="51"/>
      <c r="T77" s="51"/>
      <c r="U77" s="51"/>
      <c r="V77" s="51"/>
      <c r="W77" s="51"/>
      <c r="X77" s="51"/>
      <c r="Y77" s="51"/>
      <c r="Z77" s="51"/>
      <c r="AA77" s="51"/>
    </row>
    <row r="78" ht="15.75" customHeight="1">
      <c r="A78" s="109"/>
      <c r="B78" s="110"/>
      <c r="C78" s="51"/>
      <c r="D78" s="51"/>
      <c r="E78" s="109">
        <v>6.0</v>
      </c>
      <c r="F78" s="85">
        <f t="array" ref="F78">ROUNDUP(IF(EQ(A78, ""),D78*INDEX(UncertaintyFactors!$C$2:$D$7, E78, 1), 0), 1)</f>
        <v>0</v>
      </c>
      <c r="G78" s="86">
        <f t="array" ref="G78">ROUNDUP(IF(EQ(A78, ""), D78*INDEX(UncertaintyFactors!$C$2:$D$7, E78, 2), 0), 1)</f>
        <v>0</v>
      </c>
      <c r="H78" s="111"/>
      <c r="I78" s="111"/>
      <c r="J78" s="112"/>
      <c r="K78" s="51"/>
      <c r="L78" s="51"/>
      <c r="M78" s="51"/>
      <c r="N78" s="51"/>
      <c r="O78" s="51"/>
      <c r="P78" s="51"/>
      <c r="Q78" s="51"/>
      <c r="R78" s="51"/>
      <c r="S78" s="51"/>
      <c r="T78" s="51"/>
      <c r="U78" s="51"/>
      <c r="V78" s="51"/>
      <c r="W78" s="51"/>
      <c r="X78" s="51"/>
      <c r="Y78" s="51"/>
      <c r="Z78" s="51"/>
      <c r="AA78" s="51"/>
    </row>
    <row r="79" ht="15.75" customHeight="1">
      <c r="A79" s="109"/>
      <c r="B79" s="110"/>
      <c r="C79" s="51"/>
      <c r="D79" s="51"/>
      <c r="E79" s="109">
        <v>6.0</v>
      </c>
      <c r="F79" s="85">
        <f t="array" ref="F79">ROUNDUP(IF(EQ(A79, ""),D79*INDEX(UncertaintyFactors!$C$2:$D$7, E79, 1), 0), 1)</f>
        <v>0</v>
      </c>
      <c r="G79" s="86">
        <f t="array" ref="G79">ROUNDUP(IF(EQ(A79, ""), D79*INDEX(UncertaintyFactors!$C$2:$D$7, E79, 2), 0), 1)</f>
        <v>0</v>
      </c>
      <c r="H79" s="111"/>
      <c r="I79" s="111"/>
      <c r="J79" s="112"/>
      <c r="K79" s="51"/>
      <c r="L79" s="51"/>
      <c r="M79" s="51"/>
      <c r="N79" s="51"/>
      <c r="O79" s="51"/>
      <c r="P79" s="51"/>
      <c r="Q79" s="51"/>
      <c r="R79" s="51"/>
      <c r="S79" s="51"/>
      <c r="T79" s="51"/>
      <c r="U79" s="51"/>
      <c r="V79" s="51"/>
      <c r="W79" s="51"/>
      <c r="X79" s="51"/>
      <c r="Y79" s="51"/>
      <c r="Z79" s="51"/>
      <c r="AA79" s="51"/>
    </row>
    <row r="80" ht="15.75" customHeight="1">
      <c r="A80" s="109"/>
      <c r="B80" s="110"/>
      <c r="C80" s="51"/>
      <c r="D80" s="51"/>
      <c r="E80" s="109">
        <v>6.0</v>
      </c>
      <c r="F80" s="85">
        <f t="array" ref="F80">ROUNDUP(IF(EQ(A80, ""),D80*INDEX(UncertaintyFactors!$C$2:$D$7, E80, 1), 0), 1)</f>
        <v>0</v>
      </c>
      <c r="G80" s="86">
        <f t="array" ref="G80">ROUNDUP(IF(EQ(A80, ""), D80*INDEX(UncertaintyFactors!$C$2:$D$7, E80, 2), 0), 1)</f>
        <v>0</v>
      </c>
      <c r="H80" s="111"/>
      <c r="I80" s="111"/>
      <c r="J80" s="112"/>
      <c r="K80" s="51"/>
      <c r="L80" s="51"/>
      <c r="M80" s="51"/>
      <c r="N80" s="51"/>
      <c r="O80" s="51"/>
      <c r="P80" s="51"/>
      <c r="Q80" s="51"/>
      <c r="R80" s="51"/>
      <c r="S80" s="51"/>
      <c r="T80" s="51"/>
      <c r="U80" s="51"/>
      <c r="V80" s="51"/>
      <c r="W80" s="51"/>
      <c r="X80" s="51"/>
      <c r="Y80" s="51"/>
      <c r="Z80" s="51"/>
      <c r="AA80" s="51"/>
    </row>
    <row r="81" ht="15.75" customHeight="1">
      <c r="A81" s="109"/>
      <c r="B81" s="110"/>
      <c r="C81" s="51"/>
      <c r="D81" s="51"/>
      <c r="E81" s="109">
        <v>6.0</v>
      </c>
      <c r="F81" s="85">
        <f t="array" ref="F81">ROUNDUP(IF(EQ(A81, ""),D81*INDEX(UncertaintyFactors!$C$2:$D$7, E81, 1), 0), 1)</f>
        <v>0</v>
      </c>
      <c r="G81" s="86">
        <f t="array" ref="G81">ROUNDUP(IF(EQ(A81, ""), D81*INDEX(UncertaintyFactors!$C$2:$D$7, E81, 2), 0), 1)</f>
        <v>0</v>
      </c>
      <c r="H81" s="111"/>
      <c r="I81" s="111"/>
      <c r="J81" s="112"/>
      <c r="K81" s="51"/>
      <c r="L81" s="51"/>
      <c r="M81" s="51"/>
      <c r="N81" s="51"/>
      <c r="O81" s="51"/>
      <c r="P81" s="51"/>
      <c r="Q81" s="51"/>
      <c r="R81" s="51"/>
      <c r="S81" s="51"/>
      <c r="T81" s="51"/>
      <c r="U81" s="51"/>
      <c r="V81" s="51"/>
      <c r="W81" s="51"/>
      <c r="X81" s="51"/>
      <c r="Y81" s="51"/>
      <c r="Z81" s="51"/>
      <c r="AA81" s="51"/>
    </row>
    <row r="82" ht="15.75" customHeight="1">
      <c r="A82" s="75"/>
      <c r="B82" s="115"/>
      <c r="C82" s="35"/>
      <c r="D82" s="26"/>
      <c r="E82" s="109">
        <v>6.0</v>
      </c>
      <c r="F82" s="80">
        <f t="array" ref="F82">ROUNDUP(IF(EQ(A82, ""),D82*INDEX(UncertaintyFactors!$C$2:$D$7, E82, 1), 0), 1)</f>
        <v>0</v>
      </c>
      <c r="G82" s="81">
        <f t="array" ref="G82">ROUNDUP(IF(EQ(A82, ""), D82*INDEX(UncertaintyFactors!$C$2:$D$7, E82, 2), 0), 1)</f>
        <v>0</v>
      </c>
      <c r="H82" s="111"/>
      <c r="I82" s="111"/>
      <c r="J82" s="117"/>
      <c r="K82" s="35"/>
      <c r="L82" s="35"/>
      <c r="M82" s="35"/>
      <c r="N82" s="35"/>
      <c r="O82" s="35"/>
      <c r="P82" s="35"/>
      <c r="Q82" s="35"/>
      <c r="R82" s="35"/>
      <c r="S82" s="35"/>
      <c r="T82" s="35"/>
      <c r="U82" s="35"/>
      <c r="V82" s="35"/>
      <c r="W82" s="35"/>
      <c r="X82" s="35"/>
      <c r="Y82" s="35"/>
      <c r="Z82" s="35"/>
      <c r="AA82" s="35"/>
    </row>
    <row r="83" ht="15.75" customHeight="1">
      <c r="A83" s="75"/>
      <c r="B83" s="115"/>
      <c r="C83" s="35"/>
      <c r="D83" s="26"/>
      <c r="E83" s="109">
        <v>6.0</v>
      </c>
      <c r="F83" s="80">
        <f t="array" ref="F83">ROUNDUP(IF(EQ(A83, ""),D83*INDEX(UncertaintyFactors!$C$2:$D$7, E83, 1), 0), 1)</f>
        <v>0</v>
      </c>
      <c r="G83" s="81">
        <f t="array" ref="G83">ROUNDUP(IF(EQ(A83, ""), D83*INDEX(UncertaintyFactors!$C$2:$D$7, E83, 2), 0), 1)</f>
        <v>0</v>
      </c>
      <c r="H83" s="111"/>
      <c r="I83" s="111"/>
      <c r="J83" s="117"/>
      <c r="K83" s="35"/>
      <c r="L83" s="35"/>
      <c r="M83" s="35"/>
      <c r="N83" s="35"/>
      <c r="O83" s="35"/>
      <c r="P83" s="35"/>
      <c r="Q83" s="35"/>
      <c r="R83" s="35"/>
      <c r="S83" s="35"/>
      <c r="T83" s="35"/>
      <c r="U83" s="35"/>
      <c r="V83" s="35"/>
      <c r="W83" s="35"/>
      <c r="X83" s="35"/>
      <c r="Y83" s="35"/>
      <c r="Z83" s="35"/>
      <c r="AA83" s="35"/>
    </row>
    <row r="84" ht="15.75" customHeight="1">
      <c r="A84" s="75"/>
      <c r="B84" s="115"/>
      <c r="C84" s="35"/>
      <c r="D84" s="26"/>
      <c r="E84" s="109">
        <v>6.0</v>
      </c>
      <c r="F84" s="80">
        <f t="array" ref="F84">ROUNDUP(IF(EQ(A84, ""),D84*INDEX(UncertaintyFactors!$C$2:$D$7, E84, 1), 0), 1)</f>
        <v>0</v>
      </c>
      <c r="G84" s="81">
        <f t="array" ref="G84">ROUNDUP(IF(EQ(A84, ""), D84*INDEX(UncertaintyFactors!$C$2:$D$7, E84, 2), 0), 1)</f>
        <v>0</v>
      </c>
      <c r="H84" s="111"/>
      <c r="I84" s="111"/>
      <c r="J84" s="117"/>
      <c r="K84" s="35"/>
      <c r="L84" s="35"/>
      <c r="M84" s="35"/>
      <c r="N84" s="35"/>
      <c r="O84" s="35"/>
      <c r="P84" s="35"/>
      <c r="Q84" s="35"/>
      <c r="R84" s="35"/>
      <c r="S84" s="35"/>
      <c r="T84" s="35"/>
      <c r="U84" s="35"/>
      <c r="V84" s="35"/>
      <c r="W84" s="35"/>
      <c r="X84" s="35"/>
      <c r="Y84" s="35"/>
      <c r="Z84" s="35"/>
      <c r="AA84" s="35"/>
    </row>
    <row r="85" ht="15.75" customHeight="1">
      <c r="A85" s="75"/>
      <c r="B85" s="101" t="s">
        <v>93</v>
      </c>
      <c r="C85" s="35" t="s">
        <v>145</v>
      </c>
      <c r="D85" s="26"/>
      <c r="E85" s="109">
        <v>6.0</v>
      </c>
      <c r="F85" s="80">
        <f t="array" ref="F85">ROUNDUP(IF(EQ(A85, ""),D85*INDEX(UncertaintyFactors!$C$2:$D$7, E85, 1), 0), 1)</f>
        <v>0</v>
      </c>
      <c r="G85" s="81">
        <f t="array" ref="G85">ROUNDUP(IF(EQ(A85, ""), D85*INDEX(UncertaintyFactors!$C$2:$D$7, E85, 2), 0), 1)</f>
        <v>0</v>
      </c>
      <c r="H85" s="111"/>
      <c r="I85" s="111"/>
      <c r="J85" s="117"/>
      <c r="K85" s="35"/>
      <c r="L85" s="35"/>
      <c r="M85" s="35"/>
      <c r="N85" s="35"/>
      <c r="O85" s="35"/>
      <c r="P85" s="35"/>
      <c r="Q85" s="35"/>
      <c r="R85" s="35"/>
      <c r="S85" s="35"/>
      <c r="T85" s="35"/>
      <c r="U85" s="35"/>
      <c r="V85" s="35"/>
      <c r="W85" s="35"/>
      <c r="X85" s="35"/>
      <c r="Y85" s="35"/>
      <c r="Z85" s="35"/>
      <c r="AA85" s="35"/>
    </row>
    <row r="86" ht="15.75" customHeight="1">
      <c r="A86" s="90"/>
      <c r="B86" s="90"/>
      <c r="C86" s="92"/>
      <c r="D86" s="93">
        <f>ROUNDUP(SUM(D7:D85),0)</f>
        <v>1316</v>
      </c>
      <c r="E86" s="94">
        <f t="shared" ref="E86:E87" si="2">AVERAGE(E7:E85)</f>
        <v>5.860759494</v>
      </c>
      <c r="F86" s="95">
        <f t="shared" ref="F86:G86" si="1">ROUNDUP(SUM(F7:F85),0)</f>
        <v>1316</v>
      </c>
      <c r="G86" s="95">
        <f t="shared" si="1"/>
        <v>1548</v>
      </c>
      <c r="H86" s="119"/>
      <c r="I86" s="119"/>
      <c r="J86" s="117"/>
      <c r="K86" s="35"/>
      <c r="L86" s="35"/>
      <c r="M86" s="35"/>
      <c r="N86" s="35"/>
      <c r="O86" s="35"/>
      <c r="P86" s="35"/>
      <c r="Q86" s="35"/>
      <c r="R86" s="35"/>
      <c r="S86" s="35"/>
      <c r="T86" s="35"/>
      <c r="U86" s="35"/>
      <c r="V86" s="35"/>
      <c r="W86" s="35"/>
      <c r="X86" s="35"/>
      <c r="Y86" s="35"/>
      <c r="Z86" s="35"/>
      <c r="AA86" s="35"/>
    </row>
    <row r="87" ht="15.75" customHeight="1">
      <c r="A87" s="35"/>
      <c r="B87" s="35"/>
      <c r="C87" s="35"/>
      <c r="D87" s="95" t="s">
        <v>86</v>
      </c>
      <c r="E87" s="94">
        <f t="shared" si="2"/>
        <v>5.871655183</v>
      </c>
      <c r="F87" s="99">
        <f>ROUNDUP(AVERAGE(F86:G86),0)</f>
        <v>1432</v>
      </c>
      <c r="H87" s="119"/>
      <c r="I87" s="119"/>
      <c r="J87" s="117"/>
      <c r="K87" s="35"/>
      <c r="L87" s="35"/>
      <c r="M87" s="35"/>
      <c r="N87" s="35"/>
      <c r="O87" s="35"/>
      <c r="P87" s="35"/>
      <c r="Q87" s="35"/>
      <c r="R87" s="35"/>
      <c r="S87" s="35"/>
      <c r="T87" s="35"/>
      <c r="U87" s="35"/>
      <c r="V87" s="35"/>
      <c r="W87" s="35"/>
      <c r="X87" s="35"/>
      <c r="Y87" s="35"/>
      <c r="Z87" s="35"/>
      <c r="AA87" s="35"/>
    </row>
    <row r="88" ht="15.75" customHeight="1">
      <c r="A88" s="35"/>
      <c r="B88" s="35"/>
      <c r="C88" s="35"/>
      <c r="D88" s="26"/>
      <c r="E88" s="51"/>
      <c r="F88" s="51"/>
      <c r="G88" s="51"/>
      <c r="H88" s="111"/>
      <c r="I88" s="111"/>
      <c r="J88" s="117"/>
      <c r="K88" s="35"/>
      <c r="L88" s="35"/>
      <c r="M88" s="35"/>
      <c r="N88" s="35"/>
      <c r="O88" s="35"/>
      <c r="P88" s="35"/>
      <c r="Q88" s="35"/>
      <c r="R88" s="35"/>
      <c r="S88" s="35"/>
      <c r="T88" s="35"/>
      <c r="U88" s="35"/>
      <c r="V88" s="35"/>
      <c r="W88" s="35"/>
      <c r="X88" s="35"/>
      <c r="Y88" s="35"/>
      <c r="Z88" s="35"/>
      <c r="AA88" s="35"/>
    </row>
    <row r="89" ht="15.75" customHeight="1">
      <c r="A89" s="35"/>
      <c r="B89" s="35"/>
      <c r="C89" s="35"/>
      <c r="D89" s="26"/>
      <c r="E89" s="51"/>
      <c r="F89" s="51"/>
      <c r="G89" s="51"/>
      <c r="H89" s="18"/>
      <c r="I89" s="18"/>
      <c r="J89" s="35"/>
      <c r="K89" s="35"/>
      <c r="L89" s="35"/>
      <c r="M89" s="35"/>
      <c r="N89" s="35"/>
      <c r="O89" s="35"/>
      <c r="P89" s="35"/>
      <c r="Q89" s="35"/>
      <c r="R89" s="35"/>
      <c r="S89" s="35"/>
      <c r="T89" s="35"/>
      <c r="U89" s="35"/>
      <c r="V89" s="35"/>
      <c r="W89" s="35"/>
      <c r="X89" s="35"/>
      <c r="Y89" s="35"/>
      <c r="Z89" s="35"/>
      <c r="AA89" s="35"/>
    </row>
    <row r="90" ht="15.75" customHeight="1">
      <c r="A90" s="35"/>
      <c r="B90" s="35"/>
      <c r="C90" s="35"/>
      <c r="D90" s="26"/>
      <c r="E90" s="51"/>
      <c r="F90" s="51"/>
      <c r="G90" s="51"/>
      <c r="H90" s="18"/>
      <c r="I90" s="18"/>
      <c r="J90" s="35"/>
      <c r="K90" s="35"/>
      <c r="L90" s="35"/>
      <c r="M90" s="35"/>
      <c r="N90" s="35"/>
      <c r="O90" s="35"/>
      <c r="P90" s="35"/>
      <c r="Q90" s="35"/>
      <c r="R90" s="35"/>
      <c r="S90" s="35"/>
      <c r="T90" s="35"/>
      <c r="U90" s="35"/>
      <c r="V90" s="35"/>
      <c r="W90" s="35"/>
      <c r="X90" s="35"/>
      <c r="Y90" s="35"/>
      <c r="Z90" s="35"/>
      <c r="AA90" s="35"/>
    </row>
    <row r="91" ht="15.75" customHeight="1">
      <c r="A91" s="35"/>
      <c r="B91" s="35"/>
      <c r="C91" s="35"/>
      <c r="D91" s="26"/>
      <c r="E91" s="51"/>
      <c r="F91" s="51"/>
      <c r="G91" s="51"/>
      <c r="H91" s="18"/>
      <c r="I91" s="18"/>
      <c r="J91" s="35"/>
      <c r="K91" s="35"/>
      <c r="L91" s="35"/>
      <c r="M91" s="35"/>
      <c r="N91" s="35"/>
      <c r="O91" s="35"/>
      <c r="P91" s="35"/>
      <c r="Q91" s="35"/>
      <c r="R91" s="35"/>
      <c r="S91" s="35"/>
      <c r="T91" s="35"/>
      <c r="U91" s="35"/>
      <c r="V91" s="35"/>
      <c r="W91" s="35"/>
      <c r="X91" s="35"/>
      <c r="Y91" s="35"/>
      <c r="Z91" s="35"/>
      <c r="AA91" s="35"/>
    </row>
    <row r="92" ht="15.75" customHeight="1">
      <c r="A92" s="35"/>
      <c r="B92" s="35"/>
      <c r="C92" s="35"/>
      <c r="D92" s="26"/>
      <c r="E92" s="51"/>
      <c r="F92" s="51"/>
      <c r="G92" s="51"/>
      <c r="H92" s="18"/>
      <c r="I92" s="18"/>
      <c r="J92" s="35"/>
      <c r="K92" s="35"/>
      <c r="L92" s="35"/>
      <c r="M92" s="35"/>
      <c r="N92" s="35"/>
      <c r="O92" s="35"/>
      <c r="P92" s="35"/>
      <c r="Q92" s="35"/>
      <c r="R92" s="35"/>
      <c r="S92" s="35"/>
      <c r="T92" s="35"/>
      <c r="U92" s="35"/>
      <c r="V92" s="35"/>
      <c r="W92" s="35"/>
      <c r="X92" s="35"/>
      <c r="Y92" s="35"/>
      <c r="Z92" s="35"/>
      <c r="AA92" s="35"/>
    </row>
    <row r="93" ht="15.75" customHeight="1">
      <c r="A93" s="35"/>
      <c r="B93" s="35"/>
      <c r="C93" s="35"/>
      <c r="D93" s="26"/>
      <c r="E93" s="51"/>
      <c r="F93" s="51"/>
      <c r="G93" s="51"/>
      <c r="H93" s="18"/>
      <c r="I93" s="18"/>
      <c r="J93" s="35"/>
      <c r="K93" s="35"/>
      <c r="L93" s="35"/>
      <c r="M93" s="35"/>
      <c r="N93" s="35"/>
      <c r="O93" s="35"/>
      <c r="P93" s="35"/>
      <c r="Q93" s="35"/>
      <c r="R93" s="35"/>
      <c r="S93" s="35"/>
      <c r="T93" s="35"/>
      <c r="U93" s="35"/>
      <c r="V93" s="35"/>
      <c r="W93" s="35"/>
      <c r="X93" s="35"/>
      <c r="Y93" s="35"/>
      <c r="Z93" s="35"/>
      <c r="AA93" s="35"/>
    </row>
    <row r="94" ht="15.75" customHeight="1">
      <c r="A94" s="35"/>
      <c r="B94" s="35"/>
      <c r="C94" s="35"/>
      <c r="D94" s="26"/>
      <c r="E94" s="51"/>
      <c r="F94" s="51"/>
      <c r="G94" s="51"/>
      <c r="H94" s="18"/>
      <c r="I94" s="18"/>
      <c r="J94" s="35"/>
      <c r="K94" s="35"/>
      <c r="L94" s="35"/>
      <c r="M94" s="35"/>
      <c r="N94" s="35"/>
      <c r="O94" s="35"/>
      <c r="P94" s="35"/>
      <c r="Q94" s="35"/>
      <c r="R94" s="35"/>
      <c r="S94" s="35"/>
      <c r="T94" s="35"/>
      <c r="U94" s="35"/>
      <c r="V94" s="35"/>
      <c r="W94" s="35"/>
      <c r="X94" s="35"/>
      <c r="Y94" s="35"/>
      <c r="Z94" s="35"/>
      <c r="AA94" s="35"/>
    </row>
    <row r="95" ht="15.75" customHeight="1">
      <c r="A95" s="35"/>
      <c r="B95" s="35"/>
      <c r="C95" s="35"/>
      <c r="D95" s="26"/>
      <c r="E95" s="51"/>
      <c r="F95" s="51"/>
      <c r="G95" s="51"/>
      <c r="H95" s="18"/>
      <c r="I95" s="18"/>
      <c r="J95" s="35"/>
      <c r="K95" s="35"/>
      <c r="L95" s="35"/>
      <c r="M95" s="35"/>
      <c r="N95" s="35"/>
      <c r="O95" s="35"/>
      <c r="P95" s="35"/>
      <c r="Q95" s="35"/>
      <c r="R95" s="35"/>
      <c r="S95" s="35"/>
      <c r="T95" s="35"/>
      <c r="U95" s="35"/>
      <c r="V95" s="35"/>
      <c r="W95" s="35"/>
      <c r="X95" s="35"/>
      <c r="Y95" s="35"/>
      <c r="Z95" s="35"/>
      <c r="AA95" s="35"/>
    </row>
    <row r="96" ht="15.75" customHeight="1">
      <c r="A96" s="35"/>
      <c r="B96" s="35"/>
      <c r="C96" s="35"/>
      <c r="D96" s="26"/>
      <c r="E96" s="51"/>
      <c r="F96" s="51"/>
      <c r="G96" s="51"/>
      <c r="H96" s="18"/>
      <c r="I96" s="18"/>
      <c r="J96" s="35"/>
      <c r="K96" s="35"/>
      <c r="L96" s="35"/>
      <c r="M96" s="35"/>
      <c r="N96" s="35"/>
      <c r="O96" s="35"/>
      <c r="P96" s="35"/>
      <c r="Q96" s="35"/>
      <c r="R96" s="35"/>
      <c r="S96" s="35"/>
      <c r="T96" s="35"/>
      <c r="U96" s="35"/>
      <c r="V96" s="35"/>
      <c r="W96" s="35"/>
      <c r="X96" s="35"/>
      <c r="Y96" s="35"/>
      <c r="Z96" s="35"/>
      <c r="AA96" s="35"/>
    </row>
    <row r="97" ht="15.75" customHeight="1">
      <c r="A97" s="35"/>
      <c r="B97" s="35"/>
      <c r="C97" s="35"/>
      <c r="D97" s="26"/>
      <c r="E97" s="51"/>
      <c r="F97" s="51"/>
      <c r="G97" s="51"/>
      <c r="H97" s="18"/>
      <c r="I97" s="18"/>
      <c r="J97" s="35"/>
      <c r="K97" s="35"/>
      <c r="L97" s="35"/>
      <c r="M97" s="35"/>
      <c r="N97" s="35"/>
      <c r="O97" s="35"/>
      <c r="P97" s="35"/>
      <c r="Q97" s="35"/>
      <c r="R97" s="35"/>
      <c r="S97" s="35"/>
      <c r="T97" s="35"/>
      <c r="U97" s="35"/>
      <c r="V97" s="35"/>
      <c r="W97" s="35"/>
      <c r="X97" s="35"/>
      <c r="Y97" s="35"/>
      <c r="Z97" s="35"/>
      <c r="AA97" s="35"/>
    </row>
    <row r="98" ht="15.75" customHeight="1">
      <c r="A98" s="35"/>
      <c r="B98" s="35"/>
      <c r="C98" s="35"/>
      <c r="D98" s="26"/>
      <c r="E98" s="51"/>
      <c r="F98" s="51"/>
      <c r="G98" s="51"/>
      <c r="H98" s="18"/>
      <c r="I98" s="18"/>
      <c r="J98" s="35"/>
      <c r="K98" s="35"/>
      <c r="L98" s="35"/>
      <c r="M98" s="35"/>
      <c r="N98" s="35"/>
      <c r="O98" s="35"/>
      <c r="P98" s="35"/>
      <c r="Q98" s="35"/>
      <c r="R98" s="35"/>
      <c r="S98" s="35"/>
      <c r="T98" s="35"/>
      <c r="U98" s="35"/>
      <c r="V98" s="35"/>
      <c r="W98" s="35"/>
      <c r="X98" s="35"/>
      <c r="Y98" s="35"/>
      <c r="Z98" s="35"/>
      <c r="AA98" s="35"/>
    </row>
    <row r="99" ht="15.75" customHeight="1">
      <c r="A99" s="35"/>
      <c r="B99" s="35"/>
      <c r="C99" s="35"/>
      <c r="D99" s="26"/>
      <c r="E99" s="51"/>
      <c r="F99" s="51"/>
      <c r="G99" s="51"/>
      <c r="H99" s="18"/>
      <c r="I99" s="18"/>
      <c r="J99" s="35"/>
      <c r="K99" s="35"/>
      <c r="L99" s="35"/>
      <c r="M99" s="35"/>
      <c r="N99" s="35"/>
      <c r="O99" s="35"/>
      <c r="P99" s="35"/>
      <c r="Q99" s="35"/>
      <c r="R99" s="35"/>
      <c r="S99" s="35"/>
      <c r="T99" s="35"/>
      <c r="U99" s="35"/>
      <c r="V99" s="35"/>
      <c r="W99" s="35"/>
      <c r="X99" s="35"/>
      <c r="Y99" s="35"/>
      <c r="Z99" s="35"/>
      <c r="AA99" s="35"/>
    </row>
    <row r="100" ht="15.75" customHeight="1">
      <c r="A100" s="35"/>
      <c r="B100" s="35"/>
      <c r="C100" s="35"/>
      <c r="D100" s="26"/>
      <c r="E100" s="51"/>
      <c r="F100" s="51"/>
      <c r="G100" s="51"/>
      <c r="H100" s="18"/>
      <c r="I100" s="18"/>
      <c r="J100" s="35"/>
      <c r="K100" s="35"/>
      <c r="L100" s="35"/>
      <c r="M100" s="35"/>
      <c r="N100" s="35"/>
      <c r="O100" s="35"/>
      <c r="P100" s="35"/>
      <c r="Q100" s="35"/>
      <c r="R100" s="35"/>
      <c r="S100" s="35"/>
      <c r="T100" s="35"/>
      <c r="U100" s="35"/>
      <c r="V100" s="35"/>
      <c r="W100" s="35"/>
      <c r="X100" s="35"/>
      <c r="Y100" s="35"/>
      <c r="Z100" s="35"/>
      <c r="AA100" s="35"/>
    </row>
    <row r="101" ht="15.75" customHeight="1">
      <c r="A101" s="35"/>
      <c r="B101" s="35"/>
      <c r="C101" s="35"/>
      <c r="D101" s="26"/>
      <c r="E101" s="51"/>
      <c r="F101" s="51"/>
      <c r="G101" s="51"/>
      <c r="H101" s="18"/>
      <c r="I101" s="18"/>
      <c r="J101" s="35"/>
      <c r="K101" s="35"/>
      <c r="L101" s="35"/>
      <c r="M101" s="35"/>
      <c r="N101" s="35"/>
      <c r="O101" s="35"/>
      <c r="P101" s="35"/>
      <c r="Q101" s="35"/>
      <c r="R101" s="35"/>
      <c r="S101" s="35"/>
      <c r="T101" s="35"/>
      <c r="U101" s="35"/>
      <c r="V101" s="35"/>
      <c r="W101" s="35"/>
      <c r="X101" s="35"/>
      <c r="Y101" s="35"/>
      <c r="Z101" s="35"/>
      <c r="AA101" s="35"/>
    </row>
    <row r="102" ht="15.75" customHeight="1">
      <c r="A102" s="35"/>
      <c r="B102" s="35"/>
      <c r="C102" s="35"/>
      <c r="D102" s="26"/>
      <c r="E102" s="51"/>
      <c r="F102" s="51"/>
      <c r="G102" s="51"/>
      <c r="H102" s="18"/>
      <c r="I102" s="18"/>
      <c r="J102" s="35"/>
      <c r="K102" s="35"/>
      <c r="L102" s="35"/>
      <c r="M102" s="35"/>
      <c r="N102" s="35"/>
      <c r="O102" s="35"/>
      <c r="P102" s="35"/>
      <c r="Q102" s="35"/>
      <c r="R102" s="35"/>
      <c r="S102" s="35"/>
      <c r="T102" s="35"/>
      <c r="U102" s="35"/>
      <c r="V102" s="35"/>
      <c r="W102" s="35"/>
      <c r="X102" s="35"/>
      <c r="Y102" s="35"/>
      <c r="Z102" s="35"/>
      <c r="AA102" s="35"/>
    </row>
    <row r="103" ht="15.75" customHeight="1">
      <c r="A103" s="35"/>
      <c r="B103" s="35"/>
      <c r="C103" s="35"/>
      <c r="D103" s="26"/>
      <c r="E103" s="51"/>
      <c r="F103" s="51"/>
      <c r="G103" s="51"/>
      <c r="H103" s="18"/>
      <c r="I103" s="18"/>
      <c r="J103" s="35"/>
      <c r="K103" s="35"/>
      <c r="L103" s="35"/>
      <c r="M103" s="35"/>
      <c r="N103" s="35"/>
      <c r="O103" s="35"/>
      <c r="P103" s="35"/>
      <c r="Q103" s="35"/>
      <c r="R103" s="35"/>
      <c r="S103" s="35"/>
      <c r="T103" s="35"/>
      <c r="U103" s="35"/>
      <c r="V103" s="35"/>
      <c r="W103" s="35"/>
      <c r="X103" s="35"/>
      <c r="Y103" s="35"/>
      <c r="Z103" s="35"/>
      <c r="AA103" s="35"/>
    </row>
    <row r="104" ht="15.75" customHeight="1">
      <c r="A104" s="35"/>
      <c r="B104" s="35"/>
      <c r="C104" s="35"/>
      <c r="D104" s="26"/>
      <c r="E104" s="51"/>
      <c r="F104" s="51"/>
      <c r="G104" s="51"/>
      <c r="H104" s="18"/>
      <c r="I104" s="18"/>
      <c r="J104" s="35"/>
      <c r="K104" s="35"/>
      <c r="L104" s="35"/>
      <c r="M104" s="35"/>
      <c r="N104" s="35"/>
      <c r="O104" s="35"/>
      <c r="P104" s="35"/>
      <c r="Q104" s="35"/>
      <c r="R104" s="35"/>
      <c r="S104" s="35"/>
      <c r="T104" s="35"/>
      <c r="U104" s="35"/>
      <c r="V104" s="35"/>
      <c r="W104" s="35"/>
      <c r="X104" s="35"/>
      <c r="Y104" s="35"/>
      <c r="Z104" s="35"/>
      <c r="AA104" s="35"/>
    </row>
    <row r="105" ht="15.75" customHeight="1">
      <c r="A105" s="35"/>
      <c r="B105" s="35"/>
      <c r="C105" s="35"/>
      <c r="D105" s="26"/>
      <c r="E105" s="51"/>
      <c r="F105" s="51"/>
      <c r="G105" s="51"/>
      <c r="H105" s="18"/>
      <c r="I105" s="18"/>
      <c r="J105" s="35"/>
      <c r="K105" s="35"/>
      <c r="L105" s="35"/>
      <c r="M105" s="35"/>
      <c r="N105" s="35"/>
      <c r="O105" s="35"/>
      <c r="P105" s="35"/>
      <c r="Q105" s="35"/>
      <c r="R105" s="35"/>
      <c r="S105" s="35"/>
      <c r="T105" s="35"/>
      <c r="U105" s="35"/>
      <c r="V105" s="35"/>
      <c r="W105" s="35"/>
      <c r="X105" s="35"/>
      <c r="Y105" s="35"/>
      <c r="Z105" s="35"/>
      <c r="AA105" s="35"/>
    </row>
    <row r="106" ht="15.75" customHeight="1">
      <c r="A106" s="35"/>
      <c r="B106" s="35"/>
      <c r="C106" s="35"/>
      <c r="D106" s="26"/>
      <c r="E106" s="51"/>
      <c r="F106" s="51"/>
      <c r="G106" s="51"/>
      <c r="H106" s="18"/>
      <c r="I106" s="18"/>
      <c r="J106" s="35"/>
      <c r="K106" s="35"/>
      <c r="L106" s="35"/>
      <c r="M106" s="35"/>
      <c r="N106" s="35"/>
      <c r="O106" s="35"/>
      <c r="P106" s="35"/>
      <c r="Q106" s="35"/>
      <c r="R106" s="35"/>
      <c r="S106" s="35"/>
      <c r="T106" s="35"/>
      <c r="U106" s="35"/>
      <c r="V106" s="35"/>
      <c r="W106" s="35"/>
      <c r="X106" s="35"/>
      <c r="Y106" s="35"/>
      <c r="Z106" s="35"/>
      <c r="AA106" s="35"/>
    </row>
    <row r="107" ht="15.75" customHeight="1">
      <c r="A107" s="35"/>
      <c r="B107" s="35"/>
      <c r="C107" s="35"/>
      <c r="D107" s="26"/>
      <c r="E107" s="51"/>
      <c r="F107" s="51"/>
      <c r="G107" s="51"/>
      <c r="H107" s="18"/>
      <c r="I107" s="18"/>
      <c r="J107" s="35"/>
      <c r="K107" s="35"/>
      <c r="L107" s="35"/>
      <c r="M107" s="35"/>
      <c r="N107" s="35"/>
      <c r="O107" s="35"/>
      <c r="P107" s="35"/>
      <c r="Q107" s="35"/>
      <c r="R107" s="35"/>
      <c r="S107" s="35"/>
      <c r="T107" s="35"/>
      <c r="U107" s="35"/>
      <c r="V107" s="35"/>
      <c r="W107" s="35"/>
      <c r="X107" s="35"/>
      <c r="Y107" s="35"/>
      <c r="Z107" s="35"/>
      <c r="AA107" s="35"/>
    </row>
    <row r="108" ht="15.75" customHeight="1">
      <c r="A108" s="35"/>
      <c r="B108" s="35"/>
      <c r="C108" s="35"/>
      <c r="D108" s="26"/>
      <c r="E108" s="51"/>
      <c r="F108" s="51"/>
      <c r="G108" s="51"/>
      <c r="H108" s="18"/>
      <c r="I108" s="18"/>
      <c r="J108" s="35"/>
      <c r="K108" s="35"/>
      <c r="L108" s="35"/>
      <c r="M108" s="35"/>
      <c r="N108" s="35"/>
      <c r="O108" s="35"/>
      <c r="P108" s="35"/>
      <c r="Q108" s="35"/>
      <c r="R108" s="35"/>
      <c r="S108" s="35"/>
      <c r="T108" s="35"/>
      <c r="U108" s="35"/>
      <c r="V108" s="35"/>
      <c r="W108" s="35"/>
      <c r="X108" s="35"/>
      <c r="Y108" s="35"/>
      <c r="Z108" s="35"/>
      <c r="AA108" s="35"/>
    </row>
    <row r="109" ht="15.75" customHeight="1">
      <c r="A109" s="35"/>
      <c r="B109" s="35"/>
      <c r="C109" s="35"/>
      <c r="D109" s="26"/>
      <c r="E109" s="51"/>
      <c r="F109" s="51"/>
      <c r="G109" s="51"/>
      <c r="H109" s="18"/>
      <c r="I109" s="18"/>
      <c r="J109" s="35"/>
      <c r="K109" s="35"/>
      <c r="L109" s="35"/>
      <c r="M109" s="35"/>
      <c r="N109" s="35"/>
      <c r="O109" s="35"/>
      <c r="P109" s="35"/>
      <c r="Q109" s="35"/>
      <c r="R109" s="35"/>
      <c r="S109" s="35"/>
      <c r="T109" s="35"/>
      <c r="U109" s="35"/>
      <c r="V109" s="35"/>
      <c r="W109" s="35"/>
      <c r="X109" s="35"/>
      <c r="Y109" s="35"/>
      <c r="Z109" s="35"/>
      <c r="AA109" s="35"/>
    </row>
    <row r="110" ht="15.75" customHeight="1">
      <c r="A110" s="35"/>
      <c r="B110" s="35"/>
      <c r="C110" s="35"/>
      <c r="D110" s="26"/>
      <c r="E110" s="51"/>
      <c r="F110" s="51"/>
      <c r="G110" s="51"/>
      <c r="H110" s="18"/>
      <c r="I110" s="18"/>
      <c r="J110" s="35"/>
      <c r="K110" s="35"/>
      <c r="L110" s="35"/>
      <c r="M110" s="35"/>
      <c r="N110" s="35"/>
      <c r="O110" s="35"/>
      <c r="P110" s="35"/>
      <c r="Q110" s="35"/>
      <c r="R110" s="35"/>
      <c r="S110" s="35"/>
      <c r="T110" s="35"/>
      <c r="U110" s="35"/>
      <c r="V110" s="35"/>
      <c r="W110" s="35"/>
      <c r="X110" s="35"/>
      <c r="Y110" s="35"/>
      <c r="Z110" s="35"/>
      <c r="AA110" s="35"/>
    </row>
    <row r="111" ht="15.75" customHeight="1">
      <c r="A111" s="35"/>
      <c r="B111" s="35"/>
      <c r="C111" s="35"/>
      <c r="D111" s="26"/>
      <c r="E111" s="51"/>
      <c r="F111" s="51"/>
      <c r="G111" s="51"/>
      <c r="H111" s="18"/>
      <c r="I111" s="18"/>
      <c r="J111" s="35"/>
      <c r="K111" s="35"/>
      <c r="L111" s="35"/>
      <c r="M111" s="35"/>
      <c r="N111" s="35"/>
      <c r="O111" s="35"/>
      <c r="P111" s="35"/>
      <c r="Q111" s="35"/>
      <c r="R111" s="35"/>
      <c r="S111" s="35"/>
      <c r="T111" s="35"/>
      <c r="U111" s="35"/>
      <c r="V111" s="35"/>
      <c r="W111" s="35"/>
      <c r="X111" s="35"/>
      <c r="Y111" s="35"/>
      <c r="Z111" s="35"/>
      <c r="AA111" s="35"/>
    </row>
    <row r="112" ht="15.75" customHeight="1">
      <c r="A112" s="35"/>
      <c r="B112" s="35"/>
      <c r="C112" s="35"/>
      <c r="D112" s="26"/>
      <c r="E112" s="51"/>
      <c r="F112" s="51"/>
      <c r="G112" s="51"/>
      <c r="H112" s="18"/>
      <c r="I112" s="18"/>
      <c r="J112" s="35"/>
      <c r="K112" s="35"/>
      <c r="L112" s="35"/>
      <c r="M112" s="35"/>
      <c r="N112" s="35"/>
      <c r="O112" s="35"/>
      <c r="P112" s="35"/>
      <c r="Q112" s="35"/>
      <c r="R112" s="35"/>
      <c r="S112" s="35"/>
      <c r="T112" s="35"/>
      <c r="U112" s="35"/>
      <c r="V112" s="35"/>
      <c r="W112" s="35"/>
      <c r="X112" s="35"/>
      <c r="Y112" s="35"/>
      <c r="Z112" s="35"/>
      <c r="AA112" s="35"/>
    </row>
    <row r="113" ht="15.75" customHeight="1">
      <c r="A113" s="35"/>
      <c r="B113" s="35"/>
      <c r="C113" s="35"/>
      <c r="D113" s="26"/>
      <c r="E113" s="51"/>
      <c r="F113" s="51"/>
      <c r="G113" s="51"/>
      <c r="H113" s="18"/>
      <c r="I113" s="18"/>
      <c r="J113" s="35"/>
      <c r="K113" s="35"/>
      <c r="L113" s="35"/>
      <c r="M113" s="35"/>
      <c r="N113" s="35"/>
      <c r="O113" s="35"/>
      <c r="P113" s="35"/>
      <c r="Q113" s="35"/>
      <c r="R113" s="35"/>
      <c r="S113" s="35"/>
      <c r="T113" s="35"/>
      <c r="U113" s="35"/>
      <c r="V113" s="35"/>
      <c r="W113" s="35"/>
      <c r="X113" s="35"/>
      <c r="Y113" s="35"/>
      <c r="Z113" s="35"/>
      <c r="AA113" s="35"/>
    </row>
    <row r="114" ht="15.75" customHeight="1">
      <c r="A114" s="35"/>
      <c r="B114" s="35"/>
      <c r="C114" s="35"/>
      <c r="D114" s="26"/>
      <c r="E114" s="51"/>
      <c r="F114" s="51"/>
      <c r="G114" s="51"/>
      <c r="H114" s="18"/>
      <c r="I114" s="18"/>
      <c r="J114" s="35"/>
      <c r="K114" s="35"/>
      <c r="L114" s="35"/>
      <c r="M114" s="35"/>
      <c r="N114" s="35"/>
      <c r="O114" s="35"/>
      <c r="P114" s="35"/>
      <c r="Q114" s="35"/>
      <c r="R114" s="35"/>
      <c r="S114" s="35"/>
      <c r="T114" s="35"/>
      <c r="U114" s="35"/>
      <c r="V114" s="35"/>
      <c r="W114" s="35"/>
      <c r="X114" s="35"/>
      <c r="Y114" s="35"/>
      <c r="Z114" s="35"/>
      <c r="AA114" s="35"/>
    </row>
    <row r="115" ht="15.75" customHeight="1">
      <c r="A115" s="35"/>
      <c r="B115" s="35"/>
      <c r="C115" s="35"/>
      <c r="D115" s="26"/>
      <c r="E115" s="51"/>
      <c r="F115" s="51"/>
      <c r="G115" s="51"/>
      <c r="H115" s="18"/>
      <c r="I115" s="18"/>
      <c r="J115" s="35"/>
      <c r="K115" s="35"/>
      <c r="L115" s="35"/>
      <c r="M115" s="35"/>
      <c r="N115" s="35"/>
      <c r="O115" s="35"/>
      <c r="P115" s="35"/>
      <c r="Q115" s="35"/>
      <c r="R115" s="35"/>
      <c r="S115" s="35"/>
      <c r="T115" s="35"/>
      <c r="U115" s="35"/>
      <c r="V115" s="35"/>
      <c r="W115" s="35"/>
      <c r="X115" s="35"/>
      <c r="Y115" s="35"/>
      <c r="Z115" s="35"/>
      <c r="AA115" s="35"/>
    </row>
    <row r="116" ht="15.75" customHeight="1">
      <c r="A116" s="35"/>
      <c r="B116" s="35"/>
      <c r="C116" s="35"/>
      <c r="D116" s="26"/>
      <c r="E116" s="51"/>
      <c r="F116" s="51"/>
      <c r="G116" s="51"/>
      <c r="H116" s="18"/>
      <c r="I116" s="18"/>
      <c r="J116" s="35"/>
      <c r="K116" s="35"/>
      <c r="L116" s="35"/>
      <c r="M116" s="35"/>
      <c r="N116" s="35"/>
      <c r="O116" s="35"/>
      <c r="P116" s="35"/>
      <c r="Q116" s="35"/>
      <c r="R116" s="35"/>
      <c r="S116" s="35"/>
      <c r="T116" s="35"/>
      <c r="U116" s="35"/>
      <c r="V116" s="35"/>
      <c r="W116" s="35"/>
      <c r="X116" s="35"/>
      <c r="Y116" s="35"/>
      <c r="Z116" s="35"/>
      <c r="AA116" s="35"/>
    </row>
    <row r="117" ht="15.75" customHeight="1">
      <c r="A117" s="35"/>
      <c r="B117" s="35"/>
      <c r="C117" s="35"/>
      <c r="D117" s="26"/>
      <c r="E117" s="51"/>
      <c r="F117" s="51"/>
      <c r="G117" s="51"/>
      <c r="H117" s="18"/>
      <c r="I117" s="18"/>
      <c r="J117" s="35"/>
      <c r="K117" s="35"/>
      <c r="L117" s="35"/>
      <c r="M117" s="35"/>
      <c r="N117" s="35"/>
      <c r="O117" s="35"/>
      <c r="P117" s="35"/>
      <c r="Q117" s="35"/>
      <c r="R117" s="35"/>
      <c r="S117" s="35"/>
      <c r="T117" s="35"/>
      <c r="U117" s="35"/>
      <c r="V117" s="35"/>
      <c r="W117" s="35"/>
      <c r="X117" s="35"/>
      <c r="Y117" s="35"/>
      <c r="Z117" s="35"/>
      <c r="AA117" s="35"/>
    </row>
    <row r="118" ht="15.75" customHeight="1">
      <c r="A118" s="35"/>
      <c r="B118" s="35"/>
      <c r="C118" s="35"/>
      <c r="D118" s="26"/>
      <c r="E118" s="51"/>
      <c r="F118" s="51"/>
      <c r="G118" s="51"/>
      <c r="H118" s="18"/>
      <c r="I118" s="18"/>
      <c r="J118" s="35"/>
      <c r="K118" s="35"/>
      <c r="L118" s="35"/>
      <c r="M118" s="35"/>
      <c r="N118" s="35"/>
      <c r="O118" s="35"/>
      <c r="P118" s="35"/>
      <c r="Q118" s="35"/>
      <c r="R118" s="35"/>
      <c r="S118" s="35"/>
      <c r="T118" s="35"/>
      <c r="U118" s="35"/>
      <c r="V118" s="35"/>
      <c r="W118" s="35"/>
      <c r="X118" s="35"/>
      <c r="Y118" s="35"/>
      <c r="Z118" s="35"/>
      <c r="AA118" s="35"/>
    </row>
    <row r="119" ht="15.75" customHeight="1">
      <c r="A119" s="35"/>
      <c r="B119" s="35"/>
      <c r="C119" s="35"/>
      <c r="D119" s="26"/>
      <c r="E119" s="51"/>
      <c r="F119" s="51"/>
      <c r="G119" s="51"/>
      <c r="H119" s="18"/>
      <c r="I119" s="18"/>
      <c r="J119" s="35"/>
      <c r="K119" s="35"/>
      <c r="L119" s="35"/>
      <c r="M119" s="35"/>
      <c r="N119" s="35"/>
      <c r="O119" s="35"/>
      <c r="P119" s="35"/>
      <c r="Q119" s="35"/>
      <c r="R119" s="35"/>
      <c r="S119" s="35"/>
      <c r="T119" s="35"/>
      <c r="U119" s="35"/>
      <c r="V119" s="35"/>
      <c r="W119" s="35"/>
      <c r="X119" s="35"/>
      <c r="Y119" s="35"/>
      <c r="Z119" s="35"/>
      <c r="AA119" s="35"/>
    </row>
    <row r="120" ht="15.75" customHeight="1">
      <c r="A120" s="35"/>
      <c r="B120" s="35"/>
      <c r="C120" s="35"/>
      <c r="D120" s="26"/>
      <c r="E120" s="51"/>
      <c r="F120" s="51"/>
      <c r="G120" s="51"/>
      <c r="H120" s="18"/>
      <c r="I120" s="18"/>
      <c r="J120" s="35"/>
      <c r="K120" s="35"/>
      <c r="L120" s="35"/>
      <c r="M120" s="35"/>
      <c r="N120" s="35"/>
      <c r="O120" s="35"/>
      <c r="P120" s="35"/>
      <c r="Q120" s="35"/>
      <c r="R120" s="35"/>
      <c r="S120" s="35"/>
      <c r="T120" s="35"/>
      <c r="U120" s="35"/>
      <c r="V120" s="35"/>
      <c r="W120" s="35"/>
      <c r="X120" s="35"/>
      <c r="Y120" s="35"/>
      <c r="Z120" s="35"/>
      <c r="AA120" s="35"/>
    </row>
    <row r="121" ht="15.75" customHeight="1">
      <c r="A121" s="35"/>
      <c r="B121" s="35"/>
      <c r="C121" s="35"/>
      <c r="D121" s="26"/>
      <c r="E121" s="51"/>
      <c r="F121" s="51"/>
      <c r="G121" s="51"/>
      <c r="H121" s="18"/>
      <c r="I121" s="18"/>
      <c r="J121" s="35"/>
      <c r="K121" s="35"/>
      <c r="L121" s="35"/>
      <c r="M121" s="35"/>
      <c r="N121" s="35"/>
      <c r="O121" s="35"/>
      <c r="P121" s="35"/>
      <c r="Q121" s="35"/>
      <c r="R121" s="35"/>
      <c r="S121" s="35"/>
      <c r="T121" s="35"/>
      <c r="U121" s="35"/>
      <c r="V121" s="35"/>
      <c r="W121" s="35"/>
      <c r="X121" s="35"/>
      <c r="Y121" s="35"/>
      <c r="Z121" s="35"/>
      <c r="AA121" s="35"/>
    </row>
    <row r="122" ht="15.75" customHeight="1">
      <c r="A122" s="35"/>
      <c r="B122" s="35"/>
      <c r="C122" s="35"/>
      <c r="D122" s="26"/>
      <c r="E122" s="51"/>
      <c r="F122" s="51"/>
      <c r="G122" s="51"/>
      <c r="H122" s="18"/>
      <c r="I122" s="18"/>
      <c r="J122" s="35"/>
      <c r="K122" s="35"/>
      <c r="L122" s="35"/>
      <c r="M122" s="35"/>
      <c r="N122" s="35"/>
      <c r="O122" s="35"/>
      <c r="P122" s="35"/>
      <c r="Q122" s="35"/>
      <c r="R122" s="35"/>
      <c r="S122" s="35"/>
      <c r="T122" s="35"/>
      <c r="U122" s="35"/>
      <c r="V122" s="35"/>
      <c r="W122" s="35"/>
      <c r="X122" s="35"/>
      <c r="Y122" s="35"/>
      <c r="Z122" s="35"/>
      <c r="AA122" s="35"/>
    </row>
    <row r="123" ht="15.75" customHeight="1">
      <c r="A123" s="35"/>
      <c r="B123" s="35"/>
      <c r="C123" s="35"/>
      <c r="D123" s="26"/>
      <c r="E123" s="51"/>
      <c r="F123" s="51"/>
      <c r="G123" s="51"/>
      <c r="H123" s="18"/>
      <c r="I123" s="18"/>
      <c r="J123" s="35"/>
      <c r="K123" s="35"/>
      <c r="L123" s="35"/>
      <c r="M123" s="35"/>
      <c r="N123" s="35"/>
      <c r="O123" s="35"/>
      <c r="P123" s="35"/>
      <c r="Q123" s="35"/>
      <c r="R123" s="35"/>
      <c r="S123" s="35"/>
      <c r="T123" s="35"/>
      <c r="U123" s="35"/>
      <c r="V123" s="35"/>
      <c r="W123" s="35"/>
      <c r="X123" s="35"/>
      <c r="Y123" s="35"/>
      <c r="Z123" s="35"/>
      <c r="AA123" s="35"/>
    </row>
    <row r="124" ht="15.75" customHeight="1">
      <c r="A124" s="35"/>
      <c r="B124" s="35"/>
      <c r="C124" s="35"/>
      <c r="D124" s="26"/>
      <c r="E124" s="51"/>
      <c r="F124" s="51"/>
      <c r="G124" s="51"/>
      <c r="H124" s="18"/>
      <c r="I124" s="18"/>
      <c r="J124" s="35"/>
      <c r="K124" s="35"/>
      <c r="L124" s="35"/>
      <c r="M124" s="35"/>
      <c r="N124" s="35"/>
      <c r="O124" s="35"/>
      <c r="P124" s="35"/>
      <c r="Q124" s="35"/>
      <c r="R124" s="35"/>
      <c r="S124" s="35"/>
      <c r="T124" s="35"/>
      <c r="U124" s="35"/>
      <c r="V124" s="35"/>
      <c r="W124" s="35"/>
      <c r="X124" s="35"/>
      <c r="Y124" s="35"/>
      <c r="Z124" s="35"/>
      <c r="AA124" s="35"/>
    </row>
    <row r="125" ht="15.75" customHeight="1">
      <c r="A125" s="35"/>
      <c r="B125" s="35"/>
      <c r="C125" s="35"/>
      <c r="D125" s="26"/>
      <c r="E125" s="51"/>
      <c r="F125" s="51"/>
      <c r="G125" s="51"/>
      <c r="H125" s="18"/>
      <c r="I125" s="18"/>
      <c r="J125" s="35"/>
      <c r="K125" s="35"/>
      <c r="L125" s="35"/>
      <c r="M125" s="35"/>
      <c r="N125" s="35"/>
      <c r="O125" s="35"/>
      <c r="P125" s="35"/>
      <c r="Q125" s="35"/>
      <c r="R125" s="35"/>
      <c r="S125" s="35"/>
      <c r="T125" s="35"/>
      <c r="U125" s="35"/>
      <c r="V125" s="35"/>
      <c r="W125" s="35"/>
      <c r="X125" s="35"/>
      <c r="Y125" s="35"/>
      <c r="Z125" s="35"/>
      <c r="AA125" s="35"/>
    </row>
    <row r="126" ht="15.75" customHeight="1">
      <c r="A126" s="35"/>
      <c r="B126" s="35"/>
      <c r="C126" s="35"/>
      <c r="D126" s="26"/>
      <c r="E126" s="51"/>
      <c r="F126" s="51"/>
      <c r="G126" s="51"/>
      <c r="H126" s="18"/>
      <c r="I126" s="18"/>
      <c r="J126" s="35"/>
      <c r="K126" s="35"/>
      <c r="L126" s="35"/>
      <c r="M126" s="35"/>
      <c r="N126" s="35"/>
      <c r="O126" s="35"/>
      <c r="P126" s="35"/>
      <c r="Q126" s="35"/>
      <c r="R126" s="35"/>
      <c r="S126" s="35"/>
      <c r="T126" s="35"/>
      <c r="U126" s="35"/>
      <c r="V126" s="35"/>
      <c r="W126" s="35"/>
      <c r="X126" s="35"/>
      <c r="Y126" s="35"/>
      <c r="Z126" s="35"/>
      <c r="AA126" s="35"/>
    </row>
    <row r="127" ht="15.75" customHeight="1">
      <c r="A127" s="35"/>
      <c r="B127" s="35"/>
      <c r="C127" s="35"/>
      <c r="D127" s="26"/>
      <c r="E127" s="51"/>
      <c r="F127" s="51"/>
      <c r="G127" s="51"/>
      <c r="H127" s="18"/>
      <c r="I127" s="18"/>
      <c r="J127" s="35"/>
      <c r="K127" s="35"/>
      <c r="L127" s="35"/>
      <c r="M127" s="35"/>
      <c r="N127" s="35"/>
      <c r="O127" s="35"/>
      <c r="P127" s="35"/>
      <c r="Q127" s="35"/>
      <c r="R127" s="35"/>
      <c r="S127" s="35"/>
      <c r="T127" s="35"/>
      <c r="U127" s="35"/>
      <c r="V127" s="35"/>
      <c r="W127" s="35"/>
      <c r="X127" s="35"/>
      <c r="Y127" s="35"/>
      <c r="Z127" s="35"/>
      <c r="AA127" s="35"/>
    </row>
    <row r="128" ht="15.75" customHeight="1">
      <c r="A128" s="35"/>
      <c r="B128" s="35"/>
      <c r="C128" s="35"/>
      <c r="D128" s="26"/>
      <c r="E128" s="51"/>
      <c r="F128" s="51"/>
      <c r="G128" s="51"/>
      <c r="H128" s="18"/>
      <c r="I128" s="18"/>
      <c r="J128" s="35"/>
      <c r="K128" s="35"/>
      <c r="L128" s="35"/>
      <c r="M128" s="35"/>
      <c r="N128" s="35"/>
      <c r="O128" s="35"/>
      <c r="P128" s="35"/>
      <c r="Q128" s="35"/>
      <c r="R128" s="35"/>
      <c r="S128" s="35"/>
      <c r="T128" s="35"/>
      <c r="U128" s="35"/>
      <c r="V128" s="35"/>
      <c r="W128" s="35"/>
      <c r="X128" s="35"/>
      <c r="Y128" s="35"/>
      <c r="Z128" s="35"/>
      <c r="AA128" s="35"/>
    </row>
    <row r="129" ht="15.75" customHeight="1">
      <c r="A129" s="35"/>
      <c r="B129" s="35"/>
      <c r="C129" s="35"/>
      <c r="D129" s="26"/>
      <c r="E129" s="51"/>
      <c r="F129" s="51"/>
      <c r="G129" s="51"/>
      <c r="H129" s="18"/>
      <c r="I129" s="18"/>
      <c r="J129" s="35"/>
      <c r="K129" s="35"/>
      <c r="L129" s="35"/>
      <c r="M129" s="35"/>
      <c r="N129" s="35"/>
      <c r="O129" s="35"/>
      <c r="P129" s="35"/>
      <c r="Q129" s="35"/>
      <c r="R129" s="35"/>
      <c r="S129" s="35"/>
      <c r="T129" s="35"/>
      <c r="U129" s="35"/>
      <c r="V129" s="35"/>
      <c r="W129" s="35"/>
      <c r="X129" s="35"/>
      <c r="Y129" s="35"/>
      <c r="Z129" s="35"/>
      <c r="AA129" s="35"/>
    </row>
    <row r="130" ht="15.75" customHeight="1">
      <c r="A130" s="35"/>
      <c r="B130" s="35"/>
      <c r="C130" s="35"/>
      <c r="D130" s="26"/>
      <c r="E130" s="51"/>
      <c r="F130" s="51"/>
      <c r="G130" s="51"/>
      <c r="H130" s="18"/>
      <c r="I130" s="18"/>
      <c r="J130" s="35"/>
      <c r="K130" s="35"/>
      <c r="L130" s="35"/>
      <c r="M130" s="35"/>
      <c r="N130" s="35"/>
      <c r="O130" s="35"/>
      <c r="P130" s="35"/>
      <c r="Q130" s="35"/>
      <c r="R130" s="35"/>
      <c r="S130" s="35"/>
      <c r="T130" s="35"/>
      <c r="U130" s="35"/>
      <c r="V130" s="35"/>
      <c r="W130" s="35"/>
      <c r="X130" s="35"/>
      <c r="Y130" s="35"/>
      <c r="Z130" s="35"/>
      <c r="AA130" s="35"/>
    </row>
    <row r="131" ht="15.75" customHeight="1">
      <c r="A131" s="35"/>
      <c r="B131" s="35"/>
      <c r="C131" s="35"/>
      <c r="D131" s="26"/>
      <c r="E131" s="51"/>
      <c r="F131" s="51"/>
      <c r="G131" s="51"/>
      <c r="H131" s="18"/>
      <c r="I131" s="18"/>
      <c r="J131" s="35"/>
      <c r="K131" s="35"/>
      <c r="L131" s="35"/>
      <c r="M131" s="35"/>
      <c r="N131" s="35"/>
      <c r="O131" s="35"/>
      <c r="P131" s="35"/>
      <c r="Q131" s="35"/>
      <c r="R131" s="35"/>
      <c r="S131" s="35"/>
      <c r="T131" s="35"/>
      <c r="U131" s="35"/>
      <c r="V131" s="35"/>
      <c r="W131" s="35"/>
      <c r="X131" s="35"/>
      <c r="Y131" s="35"/>
      <c r="Z131" s="35"/>
      <c r="AA131" s="35"/>
    </row>
    <row r="132" ht="15.75" customHeight="1">
      <c r="A132" s="35"/>
      <c r="B132" s="35"/>
      <c r="C132" s="35"/>
      <c r="D132" s="26"/>
      <c r="E132" s="51"/>
      <c r="F132" s="51"/>
      <c r="G132" s="51"/>
      <c r="H132" s="18"/>
      <c r="I132" s="18"/>
      <c r="J132" s="35"/>
      <c r="K132" s="35"/>
      <c r="L132" s="35"/>
      <c r="M132" s="35"/>
      <c r="N132" s="35"/>
      <c r="O132" s="35"/>
      <c r="P132" s="35"/>
      <c r="Q132" s="35"/>
      <c r="R132" s="35"/>
      <c r="S132" s="35"/>
      <c r="T132" s="35"/>
      <c r="U132" s="35"/>
      <c r="V132" s="35"/>
      <c r="W132" s="35"/>
      <c r="X132" s="35"/>
      <c r="Y132" s="35"/>
      <c r="Z132" s="35"/>
      <c r="AA132" s="35"/>
    </row>
    <row r="133" ht="15.75" customHeight="1">
      <c r="A133" s="35"/>
      <c r="B133" s="35"/>
      <c r="C133" s="35"/>
      <c r="D133" s="26"/>
      <c r="E133" s="51"/>
      <c r="F133" s="51"/>
      <c r="G133" s="51"/>
      <c r="H133" s="18"/>
      <c r="I133" s="18"/>
      <c r="J133" s="35"/>
      <c r="K133" s="35"/>
      <c r="L133" s="35"/>
      <c r="M133" s="35"/>
      <c r="N133" s="35"/>
      <c r="O133" s="35"/>
      <c r="P133" s="35"/>
      <c r="Q133" s="35"/>
      <c r="R133" s="35"/>
      <c r="S133" s="35"/>
      <c r="T133" s="35"/>
      <c r="U133" s="35"/>
      <c r="V133" s="35"/>
      <c r="W133" s="35"/>
      <c r="X133" s="35"/>
      <c r="Y133" s="35"/>
      <c r="Z133" s="35"/>
      <c r="AA133" s="35"/>
    </row>
    <row r="134" ht="15.75" customHeight="1">
      <c r="A134" s="35"/>
      <c r="B134" s="35"/>
      <c r="C134" s="35"/>
      <c r="D134" s="26"/>
      <c r="E134" s="51"/>
      <c r="F134" s="51"/>
      <c r="G134" s="51"/>
      <c r="H134" s="18"/>
      <c r="I134" s="18"/>
      <c r="J134" s="35"/>
      <c r="K134" s="35"/>
      <c r="L134" s="35"/>
      <c r="M134" s="35"/>
      <c r="N134" s="35"/>
      <c r="O134" s="35"/>
      <c r="P134" s="35"/>
      <c r="Q134" s="35"/>
      <c r="R134" s="35"/>
      <c r="S134" s="35"/>
      <c r="T134" s="35"/>
      <c r="U134" s="35"/>
      <c r="V134" s="35"/>
      <c r="W134" s="35"/>
      <c r="X134" s="35"/>
      <c r="Y134" s="35"/>
      <c r="Z134" s="35"/>
      <c r="AA134" s="35"/>
    </row>
    <row r="135" ht="15.75" customHeight="1">
      <c r="A135" s="35"/>
      <c r="B135" s="35"/>
      <c r="C135" s="35"/>
      <c r="D135" s="26"/>
      <c r="E135" s="51"/>
      <c r="F135" s="51"/>
      <c r="G135" s="51"/>
      <c r="H135" s="18"/>
      <c r="I135" s="18"/>
      <c r="J135" s="35"/>
      <c r="K135" s="35"/>
      <c r="L135" s="35"/>
      <c r="M135" s="35"/>
      <c r="N135" s="35"/>
      <c r="O135" s="35"/>
      <c r="P135" s="35"/>
      <c r="Q135" s="35"/>
      <c r="R135" s="35"/>
      <c r="S135" s="35"/>
      <c r="T135" s="35"/>
      <c r="U135" s="35"/>
      <c r="V135" s="35"/>
      <c r="W135" s="35"/>
      <c r="X135" s="35"/>
      <c r="Y135" s="35"/>
      <c r="Z135" s="35"/>
      <c r="AA135" s="35"/>
    </row>
    <row r="136" ht="15.75" customHeight="1">
      <c r="A136" s="35"/>
      <c r="B136" s="35"/>
      <c r="C136" s="35"/>
      <c r="D136" s="26"/>
      <c r="E136" s="51"/>
      <c r="F136" s="51"/>
      <c r="G136" s="51"/>
      <c r="H136" s="18"/>
      <c r="I136" s="18"/>
      <c r="J136" s="35"/>
      <c r="K136" s="35"/>
      <c r="L136" s="35"/>
      <c r="M136" s="35"/>
      <c r="N136" s="35"/>
      <c r="O136" s="35"/>
      <c r="P136" s="35"/>
      <c r="Q136" s="35"/>
      <c r="R136" s="35"/>
      <c r="S136" s="35"/>
      <c r="T136" s="35"/>
      <c r="U136" s="35"/>
      <c r="V136" s="35"/>
      <c r="W136" s="35"/>
      <c r="X136" s="35"/>
      <c r="Y136" s="35"/>
      <c r="Z136" s="35"/>
      <c r="AA136" s="35"/>
    </row>
    <row r="137" ht="15.75" customHeight="1">
      <c r="A137" s="35"/>
      <c r="B137" s="35"/>
      <c r="C137" s="35"/>
      <c r="D137" s="26"/>
      <c r="E137" s="51"/>
      <c r="F137" s="51"/>
      <c r="G137" s="51"/>
      <c r="H137" s="18"/>
      <c r="I137" s="18"/>
      <c r="J137" s="35"/>
      <c r="K137" s="35"/>
      <c r="L137" s="35"/>
      <c r="M137" s="35"/>
      <c r="N137" s="35"/>
      <c r="O137" s="35"/>
      <c r="P137" s="35"/>
      <c r="Q137" s="35"/>
      <c r="R137" s="35"/>
      <c r="S137" s="35"/>
      <c r="T137" s="35"/>
      <c r="U137" s="35"/>
      <c r="V137" s="35"/>
      <c r="W137" s="35"/>
      <c r="X137" s="35"/>
      <c r="Y137" s="35"/>
      <c r="Z137" s="35"/>
      <c r="AA137" s="35"/>
    </row>
    <row r="138" ht="15.75" customHeight="1">
      <c r="A138" s="35"/>
      <c r="B138" s="35"/>
      <c r="C138" s="35"/>
      <c r="D138" s="26"/>
      <c r="E138" s="51"/>
      <c r="F138" s="51"/>
      <c r="G138" s="51"/>
      <c r="H138" s="18"/>
      <c r="I138" s="18"/>
      <c r="J138" s="35"/>
      <c r="K138" s="35"/>
      <c r="L138" s="35"/>
      <c r="M138" s="35"/>
      <c r="N138" s="35"/>
      <c r="O138" s="35"/>
      <c r="P138" s="35"/>
      <c r="Q138" s="35"/>
      <c r="R138" s="35"/>
      <c r="S138" s="35"/>
      <c r="T138" s="35"/>
      <c r="U138" s="35"/>
      <c r="V138" s="35"/>
      <c r="W138" s="35"/>
      <c r="X138" s="35"/>
      <c r="Y138" s="35"/>
      <c r="Z138" s="35"/>
      <c r="AA138" s="35"/>
    </row>
    <row r="139" ht="15.75" customHeight="1">
      <c r="A139" s="35"/>
      <c r="B139" s="35"/>
      <c r="C139" s="35"/>
      <c r="D139" s="26"/>
      <c r="E139" s="51"/>
      <c r="F139" s="51"/>
      <c r="G139" s="51"/>
      <c r="H139" s="18"/>
      <c r="I139" s="18"/>
      <c r="J139" s="35"/>
      <c r="K139" s="35"/>
      <c r="L139" s="35"/>
      <c r="M139" s="35"/>
      <c r="N139" s="35"/>
      <c r="O139" s="35"/>
      <c r="P139" s="35"/>
      <c r="Q139" s="35"/>
      <c r="R139" s="35"/>
      <c r="S139" s="35"/>
      <c r="T139" s="35"/>
      <c r="U139" s="35"/>
      <c r="V139" s="35"/>
      <c r="W139" s="35"/>
      <c r="X139" s="35"/>
      <c r="Y139" s="35"/>
      <c r="Z139" s="35"/>
      <c r="AA139" s="35"/>
    </row>
    <row r="140" ht="15.75" customHeight="1">
      <c r="A140" s="35"/>
      <c r="B140" s="35"/>
      <c r="C140" s="35"/>
      <c r="D140" s="26"/>
      <c r="E140" s="51"/>
      <c r="F140" s="51"/>
      <c r="G140" s="51"/>
      <c r="H140" s="18"/>
      <c r="I140" s="18"/>
      <c r="J140" s="35"/>
      <c r="K140" s="35"/>
      <c r="L140" s="35"/>
      <c r="M140" s="35"/>
      <c r="N140" s="35"/>
      <c r="O140" s="35"/>
      <c r="P140" s="35"/>
      <c r="Q140" s="35"/>
      <c r="R140" s="35"/>
      <c r="S140" s="35"/>
      <c r="T140" s="35"/>
      <c r="U140" s="35"/>
      <c r="V140" s="35"/>
      <c r="W140" s="35"/>
      <c r="X140" s="35"/>
      <c r="Y140" s="35"/>
      <c r="Z140" s="35"/>
      <c r="AA140" s="35"/>
    </row>
    <row r="141" ht="15.75" customHeight="1">
      <c r="A141" s="35"/>
      <c r="B141" s="35"/>
      <c r="C141" s="35"/>
      <c r="D141" s="26"/>
      <c r="E141" s="51"/>
      <c r="F141" s="51"/>
      <c r="G141" s="51"/>
      <c r="H141" s="18"/>
      <c r="I141" s="18"/>
      <c r="J141" s="35"/>
      <c r="K141" s="35"/>
      <c r="L141" s="35"/>
      <c r="M141" s="35"/>
      <c r="N141" s="35"/>
      <c r="O141" s="35"/>
      <c r="P141" s="35"/>
      <c r="Q141" s="35"/>
      <c r="R141" s="35"/>
      <c r="S141" s="35"/>
      <c r="T141" s="35"/>
      <c r="U141" s="35"/>
      <c r="V141" s="35"/>
      <c r="W141" s="35"/>
      <c r="X141" s="35"/>
      <c r="Y141" s="35"/>
      <c r="Z141" s="35"/>
      <c r="AA141" s="35"/>
    </row>
    <row r="142" ht="15.75" customHeight="1">
      <c r="A142" s="35"/>
      <c r="B142" s="35"/>
      <c r="C142" s="35"/>
      <c r="D142" s="26"/>
      <c r="E142" s="51"/>
      <c r="F142" s="51"/>
      <c r="G142" s="51"/>
      <c r="H142" s="18"/>
      <c r="I142" s="18"/>
      <c r="J142" s="35"/>
      <c r="K142" s="35"/>
      <c r="L142" s="35"/>
      <c r="M142" s="35"/>
      <c r="N142" s="35"/>
      <c r="O142" s="35"/>
      <c r="P142" s="35"/>
      <c r="Q142" s="35"/>
      <c r="R142" s="35"/>
      <c r="S142" s="35"/>
      <c r="T142" s="35"/>
      <c r="U142" s="35"/>
      <c r="V142" s="35"/>
      <c r="W142" s="35"/>
      <c r="X142" s="35"/>
      <c r="Y142" s="35"/>
      <c r="Z142" s="35"/>
      <c r="AA142" s="35"/>
    </row>
    <row r="143" ht="15.75" customHeight="1">
      <c r="A143" s="35"/>
      <c r="B143" s="35"/>
      <c r="C143" s="35"/>
      <c r="D143" s="26"/>
      <c r="E143" s="51"/>
      <c r="F143" s="51"/>
      <c r="G143" s="51"/>
      <c r="H143" s="18"/>
      <c r="I143" s="18"/>
      <c r="J143" s="35"/>
      <c r="K143" s="35"/>
      <c r="L143" s="35"/>
      <c r="M143" s="35"/>
      <c r="N143" s="35"/>
      <c r="O143" s="35"/>
      <c r="P143" s="35"/>
      <c r="Q143" s="35"/>
      <c r="R143" s="35"/>
      <c r="S143" s="35"/>
      <c r="T143" s="35"/>
      <c r="U143" s="35"/>
      <c r="V143" s="35"/>
      <c r="W143" s="35"/>
      <c r="X143" s="35"/>
      <c r="Y143" s="35"/>
      <c r="Z143" s="35"/>
      <c r="AA143" s="35"/>
    </row>
    <row r="144" ht="15.75" customHeight="1">
      <c r="A144" s="35"/>
      <c r="B144" s="35"/>
      <c r="C144" s="35"/>
      <c r="D144" s="26"/>
      <c r="E144" s="51"/>
      <c r="F144" s="51"/>
      <c r="G144" s="51"/>
      <c r="H144" s="18"/>
      <c r="I144" s="18"/>
      <c r="J144" s="35"/>
      <c r="K144" s="35"/>
      <c r="L144" s="35"/>
      <c r="M144" s="35"/>
      <c r="N144" s="35"/>
      <c r="O144" s="35"/>
      <c r="P144" s="35"/>
      <c r="Q144" s="35"/>
      <c r="R144" s="35"/>
      <c r="S144" s="35"/>
      <c r="T144" s="35"/>
      <c r="U144" s="35"/>
      <c r="V144" s="35"/>
      <c r="W144" s="35"/>
      <c r="X144" s="35"/>
      <c r="Y144" s="35"/>
      <c r="Z144" s="35"/>
      <c r="AA144" s="35"/>
    </row>
    <row r="145" ht="15.75" customHeight="1">
      <c r="A145" s="35"/>
      <c r="B145" s="35"/>
      <c r="C145" s="35"/>
      <c r="D145" s="26"/>
      <c r="E145" s="51"/>
      <c r="F145" s="51"/>
      <c r="G145" s="51"/>
      <c r="H145" s="18"/>
      <c r="I145" s="18"/>
      <c r="J145" s="35"/>
      <c r="K145" s="35"/>
      <c r="L145" s="35"/>
      <c r="M145" s="35"/>
      <c r="N145" s="35"/>
      <c r="O145" s="35"/>
      <c r="P145" s="35"/>
      <c r="Q145" s="35"/>
      <c r="R145" s="35"/>
      <c r="S145" s="35"/>
      <c r="T145" s="35"/>
      <c r="U145" s="35"/>
      <c r="V145" s="35"/>
      <c r="W145" s="35"/>
      <c r="X145" s="35"/>
      <c r="Y145" s="35"/>
      <c r="Z145" s="35"/>
      <c r="AA145" s="35"/>
    </row>
    <row r="146" ht="15.75" customHeight="1">
      <c r="A146" s="35"/>
      <c r="B146" s="35"/>
      <c r="C146" s="35"/>
      <c r="D146" s="26"/>
      <c r="E146" s="51"/>
      <c r="F146" s="51"/>
      <c r="G146" s="51"/>
      <c r="H146" s="18"/>
      <c r="I146" s="18"/>
      <c r="J146" s="35"/>
      <c r="K146" s="35"/>
      <c r="L146" s="35"/>
      <c r="M146" s="35"/>
      <c r="N146" s="35"/>
      <c r="O146" s="35"/>
      <c r="P146" s="35"/>
      <c r="Q146" s="35"/>
      <c r="R146" s="35"/>
      <c r="S146" s="35"/>
      <c r="T146" s="35"/>
      <c r="U146" s="35"/>
      <c r="V146" s="35"/>
      <c r="W146" s="35"/>
      <c r="X146" s="35"/>
      <c r="Y146" s="35"/>
      <c r="Z146" s="35"/>
      <c r="AA146" s="35"/>
    </row>
    <row r="147" ht="15.75" customHeight="1">
      <c r="A147" s="35"/>
      <c r="B147" s="35"/>
      <c r="C147" s="35"/>
      <c r="D147" s="26"/>
      <c r="E147" s="51"/>
      <c r="F147" s="51"/>
      <c r="G147" s="51"/>
      <c r="H147" s="18"/>
      <c r="I147" s="18"/>
      <c r="J147" s="35"/>
      <c r="K147" s="35"/>
      <c r="L147" s="35"/>
      <c r="M147" s="35"/>
      <c r="N147" s="35"/>
      <c r="O147" s="35"/>
      <c r="P147" s="35"/>
      <c r="Q147" s="35"/>
      <c r="R147" s="35"/>
      <c r="S147" s="35"/>
      <c r="T147" s="35"/>
      <c r="U147" s="35"/>
      <c r="V147" s="35"/>
      <c r="W147" s="35"/>
      <c r="X147" s="35"/>
      <c r="Y147" s="35"/>
      <c r="Z147" s="35"/>
      <c r="AA147" s="35"/>
    </row>
    <row r="148" ht="15.75" customHeight="1">
      <c r="A148" s="35"/>
      <c r="B148" s="35"/>
      <c r="C148" s="35"/>
      <c r="D148" s="26"/>
      <c r="E148" s="51"/>
      <c r="F148" s="51"/>
      <c r="G148" s="51"/>
      <c r="H148" s="18"/>
      <c r="I148" s="18"/>
      <c r="J148" s="35"/>
      <c r="K148" s="35"/>
      <c r="L148" s="35"/>
      <c r="M148" s="35"/>
      <c r="N148" s="35"/>
      <c r="O148" s="35"/>
      <c r="P148" s="35"/>
      <c r="Q148" s="35"/>
      <c r="R148" s="35"/>
      <c r="S148" s="35"/>
      <c r="T148" s="35"/>
      <c r="U148" s="35"/>
      <c r="V148" s="35"/>
      <c r="W148" s="35"/>
      <c r="X148" s="35"/>
      <c r="Y148" s="35"/>
      <c r="Z148" s="35"/>
      <c r="AA148" s="35"/>
    </row>
    <row r="149" ht="15.75" customHeight="1">
      <c r="A149" s="35"/>
      <c r="B149" s="35"/>
      <c r="C149" s="35"/>
      <c r="D149" s="26"/>
      <c r="E149" s="51"/>
      <c r="F149" s="51"/>
      <c r="G149" s="51"/>
      <c r="H149" s="18"/>
      <c r="I149" s="18"/>
      <c r="J149" s="35"/>
      <c r="K149" s="35"/>
      <c r="L149" s="35"/>
      <c r="M149" s="35"/>
      <c r="N149" s="35"/>
      <c r="O149" s="35"/>
      <c r="P149" s="35"/>
      <c r="Q149" s="35"/>
      <c r="R149" s="35"/>
      <c r="S149" s="35"/>
      <c r="T149" s="35"/>
      <c r="U149" s="35"/>
      <c r="V149" s="35"/>
      <c r="W149" s="35"/>
      <c r="X149" s="35"/>
      <c r="Y149" s="35"/>
      <c r="Z149" s="35"/>
      <c r="AA149" s="35"/>
    </row>
    <row r="150" ht="15.75" customHeight="1">
      <c r="A150" s="35"/>
      <c r="B150" s="35"/>
      <c r="C150" s="35"/>
      <c r="D150" s="26"/>
      <c r="E150" s="51"/>
      <c r="F150" s="51"/>
      <c r="G150" s="51"/>
      <c r="H150" s="18"/>
      <c r="I150" s="18"/>
      <c r="J150" s="35"/>
      <c r="K150" s="35"/>
      <c r="L150" s="35"/>
      <c r="M150" s="35"/>
      <c r="N150" s="35"/>
      <c r="O150" s="35"/>
      <c r="P150" s="35"/>
      <c r="Q150" s="35"/>
      <c r="R150" s="35"/>
      <c r="S150" s="35"/>
      <c r="T150" s="35"/>
      <c r="U150" s="35"/>
      <c r="V150" s="35"/>
      <c r="W150" s="35"/>
      <c r="X150" s="35"/>
      <c r="Y150" s="35"/>
      <c r="Z150" s="35"/>
      <c r="AA150" s="35"/>
    </row>
    <row r="151" ht="15.75" customHeight="1">
      <c r="A151" s="35"/>
      <c r="B151" s="35"/>
      <c r="C151" s="35"/>
      <c r="D151" s="26"/>
      <c r="E151" s="51"/>
      <c r="F151" s="51"/>
      <c r="G151" s="51"/>
      <c r="H151" s="18"/>
      <c r="I151" s="18"/>
      <c r="J151" s="35"/>
      <c r="K151" s="35"/>
      <c r="L151" s="35"/>
      <c r="M151" s="35"/>
      <c r="N151" s="35"/>
      <c r="O151" s="35"/>
      <c r="P151" s="35"/>
      <c r="Q151" s="35"/>
      <c r="R151" s="35"/>
      <c r="S151" s="35"/>
      <c r="T151" s="35"/>
      <c r="U151" s="35"/>
      <c r="V151" s="35"/>
      <c r="W151" s="35"/>
      <c r="X151" s="35"/>
      <c r="Y151" s="35"/>
      <c r="Z151" s="35"/>
      <c r="AA151" s="35"/>
    </row>
    <row r="152" ht="15.75" customHeight="1">
      <c r="A152" s="35"/>
      <c r="B152" s="35"/>
      <c r="C152" s="35"/>
      <c r="D152" s="26"/>
      <c r="E152" s="51"/>
      <c r="F152" s="51"/>
      <c r="G152" s="51"/>
      <c r="H152" s="18"/>
      <c r="I152" s="18"/>
      <c r="J152" s="35"/>
      <c r="K152" s="35"/>
      <c r="L152" s="35"/>
      <c r="M152" s="35"/>
      <c r="N152" s="35"/>
      <c r="O152" s="35"/>
      <c r="P152" s="35"/>
      <c r="Q152" s="35"/>
      <c r="R152" s="35"/>
      <c r="S152" s="35"/>
      <c r="T152" s="35"/>
      <c r="U152" s="35"/>
      <c r="V152" s="35"/>
      <c r="W152" s="35"/>
      <c r="X152" s="35"/>
      <c r="Y152" s="35"/>
      <c r="Z152" s="35"/>
      <c r="AA152" s="35"/>
    </row>
    <row r="153" ht="15.75" customHeight="1">
      <c r="A153" s="35"/>
      <c r="B153" s="35"/>
      <c r="C153" s="35"/>
      <c r="D153" s="26"/>
      <c r="E153" s="51"/>
      <c r="F153" s="51"/>
      <c r="G153" s="51"/>
      <c r="H153" s="18"/>
      <c r="I153" s="18"/>
      <c r="J153" s="35"/>
      <c r="K153" s="35"/>
      <c r="L153" s="35"/>
      <c r="M153" s="35"/>
      <c r="N153" s="35"/>
      <c r="O153" s="35"/>
      <c r="P153" s="35"/>
      <c r="Q153" s="35"/>
      <c r="R153" s="35"/>
      <c r="S153" s="35"/>
      <c r="T153" s="35"/>
      <c r="U153" s="35"/>
      <c r="V153" s="35"/>
      <c r="W153" s="35"/>
      <c r="X153" s="35"/>
      <c r="Y153" s="35"/>
      <c r="Z153" s="35"/>
      <c r="AA153" s="35"/>
    </row>
    <row r="154" ht="15.75" customHeight="1">
      <c r="A154" s="35"/>
      <c r="B154" s="35"/>
      <c r="C154" s="35"/>
      <c r="D154" s="26"/>
      <c r="E154" s="51"/>
      <c r="F154" s="51"/>
      <c r="G154" s="51"/>
      <c r="H154" s="18"/>
      <c r="I154" s="18"/>
      <c r="J154" s="35"/>
      <c r="K154" s="35"/>
      <c r="L154" s="35"/>
      <c r="M154" s="35"/>
      <c r="N154" s="35"/>
      <c r="O154" s="35"/>
      <c r="P154" s="35"/>
      <c r="Q154" s="35"/>
      <c r="R154" s="35"/>
      <c r="S154" s="35"/>
      <c r="T154" s="35"/>
      <c r="U154" s="35"/>
      <c r="V154" s="35"/>
      <c r="W154" s="35"/>
      <c r="X154" s="35"/>
      <c r="Y154" s="35"/>
      <c r="Z154" s="35"/>
      <c r="AA154" s="35"/>
    </row>
    <row r="155" ht="15.75" customHeight="1">
      <c r="A155" s="35"/>
      <c r="B155" s="35"/>
      <c r="C155" s="35"/>
      <c r="D155" s="26"/>
      <c r="E155" s="51"/>
      <c r="F155" s="51"/>
      <c r="G155" s="51"/>
      <c r="H155" s="18"/>
      <c r="I155" s="18"/>
      <c r="J155" s="35"/>
      <c r="K155" s="35"/>
      <c r="L155" s="35"/>
      <c r="M155" s="35"/>
      <c r="N155" s="35"/>
      <c r="O155" s="35"/>
      <c r="P155" s="35"/>
      <c r="Q155" s="35"/>
      <c r="R155" s="35"/>
      <c r="S155" s="35"/>
      <c r="T155" s="35"/>
      <c r="U155" s="35"/>
      <c r="V155" s="35"/>
      <c r="W155" s="35"/>
      <c r="X155" s="35"/>
      <c r="Y155" s="35"/>
      <c r="Z155" s="35"/>
      <c r="AA155" s="35"/>
    </row>
    <row r="156" ht="15.75" customHeight="1">
      <c r="A156" s="35"/>
      <c r="B156" s="35"/>
      <c r="C156" s="35"/>
      <c r="D156" s="26"/>
      <c r="E156" s="51"/>
      <c r="F156" s="51"/>
      <c r="G156" s="51"/>
      <c r="H156" s="18"/>
      <c r="I156" s="18"/>
      <c r="J156" s="35"/>
      <c r="K156" s="35"/>
      <c r="L156" s="35"/>
      <c r="M156" s="35"/>
      <c r="N156" s="35"/>
      <c r="O156" s="35"/>
      <c r="P156" s="35"/>
      <c r="Q156" s="35"/>
      <c r="R156" s="35"/>
      <c r="S156" s="35"/>
      <c r="T156" s="35"/>
      <c r="U156" s="35"/>
      <c r="V156" s="35"/>
      <c r="W156" s="35"/>
      <c r="X156" s="35"/>
      <c r="Y156" s="35"/>
      <c r="Z156" s="35"/>
      <c r="AA156" s="35"/>
    </row>
    <row r="157" ht="15.75" customHeight="1">
      <c r="A157" s="35"/>
      <c r="B157" s="35"/>
      <c r="C157" s="35"/>
      <c r="D157" s="26"/>
      <c r="E157" s="51"/>
      <c r="F157" s="51"/>
      <c r="G157" s="51"/>
      <c r="H157" s="18"/>
      <c r="I157" s="18"/>
      <c r="J157" s="35"/>
      <c r="K157" s="35"/>
      <c r="L157" s="35"/>
      <c r="M157" s="35"/>
      <c r="N157" s="35"/>
      <c r="O157" s="35"/>
      <c r="P157" s="35"/>
      <c r="Q157" s="35"/>
      <c r="R157" s="35"/>
      <c r="S157" s="35"/>
      <c r="T157" s="35"/>
      <c r="U157" s="35"/>
      <c r="V157" s="35"/>
      <c r="W157" s="35"/>
      <c r="X157" s="35"/>
      <c r="Y157" s="35"/>
      <c r="Z157" s="35"/>
      <c r="AA157" s="35"/>
    </row>
    <row r="158" ht="15.75" customHeight="1">
      <c r="A158" s="35"/>
      <c r="B158" s="35"/>
      <c r="C158" s="35"/>
      <c r="D158" s="26"/>
      <c r="E158" s="51"/>
      <c r="F158" s="51"/>
      <c r="G158" s="51"/>
      <c r="H158" s="18"/>
      <c r="I158" s="18"/>
      <c r="J158" s="35"/>
      <c r="K158" s="35"/>
      <c r="L158" s="35"/>
      <c r="M158" s="35"/>
      <c r="N158" s="35"/>
      <c r="O158" s="35"/>
      <c r="P158" s="35"/>
      <c r="Q158" s="35"/>
      <c r="R158" s="35"/>
      <c r="S158" s="35"/>
      <c r="T158" s="35"/>
      <c r="U158" s="35"/>
      <c r="V158" s="35"/>
      <c r="W158" s="35"/>
      <c r="X158" s="35"/>
      <c r="Y158" s="35"/>
      <c r="Z158" s="35"/>
      <c r="AA158" s="35"/>
    </row>
    <row r="159" ht="15.75" customHeight="1">
      <c r="A159" s="35"/>
      <c r="B159" s="35"/>
      <c r="C159" s="35"/>
      <c r="D159" s="26"/>
      <c r="E159" s="51"/>
      <c r="F159" s="51"/>
      <c r="G159" s="51"/>
      <c r="H159" s="18"/>
      <c r="I159" s="18"/>
      <c r="J159" s="35"/>
      <c r="K159" s="35"/>
      <c r="L159" s="35"/>
      <c r="M159" s="35"/>
      <c r="N159" s="35"/>
      <c r="O159" s="35"/>
      <c r="P159" s="35"/>
      <c r="Q159" s="35"/>
      <c r="R159" s="35"/>
      <c r="S159" s="35"/>
      <c r="T159" s="35"/>
      <c r="U159" s="35"/>
      <c r="V159" s="35"/>
      <c r="W159" s="35"/>
      <c r="X159" s="35"/>
      <c r="Y159" s="35"/>
      <c r="Z159" s="35"/>
      <c r="AA159" s="35"/>
    </row>
    <row r="160" ht="15.75" customHeight="1">
      <c r="A160" s="35"/>
      <c r="B160" s="35"/>
      <c r="C160" s="35"/>
      <c r="D160" s="26"/>
      <c r="E160" s="51"/>
      <c r="F160" s="51"/>
      <c r="G160" s="51"/>
      <c r="H160" s="18"/>
      <c r="I160" s="18"/>
      <c r="J160" s="35"/>
      <c r="K160" s="35"/>
      <c r="L160" s="35"/>
      <c r="M160" s="35"/>
      <c r="N160" s="35"/>
      <c r="O160" s="35"/>
      <c r="P160" s="35"/>
      <c r="Q160" s="35"/>
      <c r="R160" s="35"/>
      <c r="S160" s="35"/>
      <c r="T160" s="35"/>
      <c r="U160" s="35"/>
      <c r="V160" s="35"/>
      <c r="W160" s="35"/>
      <c r="X160" s="35"/>
      <c r="Y160" s="35"/>
      <c r="Z160" s="35"/>
      <c r="AA160" s="35"/>
    </row>
    <row r="161" ht="15.75" customHeight="1">
      <c r="A161" s="35"/>
      <c r="B161" s="57"/>
      <c r="C161" s="35"/>
      <c r="D161" s="26"/>
      <c r="E161" s="51"/>
      <c r="F161" s="51"/>
      <c r="G161" s="51"/>
      <c r="H161" s="18"/>
      <c r="I161" s="18"/>
      <c r="J161" s="35"/>
      <c r="K161" s="35"/>
      <c r="L161" s="35"/>
      <c r="M161" s="35"/>
      <c r="N161" s="35"/>
      <c r="O161" s="35"/>
      <c r="P161" s="35"/>
      <c r="Q161" s="35"/>
      <c r="R161" s="35"/>
      <c r="S161" s="35"/>
      <c r="T161" s="35"/>
      <c r="U161" s="35"/>
      <c r="V161" s="35"/>
      <c r="W161" s="35"/>
      <c r="X161" s="35"/>
      <c r="Y161" s="35"/>
      <c r="Z161" s="35"/>
      <c r="AA161" s="35"/>
    </row>
    <row r="162" ht="15.75" customHeight="1">
      <c r="A162" s="35"/>
      <c r="B162" s="57"/>
      <c r="C162" s="35"/>
      <c r="D162" s="26"/>
      <c r="E162" s="51"/>
      <c r="F162" s="51"/>
      <c r="G162" s="51"/>
      <c r="H162" s="18"/>
      <c r="I162" s="18"/>
      <c r="J162" s="35"/>
      <c r="K162" s="35"/>
      <c r="L162" s="35"/>
      <c r="M162" s="35"/>
      <c r="N162" s="35"/>
      <c r="O162" s="35"/>
      <c r="P162" s="35"/>
      <c r="Q162" s="35"/>
      <c r="R162" s="35"/>
      <c r="S162" s="35"/>
      <c r="T162" s="35"/>
      <c r="U162" s="35"/>
      <c r="V162" s="35"/>
      <c r="W162" s="35"/>
      <c r="X162" s="35"/>
      <c r="Y162" s="35"/>
      <c r="Z162" s="35"/>
      <c r="AA162" s="35"/>
    </row>
    <row r="163" ht="15.75" customHeight="1">
      <c r="A163" s="35"/>
      <c r="B163" s="57"/>
      <c r="C163" s="35"/>
      <c r="D163" s="26"/>
      <c r="E163" s="51"/>
      <c r="F163" s="51"/>
      <c r="G163" s="51"/>
      <c r="H163" s="18"/>
      <c r="I163" s="18"/>
      <c r="J163" s="35"/>
      <c r="K163" s="35"/>
      <c r="L163" s="35"/>
      <c r="M163" s="35"/>
      <c r="N163" s="35"/>
      <c r="O163" s="35"/>
      <c r="P163" s="35"/>
      <c r="Q163" s="35"/>
      <c r="R163" s="35"/>
      <c r="S163" s="35"/>
      <c r="T163" s="35"/>
      <c r="U163" s="35"/>
      <c r="V163" s="35"/>
      <c r="W163" s="35"/>
      <c r="X163" s="35"/>
      <c r="Y163" s="35"/>
      <c r="Z163" s="35"/>
      <c r="AA163" s="35"/>
    </row>
    <row r="164" ht="15.75" customHeight="1">
      <c r="A164" s="35"/>
      <c r="B164" s="57"/>
      <c r="C164" s="35"/>
      <c r="D164" s="26"/>
      <c r="E164" s="51"/>
      <c r="F164" s="51"/>
      <c r="G164" s="51"/>
      <c r="H164" s="18"/>
      <c r="I164" s="18"/>
      <c r="J164" s="35"/>
      <c r="K164" s="35"/>
      <c r="L164" s="35"/>
      <c r="M164" s="35"/>
      <c r="N164" s="35"/>
      <c r="O164" s="35"/>
      <c r="P164" s="35"/>
      <c r="Q164" s="35"/>
      <c r="R164" s="35"/>
      <c r="S164" s="35"/>
      <c r="T164" s="35"/>
      <c r="U164" s="35"/>
      <c r="V164" s="35"/>
      <c r="W164" s="35"/>
      <c r="X164" s="35"/>
      <c r="Y164" s="35"/>
      <c r="Z164" s="35"/>
      <c r="AA164" s="35"/>
    </row>
    <row r="165" ht="15.75" customHeight="1">
      <c r="A165" s="35"/>
      <c r="B165" s="57"/>
      <c r="C165" s="35"/>
      <c r="D165" s="26"/>
      <c r="E165" s="51"/>
      <c r="F165" s="51"/>
      <c r="G165" s="51"/>
      <c r="H165" s="18"/>
      <c r="I165" s="18"/>
      <c r="J165" s="35"/>
      <c r="K165" s="35"/>
      <c r="L165" s="35"/>
      <c r="M165" s="35"/>
      <c r="N165" s="35"/>
      <c r="O165" s="35"/>
      <c r="P165" s="35"/>
      <c r="Q165" s="35"/>
      <c r="R165" s="35"/>
      <c r="S165" s="35"/>
      <c r="T165" s="35"/>
      <c r="U165" s="35"/>
      <c r="V165" s="35"/>
      <c r="W165" s="35"/>
      <c r="X165" s="35"/>
      <c r="Y165" s="35"/>
      <c r="Z165" s="35"/>
      <c r="AA165" s="35"/>
    </row>
    <row r="166" ht="15.75" customHeight="1">
      <c r="A166" s="35"/>
      <c r="B166" s="57"/>
      <c r="C166" s="35"/>
      <c r="D166" s="26"/>
      <c r="E166" s="51"/>
      <c r="F166" s="51"/>
      <c r="G166" s="51"/>
      <c r="H166" s="18"/>
      <c r="I166" s="18"/>
      <c r="J166" s="35"/>
      <c r="K166" s="35"/>
      <c r="L166" s="35"/>
      <c r="M166" s="35"/>
      <c r="N166" s="35"/>
      <c r="O166" s="35"/>
      <c r="P166" s="35"/>
      <c r="Q166" s="35"/>
      <c r="R166" s="35"/>
      <c r="S166" s="35"/>
      <c r="T166" s="35"/>
      <c r="U166" s="35"/>
      <c r="V166" s="35"/>
      <c r="W166" s="35"/>
      <c r="X166" s="35"/>
      <c r="Y166" s="35"/>
      <c r="Z166" s="35"/>
      <c r="AA166" s="35"/>
    </row>
    <row r="167" ht="15.75" customHeight="1">
      <c r="A167" s="35"/>
      <c r="B167" s="57"/>
      <c r="C167" s="35"/>
      <c r="D167" s="26"/>
      <c r="E167" s="51"/>
      <c r="F167" s="51"/>
      <c r="G167" s="51"/>
      <c r="H167" s="18"/>
      <c r="I167" s="18"/>
      <c r="J167" s="35"/>
      <c r="K167" s="35"/>
      <c r="L167" s="35"/>
      <c r="M167" s="35"/>
      <c r="N167" s="35"/>
      <c r="O167" s="35"/>
      <c r="P167" s="35"/>
      <c r="Q167" s="35"/>
      <c r="R167" s="35"/>
      <c r="S167" s="35"/>
      <c r="T167" s="35"/>
      <c r="U167" s="35"/>
      <c r="V167" s="35"/>
      <c r="W167" s="35"/>
      <c r="X167" s="35"/>
      <c r="Y167" s="35"/>
      <c r="Z167" s="35"/>
      <c r="AA167" s="35"/>
    </row>
    <row r="168" ht="15.75" customHeight="1">
      <c r="A168" s="35"/>
      <c r="B168" s="57"/>
      <c r="C168" s="35"/>
      <c r="D168" s="26"/>
      <c r="E168" s="51"/>
      <c r="F168" s="51"/>
      <c r="G168" s="51"/>
      <c r="H168" s="18"/>
      <c r="I168" s="18"/>
      <c r="J168" s="35"/>
      <c r="K168" s="35"/>
      <c r="L168" s="35"/>
      <c r="M168" s="35"/>
      <c r="N168" s="35"/>
      <c r="O168" s="35"/>
      <c r="P168" s="35"/>
      <c r="Q168" s="35"/>
      <c r="R168" s="35"/>
      <c r="S168" s="35"/>
      <c r="T168" s="35"/>
      <c r="U168" s="35"/>
      <c r="V168" s="35"/>
      <c r="W168" s="35"/>
      <c r="X168" s="35"/>
      <c r="Y168" s="35"/>
      <c r="Z168" s="35"/>
      <c r="AA168" s="35"/>
    </row>
    <row r="169" ht="15.75" customHeight="1">
      <c r="A169" s="35"/>
      <c r="B169" s="57"/>
      <c r="C169" s="35"/>
      <c r="D169" s="26"/>
      <c r="E169" s="51"/>
      <c r="F169" s="51"/>
      <c r="G169" s="51"/>
      <c r="H169" s="18"/>
      <c r="I169" s="18"/>
      <c r="J169" s="35"/>
      <c r="K169" s="35"/>
      <c r="L169" s="35"/>
      <c r="M169" s="35"/>
      <c r="N169" s="35"/>
      <c r="O169" s="35"/>
      <c r="P169" s="35"/>
      <c r="Q169" s="35"/>
      <c r="R169" s="35"/>
      <c r="S169" s="35"/>
      <c r="T169" s="35"/>
      <c r="U169" s="35"/>
      <c r="V169" s="35"/>
      <c r="W169" s="35"/>
      <c r="X169" s="35"/>
      <c r="Y169" s="35"/>
      <c r="Z169" s="35"/>
      <c r="AA169" s="35"/>
    </row>
    <row r="170" ht="15.75" customHeight="1">
      <c r="A170" s="35"/>
      <c r="B170" s="57"/>
      <c r="C170" s="35"/>
      <c r="D170" s="26"/>
      <c r="E170" s="51"/>
      <c r="F170" s="51"/>
      <c r="G170" s="51"/>
      <c r="H170" s="18"/>
      <c r="I170" s="18"/>
      <c r="J170" s="35"/>
      <c r="K170" s="35"/>
      <c r="L170" s="35"/>
      <c r="M170" s="35"/>
      <c r="N170" s="35"/>
      <c r="O170" s="35"/>
      <c r="P170" s="35"/>
      <c r="Q170" s="35"/>
      <c r="R170" s="35"/>
      <c r="S170" s="35"/>
      <c r="T170" s="35"/>
      <c r="U170" s="35"/>
      <c r="V170" s="35"/>
      <c r="W170" s="35"/>
      <c r="X170" s="35"/>
      <c r="Y170" s="35"/>
      <c r="Z170" s="35"/>
      <c r="AA170" s="35"/>
    </row>
    <row r="171" ht="15.75" customHeight="1">
      <c r="A171" s="35"/>
      <c r="B171" s="57"/>
      <c r="C171" s="35"/>
      <c r="D171" s="26"/>
      <c r="E171" s="51"/>
      <c r="F171" s="51"/>
      <c r="G171" s="51"/>
      <c r="H171" s="18"/>
      <c r="I171" s="18"/>
      <c r="J171" s="35"/>
      <c r="K171" s="35"/>
      <c r="L171" s="35"/>
      <c r="M171" s="35"/>
      <c r="N171" s="35"/>
      <c r="O171" s="35"/>
      <c r="P171" s="35"/>
      <c r="Q171" s="35"/>
      <c r="R171" s="35"/>
      <c r="S171" s="35"/>
      <c r="T171" s="35"/>
      <c r="U171" s="35"/>
      <c r="V171" s="35"/>
      <c r="W171" s="35"/>
      <c r="X171" s="35"/>
      <c r="Y171" s="35"/>
      <c r="Z171" s="35"/>
      <c r="AA171" s="35"/>
    </row>
    <row r="172" ht="15.75" customHeight="1">
      <c r="A172" s="35"/>
      <c r="B172" s="57"/>
      <c r="C172" s="35"/>
      <c r="D172" s="26"/>
      <c r="E172" s="51"/>
      <c r="F172" s="51"/>
      <c r="G172" s="51"/>
      <c r="H172" s="18"/>
      <c r="I172" s="18"/>
      <c r="J172" s="35"/>
      <c r="K172" s="35"/>
      <c r="L172" s="35"/>
      <c r="M172" s="35"/>
      <c r="N172" s="35"/>
      <c r="O172" s="35"/>
      <c r="P172" s="35"/>
      <c r="Q172" s="35"/>
      <c r="R172" s="35"/>
      <c r="S172" s="35"/>
      <c r="T172" s="35"/>
      <c r="U172" s="35"/>
      <c r="V172" s="35"/>
      <c r="W172" s="35"/>
      <c r="X172" s="35"/>
      <c r="Y172" s="35"/>
      <c r="Z172" s="35"/>
      <c r="AA172" s="35"/>
    </row>
    <row r="173" ht="15.75" customHeight="1">
      <c r="A173" s="35"/>
      <c r="B173" s="57"/>
      <c r="C173" s="35"/>
      <c r="D173" s="26"/>
      <c r="E173" s="51"/>
      <c r="F173" s="51"/>
      <c r="G173" s="51"/>
      <c r="H173" s="18"/>
      <c r="I173" s="18"/>
      <c r="J173" s="35"/>
      <c r="K173" s="35"/>
      <c r="L173" s="35"/>
      <c r="M173" s="35"/>
      <c r="N173" s="35"/>
      <c r="O173" s="35"/>
      <c r="P173" s="35"/>
      <c r="Q173" s="35"/>
      <c r="R173" s="35"/>
      <c r="S173" s="35"/>
      <c r="T173" s="35"/>
      <c r="U173" s="35"/>
      <c r="V173" s="35"/>
      <c r="W173" s="35"/>
      <c r="X173" s="35"/>
      <c r="Y173" s="35"/>
      <c r="Z173" s="35"/>
      <c r="AA173" s="35"/>
    </row>
    <row r="174" ht="15.75" customHeight="1">
      <c r="A174" s="35"/>
      <c r="B174" s="57"/>
      <c r="C174" s="35"/>
      <c r="D174" s="26"/>
      <c r="E174" s="51"/>
      <c r="F174" s="51"/>
      <c r="G174" s="51"/>
      <c r="H174" s="18"/>
      <c r="I174" s="18"/>
      <c r="J174" s="35"/>
      <c r="K174" s="35"/>
      <c r="L174" s="35"/>
      <c r="M174" s="35"/>
      <c r="N174" s="35"/>
      <c r="O174" s="35"/>
      <c r="P174" s="35"/>
      <c r="Q174" s="35"/>
      <c r="R174" s="35"/>
      <c r="S174" s="35"/>
      <c r="T174" s="35"/>
      <c r="U174" s="35"/>
      <c r="V174" s="35"/>
      <c r="W174" s="35"/>
      <c r="X174" s="35"/>
      <c r="Y174" s="35"/>
      <c r="Z174" s="35"/>
      <c r="AA174" s="35"/>
    </row>
    <row r="175" ht="15.75" customHeight="1">
      <c r="A175" s="35"/>
      <c r="B175" s="57"/>
      <c r="C175" s="35"/>
      <c r="D175" s="26"/>
      <c r="E175" s="51"/>
      <c r="F175" s="51"/>
      <c r="G175" s="51"/>
      <c r="H175" s="18"/>
      <c r="I175" s="18"/>
      <c r="J175" s="35"/>
      <c r="K175" s="35"/>
      <c r="L175" s="35"/>
      <c r="M175" s="35"/>
      <c r="N175" s="35"/>
      <c r="O175" s="35"/>
      <c r="P175" s="35"/>
      <c r="Q175" s="35"/>
      <c r="R175" s="35"/>
      <c r="S175" s="35"/>
      <c r="T175" s="35"/>
      <c r="U175" s="35"/>
      <c r="V175" s="35"/>
      <c r="W175" s="35"/>
      <c r="X175" s="35"/>
      <c r="Y175" s="35"/>
      <c r="Z175" s="35"/>
      <c r="AA175" s="35"/>
    </row>
    <row r="176" ht="15.75" customHeight="1">
      <c r="A176" s="35"/>
      <c r="B176" s="57"/>
      <c r="C176" s="35"/>
      <c r="D176" s="26"/>
      <c r="E176" s="51"/>
      <c r="F176" s="51"/>
      <c r="G176" s="51"/>
      <c r="H176" s="18"/>
      <c r="I176" s="18"/>
      <c r="J176" s="35"/>
      <c r="K176" s="35"/>
      <c r="L176" s="35"/>
      <c r="M176" s="35"/>
      <c r="N176" s="35"/>
      <c r="O176" s="35"/>
      <c r="P176" s="35"/>
      <c r="Q176" s="35"/>
      <c r="R176" s="35"/>
      <c r="S176" s="35"/>
      <c r="T176" s="35"/>
      <c r="U176" s="35"/>
      <c r="V176" s="35"/>
      <c r="W176" s="35"/>
      <c r="X176" s="35"/>
      <c r="Y176" s="35"/>
      <c r="Z176" s="35"/>
      <c r="AA176" s="35"/>
    </row>
    <row r="177" ht="15.75" customHeight="1">
      <c r="A177" s="35"/>
      <c r="B177" s="57"/>
      <c r="C177" s="35"/>
      <c r="D177" s="26"/>
      <c r="E177" s="51"/>
      <c r="F177" s="51"/>
      <c r="G177" s="51"/>
      <c r="H177" s="18"/>
      <c r="I177" s="18"/>
      <c r="J177" s="35"/>
      <c r="K177" s="35"/>
      <c r="L177" s="35"/>
      <c r="M177" s="35"/>
      <c r="N177" s="35"/>
      <c r="O177" s="35"/>
      <c r="P177" s="35"/>
      <c r="Q177" s="35"/>
      <c r="R177" s="35"/>
      <c r="S177" s="35"/>
      <c r="T177" s="35"/>
      <c r="U177" s="35"/>
      <c r="V177" s="35"/>
      <c r="W177" s="35"/>
      <c r="X177" s="35"/>
      <c r="Y177" s="35"/>
      <c r="Z177" s="35"/>
      <c r="AA177" s="35"/>
    </row>
    <row r="178" ht="15.75" customHeight="1">
      <c r="A178" s="35"/>
      <c r="B178" s="57"/>
      <c r="C178" s="35"/>
      <c r="D178" s="26"/>
      <c r="E178" s="51"/>
      <c r="F178" s="51"/>
      <c r="G178" s="51"/>
      <c r="H178" s="18"/>
      <c r="I178" s="18"/>
      <c r="J178" s="35"/>
      <c r="K178" s="35"/>
      <c r="L178" s="35"/>
      <c r="M178" s="35"/>
      <c r="N178" s="35"/>
      <c r="O178" s="35"/>
      <c r="P178" s="35"/>
      <c r="Q178" s="35"/>
      <c r="R178" s="35"/>
      <c r="S178" s="35"/>
      <c r="T178" s="35"/>
      <c r="U178" s="35"/>
      <c r="V178" s="35"/>
      <c r="W178" s="35"/>
      <c r="X178" s="35"/>
      <c r="Y178" s="35"/>
      <c r="Z178" s="35"/>
      <c r="AA178" s="35"/>
    </row>
    <row r="179" ht="15.75" customHeight="1">
      <c r="A179" s="35"/>
      <c r="B179" s="57"/>
      <c r="C179" s="35"/>
      <c r="D179" s="26"/>
      <c r="E179" s="51"/>
      <c r="F179" s="51"/>
      <c r="G179" s="51"/>
      <c r="H179" s="18"/>
      <c r="I179" s="18"/>
      <c r="J179" s="35"/>
      <c r="K179" s="35"/>
      <c r="L179" s="35"/>
      <c r="M179" s="35"/>
      <c r="N179" s="35"/>
      <c r="O179" s="35"/>
      <c r="P179" s="35"/>
      <c r="Q179" s="35"/>
      <c r="R179" s="35"/>
      <c r="S179" s="35"/>
      <c r="T179" s="35"/>
      <c r="U179" s="35"/>
      <c r="V179" s="35"/>
      <c r="W179" s="35"/>
      <c r="X179" s="35"/>
      <c r="Y179" s="35"/>
      <c r="Z179" s="35"/>
      <c r="AA179" s="35"/>
    </row>
    <row r="180" ht="15.75" customHeight="1">
      <c r="A180" s="35"/>
      <c r="B180" s="57"/>
      <c r="C180" s="35"/>
      <c r="D180" s="26"/>
      <c r="E180" s="51"/>
      <c r="F180" s="51"/>
      <c r="G180" s="51"/>
      <c r="H180" s="18"/>
      <c r="I180" s="18"/>
      <c r="J180" s="35"/>
      <c r="K180" s="35"/>
      <c r="L180" s="35"/>
      <c r="M180" s="35"/>
      <c r="N180" s="35"/>
      <c r="O180" s="35"/>
      <c r="P180" s="35"/>
      <c r="Q180" s="35"/>
      <c r="R180" s="35"/>
      <c r="S180" s="35"/>
      <c r="T180" s="35"/>
      <c r="U180" s="35"/>
      <c r="V180" s="35"/>
      <c r="W180" s="35"/>
      <c r="X180" s="35"/>
      <c r="Y180" s="35"/>
      <c r="Z180" s="35"/>
      <c r="AA180" s="35"/>
    </row>
    <row r="181" ht="15.75" customHeight="1">
      <c r="A181" s="35"/>
      <c r="B181" s="57"/>
      <c r="C181" s="35"/>
      <c r="D181" s="26"/>
      <c r="E181" s="51"/>
      <c r="F181" s="51"/>
      <c r="G181" s="51"/>
      <c r="H181" s="18"/>
      <c r="I181" s="18"/>
      <c r="J181" s="35"/>
      <c r="K181" s="35"/>
      <c r="L181" s="35"/>
      <c r="M181" s="35"/>
      <c r="N181" s="35"/>
      <c r="O181" s="35"/>
      <c r="P181" s="35"/>
      <c r="Q181" s="35"/>
      <c r="R181" s="35"/>
      <c r="S181" s="35"/>
      <c r="T181" s="35"/>
      <c r="U181" s="35"/>
      <c r="V181" s="35"/>
      <c r="W181" s="35"/>
      <c r="X181" s="35"/>
      <c r="Y181" s="35"/>
      <c r="Z181" s="35"/>
      <c r="AA181" s="35"/>
    </row>
    <row r="182" ht="15.75" customHeight="1">
      <c r="A182" s="35"/>
      <c r="B182" s="57"/>
      <c r="C182" s="35"/>
      <c r="D182" s="26"/>
      <c r="E182" s="51"/>
      <c r="F182" s="51"/>
      <c r="G182" s="51"/>
      <c r="H182" s="18"/>
      <c r="I182" s="18"/>
      <c r="J182" s="35"/>
      <c r="K182" s="35"/>
      <c r="L182" s="35"/>
      <c r="M182" s="35"/>
      <c r="N182" s="35"/>
      <c r="O182" s="35"/>
      <c r="P182" s="35"/>
      <c r="Q182" s="35"/>
      <c r="R182" s="35"/>
      <c r="S182" s="35"/>
      <c r="T182" s="35"/>
      <c r="U182" s="35"/>
      <c r="V182" s="35"/>
      <c r="W182" s="35"/>
      <c r="X182" s="35"/>
      <c r="Y182" s="35"/>
      <c r="Z182" s="35"/>
      <c r="AA182" s="35"/>
    </row>
    <row r="183" ht="15.75" customHeight="1">
      <c r="A183" s="35"/>
      <c r="B183" s="57"/>
      <c r="C183" s="35"/>
      <c r="D183" s="26"/>
      <c r="E183" s="51"/>
      <c r="F183" s="51"/>
      <c r="G183" s="51"/>
      <c r="H183" s="18"/>
      <c r="I183" s="18"/>
      <c r="J183" s="35"/>
      <c r="K183" s="35"/>
      <c r="L183" s="35"/>
      <c r="M183" s="35"/>
      <c r="N183" s="35"/>
      <c r="O183" s="35"/>
      <c r="P183" s="35"/>
      <c r="Q183" s="35"/>
      <c r="R183" s="35"/>
      <c r="S183" s="35"/>
      <c r="T183" s="35"/>
      <c r="U183" s="35"/>
      <c r="V183" s="35"/>
      <c r="W183" s="35"/>
      <c r="X183" s="35"/>
      <c r="Y183" s="35"/>
      <c r="Z183" s="35"/>
      <c r="AA183" s="35"/>
    </row>
    <row r="184" ht="15.75" customHeight="1">
      <c r="A184" s="35"/>
      <c r="B184" s="57"/>
      <c r="C184" s="35"/>
      <c r="D184" s="26"/>
      <c r="E184" s="51"/>
      <c r="F184" s="51"/>
      <c r="G184" s="51"/>
      <c r="H184" s="18"/>
      <c r="I184" s="18"/>
      <c r="J184" s="35"/>
      <c r="K184" s="35"/>
      <c r="L184" s="35"/>
      <c r="M184" s="35"/>
      <c r="N184" s="35"/>
      <c r="O184" s="35"/>
      <c r="P184" s="35"/>
      <c r="Q184" s="35"/>
      <c r="R184" s="35"/>
      <c r="S184" s="35"/>
      <c r="T184" s="35"/>
      <c r="U184" s="35"/>
      <c r="V184" s="35"/>
      <c r="W184" s="35"/>
      <c r="X184" s="35"/>
      <c r="Y184" s="35"/>
      <c r="Z184" s="35"/>
      <c r="AA184" s="35"/>
    </row>
    <row r="185" ht="15.75" customHeight="1">
      <c r="A185" s="35"/>
      <c r="B185" s="57"/>
      <c r="C185" s="35"/>
      <c r="D185" s="26"/>
      <c r="E185" s="51"/>
      <c r="F185" s="51"/>
      <c r="G185" s="51"/>
      <c r="H185" s="18"/>
      <c r="I185" s="18"/>
      <c r="J185" s="35"/>
      <c r="K185" s="35"/>
      <c r="L185" s="35"/>
      <c r="M185" s="35"/>
      <c r="N185" s="35"/>
      <c r="O185" s="35"/>
      <c r="P185" s="35"/>
      <c r="Q185" s="35"/>
      <c r="R185" s="35"/>
      <c r="S185" s="35"/>
      <c r="T185" s="35"/>
      <c r="U185" s="35"/>
      <c r="V185" s="35"/>
      <c r="W185" s="35"/>
      <c r="X185" s="35"/>
      <c r="Y185" s="35"/>
      <c r="Z185" s="35"/>
      <c r="AA185" s="35"/>
    </row>
    <row r="186" ht="15.75" customHeight="1">
      <c r="A186" s="35"/>
      <c r="B186" s="57"/>
      <c r="C186" s="35"/>
      <c r="D186" s="26"/>
      <c r="E186" s="51"/>
      <c r="F186" s="51"/>
      <c r="G186" s="51"/>
      <c r="H186" s="18"/>
      <c r="I186" s="18"/>
      <c r="J186" s="35"/>
      <c r="K186" s="35"/>
      <c r="L186" s="35"/>
      <c r="M186" s="35"/>
      <c r="N186" s="35"/>
      <c r="O186" s="35"/>
      <c r="P186" s="35"/>
      <c r="Q186" s="35"/>
      <c r="R186" s="35"/>
      <c r="S186" s="35"/>
      <c r="T186" s="35"/>
      <c r="U186" s="35"/>
      <c r="V186" s="35"/>
      <c r="W186" s="35"/>
      <c r="X186" s="35"/>
      <c r="Y186" s="35"/>
      <c r="Z186" s="35"/>
      <c r="AA186" s="35"/>
    </row>
    <row r="187" ht="15.75" customHeight="1">
      <c r="A187" s="35"/>
      <c r="B187" s="57"/>
      <c r="C187" s="35"/>
      <c r="D187" s="26"/>
      <c r="E187" s="51"/>
      <c r="F187" s="51"/>
      <c r="G187" s="51"/>
      <c r="H187" s="18"/>
      <c r="I187" s="18"/>
      <c r="J187" s="35"/>
      <c r="K187" s="35"/>
      <c r="L187" s="35"/>
      <c r="M187" s="35"/>
      <c r="N187" s="35"/>
      <c r="O187" s="35"/>
      <c r="P187" s="35"/>
      <c r="Q187" s="35"/>
      <c r="R187" s="35"/>
      <c r="S187" s="35"/>
      <c r="T187" s="35"/>
      <c r="U187" s="35"/>
      <c r="V187" s="35"/>
      <c r="W187" s="35"/>
      <c r="X187" s="35"/>
      <c r="Y187" s="35"/>
      <c r="Z187" s="35"/>
      <c r="AA187" s="35"/>
    </row>
    <row r="188" ht="15.75" customHeight="1">
      <c r="A188" s="35"/>
      <c r="B188" s="57"/>
      <c r="C188" s="35"/>
      <c r="D188" s="26"/>
      <c r="E188" s="51"/>
      <c r="F188" s="51"/>
      <c r="G188" s="51"/>
      <c r="H188" s="18"/>
      <c r="I188" s="18"/>
      <c r="J188" s="35"/>
      <c r="K188" s="35"/>
      <c r="L188" s="35"/>
      <c r="M188" s="35"/>
      <c r="N188" s="35"/>
      <c r="O188" s="35"/>
      <c r="P188" s="35"/>
      <c r="Q188" s="35"/>
      <c r="R188" s="35"/>
      <c r="S188" s="35"/>
      <c r="T188" s="35"/>
      <c r="U188" s="35"/>
      <c r="V188" s="35"/>
      <c r="W188" s="35"/>
      <c r="X188" s="35"/>
      <c r="Y188" s="35"/>
      <c r="Z188" s="35"/>
      <c r="AA188" s="35"/>
    </row>
    <row r="189" ht="15.75" customHeight="1">
      <c r="A189" s="35"/>
      <c r="B189" s="57"/>
      <c r="C189" s="35"/>
      <c r="D189" s="26"/>
      <c r="E189" s="51"/>
      <c r="F189" s="51"/>
      <c r="G189" s="51"/>
      <c r="H189" s="18"/>
      <c r="I189" s="18"/>
      <c r="J189" s="35"/>
      <c r="K189" s="35"/>
      <c r="L189" s="35"/>
      <c r="M189" s="35"/>
      <c r="N189" s="35"/>
      <c r="O189" s="35"/>
      <c r="P189" s="35"/>
      <c r="Q189" s="35"/>
      <c r="R189" s="35"/>
      <c r="S189" s="35"/>
      <c r="T189" s="35"/>
      <c r="U189" s="35"/>
      <c r="V189" s="35"/>
      <c r="W189" s="35"/>
      <c r="X189" s="35"/>
      <c r="Y189" s="35"/>
      <c r="Z189" s="35"/>
      <c r="AA189" s="35"/>
    </row>
    <row r="190" ht="15.75" customHeight="1">
      <c r="A190" s="35"/>
      <c r="B190" s="57"/>
      <c r="C190" s="35"/>
      <c r="D190" s="26"/>
      <c r="E190" s="51"/>
      <c r="F190" s="51"/>
      <c r="G190" s="51"/>
      <c r="H190" s="18"/>
      <c r="I190" s="18"/>
      <c r="J190" s="35"/>
      <c r="K190" s="35"/>
      <c r="L190" s="35"/>
      <c r="M190" s="35"/>
      <c r="N190" s="35"/>
      <c r="O190" s="35"/>
      <c r="P190" s="35"/>
      <c r="Q190" s="35"/>
      <c r="R190" s="35"/>
      <c r="S190" s="35"/>
      <c r="T190" s="35"/>
      <c r="U190" s="35"/>
      <c r="V190" s="35"/>
      <c r="W190" s="35"/>
      <c r="X190" s="35"/>
      <c r="Y190" s="35"/>
      <c r="Z190" s="35"/>
      <c r="AA190" s="35"/>
    </row>
    <row r="191" ht="15.75" customHeight="1">
      <c r="A191" s="35"/>
      <c r="B191" s="57"/>
      <c r="C191" s="35"/>
      <c r="D191" s="26"/>
      <c r="E191" s="51"/>
      <c r="F191" s="51"/>
      <c r="G191" s="51"/>
      <c r="H191" s="18"/>
      <c r="I191" s="18"/>
      <c r="J191" s="35"/>
      <c r="K191" s="35"/>
      <c r="L191" s="35"/>
      <c r="M191" s="35"/>
      <c r="N191" s="35"/>
      <c r="O191" s="35"/>
      <c r="P191" s="35"/>
      <c r="Q191" s="35"/>
      <c r="R191" s="35"/>
      <c r="S191" s="35"/>
      <c r="T191" s="35"/>
      <c r="U191" s="35"/>
      <c r="V191" s="35"/>
      <c r="W191" s="35"/>
      <c r="X191" s="35"/>
      <c r="Y191" s="35"/>
      <c r="Z191" s="35"/>
      <c r="AA191" s="35"/>
    </row>
    <row r="192" ht="15.75" customHeight="1">
      <c r="A192" s="35"/>
      <c r="B192" s="57"/>
      <c r="C192" s="35"/>
      <c r="D192" s="26"/>
      <c r="E192" s="51"/>
      <c r="F192" s="51"/>
      <c r="G192" s="51"/>
      <c r="H192" s="18"/>
      <c r="I192" s="18"/>
      <c r="J192" s="35"/>
      <c r="K192" s="35"/>
      <c r="L192" s="35"/>
      <c r="M192" s="35"/>
      <c r="N192" s="35"/>
      <c r="O192" s="35"/>
      <c r="P192" s="35"/>
      <c r="Q192" s="35"/>
      <c r="R192" s="35"/>
      <c r="S192" s="35"/>
      <c r="T192" s="35"/>
      <c r="U192" s="35"/>
      <c r="V192" s="35"/>
      <c r="W192" s="35"/>
      <c r="X192" s="35"/>
      <c r="Y192" s="35"/>
      <c r="Z192" s="35"/>
      <c r="AA192" s="35"/>
    </row>
    <row r="193" ht="15.75" customHeight="1">
      <c r="A193" s="35"/>
      <c r="B193" s="57"/>
      <c r="C193" s="35"/>
      <c r="D193" s="26"/>
      <c r="E193" s="51"/>
      <c r="F193" s="51"/>
      <c r="G193" s="51"/>
      <c r="H193" s="18"/>
      <c r="I193" s="18"/>
      <c r="J193" s="35"/>
      <c r="K193" s="35"/>
      <c r="L193" s="35"/>
      <c r="M193" s="35"/>
      <c r="N193" s="35"/>
      <c r="O193" s="35"/>
      <c r="P193" s="35"/>
      <c r="Q193" s="35"/>
      <c r="R193" s="35"/>
      <c r="S193" s="35"/>
      <c r="T193" s="35"/>
      <c r="U193" s="35"/>
      <c r="V193" s="35"/>
      <c r="W193" s="35"/>
      <c r="X193" s="35"/>
      <c r="Y193" s="35"/>
      <c r="Z193" s="35"/>
      <c r="AA193" s="35"/>
    </row>
    <row r="194" ht="15.75" customHeight="1">
      <c r="A194" s="35"/>
      <c r="B194" s="57"/>
      <c r="C194" s="35"/>
      <c r="D194" s="26"/>
      <c r="E194" s="51"/>
      <c r="F194" s="51"/>
      <c r="G194" s="51"/>
      <c r="H194" s="18"/>
      <c r="I194" s="18"/>
      <c r="J194" s="35"/>
      <c r="K194" s="35"/>
      <c r="L194" s="35"/>
      <c r="M194" s="35"/>
      <c r="N194" s="35"/>
      <c r="O194" s="35"/>
      <c r="P194" s="35"/>
      <c r="Q194" s="35"/>
      <c r="R194" s="35"/>
      <c r="S194" s="35"/>
      <c r="T194" s="35"/>
      <c r="U194" s="35"/>
      <c r="V194" s="35"/>
      <c r="W194" s="35"/>
      <c r="X194" s="35"/>
      <c r="Y194" s="35"/>
      <c r="Z194" s="35"/>
      <c r="AA194" s="35"/>
    </row>
    <row r="195" ht="15.75" customHeight="1">
      <c r="A195" s="35"/>
      <c r="B195" s="57"/>
      <c r="C195" s="35"/>
      <c r="D195" s="26"/>
      <c r="E195" s="51"/>
      <c r="F195" s="51"/>
      <c r="G195" s="51"/>
      <c r="H195" s="18"/>
      <c r="I195" s="18"/>
      <c r="J195" s="35"/>
      <c r="K195" s="35"/>
      <c r="L195" s="35"/>
      <c r="M195" s="35"/>
      <c r="N195" s="35"/>
      <c r="O195" s="35"/>
      <c r="P195" s="35"/>
      <c r="Q195" s="35"/>
      <c r="R195" s="35"/>
      <c r="S195" s="35"/>
      <c r="T195" s="35"/>
      <c r="U195" s="35"/>
      <c r="V195" s="35"/>
      <c r="W195" s="35"/>
      <c r="X195" s="35"/>
      <c r="Y195" s="35"/>
      <c r="Z195" s="35"/>
      <c r="AA195" s="35"/>
    </row>
    <row r="196" ht="15.75" customHeight="1">
      <c r="A196" s="35"/>
      <c r="B196" s="57"/>
      <c r="C196" s="35"/>
      <c r="D196" s="26"/>
      <c r="E196" s="51"/>
      <c r="F196" s="51"/>
      <c r="G196" s="51"/>
      <c r="H196" s="18"/>
      <c r="I196" s="18"/>
      <c r="J196" s="35"/>
      <c r="K196" s="35"/>
      <c r="L196" s="35"/>
      <c r="M196" s="35"/>
      <c r="N196" s="35"/>
      <c r="O196" s="35"/>
      <c r="P196" s="35"/>
      <c r="Q196" s="35"/>
      <c r="R196" s="35"/>
      <c r="S196" s="35"/>
      <c r="T196" s="35"/>
      <c r="U196" s="35"/>
      <c r="V196" s="35"/>
      <c r="W196" s="35"/>
      <c r="X196" s="35"/>
      <c r="Y196" s="35"/>
      <c r="Z196" s="35"/>
      <c r="AA196" s="35"/>
    </row>
    <row r="197" ht="15.75" customHeight="1">
      <c r="A197" s="35"/>
      <c r="B197" s="57"/>
      <c r="C197" s="35"/>
      <c r="D197" s="26"/>
      <c r="E197" s="51"/>
      <c r="F197" s="51"/>
      <c r="G197" s="51"/>
      <c r="H197" s="18"/>
      <c r="I197" s="18"/>
      <c r="J197" s="35"/>
      <c r="K197" s="35"/>
      <c r="L197" s="35"/>
      <c r="M197" s="35"/>
      <c r="N197" s="35"/>
      <c r="O197" s="35"/>
      <c r="P197" s="35"/>
      <c r="Q197" s="35"/>
      <c r="R197" s="35"/>
      <c r="S197" s="35"/>
      <c r="T197" s="35"/>
      <c r="U197" s="35"/>
      <c r="V197" s="35"/>
      <c r="W197" s="35"/>
      <c r="X197" s="35"/>
      <c r="Y197" s="35"/>
      <c r="Z197" s="35"/>
      <c r="AA197" s="35"/>
    </row>
    <row r="198" ht="15.75" customHeight="1">
      <c r="A198" s="35"/>
      <c r="B198" s="57"/>
      <c r="C198" s="35"/>
      <c r="D198" s="26"/>
      <c r="E198" s="51"/>
      <c r="F198" s="51"/>
      <c r="G198" s="51"/>
      <c r="H198" s="18"/>
      <c r="I198" s="18"/>
      <c r="J198" s="35"/>
      <c r="K198" s="35"/>
      <c r="L198" s="35"/>
      <c r="M198" s="35"/>
      <c r="N198" s="35"/>
      <c r="O198" s="35"/>
      <c r="P198" s="35"/>
      <c r="Q198" s="35"/>
      <c r="R198" s="35"/>
      <c r="S198" s="35"/>
      <c r="T198" s="35"/>
      <c r="U198" s="35"/>
      <c r="V198" s="35"/>
      <c r="W198" s="35"/>
      <c r="X198" s="35"/>
      <c r="Y198" s="35"/>
      <c r="Z198" s="35"/>
      <c r="AA198" s="35"/>
    </row>
    <row r="199" ht="15.75" customHeight="1">
      <c r="A199" s="35"/>
      <c r="B199" s="57"/>
      <c r="C199" s="35"/>
      <c r="D199" s="26"/>
      <c r="E199" s="51"/>
      <c r="F199" s="51"/>
      <c r="G199" s="51"/>
      <c r="H199" s="18"/>
      <c r="I199" s="18"/>
      <c r="J199" s="35"/>
      <c r="K199" s="35"/>
      <c r="L199" s="35"/>
      <c r="M199" s="35"/>
      <c r="N199" s="35"/>
      <c r="O199" s="35"/>
      <c r="P199" s="35"/>
      <c r="Q199" s="35"/>
      <c r="R199" s="35"/>
      <c r="S199" s="35"/>
      <c r="T199" s="35"/>
      <c r="U199" s="35"/>
      <c r="V199" s="35"/>
      <c r="W199" s="35"/>
      <c r="X199" s="35"/>
      <c r="Y199" s="35"/>
      <c r="Z199" s="35"/>
      <c r="AA199" s="35"/>
    </row>
    <row r="200" ht="15.75" customHeight="1">
      <c r="A200" s="35"/>
      <c r="B200" s="57"/>
      <c r="C200" s="35"/>
      <c r="D200" s="26"/>
      <c r="E200" s="51"/>
      <c r="F200" s="51"/>
      <c r="G200" s="51"/>
      <c r="H200" s="18"/>
      <c r="I200" s="18"/>
      <c r="J200" s="35"/>
      <c r="K200" s="35"/>
      <c r="L200" s="35"/>
      <c r="M200" s="35"/>
      <c r="N200" s="35"/>
      <c r="O200" s="35"/>
      <c r="P200" s="35"/>
      <c r="Q200" s="35"/>
      <c r="R200" s="35"/>
      <c r="S200" s="35"/>
      <c r="T200" s="35"/>
      <c r="U200" s="35"/>
      <c r="V200" s="35"/>
      <c r="W200" s="35"/>
      <c r="X200" s="35"/>
      <c r="Y200" s="35"/>
      <c r="Z200" s="35"/>
      <c r="AA200" s="35"/>
    </row>
    <row r="201" ht="15.75" customHeight="1">
      <c r="A201" s="35"/>
      <c r="B201" s="57"/>
      <c r="C201" s="35"/>
      <c r="D201" s="26"/>
      <c r="E201" s="51"/>
      <c r="F201" s="51"/>
      <c r="G201" s="51"/>
      <c r="H201" s="18"/>
      <c r="I201" s="18"/>
      <c r="J201" s="35"/>
      <c r="K201" s="35"/>
      <c r="L201" s="35"/>
      <c r="M201" s="35"/>
      <c r="N201" s="35"/>
      <c r="O201" s="35"/>
      <c r="P201" s="35"/>
      <c r="Q201" s="35"/>
      <c r="R201" s="35"/>
      <c r="S201" s="35"/>
      <c r="T201" s="35"/>
      <c r="U201" s="35"/>
      <c r="V201" s="35"/>
      <c r="W201" s="35"/>
      <c r="X201" s="35"/>
      <c r="Y201" s="35"/>
      <c r="Z201" s="35"/>
      <c r="AA201" s="35"/>
    </row>
    <row r="202" ht="15.75" customHeight="1">
      <c r="A202" s="35"/>
      <c r="B202" s="57"/>
      <c r="C202" s="35"/>
      <c r="D202" s="26"/>
      <c r="E202" s="51"/>
      <c r="F202" s="51"/>
      <c r="G202" s="51"/>
      <c r="H202" s="18"/>
      <c r="I202" s="18"/>
      <c r="J202" s="35"/>
      <c r="K202" s="35"/>
      <c r="L202" s="35"/>
      <c r="M202" s="35"/>
      <c r="N202" s="35"/>
      <c r="O202" s="35"/>
      <c r="P202" s="35"/>
      <c r="Q202" s="35"/>
      <c r="R202" s="35"/>
      <c r="S202" s="35"/>
      <c r="T202" s="35"/>
      <c r="U202" s="35"/>
      <c r="V202" s="35"/>
      <c r="W202" s="35"/>
      <c r="X202" s="35"/>
      <c r="Y202" s="35"/>
      <c r="Z202" s="35"/>
      <c r="AA202" s="35"/>
    </row>
    <row r="203" ht="15.75" customHeight="1">
      <c r="A203" s="35"/>
      <c r="B203" s="57"/>
      <c r="C203" s="35"/>
      <c r="D203" s="26"/>
      <c r="E203" s="51"/>
      <c r="F203" s="51"/>
      <c r="G203" s="51"/>
      <c r="H203" s="18"/>
      <c r="I203" s="18"/>
      <c r="J203" s="35"/>
      <c r="K203" s="35"/>
      <c r="L203" s="35"/>
      <c r="M203" s="35"/>
      <c r="N203" s="35"/>
      <c r="O203" s="35"/>
      <c r="P203" s="35"/>
      <c r="Q203" s="35"/>
      <c r="R203" s="35"/>
      <c r="S203" s="35"/>
      <c r="T203" s="35"/>
      <c r="U203" s="35"/>
      <c r="V203" s="35"/>
      <c r="W203" s="35"/>
      <c r="X203" s="35"/>
      <c r="Y203" s="35"/>
      <c r="Z203" s="35"/>
      <c r="AA203" s="35"/>
    </row>
    <row r="204" ht="15.75" customHeight="1">
      <c r="A204" s="35"/>
      <c r="B204" s="57"/>
      <c r="C204" s="35"/>
      <c r="D204" s="26"/>
      <c r="E204" s="51"/>
      <c r="F204" s="51"/>
      <c r="G204" s="51"/>
      <c r="H204" s="18"/>
      <c r="I204" s="18"/>
      <c r="J204" s="35"/>
      <c r="K204" s="35"/>
      <c r="L204" s="35"/>
      <c r="M204" s="35"/>
      <c r="N204" s="35"/>
      <c r="O204" s="35"/>
      <c r="P204" s="35"/>
      <c r="Q204" s="35"/>
      <c r="R204" s="35"/>
      <c r="S204" s="35"/>
      <c r="T204" s="35"/>
      <c r="U204" s="35"/>
      <c r="V204" s="35"/>
      <c r="W204" s="35"/>
      <c r="X204" s="35"/>
      <c r="Y204" s="35"/>
      <c r="Z204" s="35"/>
      <c r="AA204" s="35"/>
    </row>
    <row r="205" ht="15.75" customHeight="1">
      <c r="A205" s="35"/>
      <c r="B205" s="57"/>
      <c r="C205" s="35"/>
      <c r="D205" s="26"/>
      <c r="E205" s="51"/>
      <c r="F205" s="51"/>
      <c r="G205" s="51"/>
      <c r="H205" s="18"/>
      <c r="I205" s="18"/>
      <c r="J205" s="35"/>
      <c r="K205" s="35"/>
      <c r="L205" s="35"/>
      <c r="M205" s="35"/>
      <c r="N205" s="35"/>
      <c r="O205" s="35"/>
      <c r="P205" s="35"/>
      <c r="Q205" s="35"/>
      <c r="R205" s="35"/>
      <c r="S205" s="35"/>
      <c r="T205" s="35"/>
      <c r="U205" s="35"/>
      <c r="V205" s="35"/>
      <c r="W205" s="35"/>
      <c r="X205" s="35"/>
      <c r="Y205" s="35"/>
      <c r="Z205" s="35"/>
      <c r="AA205" s="35"/>
    </row>
    <row r="206" ht="15.75" customHeight="1">
      <c r="A206" s="35"/>
      <c r="B206" s="57"/>
      <c r="C206" s="35"/>
      <c r="D206" s="26"/>
      <c r="E206" s="51"/>
      <c r="F206" s="51"/>
      <c r="G206" s="51"/>
      <c r="H206" s="18"/>
      <c r="I206" s="18"/>
      <c r="J206" s="35"/>
      <c r="K206" s="35"/>
      <c r="L206" s="35"/>
      <c r="M206" s="35"/>
      <c r="N206" s="35"/>
      <c r="O206" s="35"/>
      <c r="P206" s="35"/>
      <c r="Q206" s="35"/>
      <c r="R206" s="35"/>
      <c r="S206" s="35"/>
      <c r="T206" s="35"/>
      <c r="U206" s="35"/>
      <c r="V206" s="35"/>
      <c r="W206" s="35"/>
      <c r="X206" s="35"/>
      <c r="Y206" s="35"/>
      <c r="Z206" s="35"/>
      <c r="AA206" s="35"/>
    </row>
    <row r="207" ht="15.75" customHeight="1">
      <c r="A207" s="35"/>
      <c r="B207" s="57"/>
      <c r="C207" s="35"/>
      <c r="D207" s="26"/>
      <c r="E207" s="51"/>
      <c r="F207" s="51"/>
      <c r="G207" s="51"/>
      <c r="H207" s="18"/>
      <c r="I207" s="18"/>
      <c r="J207" s="35"/>
      <c r="K207" s="35"/>
      <c r="L207" s="35"/>
      <c r="M207" s="35"/>
      <c r="N207" s="35"/>
      <c r="O207" s="35"/>
      <c r="P207" s="35"/>
      <c r="Q207" s="35"/>
      <c r="R207" s="35"/>
      <c r="S207" s="35"/>
      <c r="T207" s="35"/>
      <c r="U207" s="35"/>
      <c r="V207" s="35"/>
      <c r="W207" s="35"/>
      <c r="X207" s="35"/>
      <c r="Y207" s="35"/>
      <c r="Z207" s="35"/>
      <c r="AA207" s="35"/>
    </row>
    <row r="208" ht="15.75" customHeight="1">
      <c r="A208" s="35"/>
      <c r="B208" s="57"/>
      <c r="C208" s="35"/>
      <c r="D208" s="26"/>
      <c r="E208" s="51"/>
      <c r="F208" s="51"/>
      <c r="G208" s="51"/>
      <c r="H208" s="18"/>
      <c r="I208" s="18"/>
      <c r="J208" s="35"/>
      <c r="K208" s="35"/>
      <c r="L208" s="35"/>
      <c r="M208" s="35"/>
      <c r="N208" s="35"/>
      <c r="O208" s="35"/>
      <c r="P208" s="35"/>
      <c r="Q208" s="35"/>
      <c r="R208" s="35"/>
      <c r="S208" s="35"/>
      <c r="T208" s="35"/>
      <c r="U208" s="35"/>
      <c r="V208" s="35"/>
      <c r="W208" s="35"/>
      <c r="X208" s="35"/>
      <c r="Y208" s="35"/>
      <c r="Z208" s="35"/>
      <c r="AA208" s="35"/>
    </row>
    <row r="209" ht="15.75" customHeight="1">
      <c r="A209" s="35"/>
      <c r="B209" s="57"/>
      <c r="C209" s="35"/>
      <c r="D209" s="26"/>
      <c r="E209" s="51"/>
      <c r="F209" s="51"/>
      <c r="G209" s="51"/>
      <c r="H209" s="18"/>
      <c r="I209" s="18"/>
      <c r="J209" s="35"/>
      <c r="K209" s="35"/>
      <c r="L209" s="35"/>
      <c r="M209" s="35"/>
      <c r="N209" s="35"/>
      <c r="O209" s="35"/>
      <c r="P209" s="35"/>
      <c r="Q209" s="35"/>
      <c r="R209" s="35"/>
      <c r="S209" s="35"/>
      <c r="T209" s="35"/>
      <c r="U209" s="35"/>
      <c r="V209" s="35"/>
      <c r="W209" s="35"/>
      <c r="X209" s="35"/>
      <c r="Y209" s="35"/>
      <c r="Z209" s="35"/>
      <c r="AA209" s="35"/>
    </row>
    <row r="210" ht="15.75" customHeight="1">
      <c r="A210" s="35"/>
      <c r="B210" s="57"/>
      <c r="C210" s="35"/>
      <c r="D210" s="26"/>
      <c r="E210" s="51"/>
      <c r="F210" s="51"/>
      <c r="G210" s="51"/>
      <c r="H210" s="18"/>
      <c r="I210" s="18"/>
      <c r="J210" s="35"/>
      <c r="K210" s="35"/>
      <c r="L210" s="35"/>
      <c r="M210" s="35"/>
      <c r="N210" s="35"/>
      <c r="O210" s="35"/>
      <c r="P210" s="35"/>
      <c r="Q210" s="35"/>
      <c r="R210" s="35"/>
      <c r="S210" s="35"/>
      <c r="T210" s="35"/>
      <c r="U210" s="35"/>
      <c r="V210" s="35"/>
      <c r="W210" s="35"/>
      <c r="X210" s="35"/>
      <c r="Y210" s="35"/>
      <c r="Z210" s="35"/>
      <c r="AA210" s="35"/>
    </row>
    <row r="211" ht="15.75" customHeight="1">
      <c r="A211" s="35"/>
      <c r="B211" s="57"/>
      <c r="C211" s="35"/>
      <c r="D211" s="26"/>
      <c r="E211" s="51"/>
      <c r="F211" s="51"/>
      <c r="G211" s="51"/>
      <c r="H211" s="18"/>
      <c r="I211" s="18"/>
      <c r="J211" s="35"/>
      <c r="K211" s="35"/>
      <c r="L211" s="35"/>
      <c r="M211" s="35"/>
      <c r="N211" s="35"/>
      <c r="O211" s="35"/>
      <c r="P211" s="35"/>
      <c r="Q211" s="35"/>
      <c r="R211" s="35"/>
      <c r="S211" s="35"/>
      <c r="T211" s="35"/>
      <c r="U211" s="35"/>
      <c r="V211" s="35"/>
      <c r="W211" s="35"/>
      <c r="X211" s="35"/>
      <c r="Y211" s="35"/>
      <c r="Z211" s="35"/>
      <c r="AA211" s="35"/>
    </row>
    <row r="212" ht="15.75" customHeight="1">
      <c r="A212" s="35"/>
      <c r="B212" s="57"/>
      <c r="C212" s="35"/>
      <c r="D212" s="26"/>
      <c r="E212" s="51"/>
      <c r="F212" s="51"/>
      <c r="G212" s="51"/>
      <c r="H212" s="18"/>
      <c r="I212" s="18"/>
      <c r="J212" s="35"/>
      <c r="K212" s="35"/>
      <c r="L212" s="35"/>
      <c r="M212" s="35"/>
      <c r="N212" s="35"/>
      <c r="O212" s="35"/>
      <c r="P212" s="35"/>
      <c r="Q212" s="35"/>
      <c r="R212" s="35"/>
      <c r="S212" s="35"/>
      <c r="T212" s="35"/>
      <c r="U212" s="35"/>
      <c r="V212" s="35"/>
      <c r="W212" s="35"/>
      <c r="X212" s="35"/>
      <c r="Y212" s="35"/>
      <c r="Z212" s="35"/>
      <c r="AA212" s="35"/>
    </row>
    <row r="213" ht="15.75" customHeight="1">
      <c r="A213" s="35"/>
      <c r="B213" s="57"/>
      <c r="C213" s="35"/>
      <c r="D213" s="26"/>
      <c r="E213" s="51"/>
      <c r="F213" s="51"/>
      <c r="G213" s="51"/>
      <c r="H213" s="18"/>
      <c r="I213" s="18"/>
      <c r="J213" s="35"/>
      <c r="K213" s="35"/>
      <c r="L213" s="35"/>
      <c r="M213" s="35"/>
      <c r="N213" s="35"/>
      <c r="O213" s="35"/>
      <c r="P213" s="35"/>
      <c r="Q213" s="35"/>
      <c r="R213" s="35"/>
      <c r="S213" s="35"/>
      <c r="T213" s="35"/>
      <c r="U213" s="35"/>
      <c r="V213" s="35"/>
      <c r="W213" s="35"/>
      <c r="X213" s="35"/>
      <c r="Y213" s="35"/>
      <c r="Z213" s="35"/>
      <c r="AA213" s="35"/>
    </row>
    <row r="214" ht="15.75" customHeight="1">
      <c r="A214" s="35"/>
      <c r="B214" s="57"/>
      <c r="C214" s="35"/>
      <c r="D214" s="26"/>
      <c r="E214" s="51"/>
      <c r="F214" s="51"/>
      <c r="G214" s="51"/>
      <c r="H214" s="18"/>
      <c r="I214" s="18"/>
      <c r="J214" s="35"/>
      <c r="K214" s="35"/>
      <c r="L214" s="35"/>
      <c r="M214" s="35"/>
      <c r="N214" s="35"/>
      <c r="O214" s="35"/>
      <c r="P214" s="35"/>
      <c r="Q214" s="35"/>
      <c r="R214" s="35"/>
      <c r="S214" s="35"/>
      <c r="T214" s="35"/>
      <c r="U214" s="35"/>
      <c r="V214" s="35"/>
      <c r="W214" s="35"/>
      <c r="X214" s="35"/>
      <c r="Y214" s="35"/>
      <c r="Z214" s="35"/>
      <c r="AA214" s="35"/>
    </row>
    <row r="215" ht="15.75" customHeight="1">
      <c r="A215" s="35"/>
      <c r="B215" s="57"/>
      <c r="C215" s="35"/>
      <c r="D215" s="26"/>
      <c r="E215" s="51"/>
      <c r="F215" s="51"/>
      <c r="G215" s="51"/>
      <c r="H215" s="18"/>
      <c r="I215" s="18"/>
      <c r="J215" s="35"/>
      <c r="K215" s="35"/>
      <c r="L215" s="35"/>
      <c r="M215" s="35"/>
      <c r="N215" s="35"/>
      <c r="O215" s="35"/>
      <c r="P215" s="35"/>
      <c r="Q215" s="35"/>
      <c r="R215" s="35"/>
      <c r="S215" s="35"/>
      <c r="T215" s="35"/>
      <c r="U215" s="35"/>
      <c r="V215" s="35"/>
      <c r="W215" s="35"/>
      <c r="X215" s="35"/>
      <c r="Y215" s="35"/>
      <c r="Z215" s="35"/>
      <c r="AA215" s="35"/>
    </row>
    <row r="216" ht="15.75" customHeight="1">
      <c r="A216" s="35"/>
      <c r="B216" s="57"/>
      <c r="C216" s="35"/>
      <c r="D216" s="26"/>
      <c r="E216" s="51"/>
      <c r="F216" s="51"/>
      <c r="G216" s="51"/>
      <c r="H216" s="18"/>
      <c r="I216" s="18"/>
      <c r="J216" s="35"/>
      <c r="K216" s="35"/>
      <c r="L216" s="35"/>
      <c r="M216" s="35"/>
      <c r="N216" s="35"/>
      <c r="O216" s="35"/>
      <c r="P216" s="35"/>
      <c r="Q216" s="35"/>
      <c r="R216" s="35"/>
      <c r="S216" s="35"/>
      <c r="T216" s="35"/>
      <c r="U216" s="35"/>
      <c r="V216" s="35"/>
      <c r="W216" s="35"/>
      <c r="X216" s="35"/>
      <c r="Y216" s="35"/>
      <c r="Z216" s="35"/>
      <c r="AA216" s="35"/>
    </row>
    <row r="217" ht="15.75" customHeight="1">
      <c r="A217" s="35"/>
      <c r="B217" s="57"/>
      <c r="C217" s="35"/>
      <c r="D217" s="26"/>
      <c r="E217" s="51"/>
      <c r="F217" s="51"/>
      <c r="G217" s="51"/>
      <c r="H217" s="18"/>
      <c r="I217" s="18"/>
      <c r="J217" s="35"/>
      <c r="K217" s="35"/>
      <c r="L217" s="35"/>
      <c r="M217" s="35"/>
      <c r="N217" s="35"/>
      <c r="O217" s="35"/>
      <c r="P217" s="35"/>
      <c r="Q217" s="35"/>
      <c r="R217" s="35"/>
      <c r="S217" s="35"/>
      <c r="T217" s="35"/>
      <c r="U217" s="35"/>
      <c r="V217" s="35"/>
      <c r="W217" s="35"/>
      <c r="X217" s="35"/>
      <c r="Y217" s="35"/>
      <c r="Z217" s="35"/>
      <c r="AA217" s="35"/>
    </row>
    <row r="218" ht="15.75" customHeight="1">
      <c r="A218" s="35"/>
      <c r="B218" s="57"/>
      <c r="C218" s="35"/>
      <c r="D218" s="26"/>
      <c r="E218" s="51"/>
      <c r="F218" s="51"/>
      <c r="G218" s="51"/>
      <c r="H218" s="18"/>
      <c r="I218" s="18"/>
      <c r="J218" s="35"/>
      <c r="K218" s="35"/>
      <c r="L218" s="35"/>
      <c r="M218" s="35"/>
      <c r="N218" s="35"/>
      <c r="O218" s="35"/>
      <c r="P218" s="35"/>
      <c r="Q218" s="35"/>
      <c r="R218" s="35"/>
      <c r="S218" s="35"/>
      <c r="T218" s="35"/>
      <c r="U218" s="35"/>
      <c r="V218" s="35"/>
      <c r="W218" s="35"/>
      <c r="X218" s="35"/>
      <c r="Y218" s="35"/>
      <c r="Z218" s="35"/>
      <c r="AA218" s="35"/>
    </row>
    <row r="219" ht="15.75" customHeight="1">
      <c r="A219" s="35"/>
      <c r="B219" s="57"/>
      <c r="C219" s="35"/>
      <c r="D219" s="26"/>
      <c r="E219" s="51"/>
      <c r="F219" s="51"/>
      <c r="G219" s="51"/>
      <c r="H219" s="18"/>
      <c r="I219" s="18"/>
      <c r="J219" s="35"/>
      <c r="K219" s="35"/>
      <c r="L219" s="35"/>
      <c r="M219" s="35"/>
      <c r="N219" s="35"/>
      <c r="O219" s="35"/>
      <c r="P219" s="35"/>
      <c r="Q219" s="35"/>
      <c r="R219" s="35"/>
      <c r="S219" s="35"/>
      <c r="T219" s="35"/>
      <c r="U219" s="35"/>
      <c r="V219" s="35"/>
      <c r="W219" s="35"/>
      <c r="X219" s="35"/>
      <c r="Y219" s="35"/>
      <c r="Z219" s="35"/>
      <c r="AA219" s="35"/>
    </row>
    <row r="220" ht="15.75" customHeight="1">
      <c r="A220" s="35"/>
      <c r="B220" s="57"/>
      <c r="C220" s="35"/>
      <c r="D220" s="26"/>
      <c r="E220" s="51"/>
      <c r="F220" s="51"/>
      <c r="G220" s="51"/>
      <c r="H220" s="18"/>
      <c r="I220" s="18"/>
      <c r="J220" s="35"/>
      <c r="K220" s="35"/>
      <c r="L220" s="35"/>
      <c r="M220" s="35"/>
      <c r="N220" s="35"/>
      <c r="O220" s="35"/>
      <c r="P220" s="35"/>
      <c r="Q220" s="35"/>
      <c r="R220" s="35"/>
      <c r="S220" s="35"/>
      <c r="T220" s="35"/>
      <c r="U220" s="35"/>
      <c r="V220" s="35"/>
      <c r="W220" s="35"/>
      <c r="X220" s="35"/>
      <c r="Y220" s="35"/>
      <c r="Z220" s="35"/>
      <c r="AA220" s="35"/>
    </row>
    <row r="221" ht="15.75" customHeight="1">
      <c r="A221" s="35"/>
      <c r="B221" s="57"/>
      <c r="C221" s="35"/>
      <c r="D221" s="26"/>
      <c r="E221" s="51"/>
      <c r="F221" s="51"/>
      <c r="G221" s="51"/>
      <c r="H221" s="18"/>
      <c r="I221" s="18"/>
      <c r="J221" s="35"/>
      <c r="K221" s="35"/>
      <c r="L221" s="35"/>
      <c r="M221" s="35"/>
      <c r="N221" s="35"/>
      <c r="O221" s="35"/>
      <c r="P221" s="35"/>
      <c r="Q221" s="35"/>
      <c r="R221" s="35"/>
      <c r="S221" s="35"/>
      <c r="T221" s="35"/>
      <c r="U221" s="35"/>
      <c r="V221" s="35"/>
      <c r="W221" s="35"/>
      <c r="X221" s="35"/>
      <c r="Y221" s="35"/>
      <c r="Z221" s="35"/>
      <c r="AA221" s="35"/>
    </row>
    <row r="222" ht="15.75" customHeight="1">
      <c r="A222" s="35"/>
      <c r="B222" s="57"/>
      <c r="C222" s="35"/>
      <c r="D222" s="26"/>
      <c r="E222" s="51"/>
      <c r="F222" s="51"/>
      <c r="G222" s="51"/>
      <c r="H222" s="18"/>
      <c r="I222" s="18"/>
      <c r="J222" s="35"/>
      <c r="K222" s="35"/>
      <c r="L222" s="35"/>
      <c r="M222" s="35"/>
      <c r="N222" s="35"/>
      <c r="O222" s="35"/>
      <c r="P222" s="35"/>
      <c r="Q222" s="35"/>
      <c r="R222" s="35"/>
      <c r="S222" s="35"/>
      <c r="T222" s="35"/>
      <c r="U222" s="35"/>
      <c r="V222" s="35"/>
      <c r="W222" s="35"/>
      <c r="X222" s="35"/>
      <c r="Y222" s="35"/>
      <c r="Z222" s="35"/>
      <c r="AA222" s="35"/>
    </row>
    <row r="223" ht="15.75" customHeight="1">
      <c r="A223" s="35"/>
      <c r="B223" s="57"/>
      <c r="C223" s="35"/>
      <c r="D223" s="26"/>
      <c r="E223" s="51"/>
      <c r="F223" s="51"/>
      <c r="G223" s="51"/>
      <c r="H223" s="18"/>
      <c r="I223" s="18"/>
      <c r="J223" s="35"/>
      <c r="K223" s="35"/>
      <c r="L223" s="35"/>
      <c r="M223" s="35"/>
      <c r="N223" s="35"/>
      <c r="O223" s="35"/>
      <c r="P223" s="35"/>
      <c r="Q223" s="35"/>
      <c r="R223" s="35"/>
      <c r="S223" s="35"/>
      <c r="T223" s="35"/>
      <c r="U223" s="35"/>
      <c r="V223" s="35"/>
      <c r="W223" s="35"/>
      <c r="X223" s="35"/>
      <c r="Y223" s="35"/>
      <c r="Z223" s="35"/>
      <c r="AA223" s="35"/>
    </row>
    <row r="224" ht="15.75" customHeight="1">
      <c r="A224" s="35"/>
      <c r="B224" s="57"/>
      <c r="C224" s="35"/>
      <c r="D224" s="26"/>
      <c r="E224" s="51"/>
      <c r="F224" s="51"/>
      <c r="G224" s="51"/>
      <c r="H224" s="18"/>
      <c r="I224" s="18"/>
      <c r="J224" s="35"/>
      <c r="K224" s="35"/>
      <c r="L224" s="35"/>
      <c r="M224" s="35"/>
      <c r="N224" s="35"/>
      <c r="O224" s="35"/>
      <c r="P224" s="35"/>
      <c r="Q224" s="35"/>
      <c r="R224" s="35"/>
      <c r="S224" s="35"/>
      <c r="T224" s="35"/>
      <c r="U224" s="35"/>
      <c r="V224" s="35"/>
      <c r="W224" s="35"/>
      <c r="X224" s="35"/>
      <c r="Y224" s="35"/>
      <c r="Z224" s="35"/>
      <c r="AA224" s="35"/>
    </row>
    <row r="225" ht="15.75" customHeight="1">
      <c r="A225" s="35"/>
      <c r="B225" s="57"/>
      <c r="C225" s="35"/>
      <c r="D225" s="26"/>
      <c r="E225" s="51"/>
      <c r="F225" s="51"/>
      <c r="G225" s="51"/>
      <c r="H225" s="18"/>
      <c r="I225" s="18"/>
      <c r="J225" s="35"/>
      <c r="K225" s="35"/>
      <c r="L225" s="35"/>
      <c r="M225" s="35"/>
      <c r="N225" s="35"/>
      <c r="O225" s="35"/>
      <c r="P225" s="35"/>
      <c r="Q225" s="35"/>
      <c r="R225" s="35"/>
      <c r="S225" s="35"/>
      <c r="T225" s="35"/>
      <c r="U225" s="35"/>
      <c r="V225" s="35"/>
      <c r="W225" s="35"/>
      <c r="X225" s="35"/>
      <c r="Y225" s="35"/>
      <c r="Z225" s="35"/>
      <c r="AA225" s="35"/>
    </row>
    <row r="226" ht="15.75" customHeight="1">
      <c r="A226" s="35"/>
      <c r="B226" s="57"/>
      <c r="C226" s="35"/>
      <c r="D226" s="26"/>
      <c r="E226" s="51"/>
      <c r="F226" s="51"/>
      <c r="G226" s="51"/>
      <c r="H226" s="18"/>
      <c r="I226" s="18"/>
      <c r="J226" s="35"/>
      <c r="K226" s="35"/>
      <c r="L226" s="35"/>
      <c r="M226" s="35"/>
      <c r="N226" s="35"/>
      <c r="O226" s="35"/>
      <c r="P226" s="35"/>
      <c r="Q226" s="35"/>
      <c r="R226" s="35"/>
      <c r="S226" s="35"/>
      <c r="T226" s="35"/>
      <c r="U226" s="35"/>
      <c r="V226" s="35"/>
      <c r="W226" s="35"/>
      <c r="X226" s="35"/>
      <c r="Y226" s="35"/>
      <c r="Z226" s="35"/>
      <c r="AA226" s="35"/>
    </row>
    <row r="227" ht="15.75" customHeight="1">
      <c r="A227" s="35"/>
      <c r="B227" s="57"/>
      <c r="C227" s="35"/>
      <c r="D227" s="26"/>
      <c r="E227" s="51"/>
      <c r="F227" s="51"/>
      <c r="G227" s="51"/>
      <c r="H227" s="18"/>
      <c r="I227" s="18"/>
      <c r="J227" s="35"/>
      <c r="K227" s="35"/>
      <c r="L227" s="35"/>
      <c r="M227" s="35"/>
      <c r="N227" s="35"/>
      <c r="O227" s="35"/>
      <c r="P227" s="35"/>
      <c r="Q227" s="35"/>
      <c r="R227" s="35"/>
      <c r="S227" s="35"/>
      <c r="T227" s="35"/>
      <c r="U227" s="35"/>
      <c r="V227" s="35"/>
      <c r="W227" s="35"/>
      <c r="X227" s="35"/>
      <c r="Y227" s="35"/>
      <c r="Z227" s="35"/>
      <c r="AA227" s="35"/>
    </row>
    <row r="228" ht="15.75" customHeight="1">
      <c r="A228" s="35"/>
      <c r="B228" s="57"/>
      <c r="C228" s="35"/>
      <c r="D228" s="26"/>
      <c r="E228" s="51"/>
      <c r="F228" s="51"/>
      <c r="G228" s="51"/>
      <c r="H228" s="18"/>
      <c r="I228" s="18"/>
      <c r="J228" s="35"/>
      <c r="K228" s="35"/>
      <c r="L228" s="35"/>
      <c r="M228" s="35"/>
      <c r="N228" s="35"/>
      <c r="O228" s="35"/>
      <c r="P228" s="35"/>
      <c r="Q228" s="35"/>
      <c r="R228" s="35"/>
      <c r="S228" s="35"/>
      <c r="T228" s="35"/>
      <c r="U228" s="35"/>
      <c r="V228" s="35"/>
      <c r="W228" s="35"/>
      <c r="X228" s="35"/>
      <c r="Y228" s="35"/>
      <c r="Z228" s="35"/>
      <c r="AA228" s="35"/>
    </row>
    <row r="229" ht="15.75" customHeight="1">
      <c r="A229" s="35"/>
      <c r="B229" s="57"/>
      <c r="C229" s="35"/>
      <c r="D229" s="26"/>
      <c r="E229" s="51"/>
      <c r="F229" s="51"/>
      <c r="G229" s="51"/>
      <c r="H229" s="18"/>
      <c r="I229" s="18"/>
      <c r="J229" s="35"/>
      <c r="K229" s="35"/>
      <c r="L229" s="35"/>
      <c r="M229" s="35"/>
      <c r="N229" s="35"/>
      <c r="O229" s="35"/>
      <c r="P229" s="35"/>
      <c r="Q229" s="35"/>
      <c r="R229" s="35"/>
      <c r="S229" s="35"/>
      <c r="T229" s="35"/>
      <c r="U229" s="35"/>
      <c r="V229" s="35"/>
      <c r="W229" s="35"/>
      <c r="X229" s="35"/>
      <c r="Y229" s="35"/>
      <c r="Z229" s="35"/>
      <c r="AA229" s="35"/>
    </row>
    <row r="230" ht="15.75" customHeight="1">
      <c r="A230" s="35"/>
      <c r="B230" s="57"/>
      <c r="C230" s="35"/>
      <c r="D230" s="26"/>
      <c r="E230" s="51"/>
      <c r="F230" s="51"/>
      <c r="G230" s="51"/>
      <c r="H230" s="18"/>
      <c r="I230" s="18"/>
      <c r="J230" s="35"/>
      <c r="K230" s="35"/>
      <c r="L230" s="35"/>
      <c r="M230" s="35"/>
      <c r="N230" s="35"/>
      <c r="O230" s="35"/>
      <c r="P230" s="35"/>
      <c r="Q230" s="35"/>
      <c r="R230" s="35"/>
      <c r="S230" s="35"/>
      <c r="T230" s="35"/>
      <c r="U230" s="35"/>
      <c r="V230" s="35"/>
      <c r="W230" s="35"/>
      <c r="X230" s="35"/>
      <c r="Y230" s="35"/>
      <c r="Z230" s="35"/>
      <c r="AA230" s="35"/>
    </row>
    <row r="231" ht="15.75" customHeight="1">
      <c r="A231" s="35"/>
      <c r="B231" s="57"/>
      <c r="C231" s="35"/>
      <c r="D231" s="26"/>
      <c r="E231" s="51"/>
      <c r="F231" s="51"/>
      <c r="G231" s="51"/>
      <c r="H231" s="18"/>
      <c r="I231" s="18"/>
      <c r="J231" s="35"/>
      <c r="K231" s="35"/>
      <c r="L231" s="35"/>
      <c r="M231" s="35"/>
      <c r="N231" s="35"/>
      <c r="O231" s="35"/>
      <c r="P231" s="35"/>
      <c r="Q231" s="35"/>
      <c r="R231" s="35"/>
      <c r="S231" s="35"/>
      <c r="T231" s="35"/>
      <c r="U231" s="35"/>
      <c r="V231" s="35"/>
      <c r="W231" s="35"/>
      <c r="X231" s="35"/>
      <c r="Y231" s="35"/>
      <c r="Z231" s="35"/>
      <c r="AA231" s="35"/>
    </row>
    <row r="232" ht="15.75" customHeight="1">
      <c r="A232" s="35"/>
      <c r="B232" s="57"/>
      <c r="C232" s="35"/>
      <c r="D232" s="26"/>
      <c r="E232" s="51"/>
      <c r="F232" s="51"/>
      <c r="G232" s="51"/>
      <c r="H232" s="18"/>
      <c r="I232" s="18"/>
      <c r="J232" s="35"/>
      <c r="K232" s="35"/>
      <c r="L232" s="35"/>
      <c r="M232" s="35"/>
      <c r="N232" s="35"/>
      <c r="O232" s="35"/>
      <c r="P232" s="35"/>
      <c r="Q232" s="35"/>
      <c r="R232" s="35"/>
      <c r="S232" s="35"/>
      <c r="T232" s="35"/>
      <c r="U232" s="35"/>
      <c r="V232" s="35"/>
      <c r="W232" s="35"/>
      <c r="X232" s="35"/>
      <c r="Y232" s="35"/>
      <c r="Z232" s="35"/>
      <c r="AA232" s="35"/>
    </row>
    <row r="233" ht="15.75" customHeight="1">
      <c r="A233" s="35"/>
      <c r="B233" s="57"/>
      <c r="C233" s="35"/>
      <c r="D233" s="26"/>
      <c r="E233" s="51"/>
      <c r="F233" s="51"/>
      <c r="G233" s="51"/>
      <c r="H233" s="18"/>
      <c r="I233" s="18"/>
      <c r="J233" s="35"/>
      <c r="K233" s="35"/>
      <c r="L233" s="35"/>
      <c r="M233" s="35"/>
      <c r="N233" s="35"/>
      <c r="O233" s="35"/>
      <c r="P233" s="35"/>
      <c r="Q233" s="35"/>
      <c r="R233" s="35"/>
      <c r="S233" s="35"/>
      <c r="T233" s="35"/>
      <c r="U233" s="35"/>
      <c r="V233" s="35"/>
      <c r="W233" s="35"/>
      <c r="X233" s="35"/>
      <c r="Y233" s="35"/>
      <c r="Z233" s="35"/>
      <c r="AA233" s="35"/>
    </row>
    <row r="234" ht="15.75" customHeight="1">
      <c r="A234" s="35"/>
      <c r="B234" s="57"/>
      <c r="C234" s="35"/>
      <c r="D234" s="26"/>
      <c r="E234" s="51"/>
      <c r="F234" s="51"/>
      <c r="G234" s="51"/>
      <c r="H234" s="18"/>
      <c r="I234" s="18"/>
      <c r="J234" s="35"/>
      <c r="K234" s="35"/>
      <c r="L234" s="35"/>
      <c r="M234" s="35"/>
      <c r="N234" s="35"/>
      <c r="O234" s="35"/>
      <c r="P234" s="35"/>
      <c r="Q234" s="35"/>
      <c r="R234" s="35"/>
      <c r="S234" s="35"/>
      <c r="T234" s="35"/>
      <c r="U234" s="35"/>
      <c r="V234" s="35"/>
      <c r="W234" s="35"/>
      <c r="X234" s="35"/>
      <c r="Y234" s="35"/>
      <c r="Z234" s="35"/>
      <c r="AA234" s="35"/>
    </row>
    <row r="235" ht="15.75" customHeight="1">
      <c r="A235" s="35"/>
      <c r="B235" s="57"/>
      <c r="C235" s="35"/>
      <c r="D235" s="26"/>
      <c r="E235" s="51"/>
      <c r="F235" s="51"/>
      <c r="G235" s="51"/>
      <c r="H235" s="18"/>
      <c r="I235" s="18"/>
      <c r="J235" s="35"/>
      <c r="K235" s="35"/>
      <c r="L235" s="35"/>
      <c r="M235" s="35"/>
      <c r="N235" s="35"/>
      <c r="O235" s="35"/>
      <c r="P235" s="35"/>
      <c r="Q235" s="35"/>
      <c r="R235" s="35"/>
      <c r="S235" s="35"/>
      <c r="T235" s="35"/>
      <c r="U235" s="35"/>
      <c r="V235" s="35"/>
      <c r="W235" s="35"/>
      <c r="X235" s="35"/>
      <c r="Y235" s="35"/>
      <c r="Z235" s="35"/>
      <c r="AA235" s="35"/>
    </row>
    <row r="236" ht="15.75" customHeight="1">
      <c r="A236" s="35"/>
      <c r="B236" s="57"/>
      <c r="C236" s="35"/>
      <c r="D236" s="26"/>
      <c r="E236" s="51"/>
      <c r="F236" s="51"/>
      <c r="G236" s="51"/>
      <c r="H236" s="18"/>
      <c r="I236" s="18"/>
      <c r="J236" s="35"/>
      <c r="K236" s="35"/>
      <c r="L236" s="35"/>
      <c r="M236" s="35"/>
      <c r="N236" s="35"/>
      <c r="O236" s="35"/>
      <c r="P236" s="35"/>
      <c r="Q236" s="35"/>
      <c r="R236" s="35"/>
      <c r="S236" s="35"/>
      <c r="T236" s="35"/>
      <c r="U236" s="35"/>
      <c r="V236" s="35"/>
      <c r="W236" s="35"/>
      <c r="X236" s="35"/>
      <c r="Y236" s="35"/>
      <c r="Z236" s="35"/>
      <c r="AA236" s="35"/>
    </row>
    <row r="237" ht="15.75" customHeight="1">
      <c r="A237" s="35"/>
      <c r="B237" s="57"/>
      <c r="C237" s="35"/>
      <c r="D237" s="26"/>
      <c r="E237" s="51"/>
      <c r="F237" s="51"/>
      <c r="G237" s="51"/>
      <c r="H237" s="18"/>
      <c r="I237" s="18"/>
      <c r="J237" s="35"/>
      <c r="K237" s="35"/>
      <c r="L237" s="35"/>
      <c r="M237" s="35"/>
      <c r="N237" s="35"/>
      <c r="O237" s="35"/>
      <c r="P237" s="35"/>
      <c r="Q237" s="35"/>
      <c r="R237" s="35"/>
      <c r="S237" s="35"/>
      <c r="T237" s="35"/>
      <c r="U237" s="35"/>
      <c r="V237" s="35"/>
      <c r="W237" s="35"/>
      <c r="X237" s="35"/>
      <c r="Y237" s="35"/>
      <c r="Z237" s="35"/>
      <c r="AA237" s="35"/>
    </row>
    <row r="238" ht="15.75" customHeight="1">
      <c r="A238" s="35"/>
      <c r="B238" s="57"/>
      <c r="C238" s="35"/>
      <c r="D238" s="26"/>
      <c r="E238" s="51"/>
      <c r="F238" s="51"/>
      <c r="G238" s="51"/>
      <c r="H238" s="18"/>
      <c r="I238" s="18"/>
      <c r="J238" s="35"/>
      <c r="K238" s="35"/>
      <c r="L238" s="35"/>
      <c r="M238" s="35"/>
      <c r="N238" s="35"/>
      <c r="O238" s="35"/>
      <c r="P238" s="35"/>
      <c r="Q238" s="35"/>
      <c r="R238" s="35"/>
      <c r="S238" s="35"/>
      <c r="T238" s="35"/>
      <c r="U238" s="35"/>
      <c r="V238" s="35"/>
      <c r="W238" s="35"/>
      <c r="X238" s="35"/>
      <c r="Y238" s="35"/>
      <c r="Z238" s="35"/>
      <c r="AA238" s="35"/>
    </row>
    <row r="239" ht="15.75" customHeight="1">
      <c r="A239" s="35"/>
      <c r="B239" s="57"/>
      <c r="C239" s="35"/>
      <c r="D239" s="26"/>
      <c r="E239" s="51"/>
      <c r="F239" s="51"/>
      <c r="G239" s="51"/>
      <c r="H239" s="18"/>
      <c r="I239" s="18"/>
      <c r="J239" s="35"/>
      <c r="K239" s="35"/>
      <c r="L239" s="35"/>
      <c r="M239" s="35"/>
      <c r="N239" s="35"/>
      <c r="O239" s="35"/>
      <c r="P239" s="35"/>
      <c r="Q239" s="35"/>
      <c r="R239" s="35"/>
      <c r="S239" s="35"/>
      <c r="T239" s="35"/>
      <c r="U239" s="35"/>
      <c r="V239" s="35"/>
      <c r="W239" s="35"/>
      <c r="X239" s="35"/>
      <c r="Y239" s="35"/>
      <c r="Z239" s="35"/>
      <c r="AA239" s="35"/>
    </row>
    <row r="240" ht="15.75" customHeight="1">
      <c r="A240" s="35"/>
      <c r="B240" s="57"/>
      <c r="C240" s="35"/>
      <c r="D240" s="26"/>
      <c r="E240" s="51"/>
      <c r="F240" s="51"/>
      <c r="G240" s="51"/>
      <c r="H240" s="18"/>
      <c r="I240" s="18"/>
      <c r="J240" s="35"/>
      <c r="K240" s="35"/>
      <c r="L240" s="35"/>
      <c r="M240" s="35"/>
      <c r="N240" s="35"/>
      <c r="O240" s="35"/>
      <c r="P240" s="35"/>
      <c r="Q240" s="35"/>
      <c r="R240" s="35"/>
      <c r="S240" s="35"/>
      <c r="T240" s="35"/>
      <c r="U240" s="35"/>
      <c r="V240" s="35"/>
      <c r="W240" s="35"/>
      <c r="X240" s="35"/>
      <c r="Y240" s="35"/>
      <c r="Z240" s="35"/>
      <c r="AA240" s="35"/>
    </row>
    <row r="241" ht="15.75" customHeight="1">
      <c r="A241" s="35"/>
      <c r="B241" s="57"/>
      <c r="C241" s="35"/>
      <c r="D241" s="26"/>
      <c r="E241" s="51"/>
      <c r="F241" s="51"/>
      <c r="G241" s="51"/>
      <c r="H241" s="18"/>
      <c r="I241" s="18"/>
      <c r="J241" s="35"/>
      <c r="K241" s="35"/>
      <c r="L241" s="35"/>
      <c r="M241" s="35"/>
      <c r="N241" s="35"/>
      <c r="O241" s="35"/>
      <c r="P241" s="35"/>
      <c r="Q241" s="35"/>
      <c r="R241" s="35"/>
      <c r="S241" s="35"/>
      <c r="T241" s="35"/>
      <c r="U241" s="35"/>
      <c r="V241" s="35"/>
      <c r="W241" s="35"/>
      <c r="X241" s="35"/>
      <c r="Y241" s="35"/>
      <c r="Z241" s="35"/>
      <c r="AA241" s="35"/>
    </row>
    <row r="242" ht="15.75" customHeight="1">
      <c r="A242" s="35"/>
      <c r="B242" s="57"/>
      <c r="C242" s="35"/>
      <c r="D242" s="26"/>
      <c r="E242" s="51"/>
      <c r="F242" s="51"/>
      <c r="G242" s="51"/>
      <c r="H242" s="18"/>
      <c r="I242" s="18"/>
      <c r="J242" s="35"/>
      <c r="K242" s="35"/>
      <c r="L242" s="35"/>
      <c r="M242" s="35"/>
      <c r="N242" s="35"/>
      <c r="O242" s="35"/>
      <c r="P242" s="35"/>
      <c r="Q242" s="35"/>
      <c r="R242" s="35"/>
      <c r="S242" s="35"/>
      <c r="T242" s="35"/>
      <c r="U242" s="35"/>
      <c r="V242" s="35"/>
      <c r="W242" s="35"/>
      <c r="X242" s="35"/>
      <c r="Y242" s="35"/>
      <c r="Z242" s="35"/>
      <c r="AA242" s="35"/>
    </row>
    <row r="243" ht="15.75" customHeight="1">
      <c r="A243" s="35"/>
      <c r="B243" s="57"/>
      <c r="C243" s="35"/>
      <c r="D243" s="26"/>
      <c r="E243" s="51"/>
      <c r="F243" s="51"/>
      <c r="G243" s="51"/>
      <c r="H243" s="18"/>
      <c r="I243" s="18"/>
      <c r="J243" s="35"/>
      <c r="K243" s="35"/>
      <c r="L243" s="35"/>
      <c r="M243" s="35"/>
      <c r="N243" s="35"/>
      <c r="O243" s="35"/>
      <c r="P243" s="35"/>
      <c r="Q243" s="35"/>
      <c r="R243" s="35"/>
      <c r="S243" s="35"/>
      <c r="T243" s="35"/>
      <c r="U243" s="35"/>
      <c r="V243" s="35"/>
      <c r="W243" s="35"/>
      <c r="X243" s="35"/>
      <c r="Y243" s="35"/>
      <c r="Z243" s="35"/>
      <c r="AA243" s="35"/>
    </row>
    <row r="244" ht="15.75" customHeight="1">
      <c r="A244" s="35"/>
      <c r="B244" s="57"/>
      <c r="C244" s="35"/>
      <c r="D244" s="26"/>
      <c r="E244" s="51"/>
      <c r="F244" s="51"/>
      <c r="G244" s="51"/>
      <c r="H244" s="18"/>
      <c r="I244" s="18"/>
      <c r="J244" s="35"/>
      <c r="K244" s="35"/>
      <c r="L244" s="35"/>
      <c r="M244" s="35"/>
      <c r="N244" s="35"/>
      <c r="O244" s="35"/>
      <c r="P244" s="35"/>
      <c r="Q244" s="35"/>
      <c r="R244" s="35"/>
      <c r="S244" s="35"/>
      <c r="T244" s="35"/>
      <c r="U244" s="35"/>
      <c r="V244" s="35"/>
      <c r="W244" s="35"/>
      <c r="X244" s="35"/>
      <c r="Y244" s="35"/>
      <c r="Z244" s="35"/>
      <c r="AA244" s="35"/>
    </row>
    <row r="245" ht="15.75" customHeight="1">
      <c r="A245" s="35"/>
      <c r="B245" s="57"/>
      <c r="C245" s="35"/>
      <c r="D245" s="26"/>
      <c r="E245" s="51"/>
      <c r="F245" s="51"/>
      <c r="G245" s="51"/>
      <c r="H245" s="18"/>
      <c r="I245" s="18"/>
      <c r="J245" s="35"/>
      <c r="K245" s="35"/>
      <c r="L245" s="35"/>
      <c r="M245" s="35"/>
      <c r="N245" s="35"/>
      <c r="O245" s="35"/>
      <c r="P245" s="35"/>
      <c r="Q245" s="35"/>
      <c r="R245" s="35"/>
      <c r="S245" s="35"/>
      <c r="T245" s="35"/>
      <c r="U245" s="35"/>
      <c r="V245" s="35"/>
      <c r="W245" s="35"/>
      <c r="X245" s="35"/>
      <c r="Y245" s="35"/>
      <c r="Z245" s="35"/>
      <c r="AA245" s="35"/>
    </row>
    <row r="246" ht="15.75" customHeight="1">
      <c r="A246" s="35"/>
      <c r="B246" s="57"/>
      <c r="C246" s="35"/>
      <c r="D246" s="26"/>
      <c r="E246" s="51"/>
      <c r="F246" s="51"/>
      <c r="G246" s="51"/>
      <c r="H246" s="18"/>
      <c r="I246" s="18"/>
      <c r="J246" s="35"/>
      <c r="K246" s="35"/>
      <c r="L246" s="35"/>
      <c r="M246" s="35"/>
      <c r="N246" s="35"/>
      <c r="O246" s="35"/>
      <c r="P246" s="35"/>
      <c r="Q246" s="35"/>
      <c r="R246" s="35"/>
      <c r="S246" s="35"/>
      <c r="T246" s="35"/>
      <c r="U246" s="35"/>
      <c r="V246" s="35"/>
      <c r="W246" s="35"/>
      <c r="X246" s="35"/>
      <c r="Y246" s="35"/>
      <c r="Z246" s="35"/>
      <c r="AA246" s="35"/>
    </row>
    <row r="247" ht="15.75" customHeight="1">
      <c r="A247" s="35"/>
      <c r="B247" s="57"/>
      <c r="C247" s="35"/>
      <c r="D247" s="26"/>
      <c r="E247" s="51"/>
      <c r="F247" s="51"/>
      <c r="G247" s="51"/>
      <c r="H247" s="18"/>
      <c r="I247" s="18"/>
      <c r="J247" s="35"/>
      <c r="K247" s="35"/>
      <c r="L247" s="35"/>
      <c r="M247" s="35"/>
      <c r="N247" s="35"/>
      <c r="O247" s="35"/>
      <c r="P247" s="35"/>
      <c r="Q247" s="35"/>
      <c r="R247" s="35"/>
      <c r="S247" s="35"/>
      <c r="T247" s="35"/>
      <c r="U247" s="35"/>
      <c r="V247" s="35"/>
      <c r="W247" s="35"/>
      <c r="X247" s="35"/>
      <c r="Y247" s="35"/>
      <c r="Z247" s="35"/>
      <c r="AA247" s="35"/>
    </row>
    <row r="248" ht="15.75" customHeight="1">
      <c r="A248" s="35"/>
      <c r="B248" s="57"/>
      <c r="C248" s="35"/>
      <c r="D248" s="26"/>
      <c r="E248" s="51"/>
      <c r="F248" s="51"/>
      <c r="G248" s="51"/>
      <c r="H248" s="18"/>
      <c r="I248" s="18"/>
      <c r="J248" s="35"/>
      <c r="K248" s="35"/>
      <c r="L248" s="35"/>
      <c r="M248" s="35"/>
      <c r="N248" s="35"/>
      <c r="O248" s="35"/>
      <c r="P248" s="35"/>
      <c r="Q248" s="35"/>
      <c r="R248" s="35"/>
      <c r="S248" s="35"/>
      <c r="T248" s="35"/>
      <c r="U248" s="35"/>
      <c r="V248" s="35"/>
      <c r="W248" s="35"/>
      <c r="X248" s="35"/>
      <c r="Y248" s="35"/>
      <c r="Z248" s="35"/>
      <c r="AA248" s="35"/>
    </row>
    <row r="249" ht="15.75" customHeight="1">
      <c r="A249" s="35"/>
      <c r="B249" s="57"/>
      <c r="C249" s="35"/>
      <c r="D249" s="26"/>
      <c r="E249" s="51"/>
      <c r="F249" s="51"/>
      <c r="G249" s="51"/>
      <c r="H249" s="18"/>
      <c r="I249" s="18"/>
      <c r="J249" s="35"/>
      <c r="K249" s="35"/>
      <c r="L249" s="35"/>
      <c r="M249" s="35"/>
      <c r="N249" s="35"/>
      <c r="O249" s="35"/>
      <c r="P249" s="35"/>
      <c r="Q249" s="35"/>
      <c r="R249" s="35"/>
      <c r="S249" s="35"/>
      <c r="T249" s="35"/>
      <c r="U249" s="35"/>
      <c r="V249" s="35"/>
      <c r="W249" s="35"/>
      <c r="X249" s="35"/>
      <c r="Y249" s="35"/>
      <c r="Z249" s="35"/>
      <c r="AA249" s="35"/>
    </row>
    <row r="250" ht="15.75" customHeight="1">
      <c r="A250" s="35"/>
      <c r="B250" s="57"/>
      <c r="C250" s="35"/>
      <c r="D250" s="26"/>
      <c r="E250" s="51"/>
      <c r="F250" s="51"/>
      <c r="G250" s="51"/>
      <c r="H250" s="18"/>
      <c r="I250" s="18"/>
      <c r="J250" s="35"/>
      <c r="K250" s="35"/>
      <c r="L250" s="35"/>
      <c r="M250" s="35"/>
      <c r="N250" s="35"/>
      <c r="O250" s="35"/>
      <c r="P250" s="35"/>
      <c r="Q250" s="35"/>
      <c r="R250" s="35"/>
      <c r="S250" s="35"/>
      <c r="T250" s="35"/>
      <c r="U250" s="35"/>
      <c r="V250" s="35"/>
      <c r="W250" s="35"/>
      <c r="X250" s="35"/>
      <c r="Y250" s="35"/>
      <c r="Z250" s="35"/>
      <c r="AA250" s="35"/>
    </row>
    <row r="251" ht="15.75" customHeight="1">
      <c r="A251" s="35"/>
      <c r="B251" s="57"/>
      <c r="C251" s="35"/>
      <c r="D251" s="26"/>
      <c r="E251" s="51"/>
      <c r="F251" s="51"/>
      <c r="G251" s="51"/>
      <c r="H251" s="18"/>
      <c r="I251" s="18"/>
      <c r="J251" s="35"/>
      <c r="K251" s="35"/>
      <c r="L251" s="35"/>
      <c r="M251" s="35"/>
      <c r="N251" s="35"/>
      <c r="O251" s="35"/>
      <c r="P251" s="35"/>
      <c r="Q251" s="35"/>
      <c r="R251" s="35"/>
      <c r="S251" s="35"/>
      <c r="T251" s="35"/>
      <c r="U251" s="35"/>
      <c r="V251" s="35"/>
      <c r="W251" s="35"/>
      <c r="X251" s="35"/>
      <c r="Y251" s="35"/>
      <c r="Z251" s="35"/>
      <c r="AA251" s="35"/>
    </row>
    <row r="252" ht="15.75" customHeight="1">
      <c r="A252" s="35"/>
      <c r="B252" s="57"/>
      <c r="C252" s="35"/>
      <c r="D252" s="26"/>
      <c r="E252" s="51"/>
      <c r="F252" s="51"/>
      <c r="G252" s="51"/>
      <c r="H252" s="18"/>
      <c r="I252" s="18"/>
      <c r="J252" s="35"/>
      <c r="K252" s="35"/>
      <c r="L252" s="35"/>
      <c r="M252" s="35"/>
      <c r="N252" s="35"/>
      <c r="O252" s="35"/>
      <c r="P252" s="35"/>
      <c r="Q252" s="35"/>
      <c r="R252" s="35"/>
      <c r="S252" s="35"/>
      <c r="T252" s="35"/>
      <c r="U252" s="35"/>
      <c r="V252" s="35"/>
      <c r="W252" s="35"/>
      <c r="X252" s="35"/>
      <c r="Y252" s="35"/>
      <c r="Z252" s="35"/>
      <c r="AA252" s="35"/>
    </row>
    <row r="253" ht="15.75" customHeight="1">
      <c r="A253" s="35"/>
      <c r="B253" s="57"/>
      <c r="C253" s="35"/>
      <c r="D253" s="26"/>
      <c r="E253" s="51"/>
      <c r="F253" s="51"/>
      <c r="G253" s="51"/>
      <c r="H253" s="18"/>
      <c r="I253" s="18"/>
      <c r="J253" s="35"/>
      <c r="K253" s="35"/>
      <c r="L253" s="35"/>
      <c r="M253" s="35"/>
      <c r="N253" s="35"/>
      <c r="O253" s="35"/>
      <c r="P253" s="35"/>
      <c r="Q253" s="35"/>
      <c r="R253" s="35"/>
      <c r="S253" s="35"/>
      <c r="T253" s="35"/>
      <c r="U253" s="35"/>
      <c r="V253" s="35"/>
      <c r="W253" s="35"/>
      <c r="X253" s="35"/>
      <c r="Y253" s="35"/>
      <c r="Z253" s="35"/>
      <c r="AA253" s="35"/>
    </row>
    <row r="254" ht="15.75" customHeight="1">
      <c r="A254" s="35"/>
      <c r="B254" s="57"/>
      <c r="C254" s="35"/>
      <c r="D254" s="26"/>
      <c r="E254" s="51"/>
      <c r="F254" s="51"/>
      <c r="G254" s="51"/>
      <c r="H254" s="18"/>
      <c r="I254" s="18"/>
      <c r="J254" s="35"/>
      <c r="K254" s="35"/>
      <c r="L254" s="35"/>
      <c r="M254" s="35"/>
      <c r="N254" s="35"/>
      <c r="O254" s="35"/>
      <c r="P254" s="35"/>
      <c r="Q254" s="35"/>
      <c r="R254" s="35"/>
      <c r="S254" s="35"/>
      <c r="T254" s="35"/>
      <c r="U254" s="35"/>
      <c r="V254" s="35"/>
      <c r="W254" s="35"/>
      <c r="X254" s="35"/>
      <c r="Y254" s="35"/>
      <c r="Z254" s="35"/>
      <c r="AA254" s="35"/>
    </row>
    <row r="255" ht="15.75" customHeight="1">
      <c r="A255" s="35"/>
      <c r="B255" s="57"/>
      <c r="C255" s="35"/>
      <c r="D255" s="26"/>
      <c r="E255" s="51"/>
      <c r="F255" s="51"/>
      <c r="G255" s="51"/>
      <c r="H255" s="18"/>
      <c r="I255" s="18"/>
      <c r="J255" s="35"/>
      <c r="K255" s="35"/>
      <c r="L255" s="35"/>
      <c r="M255" s="35"/>
      <c r="N255" s="35"/>
      <c r="O255" s="35"/>
      <c r="P255" s="35"/>
      <c r="Q255" s="35"/>
      <c r="R255" s="35"/>
      <c r="S255" s="35"/>
      <c r="T255" s="35"/>
      <c r="U255" s="35"/>
      <c r="V255" s="35"/>
      <c r="W255" s="35"/>
      <c r="X255" s="35"/>
      <c r="Y255" s="35"/>
      <c r="Z255" s="35"/>
      <c r="AA255" s="35"/>
    </row>
    <row r="256" ht="15.75" customHeight="1">
      <c r="A256" s="35"/>
      <c r="B256" s="57"/>
      <c r="C256" s="35"/>
      <c r="D256" s="26"/>
      <c r="E256" s="51"/>
      <c r="F256" s="51"/>
      <c r="G256" s="51"/>
      <c r="H256" s="18"/>
      <c r="I256" s="18"/>
      <c r="J256" s="35"/>
      <c r="K256" s="35"/>
      <c r="L256" s="35"/>
      <c r="M256" s="35"/>
      <c r="N256" s="35"/>
      <c r="O256" s="35"/>
      <c r="P256" s="35"/>
      <c r="Q256" s="35"/>
      <c r="R256" s="35"/>
      <c r="S256" s="35"/>
      <c r="T256" s="35"/>
      <c r="U256" s="35"/>
      <c r="V256" s="35"/>
      <c r="W256" s="35"/>
      <c r="X256" s="35"/>
      <c r="Y256" s="35"/>
      <c r="Z256" s="35"/>
      <c r="AA256" s="35"/>
    </row>
    <row r="257" ht="15.75" customHeight="1">
      <c r="A257" s="35"/>
      <c r="B257" s="57"/>
      <c r="C257" s="35"/>
      <c r="D257" s="26"/>
      <c r="E257" s="51"/>
      <c r="F257" s="51"/>
      <c r="G257" s="51"/>
      <c r="H257" s="18"/>
      <c r="I257" s="18"/>
      <c r="J257" s="35"/>
      <c r="K257" s="35"/>
      <c r="L257" s="35"/>
      <c r="M257" s="35"/>
      <c r="N257" s="35"/>
      <c r="O257" s="35"/>
      <c r="P257" s="35"/>
      <c r="Q257" s="35"/>
      <c r="R257" s="35"/>
      <c r="S257" s="35"/>
      <c r="T257" s="35"/>
      <c r="U257" s="35"/>
      <c r="V257" s="35"/>
      <c r="W257" s="35"/>
      <c r="X257" s="35"/>
      <c r="Y257" s="35"/>
      <c r="Z257" s="35"/>
      <c r="AA257" s="35"/>
    </row>
    <row r="258" ht="15.75" customHeight="1">
      <c r="A258" s="35"/>
      <c r="B258" s="57"/>
      <c r="C258" s="35"/>
      <c r="D258" s="26"/>
      <c r="E258" s="51"/>
      <c r="F258" s="51"/>
      <c r="G258" s="51"/>
      <c r="H258" s="18"/>
      <c r="I258" s="18"/>
      <c r="J258" s="35"/>
      <c r="K258" s="35"/>
      <c r="L258" s="35"/>
      <c r="M258" s="35"/>
      <c r="N258" s="35"/>
      <c r="O258" s="35"/>
      <c r="P258" s="35"/>
      <c r="Q258" s="35"/>
      <c r="R258" s="35"/>
      <c r="S258" s="35"/>
      <c r="T258" s="35"/>
      <c r="U258" s="35"/>
      <c r="V258" s="35"/>
      <c r="W258" s="35"/>
      <c r="X258" s="35"/>
      <c r="Y258" s="35"/>
      <c r="Z258" s="35"/>
      <c r="AA258" s="35"/>
    </row>
    <row r="259" ht="15.75" customHeight="1">
      <c r="A259" s="35"/>
      <c r="B259" s="57"/>
      <c r="C259" s="35"/>
      <c r="D259" s="26"/>
      <c r="E259" s="51"/>
      <c r="F259" s="51"/>
      <c r="G259" s="51"/>
      <c r="H259" s="18"/>
      <c r="I259" s="18"/>
      <c r="J259" s="35"/>
      <c r="K259" s="35"/>
      <c r="L259" s="35"/>
      <c r="M259" s="35"/>
      <c r="N259" s="35"/>
      <c r="O259" s="35"/>
      <c r="P259" s="35"/>
      <c r="Q259" s="35"/>
      <c r="R259" s="35"/>
      <c r="S259" s="35"/>
      <c r="T259" s="35"/>
      <c r="U259" s="35"/>
      <c r="V259" s="35"/>
      <c r="W259" s="35"/>
      <c r="X259" s="35"/>
      <c r="Y259" s="35"/>
      <c r="Z259" s="35"/>
      <c r="AA259" s="35"/>
    </row>
    <row r="260" ht="15.75" customHeight="1">
      <c r="A260" s="35"/>
      <c r="B260" s="57"/>
      <c r="C260" s="35"/>
      <c r="D260" s="26"/>
      <c r="E260" s="51"/>
      <c r="F260" s="51"/>
      <c r="G260" s="51"/>
      <c r="H260" s="18"/>
      <c r="I260" s="18"/>
      <c r="J260" s="35"/>
      <c r="K260" s="35"/>
      <c r="L260" s="35"/>
      <c r="M260" s="35"/>
      <c r="N260" s="35"/>
      <c r="O260" s="35"/>
      <c r="P260" s="35"/>
      <c r="Q260" s="35"/>
      <c r="R260" s="35"/>
      <c r="S260" s="35"/>
      <c r="T260" s="35"/>
      <c r="U260" s="35"/>
      <c r="V260" s="35"/>
      <c r="W260" s="35"/>
      <c r="X260" s="35"/>
      <c r="Y260" s="35"/>
      <c r="Z260" s="35"/>
      <c r="AA260" s="35"/>
    </row>
    <row r="261" ht="15.75" customHeight="1">
      <c r="A261" s="35"/>
      <c r="B261" s="57"/>
      <c r="C261" s="35"/>
      <c r="D261" s="26"/>
      <c r="E261" s="51"/>
      <c r="F261" s="51"/>
      <c r="G261" s="51"/>
      <c r="H261" s="18"/>
      <c r="I261" s="18"/>
      <c r="J261" s="35"/>
      <c r="K261" s="35"/>
      <c r="L261" s="35"/>
      <c r="M261" s="35"/>
      <c r="N261" s="35"/>
      <c r="O261" s="35"/>
      <c r="P261" s="35"/>
      <c r="Q261" s="35"/>
      <c r="R261" s="35"/>
      <c r="S261" s="35"/>
      <c r="T261" s="35"/>
      <c r="U261" s="35"/>
      <c r="V261" s="35"/>
      <c r="W261" s="35"/>
      <c r="X261" s="35"/>
      <c r="Y261" s="35"/>
      <c r="Z261" s="35"/>
      <c r="AA261" s="35"/>
    </row>
    <row r="262" ht="15.75" customHeight="1">
      <c r="A262" s="35"/>
      <c r="B262" s="57"/>
      <c r="C262" s="35"/>
      <c r="D262" s="26"/>
      <c r="E262" s="51"/>
      <c r="F262" s="51"/>
      <c r="G262" s="51"/>
      <c r="H262" s="18"/>
      <c r="I262" s="18"/>
      <c r="J262" s="35"/>
      <c r="K262" s="35"/>
      <c r="L262" s="35"/>
      <c r="M262" s="35"/>
      <c r="N262" s="35"/>
      <c r="O262" s="35"/>
      <c r="P262" s="35"/>
      <c r="Q262" s="35"/>
      <c r="R262" s="35"/>
      <c r="S262" s="35"/>
      <c r="T262" s="35"/>
      <c r="U262" s="35"/>
      <c r="V262" s="35"/>
      <c r="W262" s="35"/>
      <c r="X262" s="35"/>
      <c r="Y262" s="35"/>
      <c r="Z262" s="35"/>
      <c r="AA262" s="35"/>
    </row>
    <row r="263" ht="15.75" customHeight="1">
      <c r="A263" s="35"/>
      <c r="B263" s="57"/>
      <c r="C263" s="35"/>
      <c r="D263" s="26"/>
      <c r="E263" s="51"/>
      <c r="F263" s="51"/>
      <c r="G263" s="51"/>
      <c r="H263" s="18"/>
      <c r="I263" s="18"/>
      <c r="J263" s="35"/>
      <c r="K263" s="35"/>
      <c r="L263" s="35"/>
      <c r="M263" s="35"/>
      <c r="N263" s="35"/>
      <c r="O263" s="35"/>
      <c r="P263" s="35"/>
      <c r="Q263" s="35"/>
      <c r="R263" s="35"/>
      <c r="S263" s="35"/>
      <c r="T263" s="35"/>
      <c r="U263" s="35"/>
      <c r="V263" s="35"/>
      <c r="W263" s="35"/>
      <c r="X263" s="35"/>
      <c r="Y263" s="35"/>
      <c r="Z263" s="35"/>
      <c r="AA263" s="35"/>
    </row>
    <row r="264" ht="15.75" customHeight="1">
      <c r="A264" s="35"/>
      <c r="B264" s="57"/>
      <c r="C264" s="35"/>
      <c r="D264" s="26"/>
      <c r="E264" s="51"/>
      <c r="F264" s="51"/>
      <c r="G264" s="51"/>
      <c r="H264" s="18"/>
      <c r="I264" s="18"/>
      <c r="J264" s="35"/>
      <c r="K264" s="35"/>
      <c r="L264" s="35"/>
      <c r="M264" s="35"/>
      <c r="N264" s="35"/>
      <c r="O264" s="35"/>
      <c r="P264" s="35"/>
      <c r="Q264" s="35"/>
      <c r="R264" s="35"/>
      <c r="S264" s="35"/>
      <c r="T264" s="35"/>
      <c r="U264" s="35"/>
      <c r="V264" s="35"/>
      <c r="W264" s="35"/>
      <c r="X264" s="35"/>
      <c r="Y264" s="35"/>
      <c r="Z264" s="35"/>
      <c r="AA264" s="35"/>
    </row>
    <row r="265" ht="15.75" customHeight="1">
      <c r="A265" s="35"/>
      <c r="B265" s="57"/>
      <c r="C265" s="35"/>
      <c r="D265" s="26"/>
      <c r="E265" s="51"/>
      <c r="F265" s="51"/>
      <c r="G265" s="51"/>
      <c r="H265" s="18"/>
      <c r="I265" s="18"/>
      <c r="J265" s="35"/>
      <c r="K265" s="35"/>
      <c r="L265" s="35"/>
      <c r="M265" s="35"/>
      <c r="N265" s="35"/>
      <c r="O265" s="35"/>
      <c r="P265" s="35"/>
      <c r="Q265" s="35"/>
      <c r="R265" s="35"/>
      <c r="S265" s="35"/>
      <c r="T265" s="35"/>
      <c r="U265" s="35"/>
      <c r="V265" s="35"/>
      <c r="W265" s="35"/>
      <c r="X265" s="35"/>
      <c r="Y265" s="35"/>
      <c r="Z265" s="35"/>
      <c r="AA265" s="35"/>
    </row>
    <row r="266" ht="15.75" customHeight="1">
      <c r="A266" s="35"/>
      <c r="B266" s="57"/>
      <c r="C266" s="35"/>
      <c r="D266" s="26"/>
      <c r="E266" s="51"/>
      <c r="F266" s="51"/>
      <c r="G266" s="51"/>
      <c r="H266" s="18"/>
      <c r="I266" s="18"/>
      <c r="J266" s="35"/>
      <c r="K266" s="35"/>
      <c r="L266" s="35"/>
      <c r="M266" s="35"/>
      <c r="N266" s="35"/>
      <c r="O266" s="35"/>
      <c r="P266" s="35"/>
      <c r="Q266" s="35"/>
      <c r="R266" s="35"/>
      <c r="S266" s="35"/>
      <c r="T266" s="35"/>
      <c r="U266" s="35"/>
      <c r="V266" s="35"/>
      <c r="W266" s="35"/>
      <c r="X266" s="35"/>
      <c r="Y266" s="35"/>
      <c r="Z266" s="35"/>
      <c r="AA266" s="35"/>
    </row>
    <row r="267" ht="15.75" customHeight="1">
      <c r="A267" s="35"/>
      <c r="B267" s="57"/>
      <c r="C267" s="35"/>
      <c r="D267" s="26"/>
      <c r="E267" s="51"/>
      <c r="F267" s="51"/>
      <c r="G267" s="51"/>
      <c r="H267" s="18"/>
      <c r="I267" s="18"/>
      <c r="J267" s="35"/>
      <c r="K267" s="35"/>
      <c r="L267" s="35"/>
      <c r="M267" s="35"/>
      <c r="N267" s="35"/>
      <c r="O267" s="35"/>
      <c r="P267" s="35"/>
      <c r="Q267" s="35"/>
      <c r="R267" s="35"/>
      <c r="S267" s="35"/>
      <c r="T267" s="35"/>
      <c r="U267" s="35"/>
      <c r="V267" s="35"/>
      <c r="W267" s="35"/>
      <c r="X267" s="35"/>
      <c r="Y267" s="35"/>
      <c r="Z267" s="35"/>
      <c r="AA267" s="35"/>
    </row>
    <row r="268" ht="15.75" customHeight="1">
      <c r="A268" s="35"/>
      <c r="B268" s="57"/>
      <c r="C268" s="35"/>
      <c r="D268" s="26"/>
      <c r="E268" s="51"/>
      <c r="F268" s="51"/>
      <c r="G268" s="51"/>
      <c r="H268" s="18"/>
      <c r="I268" s="18"/>
      <c r="J268" s="35"/>
      <c r="K268" s="35"/>
      <c r="L268" s="35"/>
      <c r="M268" s="35"/>
      <c r="N268" s="35"/>
      <c r="O268" s="35"/>
      <c r="P268" s="35"/>
      <c r="Q268" s="35"/>
      <c r="R268" s="35"/>
      <c r="S268" s="35"/>
      <c r="T268" s="35"/>
      <c r="U268" s="35"/>
      <c r="V268" s="35"/>
      <c r="W268" s="35"/>
      <c r="X268" s="35"/>
      <c r="Y268" s="35"/>
      <c r="Z268" s="35"/>
      <c r="AA268" s="35"/>
    </row>
    <row r="269" ht="15.75" customHeight="1">
      <c r="A269" s="35"/>
      <c r="B269" s="57"/>
      <c r="C269" s="35"/>
      <c r="D269" s="26"/>
      <c r="E269" s="51"/>
      <c r="F269" s="51"/>
      <c r="G269" s="51"/>
      <c r="H269" s="18"/>
      <c r="I269" s="18"/>
      <c r="J269" s="35"/>
      <c r="K269" s="35"/>
      <c r="L269" s="35"/>
      <c r="M269" s="35"/>
      <c r="N269" s="35"/>
      <c r="O269" s="35"/>
      <c r="P269" s="35"/>
      <c r="Q269" s="35"/>
      <c r="R269" s="35"/>
      <c r="S269" s="35"/>
      <c r="T269" s="35"/>
      <c r="U269" s="35"/>
      <c r="V269" s="35"/>
      <c r="W269" s="35"/>
      <c r="X269" s="35"/>
      <c r="Y269" s="35"/>
      <c r="Z269" s="35"/>
      <c r="AA269" s="35"/>
    </row>
    <row r="270" ht="15.75" customHeight="1">
      <c r="A270" s="35"/>
      <c r="B270" s="57"/>
      <c r="C270" s="35"/>
      <c r="D270" s="26"/>
      <c r="E270" s="51"/>
      <c r="F270" s="51"/>
      <c r="G270" s="51"/>
      <c r="H270" s="18"/>
      <c r="I270" s="18"/>
      <c r="J270" s="35"/>
      <c r="K270" s="35"/>
      <c r="L270" s="35"/>
      <c r="M270" s="35"/>
      <c r="N270" s="35"/>
      <c r="O270" s="35"/>
      <c r="P270" s="35"/>
      <c r="Q270" s="35"/>
      <c r="R270" s="35"/>
      <c r="S270" s="35"/>
      <c r="T270" s="35"/>
      <c r="U270" s="35"/>
      <c r="V270" s="35"/>
      <c r="W270" s="35"/>
      <c r="X270" s="35"/>
      <c r="Y270" s="35"/>
      <c r="Z270" s="35"/>
      <c r="AA270" s="35"/>
    </row>
    <row r="271" ht="15.75" customHeight="1">
      <c r="A271" s="35"/>
      <c r="B271" s="57"/>
      <c r="C271" s="35"/>
      <c r="D271" s="26"/>
      <c r="E271" s="51"/>
      <c r="F271" s="51"/>
      <c r="G271" s="51"/>
      <c r="H271" s="18"/>
      <c r="I271" s="18"/>
      <c r="J271" s="35"/>
      <c r="K271" s="35"/>
      <c r="L271" s="35"/>
      <c r="M271" s="35"/>
      <c r="N271" s="35"/>
      <c r="O271" s="35"/>
      <c r="P271" s="35"/>
      <c r="Q271" s="35"/>
      <c r="R271" s="35"/>
      <c r="S271" s="35"/>
      <c r="T271" s="35"/>
      <c r="U271" s="35"/>
      <c r="V271" s="35"/>
      <c r="W271" s="35"/>
      <c r="X271" s="35"/>
      <c r="Y271" s="35"/>
      <c r="Z271" s="35"/>
      <c r="AA271" s="35"/>
    </row>
    <row r="272" ht="15.75" customHeight="1">
      <c r="A272" s="35"/>
      <c r="B272" s="57"/>
      <c r="C272" s="35"/>
      <c r="D272" s="26"/>
      <c r="E272" s="51"/>
      <c r="F272" s="51"/>
      <c r="G272" s="51"/>
      <c r="H272" s="18"/>
      <c r="I272" s="18"/>
      <c r="J272" s="35"/>
      <c r="K272" s="35"/>
      <c r="L272" s="35"/>
      <c r="M272" s="35"/>
      <c r="N272" s="35"/>
      <c r="O272" s="35"/>
      <c r="P272" s="35"/>
      <c r="Q272" s="35"/>
      <c r="R272" s="35"/>
      <c r="S272" s="35"/>
      <c r="T272" s="35"/>
      <c r="U272" s="35"/>
      <c r="V272" s="35"/>
      <c r="W272" s="35"/>
      <c r="X272" s="35"/>
      <c r="Y272" s="35"/>
      <c r="Z272" s="35"/>
      <c r="AA272" s="35"/>
    </row>
    <row r="273" ht="15.75" customHeight="1">
      <c r="A273" s="35"/>
      <c r="B273" s="57"/>
      <c r="C273" s="35"/>
      <c r="D273" s="26"/>
      <c r="E273" s="51"/>
      <c r="F273" s="51"/>
      <c r="G273" s="51"/>
      <c r="H273" s="18"/>
      <c r="I273" s="18"/>
      <c r="J273" s="35"/>
      <c r="K273" s="35"/>
      <c r="L273" s="35"/>
      <c r="M273" s="35"/>
      <c r="N273" s="35"/>
      <c r="O273" s="35"/>
      <c r="P273" s="35"/>
      <c r="Q273" s="35"/>
      <c r="R273" s="35"/>
      <c r="S273" s="35"/>
      <c r="T273" s="35"/>
      <c r="U273" s="35"/>
      <c r="V273" s="35"/>
      <c r="W273" s="35"/>
      <c r="X273" s="35"/>
      <c r="Y273" s="35"/>
      <c r="Z273" s="35"/>
      <c r="AA273" s="35"/>
    </row>
    <row r="274" ht="15.75" customHeight="1">
      <c r="A274" s="35"/>
      <c r="B274" s="57"/>
      <c r="C274" s="35"/>
      <c r="D274" s="26"/>
      <c r="E274" s="51"/>
      <c r="F274" s="51"/>
      <c r="G274" s="51"/>
      <c r="H274" s="18"/>
      <c r="I274" s="18"/>
      <c r="J274" s="35"/>
      <c r="K274" s="35"/>
      <c r="L274" s="35"/>
      <c r="M274" s="35"/>
      <c r="N274" s="35"/>
      <c r="O274" s="35"/>
      <c r="P274" s="35"/>
      <c r="Q274" s="35"/>
      <c r="R274" s="35"/>
      <c r="S274" s="35"/>
      <c r="T274" s="35"/>
      <c r="U274" s="35"/>
      <c r="V274" s="35"/>
      <c r="W274" s="35"/>
      <c r="X274" s="35"/>
      <c r="Y274" s="35"/>
      <c r="Z274" s="35"/>
      <c r="AA274" s="35"/>
    </row>
    <row r="275" ht="15.75" customHeight="1">
      <c r="A275" s="35"/>
      <c r="B275" s="57"/>
      <c r="C275" s="35"/>
      <c r="D275" s="26"/>
      <c r="E275" s="51"/>
      <c r="F275" s="51"/>
      <c r="G275" s="51"/>
      <c r="H275" s="18"/>
      <c r="I275" s="18"/>
      <c r="J275" s="35"/>
      <c r="K275" s="35"/>
      <c r="L275" s="35"/>
      <c r="M275" s="35"/>
      <c r="N275" s="35"/>
      <c r="O275" s="35"/>
      <c r="P275" s="35"/>
      <c r="Q275" s="35"/>
      <c r="R275" s="35"/>
      <c r="S275" s="35"/>
      <c r="T275" s="35"/>
      <c r="U275" s="35"/>
      <c r="V275" s="35"/>
      <c r="W275" s="35"/>
      <c r="X275" s="35"/>
      <c r="Y275" s="35"/>
      <c r="Z275" s="35"/>
      <c r="AA275" s="35"/>
    </row>
    <row r="276" ht="15.75" customHeight="1">
      <c r="A276" s="35"/>
      <c r="B276" s="57"/>
      <c r="C276" s="35"/>
      <c r="D276" s="26"/>
      <c r="E276" s="51"/>
      <c r="F276" s="51"/>
      <c r="G276" s="51"/>
      <c r="H276" s="18"/>
      <c r="I276" s="18"/>
      <c r="J276" s="35"/>
      <c r="K276" s="35"/>
      <c r="L276" s="35"/>
      <c r="M276" s="35"/>
      <c r="N276" s="35"/>
      <c r="O276" s="35"/>
      <c r="P276" s="35"/>
      <c r="Q276" s="35"/>
      <c r="R276" s="35"/>
      <c r="S276" s="35"/>
      <c r="T276" s="35"/>
      <c r="U276" s="35"/>
      <c r="V276" s="35"/>
      <c r="W276" s="35"/>
      <c r="X276" s="35"/>
      <c r="Y276" s="35"/>
      <c r="Z276" s="35"/>
      <c r="AA276" s="35"/>
    </row>
    <row r="277" ht="15.75" customHeight="1">
      <c r="A277" s="35"/>
      <c r="B277" s="57"/>
      <c r="C277" s="35"/>
      <c r="D277" s="26"/>
      <c r="E277" s="51"/>
      <c r="F277" s="51"/>
      <c r="G277" s="51"/>
      <c r="H277" s="18"/>
      <c r="I277" s="18"/>
      <c r="J277" s="35"/>
      <c r="K277" s="35"/>
      <c r="L277" s="35"/>
      <c r="M277" s="35"/>
      <c r="N277" s="35"/>
      <c r="O277" s="35"/>
      <c r="P277" s="35"/>
      <c r="Q277" s="35"/>
      <c r="R277" s="35"/>
      <c r="S277" s="35"/>
      <c r="T277" s="35"/>
      <c r="U277" s="35"/>
      <c r="V277" s="35"/>
      <c r="W277" s="35"/>
      <c r="X277" s="35"/>
      <c r="Y277" s="35"/>
      <c r="Z277" s="35"/>
      <c r="AA277" s="35"/>
    </row>
    <row r="278" ht="15.75" customHeight="1">
      <c r="A278" s="35"/>
      <c r="B278" s="57"/>
      <c r="C278" s="35"/>
      <c r="D278" s="26"/>
      <c r="E278" s="51"/>
      <c r="F278" s="51"/>
      <c r="G278" s="51"/>
      <c r="H278" s="18"/>
      <c r="I278" s="18"/>
      <c r="J278" s="35"/>
      <c r="K278" s="35"/>
      <c r="L278" s="35"/>
      <c r="M278" s="35"/>
      <c r="N278" s="35"/>
      <c r="O278" s="35"/>
      <c r="P278" s="35"/>
      <c r="Q278" s="35"/>
      <c r="R278" s="35"/>
      <c r="S278" s="35"/>
      <c r="T278" s="35"/>
      <c r="U278" s="35"/>
      <c r="V278" s="35"/>
      <c r="W278" s="35"/>
      <c r="X278" s="35"/>
      <c r="Y278" s="35"/>
      <c r="Z278" s="35"/>
      <c r="AA278" s="35"/>
    </row>
    <row r="279" ht="15.75" customHeight="1">
      <c r="A279" s="35"/>
      <c r="B279" s="57"/>
      <c r="C279" s="35"/>
      <c r="D279" s="26"/>
      <c r="E279" s="51"/>
      <c r="F279" s="51"/>
      <c r="G279" s="51"/>
      <c r="H279" s="18"/>
      <c r="I279" s="18"/>
      <c r="J279" s="35"/>
      <c r="K279" s="35"/>
      <c r="L279" s="35"/>
      <c r="M279" s="35"/>
      <c r="N279" s="35"/>
      <c r="O279" s="35"/>
      <c r="P279" s="35"/>
      <c r="Q279" s="35"/>
      <c r="R279" s="35"/>
      <c r="S279" s="35"/>
      <c r="T279" s="35"/>
      <c r="U279" s="35"/>
      <c r="V279" s="35"/>
      <c r="W279" s="35"/>
      <c r="X279" s="35"/>
      <c r="Y279" s="35"/>
      <c r="Z279" s="35"/>
      <c r="AA279" s="35"/>
    </row>
    <row r="280" ht="15.75" customHeight="1">
      <c r="A280" s="35"/>
      <c r="B280" s="57"/>
      <c r="C280" s="35"/>
      <c r="D280" s="26"/>
      <c r="E280" s="51"/>
      <c r="F280" s="51"/>
      <c r="G280" s="51"/>
      <c r="H280" s="18"/>
      <c r="I280" s="18"/>
      <c r="J280" s="35"/>
      <c r="K280" s="35"/>
      <c r="L280" s="35"/>
      <c r="M280" s="35"/>
      <c r="N280" s="35"/>
      <c r="O280" s="35"/>
      <c r="P280" s="35"/>
      <c r="Q280" s="35"/>
      <c r="R280" s="35"/>
      <c r="S280" s="35"/>
      <c r="T280" s="35"/>
      <c r="U280" s="35"/>
      <c r="V280" s="35"/>
      <c r="W280" s="35"/>
      <c r="X280" s="35"/>
      <c r="Y280" s="35"/>
      <c r="Z280" s="35"/>
      <c r="AA280" s="35"/>
    </row>
    <row r="281" ht="15.75" customHeight="1">
      <c r="A281" s="35"/>
      <c r="B281" s="57"/>
      <c r="C281" s="35"/>
      <c r="D281" s="26"/>
      <c r="E281" s="51"/>
      <c r="F281" s="51"/>
      <c r="G281" s="51"/>
      <c r="H281" s="18"/>
      <c r="I281" s="18"/>
      <c r="J281" s="35"/>
      <c r="K281" s="35"/>
      <c r="L281" s="35"/>
      <c r="M281" s="35"/>
      <c r="N281" s="35"/>
      <c r="O281" s="35"/>
      <c r="P281" s="35"/>
      <c r="Q281" s="35"/>
      <c r="R281" s="35"/>
      <c r="S281" s="35"/>
      <c r="T281" s="35"/>
      <c r="U281" s="35"/>
      <c r="V281" s="35"/>
      <c r="W281" s="35"/>
      <c r="X281" s="35"/>
      <c r="Y281" s="35"/>
      <c r="Z281" s="35"/>
      <c r="AA281" s="35"/>
    </row>
    <row r="282" ht="15.75" customHeight="1">
      <c r="A282" s="35"/>
      <c r="B282" s="57"/>
      <c r="C282" s="35"/>
      <c r="D282" s="26"/>
      <c r="E282" s="51"/>
      <c r="F282" s="51"/>
      <c r="G282" s="51"/>
      <c r="H282" s="18"/>
      <c r="I282" s="18"/>
      <c r="J282" s="35"/>
      <c r="K282" s="35"/>
      <c r="L282" s="35"/>
      <c r="M282" s="35"/>
      <c r="N282" s="35"/>
      <c r="O282" s="35"/>
      <c r="P282" s="35"/>
      <c r="Q282" s="35"/>
      <c r="R282" s="35"/>
      <c r="S282" s="35"/>
      <c r="T282" s="35"/>
      <c r="U282" s="35"/>
      <c r="V282" s="35"/>
      <c r="W282" s="35"/>
      <c r="X282" s="35"/>
      <c r="Y282" s="35"/>
      <c r="Z282" s="35"/>
      <c r="AA282" s="35"/>
    </row>
    <row r="283" ht="15.75" customHeight="1">
      <c r="A283" s="35"/>
      <c r="B283" s="57"/>
      <c r="C283" s="35"/>
      <c r="D283" s="26"/>
      <c r="E283" s="51"/>
      <c r="F283" s="51"/>
      <c r="G283" s="51"/>
      <c r="H283" s="18"/>
      <c r="I283" s="18"/>
      <c r="J283" s="35"/>
      <c r="K283" s="35"/>
      <c r="L283" s="35"/>
      <c r="M283" s="35"/>
      <c r="N283" s="35"/>
      <c r="O283" s="35"/>
      <c r="P283" s="35"/>
      <c r="Q283" s="35"/>
      <c r="R283" s="35"/>
      <c r="S283" s="35"/>
      <c r="T283" s="35"/>
      <c r="U283" s="35"/>
      <c r="V283" s="35"/>
      <c r="W283" s="35"/>
      <c r="X283" s="35"/>
      <c r="Y283" s="35"/>
      <c r="Z283" s="35"/>
      <c r="AA283" s="35"/>
    </row>
    <row r="284" ht="15.75" customHeight="1">
      <c r="A284" s="35"/>
      <c r="B284" s="57"/>
      <c r="C284" s="35"/>
      <c r="D284" s="26"/>
      <c r="E284" s="51"/>
      <c r="F284" s="51"/>
      <c r="G284" s="51"/>
      <c r="H284" s="18"/>
      <c r="I284" s="18"/>
      <c r="J284" s="35"/>
      <c r="K284" s="35"/>
      <c r="L284" s="35"/>
      <c r="M284" s="35"/>
      <c r="N284" s="35"/>
      <c r="O284" s="35"/>
      <c r="P284" s="35"/>
      <c r="Q284" s="35"/>
      <c r="R284" s="35"/>
      <c r="S284" s="35"/>
      <c r="T284" s="35"/>
      <c r="U284" s="35"/>
      <c r="V284" s="35"/>
      <c r="W284" s="35"/>
      <c r="X284" s="35"/>
      <c r="Y284" s="35"/>
      <c r="Z284" s="35"/>
      <c r="AA284" s="35"/>
    </row>
    <row r="285" ht="15.75" customHeight="1">
      <c r="A285" s="35"/>
      <c r="B285" s="57"/>
      <c r="C285" s="35"/>
      <c r="D285" s="26"/>
      <c r="E285" s="51"/>
      <c r="F285" s="51"/>
      <c r="G285" s="51"/>
      <c r="H285" s="18"/>
      <c r="I285" s="18"/>
      <c r="J285" s="35"/>
      <c r="K285" s="35"/>
      <c r="L285" s="35"/>
      <c r="M285" s="35"/>
      <c r="N285" s="35"/>
      <c r="O285" s="35"/>
      <c r="P285" s="35"/>
      <c r="Q285" s="35"/>
      <c r="R285" s="35"/>
      <c r="S285" s="35"/>
      <c r="T285" s="35"/>
      <c r="U285" s="35"/>
      <c r="V285" s="35"/>
      <c r="W285" s="35"/>
      <c r="X285" s="35"/>
      <c r="Y285" s="35"/>
      <c r="Z285" s="35"/>
      <c r="AA285" s="35"/>
    </row>
    <row r="286" ht="15.75" customHeight="1">
      <c r="A286" s="35"/>
      <c r="B286" s="57"/>
      <c r="C286" s="35"/>
      <c r="D286" s="26"/>
      <c r="E286" s="51"/>
      <c r="F286" s="51"/>
      <c r="G286" s="51"/>
      <c r="H286" s="18"/>
      <c r="I286" s="18"/>
      <c r="J286" s="35"/>
      <c r="K286" s="35"/>
      <c r="L286" s="35"/>
      <c r="M286" s="35"/>
      <c r="N286" s="35"/>
      <c r="O286" s="35"/>
      <c r="P286" s="35"/>
      <c r="Q286" s="35"/>
      <c r="R286" s="35"/>
      <c r="S286" s="35"/>
      <c r="T286" s="35"/>
      <c r="U286" s="35"/>
      <c r="V286" s="35"/>
      <c r="W286" s="35"/>
      <c r="X286" s="35"/>
      <c r="Y286" s="35"/>
      <c r="Z286" s="35"/>
      <c r="AA286" s="35"/>
    </row>
    <row r="287" ht="15.75" customHeight="1">
      <c r="A287" s="35"/>
      <c r="B287" s="57"/>
      <c r="C287" s="35"/>
      <c r="D287" s="26"/>
      <c r="E287" s="51"/>
      <c r="F287" s="51"/>
      <c r="G287" s="51"/>
      <c r="H287" s="18"/>
      <c r="I287" s="18"/>
      <c r="J287" s="35"/>
      <c r="K287" s="35"/>
      <c r="L287" s="35"/>
      <c r="M287" s="35"/>
      <c r="N287" s="35"/>
      <c r="O287" s="35"/>
      <c r="P287" s="35"/>
      <c r="Q287" s="35"/>
      <c r="R287" s="35"/>
      <c r="S287" s="35"/>
      <c r="T287" s="35"/>
      <c r="U287" s="35"/>
      <c r="V287" s="35"/>
      <c r="W287" s="35"/>
      <c r="X287" s="35"/>
      <c r="Y287" s="35"/>
      <c r="Z287" s="35"/>
      <c r="AA287" s="35"/>
    </row>
    <row r="288" ht="15.75" customHeight="1">
      <c r="B288" s="120"/>
      <c r="D288" s="58"/>
      <c r="E288" s="58"/>
      <c r="F288" s="58"/>
      <c r="G288" s="58"/>
      <c r="H288" s="120"/>
      <c r="I288" s="120"/>
    </row>
    <row r="289" ht="15.75" customHeight="1">
      <c r="B289" s="120"/>
      <c r="D289" s="58"/>
      <c r="E289" s="58"/>
      <c r="F289" s="58"/>
      <c r="G289" s="58"/>
      <c r="H289" s="120"/>
      <c r="I289" s="120"/>
    </row>
    <row r="290" ht="15.75" customHeight="1">
      <c r="B290" s="120"/>
      <c r="D290" s="58"/>
      <c r="E290" s="58"/>
      <c r="F290" s="58"/>
      <c r="G290" s="58"/>
      <c r="H290" s="120"/>
      <c r="I290" s="120"/>
    </row>
    <row r="291" ht="15.75" customHeight="1">
      <c r="B291" s="120"/>
      <c r="D291" s="58"/>
      <c r="E291" s="58"/>
      <c r="F291" s="58"/>
      <c r="G291" s="58"/>
      <c r="H291" s="120"/>
      <c r="I291" s="120"/>
    </row>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B1:J1"/>
    <mergeCell ref="F87:G87"/>
  </mergeCells>
  <dataValidations>
    <dataValidation type="list" allowBlank="1" sqref="G2">
      <formula1>"0%,5%,10%,15%,20%,25%,30%"</formula1>
    </dataValidation>
    <dataValidation type="decimal" allowBlank="1" showDropDown="1" showInputMessage="1" showErrorMessage="1" prompt="Enter a number between 1 and 6" sqref="E7:E85">
      <formula1>1.0</formula1>
      <formula2>6.0</formula2>
    </dataValidation>
  </dataValidations>
  <hyperlinks>
    <hyperlink r:id="rId1" ref="H7"/>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3"/>
    <col customWidth="1" min="2" max="2" width="38.13"/>
    <col customWidth="1" min="3" max="3" width="38.5"/>
    <col customWidth="1" min="5" max="5" width="9.13"/>
    <col customWidth="1" min="6" max="6" width="7.75"/>
    <col customWidth="1" min="7" max="7" width="8.5"/>
    <col customWidth="1" min="8" max="8" width="9.25"/>
    <col customWidth="1" min="9" max="9" width="25.75"/>
    <col customWidth="1" min="10" max="10" width="25.25"/>
    <col customWidth="1" min="11" max="11" width="13.38"/>
  </cols>
  <sheetData>
    <row r="1">
      <c r="A1" s="53" t="s">
        <v>56</v>
      </c>
      <c r="L1" s="35"/>
      <c r="M1" s="35"/>
      <c r="N1" s="35"/>
      <c r="O1" s="35"/>
      <c r="P1" s="35"/>
      <c r="Q1" s="35"/>
      <c r="R1" s="35"/>
      <c r="S1" s="35"/>
      <c r="T1" s="35"/>
      <c r="U1" s="35"/>
      <c r="V1" s="35"/>
      <c r="W1" s="35"/>
      <c r="X1" s="35"/>
      <c r="Y1" s="35"/>
      <c r="Z1" s="35"/>
      <c r="AA1" s="35"/>
    </row>
    <row r="2">
      <c r="A2" s="55"/>
      <c r="B2" s="55" t="s">
        <v>57</v>
      </c>
      <c r="C2" s="57"/>
      <c r="E2" s="105" t="s">
        <v>146</v>
      </c>
      <c r="F2" s="106" t="s">
        <v>147</v>
      </c>
      <c r="H2" s="59">
        <v>0.0</v>
      </c>
      <c r="I2" s="60" t="s">
        <v>58</v>
      </c>
      <c r="L2" s="105" t="s">
        <v>146</v>
      </c>
      <c r="M2" s="106" t="s">
        <v>147</v>
      </c>
      <c r="N2" s="35"/>
      <c r="O2" s="35"/>
      <c r="P2" s="35"/>
      <c r="Q2" s="35"/>
      <c r="R2" s="35"/>
      <c r="S2" s="35"/>
      <c r="T2" s="35"/>
      <c r="U2" s="35"/>
      <c r="V2" s="35"/>
      <c r="W2" s="35"/>
      <c r="X2" s="35"/>
      <c r="Y2" s="35"/>
      <c r="Z2" s="35"/>
      <c r="AA2" s="35"/>
    </row>
    <row r="3">
      <c r="A3" s="55"/>
      <c r="B3" s="55" t="s">
        <v>59</v>
      </c>
      <c r="C3" s="61"/>
      <c r="E3" s="26">
        <f>ROUNDUP(C4/2,0)</f>
        <v>0</v>
      </c>
      <c r="F3" s="58">
        <f>ROUNDUP(C4/2,0)</f>
        <v>0</v>
      </c>
      <c r="H3" s="62">
        <f>ROUNDUP(G57*H2,0)</f>
        <v>0</v>
      </c>
      <c r="I3" s="60" t="s">
        <v>60</v>
      </c>
      <c r="L3" s="26">
        <f>ROUNDUP(M4/2,0)</f>
        <v>0</v>
      </c>
      <c r="M3" s="58">
        <f>ROUNDUP(M4/2,0)</f>
        <v>0</v>
      </c>
      <c r="N3" s="35"/>
      <c r="O3" s="35"/>
      <c r="P3" s="35"/>
      <c r="Q3" s="35"/>
      <c r="R3" s="35"/>
      <c r="S3" s="35"/>
      <c r="T3" s="35"/>
      <c r="U3" s="35"/>
      <c r="V3" s="35"/>
      <c r="W3" s="35"/>
      <c r="X3" s="35"/>
      <c r="Y3" s="35"/>
      <c r="Z3" s="35"/>
      <c r="AA3" s="35"/>
    </row>
    <row r="4">
      <c r="A4" s="55"/>
      <c r="B4" s="55" t="s">
        <v>61</v>
      </c>
      <c r="C4" s="57">
        <f>ROUND(SUM(G57,H3),0)</f>
        <v>0</v>
      </c>
      <c r="E4" s="26"/>
      <c r="F4" s="51"/>
      <c r="G4" s="51"/>
      <c r="H4" s="51"/>
      <c r="I4" s="51"/>
      <c r="J4" s="27"/>
      <c r="K4" s="35"/>
      <c r="L4" s="64" t="s">
        <v>62</v>
      </c>
      <c r="M4" s="57">
        <f>ROUNDUP(SUM(L56,H3),0)</f>
        <v>0</v>
      </c>
      <c r="N4" s="35"/>
      <c r="O4" s="35"/>
      <c r="P4" s="35"/>
      <c r="Q4" s="35"/>
      <c r="R4" s="35"/>
      <c r="S4" s="35"/>
      <c r="T4" s="35"/>
      <c r="U4" s="35"/>
      <c r="V4" s="35"/>
      <c r="W4" s="35"/>
      <c r="X4" s="35"/>
      <c r="Y4" s="35"/>
      <c r="Z4" s="35"/>
      <c r="AA4" s="35"/>
    </row>
    <row r="5">
      <c r="A5" s="55"/>
      <c r="B5" s="65" t="s">
        <v>63</v>
      </c>
      <c r="C5" s="66"/>
      <c r="D5" s="26"/>
      <c r="E5" s="35"/>
      <c r="F5" s="35"/>
      <c r="G5" s="35"/>
      <c r="H5" s="35"/>
      <c r="I5" s="35"/>
      <c r="J5" s="35"/>
      <c r="K5" s="35"/>
      <c r="L5" s="35"/>
      <c r="M5" s="35"/>
      <c r="N5" s="35"/>
      <c r="O5" s="35"/>
      <c r="P5" s="35"/>
      <c r="Q5" s="35"/>
      <c r="R5" s="35"/>
      <c r="S5" s="35"/>
      <c r="T5" s="35"/>
      <c r="U5" s="35"/>
      <c r="V5" s="35"/>
      <c r="W5" s="35"/>
      <c r="X5" s="35"/>
      <c r="Y5" s="35"/>
      <c r="Z5" s="35"/>
      <c r="AA5" s="35"/>
    </row>
    <row r="6">
      <c r="A6" s="68"/>
      <c r="B6" s="68" t="s">
        <v>64</v>
      </c>
      <c r="C6" s="68" t="s">
        <v>65</v>
      </c>
      <c r="D6" s="69" t="s">
        <v>66</v>
      </c>
      <c r="E6" s="21" t="s">
        <v>67</v>
      </c>
      <c r="F6" s="70" t="s">
        <v>68</v>
      </c>
      <c r="G6" s="71" t="s">
        <v>69</v>
      </c>
      <c r="H6" s="72" t="s">
        <v>70</v>
      </c>
      <c r="I6" s="69" t="s">
        <v>71</v>
      </c>
      <c r="J6" s="73" t="s">
        <v>72</v>
      </c>
      <c r="K6" s="73" t="s">
        <v>73</v>
      </c>
      <c r="L6" s="74" t="s">
        <v>74</v>
      </c>
      <c r="M6" s="70" t="s">
        <v>68</v>
      </c>
      <c r="N6" s="71" t="s">
        <v>69</v>
      </c>
      <c r="O6" s="72" t="s">
        <v>70</v>
      </c>
      <c r="P6" s="35"/>
      <c r="Q6" s="35"/>
      <c r="R6" s="35"/>
      <c r="S6" s="35"/>
      <c r="T6" s="35"/>
      <c r="U6" s="35"/>
      <c r="V6" s="35"/>
      <c r="W6" s="35"/>
      <c r="X6" s="35"/>
      <c r="Y6" s="35"/>
      <c r="Z6" s="35"/>
      <c r="AA6" s="35"/>
    </row>
    <row r="7">
      <c r="A7" s="75"/>
      <c r="B7" s="97" t="s">
        <v>148</v>
      </c>
      <c r="C7" s="142"/>
      <c r="D7" s="77">
        <v>0.0</v>
      </c>
      <c r="E7" s="78"/>
      <c r="F7" s="143">
        <v>6.0</v>
      </c>
      <c r="G7" s="144">
        <f t="array" ref="G7">ROUNDUP(IF(EQ(A7, ""),E7*INDEX(UncertaintyFactors!$C$2:$D$7, F7, 1), 0), 1)</f>
        <v>0</v>
      </c>
      <c r="H7" s="145">
        <f t="array" ref="H7">ROUNDUP(IF(EQ(A7, ""), E7*INDEX(UncertaintyFactors!$C$2:$D$7, F7, 2), 0), 1)</f>
        <v>0</v>
      </c>
      <c r="I7" s="51"/>
      <c r="J7" s="27"/>
      <c r="K7" s="82"/>
      <c r="L7" s="83">
        <f t="shared" ref="L7:L55" si="1">E7-(E7*D7)</f>
        <v>0</v>
      </c>
      <c r="M7" s="84">
        <f t="shared" ref="M7:M56" si="2">F7</f>
        <v>6</v>
      </c>
      <c r="N7" s="85">
        <f t="array" ref="N7">ROUNDUP(IF(EQ(A7, ""),L7*INDEX(UncertaintyFactors!$C$2:$D$7, M7, 1), 0), 1)</f>
        <v>0</v>
      </c>
      <c r="O7" s="86">
        <f t="array" ref="O7">ROUNDUP(IF(EQ(A7, ""), L7*INDEX(UncertaintyFactors!$C$2:$D$7, M7, 2), 0), 1)</f>
        <v>0</v>
      </c>
      <c r="P7" s="35"/>
      <c r="Q7" s="35"/>
      <c r="R7" s="35"/>
      <c r="S7" s="35"/>
      <c r="T7" s="35"/>
      <c r="U7" s="35"/>
      <c r="V7" s="35"/>
      <c r="W7" s="35"/>
      <c r="X7" s="35"/>
      <c r="Y7" s="35"/>
      <c r="Z7" s="35"/>
      <c r="AA7" s="35"/>
    </row>
    <row r="8">
      <c r="A8" s="75"/>
      <c r="B8" s="97" t="s">
        <v>149</v>
      </c>
      <c r="C8" s="142"/>
      <c r="D8" s="77">
        <v>0.0</v>
      </c>
      <c r="E8" s="78"/>
      <c r="F8" s="143">
        <v>6.0</v>
      </c>
      <c r="G8" s="144">
        <f t="array" ref="G8">ROUNDUP(IF(EQ(A8, ""),E8*INDEX(UncertaintyFactors!$C$2:$D$7, F8, 1), 0), 1)</f>
        <v>0</v>
      </c>
      <c r="H8" s="145">
        <f t="array" ref="H8">ROUNDUP(IF(EQ(A8, ""), E8*INDEX(UncertaintyFactors!$C$2:$D$7, F8, 2), 0), 1)</f>
        <v>0</v>
      </c>
      <c r="I8" s="51"/>
      <c r="J8" s="27"/>
      <c r="K8" s="35"/>
      <c r="L8" s="83">
        <f t="shared" si="1"/>
        <v>0</v>
      </c>
      <c r="M8" s="84">
        <f t="shared" si="2"/>
        <v>6</v>
      </c>
      <c r="N8" s="85">
        <f t="array" ref="N8">ROUNDUP(IF(EQ(A8, ""),L8*INDEX(UncertaintyFactors!$C$2:$D$7, M8, 1), 0), 1)</f>
        <v>0</v>
      </c>
      <c r="O8" s="86">
        <f t="array" ref="O8">ROUNDUP(IF(EQ(A8, ""), L8*INDEX(UncertaintyFactors!$C$2:$D$7, M8, 2), 0), 1)</f>
        <v>0</v>
      </c>
      <c r="P8" s="35"/>
      <c r="Q8" s="35"/>
      <c r="R8" s="35"/>
      <c r="S8" s="35"/>
      <c r="T8" s="35"/>
      <c r="U8" s="35"/>
      <c r="V8" s="35"/>
      <c r="W8" s="35"/>
      <c r="X8" s="35"/>
      <c r="Y8" s="35"/>
      <c r="Z8" s="35"/>
      <c r="AA8" s="35"/>
    </row>
    <row r="9">
      <c r="A9" s="75"/>
      <c r="B9" s="97" t="s">
        <v>150</v>
      </c>
      <c r="C9" s="142"/>
      <c r="D9" s="77">
        <v>0.0</v>
      </c>
      <c r="E9" s="78"/>
      <c r="F9" s="143">
        <v>6.0</v>
      </c>
      <c r="G9" s="144">
        <f t="array" ref="G9">ROUNDUP(IF(EQ(A9, ""),E9*INDEX(UncertaintyFactors!$C$2:$D$7, F9, 1), 0), 1)</f>
        <v>0</v>
      </c>
      <c r="H9" s="145">
        <f t="array" ref="H9">ROUNDUP(IF(EQ(A9, ""), E9*INDEX(UncertaintyFactors!$C$2:$D$7, F9, 2), 0), 1)</f>
        <v>0</v>
      </c>
      <c r="I9" s="51"/>
      <c r="J9" s="27"/>
      <c r="K9" s="35"/>
      <c r="L9" s="83">
        <f t="shared" si="1"/>
        <v>0</v>
      </c>
      <c r="M9" s="84">
        <f t="shared" si="2"/>
        <v>6</v>
      </c>
      <c r="N9" s="85">
        <f t="array" ref="N9">ROUNDUP(IF(EQ(A9, ""),L9*INDEX(UncertaintyFactors!$C$2:$D$7, M9, 1), 0), 1)</f>
        <v>0</v>
      </c>
      <c r="O9" s="86">
        <f t="array" ref="O9">ROUNDUP(IF(EQ(A9, ""), L9*INDEX(UncertaintyFactors!$C$2:$D$7, M9, 2), 0), 1)</f>
        <v>0</v>
      </c>
      <c r="P9" s="35"/>
      <c r="Q9" s="35"/>
      <c r="R9" s="35"/>
      <c r="S9" s="35"/>
      <c r="T9" s="35"/>
      <c r="U9" s="35"/>
      <c r="V9" s="35"/>
      <c r="W9" s="35"/>
      <c r="X9" s="35"/>
      <c r="Y9" s="35"/>
      <c r="Z9" s="35"/>
      <c r="AA9" s="35"/>
    </row>
    <row r="10">
      <c r="A10" s="75"/>
      <c r="B10" s="97" t="s">
        <v>151</v>
      </c>
      <c r="C10" s="142"/>
      <c r="D10" s="77">
        <v>0.0</v>
      </c>
      <c r="E10" s="78"/>
      <c r="F10" s="143">
        <v>6.0</v>
      </c>
      <c r="G10" s="144">
        <f t="array" ref="G10">ROUNDUP(IF(EQ(A10, ""),E10*INDEX(UncertaintyFactors!$C$2:$D$7, F10, 1), 0), 1)</f>
        <v>0</v>
      </c>
      <c r="H10" s="145">
        <f t="array" ref="H10">ROUNDUP(IF(EQ(A10, ""), E10*INDEX(UncertaintyFactors!$C$2:$D$7, F10, 2), 0), 1)</f>
        <v>0</v>
      </c>
      <c r="I10" s="51"/>
      <c r="J10" s="27"/>
      <c r="K10" s="35"/>
      <c r="L10" s="83">
        <f t="shared" si="1"/>
        <v>0</v>
      </c>
      <c r="M10" s="84">
        <f t="shared" si="2"/>
        <v>6</v>
      </c>
      <c r="N10" s="85">
        <f t="array" ref="N10">ROUNDUP(IF(EQ(A10, ""),L10*INDEX(UncertaintyFactors!$C$2:$D$7, M10, 1), 0), 1)</f>
        <v>0</v>
      </c>
      <c r="O10" s="86">
        <f t="array" ref="O10">ROUNDUP(IF(EQ(A10, ""), L10*INDEX(UncertaintyFactors!$C$2:$D$7, M10, 2), 0), 1)</f>
        <v>0</v>
      </c>
      <c r="P10" s="35"/>
      <c r="Q10" s="35"/>
      <c r="R10" s="35"/>
      <c r="S10" s="35"/>
      <c r="T10" s="35"/>
      <c r="U10" s="35"/>
      <c r="V10" s="35"/>
      <c r="W10" s="35"/>
      <c r="X10" s="35"/>
      <c r="Y10" s="35"/>
      <c r="Z10" s="35"/>
      <c r="AA10" s="35"/>
    </row>
    <row r="11">
      <c r="A11" s="75"/>
      <c r="B11" s="97" t="s">
        <v>152</v>
      </c>
      <c r="C11" s="142"/>
      <c r="D11" s="77">
        <v>0.0</v>
      </c>
      <c r="E11" s="78"/>
      <c r="F11" s="143">
        <v>6.0</v>
      </c>
      <c r="G11" s="144">
        <f t="array" ref="G11">ROUNDUP(IF(EQ(A11, ""),E11*INDEX(UncertaintyFactors!$C$2:$D$7, F11, 1), 0), 1)</f>
        <v>0</v>
      </c>
      <c r="H11" s="145">
        <f t="array" ref="H11">ROUNDUP(IF(EQ(A11, ""), E11*INDEX(UncertaintyFactors!$C$2:$D$7, F11, 2), 0), 1)</f>
        <v>0</v>
      </c>
      <c r="I11" s="51"/>
      <c r="J11" s="27"/>
      <c r="K11" s="35"/>
      <c r="L11" s="83">
        <f t="shared" si="1"/>
        <v>0</v>
      </c>
      <c r="M11" s="84">
        <f t="shared" si="2"/>
        <v>6</v>
      </c>
      <c r="N11" s="85">
        <f t="array" ref="N11">ROUNDUP(IF(EQ(A11, ""),L11*INDEX(UncertaintyFactors!$C$2:$D$7, M11, 1), 0), 1)</f>
        <v>0</v>
      </c>
      <c r="O11" s="86">
        <f t="array" ref="O11">ROUNDUP(IF(EQ(A11, ""), L11*INDEX(UncertaintyFactors!$C$2:$D$7, M11, 2), 0), 1)</f>
        <v>0</v>
      </c>
      <c r="P11" s="35"/>
      <c r="Q11" s="35"/>
      <c r="R11" s="35"/>
      <c r="S11" s="35"/>
      <c r="T11" s="35"/>
      <c r="U11" s="35"/>
      <c r="V11" s="35"/>
      <c r="W11" s="35"/>
      <c r="X11" s="35"/>
      <c r="Y11" s="35"/>
      <c r="Z11" s="35"/>
      <c r="AA11" s="35"/>
    </row>
    <row r="12">
      <c r="A12" s="75"/>
      <c r="B12" s="97" t="s">
        <v>153</v>
      </c>
      <c r="C12" s="142"/>
      <c r="D12" s="77">
        <v>0.05</v>
      </c>
      <c r="E12" s="78"/>
      <c r="F12" s="143">
        <v>6.0</v>
      </c>
      <c r="G12" s="144">
        <f t="array" ref="G12">ROUNDUP(IF(EQ(A12, ""),E12*INDEX(UncertaintyFactors!$C$2:$D$7, F12, 1), 0), 1)</f>
        <v>0</v>
      </c>
      <c r="H12" s="145">
        <f t="array" ref="H12">ROUNDUP(IF(EQ(A12, ""), E12*INDEX(UncertaintyFactors!$C$2:$D$7, F12, 2), 0), 1)</f>
        <v>0</v>
      </c>
      <c r="I12" s="51"/>
      <c r="J12" s="27"/>
      <c r="K12" s="35"/>
      <c r="L12" s="83">
        <f t="shared" si="1"/>
        <v>0</v>
      </c>
      <c r="M12" s="84">
        <f t="shared" si="2"/>
        <v>6</v>
      </c>
      <c r="N12" s="85">
        <f t="array" ref="N12">ROUNDUP(IF(EQ(A12, ""),L12*INDEX(UncertaintyFactors!$C$2:$D$7, M12, 1), 0), 1)</f>
        <v>0</v>
      </c>
      <c r="O12" s="86">
        <f t="array" ref="O12">ROUNDUP(IF(EQ(A12, ""), L12*INDEX(UncertaintyFactors!$C$2:$D$7, M12, 2), 0), 1)</f>
        <v>0</v>
      </c>
      <c r="P12" s="35"/>
      <c r="Q12" s="35"/>
      <c r="R12" s="35"/>
      <c r="S12" s="35"/>
      <c r="T12" s="35"/>
      <c r="U12" s="35"/>
      <c r="V12" s="35"/>
      <c r="W12" s="35"/>
      <c r="X12" s="35"/>
      <c r="Y12" s="35"/>
      <c r="Z12" s="35"/>
      <c r="AA12" s="35"/>
    </row>
    <row r="13">
      <c r="A13" s="75"/>
      <c r="B13" s="97" t="s">
        <v>154</v>
      </c>
      <c r="C13" s="142"/>
      <c r="D13" s="77">
        <v>0.0</v>
      </c>
      <c r="E13" s="78"/>
      <c r="F13" s="143">
        <v>6.0</v>
      </c>
      <c r="G13" s="144">
        <f t="array" ref="G13">ROUNDUP(IF(EQ(A13, ""),E13*INDEX(UncertaintyFactors!$C$2:$D$7, F13, 1), 0), 1)</f>
        <v>0</v>
      </c>
      <c r="H13" s="145">
        <f t="array" ref="H13">ROUNDUP(IF(EQ(A13, ""), E13*INDEX(UncertaintyFactors!$C$2:$D$7, F13, 2), 0), 1)</f>
        <v>0</v>
      </c>
      <c r="I13" s="51"/>
      <c r="J13" s="27"/>
      <c r="K13" s="35"/>
      <c r="L13" s="83">
        <f t="shared" si="1"/>
        <v>0</v>
      </c>
      <c r="M13" s="84">
        <f t="shared" si="2"/>
        <v>6</v>
      </c>
      <c r="N13" s="85">
        <f t="array" ref="N13">ROUNDUP(IF(EQ(A13, ""),L13*INDEX(UncertaintyFactors!$C$2:$D$7, M13, 1), 0), 1)</f>
        <v>0</v>
      </c>
      <c r="O13" s="86">
        <f t="array" ref="O13">ROUNDUP(IF(EQ(A13, ""), L13*INDEX(UncertaintyFactors!$C$2:$D$7, M13, 2), 0), 1)</f>
        <v>0</v>
      </c>
      <c r="P13" s="35"/>
      <c r="Q13" s="35"/>
      <c r="R13" s="35"/>
      <c r="S13" s="35"/>
      <c r="T13" s="35"/>
      <c r="U13" s="35"/>
      <c r="V13" s="35"/>
      <c r="W13" s="35"/>
      <c r="X13" s="35"/>
      <c r="Y13" s="35"/>
      <c r="Z13" s="35"/>
      <c r="AA13" s="35"/>
    </row>
    <row r="14">
      <c r="A14" s="75"/>
      <c r="B14" s="97" t="s">
        <v>155</v>
      </c>
      <c r="C14" s="142"/>
      <c r="D14" s="77">
        <v>0.1</v>
      </c>
      <c r="E14" s="78"/>
      <c r="F14" s="143">
        <v>6.0</v>
      </c>
      <c r="G14" s="144">
        <f t="array" ref="G14">ROUNDUP(IF(EQ(A14, ""),E14*INDEX(UncertaintyFactors!$C$2:$D$7, F14, 1), 0), 1)</f>
        <v>0</v>
      </c>
      <c r="H14" s="145">
        <f t="array" ref="H14">ROUNDUP(IF(EQ(A14, ""), E14*INDEX(UncertaintyFactors!$C$2:$D$7, F14, 2), 0), 1)</f>
        <v>0</v>
      </c>
      <c r="I14" s="51"/>
      <c r="J14" s="27"/>
      <c r="K14" s="35"/>
      <c r="L14" s="83">
        <f t="shared" si="1"/>
        <v>0</v>
      </c>
      <c r="M14" s="84">
        <f t="shared" si="2"/>
        <v>6</v>
      </c>
      <c r="N14" s="85">
        <f t="array" ref="N14">ROUNDUP(IF(EQ(A14, ""),L14*INDEX(UncertaintyFactors!$C$2:$D$7, M14, 1), 0), 1)</f>
        <v>0</v>
      </c>
      <c r="O14" s="86">
        <f t="array" ref="O14">ROUNDUP(IF(EQ(A14, ""), L14*INDEX(UncertaintyFactors!$C$2:$D$7, M14, 2), 0), 1)</f>
        <v>0</v>
      </c>
      <c r="P14" s="35"/>
      <c r="Q14" s="35"/>
      <c r="R14" s="35"/>
      <c r="S14" s="35"/>
      <c r="T14" s="35"/>
      <c r="U14" s="35"/>
      <c r="V14" s="35"/>
      <c r="W14" s="35"/>
      <c r="X14" s="35"/>
      <c r="Y14" s="35"/>
      <c r="Z14" s="35"/>
      <c r="AA14" s="35"/>
    </row>
    <row r="15">
      <c r="A15" s="146"/>
      <c r="B15" s="97" t="s">
        <v>156</v>
      </c>
      <c r="C15" s="142"/>
      <c r="D15" s="77">
        <v>0.0</v>
      </c>
      <c r="E15" s="78"/>
      <c r="F15" s="143">
        <v>6.0</v>
      </c>
      <c r="G15" s="144">
        <f t="array" ref="G15">ROUNDUP(IF(EQ(A15, ""),E15*INDEX(UncertaintyFactors!$C$2:$D$7, F15, 1), 0), 1)</f>
        <v>0</v>
      </c>
      <c r="H15" s="145">
        <f t="array" ref="H15">ROUNDUP(IF(EQ(A15, ""), E15*INDEX(UncertaintyFactors!$C$2:$D$7, F15, 2), 0), 1)</f>
        <v>0</v>
      </c>
      <c r="I15" s="51"/>
      <c r="J15" s="27"/>
      <c r="K15" s="35"/>
      <c r="L15" s="83">
        <f t="shared" si="1"/>
        <v>0</v>
      </c>
      <c r="M15" s="84">
        <f t="shared" si="2"/>
        <v>6</v>
      </c>
      <c r="N15" s="85">
        <f t="array" ref="N15">ROUNDUP(IF(EQ(A15, ""),L15*INDEX(UncertaintyFactors!$C$2:$D$7, M15, 1), 0), 1)</f>
        <v>0</v>
      </c>
      <c r="O15" s="86">
        <f t="array" ref="O15">ROUNDUP(IF(EQ(A15, ""), L15*INDEX(UncertaintyFactors!$C$2:$D$7, M15, 2), 0), 1)</f>
        <v>0</v>
      </c>
      <c r="P15" s="35"/>
      <c r="Q15" s="35"/>
      <c r="R15" s="35"/>
      <c r="S15" s="35"/>
      <c r="T15" s="35"/>
      <c r="U15" s="35"/>
      <c r="V15" s="35"/>
      <c r="W15" s="35"/>
      <c r="X15" s="35"/>
      <c r="Y15" s="35"/>
      <c r="Z15" s="35"/>
      <c r="AA15" s="35"/>
    </row>
    <row r="16">
      <c r="A16" s="75"/>
      <c r="B16" s="97" t="s">
        <v>157</v>
      </c>
      <c r="C16" s="142"/>
      <c r="D16" s="77">
        <v>0.0</v>
      </c>
      <c r="E16" s="78"/>
      <c r="F16" s="143">
        <v>6.0</v>
      </c>
      <c r="G16" s="144">
        <f t="array" ref="G16">ROUNDUP(IF(EQ(A16, ""),E16*INDEX(UncertaintyFactors!$C$2:$D$7, F16, 1), 0), 1)</f>
        <v>0</v>
      </c>
      <c r="H16" s="145">
        <f t="array" ref="H16">ROUNDUP(IF(EQ(A16, ""), E16*INDEX(UncertaintyFactors!$C$2:$D$7, F16, 2), 0), 1)</f>
        <v>0</v>
      </c>
      <c r="I16" s="51"/>
      <c r="J16" s="27"/>
      <c r="K16" s="35"/>
      <c r="L16" s="83">
        <f t="shared" si="1"/>
        <v>0</v>
      </c>
      <c r="M16" s="84">
        <f t="shared" si="2"/>
        <v>6</v>
      </c>
      <c r="N16" s="85">
        <f t="array" ref="N16">ROUNDUP(IF(EQ(A16, ""),L16*INDEX(UncertaintyFactors!$C$2:$D$7, M16, 1), 0), 1)</f>
        <v>0</v>
      </c>
      <c r="O16" s="86">
        <f t="array" ref="O16">ROUNDUP(IF(EQ(A16, ""), L16*INDEX(UncertaintyFactors!$C$2:$D$7, M16, 2), 0), 1)</f>
        <v>0</v>
      </c>
      <c r="P16" s="35"/>
      <c r="Q16" s="35"/>
      <c r="R16" s="35"/>
      <c r="S16" s="35"/>
      <c r="T16" s="35"/>
      <c r="U16" s="35"/>
      <c r="V16" s="35"/>
      <c r="W16" s="35"/>
      <c r="X16" s="35"/>
      <c r="Y16" s="35"/>
      <c r="Z16" s="35"/>
      <c r="AA16" s="35"/>
    </row>
    <row r="17">
      <c r="A17" s="75"/>
      <c r="B17" s="97" t="s">
        <v>158</v>
      </c>
      <c r="C17" s="35"/>
      <c r="D17" s="77">
        <v>0.05</v>
      </c>
      <c r="E17" s="78"/>
      <c r="F17" s="143">
        <v>6.0</v>
      </c>
      <c r="G17" s="144">
        <f t="array" ref="G17">ROUNDUP(IF(EQ(A17, ""),E17*INDEX(UncertaintyFactors!$C$2:$D$7, F17, 1), 0), 1)</f>
        <v>0</v>
      </c>
      <c r="H17" s="145">
        <f t="array" ref="H17">ROUNDUP(IF(EQ(A17, ""), E17*INDEX(UncertaintyFactors!$C$2:$D$7, F17, 2), 0), 1)</f>
        <v>0</v>
      </c>
      <c r="I17" s="51"/>
      <c r="J17" s="27"/>
      <c r="K17" s="35"/>
      <c r="L17" s="83">
        <f t="shared" si="1"/>
        <v>0</v>
      </c>
      <c r="M17" s="84">
        <f t="shared" si="2"/>
        <v>6</v>
      </c>
      <c r="N17" s="85">
        <f t="array" ref="N17">ROUNDUP(IF(EQ(A17, ""),L17*INDEX(UncertaintyFactors!$C$2:$D$7, M17, 1), 0), 1)</f>
        <v>0</v>
      </c>
      <c r="O17" s="86">
        <f t="array" ref="O17">ROUNDUP(IF(EQ(A17, ""), L17*INDEX(UncertaintyFactors!$C$2:$D$7, M17, 2), 0), 1)</f>
        <v>0</v>
      </c>
      <c r="P17" s="35"/>
      <c r="Q17" s="35"/>
      <c r="R17" s="35"/>
      <c r="S17" s="35"/>
      <c r="T17" s="35"/>
      <c r="U17" s="35"/>
      <c r="V17" s="35"/>
      <c r="W17" s="35"/>
      <c r="X17" s="35"/>
      <c r="Y17" s="35"/>
      <c r="Z17" s="35"/>
      <c r="AA17" s="35"/>
    </row>
    <row r="18">
      <c r="A18" s="75"/>
      <c r="B18" s="97" t="s">
        <v>159</v>
      </c>
      <c r="C18" s="35"/>
      <c r="D18" s="77">
        <v>0.0</v>
      </c>
      <c r="E18" s="78"/>
      <c r="F18" s="147">
        <v>6.0</v>
      </c>
      <c r="G18" s="144">
        <f t="array" ref="G18">ROUNDUP(IF(EQ(A18, ""),E18*INDEX(UncertaintyFactors!$C$2:$D$7, F18, 1), 0), 1)</f>
        <v>0</v>
      </c>
      <c r="H18" s="145">
        <f t="array" ref="H18">ROUNDUP(IF(EQ(A18, ""), E18*INDEX(UncertaintyFactors!$C$2:$D$7, F18, 2), 0), 1)</f>
        <v>0</v>
      </c>
      <c r="I18" s="51"/>
      <c r="J18" s="27"/>
      <c r="K18" s="35"/>
      <c r="L18" s="83">
        <f t="shared" si="1"/>
        <v>0</v>
      </c>
      <c r="M18" s="84">
        <f t="shared" si="2"/>
        <v>6</v>
      </c>
      <c r="N18" s="85">
        <f t="array" ref="N18">ROUNDUP(IF(EQ(A18, ""),L18*INDEX(UncertaintyFactors!$C$2:$D$7, M18, 1), 0), 1)</f>
        <v>0</v>
      </c>
      <c r="O18" s="86">
        <f t="array" ref="O18">ROUNDUP(IF(EQ(A18, ""), L18*INDEX(UncertaintyFactors!$C$2:$D$7, M18, 2), 0), 1)</f>
        <v>0</v>
      </c>
      <c r="P18" s="35"/>
      <c r="Q18" s="35"/>
      <c r="R18" s="35"/>
      <c r="S18" s="35"/>
      <c r="T18" s="35"/>
      <c r="U18" s="35"/>
      <c r="V18" s="35"/>
      <c r="W18" s="35"/>
      <c r="X18" s="35"/>
      <c r="Y18" s="35"/>
      <c r="Z18" s="35"/>
      <c r="AA18" s="35"/>
    </row>
    <row r="19">
      <c r="A19" s="75"/>
      <c r="B19" s="97" t="s">
        <v>160</v>
      </c>
      <c r="C19" s="35"/>
      <c r="D19" s="77">
        <v>0.0</v>
      </c>
      <c r="E19" s="78"/>
      <c r="F19" s="147">
        <v>6.0</v>
      </c>
      <c r="G19" s="144">
        <f t="array" ref="G19">ROUNDUP(IF(EQ(A19, ""),E19*INDEX(UncertaintyFactors!$C$2:$D$7, F19, 1), 0), 1)</f>
        <v>0</v>
      </c>
      <c r="H19" s="145">
        <f t="array" ref="H19">ROUNDUP(IF(EQ(A19, ""), E19*INDEX(UncertaintyFactors!$C$2:$D$7, F19, 2), 0), 1)</f>
        <v>0</v>
      </c>
      <c r="I19" s="51"/>
      <c r="J19" s="27"/>
      <c r="K19" s="35"/>
      <c r="L19" s="83">
        <f t="shared" si="1"/>
        <v>0</v>
      </c>
      <c r="M19" s="84">
        <f t="shared" si="2"/>
        <v>6</v>
      </c>
      <c r="N19" s="85">
        <f t="array" ref="N19">ROUNDUP(IF(EQ(A19, ""),L19*INDEX(UncertaintyFactors!$C$2:$D$7, M19, 1), 0), 1)</f>
        <v>0</v>
      </c>
      <c r="O19" s="86">
        <f t="array" ref="O19">ROUNDUP(IF(EQ(A19, ""), L19*INDEX(UncertaintyFactors!$C$2:$D$7, M19, 2), 0), 1)</f>
        <v>0</v>
      </c>
      <c r="P19" s="35"/>
      <c r="Q19" s="35"/>
      <c r="R19" s="35"/>
      <c r="S19" s="35"/>
      <c r="T19" s="35"/>
      <c r="U19" s="35"/>
      <c r="V19" s="35"/>
      <c r="W19" s="35"/>
      <c r="X19" s="35"/>
      <c r="Y19" s="35"/>
      <c r="Z19" s="35"/>
      <c r="AA19" s="35"/>
    </row>
    <row r="20">
      <c r="A20" s="75"/>
      <c r="B20" s="97" t="s">
        <v>161</v>
      </c>
      <c r="C20" s="35"/>
      <c r="D20" s="77">
        <v>0.0</v>
      </c>
      <c r="E20" s="78"/>
      <c r="F20" s="147">
        <v>6.0</v>
      </c>
      <c r="G20" s="144">
        <f t="array" ref="G20">ROUNDUP(IF(EQ(A20, ""),E20*INDEX(UncertaintyFactors!$C$2:$D$7, F20, 1), 0), 1)</f>
        <v>0</v>
      </c>
      <c r="H20" s="145">
        <f t="array" ref="H20">ROUNDUP(IF(EQ(A20, ""), E20*INDEX(UncertaintyFactors!$C$2:$D$7, F20, 2), 0), 1)</f>
        <v>0</v>
      </c>
      <c r="I20" s="51"/>
      <c r="J20" s="27"/>
      <c r="K20" s="35"/>
      <c r="L20" s="83">
        <f t="shared" si="1"/>
        <v>0</v>
      </c>
      <c r="M20" s="84">
        <f t="shared" si="2"/>
        <v>6</v>
      </c>
      <c r="N20" s="85">
        <f t="array" ref="N20">ROUNDUP(IF(EQ(A20, ""),L20*INDEX(UncertaintyFactors!$C$2:$D$7, M20, 1), 0), 1)</f>
        <v>0</v>
      </c>
      <c r="O20" s="86">
        <f t="array" ref="O20">ROUNDUP(IF(EQ(A20, ""), L20*INDEX(UncertaintyFactors!$C$2:$D$7, M20, 2), 0), 1)</f>
        <v>0</v>
      </c>
      <c r="P20" s="35"/>
      <c r="Q20" s="35"/>
      <c r="R20" s="35"/>
      <c r="S20" s="35"/>
      <c r="T20" s="35"/>
      <c r="U20" s="35"/>
      <c r="V20" s="35"/>
      <c r="W20" s="35"/>
      <c r="X20" s="35"/>
      <c r="Y20" s="35"/>
      <c r="Z20" s="35"/>
      <c r="AA20" s="35"/>
    </row>
    <row r="21">
      <c r="A21" s="75"/>
      <c r="B21" s="97" t="s">
        <v>162</v>
      </c>
      <c r="C21" s="35"/>
      <c r="D21" s="77">
        <v>0.0</v>
      </c>
      <c r="E21" s="78"/>
      <c r="F21" s="147">
        <v>6.0</v>
      </c>
      <c r="G21" s="144">
        <f t="array" ref="G21">ROUNDUP(IF(EQ(A21, ""),E21*INDEX(UncertaintyFactors!$C$2:$D$7, F21, 1), 0), 1)</f>
        <v>0</v>
      </c>
      <c r="H21" s="145">
        <f t="array" ref="H21">ROUNDUP(IF(EQ(A21, ""), E21*INDEX(UncertaintyFactors!$C$2:$D$7, F21, 2), 0), 1)</f>
        <v>0</v>
      </c>
      <c r="I21" s="51"/>
      <c r="J21" s="27"/>
      <c r="K21" s="35"/>
      <c r="L21" s="83">
        <f t="shared" si="1"/>
        <v>0</v>
      </c>
      <c r="M21" s="84">
        <f t="shared" si="2"/>
        <v>6</v>
      </c>
      <c r="N21" s="85">
        <f t="array" ref="N21">ROUNDUP(IF(EQ(A21, ""),L21*INDEX(UncertaintyFactors!$C$2:$D$7, M21, 1), 0), 1)</f>
        <v>0</v>
      </c>
      <c r="O21" s="86">
        <f t="array" ref="O21">ROUNDUP(IF(EQ(A21, ""), L21*INDEX(UncertaintyFactors!$C$2:$D$7, M21, 2), 0), 1)</f>
        <v>0</v>
      </c>
      <c r="P21" s="35"/>
      <c r="Q21" s="35"/>
      <c r="R21" s="35"/>
      <c r="S21" s="35"/>
      <c r="T21" s="35"/>
      <c r="U21" s="35"/>
      <c r="V21" s="35"/>
      <c r="W21" s="35"/>
      <c r="X21" s="35"/>
      <c r="Y21" s="35"/>
      <c r="Z21" s="35"/>
      <c r="AA21" s="35"/>
    </row>
    <row r="22">
      <c r="A22" s="75"/>
      <c r="B22" s="97" t="s">
        <v>163</v>
      </c>
      <c r="C22" s="35"/>
      <c r="D22" s="77">
        <v>0.0</v>
      </c>
      <c r="E22" s="78"/>
      <c r="F22" s="147">
        <v>6.0</v>
      </c>
      <c r="G22" s="144">
        <f t="array" ref="G22">ROUNDUP(IF(EQ(A22, ""),E22*INDEX(UncertaintyFactors!$C$2:$D$7, F22, 1), 0), 1)</f>
        <v>0</v>
      </c>
      <c r="H22" s="145">
        <f t="array" ref="H22">ROUNDUP(IF(EQ(A22, ""), E22*INDEX(UncertaintyFactors!$C$2:$D$7, F22, 2), 0), 1)</f>
        <v>0</v>
      </c>
      <c r="I22" s="51"/>
      <c r="J22" s="27"/>
      <c r="K22" s="35"/>
      <c r="L22" s="83">
        <f t="shared" si="1"/>
        <v>0</v>
      </c>
      <c r="M22" s="84">
        <f t="shared" si="2"/>
        <v>6</v>
      </c>
      <c r="N22" s="85">
        <f t="array" ref="N22">ROUNDUP(IF(EQ(A22, ""),L22*INDEX(UncertaintyFactors!$C$2:$D$7, M22, 1), 0), 1)</f>
        <v>0</v>
      </c>
      <c r="O22" s="86">
        <f t="array" ref="O22">ROUNDUP(IF(EQ(A22, ""), L22*INDEX(UncertaintyFactors!$C$2:$D$7, M22, 2), 0), 1)</f>
        <v>0</v>
      </c>
      <c r="P22" s="35"/>
      <c r="Q22" s="35"/>
      <c r="R22" s="35"/>
      <c r="S22" s="35"/>
      <c r="T22" s="35"/>
      <c r="U22" s="35"/>
      <c r="V22" s="35"/>
      <c r="W22" s="35"/>
      <c r="X22" s="35"/>
      <c r="Y22" s="35"/>
      <c r="Z22" s="35"/>
      <c r="AA22" s="35"/>
    </row>
    <row r="23">
      <c r="A23" s="75"/>
      <c r="B23" s="97" t="s">
        <v>164</v>
      </c>
      <c r="C23" s="35"/>
      <c r="D23" s="77">
        <v>0.0</v>
      </c>
      <c r="E23" s="78"/>
      <c r="F23" s="147">
        <v>6.0</v>
      </c>
      <c r="G23" s="144">
        <f t="array" ref="G23">ROUNDUP(IF(EQ(A23, ""),E23*INDEX(UncertaintyFactors!$C$2:$D$7, F23, 1), 0), 1)</f>
        <v>0</v>
      </c>
      <c r="H23" s="145">
        <f t="array" ref="H23">ROUNDUP(IF(EQ(A23, ""), E23*INDEX(UncertaintyFactors!$C$2:$D$7, F23, 2), 0), 1)</f>
        <v>0</v>
      </c>
      <c r="I23" s="51"/>
      <c r="J23" s="27"/>
      <c r="K23" s="35"/>
      <c r="L23" s="83">
        <f t="shared" si="1"/>
        <v>0</v>
      </c>
      <c r="M23" s="84">
        <f t="shared" si="2"/>
        <v>6</v>
      </c>
      <c r="N23" s="85">
        <f t="array" ref="N23">ROUNDUP(IF(EQ(A23, ""),L23*INDEX(UncertaintyFactors!$C$2:$D$7, M23, 1), 0), 1)</f>
        <v>0</v>
      </c>
      <c r="O23" s="86">
        <f t="array" ref="O23">ROUNDUP(IF(EQ(A23, ""), L23*INDEX(UncertaintyFactors!$C$2:$D$7, M23, 2), 0), 1)</f>
        <v>0</v>
      </c>
      <c r="P23" s="35"/>
      <c r="Q23" s="35"/>
      <c r="R23" s="35"/>
      <c r="S23" s="35"/>
      <c r="T23" s="35"/>
      <c r="U23" s="35"/>
      <c r="V23" s="35"/>
      <c r="W23" s="35"/>
      <c r="X23" s="35"/>
      <c r="Y23" s="35"/>
      <c r="Z23" s="35"/>
      <c r="AA23" s="35"/>
    </row>
    <row r="24">
      <c r="A24" s="75"/>
      <c r="B24" s="97" t="s">
        <v>165</v>
      </c>
      <c r="C24" s="35"/>
      <c r="D24" s="77">
        <v>0.0</v>
      </c>
      <c r="E24" s="78"/>
      <c r="F24" s="147">
        <v>6.0</v>
      </c>
      <c r="G24" s="144">
        <f t="array" ref="G24">ROUNDUP(IF(EQ(A24, ""),E24*INDEX(UncertaintyFactors!$C$2:$D$7, F24, 1), 0), 1)</f>
        <v>0</v>
      </c>
      <c r="H24" s="145">
        <f t="array" ref="H24">ROUNDUP(IF(EQ(A24, ""), E24*INDEX(UncertaintyFactors!$C$2:$D$7, F24, 2), 0), 1)</f>
        <v>0</v>
      </c>
      <c r="I24" s="51"/>
      <c r="J24" s="27"/>
      <c r="K24" s="35"/>
      <c r="L24" s="83">
        <f t="shared" si="1"/>
        <v>0</v>
      </c>
      <c r="M24" s="84">
        <f t="shared" si="2"/>
        <v>6</v>
      </c>
      <c r="N24" s="85">
        <f t="array" ref="N24">ROUNDUP(IF(EQ(A24, ""),L24*INDEX(UncertaintyFactors!$C$2:$D$7, M24, 1), 0), 1)</f>
        <v>0</v>
      </c>
      <c r="O24" s="86">
        <f t="array" ref="O24">ROUNDUP(IF(EQ(A24, ""), L24*INDEX(UncertaintyFactors!$C$2:$D$7, M24, 2), 0), 1)</f>
        <v>0</v>
      </c>
      <c r="P24" s="35"/>
      <c r="Q24" s="35"/>
      <c r="R24" s="35"/>
      <c r="S24" s="35"/>
      <c r="T24" s="35"/>
      <c r="U24" s="35"/>
      <c r="V24" s="35"/>
      <c r="W24" s="35"/>
      <c r="X24" s="35"/>
      <c r="Y24" s="35"/>
      <c r="Z24" s="35"/>
      <c r="AA24" s="35"/>
    </row>
    <row r="25">
      <c r="A25" s="75"/>
      <c r="B25" s="97" t="s">
        <v>166</v>
      </c>
      <c r="C25" s="35"/>
      <c r="D25" s="77">
        <v>0.0</v>
      </c>
      <c r="E25" s="78"/>
      <c r="F25" s="147">
        <v>6.0</v>
      </c>
      <c r="G25" s="144">
        <f t="array" ref="G25">ROUNDUP(IF(EQ(A25, ""),E25*INDEX(UncertaintyFactors!$C$2:$D$7, F25, 1), 0), 1)</f>
        <v>0</v>
      </c>
      <c r="H25" s="145">
        <f t="array" ref="H25">ROUNDUP(IF(EQ(A25, ""), E25*INDEX(UncertaintyFactors!$C$2:$D$7, F25, 2), 0), 1)</f>
        <v>0</v>
      </c>
      <c r="I25" s="51"/>
      <c r="J25" s="27"/>
      <c r="K25" s="35"/>
      <c r="L25" s="83">
        <f t="shared" si="1"/>
        <v>0</v>
      </c>
      <c r="M25" s="84">
        <f t="shared" si="2"/>
        <v>6</v>
      </c>
      <c r="N25" s="85">
        <f t="array" ref="N25">ROUNDUP(IF(EQ(A25, ""),L25*INDEX(UncertaintyFactors!$C$2:$D$7, M25, 1), 0), 1)</f>
        <v>0</v>
      </c>
      <c r="O25" s="86">
        <f t="array" ref="O25">ROUNDUP(IF(EQ(A25, ""), L25*INDEX(UncertaintyFactors!$C$2:$D$7, M25, 2), 0), 1)</f>
        <v>0</v>
      </c>
      <c r="P25" s="35"/>
      <c r="Q25" s="35"/>
      <c r="R25" s="35"/>
      <c r="S25" s="35"/>
      <c r="T25" s="35"/>
      <c r="U25" s="35"/>
      <c r="V25" s="35"/>
      <c r="W25" s="35"/>
      <c r="X25" s="35"/>
      <c r="Y25" s="35"/>
      <c r="Z25" s="35"/>
      <c r="AA25" s="35"/>
    </row>
    <row r="26">
      <c r="A26" s="75"/>
      <c r="B26" s="97" t="s">
        <v>167</v>
      </c>
      <c r="C26" s="35"/>
      <c r="D26" s="77">
        <v>0.0</v>
      </c>
      <c r="E26" s="78"/>
      <c r="F26" s="147">
        <v>6.0</v>
      </c>
      <c r="G26" s="144">
        <f t="array" ref="G26">ROUNDUP(IF(EQ(A26, ""),E26*INDEX(UncertaintyFactors!$C$2:$D$7, F26, 1), 0), 1)</f>
        <v>0</v>
      </c>
      <c r="H26" s="145">
        <f t="array" ref="H26">ROUNDUP(IF(EQ(A26, ""), E26*INDEX(UncertaintyFactors!$C$2:$D$7, F26, 2), 0), 1)</f>
        <v>0</v>
      </c>
      <c r="I26" s="51"/>
      <c r="J26" s="27"/>
      <c r="K26" s="35"/>
      <c r="L26" s="83">
        <f t="shared" si="1"/>
        <v>0</v>
      </c>
      <c r="M26" s="84">
        <f t="shared" si="2"/>
        <v>6</v>
      </c>
      <c r="N26" s="85">
        <f t="array" ref="N26">ROUNDUP(IF(EQ(A26, ""),L26*INDEX(UncertaintyFactors!$C$2:$D$7, M26, 1), 0), 1)</f>
        <v>0</v>
      </c>
      <c r="O26" s="86">
        <f t="array" ref="O26">ROUNDUP(IF(EQ(A26, ""), L26*INDEX(UncertaintyFactors!$C$2:$D$7, M26, 2), 0), 1)</f>
        <v>0</v>
      </c>
      <c r="P26" s="35"/>
      <c r="Q26" s="35"/>
      <c r="R26" s="35"/>
      <c r="S26" s="35"/>
      <c r="T26" s="35"/>
      <c r="U26" s="35"/>
      <c r="V26" s="35"/>
      <c r="W26" s="35"/>
      <c r="X26" s="35"/>
      <c r="Y26" s="35"/>
      <c r="Z26" s="35"/>
      <c r="AA26" s="35"/>
    </row>
    <row r="27">
      <c r="A27" s="75"/>
      <c r="B27" s="97" t="s">
        <v>168</v>
      </c>
      <c r="C27" s="35"/>
      <c r="D27" s="77">
        <v>0.0</v>
      </c>
      <c r="E27" s="78"/>
      <c r="F27" s="147">
        <v>6.0</v>
      </c>
      <c r="G27" s="144">
        <f t="array" ref="G27">ROUNDUP(IF(EQ(A27, ""),E27*INDEX(UncertaintyFactors!$C$2:$D$7, F27, 1), 0), 1)</f>
        <v>0</v>
      </c>
      <c r="H27" s="145">
        <f t="array" ref="H27">ROUNDUP(IF(EQ(A27, ""), E27*INDEX(UncertaintyFactors!$C$2:$D$7, F27, 2), 0), 1)</f>
        <v>0</v>
      </c>
      <c r="I27" s="51"/>
      <c r="J27" s="27"/>
      <c r="K27" s="35"/>
      <c r="L27" s="83">
        <f t="shared" si="1"/>
        <v>0</v>
      </c>
      <c r="M27" s="84">
        <f t="shared" si="2"/>
        <v>6</v>
      </c>
      <c r="N27" s="85">
        <f t="array" ref="N27">ROUNDUP(IF(EQ(A27, ""),L27*INDEX(UncertaintyFactors!$C$2:$D$7, M27, 1), 0), 1)</f>
        <v>0</v>
      </c>
      <c r="O27" s="86">
        <f t="array" ref="O27">ROUNDUP(IF(EQ(A27, ""), L27*INDEX(UncertaintyFactors!$C$2:$D$7, M27, 2), 0), 1)</f>
        <v>0</v>
      </c>
      <c r="P27" s="35"/>
      <c r="Q27" s="35"/>
      <c r="R27" s="35"/>
      <c r="S27" s="35"/>
      <c r="T27" s="35"/>
      <c r="U27" s="35"/>
      <c r="V27" s="35"/>
      <c r="W27" s="35"/>
      <c r="X27" s="35"/>
      <c r="Y27" s="35"/>
      <c r="Z27" s="35"/>
      <c r="AA27" s="35"/>
    </row>
    <row r="28">
      <c r="A28" s="75"/>
      <c r="B28" s="97" t="s">
        <v>169</v>
      </c>
      <c r="C28" s="35"/>
      <c r="D28" s="77">
        <v>0.0</v>
      </c>
      <c r="E28" s="78"/>
      <c r="F28" s="147">
        <v>6.0</v>
      </c>
      <c r="G28" s="144">
        <f t="array" ref="G28">ROUNDUP(IF(EQ(A28, ""),E28*INDEX(UncertaintyFactors!$C$2:$D$7, F28, 1), 0), 1)</f>
        <v>0</v>
      </c>
      <c r="H28" s="145">
        <f t="array" ref="H28">ROUNDUP(IF(EQ(A28, ""), E28*INDEX(UncertaintyFactors!$C$2:$D$7, F28, 2), 0), 1)</f>
        <v>0</v>
      </c>
      <c r="I28" s="51"/>
      <c r="J28" s="27"/>
      <c r="K28" s="35"/>
      <c r="L28" s="83">
        <f t="shared" si="1"/>
        <v>0</v>
      </c>
      <c r="M28" s="84">
        <f t="shared" si="2"/>
        <v>6</v>
      </c>
      <c r="N28" s="85">
        <f t="array" ref="N28">ROUNDUP(IF(EQ(A28, ""),L28*INDEX(UncertaintyFactors!$C$2:$D$7, M28, 1), 0), 1)</f>
        <v>0</v>
      </c>
      <c r="O28" s="86">
        <f t="array" ref="O28">ROUNDUP(IF(EQ(A28, ""), L28*INDEX(UncertaintyFactors!$C$2:$D$7, M28, 2), 0), 1)</f>
        <v>0</v>
      </c>
      <c r="P28" s="35"/>
      <c r="Q28" s="35"/>
      <c r="R28" s="35"/>
      <c r="S28" s="35"/>
      <c r="T28" s="35"/>
      <c r="U28" s="35"/>
      <c r="V28" s="35"/>
      <c r="W28" s="35"/>
      <c r="X28" s="35"/>
      <c r="Y28" s="35"/>
      <c r="Z28" s="35"/>
      <c r="AA28" s="35"/>
    </row>
    <row r="29">
      <c r="A29" s="75"/>
      <c r="B29" s="97" t="s">
        <v>170</v>
      </c>
      <c r="C29" s="35"/>
      <c r="D29" s="77">
        <v>0.0</v>
      </c>
      <c r="E29" s="78"/>
      <c r="F29" s="147">
        <v>6.0</v>
      </c>
      <c r="G29" s="144">
        <f t="array" ref="G29">ROUNDUP(IF(EQ(A29, ""),E29*INDEX(UncertaintyFactors!$C$2:$D$7, F29, 1), 0), 1)</f>
        <v>0</v>
      </c>
      <c r="H29" s="145">
        <f t="array" ref="H29">ROUNDUP(IF(EQ(A29, ""), E29*INDEX(UncertaintyFactors!$C$2:$D$7, F29, 2), 0), 1)</f>
        <v>0</v>
      </c>
      <c r="I29" s="51"/>
      <c r="J29" s="27"/>
      <c r="K29" s="35"/>
      <c r="L29" s="83">
        <f t="shared" si="1"/>
        <v>0</v>
      </c>
      <c r="M29" s="84">
        <f t="shared" si="2"/>
        <v>6</v>
      </c>
      <c r="N29" s="85">
        <f t="array" ref="N29">ROUNDUP(IF(EQ(A29, ""),L29*INDEX(UncertaintyFactors!$C$2:$D$7, M29, 1), 0), 1)</f>
        <v>0</v>
      </c>
      <c r="O29" s="86">
        <f t="array" ref="O29">ROUNDUP(IF(EQ(A29, ""), L29*INDEX(UncertaintyFactors!$C$2:$D$7, M29, 2), 0), 1)</f>
        <v>0</v>
      </c>
      <c r="P29" s="35"/>
      <c r="Q29" s="35"/>
      <c r="R29" s="35"/>
      <c r="S29" s="35"/>
      <c r="T29" s="35"/>
      <c r="U29" s="35"/>
      <c r="V29" s="35"/>
      <c r="W29" s="35"/>
      <c r="X29" s="35"/>
      <c r="Y29" s="35"/>
      <c r="Z29" s="35"/>
      <c r="AA29" s="35"/>
    </row>
    <row r="30">
      <c r="A30" s="75"/>
      <c r="B30" s="97" t="s">
        <v>171</v>
      </c>
      <c r="C30" s="35"/>
      <c r="D30" s="77">
        <v>0.0</v>
      </c>
      <c r="E30" s="78"/>
      <c r="F30" s="147">
        <v>6.0</v>
      </c>
      <c r="G30" s="144">
        <f t="array" ref="G30">ROUNDUP(IF(EQ(A30, ""),E30*INDEX(UncertaintyFactors!$C$2:$D$7, F30, 1), 0), 1)</f>
        <v>0</v>
      </c>
      <c r="H30" s="145">
        <f t="array" ref="H30">ROUNDUP(IF(EQ(A30, ""), E30*INDEX(UncertaintyFactors!$C$2:$D$7, F30, 2), 0), 1)</f>
        <v>0</v>
      </c>
      <c r="I30" s="51"/>
      <c r="J30" s="27"/>
      <c r="K30" s="35"/>
      <c r="L30" s="83">
        <f t="shared" si="1"/>
        <v>0</v>
      </c>
      <c r="M30" s="84">
        <f t="shared" si="2"/>
        <v>6</v>
      </c>
      <c r="N30" s="85">
        <f t="array" ref="N30">ROUNDUP(IF(EQ(A30, ""),L30*INDEX(UncertaintyFactors!$C$2:$D$7, M30, 1), 0), 1)</f>
        <v>0</v>
      </c>
      <c r="O30" s="86">
        <f t="array" ref="O30">ROUNDUP(IF(EQ(A30, ""), L30*INDEX(UncertaintyFactors!$C$2:$D$7, M30, 2), 0), 1)</f>
        <v>0</v>
      </c>
      <c r="P30" s="35"/>
      <c r="Q30" s="35"/>
      <c r="R30" s="35"/>
      <c r="S30" s="35"/>
      <c r="T30" s="35"/>
      <c r="U30" s="35"/>
      <c r="V30" s="35"/>
      <c r="W30" s="35"/>
      <c r="X30" s="35"/>
      <c r="Y30" s="35"/>
      <c r="Z30" s="35"/>
      <c r="AA30" s="35"/>
    </row>
    <row r="31">
      <c r="A31" s="75"/>
      <c r="B31" s="97" t="s">
        <v>172</v>
      </c>
      <c r="C31" s="35"/>
      <c r="D31" s="77">
        <v>0.0</v>
      </c>
      <c r="E31" s="78"/>
      <c r="F31" s="147">
        <v>6.0</v>
      </c>
      <c r="G31" s="144">
        <f t="array" ref="G31">ROUNDUP(IF(EQ(A31, ""),E31*INDEX(UncertaintyFactors!$C$2:$D$7, F31, 1), 0), 1)</f>
        <v>0</v>
      </c>
      <c r="H31" s="145">
        <f t="array" ref="H31">ROUNDUP(IF(EQ(A31, ""), E31*INDEX(UncertaintyFactors!$C$2:$D$7, F31, 2), 0), 1)</f>
        <v>0</v>
      </c>
      <c r="I31" s="51"/>
      <c r="J31" s="27"/>
      <c r="K31" s="35"/>
      <c r="L31" s="83">
        <f t="shared" si="1"/>
        <v>0</v>
      </c>
      <c r="M31" s="84">
        <f t="shared" si="2"/>
        <v>6</v>
      </c>
      <c r="N31" s="85">
        <f t="array" ref="N31">ROUNDUP(IF(EQ(A31, ""),L31*INDEX(UncertaintyFactors!$C$2:$D$7, M31, 1), 0), 1)</f>
        <v>0</v>
      </c>
      <c r="O31" s="86">
        <f t="array" ref="O31">ROUNDUP(IF(EQ(A31, ""), L31*INDEX(UncertaintyFactors!$C$2:$D$7, M31, 2), 0), 1)</f>
        <v>0</v>
      </c>
      <c r="P31" s="35"/>
      <c r="Q31" s="35"/>
      <c r="R31" s="35"/>
      <c r="S31" s="35"/>
      <c r="T31" s="35"/>
      <c r="U31" s="35"/>
      <c r="V31" s="35"/>
      <c r="W31" s="35"/>
      <c r="X31" s="35"/>
      <c r="Y31" s="35"/>
      <c r="Z31" s="35"/>
      <c r="AA31" s="35"/>
    </row>
    <row r="32">
      <c r="A32" s="75"/>
      <c r="B32" s="97" t="s">
        <v>173</v>
      </c>
      <c r="C32" s="35"/>
      <c r="D32" s="77">
        <v>0.0</v>
      </c>
      <c r="E32" s="78"/>
      <c r="F32" s="147">
        <v>6.0</v>
      </c>
      <c r="G32" s="144">
        <f t="array" ref="G32">ROUNDUP(IF(EQ(A32, ""),E32*INDEX(UncertaintyFactors!$C$2:$D$7, F32, 1), 0), 1)</f>
        <v>0</v>
      </c>
      <c r="H32" s="145">
        <f t="array" ref="H32">ROUNDUP(IF(EQ(A32, ""), E32*INDEX(UncertaintyFactors!$C$2:$D$7, F32, 2), 0), 1)</f>
        <v>0</v>
      </c>
      <c r="I32" s="51"/>
      <c r="J32" s="27"/>
      <c r="K32" s="35"/>
      <c r="L32" s="83">
        <f t="shared" si="1"/>
        <v>0</v>
      </c>
      <c r="M32" s="84">
        <f t="shared" si="2"/>
        <v>6</v>
      </c>
      <c r="N32" s="85">
        <f t="array" ref="N32">ROUNDUP(IF(EQ(A32, ""),L32*INDEX(UncertaintyFactors!$C$2:$D$7, M32, 1), 0), 1)</f>
        <v>0</v>
      </c>
      <c r="O32" s="86">
        <f t="array" ref="O32">ROUNDUP(IF(EQ(A32, ""), L32*INDEX(UncertaintyFactors!$C$2:$D$7, M32, 2), 0), 1)</f>
        <v>0</v>
      </c>
      <c r="P32" s="35"/>
      <c r="Q32" s="35"/>
      <c r="R32" s="35"/>
      <c r="S32" s="35"/>
      <c r="T32" s="35"/>
      <c r="U32" s="35"/>
      <c r="V32" s="35"/>
      <c r="W32" s="35"/>
      <c r="X32" s="35"/>
      <c r="Y32" s="35"/>
      <c r="Z32" s="35"/>
      <c r="AA32" s="35"/>
    </row>
    <row r="33">
      <c r="A33" s="75"/>
      <c r="B33" s="97" t="s">
        <v>174</v>
      </c>
      <c r="C33" s="35"/>
      <c r="D33" s="77">
        <v>0.0</v>
      </c>
      <c r="E33" s="78"/>
      <c r="F33" s="147">
        <v>6.0</v>
      </c>
      <c r="G33" s="144">
        <f t="array" ref="G33">ROUNDUP(IF(EQ(A33, ""),E33*INDEX(UncertaintyFactors!$C$2:$D$7, F33, 1), 0), 1)</f>
        <v>0</v>
      </c>
      <c r="H33" s="145">
        <f t="array" ref="H33">ROUNDUP(IF(EQ(A33, ""), E33*INDEX(UncertaintyFactors!$C$2:$D$7, F33, 2), 0), 1)</f>
        <v>0</v>
      </c>
      <c r="I33" s="51"/>
      <c r="J33" s="27"/>
      <c r="K33" s="35"/>
      <c r="L33" s="83">
        <f t="shared" si="1"/>
        <v>0</v>
      </c>
      <c r="M33" s="84">
        <f t="shared" si="2"/>
        <v>6</v>
      </c>
      <c r="N33" s="85">
        <f t="array" ref="N33">ROUNDUP(IF(EQ(A33, ""),L33*INDEX(UncertaintyFactors!$C$2:$D$7, M33, 1), 0), 1)</f>
        <v>0</v>
      </c>
      <c r="O33" s="86">
        <f t="array" ref="O33">ROUNDUP(IF(EQ(A33, ""), L33*INDEX(UncertaintyFactors!$C$2:$D$7, M33, 2), 0), 1)</f>
        <v>0</v>
      </c>
      <c r="P33" s="35"/>
      <c r="Q33" s="35"/>
      <c r="R33" s="35"/>
      <c r="S33" s="35"/>
      <c r="T33" s="35"/>
      <c r="U33" s="35"/>
      <c r="V33" s="35"/>
      <c r="W33" s="35"/>
      <c r="X33" s="35"/>
      <c r="Y33" s="35"/>
      <c r="Z33" s="35"/>
      <c r="AA33" s="35"/>
    </row>
    <row r="34">
      <c r="A34" s="75"/>
      <c r="B34" s="97" t="s">
        <v>175</v>
      </c>
      <c r="C34" s="35"/>
      <c r="D34" s="77">
        <v>0.0</v>
      </c>
      <c r="E34" s="78"/>
      <c r="F34" s="147">
        <v>6.0</v>
      </c>
      <c r="G34" s="144">
        <f t="array" ref="G34">ROUNDUP(IF(EQ(A34, ""),E34*INDEX(UncertaintyFactors!$C$2:$D$7, F34, 1), 0), 1)</f>
        <v>0</v>
      </c>
      <c r="H34" s="145">
        <f t="array" ref="H34">ROUNDUP(IF(EQ(A34, ""), E34*INDEX(UncertaintyFactors!$C$2:$D$7, F34, 2), 0), 1)</f>
        <v>0</v>
      </c>
      <c r="I34" s="51"/>
      <c r="J34" s="27"/>
      <c r="K34" s="35"/>
      <c r="L34" s="83">
        <f t="shared" si="1"/>
        <v>0</v>
      </c>
      <c r="M34" s="84">
        <f t="shared" si="2"/>
        <v>6</v>
      </c>
      <c r="N34" s="85">
        <f t="array" ref="N34">ROUNDUP(IF(EQ(A34, ""),L34*INDEX(UncertaintyFactors!$C$2:$D$7, M34, 1), 0), 1)</f>
        <v>0</v>
      </c>
      <c r="O34" s="86">
        <f t="array" ref="O34">ROUNDUP(IF(EQ(A34, ""), L34*INDEX(UncertaintyFactors!$C$2:$D$7, M34, 2), 0), 1)</f>
        <v>0</v>
      </c>
      <c r="P34" s="35"/>
      <c r="Q34" s="35"/>
      <c r="R34" s="35"/>
      <c r="S34" s="35"/>
      <c r="T34" s="35"/>
      <c r="U34" s="35"/>
      <c r="V34" s="35"/>
      <c r="W34" s="35"/>
      <c r="X34" s="35"/>
      <c r="Y34" s="35"/>
      <c r="Z34" s="35"/>
      <c r="AA34" s="35"/>
    </row>
    <row r="35">
      <c r="A35" s="75"/>
      <c r="B35" s="97" t="s">
        <v>176</v>
      </c>
      <c r="C35" s="35"/>
      <c r="D35" s="77">
        <v>0.0</v>
      </c>
      <c r="E35" s="78"/>
      <c r="F35" s="147">
        <v>6.0</v>
      </c>
      <c r="G35" s="144">
        <f t="array" ref="G35">ROUNDUP(IF(EQ(A35, ""),E35*INDEX(UncertaintyFactors!$C$2:$D$7, F35, 1), 0), 1)</f>
        <v>0</v>
      </c>
      <c r="H35" s="145">
        <f t="array" ref="H35">ROUNDUP(IF(EQ(A35, ""), E35*INDEX(UncertaintyFactors!$C$2:$D$7, F35, 2), 0), 1)</f>
        <v>0</v>
      </c>
      <c r="I35" s="51"/>
      <c r="J35" s="27"/>
      <c r="K35" s="35"/>
      <c r="L35" s="83">
        <f t="shared" si="1"/>
        <v>0</v>
      </c>
      <c r="M35" s="84">
        <f t="shared" si="2"/>
        <v>6</v>
      </c>
      <c r="N35" s="85">
        <f t="array" ref="N35">ROUNDUP(IF(EQ(A35, ""),L35*INDEX(UncertaintyFactors!$C$2:$D$7, M35, 1), 0), 1)</f>
        <v>0</v>
      </c>
      <c r="O35" s="86">
        <f t="array" ref="O35">ROUNDUP(IF(EQ(A35, ""), L35*INDEX(UncertaintyFactors!$C$2:$D$7, M35, 2), 0), 1)</f>
        <v>0</v>
      </c>
      <c r="P35" s="35"/>
      <c r="Q35" s="35"/>
      <c r="R35" s="35"/>
      <c r="S35" s="35"/>
      <c r="T35" s="35"/>
      <c r="U35" s="35"/>
      <c r="V35" s="35"/>
      <c r="W35" s="35"/>
      <c r="X35" s="35"/>
      <c r="Y35" s="35"/>
      <c r="Z35" s="35"/>
      <c r="AA35" s="35"/>
    </row>
    <row r="36">
      <c r="A36" s="75"/>
      <c r="B36" s="97" t="s">
        <v>177</v>
      </c>
      <c r="C36" s="35"/>
      <c r="D36" s="77">
        <v>0.0</v>
      </c>
      <c r="E36" s="78"/>
      <c r="F36" s="147">
        <v>6.0</v>
      </c>
      <c r="G36" s="144">
        <f t="array" ref="G36">ROUNDUP(IF(EQ(A36, ""),E36*INDEX(UncertaintyFactors!$C$2:$D$7, F36, 1), 0), 1)</f>
        <v>0</v>
      </c>
      <c r="H36" s="145">
        <f t="array" ref="H36">ROUNDUP(IF(EQ(A36, ""), E36*INDEX(UncertaintyFactors!$C$2:$D$7, F36, 2), 0), 1)</f>
        <v>0</v>
      </c>
      <c r="I36" s="51"/>
      <c r="J36" s="27"/>
      <c r="K36" s="35"/>
      <c r="L36" s="83">
        <f t="shared" si="1"/>
        <v>0</v>
      </c>
      <c r="M36" s="84">
        <f t="shared" si="2"/>
        <v>6</v>
      </c>
      <c r="N36" s="85">
        <f t="array" ref="N36">ROUNDUP(IF(EQ(A36, ""),L36*INDEX(UncertaintyFactors!$C$2:$D$7, M36, 1), 0), 1)</f>
        <v>0</v>
      </c>
      <c r="O36" s="86">
        <f t="array" ref="O36">ROUNDUP(IF(EQ(A36, ""), L36*INDEX(UncertaintyFactors!$C$2:$D$7, M36, 2), 0), 1)</f>
        <v>0</v>
      </c>
      <c r="P36" s="35"/>
      <c r="Q36" s="35"/>
      <c r="R36" s="35"/>
      <c r="S36" s="35"/>
      <c r="T36" s="35"/>
      <c r="U36" s="35"/>
      <c r="V36" s="35"/>
      <c r="W36" s="35"/>
      <c r="X36" s="35"/>
      <c r="Y36" s="35"/>
      <c r="Z36" s="35"/>
      <c r="AA36" s="35"/>
    </row>
    <row r="37">
      <c r="A37" s="75"/>
      <c r="B37" s="97" t="s">
        <v>178</v>
      </c>
      <c r="C37" s="35"/>
      <c r="D37" s="77">
        <v>0.0</v>
      </c>
      <c r="E37" s="26"/>
      <c r="F37" s="147">
        <v>6.0</v>
      </c>
      <c r="G37" s="144">
        <f t="array" ref="G37">ROUNDUP(IF(EQ(A37, ""),E37*INDEX(UncertaintyFactors!$C$2:$D$7, F37, 1), 0), 1)</f>
        <v>0</v>
      </c>
      <c r="H37" s="145">
        <f t="array" ref="H37">ROUNDUP(IF(EQ(A37, ""), E37*INDEX(UncertaintyFactors!$C$2:$D$7, F37, 2), 0), 1)</f>
        <v>0</v>
      </c>
      <c r="I37" s="51"/>
      <c r="J37" s="27"/>
      <c r="K37" s="35"/>
      <c r="L37" s="83">
        <f t="shared" si="1"/>
        <v>0</v>
      </c>
      <c r="M37" s="84">
        <f t="shared" si="2"/>
        <v>6</v>
      </c>
      <c r="N37" s="85">
        <f t="array" ref="N37">ROUNDUP(IF(EQ(A37, ""),L37*INDEX(UncertaintyFactors!$C$2:$D$7, M37, 1), 0), 1)</f>
        <v>0</v>
      </c>
      <c r="O37" s="86">
        <f t="array" ref="O37">ROUNDUP(IF(EQ(A37, ""), L37*INDEX(UncertaintyFactors!$C$2:$D$7, M37, 2), 0), 1)</f>
        <v>0</v>
      </c>
      <c r="P37" s="35"/>
      <c r="Q37" s="35"/>
      <c r="R37" s="35"/>
      <c r="S37" s="35"/>
      <c r="T37" s="35"/>
      <c r="U37" s="35"/>
      <c r="V37" s="35"/>
      <c r="W37" s="35"/>
      <c r="X37" s="35"/>
      <c r="Y37" s="35"/>
      <c r="Z37" s="35"/>
      <c r="AA37" s="35"/>
    </row>
    <row r="38">
      <c r="A38" s="75"/>
      <c r="B38" s="97" t="s">
        <v>179</v>
      </c>
      <c r="C38" s="35"/>
      <c r="D38" s="77">
        <v>0.0</v>
      </c>
      <c r="E38" s="26"/>
      <c r="F38" s="147">
        <v>6.0</v>
      </c>
      <c r="G38" s="144">
        <f t="array" ref="G38">ROUNDUP(IF(EQ(A38, ""),E38*INDEX(UncertaintyFactors!$C$2:$D$7, F38, 1), 0), 1)</f>
        <v>0</v>
      </c>
      <c r="H38" s="145">
        <f t="array" ref="H38">ROUNDUP(IF(EQ(A38, ""), E38*INDEX(UncertaintyFactors!$C$2:$D$7, F38, 2), 0), 1)</f>
        <v>0</v>
      </c>
      <c r="I38" s="51"/>
      <c r="J38" s="27"/>
      <c r="K38" s="35"/>
      <c r="L38" s="83">
        <f t="shared" si="1"/>
        <v>0</v>
      </c>
      <c r="M38" s="84">
        <f t="shared" si="2"/>
        <v>6</v>
      </c>
      <c r="N38" s="85">
        <f t="array" ref="N38">ROUNDUP(IF(EQ(A38, ""),L38*INDEX(UncertaintyFactors!$C$2:$D$7, M38, 1), 0), 1)</f>
        <v>0</v>
      </c>
      <c r="O38" s="86">
        <f t="array" ref="O38">ROUNDUP(IF(EQ(A38, ""), L38*INDEX(UncertaintyFactors!$C$2:$D$7, M38, 2), 0), 1)</f>
        <v>0</v>
      </c>
      <c r="P38" s="35"/>
      <c r="Q38" s="35"/>
      <c r="R38" s="35"/>
      <c r="S38" s="35"/>
      <c r="T38" s="35"/>
      <c r="U38" s="35"/>
      <c r="V38" s="35"/>
      <c r="W38" s="35"/>
      <c r="X38" s="35"/>
      <c r="Y38" s="35"/>
      <c r="Z38" s="35"/>
      <c r="AA38" s="35"/>
    </row>
    <row r="39">
      <c r="A39" s="75"/>
      <c r="B39" s="97" t="s">
        <v>180</v>
      </c>
      <c r="C39" s="35"/>
      <c r="D39" s="77">
        <v>0.0</v>
      </c>
      <c r="E39" s="26"/>
      <c r="F39" s="147">
        <v>6.0</v>
      </c>
      <c r="G39" s="144">
        <f t="array" ref="G39">ROUNDUP(IF(EQ(A39, ""),E39*INDEX(UncertaintyFactors!$C$2:$D$7, F39, 1), 0), 1)</f>
        <v>0</v>
      </c>
      <c r="H39" s="145">
        <f t="array" ref="H39">ROUNDUP(IF(EQ(A39, ""), E39*INDEX(UncertaintyFactors!$C$2:$D$7, F39, 2), 0), 1)</f>
        <v>0</v>
      </c>
      <c r="I39" s="51"/>
      <c r="J39" s="27"/>
      <c r="K39" s="35"/>
      <c r="L39" s="83">
        <f t="shared" si="1"/>
        <v>0</v>
      </c>
      <c r="M39" s="84">
        <f t="shared" si="2"/>
        <v>6</v>
      </c>
      <c r="N39" s="85">
        <f t="array" ref="N39">ROUNDUP(IF(EQ(A39, ""),L39*INDEX(UncertaintyFactors!$C$2:$D$7, M39, 1), 0), 1)</f>
        <v>0</v>
      </c>
      <c r="O39" s="86">
        <f t="array" ref="O39">ROUNDUP(IF(EQ(A39, ""), L39*INDEX(UncertaintyFactors!$C$2:$D$7, M39, 2), 0), 1)</f>
        <v>0</v>
      </c>
      <c r="P39" s="35"/>
      <c r="Q39" s="35"/>
      <c r="R39" s="35"/>
      <c r="S39" s="35"/>
      <c r="T39" s="35"/>
      <c r="U39" s="35"/>
      <c r="V39" s="35"/>
      <c r="W39" s="35"/>
      <c r="X39" s="35"/>
      <c r="Y39" s="35"/>
      <c r="Z39" s="35"/>
      <c r="AA39" s="35"/>
    </row>
    <row r="40">
      <c r="A40" s="75"/>
      <c r="B40" s="97" t="s">
        <v>181</v>
      </c>
      <c r="C40" s="35"/>
      <c r="D40" s="77">
        <v>0.0</v>
      </c>
      <c r="E40" s="26"/>
      <c r="F40" s="147">
        <v>6.0</v>
      </c>
      <c r="G40" s="144">
        <f t="array" ref="G40">ROUNDUP(IF(EQ(A40, ""),E40*INDEX(UncertaintyFactors!$C$2:$D$7, F40, 1), 0), 1)</f>
        <v>0</v>
      </c>
      <c r="H40" s="145">
        <f t="array" ref="H40">ROUNDUP(IF(EQ(A40, ""), E40*INDEX(UncertaintyFactors!$C$2:$D$7, F40, 2), 0), 1)</f>
        <v>0</v>
      </c>
      <c r="I40" s="51"/>
      <c r="J40" s="27"/>
      <c r="K40" s="35"/>
      <c r="L40" s="83">
        <f t="shared" si="1"/>
        <v>0</v>
      </c>
      <c r="M40" s="84">
        <f t="shared" si="2"/>
        <v>6</v>
      </c>
      <c r="N40" s="85">
        <f t="array" ref="N40">ROUNDUP(IF(EQ(A40, ""),L40*INDEX(UncertaintyFactors!$C$2:$D$7, M40, 1), 0), 1)</f>
        <v>0</v>
      </c>
      <c r="O40" s="86">
        <f t="array" ref="O40">ROUNDUP(IF(EQ(A40, ""), L40*INDEX(UncertaintyFactors!$C$2:$D$7, M40, 2), 0), 1)</f>
        <v>0</v>
      </c>
      <c r="P40" s="35"/>
      <c r="Q40" s="35"/>
      <c r="R40" s="35"/>
      <c r="S40" s="35"/>
      <c r="T40" s="35"/>
      <c r="U40" s="35"/>
      <c r="V40" s="35"/>
      <c r="W40" s="35"/>
      <c r="X40" s="35"/>
      <c r="Y40" s="35"/>
      <c r="Z40" s="35"/>
      <c r="AA40" s="35"/>
    </row>
    <row r="41">
      <c r="A41" s="75"/>
      <c r="B41" s="97" t="s">
        <v>182</v>
      </c>
      <c r="C41" s="35"/>
      <c r="D41" s="77">
        <v>0.0</v>
      </c>
      <c r="E41" s="26"/>
      <c r="F41" s="147">
        <v>6.0</v>
      </c>
      <c r="G41" s="144">
        <f t="array" ref="G41">ROUNDUP(IF(EQ(A41, ""),E41*INDEX(UncertaintyFactors!$C$2:$D$7, F41, 1), 0), 1)</f>
        <v>0</v>
      </c>
      <c r="H41" s="145">
        <f t="array" ref="H41">ROUNDUP(IF(EQ(A41, ""), E41*INDEX(UncertaintyFactors!$C$2:$D$7, F41, 2), 0), 1)</f>
        <v>0</v>
      </c>
      <c r="I41" s="51"/>
      <c r="J41" s="27"/>
      <c r="K41" s="35"/>
      <c r="L41" s="83">
        <f t="shared" si="1"/>
        <v>0</v>
      </c>
      <c r="M41" s="84">
        <f t="shared" si="2"/>
        <v>6</v>
      </c>
      <c r="N41" s="85">
        <f t="array" ref="N41">ROUNDUP(IF(EQ(A41, ""),L41*INDEX(UncertaintyFactors!$C$2:$D$7, M41, 1), 0), 1)</f>
        <v>0</v>
      </c>
      <c r="O41" s="86">
        <f t="array" ref="O41">ROUNDUP(IF(EQ(A41, ""), L41*INDEX(UncertaintyFactors!$C$2:$D$7, M41, 2), 0), 1)</f>
        <v>0</v>
      </c>
      <c r="P41" s="35"/>
      <c r="Q41" s="35"/>
      <c r="R41" s="35"/>
      <c r="S41" s="35"/>
      <c r="T41" s="35"/>
      <c r="U41" s="35"/>
      <c r="V41" s="35"/>
      <c r="W41" s="35"/>
      <c r="X41" s="35"/>
      <c r="Y41" s="35"/>
      <c r="Z41" s="35"/>
      <c r="AA41" s="35"/>
    </row>
    <row r="42">
      <c r="A42" s="75"/>
      <c r="B42" s="97" t="s">
        <v>183</v>
      </c>
      <c r="C42" s="35"/>
      <c r="D42" s="77">
        <v>0.0</v>
      </c>
      <c r="E42" s="26"/>
      <c r="F42" s="147">
        <v>6.0</v>
      </c>
      <c r="G42" s="144">
        <f t="array" ref="G42">ROUNDUP(IF(EQ(A42, ""),E42*INDEX(UncertaintyFactors!$C$2:$D$7, F42, 1), 0), 1)</f>
        <v>0</v>
      </c>
      <c r="H42" s="145">
        <f t="array" ref="H42">ROUNDUP(IF(EQ(A42, ""), E42*INDEX(UncertaintyFactors!$C$2:$D$7, F42, 2), 0), 1)</f>
        <v>0</v>
      </c>
      <c r="I42" s="51"/>
      <c r="J42" s="27"/>
      <c r="K42" s="35"/>
      <c r="L42" s="83">
        <f t="shared" si="1"/>
        <v>0</v>
      </c>
      <c r="M42" s="84">
        <f t="shared" si="2"/>
        <v>6</v>
      </c>
      <c r="N42" s="85">
        <f t="array" ref="N42">ROUNDUP(IF(EQ(A42, ""),L42*INDEX(UncertaintyFactors!$C$2:$D$7, M42, 1), 0), 1)</f>
        <v>0</v>
      </c>
      <c r="O42" s="86">
        <f t="array" ref="O42">ROUNDUP(IF(EQ(A42, ""), L42*INDEX(UncertaintyFactors!$C$2:$D$7, M42, 2), 0), 1)</f>
        <v>0</v>
      </c>
      <c r="P42" s="35"/>
      <c r="Q42" s="35"/>
      <c r="R42" s="35"/>
      <c r="S42" s="35"/>
      <c r="T42" s="35"/>
      <c r="U42" s="35"/>
      <c r="V42" s="35"/>
      <c r="W42" s="35"/>
      <c r="X42" s="35"/>
      <c r="Y42" s="35"/>
      <c r="Z42" s="35"/>
      <c r="AA42" s="35"/>
    </row>
    <row r="43">
      <c r="A43" s="75"/>
      <c r="B43" s="97" t="s">
        <v>184</v>
      </c>
      <c r="C43" s="35" t="s">
        <v>185</v>
      </c>
      <c r="D43" s="77">
        <v>0.0</v>
      </c>
      <c r="E43" s="26"/>
      <c r="F43" s="147">
        <v>6.0</v>
      </c>
      <c r="G43" s="144">
        <f t="array" ref="G43">ROUNDUP(IF(EQ(A43, ""),E43*INDEX(UncertaintyFactors!$C$2:$D$7, F43, 1), 0), 1)</f>
        <v>0</v>
      </c>
      <c r="H43" s="145">
        <f t="array" ref="H43">ROUNDUP(IF(EQ(A43, ""), E43*INDEX(UncertaintyFactors!$C$2:$D$7, F43, 2), 0), 1)</f>
        <v>0</v>
      </c>
      <c r="I43" s="51"/>
      <c r="J43" s="27"/>
      <c r="K43" s="35"/>
      <c r="L43" s="83">
        <f t="shared" si="1"/>
        <v>0</v>
      </c>
      <c r="M43" s="84">
        <f t="shared" si="2"/>
        <v>6</v>
      </c>
      <c r="N43" s="85">
        <f t="array" ref="N43">ROUNDUP(IF(EQ(A43, ""),L43*INDEX(UncertaintyFactors!$C$2:$D$7, M43, 1), 0), 1)</f>
        <v>0</v>
      </c>
      <c r="O43" s="86">
        <f t="array" ref="O43">ROUNDUP(IF(EQ(A43, ""), L43*INDEX(UncertaintyFactors!$C$2:$D$7, M43, 2), 0), 1)</f>
        <v>0</v>
      </c>
      <c r="P43" s="35"/>
      <c r="Q43" s="35"/>
      <c r="R43" s="35"/>
      <c r="S43" s="35"/>
      <c r="T43" s="35"/>
      <c r="U43" s="35"/>
      <c r="V43" s="35"/>
      <c r="W43" s="35"/>
      <c r="X43" s="35"/>
      <c r="Y43" s="35"/>
      <c r="Z43" s="35"/>
      <c r="AA43" s="35"/>
    </row>
    <row r="44">
      <c r="A44" s="75"/>
      <c r="B44" s="97" t="s">
        <v>186</v>
      </c>
      <c r="C44" s="35"/>
      <c r="D44" s="77">
        <v>0.0</v>
      </c>
      <c r="E44" s="26"/>
      <c r="F44" s="147">
        <v>6.0</v>
      </c>
      <c r="G44" s="144">
        <f t="array" ref="G44">ROUNDUP(IF(EQ(A44, ""),E44*INDEX(UncertaintyFactors!$C$2:$D$7, F44, 1), 0), 1)</f>
        <v>0</v>
      </c>
      <c r="H44" s="145">
        <f t="array" ref="H44">ROUNDUP(IF(EQ(A44, ""), E44*INDEX(UncertaintyFactors!$C$2:$D$7, F44, 2), 0), 1)</f>
        <v>0</v>
      </c>
      <c r="I44" s="51"/>
      <c r="J44" s="27"/>
      <c r="K44" s="35"/>
      <c r="L44" s="83">
        <f t="shared" si="1"/>
        <v>0</v>
      </c>
      <c r="M44" s="84">
        <f t="shared" si="2"/>
        <v>6</v>
      </c>
      <c r="N44" s="85">
        <f t="array" ref="N44">ROUNDUP(IF(EQ(A44, ""),L44*INDEX(UncertaintyFactors!$C$2:$D$7, M44, 1), 0), 1)</f>
        <v>0</v>
      </c>
      <c r="O44" s="86">
        <f t="array" ref="O44">ROUNDUP(IF(EQ(A44, ""), L44*INDEX(UncertaintyFactors!$C$2:$D$7, M44, 2), 0), 1)</f>
        <v>0</v>
      </c>
      <c r="P44" s="35"/>
      <c r="Q44" s="35"/>
      <c r="R44" s="35"/>
      <c r="S44" s="35"/>
      <c r="T44" s="35"/>
      <c r="U44" s="35"/>
      <c r="V44" s="35"/>
      <c r="W44" s="35"/>
      <c r="X44" s="35"/>
      <c r="Y44" s="35"/>
      <c r="Z44" s="35"/>
      <c r="AA44" s="35"/>
    </row>
    <row r="45">
      <c r="A45" s="75"/>
      <c r="B45" s="97" t="s">
        <v>176</v>
      </c>
      <c r="C45" s="35"/>
      <c r="D45" s="77">
        <v>0.0</v>
      </c>
      <c r="E45" s="26"/>
      <c r="F45" s="147">
        <v>6.0</v>
      </c>
      <c r="G45" s="144">
        <f t="array" ref="G45">ROUNDUP(IF(EQ(A45, ""),E45*INDEX(UncertaintyFactors!$C$2:$D$7, F45, 1), 0), 1)</f>
        <v>0</v>
      </c>
      <c r="H45" s="145">
        <f t="array" ref="H45">ROUNDUP(IF(EQ(A45, ""), E45*INDEX(UncertaintyFactors!$C$2:$D$7, F45, 2), 0), 1)</f>
        <v>0</v>
      </c>
      <c r="I45" s="51"/>
      <c r="J45" s="27"/>
      <c r="K45" s="35"/>
      <c r="L45" s="83">
        <f t="shared" si="1"/>
        <v>0</v>
      </c>
      <c r="M45" s="84">
        <f t="shared" si="2"/>
        <v>6</v>
      </c>
      <c r="N45" s="85">
        <f t="array" ref="N45">ROUNDUP(IF(EQ(A45, ""),L45*INDEX(UncertaintyFactors!$C$2:$D$7, M45, 1), 0), 1)</f>
        <v>0</v>
      </c>
      <c r="O45" s="86">
        <f t="array" ref="O45">ROUNDUP(IF(EQ(A45, ""), L45*INDEX(UncertaintyFactors!$C$2:$D$7, M45, 2), 0), 1)</f>
        <v>0</v>
      </c>
      <c r="P45" s="35"/>
      <c r="Q45" s="35"/>
      <c r="R45" s="35"/>
      <c r="S45" s="35"/>
      <c r="T45" s="35"/>
      <c r="U45" s="35"/>
      <c r="V45" s="35"/>
      <c r="W45" s="35"/>
      <c r="X45" s="35"/>
      <c r="Y45" s="35"/>
      <c r="Z45" s="35"/>
      <c r="AA45" s="35"/>
    </row>
    <row r="46">
      <c r="A46" s="75"/>
      <c r="B46" s="97" t="s">
        <v>187</v>
      </c>
      <c r="C46" s="35"/>
      <c r="D46" s="77">
        <v>0.0</v>
      </c>
      <c r="E46" s="26"/>
      <c r="F46" s="147">
        <v>6.0</v>
      </c>
      <c r="G46" s="144">
        <f t="array" ref="G46">ROUNDUP(IF(EQ(A46, ""),E46*INDEX(UncertaintyFactors!$C$2:$D$7, F46, 1), 0), 1)</f>
        <v>0</v>
      </c>
      <c r="H46" s="145">
        <f t="array" ref="H46">ROUNDUP(IF(EQ(A46, ""), E46*INDEX(UncertaintyFactors!$C$2:$D$7, F46, 2), 0), 1)</f>
        <v>0</v>
      </c>
      <c r="I46" s="51"/>
      <c r="J46" s="27"/>
      <c r="K46" s="35"/>
      <c r="L46" s="83">
        <f t="shared" si="1"/>
        <v>0</v>
      </c>
      <c r="M46" s="84">
        <f t="shared" si="2"/>
        <v>6</v>
      </c>
      <c r="N46" s="85">
        <f t="array" ref="N46">ROUNDUP(IF(EQ(A46, ""),L46*INDEX(UncertaintyFactors!$C$2:$D$7, M46, 1), 0), 1)</f>
        <v>0</v>
      </c>
      <c r="O46" s="86">
        <f t="array" ref="O46">ROUNDUP(IF(EQ(A46, ""), L46*INDEX(UncertaintyFactors!$C$2:$D$7, M46, 2), 0), 1)</f>
        <v>0</v>
      </c>
      <c r="P46" s="35"/>
      <c r="Q46" s="35"/>
      <c r="R46" s="35"/>
      <c r="S46" s="35"/>
      <c r="T46" s="35"/>
      <c r="U46" s="35"/>
      <c r="V46" s="35"/>
      <c r="W46" s="35"/>
      <c r="X46" s="35"/>
      <c r="Y46" s="35"/>
      <c r="Z46" s="35"/>
      <c r="AA46" s="35"/>
    </row>
    <row r="47">
      <c r="A47" s="75"/>
      <c r="B47" s="97" t="s">
        <v>188</v>
      </c>
      <c r="C47" s="35"/>
      <c r="D47" s="77">
        <v>0.0</v>
      </c>
      <c r="E47" s="26"/>
      <c r="F47" s="147">
        <v>6.0</v>
      </c>
      <c r="G47" s="144">
        <f t="array" ref="G47">ROUNDUP(IF(EQ(A47, ""),E47*INDEX(UncertaintyFactors!$C$2:$D$7, F47, 1), 0), 1)</f>
        <v>0</v>
      </c>
      <c r="H47" s="145">
        <f t="array" ref="H47">ROUNDUP(IF(EQ(A47, ""), E47*INDEX(UncertaintyFactors!$C$2:$D$7, F47, 2), 0), 1)</f>
        <v>0</v>
      </c>
      <c r="I47" s="51"/>
      <c r="J47" s="27"/>
      <c r="K47" s="35"/>
      <c r="L47" s="83">
        <f t="shared" si="1"/>
        <v>0</v>
      </c>
      <c r="M47" s="84">
        <f t="shared" si="2"/>
        <v>6</v>
      </c>
      <c r="N47" s="85">
        <f t="array" ref="N47">ROUNDUP(IF(EQ(A47, ""),L47*INDEX(UncertaintyFactors!$C$2:$D$7, M47, 1), 0), 1)</f>
        <v>0</v>
      </c>
      <c r="O47" s="86">
        <f t="array" ref="O47">ROUNDUP(IF(EQ(A47, ""), L47*INDEX(UncertaintyFactors!$C$2:$D$7, M47, 2), 0), 1)</f>
        <v>0</v>
      </c>
      <c r="P47" s="35"/>
      <c r="Q47" s="35"/>
      <c r="R47" s="35"/>
      <c r="S47" s="35"/>
      <c r="T47" s="35"/>
      <c r="U47" s="35"/>
      <c r="V47" s="35"/>
      <c r="W47" s="35"/>
      <c r="X47" s="35"/>
      <c r="Y47" s="35"/>
      <c r="Z47" s="35"/>
      <c r="AA47" s="35"/>
    </row>
    <row r="48">
      <c r="A48" s="75"/>
      <c r="B48" s="97" t="s">
        <v>189</v>
      </c>
      <c r="C48" s="35"/>
      <c r="D48" s="77">
        <v>0.0</v>
      </c>
      <c r="E48" s="26"/>
      <c r="F48" s="147">
        <v>6.0</v>
      </c>
      <c r="G48" s="144">
        <f t="array" ref="G48">ROUNDUP(IF(EQ(A48, ""),E48*INDEX(UncertaintyFactors!$C$2:$D$7, F48, 1), 0), 1)</f>
        <v>0</v>
      </c>
      <c r="H48" s="145">
        <f t="array" ref="H48">ROUNDUP(IF(EQ(A48, ""), E48*INDEX(UncertaintyFactors!$C$2:$D$7, F48, 2), 0), 1)</f>
        <v>0</v>
      </c>
      <c r="I48" s="51"/>
      <c r="J48" s="27"/>
      <c r="K48" s="35"/>
      <c r="L48" s="83">
        <f t="shared" si="1"/>
        <v>0</v>
      </c>
      <c r="M48" s="84">
        <f t="shared" si="2"/>
        <v>6</v>
      </c>
      <c r="N48" s="85">
        <f t="array" ref="N48">ROUNDUP(IF(EQ(A48, ""),L48*INDEX(UncertaintyFactors!$C$2:$D$7, M48, 1), 0), 1)</f>
        <v>0</v>
      </c>
      <c r="O48" s="86">
        <f t="array" ref="O48">ROUNDUP(IF(EQ(A48, ""), L48*INDEX(UncertaintyFactors!$C$2:$D$7, M48, 2), 0), 1)</f>
        <v>0</v>
      </c>
      <c r="P48" s="35"/>
      <c r="Q48" s="35"/>
      <c r="R48" s="35"/>
      <c r="S48" s="35"/>
      <c r="T48" s="35"/>
      <c r="U48" s="35"/>
      <c r="V48" s="35"/>
      <c r="W48" s="35"/>
      <c r="X48" s="35"/>
      <c r="Y48" s="35"/>
      <c r="Z48" s="35"/>
      <c r="AA48" s="35"/>
    </row>
    <row r="49">
      <c r="A49" s="75"/>
      <c r="B49" s="97" t="s">
        <v>190</v>
      </c>
      <c r="C49" s="35"/>
      <c r="D49" s="77">
        <v>0.0</v>
      </c>
      <c r="E49" s="26"/>
      <c r="F49" s="147">
        <v>6.0</v>
      </c>
      <c r="G49" s="144">
        <f t="array" ref="G49">ROUNDUP(IF(EQ(A49, ""),E49*INDEX(UncertaintyFactors!$C$2:$D$7, F49, 1), 0), 1)</f>
        <v>0</v>
      </c>
      <c r="H49" s="145">
        <f t="array" ref="H49">ROUNDUP(IF(EQ(A49, ""), E49*INDEX(UncertaintyFactors!$C$2:$D$7, F49, 2), 0), 1)</f>
        <v>0</v>
      </c>
      <c r="I49" s="51"/>
      <c r="J49" s="27"/>
      <c r="K49" s="35"/>
      <c r="L49" s="83">
        <f t="shared" si="1"/>
        <v>0</v>
      </c>
      <c r="M49" s="84">
        <f t="shared" si="2"/>
        <v>6</v>
      </c>
      <c r="N49" s="85">
        <f t="array" ref="N49">ROUNDUP(IF(EQ(A49, ""),L49*INDEX(UncertaintyFactors!$C$2:$D$7, M49, 1), 0), 1)</f>
        <v>0</v>
      </c>
      <c r="O49" s="86">
        <f t="array" ref="O49">ROUNDUP(IF(EQ(A49, ""), L49*INDEX(UncertaintyFactors!$C$2:$D$7, M49, 2), 0), 1)</f>
        <v>0</v>
      </c>
      <c r="P49" s="35"/>
      <c r="Q49" s="35"/>
      <c r="R49" s="35"/>
      <c r="S49" s="35"/>
      <c r="T49" s="35"/>
      <c r="U49" s="35"/>
      <c r="V49" s="35"/>
      <c r="W49" s="35"/>
      <c r="X49" s="35"/>
      <c r="Y49" s="35"/>
      <c r="Z49" s="35"/>
      <c r="AA49" s="35"/>
    </row>
    <row r="50">
      <c r="A50" s="75"/>
      <c r="B50" s="97" t="s">
        <v>191</v>
      </c>
      <c r="C50" s="35"/>
      <c r="D50" s="77">
        <v>0.0</v>
      </c>
      <c r="E50" s="26"/>
      <c r="F50" s="147">
        <v>6.0</v>
      </c>
      <c r="G50" s="144">
        <f t="array" ref="G50">ROUNDUP(IF(EQ(A50, ""),E50*INDEX(UncertaintyFactors!$C$2:$D$7, F50, 1), 0), 1)</f>
        <v>0</v>
      </c>
      <c r="H50" s="145">
        <f t="array" ref="H50">ROUNDUP(IF(EQ(A50, ""), E50*INDEX(UncertaintyFactors!$C$2:$D$7, F50, 2), 0), 1)</f>
        <v>0</v>
      </c>
      <c r="I50" s="51"/>
      <c r="J50" s="27"/>
      <c r="K50" s="35"/>
      <c r="L50" s="83">
        <f t="shared" si="1"/>
        <v>0</v>
      </c>
      <c r="M50" s="84">
        <f t="shared" si="2"/>
        <v>6</v>
      </c>
      <c r="N50" s="85">
        <f t="array" ref="N50">ROUNDUP(IF(EQ(A50, ""),L50*INDEX(UncertaintyFactors!$C$2:$D$7, M50, 1), 0), 1)</f>
        <v>0</v>
      </c>
      <c r="O50" s="86">
        <f t="array" ref="O50">ROUNDUP(IF(EQ(A50, ""), L50*INDEX(UncertaintyFactors!$C$2:$D$7, M50, 2), 0), 1)</f>
        <v>0</v>
      </c>
      <c r="P50" s="35"/>
      <c r="Q50" s="35"/>
      <c r="R50" s="35"/>
      <c r="S50" s="35"/>
      <c r="T50" s="35"/>
      <c r="U50" s="35"/>
      <c r="V50" s="35"/>
      <c r="W50" s="35"/>
      <c r="X50" s="35"/>
      <c r="Y50" s="35"/>
      <c r="Z50" s="35"/>
      <c r="AA50" s="35"/>
    </row>
    <row r="51">
      <c r="A51" s="75"/>
      <c r="B51" s="97" t="s">
        <v>192</v>
      </c>
      <c r="C51" s="35"/>
      <c r="D51" s="77">
        <v>0.0</v>
      </c>
      <c r="E51" s="26"/>
      <c r="F51" s="147">
        <v>6.0</v>
      </c>
      <c r="G51" s="144">
        <f t="array" ref="G51">ROUNDUP(IF(EQ(A51, ""),E51*INDEX(UncertaintyFactors!$C$2:$D$7, F51, 1), 0), 1)</f>
        <v>0</v>
      </c>
      <c r="H51" s="145">
        <f t="array" ref="H51">ROUNDUP(IF(EQ(A51, ""), E51*INDEX(UncertaintyFactors!$C$2:$D$7, F51, 2), 0), 1)</f>
        <v>0</v>
      </c>
      <c r="I51" s="51"/>
      <c r="J51" s="27"/>
      <c r="K51" s="35"/>
      <c r="L51" s="83">
        <f t="shared" si="1"/>
        <v>0</v>
      </c>
      <c r="M51" s="84">
        <f t="shared" si="2"/>
        <v>6</v>
      </c>
      <c r="N51" s="85">
        <f t="array" ref="N51">ROUNDUP(IF(EQ(A51, ""),L51*INDEX(UncertaintyFactors!$C$2:$D$7, M51, 1), 0), 1)</f>
        <v>0</v>
      </c>
      <c r="O51" s="86">
        <f t="array" ref="O51">ROUNDUP(IF(EQ(A51, ""), L51*INDEX(UncertaintyFactors!$C$2:$D$7, M51, 2), 0), 1)</f>
        <v>0</v>
      </c>
      <c r="P51" s="35"/>
      <c r="Q51" s="35"/>
      <c r="R51" s="35"/>
      <c r="S51" s="35"/>
      <c r="T51" s="35"/>
      <c r="U51" s="35"/>
      <c r="V51" s="35"/>
      <c r="W51" s="35"/>
      <c r="X51" s="35"/>
      <c r="Y51" s="35"/>
      <c r="Z51" s="35"/>
      <c r="AA51" s="35"/>
    </row>
    <row r="52">
      <c r="A52" s="75"/>
      <c r="B52" s="101" t="s">
        <v>93</v>
      </c>
      <c r="C52" s="35"/>
      <c r="D52" s="77">
        <v>0.0</v>
      </c>
      <c r="E52" s="26"/>
      <c r="F52" s="147">
        <v>6.0</v>
      </c>
      <c r="G52" s="144">
        <f t="array" ref="G52">ROUNDUP(IF(EQ(A52, ""),E52*INDEX(UncertaintyFactors!$C$2:$D$7, F52, 1), 0), 1)</f>
        <v>0</v>
      </c>
      <c r="H52" s="145">
        <f t="array" ref="H52">ROUNDUP(IF(EQ(A52, ""), E52*INDEX(UncertaintyFactors!$C$2:$D$7, F52, 2), 0), 1)</f>
        <v>0</v>
      </c>
      <c r="I52" s="51"/>
      <c r="J52" s="27"/>
      <c r="K52" s="35"/>
      <c r="L52" s="83">
        <f t="shared" si="1"/>
        <v>0</v>
      </c>
      <c r="M52" s="84">
        <f t="shared" si="2"/>
        <v>6</v>
      </c>
      <c r="N52" s="85">
        <f t="array" ref="N52">ROUNDUP(IF(EQ(A52, ""),L52*INDEX(UncertaintyFactors!$C$2:$D$7, M52, 1), 0), 1)</f>
        <v>0</v>
      </c>
      <c r="O52" s="86">
        <f t="array" ref="O52">ROUNDUP(IF(EQ(A52, ""), L52*INDEX(UncertaintyFactors!$C$2:$D$7, M52, 2), 0), 1)</f>
        <v>0</v>
      </c>
      <c r="P52" s="35"/>
      <c r="Q52" s="35"/>
      <c r="R52" s="35"/>
      <c r="S52" s="35"/>
      <c r="T52" s="35"/>
      <c r="U52" s="35"/>
      <c r="V52" s="35"/>
      <c r="W52" s="35"/>
      <c r="X52" s="35"/>
      <c r="Y52" s="35"/>
      <c r="Z52" s="35"/>
      <c r="AA52" s="35"/>
    </row>
    <row r="53">
      <c r="A53" s="75"/>
      <c r="B53" s="97"/>
      <c r="C53" s="35"/>
      <c r="D53" s="77">
        <v>0.0</v>
      </c>
      <c r="E53" s="26"/>
      <c r="F53" s="147">
        <v>6.0</v>
      </c>
      <c r="G53" s="144">
        <f t="array" ref="G53">ROUNDUP(IF(EQ(A53, ""),E53*INDEX(UncertaintyFactors!$C$2:$D$7, F53, 1), 0), 1)</f>
        <v>0</v>
      </c>
      <c r="H53" s="145">
        <f t="array" ref="H53">ROUNDUP(IF(EQ(A53, ""), E53*INDEX(UncertaintyFactors!$C$2:$D$7, F53, 2), 0), 1)</f>
        <v>0</v>
      </c>
      <c r="I53" s="51"/>
      <c r="J53" s="27"/>
      <c r="K53" s="35"/>
      <c r="L53" s="83">
        <f t="shared" si="1"/>
        <v>0</v>
      </c>
      <c r="M53" s="84">
        <f t="shared" si="2"/>
        <v>6</v>
      </c>
      <c r="N53" s="85">
        <f t="array" ref="N53">ROUNDUP(IF(EQ(A53, ""),L53*INDEX(UncertaintyFactors!$C$2:$D$7, M53, 1), 0), 1)</f>
        <v>0</v>
      </c>
      <c r="O53" s="86">
        <f t="array" ref="O53">ROUNDUP(IF(EQ(A53, ""), L53*INDEX(UncertaintyFactors!$C$2:$D$7, M53, 2), 0), 1)</f>
        <v>0</v>
      </c>
      <c r="P53" s="35"/>
      <c r="Q53" s="35"/>
      <c r="R53" s="35"/>
      <c r="S53" s="35"/>
      <c r="T53" s="35"/>
      <c r="U53" s="35"/>
      <c r="V53" s="35"/>
      <c r="W53" s="35"/>
      <c r="X53" s="35"/>
      <c r="Y53" s="35"/>
      <c r="Z53" s="35"/>
      <c r="AA53" s="35"/>
    </row>
    <row r="54">
      <c r="A54" s="75"/>
      <c r="B54" s="97"/>
      <c r="C54" s="35"/>
      <c r="D54" s="77">
        <v>0.0</v>
      </c>
      <c r="E54" s="26"/>
      <c r="F54" s="147">
        <v>6.0</v>
      </c>
      <c r="G54" s="144">
        <f t="array" ref="G54">ROUNDUP(IF(EQ(A54, ""),E54*INDEX(UncertaintyFactors!$C$2:$D$7, F54, 1), 0), 1)</f>
        <v>0</v>
      </c>
      <c r="H54" s="145">
        <f t="array" ref="H54">ROUNDUP(IF(EQ(A54, ""), E54*INDEX(UncertaintyFactors!$C$2:$D$7, F54, 2), 0), 1)</f>
        <v>0</v>
      </c>
      <c r="I54" s="51"/>
      <c r="J54" s="27"/>
      <c r="K54" s="35"/>
      <c r="L54" s="83">
        <f t="shared" si="1"/>
        <v>0</v>
      </c>
      <c r="M54" s="84">
        <f t="shared" si="2"/>
        <v>6</v>
      </c>
      <c r="N54" s="85">
        <f t="array" ref="N54">ROUNDUP(IF(EQ(A54, ""),L54*INDEX(UncertaintyFactors!$C$2:$D$7, M54, 1), 0), 1)</f>
        <v>0</v>
      </c>
      <c r="O54" s="86">
        <f t="array" ref="O54">ROUNDUP(IF(EQ(A54, ""), L54*INDEX(UncertaintyFactors!$C$2:$D$7, M54, 2), 0), 1)</f>
        <v>0</v>
      </c>
      <c r="P54" s="35"/>
      <c r="Q54" s="35"/>
      <c r="R54" s="35"/>
      <c r="S54" s="35"/>
      <c r="T54" s="35"/>
      <c r="U54" s="35"/>
      <c r="V54" s="35"/>
      <c r="W54" s="35"/>
      <c r="X54" s="35"/>
      <c r="Y54" s="35"/>
      <c r="Z54" s="35"/>
      <c r="AA54" s="35"/>
    </row>
    <row r="55">
      <c r="A55" s="75"/>
      <c r="B55" s="97"/>
      <c r="C55" s="35"/>
      <c r="D55" s="77">
        <v>0.0</v>
      </c>
      <c r="E55" s="26"/>
      <c r="F55" s="147">
        <v>6.0</v>
      </c>
      <c r="G55" s="144">
        <f t="array" ref="G55">ROUNDUP(IF(EQ(A55, ""),E55*INDEX(UncertaintyFactors!$C$2:$D$7, F55, 1), 0), 1)</f>
        <v>0</v>
      </c>
      <c r="H55" s="145">
        <f t="array" ref="H55">ROUNDUP(IF(EQ(A55, ""), E55*INDEX(UncertaintyFactors!$C$2:$D$7, F55, 2), 0), 1)</f>
        <v>0</v>
      </c>
      <c r="I55" s="51"/>
      <c r="J55" s="27"/>
      <c r="K55" s="35"/>
      <c r="L55" s="83">
        <f t="shared" si="1"/>
        <v>0</v>
      </c>
      <c r="M55" s="84">
        <f t="shared" si="2"/>
        <v>6</v>
      </c>
      <c r="N55" s="85">
        <f t="array" ref="N55">ROUNDUP(IF(EQ(A55, ""),L55*INDEX(UncertaintyFactors!$C$2:$D$7, M55, 1), 0), 1)</f>
        <v>0</v>
      </c>
      <c r="O55" s="86">
        <f t="array" ref="O55">ROUNDUP(IF(EQ(A55, ""), L55*INDEX(UncertaintyFactors!$C$2:$D$7, M55, 2), 0), 1)</f>
        <v>0</v>
      </c>
      <c r="P55" s="35"/>
      <c r="Q55" s="35"/>
      <c r="R55" s="35"/>
      <c r="S55" s="35"/>
      <c r="T55" s="35"/>
      <c r="U55" s="35"/>
      <c r="V55" s="35"/>
      <c r="W55" s="35"/>
      <c r="X55" s="35"/>
      <c r="Y55" s="35"/>
      <c r="Z55" s="35"/>
      <c r="AA55" s="35"/>
    </row>
    <row r="56">
      <c r="A56" s="90"/>
      <c r="B56" s="90"/>
      <c r="C56" s="92"/>
      <c r="D56" s="92"/>
      <c r="E56" s="93">
        <f>ROUNDUP(SUM(E7:E55),0)</f>
        <v>0</v>
      </c>
      <c r="F56" s="94">
        <f>AVERAGE(F7:F55)</f>
        <v>6</v>
      </c>
      <c r="G56" s="95">
        <f t="shared" ref="G56:H56" si="3">ROUNDUP(SUM(G7:G55),0)</f>
        <v>0</v>
      </c>
      <c r="H56" s="95">
        <f t="shared" si="3"/>
        <v>0</v>
      </c>
      <c r="K56" s="82"/>
      <c r="L56" s="93">
        <f>ROUNDUP(SUM(L7:L55),0)</f>
        <v>0</v>
      </c>
      <c r="M56" s="94">
        <f t="shared" si="2"/>
        <v>6</v>
      </c>
      <c r="N56" s="95">
        <f t="shared" ref="N56:O56" si="4">ROUNDUP(SUM(N7:N55),0)</f>
        <v>0</v>
      </c>
      <c r="O56" s="95">
        <f t="shared" si="4"/>
        <v>0</v>
      </c>
      <c r="P56" s="35"/>
      <c r="Q56" s="35"/>
      <c r="R56" s="35"/>
      <c r="S56" s="35"/>
      <c r="T56" s="35"/>
      <c r="U56" s="35"/>
      <c r="V56" s="35"/>
      <c r="W56" s="35"/>
      <c r="X56" s="35"/>
      <c r="Y56" s="35"/>
      <c r="Z56" s="35"/>
      <c r="AA56" s="35"/>
    </row>
    <row r="57">
      <c r="A57" s="97"/>
      <c r="B57" s="97"/>
      <c r="C57" s="35"/>
      <c r="D57" s="116"/>
      <c r="E57" s="98" t="s">
        <v>86</v>
      </c>
      <c r="G57" s="148">
        <f>ROUNDUP(AVERAGE(G56:H56),0)</f>
        <v>0</v>
      </c>
      <c r="K57" s="82"/>
      <c r="L57" s="98" t="s">
        <v>86</v>
      </c>
      <c r="N57" s="148">
        <f>ROUNDUP(AVERAGE(N56:O56),0)</f>
        <v>0</v>
      </c>
      <c r="P57" s="35"/>
      <c r="Q57" s="35"/>
      <c r="R57" s="35"/>
      <c r="S57" s="35"/>
      <c r="T57" s="35"/>
      <c r="U57" s="35"/>
      <c r="V57" s="35"/>
      <c r="W57" s="35"/>
      <c r="X57" s="35"/>
      <c r="Y57" s="35"/>
      <c r="Z57" s="35"/>
      <c r="AA57" s="35"/>
    </row>
    <row r="58">
      <c r="A58" s="97"/>
      <c r="B58" s="97"/>
      <c r="C58" s="35"/>
      <c r="D58" s="116"/>
      <c r="E58" s="26"/>
      <c r="F58" s="51"/>
      <c r="G58" s="51"/>
      <c r="H58" s="51"/>
      <c r="I58" s="51"/>
      <c r="J58" s="27"/>
      <c r="K58" s="35"/>
      <c r="L58" s="35"/>
      <c r="M58" s="35"/>
      <c r="N58" s="35"/>
      <c r="O58" s="35"/>
      <c r="P58" s="35"/>
      <c r="Q58" s="35"/>
      <c r="R58" s="35"/>
      <c r="S58" s="35"/>
      <c r="T58" s="35"/>
      <c r="U58" s="35"/>
      <c r="V58" s="35"/>
      <c r="W58" s="35"/>
      <c r="X58" s="35"/>
      <c r="Y58" s="35"/>
      <c r="Z58" s="35"/>
      <c r="AA58" s="35"/>
    </row>
    <row r="59">
      <c r="A59" s="97"/>
      <c r="B59" s="97"/>
      <c r="C59" s="35"/>
      <c r="D59" s="116"/>
      <c r="E59" s="26"/>
      <c r="F59" s="51"/>
      <c r="G59" s="51"/>
      <c r="H59" s="51"/>
      <c r="I59" s="51"/>
      <c r="J59" s="27"/>
      <c r="K59" s="35"/>
      <c r="L59" s="35"/>
      <c r="M59" s="35"/>
      <c r="N59" s="35"/>
      <c r="O59" s="35"/>
      <c r="P59" s="35"/>
      <c r="Q59" s="35"/>
      <c r="R59" s="35"/>
      <c r="S59" s="35"/>
      <c r="T59" s="35"/>
      <c r="U59" s="35"/>
      <c r="V59" s="35"/>
      <c r="W59" s="35"/>
      <c r="X59" s="35"/>
      <c r="Y59" s="35"/>
      <c r="Z59" s="35"/>
      <c r="AA59" s="35"/>
    </row>
    <row r="60">
      <c r="A60" s="97"/>
      <c r="B60" s="97"/>
      <c r="C60" s="35"/>
      <c r="D60" s="116"/>
      <c r="E60" s="26"/>
      <c r="F60" s="51"/>
      <c r="G60" s="51"/>
      <c r="H60" s="51"/>
      <c r="I60" s="51"/>
      <c r="J60" s="27"/>
      <c r="K60" s="35"/>
      <c r="L60" s="35"/>
      <c r="M60" s="35"/>
      <c r="N60" s="35"/>
      <c r="O60" s="35"/>
      <c r="P60" s="35"/>
      <c r="Q60" s="35"/>
      <c r="R60" s="35"/>
      <c r="S60" s="35"/>
      <c r="T60" s="35"/>
      <c r="U60" s="35"/>
      <c r="V60" s="35"/>
      <c r="W60" s="35"/>
      <c r="X60" s="35"/>
      <c r="Y60" s="35"/>
      <c r="Z60" s="35"/>
      <c r="AA60" s="35"/>
    </row>
    <row r="61">
      <c r="A61" s="97"/>
      <c r="B61" s="97"/>
      <c r="C61" s="35"/>
      <c r="D61" s="116"/>
      <c r="E61" s="26"/>
      <c r="F61" s="51"/>
      <c r="G61" s="51"/>
      <c r="H61" s="51"/>
      <c r="I61" s="51"/>
      <c r="J61" s="27"/>
      <c r="K61" s="35"/>
      <c r="L61" s="35"/>
      <c r="M61" s="35"/>
      <c r="N61" s="35"/>
      <c r="O61" s="35"/>
      <c r="P61" s="35"/>
      <c r="Q61" s="35"/>
      <c r="R61" s="35"/>
      <c r="S61" s="35"/>
      <c r="T61" s="35"/>
      <c r="U61" s="35"/>
      <c r="V61" s="35"/>
      <c r="W61" s="35"/>
      <c r="X61" s="35"/>
      <c r="Y61" s="35"/>
      <c r="Z61" s="35"/>
      <c r="AA61" s="35"/>
    </row>
    <row r="62">
      <c r="A62" s="97"/>
      <c r="B62" s="97"/>
      <c r="C62" s="35"/>
      <c r="D62" s="116"/>
      <c r="E62" s="26"/>
      <c r="F62" s="51"/>
      <c r="G62" s="51"/>
      <c r="H62" s="51"/>
      <c r="I62" s="51"/>
      <c r="J62" s="27"/>
      <c r="K62" s="35"/>
      <c r="L62" s="35"/>
      <c r="M62" s="35"/>
      <c r="N62" s="35"/>
      <c r="O62" s="35"/>
      <c r="P62" s="35"/>
      <c r="Q62" s="35"/>
      <c r="R62" s="35"/>
      <c r="S62" s="35"/>
      <c r="T62" s="35"/>
      <c r="U62" s="35"/>
      <c r="V62" s="35"/>
      <c r="W62" s="35"/>
      <c r="X62" s="35"/>
      <c r="Y62" s="35"/>
      <c r="Z62" s="35"/>
      <c r="AA62" s="35"/>
    </row>
    <row r="63">
      <c r="A63" s="97"/>
      <c r="B63" s="97"/>
      <c r="C63" s="35"/>
      <c r="D63" s="116"/>
      <c r="E63" s="26"/>
      <c r="F63" s="51"/>
      <c r="G63" s="51"/>
      <c r="H63" s="51"/>
      <c r="I63" s="51"/>
      <c r="J63" s="27"/>
      <c r="K63" s="35"/>
      <c r="L63" s="35"/>
      <c r="M63" s="35"/>
      <c r="N63" s="35"/>
      <c r="O63" s="35"/>
      <c r="P63" s="35"/>
      <c r="Q63" s="35"/>
      <c r="R63" s="35"/>
      <c r="S63" s="35"/>
      <c r="T63" s="35"/>
      <c r="U63" s="35"/>
      <c r="V63" s="35"/>
      <c r="W63" s="35"/>
      <c r="X63" s="35"/>
      <c r="Y63" s="35"/>
      <c r="Z63" s="35"/>
      <c r="AA63" s="35"/>
    </row>
    <row r="64">
      <c r="A64" s="97"/>
      <c r="B64" s="97"/>
      <c r="C64" s="35"/>
      <c r="D64" s="116"/>
      <c r="E64" s="26"/>
      <c r="F64" s="51"/>
      <c r="G64" s="51"/>
      <c r="H64" s="51"/>
      <c r="I64" s="51"/>
      <c r="J64" s="27"/>
      <c r="K64" s="35"/>
      <c r="L64" s="35"/>
      <c r="M64" s="35"/>
      <c r="N64" s="35"/>
      <c r="O64" s="35"/>
      <c r="P64" s="35"/>
      <c r="Q64" s="35"/>
      <c r="R64" s="35"/>
      <c r="S64" s="35"/>
      <c r="T64" s="35"/>
      <c r="U64" s="35"/>
      <c r="V64" s="35"/>
      <c r="W64" s="35"/>
      <c r="X64" s="35"/>
      <c r="Y64" s="35"/>
      <c r="Z64" s="35"/>
      <c r="AA64" s="35"/>
    </row>
    <row r="65">
      <c r="A65" s="97"/>
      <c r="B65" s="97"/>
      <c r="C65" s="35"/>
      <c r="D65" s="116"/>
      <c r="E65" s="26"/>
      <c r="F65" s="51"/>
      <c r="G65" s="51"/>
      <c r="H65" s="51"/>
      <c r="I65" s="51"/>
      <c r="J65" s="27"/>
      <c r="K65" s="35"/>
      <c r="L65" s="35"/>
      <c r="M65" s="35"/>
      <c r="N65" s="35"/>
      <c r="O65" s="35"/>
      <c r="P65" s="35"/>
      <c r="Q65" s="35"/>
      <c r="R65" s="35"/>
      <c r="S65" s="35"/>
      <c r="T65" s="35"/>
      <c r="U65" s="35"/>
      <c r="V65" s="35"/>
      <c r="W65" s="35"/>
      <c r="X65" s="35"/>
      <c r="Y65" s="35"/>
      <c r="Z65" s="35"/>
      <c r="AA65" s="35"/>
    </row>
    <row r="66">
      <c r="A66" s="97"/>
      <c r="B66" s="97"/>
      <c r="C66" s="35"/>
      <c r="D66" s="116"/>
      <c r="E66" s="26"/>
      <c r="F66" s="51"/>
      <c r="G66" s="51"/>
      <c r="H66" s="51"/>
      <c r="I66" s="51"/>
      <c r="J66" s="27"/>
      <c r="K66" s="35"/>
      <c r="L66" s="35"/>
      <c r="M66" s="35"/>
      <c r="N66" s="35"/>
      <c r="O66" s="35"/>
      <c r="P66" s="35"/>
      <c r="Q66" s="35"/>
      <c r="R66" s="35"/>
      <c r="S66" s="35"/>
      <c r="T66" s="35"/>
      <c r="U66" s="35"/>
      <c r="V66" s="35"/>
      <c r="W66" s="35"/>
      <c r="X66" s="35"/>
      <c r="Y66" s="35"/>
      <c r="Z66" s="35"/>
      <c r="AA66" s="35"/>
    </row>
    <row r="67">
      <c r="A67" s="97"/>
      <c r="B67" s="97"/>
      <c r="C67" s="35"/>
      <c r="D67" s="116"/>
      <c r="E67" s="26"/>
      <c r="F67" s="51"/>
      <c r="G67" s="51"/>
      <c r="H67" s="51"/>
      <c r="I67" s="51"/>
      <c r="J67" s="27"/>
      <c r="K67" s="35"/>
      <c r="L67" s="35"/>
      <c r="M67" s="35"/>
      <c r="N67" s="35"/>
      <c r="O67" s="35"/>
      <c r="P67" s="35"/>
      <c r="Q67" s="35"/>
      <c r="R67" s="35"/>
      <c r="S67" s="35"/>
      <c r="T67" s="35"/>
      <c r="U67" s="35"/>
      <c r="V67" s="35"/>
      <c r="W67" s="35"/>
      <c r="X67" s="35"/>
      <c r="Y67" s="35"/>
      <c r="Z67" s="35"/>
      <c r="AA67" s="35"/>
    </row>
    <row r="68">
      <c r="A68" s="97"/>
      <c r="B68" s="97"/>
      <c r="C68" s="35"/>
      <c r="D68" s="116"/>
      <c r="E68" s="26"/>
      <c r="F68" s="51"/>
      <c r="G68" s="51"/>
      <c r="H68" s="51"/>
      <c r="I68" s="51"/>
      <c r="J68" s="27"/>
      <c r="K68" s="35"/>
      <c r="L68" s="35"/>
      <c r="M68" s="35"/>
      <c r="N68" s="35"/>
      <c r="O68" s="35"/>
      <c r="P68" s="35"/>
      <c r="Q68" s="35"/>
      <c r="R68" s="35"/>
      <c r="S68" s="35"/>
      <c r="T68" s="35"/>
      <c r="U68" s="35"/>
      <c r="V68" s="35"/>
      <c r="W68" s="35"/>
      <c r="X68" s="35"/>
      <c r="Y68" s="35"/>
      <c r="Z68" s="35"/>
      <c r="AA68" s="35"/>
    </row>
    <row r="69">
      <c r="A69" s="97"/>
      <c r="B69" s="97"/>
      <c r="C69" s="35"/>
      <c r="D69" s="116"/>
      <c r="E69" s="26"/>
      <c r="F69" s="51"/>
      <c r="G69" s="51"/>
      <c r="H69" s="51"/>
      <c r="I69" s="51"/>
      <c r="J69" s="27"/>
      <c r="K69" s="35"/>
      <c r="L69" s="35"/>
      <c r="M69" s="35"/>
      <c r="N69" s="35"/>
      <c r="O69" s="35"/>
      <c r="P69" s="35"/>
      <c r="Q69" s="35"/>
      <c r="R69" s="35"/>
      <c r="S69" s="35"/>
      <c r="T69" s="35"/>
      <c r="U69" s="35"/>
      <c r="V69" s="35"/>
      <c r="W69" s="35"/>
      <c r="X69" s="35"/>
      <c r="Y69" s="35"/>
      <c r="Z69" s="35"/>
      <c r="AA69" s="35"/>
    </row>
    <row r="70">
      <c r="A70" s="97"/>
      <c r="B70" s="97"/>
      <c r="C70" s="35"/>
      <c r="D70" s="116"/>
      <c r="E70" s="26"/>
      <c r="F70" s="51"/>
      <c r="G70" s="51"/>
      <c r="H70" s="51"/>
      <c r="I70" s="51"/>
      <c r="J70" s="27"/>
      <c r="K70" s="35"/>
      <c r="L70" s="35"/>
      <c r="M70" s="35"/>
      <c r="N70" s="35"/>
      <c r="O70" s="35"/>
      <c r="P70" s="35"/>
      <c r="Q70" s="35"/>
      <c r="R70" s="35"/>
      <c r="S70" s="35"/>
      <c r="T70" s="35"/>
      <c r="U70" s="35"/>
      <c r="V70" s="35"/>
      <c r="W70" s="35"/>
      <c r="X70" s="35"/>
      <c r="Y70" s="35"/>
      <c r="Z70" s="35"/>
      <c r="AA70" s="35"/>
    </row>
    <row r="71">
      <c r="A71" s="97"/>
      <c r="B71" s="97"/>
      <c r="C71" s="35"/>
      <c r="D71" s="116"/>
      <c r="E71" s="26"/>
      <c r="F71" s="51"/>
      <c r="G71" s="51"/>
      <c r="H71" s="51"/>
      <c r="I71" s="51"/>
      <c r="J71" s="27"/>
      <c r="K71" s="35"/>
      <c r="L71" s="35"/>
      <c r="M71" s="35"/>
      <c r="N71" s="35"/>
      <c r="O71" s="35"/>
      <c r="P71" s="35"/>
      <c r="Q71" s="35"/>
      <c r="R71" s="35"/>
      <c r="S71" s="35"/>
      <c r="T71" s="35"/>
      <c r="U71" s="35"/>
      <c r="V71" s="35"/>
      <c r="W71" s="35"/>
      <c r="X71" s="35"/>
      <c r="Y71" s="35"/>
      <c r="Z71" s="35"/>
      <c r="AA71" s="35"/>
    </row>
    <row r="72">
      <c r="A72" s="97"/>
      <c r="B72" s="97"/>
      <c r="C72" s="35"/>
      <c r="D72" s="116"/>
      <c r="E72" s="26"/>
      <c r="F72" s="51"/>
      <c r="G72" s="51"/>
      <c r="H72" s="51"/>
      <c r="I72" s="51"/>
      <c r="J72" s="27"/>
      <c r="K72" s="35"/>
      <c r="L72" s="35"/>
      <c r="M72" s="35"/>
      <c r="N72" s="35"/>
      <c r="O72" s="35"/>
      <c r="P72" s="35"/>
      <c r="Q72" s="35"/>
      <c r="R72" s="35"/>
      <c r="S72" s="35"/>
      <c r="T72" s="35"/>
      <c r="U72" s="35"/>
      <c r="V72" s="35"/>
      <c r="W72" s="35"/>
      <c r="X72" s="35"/>
      <c r="Y72" s="35"/>
      <c r="Z72" s="35"/>
      <c r="AA72" s="35"/>
    </row>
    <row r="73">
      <c r="A73" s="97"/>
      <c r="B73" s="97"/>
      <c r="C73" s="35"/>
      <c r="D73" s="116"/>
      <c r="E73" s="26"/>
      <c r="F73" s="51"/>
      <c r="G73" s="51"/>
      <c r="H73" s="51"/>
      <c r="I73" s="51"/>
      <c r="J73" s="27"/>
      <c r="K73" s="35"/>
      <c r="L73" s="35"/>
      <c r="M73" s="35"/>
      <c r="N73" s="35"/>
      <c r="O73" s="35"/>
      <c r="P73" s="35"/>
      <c r="Q73" s="35"/>
      <c r="R73" s="35"/>
      <c r="S73" s="35"/>
      <c r="T73" s="35"/>
      <c r="U73" s="35"/>
      <c r="V73" s="35"/>
      <c r="W73" s="35"/>
      <c r="X73" s="35"/>
      <c r="Y73" s="35"/>
      <c r="Z73" s="35"/>
      <c r="AA73" s="35"/>
    </row>
    <row r="74">
      <c r="A74" s="97"/>
      <c r="B74" s="97"/>
      <c r="C74" s="35"/>
      <c r="D74" s="116"/>
      <c r="E74" s="26"/>
      <c r="F74" s="51"/>
      <c r="G74" s="51"/>
      <c r="H74" s="51"/>
      <c r="I74" s="51"/>
      <c r="J74" s="27"/>
      <c r="K74" s="35"/>
      <c r="L74" s="35"/>
      <c r="M74" s="35"/>
      <c r="N74" s="35"/>
      <c r="O74" s="35"/>
      <c r="P74" s="35"/>
      <c r="Q74" s="35"/>
      <c r="R74" s="35"/>
      <c r="S74" s="35"/>
      <c r="T74" s="35"/>
      <c r="U74" s="35"/>
      <c r="V74" s="35"/>
      <c r="W74" s="35"/>
      <c r="X74" s="35"/>
      <c r="Y74" s="35"/>
      <c r="Z74" s="35"/>
      <c r="AA74" s="35"/>
    </row>
    <row r="75">
      <c r="A75" s="97"/>
      <c r="B75" s="97"/>
      <c r="C75" s="35"/>
      <c r="D75" s="116"/>
      <c r="E75" s="26"/>
      <c r="F75" s="51"/>
      <c r="G75" s="51"/>
      <c r="H75" s="51"/>
      <c r="I75" s="51"/>
      <c r="J75" s="27"/>
      <c r="K75" s="35"/>
      <c r="L75" s="35"/>
      <c r="M75" s="35"/>
      <c r="N75" s="35"/>
      <c r="O75" s="35"/>
      <c r="P75" s="35"/>
      <c r="Q75" s="35"/>
      <c r="R75" s="35"/>
      <c r="S75" s="35"/>
      <c r="T75" s="35"/>
      <c r="U75" s="35"/>
      <c r="V75" s="35"/>
      <c r="W75" s="35"/>
      <c r="X75" s="35"/>
      <c r="Y75" s="35"/>
      <c r="Z75" s="35"/>
      <c r="AA75" s="35"/>
    </row>
    <row r="76">
      <c r="A76" s="97"/>
      <c r="B76" s="97"/>
      <c r="C76" s="35"/>
      <c r="D76" s="116"/>
      <c r="E76" s="26"/>
      <c r="F76" s="51"/>
      <c r="G76" s="51"/>
      <c r="H76" s="51"/>
      <c r="I76" s="51"/>
      <c r="J76" s="27"/>
      <c r="K76" s="35"/>
      <c r="L76" s="35"/>
      <c r="M76" s="35"/>
      <c r="N76" s="35"/>
      <c r="O76" s="35"/>
      <c r="P76" s="35"/>
      <c r="Q76" s="35"/>
      <c r="R76" s="35"/>
      <c r="S76" s="35"/>
      <c r="T76" s="35"/>
      <c r="U76" s="35"/>
      <c r="V76" s="35"/>
      <c r="W76" s="35"/>
      <c r="X76" s="35"/>
      <c r="Y76" s="35"/>
      <c r="Z76" s="35"/>
      <c r="AA76" s="35"/>
    </row>
    <row r="77">
      <c r="A77" s="97"/>
      <c r="B77" s="97"/>
      <c r="C77" s="35"/>
      <c r="D77" s="116"/>
      <c r="E77" s="26"/>
      <c r="F77" s="51"/>
      <c r="G77" s="51"/>
      <c r="H77" s="51"/>
      <c r="I77" s="51"/>
      <c r="J77" s="27"/>
      <c r="K77" s="35"/>
      <c r="L77" s="35"/>
      <c r="M77" s="35"/>
      <c r="N77" s="35"/>
      <c r="O77" s="35"/>
      <c r="P77" s="35"/>
      <c r="Q77" s="35"/>
      <c r="R77" s="35"/>
      <c r="S77" s="35"/>
      <c r="T77" s="35"/>
      <c r="U77" s="35"/>
      <c r="V77" s="35"/>
      <c r="W77" s="35"/>
      <c r="X77" s="35"/>
      <c r="Y77" s="35"/>
      <c r="Z77" s="35"/>
      <c r="AA77" s="35"/>
    </row>
    <row r="78">
      <c r="A78" s="97"/>
      <c r="B78" s="97"/>
      <c r="C78" s="35"/>
      <c r="D78" s="116"/>
      <c r="E78" s="26"/>
      <c r="F78" s="51"/>
      <c r="G78" s="51"/>
      <c r="H78" s="51"/>
      <c r="I78" s="51"/>
      <c r="J78" s="27"/>
      <c r="K78" s="35"/>
      <c r="L78" s="35"/>
      <c r="M78" s="35"/>
      <c r="N78" s="35"/>
      <c r="O78" s="35"/>
      <c r="P78" s="35"/>
      <c r="Q78" s="35"/>
      <c r="R78" s="35"/>
      <c r="S78" s="35"/>
      <c r="T78" s="35"/>
      <c r="U78" s="35"/>
      <c r="V78" s="35"/>
      <c r="W78" s="35"/>
      <c r="X78" s="35"/>
      <c r="Y78" s="35"/>
      <c r="Z78" s="35"/>
      <c r="AA78" s="35"/>
    </row>
    <row r="79">
      <c r="A79" s="97"/>
      <c r="B79" s="97"/>
      <c r="C79" s="35"/>
      <c r="D79" s="116"/>
      <c r="E79" s="26"/>
      <c r="F79" s="51"/>
      <c r="G79" s="51"/>
      <c r="H79" s="51"/>
      <c r="I79" s="51"/>
      <c r="J79" s="27"/>
      <c r="K79" s="35"/>
      <c r="L79" s="35"/>
      <c r="M79" s="35"/>
      <c r="N79" s="35"/>
      <c r="O79" s="35"/>
      <c r="P79" s="35"/>
      <c r="Q79" s="35"/>
      <c r="R79" s="35"/>
      <c r="S79" s="35"/>
      <c r="T79" s="35"/>
      <c r="U79" s="35"/>
      <c r="V79" s="35"/>
      <c r="W79" s="35"/>
      <c r="X79" s="35"/>
      <c r="Y79" s="35"/>
      <c r="Z79" s="35"/>
      <c r="AA79" s="35"/>
    </row>
    <row r="80">
      <c r="A80" s="97"/>
      <c r="B80" s="97"/>
      <c r="C80" s="35"/>
      <c r="D80" s="116"/>
      <c r="E80" s="26"/>
      <c r="F80" s="51"/>
      <c r="G80" s="51"/>
      <c r="H80" s="51"/>
      <c r="I80" s="51"/>
      <c r="J80" s="27"/>
      <c r="K80" s="35"/>
      <c r="L80" s="35"/>
      <c r="M80" s="35"/>
      <c r="N80" s="35"/>
      <c r="O80" s="35"/>
      <c r="P80" s="35"/>
      <c r="Q80" s="35"/>
      <c r="R80" s="35"/>
      <c r="S80" s="35"/>
      <c r="T80" s="35"/>
      <c r="U80" s="35"/>
      <c r="V80" s="35"/>
      <c r="W80" s="35"/>
      <c r="X80" s="35"/>
      <c r="Y80" s="35"/>
      <c r="Z80" s="35"/>
      <c r="AA80" s="35"/>
    </row>
    <row r="81">
      <c r="A81" s="97"/>
      <c r="B81" s="97"/>
      <c r="C81" s="35"/>
      <c r="D81" s="116"/>
      <c r="E81" s="26"/>
      <c r="F81" s="51"/>
      <c r="G81" s="51"/>
      <c r="H81" s="51"/>
      <c r="I81" s="51"/>
      <c r="J81" s="27"/>
      <c r="K81" s="35"/>
      <c r="L81" s="35"/>
      <c r="M81" s="35"/>
      <c r="N81" s="35"/>
      <c r="O81" s="35"/>
      <c r="P81" s="35"/>
      <c r="Q81" s="35"/>
      <c r="R81" s="35"/>
      <c r="S81" s="35"/>
      <c r="T81" s="35"/>
      <c r="U81" s="35"/>
      <c r="V81" s="35"/>
      <c r="W81" s="35"/>
      <c r="X81" s="35"/>
      <c r="Y81" s="35"/>
      <c r="Z81" s="35"/>
      <c r="AA81" s="35"/>
    </row>
    <row r="82">
      <c r="A82" s="97"/>
      <c r="B82" s="97"/>
      <c r="C82" s="35"/>
      <c r="D82" s="116"/>
      <c r="E82" s="26"/>
      <c r="F82" s="51"/>
      <c r="G82" s="51"/>
      <c r="H82" s="51"/>
      <c r="I82" s="51"/>
      <c r="J82" s="27"/>
      <c r="K82" s="35"/>
      <c r="L82" s="35"/>
      <c r="M82" s="35"/>
      <c r="N82" s="35"/>
      <c r="O82" s="35"/>
      <c r="P82" s="35"/>
      <c r="Q82" s="35"/>
      <c r="R82" s="35"/>
      <c r="S82" s="35"/>
      <c r="T82" s="35"/>
      <c r="U82" s="35"/>
      <c r="V82" s="35"/>
      <c r="W82" s="35"/>
      <c r="X82" s="35"/>
      <c r="Y82" s="35"/>
      <c r="Z82" s="35"/>
      <c r="AA82" s="35"/>
    </row>
    <row r="83">
      <c r="A83" s="97"/>
      <c r="B83" s="97"/>
      <c r="C83" s="35"/>
      <c r="D83" s="116"/>
      <c r="E83" s="26"/>
      <c r="F83" s="51"/>
      <c r="G83" s="51"/>
      <c r="H83" s="51"/>
      <c r="I83" s="51"/>
      <c r="J83" s="27"/>
      <c r="K83" s="35"/>
      <c r="L83" s="35"/>
      <c r="M83" s="35"/>
      <c r="N83" s="35"/>
      <c r="O83" s="35"/>
      <c r="P83" s="35"/>
      <c r="Q83" s="35"/>
      <c r="R83" s="35"/>
      <c r="S83" s="35"/>
      <c r="T83" s="35"/>
      <c r="U83" s="35"/>
      <c r="V83" s="35"/>
      <c r="W83" s="35"/>
      <c r="X83" s="35"/>
      <c r="Y83" s="35"/>
      <c r="Z83" s="35"/>
      <c r="AA83" s="35"/>
    </row>
    <row r="84">
      <c r="A84" s="97"/>
      <c r="B84" s="97"/>
      <c r="C84" s="35"/>
      <c r="D84" s="116"/>
      <c r="E84" s="26"/>
      <c r="F84" s="51"/>
      <c r="G84" s="51"/>
      <c r="H84" s="51"/>
      <c r="I84" s="51"/>
      <c r="J84" s="27"/>
      <c r="K84" s="35"/>
      <c r="L84" s="35"/>
      <c r="M84" s="35"/>
      <c r="N84" s="35"/>
      <c r="O84" s="35"/>
      <c r="P84" s="35"/>
      <c r="Q84" s="35"/>
      <c r="R84" s="35"/>
      <c r="S84" s="35"/>
      <c r="T84" s="35"/>
      <c r="U84" s="35"/>
      <c r="V84" s="35"/>
      <c r="W84" s="35"/>
      <c r="X84" s="35"/>
      <c r="Y84" s="35"/>
      <c r="Z84" s="35"/>
      <c r="AA84" s="35"/>
    </row>
    <row r="85">
      <c r="A85" s="97"/>
      <c r="B85" s="97"/>
      <c r="C85" s="35"/>
      <c r="D85" s="116"/>
      <c r="E85" s="26"/>
      <c r="F85" s="51"/>
      <c r="G85" s="51"/>
      <c r="H85" s="51"/>
      <c r="I85" s="51"/>
      <c r="J85" s="27"/>
      <c r="K85" s="35"/>
      <c r="L85" s="35"/>
      <c r="M85" s="35"/>
      <c r="N85" s="35"/>
      <c r="O85" s="35"/>
      <c r="P85" s="35"/>
      <c r="Q85" s="35"/>
      <c r="R85" s="35"/>
      <c r="S85" s="35"/>
      <c r="T85" s="35"/>
      <c r="U85" s="35"/>
      <c r="V85" s="35"/>
      <c r="W85" s="35"/>
      <c r="X85" s="35"/>
      <c r="Y85" s="35"/>
      <c r="Z85" s="35"/>
      <c r="AA85" s="35"/>
    </row>
    <row r="86">
      <c r="A86" s="97"/>
      <c r="B86" s="97"/>
      <c r="C86" s="35"/>
      <c r="D86" s="116"/>
      <c r="E86" s="26"/>
      <c r="F86" s="51"/>
      <c r="G86" s="51"/>
      <c r="H86" s="51"/>
      <c r="I86" s="51"/>
      <c r="J86" s="27"/>
      <c r="K86" s="35"/>
      <c r="L86" s="35"/>
      <c r="M86" s="35"/>
      <c r="N86" s="35"/>
      <c r="O86" s="35"/>
      <c r="P86" s="35"/>
      <c r="Q86" s="35"/>
      <c r="R86" s="35"/>
      <c r="S86" s="35"/>
      <c r="T86" s="35"/>
      <c r="U86" s="35"/>
      <c r="V86" s="35"/>
      <c r="W86" s="35"/>
      <c r="X86" s="35"/>
      <c r="Y86" s="35"/>
      <c r="Z86" s="35"/>
      <c r="AA86" s="35"/>
    </row>
    <row r="87">
      <c r="A87" s="97"/>
      <c r="B87" s="97"/>
      <c r="C87" s="35"/>
      <c r="D87" s="116"/>
      <c r="E87" s="26"/>
      <c r="F87" s="51"/>
      <c r="G87" s="51"/>
      <c r="H87" s="51"/>
      <c r="I87" s="51"/>
      <c r="J87" s="27"/>
      <c r="K87" s="35"/>
      <c r="L87" s="35"/>
      <c r="M87" s="35"/>
      <c r="N87" s="35"/>
      <c r="O87" s="35"/>
      <c r="P87" s="35"/>
      <c r="Q87" s="35"/>
      <c r="R87" s="35"/>
      <c r="S87" s="35"/>
      <c r="T87" s="35"/>
      <c r="U87" s="35"/>
      <c r="V87" s="35"/>
      <c r="W87" s="35"/>
      <c r="X87" s="35"/>
      <c r="Y87" s="35"/>
      <c r="Z87" s="35"/>
      <c r="AA87" s="35"/>
    </row>
    <row r="88">
      <c r="A88" s="97"/>
      <c r="B88" s="97"/>
      <c r="C88" s="35"/>
      <c r="D88" s="116"/>
      <c r="E88" s="26"/>
      <c r="F88" s="51"/>
      <c r="G88" s="51"/>
      <c r="H88" s="51"/>
      <c r="I88" s="51"/>
      <c r="J88" s="27"/>
      <c r="K88" s="35"/>
      <c r="L88" s="35"/>
      <c r="M88" s="35"/>
      <c r="N88" s="35"/>
      <c r="O88" s="35"/>
      <c r="P88" s="35"/>
      <c r="Q88" s="35"/>
      <c r="R88" s="35"/>
      <c r="S88" s="35"/>
      <c r="T88" s="35"/>
      <c r="U88" s="35"/>
      <c r="V88" s="35"/>
      <c r="W88" s="35"/>
      <c r="X88" s="35"/>
      <c r="Y88" s="35"/>
      <c r="Z88" s="35"/>
      <c r="AA88" s="35"/>
    </row>
    <row r="89">
      <c r="A89" s="97"/>
      <c r="B89" s="97"/>
      <c r="C89" s="35"/>
      <c r="D89" s="116"/>
      <c r="E89" s="26"/>
      <c r="F89" s="51"/>
      <c r="G89" s="51"/>
      <c r="H89" s="51"/>
      <c r="I89" s="51"/>
      <c r="J89" s="27"/>
      <c r="K89" s="35"/>
      <c r="L89" s="35"/>
      <c r="M89" s="35"/>
      <c r="N89" s="35"/>
      <c r="O89" s="35"/>
      <c r="P89" s="35"/>
      <c r="Q89" s="35"/>
      <c r="R89" s="35"/>
      <c r="S89" s="35"/>
      <c r="T89" s="35"/>
      <c r="U89" s="35"/>
      <c r="V89" s="35"/>
      <c r="W89" s="35"/>
      <c r="X89" s="35"/>
      <c r="Y89" s="35"/>
      <c r="Z89" s="35"/>
      <c r="AA89" s="35"/>
    </row>
    <row r="90">
      <c r="A90" s="97"/>
      <c r="B90" s="97"/>
      <c r="C90" s="35"/>
      <c r="D90" s="116"/>
      <c r="E90" s="26"/>
      <c r="F90" s="51"/>
      <c r="G90" s="51"/>
      <c r="H90" s="51"/>
      <c r="I90" s="51"/>
      <c r="J90" s="27"/>
      <c r="K90" s="35"/>
      <c r="L90" s="35"/>
      <c r="M90" s="35"/>
      <c r="N90" s="35"/>
      <c r="O90" s="35"/>
      <c r="P90" s="35"/>
      <c r="Q90" s="35"/>
      <c r="R90" s="35"/>
      <c r="S90" s="35"/>
      <c r="T90" s="35"/>
      <c r="U90" s="35"/>
      <c r="V90" s="35"/>
      <c r="W90" s="35"/>
      <c r="X90" s="35"/>
      <c r="Y90" s="35"/>
      <c r="Z90" s="35"/>
      <c r="AA90" s="35"/>
    </row>
    <row r="91">
      <c r="A91" s="97"/>
      <c r="B91" s="97"/>
      <c r="C91" s="35"/>
      <c r="D91" s="116"/>
      <c r="E91" s="26"/>
      <c r="F91" s="51"/>
      <c r="G91" s="51"/>
      <c r="H91" s="51"/>
      <c r="I91" s="51"/>
      <c r="J91" s="27"/>
      <c r="K91" s="35"/>
      <c r="L91" s="35"/>
      <c r="M91" s="35"/>
      <c r="N91" s="35"/>
      <c r="O91" s="35"/>
      <c r="P91" s="35"/>
      <c r="Q91" s="35"/>
      <c r="R91" s="35"/>
      <c r="S91" s="35"/>
      <c r="T91" s="35"/>
      <c r="U91" s="35"/>
      <c r="V91" s="35"/>
      <c r="W91" s="35"/>
      <c r="X91" s="35"/>
      <c r="Y91" s="35"/>
      <c r="Z91" s="35"/>
      <c r="AA91" s="35"/>
    </row>
    <row r="92">
      <c r="A92" s="97"/>
      <c r="B92" s="97"/>
      <c r="C92" s="35"/>
      <c r="D92" s="116"/>
      <c r="E92" s="26"/>
      <c r="F92" s="51"/>
      <c r="G92" s="51"/>
      <c r="H92" s="51"/>
      <c r="I92" s="51"/>
      <c r="J92" s="27"/>
      <c r="K92" s="35"/>
      <c r="L92" s="35"/>
      <c r="M92" s="35"/>
      <c r="N92" s="35"/>
      <c r="O92" s="35"/>
      <c r="P92" s="35"/>
      <c r="Q92" s="35"/>
      <c r="R92" s="35"/>
      <c r="S92" s="35"/>
      <c r="T92" s="35"/>
      <c r="U92" s="35"/>
      <c r="V92" s="35"/>
      <c r="W92" s="35"/>
      <c r="X92" s="35"/>
      <c r="Y92" s="35"/>
      <c r="Z92" s="35"/>
      <c r="AA92" s="35"/>
    </row>
    <row r="93">
      <c r="A93" s="97"/>
      <c r="B93" s="97"/>
      <c r="C93" s="35"/>
      <c r="D93" s="116"/>
      <c r="E93" s="26"/>
      <c r="F93" s="51"/>
      <c r="G93" s="51"/>
      <c r="H93" s="51"/>
      <c r="I93" s="51"/>
      <c r="J93" s="27"/>
      <c r="K93" s="35"/>
      <c r="L93" s="35"/>
      <c r="M93" s="35"/>
      <c r="N93" s="35"/>
      <c r="O93" s="35"/>
      <c r="P93" s="35"/>
      <c r="Q93" s="35"/>
      <c r="R93" s="35"/>
      <c r="S93" s="35"/>
      <c r="T93" s="35"/>
      <c r="U93" s="35"/>
      <c r="V93" s="35"/>
      <c r="W93" s="35"/>
      <c r="X93" s="35"/>
      <c r="Y93" s="35"/>
      <c r="Z93" s="35"/>
      <c r="AA93" s="35"/>
    </row>
    <row r="94">
      <c r="A94" s="97"/>
      <c r="B94" s="97"/>
      <c r="C94" s="35"/>
      <c r="D94" s="116"/>
      <c r="E94" s="26"/>
      <c r="F94" s="51"/>
      <c r="G94" s="51"/>
      <c r="H94" s="51"/>
      <c r="I94" s="51"/>
      <c r="J94" s="27"/>
      <c r="K94" s="35"/>
      <c r="L94" s="35"/>
      <c r="M94" s="35"/>
      <c r="N94" s="35"/>
      <c r="O94" s="35"/>
      <c r="P94" s="35"/>
      <c r="Q94" s="35"/>
      <c r="R94" s="35"/>
      <c r="S94" s="35"/>
      <c r="T94" s="35"/>
      <c r="U94" s="35"/>
      <c r="V94" s="35"/>
      <c r="W94" s="35"/>
      <c r="X94" s="35"/>
      <c r="Y94" s="35"/>
      <c r="Z94" s="35"/>
      <c r="AA94" s="35"/>
    </row>
    <row r="95">
      <c r="A95" s="97"/>
      <c r="B95" s="97"/>
      <c r="C95" s="35"/>
      <c r="D95" s="116"/>
      <c r="E95" s="26"/>
      <c r="F95" s="51"/>
      <c r="G95" s="51"/>
      <c r="H95" s="51"/>
      <c r="I95" s="51"/>
      <c r="J95" s="27"/>
      <c r="K95" s="35"/>
      <c r="L95" s="35"/>
      <c r="M95" s="35"/>
      <c r="N95" s="35"/>
      <c r="O95" s="35"/>
      <c r="P95" s="35"/>
      <c r="Q95" s="35"/>
      <c r="R95" s="35"/>
      <c r="S95" s="35"/>
      <c r="T95" s="35"/>
      <c r="U95" s="35"/>
      <c r="V95" s="35"/>
      <c r="W95" s="35"/>
      <c r="X95" s="35"/>
      <c r="Y95" s="35"/>
      <c r="Z95" s="35"/>
      <c r="AA95" s="35"/>
    </row>
    <row r="96">
      <c r="A96" s="97"/>
      <c r="B96" s="97"/>
      <c r="C96" s="35"/>
      <c r="D96" s="116"/>
      <c r="E96" s="26"/>
      <c r="F96" s="51"/>
      <c r="G96" s="51"/>
      <c r="H96" s="51"/>
      <c r="I96" s="51"/>
      <c r="J96" s="27"/>
      <c r="K96" s="35"/>
      <c r="L96" s="35"/>
      <c r="M96" s="35"/>
      <c r="N96" s="35"/>
      <c r="O96" s="35"/>
      <c r="P96" s="35"/>
      <c r="Q96" s="35"/>
      <c r="R96" s="35"/>
      <c r="S96" s="35"/>
      <c r="T96" s="35"/>
      <c r="U96" s="35"/>
      <c r="V96" s="35"/>
      <c r="W96" s="35"/>
      <c r="X96" s="35"/>
      <c r="Y96" s="35"/>
      <c r="Z96" s="35"/>
      <c r="AA96" s="35"/>
    </row>
    <row r="97">
      <c r="A97" s="97"/>
      <c r="B97" s="97"/>
      <c r="C97" s="35"/>
      <c r="D97" s="116"/>
      <c r="E97" s="26"/>
      <c r="F97" s="51"/>
      <c r="G97" s="51"/>
      <c r="H97" s="51"/>
      <c r="I97" s="51"/>
      <c r="J97" s="27"/>
      <c r="K97" s="35"/>
      <c r="L97" s="35"/>
      <c r="M97" s="35"/>
      <c r="N97" s="35"/>
      <c r="O97" s="35"/>
      <c r="P97" s="35"/>
      <c r="Q97" s="35"/>
      <c r="R97" s="35"/>
      <c r="S97" s="35"/>
      <c r="T97" s="35"/>
      <c r="U97" s="35"/>
      <c r="V97" s="35"/>
      <c r="W97" s="35"/>
      <c r="X97" s="35"/>
      <c r="Y97" s="35"/>
      <c r="Z97" s="35"/>
      <c r="AA97" s="35"/>
    </row>
    <row r="98">
      <c r="A98" s="97"/>
      <c r="B98" s="97"/>
      <c r="C98" s="35"/>
      <c r="D98" s="116"/>
      <c r="E98" s="26"/>
      <c r="F98" s="51"/>
      <c r="G98" s="51"/>
      <c r="H98" s="51"/>
      <c r="I98" s="51"/>
      <c r="J98" s="27"/>
      <c r="K98" s="35"/>
      <c r="L98" s="35"/>
      <c r="M98" s="35"/>
      <c r="N98" s="35"/>
      <c r="O98" s="35"/>
      <c r="P98" s="35"/>
      <c r="Q98" s="35"/>
      <c r="R98" s="35"/>
      <c r="S98" s="35"/>
      <c r="T98" s="35"/>
      <c r="U98" s="35"/>
      <c r="V98" s="35"/>
      <c r="W98" s="35"/>
      <c r="X98" s="35"/>
      <c r="Y98" s="35"/>
      <c r="Z98" s="35"/>
      <c r="AA98" s="35"/>
    </row>
    <row r="99">
      <c r="A99" s="97"/>
      <c r="B99" s="97"/>
      <c r="C99" s="35"/>
      <c r="D99" s="116"/>
      <c r="E99" s="26"/>
      <c r="F99" s="51"/>
      <c r="G99" s="51"/>
      <c r="H99" s="51"/>
      <c r="I99" s="51"/>
      <c r="J99" s="27"/>
      <c r="K99" s="35"/>
      <c r="L99" s="35"/>
      <c r="M99" s="35"/>
      <c r="N99" s="35"/>
      <c r="O99" s="35"/>
      <c r="P99" s="35"/>
      <c r="Q99" s="35"/>
      <c r="R99" s="35"/>
      <c r="S99" s="35"/>
      <c r="T99" s="35"/>
      <c r="U99" s="35"/>
      <c r="V99" s="35"/>
      <c r="W99" s="35"/>
      <c r="X99" s="35"/>
      <c r="Y99" s="35"/>
      <c r="Z99" s="35"/>
      <c r="AA99" s="35"/>
    </row>
    <row r="100">
      <c r="A100" s="97"/>
      <c r="B100" s="97"/>
      <c r="C100" s="35"/>
      <c r="D100" s="116"/>
      <c r="E100" s="26"/>
      <c r="F100" s="51"/>
      <c r="G100" s="51"/>
      <c r="H100" s="51"/>
      <c r="I100" s="51"/>
      <c r="J100" s="27"/>
      <c r="K100" s="35"/>
      <c r="L100" s="35"/>
      <c r="M100" s="35"/>
      <c r="N100" s="35"/>
      <c r="O100" s="35"/>
      <c r="P100" s="35"/>
      <c r="Q100" s="35"/>
      <c r="R100" s="35"/>
      <c r="S100" s="35"/>
      <c r="T100" s="35"/>
      <c r="U100" s="35"/>
      <c r="V100" s="35"/>
      <c r="W100" s="35"/>
      <c r="X100" s="35"/>
      <c r="Y100" s="35"/>
      <c r="Z100" s="35"/>
      <c r="AA100" s="35"/>
    </row>
    <row r="101">
      <c r="A101" s="97"/>
      <c r="B101" s="97"/>
      <c r="C101" s="35"/>
      <c r="D101" s="116"/>
      <c r="E101" s="26"/>
      <c r="F101" s="51"/>
      <c r="G101" s="51"/>
      <c r="H101" s="51"/>
      <c r="I101" s="51"/>
      <c r="J101" s="27"/>
      <c r="K101" s="35"/>
      <c r="L101" s="35"/>
      <c r="M101" s="35"/>
      <c r="N101" s="35"/>
      <c r="O101" s="35"/>
      <c r="P101" s="35"/>
      <c r="Q101" s="35"/>
      <c r="R101" s="35"/>
      <c r="S101" s="35"/>
      <c r="T101" s="35"/>
      <c r="U101" s="35"/>
      <c r="V101" s="35"/>
      <c r="W101" s="35"/>
      <c r="X101" s="35"/>
      <c r="Y101" s="35"/>
      <c r="Z101" s="35"/>
      <c r="AA101" s="35"/>
    </row>
    <row r="102">
      <c r="A102" s="97"/>
      <c r="B102" s="97"/>
      <c r="C102" s="35"/>
      <c r="D102" s="116"/>
      <c r="E102" s="26"/>
      <c r="F102" s="51"/>
      <c r="G102" s="51"/>
      <c r="H102" s="51"/>
      <c r="I102" s="51"/>
      <c r="J102" s="27"/>
      <c r="K102" s="35"/>
      <c r="L102" s="35"/>
      <c r="M102" s="35"/>
      <c r="N102" s="35"/>
      <c r="O102" s="35"/>
      <c r="P102" s="35"/>
      <c r="Q102" s="35"/>
      <c r="R102" s="35"/>
      <c r="S102" s="35"/>
      <c r="T102" s="35"/>
      <c r="U102" s="35"/>
      <c r="V102" s="35"/>
      <c r="W102" s="35"/>
      <c r="X102" s="35"/>
      <c r="Y102" s="35"/>
      <c r="Z102" s="35"/>
      <c r="AA102" s="35"/>
    </row>
    <row r="103">
      <c r="A103" s="97"/>
      <c r="B103" s="97"/>
      <c r="C103" s="35"/>
      <c r="D103" s="116"/>
      <c r="E103" s="26"/>
      <c r="F103" s="51"/>
      <c r="G103" s="51"/>
      <c r="H103" s="51"/>
      <c r="I103" s="51"/>
      <c r="J103" s="27"/>
      <c r="K103" s="35"/>
      <c r="L103" s="35"/>
      <c r="M103" s="35"/>
      <c r="N103" s="35"/>
      <c r="O103" s="35"/>
      <c r="P103" s="35"/>
      <c r="Q103" s="35"/>
      <c r="R103" s="35"/>
      <c r="S103" s="35"/>
      <c r="T103" s="35"/>
      <c r="U103" s="35"/>
      <c r="V103" s="35"/>
      <c r="W103" s="35"/>
      <c r="X103" s="35"/>
      <c r="Y103" s="35"/>
      <c r="Z103" s="35"/>
      <c r="AA103" s="35"/>
    </row>
    <row r="104">
      <c r="A104" s="97"/>
      <c r="B104" s="97"/>
      <c r="C104" s="35"/>
      <c r="D104" s="116"/>
      <c r="E104" s="26"/>
      <c r="F104" s="51"/>
      <c r="G104" s="51"/>
      <c r="H104" s="51"/>
      <c r="I104" s="51"/>
      <c r="J104" s="27"/>
      <c r="K104" s="35"/>
      <c r="L104" s="35"/>
      <c r="M104" s="35"/>
      <c r="N104" s="35"/>
      <c r="O104" s="35"/>
      <c r="P104" s="35"/>
      <c r="Q104" s="35"/>
      <c r="R104" s="35"/>
      <c r="S104" s="35"/>
      <c r="T104" s="35"/>
      <c r="U104" s="35"/>
      <c r="V104" s="35"/>
      <c r="W104" s="35"/>
      <c r="X104" s="35"/>
      <c r="Y104" s="35"/>
      <c r="Z104" s="35"/>
      <c r="AA104" s="35"/>
    </row>
    <row r="105">
      <c r="A105" s="97"/>
      <c r="B105" s="97"/>
      <c r="C105" s="35"/>
      <c r="D105" s="116"/>
      <c r="E105" s="26"/>
      <c r="F105" s="51"/>
      <c r="G105" s="51"/>
      <c r="H105" s="51"/>
      <c r="I105" s="51"/>
      <c r="J105" s="27"/>
      <c r="K105" s="35"/>
      <c r="L105" s="35"/>
      <c r="M105" s="35"/>
      <c r="N105" s="35"/>
      <c r="O105" s="35"/>
      <c r="P105" s="35"/>
      <c r="Q105" s="35"/>
      <c r="R105" s="35"/>
      <c r="S105" s="35"/>
      <c r="T105" s="35"/>
      <c r="U105" s="35"/>
      <c r="V105" s="35"/>
      <c r="W105" s="35"/>
      <c r="X105" s="35"/>
      <c r="Y105" s="35"/>
      <c r="Z105" s="35"/>
      <c r="AA105" s="35"/>
    </row>
    <row r="106">
      <c r="A106" s="97"/>
      <c r="B106" s="97"/>
      <c r="C106" s="35"/>
      <c r="D106" s="116"/>
      <c r="E106" s="26"/>
      <c r="F106" s="51"/>
      <c r="G106" s="51"/>
      <c r="H106" s="51"/>
      <c r="I106" s="51"/>
      <c r="J106" s="27"/>
      <c r="K106" s="35"/>
      <c r="L106" s="35"/>
      <c r="M106" s="35"/>
      <c r="N106" s="35"/>
      <c r="O106" s="35"/>
      <c r="P106" s="35"/>
      <c r="Q106" s="35"/>
      <c r="R106" s="35"/>
      <c r="S106" s="35"/>
      <c r="T106" s="35"/>
      <c r="U106" s="35"/>
      <c r="V106" s="35"/>
      <c r="W106" s="35"/>
      <c r="X106" s="35"/>
      <c r="Y106" s="35"/>
      <c r="Z106" s="35"/>
      <c r="AA106" s="35"/>
    </row>
    <row r="107">
      <c r="A107" s="97"/>
      <c r="B107" s="97"/>
      <c r="C107" s="35"/>
      <c r="D107" s="116"/>
      <c r="E107" s="26"/>
      <c r="F107" s="51"/>
      <c r="G107" s="51"/>
      <c r="H107" s="51"/>
      <c r="I107" s="51"/>
      <c r="J107" s="27"/>
      <c r="K107" s="35"/>
      <c r="L107" s="35"/>
      <c r="M107" s="35"/>
      <c r="N107" s="35"/>
      <c r="O107" s="35"/>
      <c r="P107" s="35"/>
      <c r="Q107" s="35"/>
      <c r="R107" s="35"/>
      <c r="S107" s="35"/>
      <c r="T107" s="35"/>
      <c r="U107" s="35"/>
      <c r="V107" s="35"/>
      <c r="W107" s="35"/>
      <c r="X107" s="35"/>
      <c r="Y107" s="35"/>
      <c r="Z107" s="35"/>
      <c r="AA107" s="35"/>
    </row>
    <row r="108">
      <c r="A108" s="97"/>
      <c r="B108" s="97"/>
      <c r="C108" s="35"/>
      <c r="D108" s="116"/>
      <c r="E108" s="26"/>
      <c r="F108" s="51"/>
      <c r="G108" s="51"/>
      <c r="H108" s="51"/>
      <c r="I108" s="51"/>
      <c r="J108" s="27"/>
      <c r="K108" s="35"/>
      <c r="L108" s="35"/>
      <c r="M108" s="35"/>
      <c r="N108" s="35"/>
      <c r="O108" s="35"/>
      <c r="P108" s="35"/>
      <c r="Q108" s="35"/>
      <c r="R108" s="35"/>
      <c r="S108" s="35"/>
      <c r="T108" s="35"/>
      <c r="U108" s="35"/>
      <c r="V108" s="35"/>
      <c r="W108" s="35"/>
      <c r="X108" s="35"/>
      <c r="Y108" s="35"/>
      <c r="Z108" s="35"/>
      <c r="AA108" s="35"/>
    </row>
    <row r="109">
      <c r="A109" s="97"/>
      <c r="B109" s="97"/>
      <c r="C109" s="35"/>
      <c r="D109" s="116"/>
      <c r="E109" s="26"/>
      <c r="F109" s="51"/>
      <c r="G109" s="51"/>
      <c r="H109" s="51"/>
      <c r="I109" s="51"/>
      <c r="J109" s="27"/>
      <c r="K109" s="35"/>
      <c r="L109" s="35"/>
      <c r="M109" s="35"/>
      <c r="N109" s="35"/>
      <c r="O109" s="35"/>
      <c r="P109" s="35"/>
      <c r="Q109" s="35"/>
      <c r="R109" s="35"/>
      <c r="S109" s="35"/>
      <c r="T109" s="35"/>
      <c r="U109" s="35"/>
      <c r="V109" s="35"/>
      <c r="W109" s="35"/>
      <c r="X109" s="35"/>
      <c r="Y109" s="35"/>
      <c r="Z109" s="35"/>
      <c r="AA109" s="35"/>
    </row>
    <row r="110">
      <c r="A110" s="97"/>
      <c r="B110" s="97"/>
      <c r="C110" s="35"/>
      <c r="D110" s="116"/>
      <c r="E110" s="26"/>
      <c r="F110" s="51"/>
      <c r="G110" s="51"/>
      <c r="H110" s="51"/>
      <c r="I110" s="51"/>
      <c r="J110" s="27"/>
      <c r="K110" s="35"/>
      <c r="L110" s="35"/>
      <c r="M110" s="35"/>
      <c r="N110" s="35"/>
      <c r="O110" s="35"/>
      <c r="P110" s="35"/>
      <c r="Q110" s="35"/>
      <c r="R110" s="35"/>
      <c r="S110" s="35"/>
      <c r="T110" s="35"/>
      <c r="U110" s="35"/>
      <c r="V110" s="35"/>
      <c r="W110" s="35"/>
      <c r="X110" s="35"/>
      <c r="Y110" s="35"/>
      <c r="Z110" s="35"/>
      <c r="AA110" s="35"/>
    </row>
    <row r="111">
      <c r="A111" s="97"/>
      <c r="B111" s="97"/>
      <c r="C111" s="35"/>
      <c r="D111" s="116"/>
      <c r="E111" s="26"/>
      <c r="F111" s="51"/>
      <c r="G111" s="51"/>
      <c r="H111" s="51"/>
      <c r="I111" s="51"/>
      <c r="J111" s="27"/>
      <c r="K111" s="35"/>
      <c r="L111" s="35"/>
      <c r="M111" s="35"/>
      <c r="N111" s="35"/>
      <c r="O111" s="35"/>
      <c r="P111" s="35"/>
      <c r="Q111" s="35"/>
      <c r="R111" s="35"/>
      <c r="S111" s="35"/>
      <c r="T111" s="35"/>
      <c r="U111" s="35"/>
      <c r="V111" s="35"/>
      <c r="W111" s="35"/>
      <c r="X111" s="35"/>
      <c r="Y111" s="35"/>
      <c r="Z111" s="35"/>
      <c r="AA111" s="35"/>
    </row>
    <row r="112">
      <c r="A112" s="97"/>
      <c r="B112" s="97"/>
      <c r="C112" s="35"/>
      <c r="D112" s="116"/>
      <c r="E112" s="26"/>
      <c r="F112" s="51"/>
      <c r="G112" s="51"/>
      <c r="H112" s="51"/>
      <c r="I112" s="51"/>
      <c r="J112" s="27"/>
      <c r="K112" s="35"/>
      <c r="L112" s="35"/>
      <c r="M112" s="35"/>
      <c r="N112" s="35"/>
      <c r="O112" s="35"/>
      <c r="P112" s="35"/>
      <c r="Q112" s="35"/>
      <c r="R112" s="35"/>
      <c r="S112" s="35"/>
      <c r="T112" s="35"/>
      <c r="U112" s="35"/>
      <c r="V112" s="35"/>
      <c r="W112" s="35"/>
      <c r="X112" s="35"/>
      <c r="Y112" s="35"/>
      <c r="Z112" s="35"/>
      <c r="AA112" s="35"/>
    </row>
    <row r="113">
      <c r="A113" s="97"/>
      <c r="B113" s="97"/>
      <c r="C113" s="35"/>
      <c r="D113" s="116"/>
      <c r="E113" s="26"/>
      <c r="F113" s="51"/>
      <c r="G113" s="51"/>
      <c r="H113" s="51"/>
      <c r="I113" s="51"/>
      <c r="J113" s="27"/>
      <c r="K113" s="35"/>
      <c r="L113" s="35"/>
      <c r="M113" s="35"/>
      <c r="N113" s="35"/>
      <c r="O113" s="35"/>
      <c r="P113" s="35"/>
      <c r="Q113" s="35"/>
      <c r="R113" s="35"/>
      <c r="S113" s="35"/>
      <c r="T113" s="35"/>
      <c r="U113" s="35"/>
      <c r="V113" s="35"/>
      <c r="W113" s="35"/>
      <c r="X113" s="35"/>
      <c r="Y113" s="35"/>
      <c r="Z113" s="35"/>
      <c r="AA113" s="35"/>
    </row>
    <row r="114">
      <c r="A114" s="97"/>
      <c r="B114" s="97"/>
      <c r="C114" s="35"/>
      <c r="D114" s="116"/>
      <c r="E114" s="26"/>
      <c r="F114" s="51"/>
      <c r="G114" s="51"/>
      <c r="H114" s="51"/>
      <c r="I114" s="51"/>
      <c r="J114" s="27"/>
      <c r="K114" s="35"/>
      <c r="L114" s="35"/>
      <c r="M114" s="35"/>
      <c r="N114" s="35"/>
      <c r="O114" s="35"/>
      <c r="P114" s="35"/>
      <c r="Q114" s="35"/>
      <c r="R114" s="35"/>
      <c r="S114" s="35"/>
      <c r="T114" s="35"/>
      <c r="U114" s="35"/>
      <c r="V114" s="35"/>
      <c r="W114" s="35"/>
      <c r="X114" s="35"/>
      <c r="Y114" s="35"/>
      <c r="Z114" s="35"/>
      <c r="AA114" s="35"/>
    </row>
    <row r="115">
      <c r="A115" s="97"/>
      <c r="B115" s="97"/>
      <c r="C115" s="35"/>
      <c r="D115" s="116"/>
      <c r="E115" s="26"/>
      <c r="F115" s="51"/>
      <c r="G115" s="51"/>
      <c r="H115" s="51"/>
      <c r="I115" s="51"/>
      <c r="J115" s="27"/>
      <c r="K115" s="35"/>
      <c r="L115" s="35"/>
      <c r="M115" s="35"/>
      <c r="N115" s="35"/>
      <c r="O115" s="35"/>
      <c r="P115" s="35"/>
      <c r="Q115" s="35"/>
      <c r="R115" s="35"/>
      <c r="S115" s="35"/>
      <c r="T115" s="35"/>
      <c r="U115" s="35"/>
      <c r="V115" s="35"/>
      <c r="W115" s="35"/>
      <c r="X115" s="35"/>
      <c r="Y115" s="35"/>
      <c r="Z115" s="35"/>
      <c r="AA115" s="35"/>
    </row>
    <row r="116">
      <c r="A116" s="97"/>
      <c r="B116" s="97"/>
      <c r="C116" s="35"/>
      <c r="D116" s="116"/>
      <c r="E116" s="26"/>
      <c r="F116" s="51"/>
      <c r="G116" s="51"/>
      <c r="H116" s="51"/>
      <c r="I116" s="51"/>
      <c r="J116" s="27"/>
      <c r="K116" s="35"/>
      <c r="L116" s="35"/>
      <c r="M116" s="35"/>
      <c r="N116" s="35"/>
      <c r="O116" s="35"/>
      <c r="P116" s="35"/>
      <c r="Q116" s="35"/>
      <c r="R116" s="35"/>
      <c r="S116" s="35"/>
      <c r="T116" s="35"/>
      <c r="U116" s="35"/>
      <c r="V116" s="35"/>
      <c r="W116" s="35"/>
      <c r="X116" s="35"/>
      <c r="Y116" s="35"/>
      <c r="Z116" s="35"/>
      <c r="AA116" s="35"/>
    </row>
    <row r="117">
      <c r="A117" s="97"/>
      <c r="B117" s="97"/>
      <c r="C117" s="35"/>
      <c r="D117" s="116"/>
      <c r="E117" s="26"/>
      <c r="F117" s="51"/>
      <c r="G117" s="51"/>
      <c r="H117" s="51"/>
      <c r="I117" s="51"/>
      <c r="J117" s="27"/>
      <c r="K117" s="35"/>
      <c r="L117" s="35"/>
      <c r="M117" s="35"/>
      <c r="N117" s="35"/>
      <c r="O117" s="35"/>
      <c r="P117" s="35"/>
      <c r="Q117" s="35"/>
      <c r="R117" s="35"/>
      <c r="S117" s="35"/>
      <c r="T117" s="35"/>
      <c r="U117" s="35"/>
      <c r="V117" s="35"/>
      <c r="W117" s="35"/>
      <c r="X117" s="35"/>
      <c r="Y117" s="35"/>
      <c r="Z117" s="35"/>
      <c r="AA117" s="35"/>
    </row>
    <row r="118">
      <c r="A118" s="97"/>
      <c r="B118" s="97"/>
      <c r="C118" s="35"/>
      <c r="D118" s="116"/>
      <c r="E118" s="26"/>
      <c r="F118" s="51"/>
      <c r="G118" s="51"/>
      <c r="H118" s="51"/>
      <c r="I118" s="51"/>
      <c r="J118" s="27"/>
      <c r="K118" s="35"/>
      <c r="L118" s="35"/>
      <c r="M118" s="35"/>
      <c r="N118" s="35"/>
      <c r="O118" s="35"/>
      <c r="P118" s="35"/>
      <c r="Q118" s="35"/>
      <c r="R118" s="35"/>
      <c r="S118" s="35"/>
      <c r="T118" s="35"/>
      <c r="U118" s="35"/>
      <c r="V118" s="35"/>
      <c r="W118" s="35"/>
      <c r="X118" s="35"/>
      <c r="Y118" s="35"/>
      <c r="Z118" s="35"/>
      <c r="AA118" s="35"/>
    </row>
    <row r="119">
      <c r="A119" s="97"/>
      <c r="B119" s="97"/>
      <c r="C119" s="35"/>
      <c r="D119" s="116"/>
      <c r="E119" s="26"/>
      <c r="F119" s="51"/>
      <c r="G119" s="51"/>
      <c r="H119" s="51"/>
      <c r="I119" s="51"/>
      <c r="J119" s="27"/>
      <c r="K119" s="35"/>
      <c r="L119" s="35"/>
      <c r="M119" s="35"/>
      <c r="N119" s="35"/>
      <c r="O119" s="35"/>
      <c r="P119" s="35"/>
      <c r="Q119" s="35"/>
      <c r="R119" s="35"/>
      <c r="S119" s="35"/>
      <c r="T119" s="35"/>
      <c r="U119" s="35"/>
      <c r="V119" s="35"/>
      <c r="W119" s="35"/>
      <c r="X119" s="35"/>
      <c r="Y119" s="35"/>
      <c r="Z119" s="35"/>
      <c r="AA119" s="35"/>
    </row>
    <row r="120">
      <c r="A120" s="97"/>
      <c r="B120" s="97"/>
      <c r="C120" s="35"/>
      <c r="D120" s="116"/>
      <c r="E120" s="26"/>
      <c r="F120" s="51"/>
      <c r="G120" s="51"/>
      <c r="H120" s="51"/>
      <c r="I120" s="51"/>
      <c r="J120" s="27"/>
      <c r="K120" s="35"/>
      <c r="L120" s="35"/>
      <c r="M120" s="35"/>
      <c r="N120" s="35"/>
      <c r="O120" s="35"/>
      <c r="P120" s="35"/>
      <c r="Q120" s="35"/>
      <c r="R120" s="35"/>
      <c r="S120" s="35"/>
      <c r="T120" s="35"/>
      <c r="U120" s="35"/>
      <c r="V120" s="35"/>
      <c r="W120" s="35"/>
      <c r="X120" s="35"/>
      <c r="Y120" s="35"/>
      <c r="Z120" s="35"/>
      <c r="AA120" s="35"/>
    </row>
    <row r="121">
      <c r="A121" s="97"/>
      <c r="B121" s="97"/>
      <c r="C121" s="35"/>
      <c r="D121" s="26"/>
      <c r="E121" s="26"/>
      <c r="F121" s="51"/>
      <c r="G121" s="51"/>
      <c r="H121" s="51"/>
      <c r="I121" s="51"/>
      <c r="J121" s="27"/>
      <c r="K121" s="35"/>
      <c r="L121" s="35"/>
      <c r="M121" s="35"/>
      <c r="N121" s="35"/>
      <c r="O121" s="35"/>
      <c r="P121" s="35"/>
      <c r="Q121" s="35"/>
      <c r="R121" s="35"/>
      <c r="S121" s="35"/>
      <c r="T121" s="35"/>
      <c r="U121" s="35"/>
      <c r="V121" s="35"/>
      <c r="W121" s="35"/>
      <c r="X121" s="35"/>
      <c r="Y121" s="35"/>
      <c r="Z121" s="35"/>
      <c r="AA121" s="35"/>
    </row>
    <row r="122">
      <c r="A122" s="97"/>
      <c r="B122" s="97"/>
      <c r="C122" s="35"/>
      <c r="D122" s="26"/>
      <c r="E122" s="26"/>
      <c r="F122" s="51"/>
      <c r="G122" s="51"/>
      <c r="H122" s="51"/>
      <c r="I122" s="51"/>
      <c r="J122" s="27"/>
      <c r="K122" s="35"/>
      <c r="L122" s="35"/>
      <c r="M122" s="35"/>
      <c r="N122" s="35"/>
      <c r="O122" s="35"/>
      <c r="P122" s="35"/>
      <c r="Q122" s="35"/>
      <c r="R122" s="35"/>
      <c r="S122" s="35"/>
      <c r="T122" s="35"/>
      <c r="U122" s="35"/>
      <c r="V122" s="35"/>
      <c r="W122" s="35"/>
      <c r="X122" s="35"/>
      <c r="Y122" s="35"/>
      <c r="Z122" s="35"/>
      <c r="AA122" s="35"/>
    </row>
    <row r="123">
      <c r="A123" s="97"/>
      <c r="B123" s="97"/>
      <c r="C123" s="35"/>
      <c r="D123" s="26"/>
      <c r="E123" s="26"/>
      <c r="F123" s="51"/>
      <c r="G123" s="51"/>
      <c r="H123" s="51"/>
      <c r="I123" s="51"/>
      <c r="J123" s="27"/>
      <c r="K123" s="35"/>
      <c r="L123" s="35"/>
      <c r="M123" s="35"/>
      <c r="N123" s="35"/>
      <c r="O123" s="35"/>
      <c r="P123" s="35"/>
      <c r="Q123" s="35"/>
      <c r="R123" s="35"/>
      <c r="S123" s="35"/>
      <c r="T123" s="35"/>
      <c r="U123" s="35"/>
      <c r="V123" s="35"/>
      <c r="W123" s="35"/>
      <c r="X123" s="35"/>
      <c r="Y123" s="35"/>
      <c r="Z123" s="35"/>
      <c r="AA123" s="35"/>
    </row>
    <row r="124">
      <c r="A124" s="97"/>
      <c r="B124" s="97"/>
      <c r="C124" s="35"/>
      <c r="D124" s="26"/>
      <c r="E124" s="26"/>
      <c r="F124" s="51"/>
      <c r="G124" s="51"/>
      <c r="H124" s="51"/>
      <c r="I124" s="51"/>
      <c r="J124" s="27"/>
      <c r="K124" s="35"/>
      <c r="L124" s="35"/>
      <c r="M124" s="35"/>
      <c r="N124" s="35"/>
      <c r="O124" s="35"/>
      <c r="P124" s="35"/>
      <c r="Q124" s="35"/>
      <c r="R124" s="35"/>
      <c r="S124" s="35"/>
      <c r="T124" s="35"/>
      <c r="U124" s="35"/>
      <c r="V124" s="35"/>
      <c r="W124" s="35"/>
      <c r="X124" s="35"/>
      <c r="Y124" s="35"/>
      <c r="Z124" s="35"/>
      <c r="AA124" s="35"/>
    </row>
    <row r="125">
      <c r="A125" s="97"/>
      <c r="B125" s="97"/>
      <c r="C125" s="35"/>
      <c r="D125" s="26"/>
      <c r="E125" s="26"/>
      <c r="F125" s="51"/>
      <c r="G125" s="51"/>
      <c r="H125" s="51"/>
      <c r="I125" s="51"/>
      <c r="J125" s="27"/>
      <c r="K125" s="35"/>
      <c r="L125" s="35"/>
      <c r="M125" s="35"/>
      <c r="N125" s="35"/>
      <c r="O125" s="35"/>
      <c r="P125" s="35"/>
      <c r="Q125" s="35"/>
      <c r="R125" s="35"/>
      <c r="S125" s="35"/>
      <c r="T125" s="35"/>
      <c r="U125" s="35"/>
      <c r="V125" s="35"/>
      <c r="W125" s="35"/>
      <c r="X125" s="35"/>
      <c r="Y125" s="35"/>
      <c r="Z125" s="35"/>
      <c r="AA125" s="35"/>
    </row>
    <row r="126">
      <c r="A126" s="97"/>
      <c r="B126" s="97"/>
      <c r="C126" s="35"/>
      <c r="D126" s="26"/>
      <c r="E126" s="26"/>
      <c r="F126" s="51"/>
      <c r="G126" s="51"/>
      <c r="H126" s="51"/>
      <c r="I126" s="51"/>
      <c r="J126" s="27"/>
      <c r="K126" s="35"/>
      <c r="L126" s="35"/>
      <c r="M126" s="35"/>
      <c r="N126" s="35"/>
      <c r="O126" s="35"/>
      <c r="P126" s="35"/>
      <c r="Q126" s="35"/>
      <c r="R126" s="35"/>
      <c r="S126" s="35"/>
      <c r="T126" s="35"/>
      <c r="U126" s="35"/>
      <c r="V126" s="35"/>
      <c r="W126" s="35"/>
      <c r="X126" s="35"/>
      <c r="Y126" s="35"/>
      <c r="Z126" s="35"/>
      <c r="AA126" s="35"/>
    </row>
    <row r="127">
      <c r="A127" s="35"/>
      <c r="B127" s="35"/>
      <c r="C127" s="35"/>
      <c r="D127" s="26"/>
      <c r="E127" s="26"/>
      <c r="F127" s="51"/>
      <c r="G127" s="51"/>
      <c r="H127" s="51"/>
      <c r="I127" s="51"/>
      <c r="J127" s="27"/>
      <c r="K127" s="35"/>
      <c r="L127" s="35"/>
      <c r="M127" s="35"/>
      <c r="N127" s="35"/>
      <c r="O127" s="35"/>
      <c r="P127" s="35"/>
      <c r="Q127" s="35"/>
      <c r="R127" s="35"/>
      <c r="S127" s="35"/>
      <c r="T127" s="35"/>
      <c r="U127" s="35"/>
      <c r="V127" s="35"/>
      <c r="W127" s="35"/>
      <c r="X127" s="35"/>
      <c r="Y127" s="35"/>
      <c r="Z127" s="35"/>
      <c r="AA127" s="35"/>
    </row>
    <row r="128">
      <c r="A128" s="35"/>
      <c r="B128" s="35"/>
      <c r="C128" s="35"/>
      <c r="D128" s="26"/>
      <c r="E128" s="26"/>
      <c r="F128" s="51"/>
      <c r="G128" s="51"/>
      <c r="H128" s="51"/>
      <c r="I128" s="51"/>
      <c r="J128" s="27"/>
      <c r="K128" s="35"/>
      <c r="L128" s="35"/>
      <c r="M128" s="35"/>
      <c r="N128" s="35"/>
      <c r="O128" s="35"/>
      <c r="P128" s="35"/>
      <c r="Q128" s="35"/>
      <c r="R128" s="35"/>
      <c r="S128" s="35"/>
      <c r="T128" s="35"/>
      <c r="U128" s="35"/>
      <c r="V128" s="35"/>
      <c r="W128" s="35"/>
      <c r="X128" s="35"/>
      <c r="Y128" s="35"/>
      <c r="Z128" s="35"/>
      <c r="AA128" s="35"/>
    </row>
    <row r="129">
      <c r="A129" s="35"/>
      <c r="B129" s="35"/>
      <c r="C129" s="35"/>
      <c r="D129" s="26"/>
      <c r="E129" s="26"/>
      <c r="F129" s="51"/>
      <c r="G129" s="51"/>
      <c r="H129" s="51"/>
      <c r="I129" s="51"/>
      <c r="J129" s="27"/>
      <c r="K129" s="35"/>
      <c r="L129" s="35"/>
      <c r="M129" s="35"/>
      <c r="N129" s="35"/>
      <c r="O129" s="35"/>
      <c r="P129" s="35"/>
      <c r="Q129" s="35"/>
      <c r="R129" s="35"/>
      <c r="S129" s="35"/>
      <c r="T129" s="35"/>
      <c r="U129" s="35"/>
      <c r="V129" s="35"/>
      <c r="W129" s="35"/>
      <c r="X129" s="35"/>
      <c r="Y129" s="35"/>
      <c r="Z129" s="35"/>
      <c r="AA129" s="35"/>
    </row>
    <row r="130">
      <c r="A130" s="35"/>
      <c r="B130" s="35"/>
      <c r="C130" s="35"/>
      <c r="D130" s="26"/>
      <c r="E130" s="26"/>
      <c r="F130" s="51"/>
      <c r="G130" s="51"/>
      <c r="H130" s="51"/>
      <c r="I130" s="51"/>
      <c r="J130" s="27"/>
      <c r="K130" s="35"/>
      <c r="L130" s="35"/>
      <c r="M130" s="35"/>
      <c r="N130" s="35"/>
      <c r="O130" s="35"/>
      <c r="P130" s="35"/>
      <c r="Q130" s="35"/>
      <c r="R130" s="35"/>
      <c r="S130" s="35"/>
      <c r="T130" s="35"/>
      <c r="U130" s="35"/>
      <c r="V130" s="35"/>
      <c r="W130" s="35"/>
      <c r="X130" s="35"/>
      <c r="Y130" s="35"/>
      <c r="Z130" s="35"/>
      <c r="AA130" s="35"/>
    </row>
    <row r="131">
      <c r="A131" s="35"/>
      <c r="B131" s="35"/>
      <c r="C131" s="35"/>
      <c r="D131" s="26"/>
      <c r="E131" s="26"/>
      <c r="F131" s="51"/>
      <c r="G131" s="51"/>
      <c r="H131" s="51"/>
      <c r="I131" s="51"/>
      <c r="J131" s="27"/>
      <c r="K131" s="35"/>
      <c r="L131" s="35"/>
      <c r="M131" s="35"/>
      <c r="N131" s="35"/>
      <c r="O131" s="35"/>
      <c r="P131" s="35"/>
      <c r="Q131" s="35"/>
      <c r="R131" s="35"/>
      <c r="S131" s="35"/>
      <c r="T131" s="35"/>
      <c r="U131" s="35"/>
      <c r="V131" s="35"/>
      <c r="W131" s="35"/>
      <c r="X131" s="35"/>
      <c r="Y131" s="35"/>
      <c r="Z131" s="35"/>
      <c r="AA131" s="35"/>
    </row>
    <row r="132">
      <c r="A132" s="35"/>
      <c r="B132" s="35"/>
      <c r="C132" s="35"/>
      <c r="D132" s="26"/>
      <c r="E132" s="26"/>
      <c r="F132" s="51"/>
      <c r="G132" s="51"/>
      <c r="H132" s="51"/>
      <c r="I132" s="51"/>
      <c r="J132" s="27"/>
      <c r="K132" s="35"/>
      <c r="L132" s="35"/>
      <c r="M132" s="35"/>
      <c r="N132" s="35"/>
      <c r="O132" s="35"/>
      <c r="P132" s="35"/>
      <c r="Q132" s="35"/>
      <c r="R132" s="35"/>
      <c r="S132" s="35"/>
      <c r="T132" s="35"/>
      <c r="U132" s="35"/>
      <c r="V132" s="35"/>
      <c r="W132" s="35"/>
      <c r="X132" s="35"/>
      <c r="Y132" s="35"/>
      <c r="Z132" s="35"/>
      <c r="AA132" s="35"/>
    </row>
    <row r="133">
      <c r="A133" s="35"/>
      <c r="B133" s="35"/>
      <c r="C133" s="35"/>
      <c r="D133" s="26"/>
      <c r="E133" s="26"/>
      <c r="F133" s="51"/>
      <c r="G133" s="51"/>
      <c r="H133" s="51"/>
      <c r="I133" s="51"/>
      <c r="J133" s="27"/>
      <c r="K133" s="35"/>
      <c r="L133" s="35"/>
      <c r="M133" s="35"/>
      <c r="N133" s="35"/>
      <c r="O133" s="35"/>
      <c r="P133" s="35"/>
      <c r="Q133" s="35"/>
      <c r="R133" s="35"/>
      <c r="S133" s="35"/>
      <c r="T133" s="35"/>
      <c r="U133" s="35"/>
      <c r="V133" s="35"/>
      <c r="W133" s="35"/>
      <c r="X133" s="35"/>
      <c r="Y133" s="35"/>
      <c r="Z133" s="35"/>
      <c r="AA133" s="35"/>
    </row>
    <row r="134">
      <c r="A134" s="35"/>
      <c r="B134" s="35"/>
      <c r="C134" s="35"/>
      <c r="D134" s="26"/>
      <c r="E134" s="26"/>
      <c r="F134" s="51"/>
      <c r="G134" s="51"/>
      <c r="H134" s="51"/>
      <c r="I134" s="51"/>
      <c r="J134" s="27"/>
      <c r="K134" s="35"/>
      <c r="L134" s="35"/>
      <c r="M134" s="35"/>
      <c r="N134" s="35"/>
      <c r="O134" s="35"/>
      <c r="P134" s="35"/>
      <c r="Q134" s="35"/>
      <c r="R134" s="35"/>
      <c r="S134" s="35"/>
      <c r="T134" s="35"/>
      <c r="U134" s="35"/>
      <c r="V134" s="35"/>
      <c r="W134" s="35"/>
      <c r="X134" s="35"/>
      <c r="Y134" s="35"/>
      <c r="Z134" s="35"/>
      <c r="AA134" s="35"/>
    </row>
    <row r="135">
      <c r="A135" s="35"/>
      <c r="B135" s="35"/>
      <c r="C135" s="35"/>
      <c r="D135" s="26"/>
      <c r="E135" s="26"/>
      <c r="F135" s="51"/>
      <c r="G135" s="51"/>
      <c r="H135" s="51"/>
      <c r="I135" s="51"/>
      <c r="J135" s="27"/>
      <c r="K135" s="35"/>
      <c r="L135" s="35"/>
      <c r="M135" s="35"/>
      <c r="N135" s="35"/>
      <c r="O135" s="35"/>
      <c r="P135" s="35"/>
      <c r="Q135" s="35"/>
      <c r="R135" s="35"/>
      <c r="S135" s="35"/>
      <c r="T135" s="35"/>
      <c r="U135" s="35"/>
      <c r="V135" s="35"/>
      <c r="W135" s="35"/>
      <c r="X135" s="35"/>
      <c r="Y135" s="35"/>
      <c r="Z135" s="35"/>
      <c r="AA135" s="35"/>
    </row>
    <row r="136">
      <c r="A136" s="35"/>
      <c r="B136" s="35"/>
      <c r="C136" s="35"/>
      <c r="D136" s="26"/>
      <c r="E136" s="26"/>
      <c r="F136" s="51"/>
      <c r="G136" s="51"/>
      <c r="H136" s="51"/>
      <c r="I136" s="51"/>
      <c r="J136" s="27"/>
      <c r="K136" s="35"/>
      <c r="L136" s="35"/>
      <c r="M136" s="35"/>
      <c r="N136" s="35"/>
      <c r="O136" s="35"/>
      <c r="P136" s="35"/>
      <c r="Q136" s="35"/>
      <c r="R136" s="35"/>
      <c r="S136" s="35"/>
      <c r="T136" s="35"/>
      <c r="U136" s="35"/>
      <c r="V136" s="35"/>
      <c r="W136" s="35"/>
      <c r="X136" s="35"/>
      <c r="Y136" s="35"/>
      <c r="Z136" s="35"/>
      <c r="AA136" s="35"/>
    </row>
    <row r="137">
      <c r="A137" s="35"/>
      <c r="B137" s="35"/>
      <c r="C137" s="35"/>
      <c r="D137" s="26"/>
      <c r="E137" s="26"/>
      <c r="F137" s="51"/>
      <c r="G137" s="51"/>
      <c r="H137" s="51"/>
      <c r="I137" s="51"/>
      <c r="J137" s="27"/>
      <c r="K137" s="35"/>
      <c r="L137" s="35"/>
      <c r="M137" s="35"/>
      <c r="N137" s="35"/>
      <c r="O137" s="35"/>
      <c r="P137" s="35"/>
      <c r="Q137" s="35"/>
      <c r="R137" s="35"/>
      <c r="S137" s="35"/>
      <c r="T137" s="35"/>
      <c r="U137" s="35"/>
      <c r="V137" s="35"/>
      <c r="W137" s="35"/>
      <c r="X137" s="35"/>
      <c r="Y137" s="35"/>
      <c r="Z137" s="35"/>
      <c r="AA137" s="35"/>
    </row>
    <row r="138">
      <c r="A138" s="35"/>
      <c r="B138" s="35"/>
      <c r="C138" s="35"/>
      <c r="D138" s="26"/>
      <c r="E138" s="26"/>
      <c r="F138" s="51"/>
      <c r="G138" s="51"/>
      <c r="H138" s="51"/>
      <c r="I138" s="51"/>
      <c r="J138" s="27"/>
      <c r="K138" s="35"/>
      <c r="L138" s="35"/>
      <c r="M138" s="35"/>
      <c r="N138" s="35"/>
      <c r="O138" s="35"/>
      <c r="P138" s="35"/>
      <c r="Q138" s="35"/>
      <c r="R138" s="35"/>
      <c r="S138" s="35"/>
      <c r="T138" s="35"/>
      <c r="U138" s="35"/>
      <c r="V138" s="35"/>
      <c r="W138" s="35"/>
      <c r="X138" s="35"/>
      <c r="Y138" s="35"/>
      <c r="Z138" s="35"/>
      <c r="AA138" s="35"/>
    </row>
    <row r="139">
      <c r="A139" s="35"/>
      <c r="B139" s="35"/>
      <c r="C139" s="35"/>
      <c r="D139" s="26"/>
      <c r="E139" s="26"/>
      <c r="F139" s="51"/>
      <c r="G139" s="51"/>
      <c r="H139" s="51"/>
      <c r="I139" s="51"/>
      <c r="J139" s="27"/>
      <c r="K139" s="35"/>
      <c r="L139" s="35"/>
      <c r="M139" s="35"/>
      <c r="N139" s="35"/>
      <c r="O139" s="35"/>
      <c r="P139" s="35"/>
      <c r="Q139" s="35"/>
      <c r="R139" s="35"/>
      <c r="S139" s="35"/>
      <c r="T139" s="35"/>
      <c r="U139" s="35"/>
      <c r="V139" s="35"/>
      <c r="W139" s="35"/>
      <c r="X139" s="35"/>
      <c r="Y139" s="35"/>
      <c r="Z139" s="35"/>
      <c r="AA139" s="35"/>
    </row>
    <row r="140">
      <c r="A140" s="35"/>
      <c r="B140" s="35"/>
      <c r="C140" s="35"/>
      <c r="D140" s="26"/>
      <c r="E140" s="26"/>
      <c r="F140" s="51"/>
      <c r="G140" s="51"/>
      <c r="H140" s="51"/>
      <c r="I140" s="51"/>
      <c r="J140" s="27"/>
      <c r="K140" s="35"/>
      <c r="L140" s="35"/>
      <c r="M140" s="35"/>
      <c r="N140" s="35"/>
      <c r="O140" s="35"/>
      <c r="P140" s="35"/>
      <c r="Q140" s="35"/>
      <c r="R140" s="35"/>
      <c r="S140" s="35"/>
      <c r="T140" s="35"/>
      <c r="U140" s="35"/>
      <c r="V140" s="35"/>
      <c r="W140" s="35"/>
      <c r="X140" s="35"/>
      <c r="Y140" s="35"/>
      <c r="Z140" s="35"/>
      <c r="AA140" s="35"/>
    </row>
    <row r="141">
      <c r="A141" s="35"/>
      <c r="B141" s="35"/>
      <c r="C141" s="35"/>
      <c r="D141" s="26"/>
      <c r="E141" s="26"/>
      <c r="F141" s="51"/>
      <c r="G141" s="51"/>
      <c r="H141" s="51"/>
      <c r="I141" s="51"/>
      <c r="J141" s="27"/>
      <c r="K141" s="35"/>
      <c r="L141" s="35"/>
      <c r="M141" s="35"/>
      <c r="N141" s="35"/>
      <c r="O141" s="35"/>
      <c r="P141" s="35"/>
      <c r="Q141" s="35"/>
      <c r="R141" s="35"/>
      <c r="S141" s="35"/>
      <c r="T141" s="35"/>
      <c r="U141" s="35"/>
      <c r="V141" s="35"/>
      <c r="W141" s="35"/>
      <c r="X141" s="35"/>
      <c r="Y141" s="35"/>
      <c r="Z141" s="35"/>
      <c r="AA141" s="35"/>
    </row>
    <row r="142">
      <c r="A142" s="35"/>
      <c r="B142" s="35"/>
      <c r="C142" s="35"/>
      <c r="D142" s="26"/>
      <c r="E142" s="26"/>
      <c r="F142" s="51"/>
      <c r="G142" s="51"/>
      <c r="H142" s="51"/>
      <c r="I142" s="51"/>
      <c r="J142" s="27"/>
      <c r="K142" s="35"/>
      <c r="L142" s="35"/>
      <c r="M142" s="35"/>
      <c r="N142" s="35"/>
      <c r="O142" s="35"/>
      <c r="P142" s="35"/>
      <c r="Q142" s="35"/>
      <c r="R142" s="35"/>
      <c r="S142" s="35"/>
      <c r="T142" s="35"/>
      <c r="U142" s="35"/>
      <c r="V142" s="35"/>
      <c r="W142" s="35"/>
      <c r="X142" s="35"/>
      <c r="Y142" s="35"/>
      <c r="Z142" s="35"/>
      <c r="AA142" s="35"/>
    </row>
    <row r="143">
      <c r="A143" s="35"/>
      <c r="B143" s="35"/>
      <c r="C143" s="35"/>
      <c r="D143" s="26"/>
      <c r="E143" s="26"/>
      <c r="F143" s="51"/>
      <c r="G143" s="51"/>
      <c r="H143" s="51"/>
      <c r="I143" s="51"/>
      <c r="J143" s="27"/>
      <c r="K143" s="35"/>
      <c r="L143" s="35"/>
      <c r="M143" s="35"/>
      <c r="N143" s="35"/>
      <c r="O143" s="35"/>
      <c r="P143" s="35"/>
      <c r="Q143" s="35"/>
      <c r="R143" s="35"/>
      <c r="S143" s="35"/>
      <c r="T143" s="35"/>
      <c r="U143" s="35"/>
      <c r="V143" s="35"/>
      <c r="W143" s="35"/>
      <c r="X143" s="35"/>
      <c r="Y143" s="35"/>
      <c r="Z143" s="35"/>
      <c r="AA143" s="35"/>
    </row>
    <row r="144">
      <c r="A144" s="35"/>
      <c r="B144" s="35"/>
      <c r="C144" s="35"/>
      <c r="D144" s="26"/>
      <c r="E144" s="26"/>
      <c r="F144" s="51"/>
      <c r="G144" s="51"/>
      <c r="H144" s="51"/>
      <c r="I144" s="51"/>
      <c r="J144" s="27"/>
      <c r="K144" s="35"/>
      <c r="L144" s="35"/>
      <c r="M144" s="35"/>
      <c r="N144" s="35"/>
      <c r="O144" s="35"/>
      <c r="P144" s="35"/>
      <c r="Q144" s="35"/>
      <c r="R144" s="35"/>
      <c r="S144" s="35"/>
      <c r="T144" s="35"/>
      <c r="U144" s="35"/>
      <c r="V144" s="35"/>
      <c r="W144" s="35"/>
      <c r="X144" s="35"/>
      <c r="Y144" s="35"/>
      <c r="Z144" s="35"/>
      <c r="AA144" s="35"/>
    </row>
    <row r="145">
      <c r="A145" s="35"/>
      <c r="B145" s="35"/>
      <c r="C145" s="35"/>
      <c r="D145" s="26"/>
      <c r="E145" s="26"/>
      <c r="F145" s="51"/>
      <c r="G145" s="51"/>
      <c r="H145" s="51"/>
      <c r="I145" s="51"/>
      <c r="J145" s="27"/>
      <c r="K145" s="35"/>
      <c r="L145" s="35"/>
      <c r="M145" s="35"/>
      <c r="N145" s="35"/>
      <c r="O145" s="35"/>
      <c r="P145" s="35"/>
      <c r="Q145" s="35"/>
      <c r="R145" s="35"/>
      <c r="S145" s="35"/>
      <c r="T145" s="35"/>
      <c r="U145" s="35"/>
      <c r="V145" s="35"/>
      <c r="W145" s="35"/>
      <c r="X145" s="35"/>
      <c r="Y145" s="35"/>
      <c r="Z145" s="35"/>
      <c r="AA145" s="35"/>
    </row>
    <row r="146">
      <c r="A146" s="35"/>
      <c r="B146" s="35"/>
      <c r="C146" s="35"/>
      <c r="D146" s="26"/>
      <c r="E146" s="26"/>
      <c r="F146" s="51"/>
      <c r="G146" s="51"/>
      <c r="H146" s="51"/>
      <c r="I146" s="51"/>
      <c r="J146" s="27"/>
      <c r="K146" s="35"/>
      <c r="L146" s="35"/>
      <c r="M146" s="35"/>
      <c r="N146" s="35"/>
      <c r="O146" s="35"/>
      <c r="P146" s="35"/>
      <c r="Q146" s="35"/>
      <c r="R146" s="35"/>
      <c r="S146" s="35"/>
      <c r="T146" s="35"/>
      <c r="U146" s="35"/>
      <c r="V146" s="35"/>
      <c r="W146" s="35"/>
      <c r="X146" s="35"/>
      <c r="Y146" s="35"/>
      <c r="Z146" s="35"/>
      <c r="AA146" s="35"/>
    </row>
    <row r="147">
      <c r="A147" s="35"/>
      <c r="B147" s="35"/>
      <c r="C147" s="35"/>
      <c r="D147" s="26"/>
      <c r="E147" s="26"/>
      <c r="F147" s="51"/>
      <c r="G147" s="51"/>
      <c r="H147" s="51"/>
      <c r="I147" s="51"/>
      <c r="J147" s="27"/>
      <c r="K147" s="35"/>
      <c r="L147" s="35"/>
      <c r="M147" s="35"/>
      <c r="N147" s="35"/>
      <c r="O147" s="35"/>
      <c r="P147" s="35"/>
      <c r="Q147" s="35"/>
      <c r="R147" s="35"/>
      <c r="S147" s="35"/>
      <c r="T147" s="35"/>
      <c r="U147" s="35"/>
      <c r="V147" s="35"/>
      <c r="W147" s="35"/>
      <c r="X147" s="35"/>
      <c r="Y147" s="35"/>
      <c r="Z147" s="35"/>
      <c r="AA147" s="35"/>
    </row>
    <row r="148">
      <c r="A148" s="35"/>
      <c r="B148" s="35"/>
      <c r="C148" s="35"/>
      <c r="D148" s="26"/>
      <c r="E148" s="26"/>
      <c r="F148" s="51"/>
      <c r="G148" s="51"/>
      <c r="H148" s="51"/>
      <c r="I148" s="51"/>
      <c r="J148" s="27"/>
      <c r="K148" s="35"/>
      <c r="L148" s="35"/>
      <c r="M148" s="35"/>
      <c r="N148" s="35"/>
      <c r="O148" s="35"/>
      <c r="P148" s="35"/>
      <c r="Q148" s="35"/>
      <c r="R148" s="35"/>
      <c r="S148" s="35"/>
      <c r="T148" s="35"/>
      <c r="U148" s="35"/>
      <c r="V148" s="35"/>
      <c r="W148" s="35"/>
      <c r="X148" s="35"/>
      <c r="Y148" s="35"/>
      <c r="Z148" s="35"/>
      <c r="AA148" s="35"/>
    </row>
    <row r="149">
      <c r="A149" s="35"/>
      <c r="B149" s="35"/>
      <c r="C149" s="35"/>
      <c r="D149" s="26"/>
      <c r="E149" s="26"/>
      <c r="F149" s="51"/>
      <c r="G149" s="51"/>
      <c r="H149" s="51"/>
      <c r="I149" s="51"/>
      <c r="J149" s="27"/>
      <c r="K149" s="35"/>
      <c r="L149" s="35"/>
      <c r="M149" s="35"/>
      <c r="N149" s="35"/>
      <c r="O149" s="35"/>
      <c r="P149" s="35"/>
      <c r="Q149" s="35"/>
      <c r="R149" s="35"/>
      <c r="S149" s="35"/>
      <c r="T149" s="35"/>
      <c r="U149" s="35"/>
      <c r="V149" s="35"/>
      <c r="W149" s="35"/>
      <c r="X149" s="35"/>
      <c r="Y149" s="35"/>
      <c r="Z149" s="35"/>
      <c r="AA149" s="35"/>
    </row>
    <row r="150">
      <c r="A150" s="35"/>
      <c r="B150" s="35"/>
      <c r="C150" s="35"/>
      <c r="D150" s="26"/>
      <c r="E150" s="26"/>
      <c r="F150" s="51"/>
      <c r="G150" s="51"/>
      <c r="H150" s="51"/>
      <c r="I150" s="51"/>
      <c r="J150" s="27"/>
      <c r="K150" s="35"/>
      <c r="L150" s="35"/>
      <c r="M150" s="35"/>
      <c r="N150" s="35"/>
      <c r="O150" s="35"/>
      <c r="P150" s="35"/>
      <c r="Q150" s="35"/>
      <c r="R150" s="35"/>
      <c r="S150" s="35"/>
      <c r="T150" s="35"/>
      <c r="U150" s="35"/>
      <c r="V150" s="35"/>
      <c r="W150" s="35"/>
      <c r="X150" s="35"/>
      <c r="Y150" s="35"/>
      <c r="Z150" s="35"/>
      <c r="AA150" s="35"/>
    </row>
    <row r="151">
      <c r="A151" s="35"/>
      <c r="B151" s="35"/>
      <c r="C151" s="35"/>
      <c r="D151" s="26"/>
      <c r="E151" s="26"/>
      <c r="F151" s="51"/>
      <c r="G151" s="51"/>
      <c r="H151" s="51"/>
      <c r="I151" s="51"/>
      <c r="J151" s="27"/>
      <c r="K151" s="35"/>
      <c r="L151" s="35"/>
      <c r="M151" s="35"/>
      <c r="N151" s="35"/>
      <c r="O151" s="35"/>
      <c r="P151" s="35"/>
      <c r="Q151" s="35"/>
      <c r="R151" s="35"/>
      <c r="S151" s="35"/>
      <c r="T151" s="35"/>
      <c r="U151" s="35"/>
      <c r="V151" s="35"/>
      <c r="W151" s="35"/>
      <c r="X151" s="35"/>
      <c r="Y151" s="35"/>
      <c r="Z151" s="35"/>
      <c r="AA151" s="35"/>
    </row>
    <row r="152">
      <c r="A152" s="35"/>
      <c r="B152" s="35"/>
      <c r="C152" s="35"/>
      <c r="D152" s="26"/>
      <c r="E152" s="26"/>
      <c r="F152" s="51"/>
      <c r="G152" s="51"/>
      <c r="H152" s="51"/>
      <c r="I152" s="51"/>
      <c r="J152" s="27"/>
      <c r="K152" s="35"/>
      <c r="L152" s="35"/>
      <c r="M152" s="35"/>
      <c r="N152" s="35"/>
      <c r="O152" s="35"/>
      <c r="P152" s="35"/>
      <c r="Q152" s="35"/>
      <c r="R152" s="35"/>
      <c r="S152" s="35"/>
      <c r="T152" s="35"/>
      <c r="U152" s="35"/>
      <c r="V152" s="35"/>
      <c r="W152" s="35"/>
      <c r="X152" s="35"/>
      <c r="Y152" s="35"/>
      <c r="Z152" s="35"/>
      <c r="AA152" s="35"/>
    </row>
    <row r="153">
      <c r="A153" s="35"/>
      <c r="B153" s="35"/>
      <c r="C153" s="35"/>
      <c r="D153" s="26"/>
      <c r="E153" s="26"/>
      <c r="F153" s="51"/>
      <c r="G153" s="51"/>
      <c r="H153" s="51"/>
      <c r="I153" s="51"/>
      <c r="J153" s="27"/>
      <c r="K153" s="35"/>
      <c r="L153" s="35"/>
      <c r="M153" s="35"/>
      <c r="N153" s="35"/>
      <c r="O153" s="35"/>
      <c r="P153" s="35"/>
      <c r="Q153" s="35"/>
      <c r="R153" s="35"/>
      <c r="S153" s="35"/>
      <c r="T153" s="35"/>
      <c r="U153" s="35"/>
      <c r="V153" s="35"/>
      <c r="W153" s="35"/>
      <c r="X153" s="35"/>
      <c r="Y153" s="35"/>
      <c r="Z153" s="35"/>
      <c r="AA153" s="35"/>
    </row>
    <row r="154">
      <c r="A154" s="35"/>
      <c r="B154" s="35"/>
      <c r="C154" s="35"/>
      <c r="D154" s="26"/>
      <c r="E154" s="26"/>
      <c r="F154" s="51"/>
      <c r="G154" s="51"/>
      <c r="H154" s="51"/>
      <c r="I154" s="51"/>
      <c r="J154" s="27"/>
      <c r="K154" s="35"/>
      <c r="L154" s="35"/>
      <c r="M154" s="35"/>
      <c r="N154" s="35"/>
      <c r="O154" s="35"/>
      <c r="P154" s="35"/>
      <c r="Q154" s="35"/>
      <c r="R154" s="35"/>
      <c r="S154" s="35"/>
      <c r="T154" s="35"/>
      <c r="U154" s="35"/>
      <c r="V154" s="35"/>
      <c r="W154" s="35"/>
      <c r="X154" s="35"/>
      <c r="Y154" s="35"/>
      <c r="Z154" s="35"/>
      <c r="AA154" s="35"/>
    </row>
    <row r="155">
      <c r="A155" s="35"/>
      <c r="B155" s="35"/>
      <c r="C155" s="35"/>
      <c r="D155" s="26"/>
      <c r="E155" s="26"/>
      <c r="F155" s="51"/>
      <c r="G155" s="51"/>
      <c r="H155" s="51"/>
      <c r="I155" s="51"/>
      <c r="J155" s="27"/>
      <c r="K155" s="35"/>
      <c r="L155" s="35"/>
      <c r="M155" s="35"/>
      <c r="N155" s="35"/>
      <c r="O155" s="35"/>
      <c r="P155" s="35"/>
      <c r="Q155" s="35"/>
      <c r="R155" s="35"/>
      <c r="S155" s="35"/>
      <c r="T155" s="35"/>
      <c r="U155" s="35"/>
      <c r="V155" s="35"/>
      <c r="W155" s="35"/>
      <c r="X155" s="35"/>
      <c r="Y155" s="35"/>
      <c r="Z155" s="35"/>
      <c r="AA155" s="35"/>
    </row>
    <row r="156">
      <c r="A156" s="35"/>
      <c r="B156" s="35"/>
      <c r="C156" s="35"/>
      <c r="D156" s="26"/>
      <c r="E156" s="26"/>
      <c r="F156" s="51"/>
      <c r="G156" s="51"/>
      <c r="H156" s="51"/>
      <c r="I156" s="51"/>
      <c r="J156" s="27"/>
      <c r="K156" s="35"/>
      <c r="L156" s="35"/>
      <c r="M156" s="35"/>
      <c r="N156" s="35"/>
      <c r="O156" s="35"/>
      <c r="P156" s="35"/>
      <c r="Q156" s="35"/>
      <c r="R156" s="35"/>
      <c r="S156" s="35"/>
      <c r="T156" s="35"/>
      <c r="U156" s="35"/>
      <c r="V156" s="35"/>
      <c r="W156" s="35"/>
      <c r="X156" s="35"/>
      <c r="Y156" s="35"/>
      <c r="Z156" s="35"/>
      <c r="AA156" s="35"/>
    </row>
    <row r="157">
      <c r="A157" s="35"/>
      <c r="B157" s="35"/>
      <c r="C157" s="35"/>
      <c r="D157" s="26"/>
      <c r="E157" s="26"/>
      <c r="F157" s="51"/>
      <c r="G157" s="51"/>
      <c r="H157" s="51"/>
      <c r="I157" s="51"/>
      <c r="J157" s="27"/>
      <c r="K157" s="35"/>
      <c r="L157" s="35"/>
      <c r="M157" s="35"/>
      <c r="N157" s="35"/>
      <c r="O157" s="35"/>
      <c r="P157" s="35"/>
      <c r="Q157" s="35"/>
      <c r="R157" s="35"/>
      <c r="S157" s="35"/>
      <c r="T157" s="35"/>
      <c r="U157" s="35"/>
      <c r="V157" s="35"/>
      <c r="W157" s="35"/>
      <c r="X157" s="35"/>
      <c r="Y157" s="35"/>
      <c r="Z157" s="35"/>
      <c r="AA157" s="35"/>
    </row>
    <row r="158">
      <c r="A158" s="35"/>
      <c r="B158" s="35"/>
      <c r="C158" s="35"/>
      <c r="D158" s="26"/>
      <c r="E158" s="26"/>
      <c r="F158" s="51"/>
      <c r="G158" s="51"/>
      <c r="H158" s="51"/>
      <c r="I158" s="51"/>
      <c r="J158" s="27"/>
      <c r="K158" s="35"/>
      <c r="L158" s="35"/>
      <c r="M158" s="35"/>
      <c r="N158" s="35"/>
      <c r="O158" s="35"/>
      <c r="P158" s="35"/>
      <c r="Q158" s="35"/>
      <c r="R158" s="35"/>
      <c r="S158" s="35"/>
      <c r="T158" s="35"/>
      <c r="U158" s="35"/>
      <c r="V158" s="35"/>
      <c r="W158" s="35"/>
      <c r="X158" s="35"/>
      <c r="Y158" s="35"/>
      <c r="Z158" s="35"/>
      <c r="AA158" s="35"/>
    </row>
    <row r="159">
      <c r="A159" s="35"/>
      <c r="B159" s="35"/>
      <c r="C159" s="35"/>
      <c r="D159" s="26"/>
      <c r="E159" s="26"/>
      <c r="F159" s="51"/>
      <c r="G159" s="51"/>
      <c r="H159" s="51"/>
      <c r="I159" s="51"/>
      <c r="J159" s="27"/>
      <c r="K159" s="35"/>
      <c r="L159" s="35"/>
      <c r="M159" s="35"/>
      <c r="N159" s="35"/>
      <c r="O159" s="35"/>
      <c r="P159" s="35"/>
      <c r="Q159" s="35"/>
      <c r="R159" s="35"/>
      <c r="S159" s="35"/>
      <c r="T159" s="35"/>
      <c r="U159" s="35"/>
      <c r="V159" s="35"/>
      <c r="W159" s="35"/>
      <c r="X159" s="35"/>
      <c r="Y159" s="35"/>
      <c r="Z159" s="35"/>
      <c r="AA159" s="35"/>
    </row>
    <row r="160">
      <c r="A160" s="35"/>
      <c r="B160" s="35"/>
      <c r="C160" s="35"/>
      <c r="D160" s="26"/>
      <c r="E160" s="26"/>
      <c r="F160" s="51"/>
      <c r="G160" s="51"/>
      <c r="H160" s="51"/>
      <c r="I160" s="51"/>
      <c r="J160" s="27"/>
      <c r="K160" s="35"/>
      <c r="L160" s="35"/>
      <c r="M160" s="35"/>
      <c r="N160" s="35"/>
      <c r="O160" s="35"/>
      <c r="P160" s="35"/>
      <c r="Q160" s="35"/>
      <c r="R160" s="35"/>
      <c r="S160" s="35"/>
      <c r="T160" s="35"/>
      <c r="U160" s="35"/>
      <c r="V160" s="35"/>
      <c r="W160" s="35"/>
      <c r="X160" s="35"/>
      <c r="Y160" s="35"/>
      <c r="Z160" s="35"/>
      <c r="AA160" s="35"/>
    </row>
    <row r="161">
      <c r="A161" s="35"/>
      <c r="B161" s="35"/>
      <c r="C161" s="35"/>
      <c r="D161" s="26"/>
      <c r="E161" s="26"/>
      <c r="F161" s="51"/>
      <c r="G161" s="51"/>
      <c r="H161" s="51"/>
      <c r="I161" s="51"/>
      <c r="J161" s="27"/>
      <c r="K161" s="35"/>
      <c r="L161" s="35"/>
      <c r="M161" s="35"/>
      <c r="N161" s="35"/>
      <c r="O161" s="35"/>
      <c r="P161" s="35"/>
      <c r="Q161" s="35"/>
      <c r="R161" s="35"/>
      <c r="S161" s="35"/>
      <c r="T161" s="35"/>
      <c r="U161" s="35"/>
      <c r="V161" s="35"/>
      <c r="W161" s="35"/>
      <c r="X161" s="35"/>
      <c r="Y161" s="35"/>
      <c r="Z161" s="35"/>
      <c r="AA161" s="35"/>
    </row>
    <row r="162">
      <c r="A162" s="35"/>
      <c r="B162" s="35"/>
      <c r="C162" s="35"/>
      <c r="D162" s="26"/>
      <c r="E162" s="26"/>
      <c r="F162" s="51"/>
      <c r="G162" s="51"/>
      <c r="H162" s="51"/>
      <c r="I162" s="51"/>
      <c r="J162" s="27"/>
      <c r="K162" s="35"/>
      <c r="L162" s="35"/>
      <c r="M162" s="35"/>
      <c r="N162" s="35"/>
      <c r="O162" s="35"/>
      <c r="P162" s="35"/>
      <c r="Q162" s="35"/>
      <c r="R162" s="35"/>
      <c r="S162" s="35"/>
      <c r="T162" s="35"/>
      <c r="U162" s="35"/>
      <c r="V162" s="35"/>
      <c r="W162" s="35"/>
      <c r="X162" s="35"/>
      <c r="Y162" s="35"/>
      <c r="Z162" s="35"/>
      <c r="AA162" s="35"/>
    </row>
    <row r="163">
      <c r="A163" s="35"/>
      <c r="B163" s="35"/>
      <c r="C163" s="35"/>
      <c r="D163" s="26"/>
      <c r="E163" s="26"/>
      <c r="F163" s="51"/>
      <c r="G163" s="51"/>
      <c r="H163" s="51"/>
      <c r="I163" s="51"/>
      <c r="J163" s="27"/>
      <c r="K163" s="35"/>
      <c r="L163" s="35"/>
      <c r="M163" s="35"/>
      <c r="N163" s="35"/>
      <c r="O163" s="35"/>
      <c r="P163" s="35"/>
      <c r="Q163" s="35"/>
      <c r="R163" s="35"/>
      <c r="S163" s="35"/>
      <c r="T163" s="35"/>
      <c r="U163" s="35"/>
      <c r="V163" s="35"/>
      <c r="W163" s="35"/>
      <c r="X163" s="35"/>
      <c r="Y163" s="35"/>
      <c r="Z163" s="35"/>
      <c r="AA163" s="35"/>
    </row>
    <row r="164">
      <c r="A164" s="35"/>
      <c r="B164" s="35"/>
      <c r="C164" s="35"/>
      <c r="D164" s="26"/>
      <c r="E164" s="26"/>
      <c r="F164" s="51"/>
      <c r="G164" s="51"/>
      <c r="H164" s="51"/>
      <c r="I164" s="51"/>
      <c r="J164" s="27"/>
      <c r="K164" s="35"/>
      <c r="L164" s="35"/>
      <c r="M164" s="35"/>
      <c r="N164" s="35"/>
      <c r="O164" s="35"/>
      <c r="P164" s="35"/>
      <c r="Q164" s="35"/>
      <c r="R164" s="35"/>
      <c r="S164" s="35"/>
      <c r="T164" s="35"/>
      <c r="U164" s="35"/>
      <c r="V164" s="35"/>
      <c r="W164" s="35"/>
      <c r="X164" s="35"/>
      <c r="Y164" s="35"/>
      <c r="Z164" s="35"/>
      <c r="AA164" s="35"/>
    </row>
    <row r="165">
      <c r="A165" s="35"/>
      <c r="B165" s="35"/>
      <c r="C165" s="35"/>
      <c r="D165" s="26"/>
      <c r="E165" s="26"/>
      <c r="F165" s="51"/>
      <c r="G165" s="51"/>
      <c r="H165" s="51"/>
      <c r="I165" s="51"/>
      <c r="J165" s="27"/>
      <c r="K165" s="35"/>
      <c r="L165" s="35"/>
      <c r="M165" s="35"/>
      <c r="N165" s="35"/>
      <c r="O165" s="35"/>
      <c r="P165" s="35"/>
      <c r="Q165" s="35"/>
      <c r="R165" s="35"/>
      <c r="S165" s="35"/>
      <c r="T165" s="35"/>
      <c r="U165" s="35"/>
      <c r="V165" s="35"/>
      <c r="W165" s="35"/>
      <c r="X165" s="35"/>
      <c r="Y165" s="35"/>
      <c r="Z165" s="35"/>
      <c r="AA165" s="35"/>
    </row>
    <row r="166">
      <c r="A166" s="35"/>
      <c r="B166" s="35"/>
      <c r="C166" s="35"/>
      <c r="D166" s="26"/>
      <c r="E166" s="26"/>
      <c r="F166" s="51"/>
      <c r="G166" s="51"/>
      <c r="H166" s="51"/>
      <c r="I166" s="51"/>
      <c r="J166" s="27"/>
      <c r="K166" s="35"/>
      <c r="L166" s="35"/>
      <c r="M166" s="35"/>
      <c r="N166" s="35"/>
      <c r="O166" s="35"/>
      <c r="P166" s="35"/>
      <c r="Q166" s="35"/>
      <c r="R166" s="35"/>
      <c r="S166" s="35"/>
      <c r="T166" s="35"/>
      <c r="U166" s="35"/>
      <c r="V166" s="35"/>
      <c r="W166" s="35"/>
      <c r="X166" s="35"/>
      <c r="Y166" s="35"/>
      <c r="Z166" s="35"/>
      <c r="AA166" s="35"/>
    </row>
    <row r="167">
      <c r="A167" s="35"/>
      <c r="B167" s="35"/>
      <c r="C167" s="35"/>
      <c r="D167" s="26"/>
      <c r="E167" s="26"/>
      <c r="F167" s="51"/>
      <c r="G167" s="51"/>
      <c r="H167" s="51"/>
      <c r="I167" s="51"/>
      <c r="J167" s="27"/>
      <c r="K167" s="35"/>
      <c r="L167" s="35"/>
      <c r="M167" s="35"/>
      <c r="N167" s="35"/>
      <c r="O167" s="35"/>
      <c r="P167" s="35"/>
      <c r="Q167" s="35"/>
      <c r="R167" s="35"/>
      <c r="S167" s="35"/>
      <c r="T167" s="35"/>
      <c r="U167" s="35"/>
      <c r="V167" s="35"/>
      <c r="W167" s="35"/>
      <c r="X167" s="35"/>
      <c r="Y167" s="35"/>
      <c r="Z167" s="35"/>
      <c r="AA167" s="35"/>
    </row>
    <row r="168">
      <c r="A168" s="35"/>
      <c r="B168" s="35"/>
      <c r="C168" s="35"/>
      <c r="D168" s="26"/>
      <c r="E168" s="26"/>
      <c r="F168" s="51"/>
      <c r="G168" s="51"/>
      <c r="H168" s="51"/>
      <c r="I168" s="51"/>
      <c r="J168" s="27"/>
      <c r="K168" s="35"/>
      <c r="L168" s="35"/>
      <c r="M168" s="35"/>
      <c r="N168" s="35"/>
      <c r="O168" s="35"/>
      <c r="P168" s="35"/>
      <c r="Q168" s="35"/>
      <c r="R168" s="35"/>
      <c r="S168" s="35"/>
      <c r="T168" s="35"/>
      <c r="U168" s="35"/>
      <c r="V168" s="35"/>
      <c r="W168" s="35"/>
      <c r="X168" s="35"/>
      <c r="Y168" s="35"/>
      <c r="Z168" s="35"/>
      <c r="AA168" s="35"/>
    </row>
    <row r="169">
      <c r="A169" s="35"/>
      <c r="B169" s="35"/>
      <c r="C169" s="35"/>
      <c r="D169" s="26"/>
      <c r="E169" s="26"/>
      <c r="F169" s="51"/>
      <c r="G169" s="51"/>
      <c r="H169" s="51"/>
      <c r="I169" s="51"/>
      <c r="J169" s="27"/>
      <c r="K169" s="35"/>
      <c r="L169" s="35"/>
      <c r="M169" s="35"/>
      <c r="N169" s="35"/>
      <c r="O169" s="35"/>
      <c r="P169" s="35"/>
      <c r="Q169" s="35"/>
      <c r="R169" s="35"/>
      <c r="S169" s="35"/>
      <c r="T169" s="35"/>
      <c r="U169" s="35"/>
      <c r="V169" s="35"/>
      <c r="W169" s="35"/>
      <c r="X169" s="35"/>
      <c r="Y169" s="35"/>
      <c r="Z169" s="35"/>
      <c r="AA169" s="35"/>
    </row>
    <row r="170">
      <c r="A170" s="35"/>
      <c r="B170" s="35"/>
      <c r="C170" s="35"/>
      <c r="D170" s="26"/>
      <c r="E170" s="26"/>
      <c r="F170" s="51"/>
      <c r="G170" s="51"/>
      <c r="H170" s="51"/>
      <c r="I170" s="51"/>
      <c r="J170" s="27"/>
      <c r="K170" s="35"/>
      <c r="L170" s="35"/>
      <c r="M170" s="35"/>
      <c r="N170" s="35"/>
      <c r="O170" s="35"/>
      <c r="P170" s="35"/>
      <c r="Q170" s="35"/>
      <c r="R170" s="35"/>
      <c r="S170" s="35"/>
      <c r="T170" s="35"/>
      <c r="U170" s="35"/>
      <c r="V170" s="35"/>
      <c r="W170" s="35"/>
      <c r="X170" s="35"/>
      <c r="Y170" s="35"/>
      <c r="Z170" s="35"/>
      <c r="AA170" s="35"/>
    </row>
    <row r="171">
      <c r="A171" s="35"/>
      <c r="B171" s="35"/>
      <c r="C171" s="35"/>
      <c r="D171" s="26"/>
      <c r="E171" s="26"/>
      <c r="F171" s="51"/>
      <c r="G171" s="51"/>
      <c r="H171" s="51"/>
      <c r="I171" s="51"/>
      <c r="J171" s="27"/>
      <c r="K171" s="35"/>
      <c r="L171" s="35"/>
      <c r="M171" s="35"/>
      <c r="N171" s="35"/>
      <c r="O171" s="35"/>
      <c r="P171" s="35"/>
      <c r="Q171" s="35"/>
      <c r="R171" s="35"/>
      <c r="S171" s="35"/>
      <c r="T171" s="35"/>
      <c r="U171" s="35"/>
      <c r="V171" s="35"/>
      <c r="W171" s="35"/>
      <c r="X171" s="35"/>
      <c r="Y171" s="35"/>
      <c r="Z171" s="35"/>
      <c r="AA171" s="35"/>
    </row>
    <row r="172">
      <c r="A172" s="35"/>
      <c r="B172" s="35"/>
      <c r="C172" s="35"/>
      <c r="D172" s="26"/>
      <c r="E172" s="26"/>
      <c r="F172" s="51"/>
      <c r="G172" s="51"/>
      <c r="H172" s="51"/>
      <c r="I172" s="51"/>
      <c r="J172" s="27"/>
      <c r="K172" s="35"/>
      <c r="L172" s="35"/>
      <c r="M172" s="35"/>
      <c r="N172" s="35"/>
      <c r="O172" s="35"/>
      <c r="P172" s="35"/>
      <c r="Q172" s="35"/>
      <c r="R172" s="35"/>
      <c r="S172" s="35"/>
      <c r="T172" s="35"/>
      <c r="U172" s="35"/>
      <c r="V172" s="35"/>
      <c r="W172" s="35"/>
      <c r="X172" s="35"/>
      <c r="Y172" s="35"/>
      <c r="Z172" s="35"/>
      <c r="AA172" s="35"/>
    </row>
    <row r="173">
      <c r="A173" s="35"/>
      <c r="B173" s="35"/>
      <c r="C173" s="35"/>
      <c r="D173" s="26"/>
      <c r="E173" s="26"/>
      <c r="F173" s="51"/>
      <c r="G173" s="51"/>
      <c r="H173" s="51"/>
      <c r="I173" s="51"/>
      <c r="J173" s="27"/>
      <c r="K173" s="35"/>
      <c r="L173" s="35"/>
      <c r="M173" s="35"/>
      <c r="N173" s="35"/>
      <c r="O173" s="35"/>
      <c r="P173" s="35"/>
      <c r="Q173" s="35"/>
      <c r="R173" s="35"/>
      <c r="S173" s="35"/>
      <c r="T173" s="35"/>
      <c r="U173" s="35"/>
      <c r="V173" s="35"/>
      <c r="W173" s="35"/>
      <c r="X173" s="35"/>
      <c r="Y173" s="35"/>
      <c r="Z173" s="35"/>
      <c r="AA173" s="35"/>
    </row>
    <row r="174">
      <c r="A174" s="35"/>
      <c r="B174" s="35"/>
      <c r="C174" s="35"/>
      <c r="D174" s="26"/>
      <c r="E174" s="26"/>
      <c r="F174" s="51"/>
      <c r="G174" s="51"/>
      <c r="H174" s="51"/>
      <c r="I174" s="51"/>
      <c r="J174" s="27"/>
      <c r="K174" s="35"/>
      <c r="L174" s="35"/>
      <c r="M174" s="35"/>
      <c r="N174" s="35"/>
      <c r="O174" s="35"/>
      <c r="P174" s="35"/>
      <c r="Q174" s="35"/>
      <c r="R174" s="35"/>
      <c r="S174" s="35"/>
      <c r="T174" s="35"/>
      <c r="U174" s="35"/>
      <c r="V174" s="35"/>
      <c r="W174" s="35"/>
      <c r="X174" s="35"/>
      <c r="Y174" s="35"/>
      <c r="Z174" s="35"/>
      <c r="AA174" s="35"/>
    </row>
    <row r="175">
      <c r="A175" s="35"/>
      <c r="B175" s="35"/>
      <c r="C175" s="35"/>
      <c r="D175" s="26"/>
      <c r="E175" s="26"/>
      <c r="F175" s="51"/>
      <c r="G175" s="51"/>
      <c r="H175" s="51"/>
      <c r="I175" s="51"/>
      <c r="J175" s="27"/>
      <c r="K175" s="35"/>
      <c r="L175" s="35"/>
      <c r="M175" s="35"/>
      <c r="N175" s="35"/>
      <c r="O175" s="35"/>
      <c r="P175" s="35"/>
      <c r="Q175" s="35"/>
      <c r="R175" s="35"/>
      <c r="S175" s="35"/>
      <c r="T175" s="35"/>
      <c r="U175" s="35"/>
      <c r="V175" s="35"/>
      <c r="W175" s="35"/>
      <c r="X175" s="35"/>
      <c r="Y175" s="35"/>
      <c r="Z175" s="35"/>
      <c r="AA175" s="35"/>
    </row>
    <row r="176">
      <c r="A176" s="35"/>
      <c r="B176" s="35"/>
      <c r="C176" s="35"/>
      <c r="D176" s="26"/>
      <c r="E176" s="26"/>
      <c r="F176" s="51"/>
      <c r="G176" s="51"/>
      <c r="H176" s="51"/>
      <c r="I176" s="51"/>
      <c r="J176" s="27"/>
      <c r="K176" s="35"/>
      <c r="L176" s="35"/>
      <c r="M176" s="35"/>
      <c r="N176" s="35"/>
      <c r="O176" s="35"/>
      <c r="P176" s="35"/>
      <c r="Q176" s="35"/>
      <c r="R176" s="35"/>
      <c r="S176" s="35"/>
      <c r="T176" s="35"/>
      <c r="U176" s="35"/>
      <c r="V176" s="35"/>
      <c r="W176" s="35"/>
      <c r="X176" s="35"/>
      <c r="Y176" s="35"/>
      <c r="Z176" s="35"/>
      <c r="AA176" s="35"/>
    </row>
    <row r="177">
      <c r="A177" s="35"/>
      <c r="B177" s="35"/>
      <c r="C177" s="35"/>
      <c r="D177" s="26"/>
      <c r="E177" s="26"/>
      <c r="F177" s="51"/>
      <c r="G177" s="51"/>
      <c r="H177" s="51"/>
      <c r="I177" s="51"/>
      <c r="J177" s="27"/>
      <c r="K177" s="35"/>
      <c r="L177" s="35"/>
      <c r="M177" s="35"/>
      <c r="N177" s="35"/>
      <c r="O177" s="35"/>
      <c r="P177" s="35"/>
      <c r="Q177" s="35"/>
      <c r="R177" s="35"/>
      <c r="S177" s="35"/>
      <c r="T177" s="35"/>
      <c r="U177" s="35"/>
      <c r="V177" s="35"/>
      <c r="W177" s="35"/>
      <c r="X177" s="35"/>
      <c r="Y177" s="35"/>
      <c r="Z177" s="35"/>
      <c r="AA177" s="35"/>
    </row>
    <row r="178">
      <c r="A178" s="35"/>
      <c r="B178" s="35"/>
      <c r="C178" s="35"/>
      <c r="D178" s="26"/>
      <c r="E178" s="26"/>
      <c r="F178" s="51"/>
      <c r="G178" s="51"/>
      <c r="H178" s="51"/>
      <c r="I178" s="51"/>
      <c r="J178" s="27"/>
      <c r="K178" s="35"/>
      <c r="L178" s="35"/>
      <c r="M178" s="35"/>
      <c r="N178" s="35"/>
      <c r="O178" s="35"/>
      <c r="P178" s="35"/>
      <c r="Q178" s="35"/>
      <c r="R178" s="35"/>
      <c r="S178" s="35"/>
      <c r="T178" s="35"/>
      <c r="U178" s="35"/>
      <c r="V178" s="35"/>
      <c r="W178" s="35"/>
      <c r="X178" s="35"/>
      <c r="Y178" s="35"/>
      <c r="Z178" s="35"/>
      <c r="AA178" s="35"/>
    </row>
    <row r="179">
      <c r="A179" s="35"/>
      <c r="B179" s="35"/>
      <c r="C179" s="35"/>
      <c r="D179" s="26"/>
      <c r="E179" s="26"/>
      <c r="F179" s="51"/>
      <c r="G179" s="51"/>
      <c r="H179" s="51"/>
      <c r="I179" s="51"/>
      <c r="J179" s="27"/>
      <c r="K179" s="35"/>
      <c r="L179" s="35"/>
      <c r="M179" s="35"/>
      <c r="N179" s="35"/>
      <c r="O179" s="35"/>
      <c r="P179" s="35"/>
      <c r="Q179" s="35"/>
      <c r="R179" s="35"/>
      <c r="S179" s="35"/>
      <c r="T179" s="35"/>
      <c r="U179" s="35"/>
      <c r="V179" s="35"/>
      <c r="W179" s="35"/>
      <c r="X179" s="35"/>
      <c r="Y179" s="35"/>
      <c r="Z179" s="35"/>
      <c r="AA179" s="35"/>
    </row>
    <row r="180">
      <c r="A180" s="35"/>
      <c r="B180" s="35"/>
      <c r="C180" s="35"/>
      <c r="D180" s="26"/>
      <c r="E180" s="26"/>
      <c r="F180" s="51"/>
      <c r="G180" s="51"/>
      <c r="H180" s="51"/>
      <c r="I180" s="51"/>
      <c r="J180" s="27"/>
      <c r="K180" s="35"/>
      <c r="L180" s="35"/>
      <c r="M180" s="35"/>
      <c r="N180" s="35"/>
      <c r="O180" s="35"/>
      <c r="P180" s="35"/>
      <c r="Q180" s="35"/>
      <c r="R180" s="35"/>
      <c r="S180" s="35"/>
      <c r="T180" s="35"/>
      <c r="U180" s="35"/>
      <c r="V180" s="35"/>
      <c r="W180" s="35"/>
      <c r="X180" s="35"/>
      <c r="Y180" s="35"/>
      <c r="Z180" s="35"/>
      <c r="AA180" s="35"/>
    </row>
    <row r="181">
      <c r="A181" s="35"/>
      <c r="B181" s="35"/>
      <c r="C181" s="35"/>
      <c r="D181" s="26"/>
      <c r="E181" s="26"/>
      <c r="F181" s="51"/>
      <c r="G181" s="51"/>
      <c r="H181" s="51"/>
      <c r="I181" s="51"/>
      <c r="J181" s="27"/>
      <c r="K181" s="35"/>
      <c r="L181" s="35"/>
      <c r="M181" s="35"/>
      <c r="N181" s="35"/>
      <c r="O181" s="35"/>
      <c r="P181" s="35"/>
      <c r="Q181" s="35"/>
      <c r="R181" s="35"/>
      <c r="S181" s="35"/>
      <c r="T181" s="35"/>
      <c r="U181" s="35"/>
      <c r="V181" s="35"/>
      <c r="W181" s="35"/>
      <c r="X181" s="35"/>
      <c r="Y181" s="35"/>
      <c r="Z181" s="35"/>
      <c r="AA181" s="35"/>
    </row>
    <row r="182">
      <c r="A182" s="35"/>
      <c r="B182" s="35"/>
      <c r="C182" s="35"/>
      <c r="D182" s="26"/>
      <c r="E182" s="26"/>
      <c r="F182" s="51"/>
      <c r="G182" s="51"/>
      <c r="H182" s="51"/>
      <c r="I182" s="51"/>
      <c r="J182" s="27"/>
      <c r="K182" s="35"/>
      <c r="L182" s="35"/>
      <c r="M182" s="35"/>
      <c r="N182" s="35"/>
      <c r="O182" s="35"/>
      <c r="P182" s="35"/>
      <c r="Q182" s="35"/>
      <c r="R182" s="35"/>
      <c r="S182" s="35"/>
      <c r="T182" s="35"/>
      <c r="U182" s="35"/>
      <c r="V182" s="35"/>
      <c r="W182" s="35"/>
      <c r="X182" s="35"/>
      <c r="Y182" s="35"/>
      <c r="Z182" s="35"/>
      <c r="AA182" s="35"/>
    </row>
    <row r="183">
      <c r="A183" s="35"/>
      <c r="B183" s="35"/>
      <c r="C183" s="35"/>
      <c r="D183" s="26"/>
      <c r="E183" s="26"/>
      <c r="F183" s="51"/>
      <c r="G183" s="51"/>
      <c r="H183" s="51"/>
      <c r="I183" s="51"/>
      <c r="J183" s="27"/>
      <c r="K183" s="35"/>
      <c r="L183" s="35"/>
      <c r="M183" s="35"/>
      <c r="N183" s="35"/>
      <c r="O183" s="35"/>
      <c r="P183" s="35"/>
      <c r="Q183" s="35"/>
      <c r="R183" s="35"/>
      <c r="S183" s="35"/>
      <c r="T183" s="35"/>
      <c r="U183" s="35"/>
      <c r="V183" s="35"/>
      <c r="W183" s="35"/>
      <c r="X183" s="35"/>
      <c r="Y183" s="35"/>
      <c r="Z183" s="35"/>
      <c r="AA183" s="35"/>
    </row>
    <row r="184">
      <c r="A184" s="35"/>
      <c r="B184" s="35"/>
      <c r="C184" s="35"/>
      <c r="D184" s="26"/>
      <c r="E184" s="26"/>
      <c r="F184" s="51"/>
      <c r="G184" s="51"/>
      <c r="H184" s="51"/>
      <c r="I184" s="51"/>
      <c r="J184" s="27"/>
      <c r="K184" s="35"/>
      <c r="L184" s="35"/>
      <c r="M184" s="35"/>
      <c r="N184" s="35"/>
      <c r="O184" s="35"/>
      <c r="P184" s="35"/>
      <c r="Q184" s="35"/>
      <c r="R184" s="35"/>
      <c r="S184" s="35"/>
      <c r="T184" s="35"/>
      <c r="U184" s="35"/>
      <c r="V184" s="35"/>
      <c r="W184" s="35"/>
      <c r="X184" s="35"/>
      <c r="Y184" s="35"/>
      <c r="Z184" s="35"/>
      <c r="AA184" s="35"/>
    </row>
    <row r="185">
      <c r="A185" s="35"/>
      <c r="B185" s="35"/>
      <c r="C185" s="35"/>
      <c r="D185" s="26"/>
      <c r="E185" s="26"/>
      <c r="F185" s="51"/>
      <c r="G185" s="51"/>
      <c r="H185" s="51"/>
      <c r="I185" s="51"/>
      <c r="J185" s="27"/>
      <c r="K185" s="35"/>
      <c r="L185" s="35"/>
      <c r="M185" s="35"/>
      <c r="N185" s="35"/>
      <c r="O185" s="35"/>
      <c r="P185" s="35"/>
      <c r="Q185" s="35"/>
      <c r="R185" s="35"/>
      <c r="S185" s="35"/>
      <c r="T185" s="35"/>
      <c r="U185" s="35"/>
      <c r="V185" s="35"/>
      <c r="W185" s="35"/>
      <c r="X185" s="35"/>
      <c r="Y185" s="35"/>
      <c r="Z185" s="35"/>
      <c r="AA185" s="35"/>
    </row>
    <row r="186">
      <c r="A186" s="35"/>
      <c r="B186" s="35"/>
      <c r="C186" s="35"/>
      <c r="D186" s="26"/>
      <c r="E186" s="26"/>
      <c r="F186" s="51"/>
      <c r="G186" s="51"/>
      <c r="H186" s="51"/>
      <c r="I186" s="51"/>
      <c r="J186" s="27"/>
      <c r="K186" s="35"/>
      <c r="L186" s="35"/>
      <c r="M186" s="35"/>
      <c r="N186" s="35"/>
      <c r="O186" s="35"/>
      <c r="P186" s="35"/>
      <c r="Q186" s="35"/>
      <c r="R186" s="35"/>
      <c r="S186" s="35"/>
      <c r="T186" s="35"/>
      <c r="U186" s="35"/>
      <c r="V186" s="35"/>
      <c r="W186" s="35"/>
      <c r="X186" s="35"/>
      <c r="Y186" s="35"/>
      <c r="Z186" s="35"/>
      <c r="AA186" s="35"/>
    </row>
    <row r="187">
      <c r="A187" s="35"/>
      <c r="B187" s="35"/>
      <c r="C187" s="35"/>
      <c r="D187" s="26"/>
      <c r="E187" s="26"/>
      <c r="F187" s="51"/>
      <c r="G187" s="51"/>
      <c r="H187" s="51"/>
      <c r="I187" s="51"/>
      <c r="J187" s="27"/>
      <c r="K187" s="35"/>
      <c r="L187" s="35"/>
      <c r="M187" s="35"/>
      <c r="N187" s="35"/>
      <c r="O187" s="35"/>
      <c r="P187" s="35"/>
      <c r="Q187" s="35"/>
      <c r="R187" s="35"/>
      <c r="S187" s="35"/>
      <c r="T187" s="35"/>
      <c r="U187" s="35"/>
      <c r="V187" s="35"/>
      <c r="W187" s="35"/>
      <c r="X187" s="35"/>
      <c r="Y187" s="35"/>
      <c r="Z187" s="35"/>
      <c r="AA187" s="35"/>
    </row>
    <row r="188">
      <c r="A188" s="35"/>
      <c r="B188" s="35"/>
      <c r="C188" s="35"/>
      <c r="D188" s="26"/>
      <c r="E188" s="26"/>
      <c r="F188" s="51"/>
      <c r="G188" s="51"/>
      <c r="H188" s="51"/>
      <c r="I188" s="51"/>
      <c r="J188" s="27"/>
      <c r="K188" s="35"/>
      <c r="L188" s="35"/>
      <c r="M188" s="35"/>
      <c r="N188" s="35"/>
      <c r="O188" s="35"/>
      <c r="P188" s="35"/>
      <c r="Q188" s="35"/>
      <c r="R188" s="35"/>
      <c r="S188" s="35"/>
      <c r="T188" s="35"/>
      <c r="U188" s="35"/>
      <c r="V188" s="35"/>
      <c r="W188" s="35"/>
      <c r="X188" s="35"/>
      <c r="Y188" s="35"/>
      <c r="Z188" s="35"/>
      <c r="AA188" s="35"/>
    </row>
    <row r="189">
      <c r="A189" s="35"/>
      <c r="B189" s="35"/>
      <c r="C189" s="35"/>
      <c r="D189" s="26"/>
      <c r="E189" s="26"/>
      <c r="F189" s="51"/>
      <c r="G189" s="51"/>
      <c r="H189" s="51"/>
      <c r="I189" s="51"/>
      <c r="J189" s="27"/>
      <c r="K189" s="35"/>
      <c r="L189" s="35"/>
      <c r="M189" s="35"/>
      <c r="N189" s="35"/>
      <c r="O189" s="35"/>
      <c r="P189" s="35"/>
      <c r="Q189" s="35"/>
      <c r="R189" s="35"/>
      <c r="S189" s="35"/>
      <c r="T189" s="35"/>
      <c r="U189" s="35"/>
      <c r="V189" s="35"/>
      <c r="W189" s="35"/>
      <c r="X189" s="35"/>
      <c r="Y189" s="35"/>
      <c r="Z189" s="35"/>
      <c r="AA189" s="35"/>
    </row>
    <row r="190">
      <c r="A190" s="35"/>
      <c r="B190" s="35"/>
      <c r="C190" s="35"/>
      <c r="D190" s="26"/>
      <c r="E190" s="26"/>
      <c r="F190" s="51"/>
      <c r="G190" s="51"/>
      <c r="H190" s="51"/>
      <c r="I190" s="51"/>
      <c r="J190" s="27"/>
      <c r="K190" s="35"/>
      <c r="L190" s="35"/>
      <c r="M190" s="35"/>
      <c r="N190" s="35"/>
      <c r="O190" s="35"/>
      <c r="P190" s="35"/>
      <c r="Q190" s="35"/>
      <c r="R190" s="35"/>
      <c r="S190" s="35"/>
      <c r="T190" s="35"/>
      <c r="U190" s="35"/>
      <c r="V190" s="35"/>
      <c r="W190" s="35"/>
      <c r="X190" s="35"/>
      <c r="Y190" s="35"/>
      <c r="Z190" s="35"/>
      <c r="AA190" s="35"/>
    </row>
    <row r="191">
      <c r="A191" s="35"/>
      <c r="B191" s="35"/>
      <c r="C191" s="35"/>
      <c r="D191" s="26"/>
      <c r="E191" s="26"/>
      <c r="F191" s="51"/>
      <c r="G191" s="51"/>
      <c r="H191" s="51"/>
      <c r="I191" s="51"/>
      <c r="J191" s="27"/>
      <c r="K191" s="35"/>
      <c r="L191" s="35"/>
      <c r="M191" s="35"/>
      <c r="N191" s="35"/>
      <c r="O191" s="35"/>
      <c r="P191" s="35"/>
      <c r="Q191" s="35"/>
      <c r="R191" s="35"/>
      <c r="S191" s="35"/>
      <c r="T191" s="35"/>
      <c r="U191" s="35"/>
      <c r="V191" s="35"/>
      <c r="W191" s="35"/>
      <c r="X191" s="35"/>
      <c r="Y191" s="35"/>
      <c r="Z191" s="35"/>
      <c r="AA191" s="35"/>
    </row>
    <row r="192">
      <c r="A192" s="35"/>
      <c r="B192" s="35"/>
      <c r="C192" s="35"/>
      <c r="D192" s="26"/>
      <c r="E192" s="26"/>
      <c r="F192" s="51"/>
      <c r="G192" s="51"/>
      <c r="H192" s="51"/>
      <c r="I192" s="51"/>
      <c r="J192" s="27"/>
      <c r="K192" s="35"/>
      <c r="L192" s="35"/>
      <c r="M192" s="35"/>
      <c r="N192" s="35"/>
      <c r="O192" s="35"/>
      <c r="P192" s="35"/>
      <c r="Q192" s="35"/>
      <c r="R192" s="35"/>
      <c r="S192" s="35"/>
      <c r="T192" s="35"/>
      <c r="U192" s="35"/>
      <c r="V192" s="35"/>
      <c r="W192" s="35"/>
      <c r="X192" s="35"/>
      <c r="Y192" s="35"/>
      <c r="Z192" s="35"/>
      <c r="AA192" s="35"/>
    </row>
    <row r="193">
      <c r="A193" s="35"/>
      <c r="B193" s="35"/>
      <c r="C193" s="35"/>
      <c r="D193" s="26"/>
      <c r="E193" s="26"/>
      <c r="F193" s="51"/>
      <c r="G193" s="51"/>
      <c r="H193" s="51"/>
      <c r="I193" s="51"/>
      <c r="J193" s="27"/>
      <c r="K193" s="35"/>
      <c r="L193" s="35"/>
      <c r="M193" s="35"/>
      <c r="N193" s="35"/>
      <c r="O193" s="35"/>
      <c r="P193" s="35"/>
      <c r="Q193" s="35"/>
      <c r="R193" s="35"/>
      <c r="S193" s="35"/>
      <c r="T193" s="35"/>
      <c r="U193" s="35"/>
      <c r="V193" s="35"/>
      <c r="W193" s="35"/>
      <c r="X193" s="35"/>
      <c r="Y193" s="35"/>
      <c r="Z193" s="35"/>
      <c r="AA193" s="35"/>
    </row>
    <row r="194">
      <c r="A194" s="35"/>
      <c r="B194" s="35"/>
      <c r="C194" s="35"/>
      <c r="D194" s="26"/>
      <c r="E194" s="26"/>
      <c r="F194" s="51"/>
      <c r="G194" s="51"/>
      <c r="H194" s="51"/>
      <c r="I194" s="51"/>
      <c r="J194" s="27"/>
      <c r="K194" s="35"/>
      <c r="L194" s="35"/>
      <c r="M194" s="35"/>
      <c r="N194" s="35"/>
      <c r="O194" s="35"/>
      <c r="P194" s="35"/>
      <c r="Q194" s="35"/>
      <c r="R194" s="35"/>
      <c r="S194" s="35"/>
      <c r="T194" s="35"/>
      <c r="U194" s="35"/>
      <c r="V194" s="35"/>
      <c r="W194" s="35"/>
      <c r="X194" s="35"/>
      <c r="Y194" s="35"/>
      <c r="Z194" s="35"/>
      <c r="AA194" s="35"/>
    </row>
    <row r="195">
      <c r="A195" s="35"/>
      <c r="B195" s="35"/>
      <c r="C195" s="35"/>
      <c r="D195" s="26"/>
      <c r="E195" s="26"/>
      <c r="F195" s="51"/>
      <c r="G195" s="51"/>
      <c r="H195" s="51"/>
      <c r="I195" s="51"/>
      <c r="J195" s="27"/>
      <c r="K195" s="35"/>
      <c r="L195" s="35"/>
      <c r="M195" s="35"/>
      <c r="N195" s="35"/>
      <c r="O195" s="35"/>
      <c r="P195" s="35"/>
      <c r="Q195" s="35"/>
      <c r="R195" s="35"/>
      <c r="S195" s="35"/>
      <c r="T195" s="35"/>
      <c r="U195" s="35"/>
      <c r="V195" s="35"/>
      <c r="W195" s="35"/>
      <c r="X195" s="35"/>
      <c r="Y195" s="35"/>
      <c r="Z195" s="35"/>
      <c r="AA195" s="35"/>
    </row>
    <row r="196">
      <c r="A196" s="35"/>
      <c r="B196" s="35"/>
      <c r="C196" s="35"/>
      <c r="D196" s="26"/>
      <c r="E196" s="26"/>
      <c r="F196" s="51"/>
      <c r="G196" s="51"/>
      <c r="H196" s="51"/>
      <c r="I196" s="51"/>
      <c r="J196" s="27"/>
      <c r="K196" s="35"/>
      <c r="L196" s="35"/>
      <c r="M196" s="35"/>
      <c r="N196" s="35"/>
      <c r="O196" s="35"/>
      <c r="P196" s="35"/>
      <c r="Q196" s="35"/>
      <c r="R196" s="35"/>
      <c r="S196" s="35"/>
      <c r="T196" s="35"/>
      <c r="U196" s="35"/>
      <c r="V196" s="35"/>
      <c r="W196" s="35"/>
      <c r="X196" s="35"/>
      <c r="Y196" s="35"/>
      <c r="Z196" s="35"/>
      <c r="AA196" s="35"/>
    </row>
    <row r="197">
      <c r="A197" s="35"/>
      <c r="B197" s="35"/>
      <c r="C197" s="35"/>
      <c r="D197" s="26"/>
      <c r="E197" s="26"/>
      <c r="F197" s="51"/>
      <c r="G197" s="51"/>
      <c r="H197" s="51"/>
      <c r="I197" s="51"/>
      <c r="J197" s="27"/>
      <c r="K197" s="35"/>
      <c r="L197" s="35"/>
      <c r="M197" s="35"/>
      <c r="N197" s="35"/>
      <c r="O197" s="35"/>
      <c r="P197" s="35"/>
      <c r="Q197" s="35"/>
      <c r="R197" s="35"/>
      <c r="S197" s="35"/>
      <c r="T197" s="35"/>
      <c r="U197" s="35"/>
      <c r="V197" s="35"/>
      <c r="W197" s="35"/>
      <c r="X197" s="35"/>
      <c r="Y197" s="35"/>
      <c r="Z197" s="35"/>
      <c r="AA197" s="35"/>
    </row>
    <row r="198">
      <c r="A198" s="35"/>
      <c r="B198" s="35"/>
      <c r="C198" s="35"/>
      <c r="D198" s="26"/>
      <c r="E198" s="26"/>
      <c r="F198" s="51"/>
      <c r="G198" s="51"/>
      <c r="H198" s="51"/>
      <c r="I198" s="51"/>
      <c r="J198" s="27"/>
      <c r="K198" s="35"/>
      <c r="L198" s="35"/>
      <c r="M198" s="35"/>
      <c r="N198" s="35"/>
      <c r="O198" s="35"/>
      <c r="P198" s="35"/>
      <c r="Q198" s="35"/>
      <c r="R198" s="35"/>
      <c r="S198" s="35"/>
      <c r="T198" s="35"/>
      <c r="U198" s="35"/>
      <c r="V198" s="35"/>
      <c r="W198" s="35"/>
      <c r="X198" s="35"/>
      <c r="Y198" s="35"/>
      <c r="Z198" s="35"/>
      <c r="AA198" s="35"/>
    </row>
    <row r="199">
      <c r="A199" s="35"/>
      <c r="B199" s="35"/>
      <c r="C199" s="35"/>
      <c r="D199" s="26"/>
      <c r="E199" s="26"/>
      <c r="F199" s="51"/>
      <c r="G199" s="51"/>
      <c r="H199" s="51"/>
      <c r="I199" s="51"/>
      <c r="J199" s="27"/>
      <c r="K199" s="35"/>
      <c r="L199" s="35"/>
      <c r="M199" s="35"/>
      <c r="N199" s="35"/>
      <c r="O199" s="35"/>
      <c r="P199" s="35"/>
      <c r="Q199" s="35"/>
      <c r="R199" s="35"/>
      <c r="S199" s="35"/>
      <c r="T199" s="35"/>
      <c r="U199" s="35"/>
      <c r="V199" s="35"/>
      <c r="W199" s="35"/>
      <c r="X199" s="35"/>
      <c r="Y199" s="35"/>
      <c r="Z199" s="35"/>
      <c r="AA199" s="35"/>
    </row>
    <row r="200">
      <c r="A200" s="35"/>
      <c r="B200" s="35"/>
      <c r="C200" s="35"/>
      <c r="D200" s="26"/>
      <c r="E200" s="26"/>
      <c r="F200" s="51"/>
      <c r="G200" s="51"/>
      <c r="H200" s="51"/>
      <c r="I200" s="51"/>
      <c r="J200" s="27"/>
      <c r="K200" s="35"/>
      <c r="L200" s="35"/>
      <c r="M200" s="35"/>
      <c r="N200" s="35"/>
      <c r="O200" s="35"/>
      <c r="P200" s="35"/>
      <c r="Q200" s="35"/>
      <c r="R200" s="35"/>
      <c r="S200" s="35"/>
      <c r="T200" s="35"/>
      <c r="U200" s="35"/>
      <c r="V200" s="35"/>
      <c r="W200" s="35"/>
      <c r="X200" s="35"/>
      <c r="Y200" s="35"/>
      <c r="Z200" s="35"/>
      <c r="AA200" s="35"/>
    </row>
    <row r="201">
      <c r="A201" s="35"/>
      <c r="B201" s="35"/>
      <c r="C201" s="35"/>
      <c r="D201" s="26"/>
      <c r="E201" s="26"/>
      <c r="F201" s="51"/>
      <c r="G201" s="51"/>
      <c r="H201" s="51"/>
      <c r="I201" s="51"/>
      <c r="J201" s="27"/>
      <c r="K201" s="35"/>
      <c r="L201" s="35"/>
      <c r="M201" s="35"/>
      <c r="N201" s="35"/>
      <c r="O201" s="35"/>
      <c r="P201" s="35"/>
      <c r="Q201" s="35"/>
      <c r="R201" s="35"/>
      <c r="S201" s="35"/>
      <c r="T201" s="35"/>
      <c r="U201" s="35"/>
      <c r="V201" s="35"/>
      <c r="W201" s="35"/>
      <c r="X201" s="35"/>
      <c r="Y201" s="35"/>
      <c r="Z201" s="35"/>
      <c r="AA201" s="35"/>
    </row>
    <row r="202">
      <c r="A202" s="35"/>
      <c r="B202" s="35"/>
      <c r="C202" s="35"/>
      <c r="D202" s="26"/>
      <c r="E202" s="26"/>
      <c r="F202" s="51"/>
      <c r="G202" s="51"/>
      <c r="H202" s="51"/>
      <c r="I202" s="51"/>
      <c r="J202" s="27"/>
      <c r="K202" s="35"/>
      <c r="L202" s="35"/>
      <c r="M202" s="35"/>
      <c r="N202" s="35"/>
      <c r="O202" s="35"/>
      <c r="P202" s="35"/>
      <c r="Q202" s="35"/>
      <c r="R202" s="35"/>
      <c r="S202" s="35"/>
      <c r="T202" s="35"/>
      <c r="U202" s="35"/>
      <c r="V202" s="35"/>
      <c r="W202" s="35"/>
      <c r="X202" s="35"/>
      <c r="Y202" s="35"/>
      <c r="Z202" s="35"/>
      <c r="AA202" s="35"/>
    </row>
    <row r="203">
      <c r="A203" s="35"/>
      <c r="B203" s="35"/>
      <c r="C203" s="35"/>
      <c r="D203" s="26"/>
      <c r="E203" s="26"/>
      <c r="F203" s="51"/>
      <c r="G203" s="51"/>
      <c r="H203" s="51"/>
      <c r="I203" s="51"/>
      <c r="J203" s="27"/>
      <c r="K203" s="35"/>
      <c r="L203" s="35"/>
      <c r="M203" s="35"/>
      <c r="N203" s="35"/>
      <c r="O203" s="35"/>
      <c r="P203" s="35"/>
      <c r="Q203" s="35"/>
      <c r="R203" s="35"/>
      <c r="S203" s="35"/>
      <c r="T203" s="35"/>
      <c r="U203" s="35"/>
      <c r="V203" s="35"/>
      <c r="W203" s="35"/>
      <c r="X203" s="35"/>
      <c r="Y203" s="35"/>
      <c r="Z203" s="35"/>
      <c r="AA203" s="35"/>
    </row>
    <row r="204">
      <c r="A204" s="35"/>
      <c r="B204" s="35"/>
      <c r="C204" s="35"/>
      <c r="D204" s="26"/>
      <c r="E204" s="26"/>
      <c r="F204" s="51"/>
      <c r="G204" s="51"/>
      <c r="H204" s="51"/>
      <c r="I204" s="51"/>
      <c r="J204" s="27"/>
      <c r="K204" s="35"/>
      <c r="L204" s="35"/>
      <c r="M204" s="35"/>
      <c r="N204" s="35"/>
      <c r="O204" s="35"/>
      <c r="P204" s="35"/>
      <c r="Q204" s="35"/>
      <c r="R204" s="35"/>
      <c r="S204" s="35"/>
      <c r="T204" s="35"/>
      <c r="U204" s="35"/>
      <c r="V204" s="35"/>
      <c r="W204" s="35"/>
      <c r="X204" s="35"/>
      <c r="Y204" s="35"/>
      <c r="Z204" s="35"/>
      <c r="AA204" s="35"/>
    </row>
    <row r="205">
      <c r="A205" s="35"/>
      <c r="B205" s="35"/>
      <c r="C205" s="35"/>
      <c r="D205" s="26"/>
      <c r="E205" s="26"/>
      <c r="F205" s="51"/>
      <c r="G205" s="51"/>
      <c r="H205" s="51"/>
      <c r="I205" s="51"/>
      <c r="J205" s="27"/>
      <c r="K205" s="35"/>
      <c r="L205" s="35"/>
      <c r="M205" s="35"/>
      <c r="N205" s="35"/>
      <c r="O205" s="35"/>
      <c r="P205" s="35"/>
      <c r="Q205" s="35"/>
      <c r="R205" s="35"/>
      <c r="S205" s="35"/>
      <c r="T205" s="35"/>
      <c r="U205" s="35"/>
      <c r="V205" s="35"/>
      <c r="W205" s="35"/>
      <c r="X205" s="35"/>
      <c r="Y205" s="35"/>
      <c r="Z205" s="35"/>
      <c r="AA205" s="35"/>
    </row>
    <row r="206">
      <c r="A206" s="35"/>
      <c r="B206" s="35"/>
      <c r="C206" s="35"/>
      <c r="D206" s="26"/>
      <c r="E206" s="26"/>
      <c r="F206" s="51"/>
      <c r="G206" s="51"/>
      <c r="H206" s="51"/>
      <c r="I206" s="51"/>
      <c r="J206" s="27"/>
      <c r="K206" s="35"/>
      <c r="L206" s="35"/>
      <c r="M206" s="35"/>
      <c r="N206" s="35"/>
      <c r="O206" s="35"/>
      <c r="P206" s="35"/>
      <c r="Q206" s="35"/>
      <c r="R206" s="35"/>
      <c r="S206" s="35"/>
      <c r="T206" s="35"/>
      <c r="U206" s="35"/>
      <c r="V206" s="35"/>
      <c r="W206" s="35"/>
      <c r="X206" s="35"/>
      <c r="Y206" s="35"/>
      <c r="Z206" s="35"/>
      <c r="AA206" s="35"/>
    </row>
    <row r="207">
      <c r="A207" s="35"/>
      <c r="B207" s="35"/>
      <c r="C207" s="35"/>
      <c r="D207" s="26"/>
      <c r="E207" s="26"/>
      <c r="F207" s="51"/>
      <c r="G207" s="51"/>
      <c r="H207" s="51"/>
      <c r="I207" s="51"/>
      <c r="J207" s="27"/>
      <c r="K207" s="35"/>
      <c r="L207" s="35"/>
      <c r="M207" s="35"/>
      <c r="N207" s="35"/>
      <c r="O207" s="35"/>
      <c r="P207" s="35"/>
      <c r="Q207" s="35"/>
      <c r="R207" s="35"/>
      <c r="S207" s="35"/>
      <c r="T207" s="35"/>
      <c r="U207" s="35"/>
      <c r="V207" s="35"/>
      <c r="W207" s="35"/>
      <c r="X207" s="35"/>
      <c r="Y207" s="35"/>
      <c r="Z207" s="35"/>
      <c r="AA207" s="35"/>
    </row>
    <row r="208">
      <c r="A208" s="35"/>
      <c r="B208" s="35"/>
      <c r="C208" s="35"/>
      <c r="D208" s="26"/>
      <c r="E208" s="26"/>
      <c r="F208" s="51"/>
      <c r="G208" s="51"/>
      <c r="H208" s="51"/>
      <c r="I208" s="51"/>
      <c r="J208" s="27"/>
      <c r="K208" s="35"/>
      <c r="L208" s="35"/>
      <c r="M208" s="35"/>
      <c r="N208" s="35"/>
      <c r="O208" s="35"/>
      <c r="P208" s="35"/>
      <c r="Q208" s="35"/>
      <c r="R208" s="35"/>
      <c r="S208" s="35"/>
      <c r="T208" s="35"/>
      <c r="U208" s="35"/>
      <c r="V208" s="35"/>
      <c r="W208" s="35"/>
      <c r="X208" s="35"/>
      <c r="Y208" s="35"/>
      <c r="Z208" s="35"/>
      <c r="AA208" s="35"/>
    </row>
    <row r="209">
      <c r="A209" s="35"/>
      <c r="B209" s="35"/>
      <c r="C209" s="35"/>
      <c r="D209" s="26"/>
      <c r="E209" s="26"/>
      <c r="F209" s="51"/>
      <c r="G209" s="51"/>
      <c r="H209" s="51"/>
      <c r="I209" s="51"/>
      <c r="J209" s="27"/>
      <c r="K209" s="35"/>
      <c r="L209" s="35"/>
      <c r="M209" s="35"/>
      <c r="N209" s="35"/>
      <c r="O209" s="35"/>
      <c r="P209" s="35"/>
      <c r="Q209" s="35"/>
      <c r="R209" s="35"/>
      <c r="S209" s="35"/>
      <c r="T209" s="35"/>
      <c r="U209" s="35"/>
      <c r="V209" s="35"/>
      <c r="W209" s="35"/>
      <c r="X209" s="35"/>
      <c r="Y209" s="35"/>
      <c r="Z209" s="35"/>
      <c r="AA209" s="35"/>
    </row>
    <row r="210">
      <c r="A210" s="35"/>
      <c r="B210" s="35"/>
      <c r="C210" s="35"/>
      <c r="D210" s="26"/>
      <c r="E210" s="26"/>
      <c r="F210" s="51"/>
      <c r="G210" s="51"/>
      <c r="H210" s="51"/>
      <c r="I210" s="51"/>
      <c r="J210" s="27"/>
      <c r="K210" s="35"/>
      <c r="L210" s="35"/>
      <c r="M210" s="35"/>
      <c r="N210" s="35"/>
      <c r="O210" s="35"/>
      <c r="P210" s="35"/>
      <c r="Q210" s="35"/>
      <c r="R210" s="35"/>
      <c r="S210" s="35"/>
      <c r="T210" s="35"/>
      <c r="U210" s="35"/>
      <c r="V210" s="35"/>
      <c r="W210" s="35"/>
      <c r="X210" s="35"/>
      <c r="Y210" s="35"/>
      <c r="Z210" s="35"/>
      <c r="AA210" s="35"/>
    </row>
    <row r="211">
      <c r="A211" s="35"/>
      <c r="B211" s="35"/>
      <c r="C211" s="35"/>
      <c r="D211" s="26"/>
      <c r="E211" s="26"/>
      <c r="F211" s="51"/>
      <c r="G211" s="51"/>
      <c r="H211" s="51"/>
      <c r="I211" s="51"/>
      <c r="J211" s="27"/>
      <c r="K211" s="35"/>
      <c r="L211" s="35"/>
      <c r="M211" s="35"/>
      <c r="N211" s="35"/>
      <c r="O211" s="35"/>
      <c r="P211" s="35"/>
      <c r="Q211" s="35"/>
      <c r="R211" s="35"/>
      <c r="S211" s="35"/>
      <c r="T211" s="35"/>
      <c r="U211" s="35"/>
      <c r="V211" s="35"/>
      <c r="W211" s="35"/>
      <c r="X211" s="35"/>
      <c r="Y211" s="35"/>
      <c r="Z211" s="35"/>
      <c r="AA211" s="35"/>
    </row>
    <row r="212">
      <c r="A212" s="35"/>
      <c r="B212" s="35"/>
      <c r="C212" s="35"/>
      <c r="D212" s="26"/>
      <c r="E212" s="26"/>
      <c r="F212" s="51"/>
      <c r="G212" s="51"/>
      <c r="H212" s="51"/>
      <c r="I212" s="51"/>
      <c r="J212" s="27"/>
      <c r="K212" s="35"/>
      <c r="L212" s="35"/>
      <c r="M212" s="35"/>
      <c r="N212" s="35"/>
      <c r="O212" s="35"/>
      <c r="P212" s="35"/>
      <c r="Q212" s="35"/>
      <c r="R212" s="35"/>
      <c r="S212" s="35"/>
      <c r="T212" s="35"/>
      <c r="U212" s="35"/>
      <c r="V212" s="35"/>
      <c r="W212" s="35"/>
      <c r="X212" s="35"/>
      <c r="Y212" s="35"/>
      <c r="Z212" s="35"/>
      <c r="AA212" s="35"/>
    </row>
    <row r="213">
      <c r="A213" s="35"/>
      <c r="B213" s="35"/>
      <c r="C213" s="35"/>
      <c r="D213" s="26"/>
      <c r="E213" s="26"/>
      <c r="F213" s="51"/>
      <c r="G213" s="51"/>
      <c r="H213" s="51"/>
      <c r="I213" s="51"/>
      <c r="J213" s="27"/>
      <c r="K213" s="35"/>
      <c r="L213" s="35"/>
      <c r="M213" s="35"/>
      <c r="N213" s="35"/>
      <c r="O213" s="35"/>
      <c r="P213" s="35"/>
      <c r="Q213" s="35"/>
      <c r="R213" s="35"/>
      <c r="S213" s="35"/>
      <c r="T213" s="35"/>
      <c r="U213" s="35"/>
      <c r="V213" s="35"/>
      <c r="W213" s="35"/>
      <c r="X213" s="35"/>
      <c r="Y213" s="35"/>
      <c r="Z213" s="35"/>
      <c r="AA213" s="35"/>
    </row>
    <row r="214">
      <c r="A214" s="35"/>
      <c r="B214" s="35"/>
      <c r="C214" s="35"/>
      <c r="D214" s="26"/>
      <c r="E214" s="26"/>
      <c r="F214" s="51"/>
      <c r="G214" s="51"/>
      <c r="H214" s="51"/>
      <c r="I214" s="51"/>
      <c r="J214" s="27"/>
      <c r="K214" s="35"/>
      <c r="L214" s="35"/>
      <c r="M214" s="35"/>
      <c r="N214" s="35"/>
      <c r="O214" s="35"/>
      <c r="P214" s="35"/>
      <c r="Q214" s="35"/>
      <c r="R214" s="35"/>
      <c r="S214" s="35"/>
      <c r="T214" s="35"/>
      <c r="U214" s="35"/>
      <c r="V214" s="35"/>
      <c r="W214" s="35"/>
      <c r="X214" s="35"/>
      <c r="Y214" s="35"/>
      <c r="Z214" s="35"/>
      <c r="AA214" s="35"/>
    </row>
    <row r="215">
      <c r="A215" s="35"/>
      <c r="B215" s="35"/>
      <c r="C215" s="35"/>
      <c r="D215" s="26"/>
      <c r="E215" s="26"/>
      <c r="F215" s="51"/>
      <c r="G215" s="51"/>
      <c r="H215" s="51"/>
      <c r="I215" s="51"/>
      <c r="J215" s="27"/>
      <c r="K215" s="35"/>
      <c r="L215" s="35"/>
      <c r="M215" s="35"/>
      <c r="N215" s="35"/>
      <c r="O215" s="35"/>
      <c r="P215" s="35"/>
      <c r="Q215" s="35"/>
      <c r="R215" s="35"/>
      <c r="S215" s="35"/>
      <c r="T215" s="35"/>
      <c r="U215" s="35"/>
      <c r="V215" s="35"/>
      <c r="W215" s="35"/>
      <c r="X215" s="35"/>
      <c r="Y215" s="35"/>
      <c r="Z215" s="35"/>
      <c r="AA215" s="35"/>
    </row>
    <row r="216">
      <c r="A216" s="35"/>
      <c r="B216" s="35"/>
      <c r="C216" s="35"/>
      <c r="D216" s="26"/>
      <c r="E216" s="26"/>
      <c r="F216" s="51"/>
      <c r="G216" s="51"/>
      <c r="H216" s="51"/>
      <c r="I216" s="51"/>
      <c r="J216" s="27"/>
      <c r="K216" s="35"/>
      <c r="L216" s="35"/>
      <c r="M216" s="35"/>
      <c r="N216" s="35"/>
      <c r="O216" s="35"/>
      <c r="P216" s="35"/>
      <c r="Q216" s="35"/>
      <c r="R216" s="35"/>
      <c r="S216" s="35"/>
      <c r="T216" s="35"/>
      <c r="U216" s="35"/>
      <c r="V216" s="35"/>
      <c r="W216" s="35"/>
      <c r="X216" s="35"/>
      <c r="Y216" s="35"/>
      <c r="Z216" s="35"/>
      <c r="AA216" s="35"/>
    </row>
    <row r="217">
      <c r="A217" s="35"/>
      <c r="B217" s="35"/>
      <c r="C217" s="35"/>
      <c r="D217" s="26"/>
      <c r="E217" s="26"/>
      <c r="F217" s="51"/>
      <c r="G217" s="51"/>
      <c r="H217" s="51"/>
      <c r="I217" s="51"/>
      <c r="J217" s="27"/>
      <c r="K217" s="35"/>
      <c r="L217" s="35"/>
      <c r="M217" s="35"/>
      <c r="N217" s="35"/>
      <c r="O217" s="35"/>
      <c r="P217" s="35"/>
      <c r="Q217" s="35"/>
      <c r="R217" s="35"/>
      <c r="S217" s="35"/>
      <c r="T217" s="35"/>
      <c r="U217" s="35"/>
      <c r="V217" s="35"/>
      <c r="W217" s="35"/>
      <c r="X217" s="35"/>
      <c r="Y217" s="35"/>
      <c r="Z217" s="35"/>
      <c r="AA217" s="35"/>
    </row>
    <row r="218">
      <c r="A218" s="35"/>
      <c r="B218" s="35"/>
      <c r="C218" s="35"/>
      <c r="D218" s="26"/>
      <c r="E218" s="26"/>
      <c r="F218" s="51"/>
      <c r="G218" s="51"/>
      <c r="H218" s="51"/>
      <c r="I218" s="51"/>
      <c r="J218" s="27"/>
      <c r="K218" s="35"/>
      <c r="L218" s="35"/>
      <c r="M218" s="35"/>
      <c r="N218" s="35"/>
      <c r="O218" s="35"/>
      <c r="P218" s="35"/>
      <c r="Q218" s="35"/>
      <c r="R218" s="35"/>
      <c r="S218" s="35"/>
      <c r="T218" s="35"/>
      <c r="U218" s="35"/>
      <c r="V218" s="35"/>
      <c r="W218" s="35"/>
      <c r="X218" s="35"/>
      <c r="Y218" s="35"/>
      <c r="Z218" s="35"/>
      <c r="AA218" s="35"/>
    </row>
    <row r="219">
      <c r="A219" s="35"/>
      <c r="B219" s="35"/>
      <c r="C219" s="35"/>
      <c r="D219" s="26"/>
      <c r="E219" s="26"/>
      <c r="F219" s="51"/>
      <c r="G219" s="51"/>
      <c r="H219" s="51"/>
      <c r="I219" s="51"/>
      <c r="J219" s="27"/>
      <c r="K219" s="35"/>
      <c r="L219" s="35"/>
      <c r="M219" s="35"/>
      <c r="N219" s="35"/>
      <c r="O219" s="35"/>
      <c r="P219" s="35"/>
      <c r="Q219" s="35"/>
      <c r="R219" s="35"/>
      <c r="S219" s="35"/>
      <c r="T219" s="35"/>
      <c r="U219" s="35"/>
      <c r="V219" s="35"/>
      <c r="W219" s="35"/>
      <c r="X219" s="35"/>
      <c r="Y219" s="35"/>
      <c r="Z219" s="35"/>
      <c r="AA219" s="35"/>
    </row>
    <row r="220">
      <c r="A220" s="35"/>
      <c r="B220" s="35"/>
      <c r="C220" s="35"/>
      <c r="D220" s="26"/>
      <c r="E220" s="26"/>
      <c r="F220" s="51"/>
      <c r="G220" s="51"/>
      <c r="H220" s="51"/>
      <c r="I220" s="51"/>
      <c r="J220" s="27"/>
      <c r="K220" s="35"/>
      <c r="L220" s="35"/>
      <c r="M220" s="35"/>
      <c r="N220" s="35"/>
      <c r="O220" s="35"/>
      <c r="P220" s="35"/>
      <c r="Q220" s="35"/>
      <c r="R220" s="35"/>
      <c r="S220" s="35"/>
      <c r="T220" s="35"/>
      <c r="U220" s="35"/>
      <c r="V220" s="35"/>
      <c r="W220" s="35"/>
      <c r="X220" s="35"/>
      <c r="Y220" s="35"/>
      <c r="Z220" s="35"/>
      <c r="AA220" s="35"/>
    </row>
    <row r="221">
      <c r="A221" s="35"/>
      <c r="B221" s="35"/>
      <c r="C221" s="35"/>
      <c r="D221" s="26"/>
      <c r="E221" s="26"/>
      <c r="F221" s="51"/>
      <c r="G221" s="51"/>
      <c r="H221" s="51"/>
      <c r="I221" s="51"/>
      <c r="J221" s="27"/>
      <c r="K221" s="35"/>
      <c r="L221" s="35"/>
      <c r="M221" s="35"/>
      <c r="N221" s="35"/>
      <c r="O221" s="35"/>
      <c r="P221" s="35"/>
      <c r="Q221" s="35"/>
      <c r="R221" s="35"/>
      <c r="S221" s="35"/>
      <c r="T221" s="35"/>
      <c r="U221" s="35"/>
      <c r="V221" s="35"/>
      <c r="W221" s="35"/>
      <c r="X221" s="35"/>
      <c r="Y221" s="35"/>
      <c r="Z221" s="35"/>
      <c r="AA221" s="35"/>
    </row>
    <row r="222">
      <c r="A222" s="35"/>
      <c r="B222" s="35"/>
      <c r="C222" s="35"/>
      <c r="D222" s="26"/>
      <c r="E222" s="26"/>
      <c r="F222" s="51"/>
      <c r="G222" s="51"/>
      <c r="H222" s="51"/>
      <c r="I222" s="51"/>
      <c r="J222" s="27"/>
      <c r="K222" s="35"/>
      <c r="L222" s="35"/>
      <c r="M222" s="35"/>
      <c r="N222" s="35"/>
      <c r="O222" s="35"/>
      <c r="P222" s="35"/>
      <c r="Q222" s="35"/>
      <c r="R222" s="35"/>
      <c r="S222" s="35"/>
      <c r="T222" s="35"/>
      <c r="U222" s="35"/>
      <c r="V222" s="35"/>
      <c r="W222" s="35"/>
      <c r="X222" s="35"/>
      <c r="Y222" s="35"/>
      <c r="Z222" s="35"/>
      <c r="AA222" s="35"/>
    </row>
    <row r="223">
      <c r="A223" s="35"/>
      <c r="B223" s="35"/>
      <c r="C223" s="35"/>
      <c r="D223" s="26"/>
      <c r="E223" s="26"/>
      <c r="F223" s="51"/>
      <c r="G223" s="51"/>
      <c r="H223" s="51"/>
      <c r="I223" s="51"/>
      <c r="J223" s="27"/>
      <c r="K223" s="35"/>
      <c r="L223" s="35"/>
      <c r="M223" s="35"/>
      <c r="N223" s="35"/>
      <c r="O223" s="35"/>
      <c r="P223" s="35"/>
      <c r="Q223" s="35"/>
      <c r="R223" s="35"/>
      <c r="S223" s="35"/>
      <c r="T223" s="35"/>
      <c r="U223" s="35"/>
      <c r="V223" s="35"/>
      <c r="W223" s="35"/>
      <c r="X223" s="35"/>
      <c r="Y223" s="35"/>
      <c r="Z223" s="35"/>
      <c r="AA223" s="35"/>
    </row>
    <row r="224">
      <c r="A224" s="35"/>
      <c r="B224" s="35"/>
      <c r="C224" s="35"/>
      <c r="D224" s="26"/>
      <c r="E224" s="26"/>
      <c r="F224" s="51"/>
      <c r="G224" s="51"/>
      <c r="H224" s="51"/>
      <c r="I224" s="51"/>
      <c r="J224" s="27"/>
      <c r="K224" s="35"/>
      <c r="L224" s="35"/>
      <c r="M224" s="35"/>
      <c r="N224" s="35"/>
      <c r="O224" s="35"/>
      <c r="P224" s="35"/>
      <c r="Q224" s="35"/>
      <c r="R224" s="35"/>
      <c r="S224" s="35"/>
      <c r="T224" s="35"/>
      <c r="U224" s="35"/>
      <c r="V224" s="35"/>
      <c r="W224" s="35"/>
      <c r="X224" s="35"/>
      <c r="Y224" s="35"/>
      <c r="Z224" s="35"/>
      <c r="AA224" s="35"/>
    </row>
    <row r="225">
      <c r="A225" s="35"/>
      <c r="B225" s="35"/>
      <c r="C225" s="35"/>
      <c r="D225" s="26"/>
      <c r="E225" s="26"/>
      <c r="F225" s="51"/>
      <c r="G225" s="51"/>
      <c r="H225" s="51"/>
      <c r="I225" s="51"/>
      <c r="J225" s="27"/>
      <c r="K225" s="35"/>
      <c r="L225" s="35"/>
      <c r="M225" s="35"/>
      <c r="N225" s="35"/>
      <c r="O225" s="35"/>
      <c r="P225" s="35"/>
      <c r="Q225" s="35"/>
      <c r="R225" s="35"/>
      <c r="S225" s="35"/>
      <c r="T225" s="35"/>
      <c r="U225" s="35"/>
      <c r="V225" s="35"/>
      <c r="W225" s="35"/>
      <c r="X225" s="35"/>
      <c r="Y225" s="35"/>
      <c r="Z225" s="35"/>
      <c r="AA225" s="35"/>
    </row>
    <row r="226">
      <c r="A226" s="35"/>
      <c r="B226" s="35"/>
      <c r="C226" s="35"/>
      <c r="D226" s="26"/>
      <c r="E226" s="26"/>
      <c r="F226" s="51"/>
      <c r="G226" s="51"/>
      <c r="H226" s="51"/>
      <c r="I226" s="51"/>
      <c r="J226" s="27"/>
      <c r="K226" s="35"/>
      <c r="L226" s="35"/>
      <c r="M226" s="35"/>
      <c r="N226" s="35"/>
      <c r="O226" s="35"/>
      <c r="P226" s="35"/>
      <c r="Q226" s="35"/>
      <c r="R226" s="35"/>
      <c r="S226" s="35"/>
      <c r="T226" s="35"/>
      <c r="U226" s="35"/>
      <c r="V226" s="35"/>
      <c r="W226" s="35"/>
      <c r="X226" s="35"/>
      <c r="Y226" s="35"/>
      <c r="Z226" s="35"/>
      <c r="AA226" s="35"/>
    </row>
    <row r="227">
      <c r="A227" s="35"/>
      <c r="B227" s="35"/>
      <c r="C227" s="35"/>
      <c r="D227" s="26"/>
      <c r="E227" s="26"/>
      <c r="F227" s="51"/>
      <c r="G227" s="51"/>
      <c r="H227" s="51"/>
      <c r="I227" s="51"/>
      <c r="J227" s="27"/>
      <c r="K227" s="35"/>
      <c r="L227" s="35"/>
      <c r="M227" s="35"/>
      <c r="N227" s="35"/>
      <c r="O227" s="35"/>
      <c r="P227" s="35"/>
      <c r="Q227" s="35"/>
      <c r="R227" s="35"/>
      <c r="S227" s="35"/>
      <c r="T227" s="35"/>
      <c r="U227" s="35"/>
      <c r="V227" s="35"/>
      <c r="W227" s="35"/>
      <c r="X227" s="35"/>
      <c r="Y227" s="35"/>
      <c r="Z227" s="35"/>
      <c r="AA227" s="35"/>
    </row>
    <row r="228">
      <c r="A228" s="35"/>
      <c r="B228" s="35"/>
      <c r="C228" s="35"/>
      <c r="D228" s="26"/>
      <c r="E228" s="26"/>
      <c r="F228" s="51"/>
      <c r="G228" s="51"/>
      <c r="H228" s="51"/>
      <c r="I228" s="51"/>
      <c r="J228" s="27"/>
      <c r="K228" s="35"/>
      <c r="L228" s="35"/>
      <c r="M228" s="35"/>
      <c r="N228" s="35"/>
      <c r="O228" s="35"/>
      <c r="P228" s="35"/>
      <c r="Q228" s="35"/>
      <c r="R228" s="35"/>
      <c r="S228" s="35"/>
      <c r="T228" s="35"/>
      <c r="U228" s="35"/>
      <c r="V228" s="35"/>
      <c r="W228" s="35"/>
      <c r="X228" s="35"/>
      <c r="Y228" s="35"/>
      <c r="Z228" s="35"/>
      <c r="AA228" s="35"/>
    </row>
    <row r="229">
      <c r="A229" s="35"/>
      <c r="B229" s="35"/>
      <c r="C229" s="35"/>
      <c r="D229" s="26"/>
      <c r="E229" s="26"/>
      <c r="F229" s="51"/>
      <c r="G229" s="51"/>
      <c r="H229" s="51"/>
      <c r="I229" s="51"/>
      <c r="J229" s="27"/>
      <c r="K229" s="35"/>
      <c r="L229" s="35"/>
      <c r="M229" s="35"/>
      <c r="N229" s="35"/>
      <c r="O229" s="35"/>
      <c r="P229" s="35"/>
      <c r="Q229" s="35"/>
      <c r="R229" s="35"/>
      <c r="S229" s="35"/>
      <c r="T229" s="35"/>
      <c r="U229" s="35"/>
      <c r="V229" s="35"/>
      <c r="W229" s="35"/>
      <c r="X229" s="35"/>
      <c r="Y229" s="35"/>
      <c r="Z229" s="35"/>
      <c r="AA229" s="35"/>
    </row>
    <row r="230">
      <c r="A230" s="35"/>
      <c r="B230" s="35"/>
      <c r="C230" s="35"/>
      <c r="D230" s="26"/>
      <c r="E230" s="26"/>
      <c r="F230" s="51"/>
      <c r="G230" s="51"/>
      <c r="H230" s="51"/>
      <c r="I230" s="51"/>
      <c r="J230" s="27"/>
      <c r="K230" s="35"/>
      <c r="L230" s="35"/>
      <c r="M230" s="35"/>
      <c r="N230" s="35"/>
      <c r="O230" s="35"/>
      <c r="P230" s="35"/>
      <c r="Q230" s="35"/>
      <c r="R230" s="35"/>
      <c r="S230" s="35"/>
      <c r="T230" s="35"/>
      <c r="U230" s="35"/>
      <c r="V230" s="35"/>
      <c r="W230" s="35"/>
      <c r="X230" s="35"/>
      <c r="Y230" s="35"/>
      <c r="Z230" s="35"/>
      <c r="AA230" s="35"/>
    </row>
    <row r="231">
      <c r="A231" s="35"/>
      <c r="B231" s="35"/>
      <c r="C231" s="35"/>
      <c r="D231" s="26"/>
      <c r="E231" s="26"/>
      <c r="F231" s="51"/>
      <c r="G231" s="51"/>
      <c r="H231" s="51"/>
      <c r="I231" s="51"/>
      <c r="J231" s="27"/>
      <c r="K231" s="35"/>
      <c r="L231" s="35"/>
      <c r="M231" s="35"/>
      <c r="N231" s="35"/>
      <c r="O231" s="35"/>
      <c r="P231" s="35"/>
      <c r="Q231" s="35"/>
      <c r="R231" s="35"/>
      <c r="S231" s="35"/>
      <c r="T231" s="35"/>
      <c r="U231" s="35"/>
      <c r="V231" s="35"/>
      <c r="W231" s="35"/>
      <c r="X231" s="35"/>
      <c r="Y231" s="35"/>
      <c r="Z231" s="35"/>
      <c r="AA231" s="35"/>
    </row>
    <row r="232">
      <c r="A232" s="35"/>
      <c r="B232" s="35"/>
      <c r="C232" s="35"/>
      <c r="D232" s="26"/>
      <c r="E232" s="26"/>
      <c r="F232" s="51"/>
      <c r="G232" s="51"/>
      <c r="H232" s="51"/>
      <c r="I232" s="51"/>
      <c r="J232" s="27"/>
      <c r="K232" s="35"/>
      <c r="L232" s="35"/>
      <c r="M232" s="35"/>
      <c r="N232" s="35"/>
      <c r="O232" s="35"/>
      <c r="P232" s="35"/>
      <c r="Q232" s="35"/>
      <c r="R232" s="35"/>
      <c r="S232" s="35"/>
      <c r="T232" s="35"/>
      <c r="U232" s="35"/>
      <c r="V232" s="35"/>
      <c r="W232" s="35"/>
      <c r="X232" s="35"/>
      <c r="Y232" s="35"/>
      <c r="Z232" s="35"/>
      <c r="AA232" s="35"/>
    </row>
    <row r="233">
      <c r="A233" s="35"/>
      <c r="B233" s="35"/>
      <c r="C233" s="35"/>
      <c r="D233" s="26"/>
      <c r="E233" s="26"/>
      <c r="F233" s="51"/>
      <c r="G233" s="51"/>
      <c r="H233" s="51"/>
      <c r="I233" s="51"/>
      <c r="J233" s="27"/>
      <c r="K233" s="35"/>
      <c r="L233" s="35"/>
      <c r="M233" s="35"/>
      <c r="N233" s="35"/>
      <c r="O233" s="35"/>
      <c r="P233" s="35"/>
      <c r="Q233" s="35"/>
      <c r="R233" s="35"/>
      <c r="S233" s="35"/>
      <c r="T233" s="35"/>
      <c r="U233" s="35"/>
      <c r="V233" s="35"/>
      <c r="W233" s="35"/>
      <c r="X233" s="35"/>
      <c r="Y233" s="35"/>
      <c r="Z233" s="35"/>
      <c r="AA233" s="35"/>
    </row>
    <row r="234">
      <c r="A234" s="35"/>
      <c r="B234" s="35"/>
      <c r="C234" s="35"/>
      <c r="D234" s="26"/>
      <c r="E234" s="26"/>
      <c r="F234" s="51"/>
      <c r="G234" s="51"/>
      <c r="H234" s="51"/>
      <c r="I234" s="51"/>
      <c r="J234" s="27"/>
      <c r="K234" s="35"/>
      <c r="L234" s="35"/>
      <c r="M234" s="35"/>
      <c r="N234" s="35"/>
      <c r="O234" s="35"/>
      <c r="P234" s="35"/>
      <c r="Q234" s="35"/>
      <c r="R234" s="35"/>
      <c r="S234" s="35"/>
      <c r="T234" s="35"/>
      <c r="U234" s="35"/>
      <c r="V234" s="35"/>
      <c r="W234" s="35"/>
      <c r="X234" s="35"/>
      <c r="Y234" s="35"/>
      <c r="Z234" s="35"/>
      <c r="AA234" s="35"/>
    </row>
    <row r="235">
      <c r="A235" s="35"/>
      <c r="B235" s="35"/>
      <c r="C235" s="35"/>
      <c r="D235" s="26"/>
      <c r="E235" s="26"/>
      <c r="F235" s="51"/>
      <c r="G235" s="51"/>
      <c r="H235" s="51"/>
      <c r="I235" s="51"/>
      <c r="J235" s="27"/>
      <c r="K235" s="35"/>
      <c r="L235" s="35"/>
      <c r="M235" s="35"/>
      <c r="N235" s="35"/>
      <c r="O235" s="35"/>
      <c r="P235" s="35"/>
      <c r="Q235" s="35"/>
      <c r="R235" s="35"/>
      <c r="S235" s="35"/>
      <c r="T235" s="35"/>
      <c r="U235" s="35"/>
      <c r="V235" s="35"/>
      <c r="W235" s="35"/>
      <c r="X235" s="35"/>
      <c r="Y235" s="35"/>
      <c r="Z235" s="35"/>
      <c r="AA235" s="35"/>
    </row>
    <row r="236">
      <c r="A236" s="35"/>
      <c r="B236" s="35"/>
      <c r="C236" s="35"/>
      <c r="D236" s="26"/>
      <c r="E236" s="26"/>
      <c r="F236" s="51"/>
      <c r="G236" s="51"/>
      <c r="H236" s="51"/>
      <c r="I236" s="51"/>
      <c r="J236" s="27"/>
      <c r="K236" s="35"/>
      <c r="L236" s="35"/>
      <c r="M236" s="35"/>
      <c r="N236" s="35"/>
      <c r="O236" s="35"/>
      <c r="P236" s="35"/>
      <c r="Q236" s="35"/>
      <c r="R236" s="35"/>
      <c r="S236" s="35"/>
      <c r="T236" s="35"/>
      <c r="U236" s="35"/>
      <c r="V236" s="35"/>
      <c r="W236" s="35"/>
      <c r="X236" s="35"/>
      <c r="Y236" s="35"/>
      <c r="Z236" s="35"/>
      <c r="AA236" s="35"/>
    </row>
    <row r="237">
      <c r="A237" s="35"/>
      <c r="B237" s="35"/>
      <c r="C237" s="35"/>
      <c r="D237" s="26"/>
      <c r="E237" s="26"/>
      <c r="F237" s="51"/>
      <c r="G237" s="51"/>
      <c r="H237" s="51"/>
      <c r="I237" s="51"/>
      <c r="J237" s="27"/>
      <c r="K237" s="35"/>
      <c r="L237" s="35"/>
      <c r="M237" s="35"/>
      <c r="N237" s="35"/>
      <c r="O237" s="35"/>
      <c r="P237" s="35"/>
      <c r="Q237" s="35"/>
      <c r="R237" s="35"/>
      <c r="S237" s="35"/>
      <c r="T237" s="35"/>
      <c r="U237" s="35"/>
      <c r="V237" s="35"/>
      <c r="W237" s="35"/>
      <c r="X237" s="35"/>
      <c r="Y237" s="35"/>
      <c r="Z237" s="35"/>
      <c r="AA237" s="35"/>
    </row>
    <row r="238">
      <c r="A238" s="35"/>
      <c r="B238" s="35"/>
      <c r="C238" s="35"/>
      <c r="D238" s="26"/>
      <c r="E238" s="26"/>
      <c r="F238" s="51"/>
      <c r="G238" s="51"/>
      <c r="H238" s="51"/>
      <c r="I238" s="51"/>
      <c r="J238" s="27"/>
      <c r="K238" s="35"/>
      <c r="L238" s="35"/>
      <c r="M238" s="35"/>
      <c r="N238" s="35"/>
      <c r="O238" s="35"/>
      <c r="P238" s="35"/>
      <c r="Q238" s="35"/>
      <c r="R238" s="35"/>
      <c r="S238" s="35"/>
      <c r="T238" s="35"/>
      <c r="U238" s="35"/>
      <c r="V238" s="35"/>
      <c r="W238" s="35"/>
      <c r="X238" s="35"/>
      <c r="Y238" s="35"/>
      <c r="Z238" s="35"/>
      <c r="AA238" s="35"/>
    </row>
    <row r="239">
      <c r="A239" s="35"/>
      <c r="B239" s="35"/>
      <c r="C239" s="35"/>
      <c r="D239" s="26"/>
      <c r="E239" s="26"/>
      <c r="F239" s="51"/>
      <c r="G239" s="51"/>
      <c r="H239" s="51"/>
      <c r="I239" s="51"/>
      <c r="J239" s="27"/>
      <c r="K239" s="35"/>
      <c r="L239" s="35"/>
      <c r="M239" s="35"/>
      <c r="N239" s="35"/>
      <c r="O239" s="35"/>
      <c r="P239" s="35"/>
      <c r="Q239" s="35"/>
      <c r="R239" s="35"/>
      <c r="S239" s="35"/>
      <c r="T239" s="35"/>
      <c r="U239" s="35"/>
      <c r="V239" s="35"/>
      <c r="W239" s="35"/>
      <c r="X239" s="35"/>
      <c r="Y239" s="35"/>
      <c r="Z239" s="35"/>
      <c r="AA239" s="35"/>
    </row>
    <row r="240">
      <c r="A240" s="35"/>
      <c r="B240" s="35"/>
      <c r="C240" s="35"/>
      <c r="D240" s="26"/>
      <c r="E240" s="26"/>
      <c r="F240" s="51"/>
      <c r="G240" s="51"/>
      <c r="H240" s="51"/>
      <c r="I240" s="51"/>
      <c r="J240" s="27"/>
      <c r="K240" s="35"/>
      <c r="L240" s="35"/>
      <c r="M240" s="35"/>
      <c r="N240" s="35"/>
      <c r="O240" s="35"/>
      <c r="P240" s="35"/>
      <c r="Q240" s="35"/>
      <c r="R240" s="35"/>
      <c r="S240" s="35"/>
      <c r="T240" s="35"/>
      <c r="U240" s="35"/>
      <c r="V240" s="35"/>
      <c r="W240" s="35"/>
      <c r="X240" s="35"/>
      <c r="Y240" s="35"/>
      <c r="Z240" s="35"/>
      <c r="AA240" s="35"/>
    </row>
    <row r="241">
      <c r="A241" s="35"/>
      <c r="B241" s="35"/>
      <c r="C241" s="35"/>
      <c r="D241" s="26"/>
      <c r="E241" s="26"/>
      <c r="F241" s="51"/>
      <c r="G241" s="51"/>
      <c r="H241" s="51"/>
      <c r="I241" s="51"/>
      <c r="J241" s="27"/>
      <c r="K241" s="35"/>
      <c r="L241" s="35"/>
      <c r="M241" s="35"/>
      <c r="N241" s="35"/>
      <c r="O241" s="35"/>
      <c r="P241" s="35"/>
      <c r="Q241" s="35"/>
      <c r="R241" s="35"/>
      <c r="S241" s="35"/>
      <c r="T241" s="35"/>
      <c r="U241" s="35"/>
      <c r="V241" s="35"/>
      <c r="W241" s="35"/>
      <c r="X241" s="35"/>
      <c r="Y241" s="35"/>
      <c r="Z241" s="35"/>
      <c r="AA241" s="35"/>
    </row>
    <row r="242">
      <c r="A242" s="35"/>
      <c r="B242" s="35"/>
      <c r="C242" s="35"/>
      <c r="D242" s="26"/>
      <c r="E242" s="26"/>
      <c r="F242" s="51"/>
      <c r="G242" s="51"/>
      <c r="H242" s="51"/>
      <c r="I242" s="51"/>
      <c r="J242" s="27"/>
      <c r="K242" s="35"/>
      <c r="L242" s="35"/>
      <c r="M242" s="35"/>
      <c r="N242" s="35"/>
      <c r="O242" s="35"/>
      <c r="P242" s="35"/>
      <c r="Q242" s="35"/>
      <c r="R242" s="35"/>
      <c r="S242" s="35"/>
      <c r="T242" s="35"/>
      <c r="U242" s="35"/>
      <c r="V242" s="35"/>
      <c r="W242" s="35"/>
      <c r="X242" s="35"/>
      <c r="Y242" s="35"/>
      <c r="Z242" s="35"/>
      <c r="AA242" s="35"/>
    </row>
    <row r="243">
      <c r="A243" s="35"/>
      <c r="B243" s="35"/>
      <c r="C243" s="35"/>
      <c r="D243" s="26"/>
      <c r="E243" s="26"/>
      <c r="F243" s="51"/>
      <c r="G243" s="51"/>
      <c r="H243" s="51"/>
      <c r="I243" s="51"/>
      <c r="J243" s="27"/>
      <c r="K243" s="35"/>
      <c r="L243" s="35"/>
      <c r="M243" s="35"/>
      <c r="N243" s="35"/>
      <c r="O243" s="35"/>
      <c r="P243" s="35"/>
      <c r="Q243" s="35"/>
      <c r="R243" s="35"/>
      <c r="S243" s="35"/>
      <c r="T243" s="35"/>
      <c r="U243" s="35"/>
      <c r="V243" s="35"/>
      <c r="W243" s="35"/>
      <c r="X243" s="35"/>
      <c r="Y243" s="35"/>
      <c r="Z243" s="35"/>
      <c r="AA243" s="35"/>
    </row>
    <row r="244">
      <c r="A244" s="35"/>
      <c r="B244" s="35"/>
      <c r="C244" s="35"/>
      <c r="D244" s="26"/>
      <c r="E244" s="26"/>
      <c r="F244" s="51"/>
      <c r="G244" s="51"/>
      <c r="H244" s="51"/>
      <c r="I244" s="51"/>
      <c r="J244" s="27"/>
      <c r="K244" s="35"/>
      <c r="L244" s="35"/>
      <c r="M244" s="35"/>
      <c r="N244" s="35"/>
      <c r="O244" s="35"/>
      <c r="P244" s="35"/>
      <c r="Q244" s="35"/>
      <c r="R244" s="35"/>
      <c r="S244" s="35"/>
      <c r="T244" s="35"/>
      <c r="U244" s="35"/>
      <c r="V244" s="35"/>
      <c r="W244" s="35"/>
      <c r="X244" s="35"/>
      <c r="Y244" s="35"/>
      <c r="Z244" s="35"/>
      <c r="AA244" s="35"/>
    </row>
    <row r="245">
      <c r="A245" s="35"/>
      <c r="B245" s="35"/>
      <c r="C245" s="35"/>
      <c r="D245" s="26"/>
      <c r="E245" s="26"/>
      <c r="F245" s="51"/>
      <c r="G245" s="51"/>
      <c r="H245" s="51"/>
      <c r="I245" s="51"/>
      <c r="J245" s="27"/>
      <c r="K245" s="35"/>
      <c r="L245" s="35"/>
      <c r="M245" s="35"/>
      <c r="N245" s="35"/>
      <c r="O245" s="35"/>
      <c r="P245" s="35"/>
      <c r="Q245" s="35"/>
      <c r="R245" s="35"/>
      <c r="S245" s="35"/>
      <c r="T245" s="35"/>
      <c r="U245" s="35"/>
      <c r="V245" s="35"/>
      <c r="W245" s="35"/>
      <c r="X245" s="35"/>
      <c r="Y245" s="35"/>
      <c r="Z245" s="35"/>
      <c r="AA245" s="35"/>
    </row>
    <row r="246">
      <c r="A246" s="35"/>
      <c r="B246" s="35"/>
      <c r="C246" s="35"/>
      <c r="D246" s="26"/>
      <c r="E246" s="26"/>
      <c r="F246" s="51"/>
      <c r="G246" s="51"/>
      <c r="H246" s="51"/>
      <c r="I246" s="51"/>
      <c r="J246" s="27"/>
      <c r="K246" s="35"/>
      <c r="L246" s="35"/>
      <c r="M246" s="35"/>
      <c r="N246" s="35"/>
      <c r="O246" s="35"/>
      <c r="P246" s="35"/>
      <c r="Q246" s="35"/>
      <c r="R246" s="35"/>
      <c r="S246" s="35"/>
      <c r="T246" s="35"/>
      <c r="U246" s="35"/>
      <c r="V246" s="35"/>
      <c r="W246" s="35"/>
      <c r="X246" s="35"/>
      <c r="Y246" s="35"/>
      <c r="Z246" s="35"/>
      <c r="AA246" s="35"/>
    </row>
    <row r="247">
      <c r="A247" s="35"/>
      <c r="B247" s="35"/>
      <c r="C247" s="35"/>
      <c r="D247" s="26"/>
      <c r="E247" s="26"/>
      <c r="F247" s="51"/>
      <c r="G247" s="51"/>
      <c r="H247" s="51"/>
      <c r="I247" s="51"/>
      <c r="J247" s="27"/>
      <c r="K247" s="35"/>
      <c r="L247" s="35"/>
      <c r="M247" s="35"/>
      <c r="N247" s="35"/>
      <c r="O247" s="35"/>
      <c r="P247" s="35"/>
      <c r="Q247" s="35"/>
      <c r="R247" s="35"/>
      <c r="S247" s="35"/>
      <c r="T247" s="35"/>
      <c r="U247" s="35"/>
      <c r="V247" s="35"/>
      <c r="W247" s="35"/>
      <c r="X247" s="35"/>
      <c r="Y247" s="35"/>
      <c r="Z247" s="35"/>
      <c r="AA247" s="35"/>
    </row>
    <row r="248">
      <c r="A248" s="35"/>
      <c r="B248" s="35"/>
      <c r="C248" s="35"/>
      <c r="D248" s="26"/>
      <c r="E248" s="26"/>
      <c r="F248" s="51"/>
      <c r="G248" s="51"/>
      <c r="H248" s="51"/>
      <c r="I248" s="51"/>
      <c r="J248" s="27"/>
      <c r="K248" s="35"/>
      <c r="L248" s="35"/>
      <c r="M248" s="35"/>
      <c r="N248" s="35"/>
      <c r="O248" s="35"/>
      <c r="P248" s="35"/>
      <c r="Q248" s="35"/>
      <c r="R248" s="35"/>
      <c r="S248" s="35"/>
      <c r="T248" s="35"/>
      <c r="U248" s="35"/>
      <c r="V248" s="35"/>
      <c r="W248" s="35"/>
      <c r="X248" s="35"/>
      <c r="Y248" s="35"/>
      <c r="Z248" s="35"/>
      <c r="AA248" s="35"/>
    </row>
    <row r="249">
      <c r="A249" s="35"/>
      <c r="B249" s="35"/>
      <c r="C249" s="35"/>
      <c r="D249" s="26"/>
      <c r="E249" s="26"/>
      <c r="F249" s="51"/>
      <c r="G249" s="51"/>
      <c r="H249" s="51"/>
      <c r="I249" s="51"/>
      <c r="J249" s="27"/>
      <c r="K249" s="35"/>
      <c r="L249" s="35"/>
      <c r="M249" s="35"/>
      <c r="N249" s="35"/>
      <c r="O249" s="35"/>
      <c r="P249" s="35"/>
      <c r="Q249" s="35"/>
      <c r="R249" s="35"/>
      <c r="S249" s="35"/>
      <c r="T249" s="35"/>
      <c r="U249" s="35"/>
      <c r="V249" s="35"/>
      <c r="W249" s="35"/>
      <c r="X249" s="35"/>
      <c r="Y249" s="35"/>
      <c r="Z249" s="35"/>
      <c r="AA249" s="35"/>
    </row>
    <row r="250">
      <c r="A250" s="35"/>
      <c r="B250" s="35"/>
      <c r="C250" s="35"/>
      <c r="D250" s="26"/>
      <c r="E250" s="26"/>
      <c r="F250" s="51"/>
      <c r="G250" s="51"/>
      <c r="H250" s="51"/>
      <c r="I250" s="51"/>
      <c r="J250" s="27"/>
      <c r="K250" s="35"/>
      <c r="L250" s="35"/>
      <c r="M250" s="35"/>
      <c r="N250" s="35"/>
      <c r="O250" s="35"/>
      <c r="P250" s="35"/>
      <c r="Q250" s="35"/>
      <c r="R250" s="35"/>
      <c r="S250" s="35"/>
      <c r="T250" s="35"/>
      <c r="U250" s="35"/>
      <c r="V250" s="35"/>
      <c r="W250" s="35"/>
      <c r="X250" s="35"/>
      <c r="Y250" s="35"/>
      <c r="Z250" s="35"/>
      <c r="AA250" s="35"/>
    </row>
    <row r="251">
      <c r="A251" s="35"/>
      <c r="B251" s="35"/>
      <c r="C251" s="35"/>
      <c r="D251" s="26"/>
      <c r="E251" s="26"/>
      <c r="F251" s="51"/>
      <c r="G251" s="51"/>
      <c r="H251" s="51"/>
      <c r="I251" s="51"/>
      <c r="J251" s="27"/>
      <c r="K251" s="35"/>
      <c r="L251" s="35"/>
      <c r="M251" s="35"/>
      <c r="N251" s="35"/>
      <c r="O251" s="35"/>
      <c r="P251" s="35"/>
      <c r="Q251" s="35"/>
      <c r="R251" s="35"/>
      <c r="S251" s="35"/>
      <c r="T251" s="35"/>
      <c r="U251" s="35"/>
      <c r="V251" s="35"/>
      <c r="W251" s="35"/>
      <c r="X251" s="35"/>
      <c r="Y251" s="35"/>
      <c r="Z251" s="35"/>
      <c r="AA251" s="35"/>
    </row>
    <row r="252">
      <c r="A252" s="35"/>
      <c r="B252" s="35"/>
      <c r="C252" s="35"/>
      <c r="D252" s="26"/>
      <c r="E252" s="26"/>
      <c r="F252" s="51"/>
      <c r="G252" s="51"/>
      <c r="H252" s="51"/>
      <c r="I252" s="51"/>
      <c r="J252" s="27"/>
      <c r="K252" s="35"/>
      <c r="L252" s="35"/>
      <c r="M252" s="35"/>
      <c r="N252" s="35"/>
      <c r="O252" s="35"/>
      <c r="P252" s="35"/>
      <c r="Q252" s="35"/>
      <c r="R252" s="35"/>
      <c r="S252" s="35"/>
      <c r="T252" s="35"/>
      <c r="U252" s="35"/>
      <c r="V252" s="35"/>
      <c r="W252" s="35"/>
      <c r="X252" s="35"/>
      <c r="Y252" s="35"/>
      <c r="Z252" s="35"/>
      <c r="AA252" s="35"/>
    </row>
    <row r="253">
      <c r="A253" s="35"/>
      <c r="B253" s="35"/>
      <c r="C253" s="35"/>
      <c r="D253" s="26"/>
      <c r="E253" s="26"/>
      <c r="F253" s="51"/>
      <c r="G253" s="51"/>
      <c r="H253" s="51"/>
      <c r="I253" s="51"/>
      <c r="J253" s="27"/>
      <c r="K253" s="35"/>
      <c r="L253" s="35"/>
      <c r="M253" s="35"/>
      <c r="N253" s="35"/>
      <c r="O253" s="35"/>
      <c r="P253" s="35"/>
      <c r="Q253" s="35"/>
      <c r="R253" s="35"/>
      <c r="S253" s="35"/>
      <c r="T253" s="35"/>
      <c r="U253" s="35"/>
      <c r="V253" s="35"/>
      <c r="W253" s="35"/>
      <c r="X253" s="35"/>
      <c r="Y253" s="35"/>
      <c r="Z253" s="35"/>
      <c r="AA253" s="35"/>
    </row>
    <row r="254">
      <c r="A254" s="35"/>
      <c r="B254" s="35"/>
      <c r="C254" s="35"/>
      <c r="D254" s="26"/>
      <c r="E254" s="26"/>
      <c r="F254" s="51"/>
      <c r="G254" s="51"/>
      <c r="H254" s="51"/>
      <c r="I254" s="51"/>
      <c r="J254" s="27"/>
      <c r="K254" s="35"/>
      <c r="L254" s="35"/>
      <c r="M254" s="35"/>
      <c r="N254" s="35"/>
      <c r="O254" s="35"/>
      <c r="P254" s="35"/>
      <c r="Q254" s="35"/>
      <c r="R254" s="35"/>
      <c r="S254" s="35"/>
      <c r="T254" s="35"/>
      <c r="U254" s="35"/>
      <c r="V254" s="35"/>
      <c r="W254" s="35"/>
      <c r="X254" s="35"/>
      <c r="Y254" s="35"/>
      <c r="Z254" s="35"/>
      <c r="AA254" s="35"/>
    </row>
    <row r="255">
      <c r="A255" s="35"/>
      <c r="B255" s="35"/>
      <c r="C255" s="35"/>
      <c r="D255" s="26"/>
      <c r="E255" s="26"/>
      <c r="F255" s="51"/>
      <c r="G255" s="51"/>
      <c r="H255" s="51"/>
      <c r="I255" s="51"/>
      <c r="J255" s="27"/>
      <c r="K255" s="35"/>
      <c r="L255" s="35"/>
      <c r="M255" s="35"/>
      <c r="N255" s="35"/>
      <c r="O255" s="35"/>
      <c r="P255" s="35"/>
      <c r="Q255" s="35"/>
      <c r="R255" s="35"/>
      <c r="S255" s="35"/>
      <c r="T255" s="35"/>
      <c r="U255" s="35"/>
      <c r="V255" s="35"/>
      <c r="W255" s="35"/>
      <c r="X255" s="35"/>
      <c r="Y255" s="35"/>
      <c r="Z255" s="35"/>
      <c r="AA255" s="35"/>
    </row>
    <row r="256">
      <c r="A256" s="35"/>
      <c r="B256" s="35"/>
      <c r="C256" s="35"/>
      <c r="D256" s="26"/>
      <c r="E256" s="26"/>
      <c r="F256" s="51"/>
      <c r="G256" s="51"/>
      <c r="H256" s="51"/>
      <c r="I256" s="51"/>
      <c r="J256" s="27"/>
      <c r="K256" s="35"/>
      <c r="L256" s="35"/>
      <c r="M256" s="35"/>
      <c r="N256" s="35"/>
      <c r="O256" s="35"/>
      <c r="P256" s="35"/>
      <c r="Q256" s="35"/>
      <c r="R256" s="35"/>
      <c r="S256" s="35"/>
      <c r="T256" s="35"/>
      <c r="U256" s="35"/>
      <c r="V256" s="35"/>
      <c r="W256" s="35"/>
      <c r="X256" s="35"/>
      <c r="Y256" s="35"/>
      <c r="Z256" s="35"/>
      <c r="AA256" s="35"/>
    </row>
    <row r="257">
      <c r="A257" s="35"/>
      <c r="B257" s="35"/>
      <c r="C257" s="35"/>
      <c r="D257" s="26"/>
      <c r="E257" s="26"/>
      <c r="F257" s="51"/>
      <c r="G257" s="51"/>
      <c r="H257" s="51"/>
      <c r="I257" s="51"/>
      <c r="J257" s="27"/>
      <c r="K257" s="35"/>
      <c r="L257" s="35"/>
      <c r="M257" s="35"/>
      <c r="N257" s="35"/>
      <c r="O257" s="35"/>
      <c r="P257" s="35"/>
      <c r="Q257" s="35"/>
      <c r="R257" s="35"/>
      <c r="S257" s="35"/>
      <c r="T257" s="35"/>
      <c r="U257" s="35"/>
      <c r="V257" s="35"/>
      <c r="W257" s="35"/>
      <c r="X257" s="35"/>
      <c r="Y257" s="35"/>
      <c r="Z257" s="35"/>
      <c r="AA257" s="35"/>
    </row>
    <row r="258">
      <c r="D258" s="121"/>
    </row>
    <row r="259">
      <c r="D259" s="121"/>
    </row>
    <row r="260">
      <c r="D260" s="121"/>
    </row>
    <row r="261">
      <c r="D261" s="121"/>
    </row>
    <row r="262">
      <c r="D262" s="121"/>
    </row>
    <row r="263">
      <c r="D263" s="121"/>
    </row>
    <row r="264">
      <c r="D264" s="121"/>
    </row>
    <row r="265">
      <c r="D265" s="121"/>
    </row>
    <row r="266">
      <c r="D266" s="121"/>
    </row>
    <row r="267">
      <c r="D267" s="121"/>
    </row>
    <row r="268">
      <c r="D268" s="121"/>
    </row>
    <row r="269">
      <c r="D269" s="121"/>
    </row>
    <row r="270">
      <c r="D270" s="121"/>
    </row>
    <row r="271">
      <c r="D271" s="121"/>
    </row>
    <row r="272">
      <c r="D272" s="121"/>
    </row>
    <row r="273">
      <c r="D273" s="121"/>
    </row>
    <row r="274">
      <c r="D274" s="121"/>
    </row>
    <row r="275">
      <c r="D275" s="121"/>
    </row>
    <row r="276">
      <c r="D276" s="121"/>
    </row>
    <row r="277">
      <c r="D277" s="121"/>
    </row>
    <row r="278">
      <c r="D278" s="121"/>
    </row>
    <row r="279">
      <c r="D279" s="121"/>
    </row>
    <row r="280">
      <c r="D280" s="121"/>
    </row>
    <row r="281">
      <c r="D281" s="121"/>
    </row>
    <row r="282">
      <c r="D282" s="121"/>
    </row>
    <row r="283">
      <c r="D283" s="121"/>
    </row>
    <row r="284">
      <c r="D284" s="121"/>
    </row>
    <row r="285">
      <c r="D285" s="121"/>
    </row>
    <row r="286">
      <c r="D286" s="121"/>
    </row>
    <row r="287">
      <c r="D287" s="121"/>
    </row>
    <row r="288">
      <c r="D288" s="121"/>
    </row>
    <row r="289">
      <c r="D289" s="121"/>
    </row>
    <row r="290">
      <c r="D290" s="121"/>
    </row>
    <row r="291">
      <c r="D291" s="121"/>
    </row>
    <row r="292">
      <c r="D292" s="121"/>
    </row>
    <row r="293">
      <c r="D293" s="121"/>
    </row>
    <row r="294">
      <c r="D294" s="121"/>
    </row>
    <row r="295">
      <c r="D295" s="121"/>
    </row>
    <row r="296">
      <c r="D296" s="121"/>
    </row>
    <row r="297">
      <c r="D297" s="121"/>
    </row>
    <row r="298">
      <c r="D298" s="121"/>
    </row>
    <row r="299">
      <c r="D299" s="121"/>
    </row>
    <row r="300">
      <c r="D300" s="121"/>
    </row>
    <row r="301">
      <c r="D301" s="121"/>
    </row>
    <row r="302">
      <c r="D302" s="121"/>
    </row>
    <row r="303">
      <c r="D303" s="121"/>
    </row>
    <row r="304">
      <c r="D304" s="121"/>
    </row>
    <row r="305">
      <c r="D305" s="121"/>
    </row>
    <row r="306">
      <c r="D306" s="121"/>
    </row>
    <row r="307">
      <c r="D307" s="121"/>
    </row>
    <row r="308">
      <c r="D308" s="121"/>
    </row>
    <row r="309">
      <c r="D309" s="121"/>
    </row>
    <row r="310">
      <c r="D310" s="121"/>
    </row>
    <row r="311">
      <c r="D311" s="121"/>
    </row>
    <row r="312">
      <c r="D312" s="121"/>
    </row>
    <row r="313">
      <c r="D313" s="121"/>
    </row>
    <row r="314">
      <c r="D314" s="121"/>
    </row>
    <row r="315">
      <c r="D315" s="121"/>
    </row>
    <row r="316">
      <c r="D316" s="121"/>
    </row>
    <row r="317">
      <c r="D317" s="121"/>
    </row>
    <row r="318">
      <c r="D318" s="121"/>
    </row>
    <row r="319">
      <c r="D319" s="121"/>
    </row>
    <row r="320">
      <c r="D320" s="121"/>
    </row>
    <row r="321">
      <c r="D321" s="121"/>
    </row>
    <row r="322">
      <c r="D322" s="121"/>
    </row>
    <row r="323">
      <c r="D323" s="121"/>
    </row>
    <row r="324">
      <c r="D324" s="121"/>
    </row>
    <row r="325">
      <c r="D325" s="121"/>
    </row>
    <row r="326">
      <c r="D326" s="121"/>
    </row>
    <row r="327">
      <c r="D327" s="121"/>
    </row>
    <row r="328">
      <c r="D328" s="121"/>
    </row>
    <row r="329">
      <c r="D329" s="121"/>
    </row>
    <row r="330">
      <c r="D330" s="121"/>
    </row>
    <row r="331">
      <c r="D331" s="121"/>
    </row>
    <row r="332">
      <c r="D332" s="121"/>
    </row>
    <row r="333">
      <c r="D333" s="121"/>
    </row>
    <row r="334">
      <c r="D334" s="121"/>
    </row>
    <row r="335">
      <c r="D335" s="121"/>
    </row>
    <row r="336">
      <c r="D336" s="121"/>
    </row>
    <row r="337">
      <c r="D337" s="121"/>
    </row>
    <row r="338">
      <c r="D338" s="121"/>
    </row>
    <row r="339">
      <c r="D339" s="121"/>
    </row>
    <row r="340">
      <c r="D340" s="121"/>
    </row>
    <row r="341">
      <c r="D341" s="121"/>
    </row>
    <row r="342">
      <c r="D342" s="121"/>
    </row>
    <row r="343">
      <c r="D343" s="121"/>
    </row>
    <row r="344">
      <c r="D344" s="121"/>
    </row>
    <row r="345">
      <c r="D345" s="121"/>
    </row>
    <row r="346">
      <c r="D346" s="121"/>
    </row>
    <row r="347">
      <c r="D347" s="121"/>
    </row>
    <row r="348">
      <c r="D348" s="121"/>
    </row>
    <row r="349">
      <c r="D349" s="121"/>
    </row>
    <row r="350">
      <c r="D350" s="121"/>
    </row>
    <row r="351">
      <c r="D351" s="121"/>
    </row>
    <row r="352">
      <c r="D352" s="121"/>
    </row>
    <row r="353">
      <c r="D353" s="121"/>
    </row>
    <row r="354">
      <c r="D354" s="121"/>
    </row>
    <row r="355">
      <c r="D355" s="121"/>
    </row>
    <row r="356">
      <c r="D356" s="121"/>
    </row>
    <row r="357">
      <c r="D357" s="121"/>
    </row>
    <row r="358">
      <c r="D358" s="121"/>
    </row>
    <row r="359">
      <c r="D359" s="121"/>
    </row>
    <row r="360">
      <c r="D360" s="121"/>
    </row>
    <row r="361">
      <c r="D361" s="121"/>
    </row>
    <row r="362">
      <c r="D362" s="121"/>
    </row>
    <row r="363">
      <c r="D363" s="121"/>
    </row>
    <row r="364">
      <c r="D364" s="121"/>
    </row>
    <row r="365">
      <c r="D365" s="121"/>
    </row>
    <row r="366">
      <c r="D366" s="121"/>
    </row>
    <row r="367">
      <c r="D367" s="121"/>
    </row>
    <row r="368">
      <c r="D368" s="121"/>
    </row>
    <row r="369">
      <c r="D369" s="121"/>
    </row>
    <row r="370">
      <c r="D370" s="121"/>
    </row>
    <row r="371">
      <c r="D371" s="121"/>
    </row>
    <row r="372">
      <c r="D372" s="121"/>
    </row>
    <row r="373">
      <c r="D373" s="121"/>
    </row>
    <row r="374">
      <c r="D374" s="121"/>
    </row>
    <row r="375">
      <c r="D375" s="121"/>
    </row>
    <row r="376">
      <c r="D376" s="121"/>
    </row>
    <row r="377">
      <c r="D377" s="121"/>
    </row>
    <row r="378">
      <c r="D378" s="121"/>
    </row>
    <row r="379">
      <c r="D379" s="121"/>
    </row>
    <row r="380">
      <c r="D380" s="121"/>
    </row>
    <row r="381">
      <c r="D381" s="121"/>
    </row>
    <row r="382">
      <c r="D382" s="121"/>
    </row>
    <row r="383">
      <c r="D383" s="121"/>
    </row>
    <row r="384">
      <c r="D384" s="121"/>
    </row>
    <row r="385">
      <c r="D385" s="121"/>
    </row>
    <row r="386">
      <c r="D386" s="121"/>
    </row>
    <row r="387">
      <c r="D387" s="121"/>
    </row>
    <row r="388">
      <c r="D388" s="121"/>
    </row>
    <row r="389">
      <c r="D389" s="121"/>
    </row>
    <row r="390">
      <c r="D390" s="121"/>
    </row>
    <row r="391">
      <c r="D391" s="121"/>
    </row>
    <row r="392">
      <c r="D392" s="121"/>
    </row>
    <row r="393">
      <c r="D393" s="121"/>
    </row>
    <row r="394">
      <c r="D394" s="121"/>
    </row>
    <row r="395">
      <c r="D395" s="121"/>
    </row>
    <row r="396">
      <c r="D396" s="121"/>
    </row>
    <row r="397">
      <c r="D397" s="121"/>
    </row>
    <row r="398">
      <c r="D398" s="121"/>
    </row>
    <row r="399">
      <c r="D399" s="121"/>
    </row>
    <row r="400">
      <c r="D400" s="121"/>
    </row>
    <row r="401">
      <c r="D401" s="121"/>
    </row>
    <row r="402">
      <c r="D402" s="121"/>
    </row>
    <row r="403">
      <c r="D403" s="121"/>
    </row>
    <row r="404">
      <c r="D404" s="121"/>
    </row>
    <row r="405">
      <c r="D405" s="121"/>
    </row>
    <row r="406">
      <c r="D406" s="121"/>
    </row>
    <row r="407">
      <c r="D407" s="121"/>
    </row>
    <row r="408">
      <c r="D408" s="121"/>
    </row>
    <row r="409">
      <c r="D409" s="121"/>
    </row>
    <row r="410">
      <c r="D410" s="121"/>
    </row>
    <row r="411">
      <c r="D411" s="121"/>
    </row>
    <row r="412">
      <c r="D412" s="121"/>
    </row>
    <row r="413">
      <c r="D413" s="121"/>
    </row>
    <row r="414">
      <c r="D414" s="121"/>
    </row>
    <row r="415">
      <c r="D415" s="121"/>
    </row>
    <row r="416">
      <c r="D416" s="121"/>
    </row>
    <row r="417">
      <c r="D417" s="121"/>
    </row>
    <row r="418">
      <c r="D418" s="121"/>
    </row>
    <row r="419">
      <c r="D419" s="121"/>
    </row>
    <row r="420">
      <c r="D420" s="121"/>
    </row>
    <row r="421">
      <c r="D421" s="121"/>
    </row>
    <row r="422">
      <c r="D422" s="121"/>
    </row>
    <row r="423">
      <c r="D423" s="121"/>
    </row>
    <row r="424">
      <c r="D424" s="121"/>
    </row>
    <row r="425">
      <c r="D425" s="121"/>
    </row>
    <row r="426">
      <c r="D426" s="121"/>
    </row>
    <row r="427">
      <c r="D427" s="121"/>
    </row>
    <row r="428">
      <c r="D428" s="121"/>
    </row>
    <row r="429">
      <c r="D429" s="121"/>
    </row>
    <row r="430">
      <c r="D430" s="121"/>
    </row>
    <row r="431">
      <c r="D431" s="121"/>
    </row>
    <row r="432">
      <c r="D432" s="121"/>
    </row>
    <row r="433">
      <c r="D433" s="121"/>
    </row>
    <row r="434">
      <c r="D434" s="121"/>
    </row>
    <row r="435">
      <c r="D435" s="121"/>
    </row>
    <row r="436">
      <c r="D436" s="121"/>
    </row>
    <row r="437">
      <c r="D437" s="121"/>
    </row>
    <row r="438">
      <c r="D438" s="121"/>
    </row>
    <row r="439">
      <c r="D439" s="121"/>
    </row>
    <row r="440">
      <c r="D440" s="121"/>
    </row>
    <row r="441">
      <c r="D441" s="121"/>
    </row>
    <row r="442">
      <c r="D442" s="121"/>
    </row>
    <row r="443">
      <c r="D443" s="121"/>
    </row>
    <row r="444">
      <c r="D444" s="121"/>
    </row>
    <row r="445">
      <c r="D445" s="121"/>
    </row>
    <row r="446">
      <c r="D446" s="121"/>
    </row>
    <row r="447">
      <c r="D447" s="121"/>
    </row>
    <row r="448">
      <c r="D448" s="121"/>
    </row>
    <row r="449">
      <c r="D449" s="121"/>
    </row>
    <row r="450">
      <c r="D450" s="121"/>
    </row>
    <row r="451">
      <c r="D451" s="121"/>
    </row>
    <row r="452">
      <c r="D452" s="121"/>
    </row>
    <row r="453">
      <c r="D453" s="121"/>
    </row>
    <row r="454">
      <c r="D454" s="121"/>
    </row>
    <row r="455">
      <c r="D455" s="121"/>
    </row>
    <row r="456">
      <c r="D456" s="121"/>
    </row>
    <row r="457">
      <c r="D457" s="121"/>
    </row>
    <row r="458">
      <c r="D458" s="121"/>
    </row>
    <row r="459">
      <c r="D459" s="121"/>
    </row>
    <row r="460">
      <c r="D460" s="121"/>
    </row>
    <row r="461">
      <c r="D461" s="121"/>
    </row>
    <row r="462">
      <c r="D462" s="121"/>
    </row>
    <row r="463">
      <c r="D463" s="121"/>
    </row>
    <row r="464">
      <c r="D464" s="121"/>
    </row>
    <row r="465">
      <c r="D465" s="121"/>
    </row>
    <row r="466">
      <c r="D466" s="121"/>
    </row>
    <row r="467">
      <c r="D467" s="121"/>
    </row>
    <row r="468">
      <c r="D468" s="121"/>
    </row>
    <row r="469">
      <c r="D469" s="121"/>
    </row>
    <row r="470">
      <c r="D470" s="121"/>
    </row>
    <row r="471">
      <c r="D471" s="121"/>
    </row>
    <row r="472">
      <c r="D472" s="121"/>
    </row>
    <row r="473">
      <c r="D473" s="121"/>
    </row>
    <row r="474">
      <c r="D474" s="121"/>
    </row>
    <row r="475">
      <c r="D475" s="121"/>
    </row>
    <row r="476">
      <c r="D476" s="121"/>
    </row>
    <row r="477">
      <c r="D477" s="121"/>
    </row>
    <row r="478">
      <c r="D478" s="121"/>
    </row>
    <row r="479">
      <c r="D479" s="121"/>
    </row>
    <row r="480">
      <c r="D480" s="121"/>
    </row>
    <row r="481">
      <c r="D481" s="121"/>
    </row>
    <row r="482">
      <c r="D482" s="121"/>
    </row>
    <row r="483">
      <c r="D483" s="121"/>
    </row>
    <row r="484">
      <c r="D484" s="121"/>
    </row>
    <row r="485">
      <c r="D485" s="121"/>
    </row>
    <row r="486">
      <c r="D486" s="121"/>
    </row>
    <row r="487">
      <c r="D487" s="121"/>
    </row>
    <row r="488">
      <c r="D488" s="121"/>
    </row>
    <row r="489">
      <c r="D489" s="121"/>
    </row>
    <row r="490">
      <c r="D490" s="121"/>
    </row>
    <row r="491">
      <c r="D491" s="121"/>
    </row>
    <row r="492">
      <c r="D492" s="121"/>
    </row>
    <row r="493">
      <c r="D493" s="121"/>
    </row>
    <row r="494">
      <c r="D494" s="121"/>
    </row>
    <row r="495">
      <c r="D495" s="121"/>
    </row>
    <row r="496">
      <c r="D496" s="121"/>
    </row>
    <row r="497">
      <c r="D497" s="121"/>
    </row>
    <row r="498">
      <c r="D498" s="121"/>
    </row>
    <row r="499">
      <c r="D499" s="121"/>
    </row>
    <row r="500">
      <c r="D500" s="121"/>
    </row>
    <row r="501">
      <c r="D501" s="121"/>
    </row>
    <row r="502">
      <c r="D502" s="121"/>
    </row>
    <row r="503">
      <c r="D503" s="121"/>
    </row>
    <row r="504">
      <c r="D504" s="121"/>
    </row>
    <row r="505">
      <c r="D505" s="121"/>
    </row>
    <row r="506">
      <c r="D506" s="121"/>
    </row>
    <row r="507">
      <c r="D507" s="121"/>
    </row>
    <row r="508">
      <c r="D508" s="121"/>
    </row>
    <row r="509">
      <c r="D509" s="121"/>
    </row>
    <row r="510">
      <c r="D510" s="121"/>
    </row>
    <row r="511">
      <c r="D511" s="121"/>
    </row>
    <row r="512">
      <c r="D512" s="121"/>
    </row>
    <row r="513">
      <c r="D513" s="121"/>
    </row>
    <row r="514">
      <c r="D514" s="121"/>
    </row>
    <row r="515">
      <c r="D515" s="121"/>
    </row>
    <row r="516">
      <c r="D516" s="121"/>
    </row>
    <row r="517">
      <c r="D517" s="121"/>
    </row>
    <row r="518">
      <c r="D518" s="121"/>
    </row>
    <row r="519">
      <c r="D519" s="121"/>
    </row>
    <row r="520">
      <c r="D520" s="121"/>
    </row>
    <row r="521">
      <c r="D521" s="121"/>
    </row>
    <row r="522">
      <c r="D522" s="121"/>
    </row>
    <row r="523">
      <c r="D523" s="121"/>
    </row>
    <row r="524">
      <c r="D524" s="121"/>
    </row>
    <row r="525">
      <c r="D525" s="121"/>
    </row>
    <row r="526">
      <c r="D526" s="121"/>
    </row>
    <row r="527">
      <c r="D527" s="121"/>
    </row>
    <row r="528">
      <c r="D528" s="121"/>
    </row>
    <row r="529">
      <c r="D529" s="121"/>
    </row>
    <row r="530">
      <c r="D530" s="121"/>
    </row>
    <row r="531">
      <c r="D531" s="121"/>
    </row>
    <row r="532">
      <c r="D532" s="121"/>
    </row>
    <row r="533">
      <c r="D533" s="121"/>
    </row>
    <row r="534">
      <c r="D534" s="121"/>
    </row>
    <row r="535">
      <c r="D535" s="121"/>
    </row>
    <row r="536">
      <c r="D536" s="121"/>
    </row>
    <row r="537">
      <c r="D537" s="121"/>
    </row>
    <row r="538">
      <c r="D538" s="121"/>
    </row>
    <row r="539">
      <c r="D539" s="121"/>
    </row>
    <row r="540">
      <c r="D540" s="121"/>
    </row>
    <row r="541">
      <c r="D541" s="121"/>
    </row>
    <row r="542">
      <c r="D542" s="121"/>
    </row>
    <row r="543">
      <c r="D543" s="121"/>
    </row>
    <row r="544">
      <c r="D544" s="121"/>
    </row>
    <row r="545">
      <c r="D545" s="121"/>
    </row>
    <row r="546">
      <c r="D546" s="121"/>
    </row>
    <row r="547">
      <c r="D547" s="121"/>
    </row>
    <row r="548">
      <c r="D548" s="121"/>
    </row>
    <row r="549">
      <c r="D549" s="121"/>
    </row>
    <row r="550">
      <c r="D550" s="121"/>
    </row>
    <row r="551">
      <c r="D551" s="121"/>
    </row>
    <row r="552">
      <c r="D552" s="121"/>
    </row>
    <row r="553">
      <c r="D553" s="121"/>
    </row>
    <row r="554">
      <c r="D554" s="121"/>
    </row>
    <row r="555">
      <c r="D555" s="121"/>
    </row>
    <row r="556">
      <c r="D556" s="121"/>
    </row>
    <row r="557">
      <c r="D557" s="121"/>
    </row>
    <row r="558">
      <c r="D558" s="121"/>
    </row>
    <row r="559">
      <c r="D559" s="121"/>
    </row>
    <row r="560">
      <c r="D560" s="121"/>
    </row>
    <row r="561">
      <c r="D561" s="121"/>
    </row>
    <row r="562">
      <c r="D562" s="121"/>
    </row>
    <row r="563">
      <c r="D563" s="121"/>
    </row>
    <row r="564">
      <c r="D564" s="121"/>
    </row>
    <row r="565">
      <c r="D565" s="121"/>
    </row>
    <row r="566">
      <c r="D566" s="121"/>
    </row>
    <row r="567">
      <c r="D567" s="121"/>
    </row>
    <row r="568">
      <c r="D568" s="121"/>
    </row>
    <row r="569">
      <c r="D569" s="121"/>
    </row>
    <row r="570">
      <c r="D570" s="121"/>
    </row>
    <row r="571">
      <c r="D571" s="121"/>
    </row>
    <row r="572">
      <c r="D572" s="121"/>
    </row>
    <row r="573">
      <c r="D573" s="121"/>
    </row>
    <row r="574">
      <c r="D574" s="121"/>
    </row>
    <row r="575">
      <c r="D575" s="121"/>
    </row>
    <row r="576">
      <c r="D576" s="121"/>
    </row>
    <row r="577">
      <c r="D577" s="121"/>
    </row>
    <row r="578">
      <c r="D578" s="121"/>
    </row>
    <row r="579">
      <c r="D579" s="121"/>
    </row>
    <row r="580">
      <c r="D580" s="121"/>
    </row>
    <row r="581">
      <c r="D581" s="121"/>
    </row>
    <row r="582">
      <c r="D582" s="121"/>
    </row>
    <row r="583">
      <c r="D583" s="121"/>
    </row>
    <row r="584">
      <c r="D584" s="121"/>
    </row>
    <row r="585">
      <c r="D585" s="121"/>
    </row>
    <row r="586">
      <c r="D586" s="121"/>
    </row>
    <row r="587">
      <c r="D587" s="121"/>
    </row>
    <row r="588">
      <c r="D588" s="121"/>
    </row>
    <row r="589">
      <c r="D589" s="121"/>
    </row>
    <row r="590">
      <c r="D590" s="121"/>
    </row>
    <row r="591">
      <c r="D591" s="121"/>
    </row>
    <row r="592">
      <c r="D592" s="121"/>
    </row>
    <row r="593">
      <c r="D593" s="121"/>
    </row>
    <row r="594">
      <c r="D594" s="121"/>
    </row>
    <row r="595">
      <c r="D595" s="121"/>
    </row>
    <row r="596">
      <c r="D596" s="121"/>
    </row>
    <row r="597">
      <c r="D597" s="121"/>
    </row>
    <row r="598">
      <c r="D598" s="121"/>
    </row>
    <row r="599">
      <c r="D599" s="121"/>
    </row>
    <row r="600">
      <c r="D600" s="121"/>
    </row>
    <row r="601">
      <c r="D601" s="121"/>
    </row>
    <row r="602">
      <c r="D602" s="121"/>
    </row>
    <row r="603">
      <c r="D603" s="121"/>
    </row>
    <row r="604">
      <c r="D604" s="121"/>
    </row>
    <row r="605">
      <c r="D605" s="121"/>
    </row>
    <row r="606">
      <c r="D606" s="121"/>
    </row>
    <row r="607">
      <c r="D607" s="121"/>
    </row>
    <row r="608">
      <c r="D608" s="121"/>
    </row>
    <row r="609">
      <c r="D609" s="121"/>
    </row>
    <row r="610">
      <c r="D610" s="121"/>
    </row>
    <row r="611">
      <c r="D611" s="121"/>
    </row>
    <row r="612">
      <c r="D612" s="121"/>
    </row>
    <row r="613">
      <c r="D613" s="121"/>
    </row>
    <row r="614">
      <c r="D614" s="121"/>
    </row>
    <row r="615">
      <c r="D615" s="121"/>
    </row>
    <row r="616">
      <c r="D616" s="121"/>
    </row>
    <row r="617">
      <c r="D617" s="121"/>
    </row>
    <row r="618">
      <c r="D618" s="121"/>
    </row>
    <row r="619">
      <c r="D619" s="121"/>
    </row>
    <row r="620">
      <c r="D620" s="121"/>
    </row>
    <row r="621">
      <c r="D621" s="121"/>
    </row>
    <row r="622">
      <c r="D622" s="121"/>
    </row>
    <row r="623">
      <c r="D623" s="121"/>
    </row>
    <row r="624">
      <c r="D624" s="121"/>
    </row>
    <row r="625">
      <c r="D625" s="121"/>
    </row>
    <row r="626">
      <c r="D626" s="121"/>
    </row>
    <row r="627">
      <c r="D627" s="121"/>
    </row>
    <row r="628">
      <c r="D628" s="121"/>
    </row>
    <row r="629">
      <c r="D629" s="121"/>
    </row>
    <row r="630">
      <c r="D630" s="121"/>
    </row>
    <row r="631">
      <c r="D631" s="121"/>
    </row>
    <row r="632">
      <c r="D632" s="121"/>
    </row>
    <row r="633">
      <c r="D633" s="121"/>
    </row>
    <row r="634">
      <c r="D634" s="121"/>
    </row>
    <row r="635">
      <c r="D635" s="121"/>
    </row>
    <row r="636">
      <c r="D636" s="121"/>
    </row>
    <row r="637">
      <c r="D637" s="121"/>
    </row>
    <row r="638">
      <c r="D638" s="121"/>
    </row>
    <row r="639">
      <c r="D639" s="121"/>
    </row>
    <row r="640">
      <c r="D640" s="121"/>
    </row>
    <row r="641">
      <c r="D641" s="121"/>
    </row>
    <row r="642">
      <c r="D642" s="121"/>
    </row>
    <row r="643">
      <c r="D643" s="121"/>
    </row>
    <row r="644">
      <c r="D644" s="121"/>
    </row>
    <row r="645">
      <c r="D645" s="121"/>
    </row>
    <row r="646">
      <c r="D646" s="121"/>
    </row>
    <row r="647">
      <c r="D647" s="121"/>
    </row>
    <row r="648">
      <c r="D648" s="121"/>
    </row>
    <row r="649">
      <c r="D649" s="121"/>
    </row>
    <row r="650">
      <c r="D650" s="121"/>
    </row>
    <row r="651">
      <c r="D651" s="121"/>
    </row>
    <row r="652">
      <c r="D652" s="121"/>
    </row>
    <row r="653">
      <c r="D653" s="121"/>
    </row>
    <row r="654">
      <c r="D654" s="121"/>
    </row>
    <row r="655">
      <c r="D655" s="121"/>
    </row>
    <row r="656">
      <c r="D656" s="121"/>
    </row>
    <row r="657">
      <c r="D657" s="121"/>
    </row>
    <row r="658">
      <c r="D658" s="121"/>
    </row>
    <row r="659">
      <c r="D659" s="121"/>
    </row>
    <row r="660">
      <c r="D660" s="121"/>
    </row>
    <row r="661">
      <c r="D661" s="121"/>
    </row>
    <row r="662">
      <c r="D662" s="121"/>
    </row>
    <row r="663">
      <c r="D663" s="121"/>
    </row>
    <row r="664">
      <c r="D664" s="121"/>
    </row>
    <row r="665">
      <c r="D665" s="121"/>
    </row>
    <row r="666">
      <c r="D666" s="121"/>
    </row>
    <row r="667">
      <c r="D667" s="121"/>
    </row>
    <row r="668">
      <c r="D668" s="121"/>
    </row>
    <row r="669">
      <c r="D669" s="121"/>
    </row>
    <row r="670">
      <c r="D670" s="121"/>
    </row>
    <row r="671">
      <c r="D671" s="121"/>
    </row>
    <row r="672">
      <c r="D672" s="121"/>
    </row>
    <row r="673">
      <c r="D673" s="121"/>
    </row>
    <row r="674">
      <c r="D674" s="121"/>
    </row>
    <row r="675">
      <c r="D675" s="121"/>
    </row>
    <row r="676">
      <c r="D676" s="121"/>
    </row>
    <row r="677">
      <c r="D677" s="121"/>
    </row>
    <row r="678">
      <c r="D678" s="121"/>
    </row>
    <row r="679">
      <c r="D679" s="121"/>
    </row>
    <row r="680">
      <c r="D680" s="121"/>
    </row>
    <row r="681">
      <c r="D681" s="121"/>
    </row>
    <row r="682">
      <c r="D682" s="121"/>
    </row>
    <row r="683">
      <c r="D683" s="121"/>
    </row>
    <row r="684">
      <c r="D684" s="121"/>
    </row>
    <row r="685">
      <c r="D685" s="121"/>
    </row>
    <row r="686">
      <c r="D686" s="121"/>
    </row>
    <row r="687">
      <c r="D687" s="121"/>
    </row>
    <row r="688">
      <c r="D688" s="121"/>
    </row>
    <row r="689">
      <c r="D689" s="121"/>
    </row>
    <row r="690">
      <c r="D690" s="121"/>
    </row>
    <row r="691">
      <c r="D691" s="121"/>
    </row>
    <row r="692">
      <c r="D692" s="121"/>
    </row>
    <row r="693">
      <c r="D693" s="121"/>
    </row>
    <row r="694">
      <c r="D694" s="121"/>
    </row>
    <row r="695">
      <c r="D695" s="121"/>
    </row>
    <row r="696">
      <c r="D696" s="121"/>
    </row>
    <row r="697">
      <c r="D697" s="121"/>
    </row>
    <row r="698">
      <c r="D698" s="121"/>
    </row>
    <row r="699">
      <c r="D699" s="121"/>
    </row>
    <row r="700">
      <c r="D700" s="121"/>
    </row>
    <row r="701">
      <c r="D701" s="121"/>
    </row>
    <row r="702">
      <c r="D702" s="121"/>
    </row>
    <row r="703">
      <c r="D703" s="121"/>
    </row>
    <row r="704">
      <c r="D704" s="121"/>
    </row>
    <row r="705">
      <c r="D705" s="121"/>
    </row>
    <row r="706">
      <c r="D706" s="121"/>
    </row>
    <row r="707">
      <c r="D707" s="121"/>
    </row>
    <row r="708">
      <c r="D708" s="121"/>
    </row>
    <row r="709">
      <c r="D709" s="121"/>
    </row>
    <row r="710">
      <c r="D710" s="121"/>
    </row>
    <row r="711">
      <c r="D711" s="121"/>
    </row>
    <row r="712">
      <c r="D712" s="121"/>
    </row>
    <row r="713">
      <c r="D713" s="121"/>
    </row>
    <row r="714">
      <c r="D714" s="121"/>
    </row>
    <row r="715">
      <c r="D715" s="121"/>
    </row>
    <row r="716">
      <c r="D716" s="121"/>
    </row>
    <row r="717">
      <c r="D717" s="121"/>
    </row>
    <row r="718">
      <c r="D718" s="121"/>
    </row>
    <row r="719">
      <c r="D719" s="121"/>
    </row>
    <row r="720">
      <c r="D720" s="121"/>
    </row>
    <row r="721">
      <c r="D721" s="121"/>
    </row>
    <row r="722">
      <c r="D722" s="121"/>
    </row>
    <row r="723">
      <c r="D723" s="121"/>
    </row>
    <row r="724">
      <c r="D724" s="121"/>
    </row>
    <row r="725">
      <c r="D725" s="121"/>
    </row>
    <row r="726">
      <c r="D726" s="121"/>
    </row>
    <row r="727">
      <c r="D727" s="121"/>
    </row>
    <row r="728">
      <c r="D728" s="121"/>
    </row>
    <row r="729">
      <c r="D729" s="121"/>
    </row>
    <row r="730">
      <c r="D730" s="121"/>
    </row>
    <row r="731">
      <c r="D731" s="121"/>
    </row>
    <row r="732">
      <c r="D732" s="121"/>
    </row>
    <row r="733">
      <c r="D733" s="121"/>
    </row>
    <row r="734">
      <c r="D734" s="121"/>
    </row>
    <row r="735">
      <c r="D735" s="121"/>
    </row>
    <row r="736">
      <c r="D736" s="121"/>
    </row>
    <row r="737">
      <c r="D737" s="121"/>
    </row>
    <row r="738">
      <c r="D738" s="121"/>
    </row>
    <row r="739">
      <c r="D739" s="121"/>
    </row>
    <row r="740">
      <c r="D740" s="121"/>
    </row>
    <row r="741">
      <c r="D741" s="121"/>
    </row>
    <row r="742">
      <c r="D742" s="121"/>
    </row>
    <row r="743">
      <c r="D743" s="121"/>
    </row>
    <row r="744">
      <c r="D744" s="121"/>
    </row>
    <row r="745">
      <c r="D745" s="121"/>
    </row>
    <row r="746">
      <c r="D746" s="121"/>
    </row>
    <row r="747">
      <c r="D747" s="121"/>
    </row>
    <row r="748">
      <c r="D748" s="121"/>
    </row>
    <row r="749">
      <c r="D749" s="121"/>
    </row>
    <row r="750">
      <c r="D750" s="121"/>
    </row>
    <row r="751">
      <c r="D751" s="121"/>
    </row>
    <row r="752">
      <c r="D752" s="121"/>
    </row>
    <row r="753">
      <c r="D753" s="121"/>
    </row>
    <row r="754">
      <c r="D754" s="121"/>
    </row>
    <row r="755">
      <c r="D755" s="121"/>
    </row>
    <row r="756">
      <c r="D756" s="121"/>
    </row>
    <row r="757">
      <c r="D757" s="121"/>
    </row>
    <row r="758">
      <c r="D758" s="121"/>
    </row>
    <row r="759">
      <c r="D759" s="121"/>
    </row>
    <row r="760">
      <c r="D760" s="121"/>
    </row>
    <row r="761">
      <c r="D761" s="121"/>
    </row>
    <row r="762">
      <c r="D762" s="121"/>
    </row>
    <row r="763">
      <c r="D763" s="121"/>
    </row>
    <row r="764">
      <c r="D764" s="121"/>
    </row>
    <row r="765">
      <c r="D765" s="121"/>
    </row>
    <row r="766">
      <c r="D766" s="121"/>
    </row>
    <row r="767">
      <c r="D767" s="121"/>
    </row>
    <row r="768">
      <c r="D768" s="121"/>
    </row>
    <row r="769">
      <c r="D769" s="121"/>
    </row>
    <row r="770">
      <c r="D770" s="121"/>
    </row>
    <row r="771">
      <c r="D771" s="121"/>
    </row>
    <row r="772">
      <c r="D772" s="121"/>
    </row>
    <row r="773">
      <c r="D773" s="121"/>
    </row>
    <row r="774">
      <c r="D774" s="121"/>
    </row>
    <row r="775">
      <c r="D775" s="121"/>
    </row>
    <row r="776">
      <c r="D776" s="121"/>
    </row>
    <row r="777">
      <c r="D777" s="121"/>
    </row>
    <row r="778">
      <c r="D778" s="121"/>
    </row>
    <row r="779">
      <c r="D779" s="121"/>
    </row>
    <row r="780">
      <c r="D780" s="121"/>
    </row>
    <row r="781">
      <c r="D781" s="121"/>
    </row>
    <row r="782">
      <c r="D782" s="121"/>
    </row>
    <row r="783">
      <c r="D783" s="121"/>
    </row>
    <row r="784">
      <c r="D784" s="121"/>
    </row>
    <row r="785">
      <c r="D785" s="121"/>
    </row>
    <row r="786">
      <c r="D786" s="121"/>
    </row>
    <row r="787">
      <c r="D787" s="121"/>
    </row>
    <row r="788">
      <c r="D788" s="121"/>
    </row>
    <row r="789">
      <c r="D789" s="121"/>
    </row>
    <row r="790">
      <c r="D790" s="121"/>
    </row>
    <row r="791">
      <c r="D791" s="121"/>
    </row>
    <row r="792">
      <c r="D792" s="121"/>
    </row>
    <row r="793">
      <c r="D793" s="121"/>
    </row>
    <row r="794">
      <c r="D794" s="121"/>
    </row>
    <row r="795">
      <c r="D795" s="121"/>
    </row>
    <row r="796">
      <c r="D796" s="121"/>
    </row>
    <row r="797">
      <c r="D797" s="121"/>
    </row>
    <row r="798">
      <c r="D798" s="121"/>
    </row>
    <row r="799">
      <c r="D799" s="121"/>
    </row>
    <row r="800">
      <c r="D800" s="121"/>
    </row>
    <row r="801">
      <c r="D801" s="121"/>
    </row>
    <row r="802">
      <c r="D802" s="121"/>
    </row>
    <row r="803">
      <c r="D803" s="121"/>
    </row>
    <row r="804">
      <c r="D804" s="121"/>
    </row>
    <row r="805">
      <c r="D805" s="121"/>
    </row>
    <row r="806">
      <c r="D806" s="121"/>
    </row>
    <row r="807">
      <c r="D807" s="121"/>
    </row>
    <row r="808">
      <c r="D808" s="121"/>
    </row>
    <row r="809">
      <c r="D809" s="121"/>
    </row>
    <row r="810">
      <c r="D810" s="121"/>
    </row>
    <row r="811">
      <c r="D811" s="121"/>
    </row>
    <row r="812">
      <c r="D812" s="121"/>
    </row>
    <row r="813">
      <c r="D813" s="121"/>
    </row>
    <row r="814">
      <c r="D814" s="121"/>
    </row>
    <row r="815">
      <c r="D815" s="121"/>
    </row>
    <row r="816">
      <c r="D816" s="121"/>
    </row>
    <row r="817">
      <c r="D817" s="121"/>
    </row>
    <row r="818">
      <c r="D818" s="121"/>
    </row>
    <row r="819">
      <c r="D819" s="121"/>
    </row>
    <row r="820">
      <c r="D820" s="121"/>
    </row>
    <row r="821">
      <c r="D821" s="121"/>
    </row>
    <row r="822">
      <c r="D822" s="121"/>
    </row>
    <row r="823">
      <c r="D823" s="121"/>
    </row>
    <row r="824">
      <c r="D824" s="121"/>
    </row>
    <row r="825">
      <c r="D825" s="121"/>
    </row>
    <row r="826">
      <c r="D826" s="121"/>
    </row>
    <row r="827">
      <c r="D827" s="121"/>
    </row>
    <row r="828">
      <c r="D828" s="121"/>
    </row>
    <row r="829">
      <c r="D829" s="121"/>
    </row>
    <row r="830">
      <c r="D830" s="121"/>
    </row>
    <row r="831">
      <c r="D831" s="121"/>
    </row>
    <row r="832">
      <c r="D832" s="121"/>
    </row>
    <row r="833">
      <c r="D833" s="121"/>
    </row>
    <row r="834">
      <c r="D834" s="121"/>
    </row>
    <row r="835">
      <c r="D835" s="121"/>
    </row>
    <row r="836">
      <c r="D836" s="121"/>
    </row>
    <row r="837">
      <c r="D837" s="121"/>
    </row>
    <row r="838">
      <c r="D838" s="121"/>
    </row>
    <row r="839">
      <c r="D839" s="121"/>
    </row>
    <row r="840">
      <c r="D840" s="121"/>
    </row>
    <row r="841">
      <c r="D841" s="121"/>
    </row>
    <row r="842">
      <c r="D842" s="121"/>
    </row>
    <row r="843">
      <c r="D843" s="121"/>
    </row>
    <row r="844">
      <c r="D844" s="121"/>
    </row>
    <row r="845">
      <c r="D845" s="121"/>
    </row>
    <row r="846">
      <c r="D846" s="121"/>
    </row>
    <row r="847">
      <c r="D847" s="121"/>
    </row>
    <row r="848">
      <c r="D848" s="121"/>
    </row>
    <row r="849">
      <c r="D849" s="121"/>
    </row>
    <row r="850">
      <c r="D850" s="121"/>
    </row>
    <row r="851">
      <c r="D851" s="121"/>
    </row>
    <row r="852">
      <c r="D852" s="121"/>
    </row>
    <row r="853">
      <c r="D853" s="121"/>
    </row>
    <row r="854">
      <c r="D854" s="121"/>
    </row>
    <row r="855">
      <c r="D855" s="121"/>
    </row>
    <row r="856">
      <c r="D856" s="121"/>
    </row>
    <row r="857">
      <c r="D857" s="121"/>
    </row>
    <row r="858">
      <c r="D858" s="121"/>
    </row>
    <row r="859">
      <c r="D859" s="121"/>
    </row>
    <row r="860">
      <c r="D860" s="121"/>
    </row>
    <row r="861">
      <c r="D861" s="121"/>
    </row>
    <row r="862">
      <c r="D862" s="121"/>
    </row>
    <row r="863">
      <c r="D863" s="121"/>
    </row>
    <row r="864">
      <c r="D864" s="121"/>
    </row>
    <row r="865">
      <c r="D865" s="121"/>
    </row>
    <row r="866">
      <c r="D866" s="121"/>
    </row>
    <row r="867">
      <c r="D867" s="121"/>
    </row>
    <row r="868">
      <c r="D868" s="121"/>
    </row>
    <row r="869">
      <c r="D869" s="121"/>
    </row>
    <row r="870">
      <c r="D870" s="121"/>
    </row>
    <row r="871">
      <c r="D871" s="121"/>
    </row>
    <row r="872">
      <c r="D872" s="121"/>
    </row>
    <row r="873">
      <c r="D873" s="121"/>
    </row>
    <row r="874">
      <c r="D874" s="121"/>
    </row>
    <row r="875">
      <c r="D875" s="121"/>
    </row>
    <row r="876">
      <c r="D876" s="121"/>
    </row>
    <row r="877">
      <c r="D877" s="121"/>
    </row>
    <row r="878">
      <c r="D878" s="121"/>
    </row>
    <row r="879">
      <c r="D879" s="121"/>
    </row>
    <row r="880">
      <c r="D880" s="121"/>
    </row>
    <row r="881">
      <c r="D881" s="121"/>
    </row>
    <row r="882">
      <c r="D882" s="121"/>
    </row>
    <row r="883">
      <c r="D883" s="121"/>
    </row>
    <row r="884">
      <c r="D884" s="121"/>
    </row>
    <row r="885">
      <c r="D885" s="121"/>
    </row>
    <row r="886">
      <c r="D886" s="121"/>
    </row>
    <row r="887">
      <c r="D887" s="121"/>
    </row>
    <row r="888">
      <c r="D888" s="121"/>
    </row>
    <row r="889">
      <c r="D889" s="121"/>
    </row>
    <row r="890">
      <c r="D890" s="121"/>
    </row>
    <row r="891">
      <c r="D891" s="121"/>
    </row>
    <row r="892">
      <c r="D892" s="121"/>
    </row>
    <row r="893">
      <c r="D893" s="121"/>
    </row>
    <row r="894">
      <c r="D894" s="121"/>
    </row>
    <row r="895">
      <c r="D895" s="121"/>
    </row>
    <row r="896">
      <c r="D896" s="121"/>
    </row>
    <row r="897">
      <c r="D897" s="121"/>
    </row>
    <row r="898">
      <c r="D898" s="121"/>
    </row>
    <row r="899">
      <c r="D899" s="121"/>
    </row>
    <row r="900">
      <c r="D900" s="121"/>
    </row>
    <row r="901">
      <c r="D901" s="121"/>
    </row>
    <row r="902">
      <c r="D902" s="121"/>
    </row>
    <row r="903">
      <c r="D903" s="121"/>
    </row>
    <row r="904">
      <c r="D904" s="121"/>
    </row>
    <row r="905">
      <c r="D905" s="121"/>
    </row>
    <row r="906">
      <c r="D906" s="121"/>
    </row>
    <row r="907">
      <c r="D907" s="121"/>
    </row>
    <row r="908">
      <c r="D908" s="121"/>
    </row>
    <row r="909">
      <c r="D909" s="121"/>
    </row>
    <row r="910">
      <c r="D910" s="121"/>
    </row>
    <row r="911">
      <c r="D911" s="121"/>
    </row>
    <row r="912">
      <c r="D912" s="121"/>
    </row>
    <row r="913">
      <c r="D913" s="121"/>
    </row>
    <row r="914">
      <c r="D914" s="121"/>
    </row>
    <row r="915">
      <c r="D915" s="121"/>
    </row>
    <row r="916">
      <c r="D916" s="121"/>
    </row>
    <row r="917">
      <c r="D917" s="121"/>
    </row>
    <row r="918">
      <c r="D918" s="121"/>
    </row>
    <row r="919">
      <c r="D919" s="121"/>
    </row>
    <row r="920">
      <c r="D920" s="121"/>
    </row>
    <row r="921">
      <c r="D921" s="121"/>
    </row>
    <row r="922">
      <c r="D922" s="121"/>
    </row>
    <row r="923">
      <c r="D923" s="121"/>
    </row>
    <row r="924">
      <c r="D924" s="121"/>
    </row>
    <row r="925">
      <c r="D925" s="121"/>
    </row>
    <row r="926">
      <c r="D926" s="121"/>
    </row>
    <row r="927">
      <c r="D927" s="121"/>
    </row>
    <row r="928">
      <c r="D928" s="121"/>
    </row>
    <row r="929">
      <c r="D929" s="121"/>
    </row>
    <row r="930">
      <c r="D930" s="121"/>
    </row>
    <row r="931">
      <c r="D931" s="121"/>
    </row>
    <row r="932">
      <c r="D932" s="121"/>
    </row>
    <row r="933">
      <c r="D933" s="121"/>
    </row>
    <row r="934">
      <c r="D934" s="121"/>
    </row>
    <row r="935">
      <c r="D935" s="121"/>
    </row>
    <row r="936">
      <c r="D936" s="121"/>
    </row>
    <row r="937">
      <c r="D937" s="121"/>
    </row>
    <row r="938">
      <c r="D938" s="121"/>
    </row>
    <row r="939">
      <c r="D939" s="121"/>
    </row>
    <row r="940">
      <c r="D940" s="121"/>
    </row>
    <row r="941">
      <c r="D941" s="121"/>
    </row>
    <row r="942">
      <c r="D942" s="121"/>
    </row>
    <row r="943">
      <c r="D943" s="121"/>
    </row>
    <row r="944">
      <c r="D944" s="121"/>
    </row>
    <row r="945">
      <c r="D945" s="121"/>
    </row>
    <row r="946">
      <c r="D946" s="121"/>
    </row>
    <row r="947">
      <c r="D947" s="121"/>
    </row>
    <row r="948">
      <c r="D948" s="121"/>
    </row>
    <row r="949">
      <c r="D949" s="121"/>
    </row>
    <row r="950">
      <c r="D950" s="121"/>
    </row>
    <row r="951">
      <c r="D951" s="121"/>
    </row>
    <row r="952">
      <c r="D952" s="121"/>
    </row>
    <row r="953">
      <c r="D953" s="121"/>
    </row>
    <row r="954">
      <c r="D954" s="121"/>
    </row>
    <row r="955">
      <c r="D955" s="121"/>
    </row>
    <row r="956">
      <c r="D956" s="121"/>
    </row>
    <row r="957">
      <c r="D957" s="121"/>
    </row>
    <row r="958">
      <c r="D958" s="121"/>
    </row>
    <row r="959">
      <c r="D959" s="121"/>
    </row>
    <row r="960">
      <c r="D960" s="121"/>
    </row>
    <row r="961">
      <c r="D961" s="121"/>
    </row>
    <row r="962">
      <c r="D962" s="121"/>
    </row>
    <row r="963">
      <c r="D963" s="121"/>
    </row>
    <row r="964">
      <c r="D964" s="121"/>
    </row>
    <row r="965">
      <c r="D965" s="121"/>
    </row>
    <row r="966">
      <c r="D966" s="121"/>
    </row>
    <row r="967">
      <c r="D967" s="121"/>
    </row>
    <row r="968">
      <c r="D968" s="121"/>
    </row>
    <row r="969">
      <c r="D969" s="121"/>
    </row>
    <row r="970">
      <c r="D970" s="121"/>
    </row>
    <row r="971">
      <c r="D971" s="121"/>
    </row>
    <row r="972">
      <c r="D972" s="121"/>
    </row>
    <row r="973">
      <c r="D973" s="121"/>
    </row>
    <row r="974">
      <c r="D974" s="121"/>
    </row>
    <row r="975">
      <c r="D975" s="121"/>
    </row>
    <row r="976">
      <c r="D976" s="121"/>
    </row>
    <row r="977">
      <c r="D977" s="121"/>
    </row>
    <row r="978">
      <c r="D978" s="121"/>
    </row>
    <row r="979">
      <c r="D979" s="121"/>
    </row>
    <row r="980">
      <c r="D980" s="121"/>
    </row>
    <row r="981">
      <c r="D981" s="121"/>
    </row>
    <row r="982">
      <c r="D982" s="121"/>
    </row>
    <row r="983">
      <c r="D983" s="121"/>
    </row>
    <row r="984">
      <c r="D984" s="121"/>
    </row>
    <row r="985">
      <c r="D985" s="121"/>
    </row>
    <row r="986">
      <c r="D986" s="121"/>
    </row>
    <row r="987">
      <c r="D987" s="121"/>
    </row>
    <row r="988">
      <c r="D988" s="121"/>
    </row>
    <row r="989">
      <c r="D989" s="121"/>
    </row>
    <row r="990">
      <c r="D990" s="121"/>
    </row>
    <row r="991">
      <c r="D991" s="121"/>
    </row>
    <row r="992">
      <c r="D992" s="121"/>
    </row>
    <row r="993">
      <c r="D993" s="121"/>
    </row>
    <row r="994">
      <c r="D994" s="121"/>
    </row>
    <row r="995">
      <c r="D995" s="121"/>
    </row>
    <row r="996">
      <c r="D996" s="121"/>
    </row>
    <row r="997">
      <c r="D997" s="121"/>
    </row>
    <row r="998">
      <c r="D998" s="121"/>
    </row>
    <row r="999">
      <c r="D999" s="121"/>
    </row>
    <row r="1000">
      <c r="D1000" s="121"/>
    </row>
    <row r="1001">
      <c r="D1001" s="121"/>
    </row>
  </sheetData>
  <mergeCells count="5">
    <mergeCell ref="A1:K1"/>
    <mergeCell ref="E57:F57"/>
    <mergeCell ref="G57:H57"/>
    <mergeCell ref="L57:M57"/>
    <mergeCell ref="N57:O57"/>
  </mergeCells>
  <dataValidations>
    <dataValidation type="list" allowBlank="1" sqref="H2">
      <formula1>"0%,5%,10%,15%,20%,25%,30%"</formula1>
    </dataValidation>
    <dataValidation type="list" allowBlank="1" showInputMessage="1" showErrorMessage="1" prompt="It indicates that % of task can be achieved using AI" sqref="D7:D55">
      <formula1>"0%,5%,7%,10%,12%,15%,17%,20%"</formula1>
    </dataValidation>
    <dataValidation type="decimal" allowBlank="1" showDropDown="1" showInputMessage="1" showErrorMessage="1" prompt="Enter a number between 1 and 6" sqref="F7:F51 M7:M56">
      <formula1>1.0</formula1>
      <formula2>6.0</formula2>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0"/>
  <cols>
    <col customWidth="1" min="1" max="1" width="4.63"/>
    <col customWidth="1" min="2" max="2" width="33.13"/>
    <col customWidth="1" min="3" max="3" width="26.88"/>
    <col customWidth="1" min="4" max="4" width="9.13"/>
    <col customWidth="1" min="5" max="5" width="7.75"/>
    <col customWidth="1" min="6" max="6" width="8.5"/>
    <col customWidth="1" min="7" max="7" width="9.25"/>
    <col customWidth="1" min="8" max="8" width="49.63"/>
    <col customWidth="1" min="9" max="9" width="34.38"/>
    <col customWidth="1" min="10" max="10" width="13.38"/>
  </cols>
  <sheetData>
    <row r="1">
      <c r="A1" s="53"/>
      <c r="B1" s="53" t="s">
        <v>56</v>
      </c>
      <c r="K1" s="35"/>
      <c r="L1" s="35"/>
      <c r="M1" s="35"/>
      <c r="N1" s="35"/>
      <c r="O1" s="35"/>
      <c r="P1" s="35"/>
      <c r="Q1" s="35"/>
      <c r="R1" s="35"/>
      <c r="S1" s="35"/>
      <c r="T1" s="35"/>
      <c r="U1" s="35"/>
      <c r="V1" s="35"/>
      <c r="W1" s="35"/>
      <c r="X1" s="35"/>
      <c r="Y1" s="35"/>
      <c r="Z1" s="35"/>
      <c r="AA1" s="35"/>
    </row>
    <row r="2">
      <c r="A2" s="55"/>
      <c r="B2" s="55" t="s">
        <v>57</v>
      </c>
      <c r="C2" s="57"/>
      <c r="D2" s="105" t="s">
        <v>146</v>
      </c>
      <c r="E2" s="106" t="s">
        <v>147</v>
      </c>
      <c r="G2" s="149">
        <v>0.1</v>
      </c>
      <c r="H2" s="91" t="s">
        <v>58</v>
      </c>
      <c r="L2" s="35"/>
      <c r="M2" s="35"/>
      <c r="N2" s="35"/>
      <c r="O2" s="35"/>
      <c r="P2" s="35"/>
      <c r="Q2" s="35"/>
      <c r="R2" s="35"/>
      <c r="S2" s="35"/>
      <c r="T2" s="35"/>
      <c r="U2" s="35"/>
      <c r="V2" s="35"/>
      <c r="W2" s="35"/>
      <c r="X2" s="35"/>
      <c r="Y2" s="35"/>
      <c r="Z2" s="35"/>
      <c r="AA2" s="35"/>
    </row>
    <row r="3">
      <c r="A3" s="55"/>
      <c r="B3" s="55" t="s">
        <v>59</v>
      </c>
      <c r="C3" s="61"/>
      <c r="D3" s="26">
        <f>ROUNDUP(C4/2,0)</f>
        <v>45</v>
      </c>
      <c r="E3" s="58">
        <f>ROUNDUP(C4/2,0)</f>
        <v>45</v>
      </c>
      <c r="G3" s="62">
        <f>ROUNDUP(F85*G2,0)</f>
        <v>9</v>
      </c>
      <c r="H3" s="91" t="s">
        <v>60</v>
      </c>
      <c r="L3" s="35"/>
      <c r="M3" s="35"/>
      <c r="N3" s="35"/>
      <c r="O3" s="35"/>
      <c r="P3" s="35"/>
      <c r="Q3" s="35"/>
      <c r="R3" s="35"/>
      <c r="S3" s="35"/>
      <c r="T3" s="35"/>
      <c r="U3" s="35"/>
      <c r="V3" s="35"/>
      <c r="W3" s="35"/>
      <c r="X3" s="35"/>
      <c r="Y3" s="35"/>
      <c r="Z3" s="35"/>
      <c r="AA3" s="35"/>
    </row>
    <row r="4">
      <c r="A4" s="55"/>
      <c r="B4" s="55" t="s">
        <v>61</v>
      </c>
      <c r="C4" s="57">
        <f>ROUND(SUM(F85,G3),0)</f>
        <v>90</v>
      </c>
      <c r="D4" s="26"/>
      <c r="E4" s="51"/>
      <c r="F4" s="51"/>
      <c r="G4" s="51"/>
      <c r="H4" s="18"/>
      <c r="I4" s="27"/>
      <c r="J4" s="35"/>
      <c r="K4" s="35"/>
      <c r="L4" s="35"/>
      <c r="M4" s="35"/>
      <c r="N4" s="35"/>
      <c r="O4" s="35"/>
      <c r="P4" s="35"/>
      <c r="Q4" s="35"/>
      <c r="R4" s="35"/>
      <c r="S4" s="35"/>
      <c r="T4" s="35"/>
      <c r="U4" s="35"/>
      <c r="V4" s="35"/>
      <c r="W4" s="35"/>
      <c r="X4" s="35"/>
      <c r="Y4" s="35"/>
      <c r="Z4" s="35"/>
      <c r="AA4" s="35"/>
    </row>
    <row r="5">
      <c r="A5" s="55"/>
      <c r="B5" s="65" t="s">
        <v>63</v>
      </c>
      <c r="C5" s="66"/>
      <c r="D5" s="35"/>
      <c r="E5" s="35"/>
      <c r="F5" s="35"/>
      <c r="G5" s="35"/>
      <c r="H5" s="57"/>
      <c r="I5" s="35"/>
      <c r="J5" s="35"/>
      <c r="K5" s="35"/>
      <c r="L5" s="35"/>
      <c r="M5" s="35"/>
      <c r="N5" s="35"/>
      <c r="O5" s="35"/>
      <c r="P5" s="35"/>
      <c r="Q5" s="35"/>
      <c r="R5" s="35"/>
      <c r="S5" s="35"/>
      <c r="T5" s="35"/>
      <c r="U5" s="35"/>
      <c r="V5" s="35"/>
      <c r="W5" s="35"/>
      <c r="X5" s="35"/>
      <c r="Y5" s="35"/>
      <c r="Z5" s="35"/>
      <c r="AA5" s="35"/>
    </row>
    <row r="6">
      <c r="A6" s="68"/>
      <c r="B6" s="68" t="s">
        <v>64</v>
      </c>
      <c r="C6" s="68" t="s">
        <v>65</v>
      </c>
      <c r="D6" s="21" t="s">
        <v>67</v>
      </c>
      <c r="E6" s="70" t="s">
        <v>68</v>
      </c>
      <c r="F6" s="71" t="s">
        <v>69</v>
      </c>
      <c r="G6" s="72" t="s">
        <v>70</v>
      </c>
      <c r="H6" s="67" t="s">
        <v>71</v>
      </c>
      <c r="I6" s="100" t="s">
        <v>193</v>
      </c>
      <c r="J6" s="100" t="s">
        <v>194</v>
      </c>
      <c r="K6" s="35"/>
      <c r="L6" s="35"/>
      <c r="M6" s="35"/>
      <c r="N6" s="35"/>
      <c r="O6" s="35"/>
      <c r="P6" s="35"/>
      <c r="Q6" s="35"/>
      <c r="R6" s="35"/>
      <c r="S6" s="35"/>
      <c r="T6" s="35"/>
      <c r="U6" s="35"/>
      <c r="V6" s="35"/>
      <c r="W6" s="35"/>
      <c r="X6" s="35"/>
      <c r="Y6" s="35"/>
      <c r="Z6" s="35"/>
      <c r="AA6" s="35"/>
    </row>
    <row r="7">
      <c r="A7" s="150"/>
      <c r="B7" s="151" t="s">
        <v>195</v>
      </c>
      <c r="C7" s="131"/>
      <c r="D7" s="152"/>
      <c r="E7" s="153"/>
      <c r="F7" s="140"/>
      <c r="G7" s="154"/>
      <c r="H7" s="152"/>
      <c r="I7" s="134"/>
      <c r="J7" s="140"/>
      <c r="K7" s="140"/>
      <c r="L7" s="140"/>
      <c r="M7" s="140"/>
      <c r="N7" s="140"/>
      <c r="O7" s="140"/>
      <c r="P7" s="140"/>
      <c r="Q7" s="140"/>
      <c r="R7" s="140"/>
      <c r="S7" s="140"/>
      <c r="T7" s="140"/>
      <c r="U7" s="140"/>
      <c r="V7" s="140"/>
      <c r="W7" s="140"/>
      <c r="X7" s="140"/>
      <c r="Y7" s="140"/>
      <c r="Z7" s="140"/>
      <c r="AA7" s="140"/>
    </row>
    <row r="8">
      <c r="A8" s="75"/>
      <c r="B8" s="97" t="s">
        <v>148</v>
      </c>
      <c r="C8" s="28"/>
      <c r="D8" s="78">
        <v>8.0</v>
      </c>
      <c r="E8" s="143">
        <v>4.0</v>
      </c>
      <c r="F8" s="144">
        <f t="array" ref="F8">ROUNDUP(IF(EQ(A8, ""),D8*INDEX(UncertaintyFactors!$C$2:$D$7, E8, 1), 0), 1)</f>
        <v>8</v>
      </c>
      <c r="G8" s="145">
        <f t="array" ref="G8">ROUNDUP(IF(EQ(A8, ""), D8*INDEX(UncertaintyFactors!$C$2:$D$7, E8, 2), 0), 1)</f>
        <v>12</v>
      </c>
      <c r="H8" s="29" t="s">
        <v>196</v>
      </c>
      <c r="I8" s="27"/>
      <c r="J8" s="35"/>
      <c r="K8" s="35"/>
      <c r="L8" s="35"/>
      <c r="M8" s="35"/>
      <c r="N8" s="35"/>
      <c r="O8" s="35"/>
      <c r="P8" s="35"/>
      <c r="Q8" s="35"/>
      <c r="R8" s="35"/>
      <c r="S8" s="35"/>
      <c r="T8" s="35"/>
      <c r="U8" s="35"/>
      <c r="V8" s="35"/>
      <c r="W8" s="35"/>
      <c r="X8" s="35"/>
      <c r="Y8" s="35"/>
      <c r="Z8" s="35"/>
      <c r="AA8" s="35"/>
    </row>
    <row r="9">
      <c r="A9" s="155"/>
      <c r="B9" s="156" t="s">
        <v>197</v>
      </c>
      <c r="C9" s="131"/>
      <c r="D9" s="157">
        <v>6.0</v>
      </c>
      <c r="E9" s="158">
        <v>6.0</v>
      </c>
      <c r="F9" s="159">
        <f t="array" ref="F9">ROUNDUP(IF(EQ(A9, ""),D9*INDEX(UncertaintyFactors!$C$2:$D$7, E9, 1), 0), 1)</f>
        <v>6</v>
      </c>
      <c r="G9" s="160">
        <f t="array" ref="G9">ROUNDUP(IF(EQ(A9, ""), D9*INDEX(UncertaintyFactors!$C$2:$D$7, E9, 2), 0), 1)</f>
        <v>6</v>
      </c>
      <c r="H9" s="29" t="s">
        <v>198</v>
      </c>
      <c r="I9" s="161"/>
      <c r="J9" s="161"/>
      <c r="K9" s="161"/>
      <c r="L9" s="161"/>
      <c r="M9" s="161"/>
      <c r="N9" s="161"/>
      <c r="O9" s="161"/>
      <c r="P9" s="161"/>
      <c r="Q9" s="161"/>
      <c r="R9" s="161"/>
      <c r="S9" s="161"/>
      <c r="T9" s="161"/>
      <c r="U9" s="161"/>
      <c r="V9" s="161"/>
      <c r="W9" s="161"/>
      <c r="X9" s="161"/>
      <c r="Y9" s="161"/>
      <c r="Z9" s="161"/>
      <c r="AA9" s="161"/>
    </row>
    <row r="10">
      <c r="A10" s="155"/>
      <c r="B10" s="162" t="s">
        <v>199</v>
      </c>
      <c r="C10" s="163"/>
      <c r="D10" s="164">
        <v>6.0</v>
      </c>
      <c r="E10" s="165">
        <v>6.0</v>
      </c>
      <c r="F10" s="166">
        <f t="array" ref="F10">ROUNDUP(IF(EQ(A10, ""),D10*INDEX(UncertaintyFactors!$C$2:$D$7, E10, 1), 0), 1)</f>
        <v>6</v>
      </c>
      <c r="G10" s="167">
        <f t="array" ref="G10">ROUNDUP(IF(EQ(A10, ""), D10*INDEX(UncertaintyFactors!$C$2:$D$7, E10, 2), 0), 1)</f>
        <v>6</v>
      </c>
      <c r="H10" s="168" t="s">
        <v>200</v>
      </c>
      <c r="I10" s="161"/>
      <c r="J10" s="161"/>
      <c r="K10" s="161"/>
      <c r="L10" s="161"/>
      <c r="M10" s="161"/>
      <c r="N10" s="161"/>
      <c r="O10" s="161"/>
      <c r="P10" s="161"/>
      <c r="Q10" s="161"/>
      <c r="R10" s="161"/>
      <c r="S10" s="161"/>
      <c r="T10" s="161"/>
      <c r="U10" s="161"/>
      <c r="V10" s="161"/>
      <c r="W10" s="161"/>
      <c r="X10" s="161"/>
      <c r="Y10" s="161"/>
      <c r="Z10" s="161"/>
      <c r="AA10" s="161"/>
    </row>
    <row r="11">
      <c r="A11" s="75"/>
      <c r="B11" s="97" t="s">
        <v>183</v>
      </c>
      <c r="C11" s="27"/>
      <c r="D11" s="26"/>
      <c r="E11" s="147">
        <v>6.0</v>
      </c>
      <c r="F11" s="144">
        <f t="array" ref="F11">ROUNDUP(IF(EQ(A11, ""),D11*INDEX(UncertaintyFactors!$C$2:$D$7, E11, 1), 0), 1)</f>
        <v>0</v>
      </c>
      <c r="G11" s="145">
        <f t="array" ref="G11">ROUNDUP(IF(EQ(A11, ""), D11*INDEX(UncertaintyFactors!$C$2:$D$7, E11, 2), 0), 1)</f>
        <v>0</v>
      </c>
      <c r="H11" s="18"/>
      <c r="I11" s="27"/>
      <c r="J11" s="35"/>
      <c r="K11" s="35"/>
      <c r="L11" s="35"/>
      <c r="M11" s="35"/>
      <c r="N11" s="35"/>
      <c r="O11" s="35"/>
      <c r="P11" s="35"/>
      <c r="Q11" s="35"/>
      <c r="R11" s="35"/>
      <c r="S11" s="35"/>
      <c r="T11" s="35"/>
      <c r="U11" s="35"/>
      <c r="V11" s="35"/>
      <c r="W11" s="35"/>
      <c r="X11" s="35"/>
      <c r="Y11" s="35"/>
      <c r="Z11" s="35"/>
      <c r="AA11" s="35"/>
    </row>
    <row r="12">
      <c r="A12" s="75"/>
      <c r="B12" s="97" t="s">
        <v>186</v>
      </c>
      <c r="C12" s="27"/>
      <c r="D12" s="26"/>
      <c r="E12" s="147">
        <v>6.0</v>
      </c>
      <c r="F12" s="144">
        <f t="array" ref="F12">ROUNDUP(IF(EQ(A12, ""),D12*INDEX(UncertaintyFactors!$C$2:$D$7, E12, 1), 0), 1)</f>
        <v>0</v>
      </c>
      <c r="G12" s="145">
        <f t="array" ref="G12">ROUNDUP(IF(EQ(A12, ""), D12*INDEX(UncertaintyFactors!$C$2:$D$7, E12, 2), 0), 1)</f>
        <v>0</v>
      </c>
      <c r="H12" s="18"/>
      <c r="I12" s="27"/>
      <c r="J12" s="35"/>
      <c r="K12" s="35"/>
      <c r="L12" s="35"/>
      <c r="M12" s="35"/>
      <c r="N12" s="35"/>
      <c r="O12" s="35"/>
      <c r="P12" s="35"/>
      <c r="Q12" s="35"/>
      <c r="R12" s="35"/>
      <c r="S12" s="35"/>
      <c r="T12" s="35"/>
      <c r="U12" s="35"/>
      <c r="V12" s="35"/>
      <c r="W12" s="35"/>
      <c r="X12" s="35"/>
      <c r="Y12" s="35"/>
      <c r="Z12" s="35"/>
      <c r="AA12" s="35"/>
    </row>
    <row r="13">
      <c r="A13" s="75"/>
      <c r="B13" s="97" t="s">
        <v>181</v>
      </c>
      <c r="C13" s="27"/>
      <c r="D13" s="26"/>
      <c r="E13" s="147">
        <v>6.0</v>
      </c>
      <c r="F13" s="144">
        <f t="array" ref="F13">ROUNDUP(IF(EQ(A13, ""),D13*INDEX(UncertaintyFactors!$C$2:$D$7, E13, 1), 0), 1)</f>
        <v>0</v>
      </c>
      <c r="G13" s="145">
        <f t="array" ref="G13">ROUNDUP(IF(EQ(A13, ""), D13*INDEX(UncertaintyFactors!$C$2:$D$7, E13, 2), 0), 1)</f>
        <v>0</v>
      </c>
      <c r="H13" s="18"/>
      <c r="I13" s="27"/>
      <c r="J13" s="35"/>
      <c r="K13" s="35"/>
      <c r="L13" s="35"/>
      <c r="M13" s="35"/>
      <c r="N13" s="35"/>
      <c r="O13" s="35"/>
      <c r="P13" s="35"/>
      <c r="Q13" s="35"/>
      <c r="R13" s="35"/>
      <c r="S13" s="35"/>
      <c r="T13" s="35"/>
      <c r="U13" s="35"/>
      <c r="V13" s="35"/>
      <c r="W13" s="35"/>
      <c r="X13" s="35"/>
      <c r="Y13" s="35"/>
      <c r="Z13" s="35"/>
      <c r="AA13" s="35"/>
    </row>
    <row r="14">
      <c r="A14" s="75"/>
      <c r="B14" s="97" t="s">
        <v>180</v>
      </c>
      <c r="C14" s="27"/>
      <c r="D14" s="26"/>
      <c r="E14" s="147">
        <v>6.0</v>
      </c>
      <c r="F14" s="144">
        <f t="array" ref="F14">ROUNDUP(IF(EQ(A14, ""),D14*INDEX(UncertaintyFactors!$C$2:$D$7, E14, 1), 0), 1)</f>
        <v>0</v>
      </c>
      <c r="G14" s="145">
        <f t="array" ref="G14">ROUNDUP(IF(EQ(A14, ""), D14*INDEX(UncertaintyFactors!$C$2:$D$7, E14, 2), 0), 1)</f>
        <v>0</v>
      </c>
      <c r="H14" s="18"/>
      <c r="I14" s="27"/>
      <c r="J14" s="35"/>
      <c r="K14" s="35"/>
      <c r="L14" s="35"/>
      <c r="M14" s="35"/>
      <c r="N14" s="35"/>
      <c r="O14" s="35"/>
      <c r="P14" s="35"/>
      <c r="Q14" s="35"/>
      <c r="R14" s="35"/>
      <c r="S14" s="35"/>
      <c r="T14" s="35"/>
      <c r="U14" s="35"/>
      <c r="V14" s="35"/>
      <c r="W14" s="35"/>
      <c r="X14" s="35"/>
      <c r="Y14" s="35"/>
      <c r="Z14" s="35"/>
      <c r="AA14" s="35"/>
    </row>
    <row r="15">
      <c r="A15" s="75"/>
      <c r="B15" s="169" t="s">
        <v>201</v>
      </c>
      <c r="C15" s="131"/>
      <c r="D15" s="157">
        <v>24.0</v>
      </c>
      <c r="E15" s="158">
        <v>4.0</v>
      </c>
      <c r="F15" s="159">
        <f t="array" ref="F15">ROUNDUP(IF(EQ(A15, ""),D15*INDEX(UncertaintyFactors!$C$2:$D$7, E15, 1), 0), 1)</f>
        <v>24</v>
      </c>
      <c r="G15" s="160">
        <f t="array" ref="G15">ROUNDUP(IF(EQ(A15, ""), D15*INDEX(UncertaintyFactors!$C$2:$D$7, E15, 2), 0), 1)</f>
        <v>36</v>
      </c>
      <c r="H15" s="168" t="s">
        <v>202</v>
      </c>
      <c r="I15" s="170"/>
      <c r="J15" s="35"/>
      <c r="K15" s="35"/>
      <c r="L15" s="35"/>
      <c r="M15" s="35"/>
      <c r="N15" s="35"/>
      <c r="O15" s="35"/>
      <c r="P15" s="35"/>
      <c r="Q15" s="35"/>
      <c r="R15" s="35"/>
      <c r="S15" s="35"/>
      <c r="T15" s="35"/>
      <c r="U15" s="35"/>
      <c r="V15" s="35"/>
      <c r="W15" s="35"/>
      <c r="X15" s="35"/>
      <c r="Y15" s="35"/>
      <c r="Z15" s="35"/>
      <c r="AA15" s="35"/>
    </row>
    <row r="16">
      <c r="A16" s="171"/>
      <c r="B16" s="169" t="s">
        <v>203</v>
      </c>
      <c r="C16" s="131"/>
      <c r="D16" s="157"/>
      <c r="E16" s="158">
        <v>5.0</v>
      </c>
      <c r="F16" s="159">
        <f t="array" ref="F16">ROUNDUP(IF(EQ(A16, ""),D16*INDEX(UncertaintyFactors!$C$2:$D$7, E16, 1), 0), 1)</f>
        <v>0</v>
      </c>
      <c r="G16" s="160">
        <f t="array" ref="G16">ROUNDUP(IF(EQ(A16, ""), D16*INDEX(UncertaintyFactors!$C$2:$D$7, E16, 2), 0), 1)</f>
        <v>0</v>
      </c>
      <c r="H16" s="168" t="s">
        <v>204</v>
      </c>
      <c r="I16" s="170"/>
      <c r="J16" s="35"/>
      <c r="K16" s="35"/>
      <c r="L16" s="35"/>
      <c r="M16" s="35"/>
      <c r="N16" s="35"/>
      <c r="O16" s="35"/>
      <c r="P16" s="35"/>
      <c r="Q16" s="35"/>
      <c r="R16" s="35"/>
      <c r="S16" s="35"/>
      <c r="T16" s="35"/>
      <c r="U16" s="35"/>
      <c r="V16" s="35"/>
      <c r="W16" s="35"/>
      <c r="X16" s="35"/>
      <c r="Y16" s="35"/>
      <c r="Z16" s="35"/>
      <c r="AA16" s="35"/>
    </row>
    <row r="17">
      <c r="A17" s="171"/>
      <c r="B17" s="172"/>
      <c r="C17" s="173"/>
      <c r="D17" s="78"/>
      <c r="E17" s="174"/>
      <c r="F17" s="144"/>
      <c r="G17" s="175"/>
      <c r="H17" s="176"/>
      <c r="I17" s="170"/>
      <c r="J17" s="35"/>
      <c r="K17" s="35"/>
      <c r="L17" s="35"/>
      <c r="M17" s="35"/>
      <c r="N17" s="35"/>
      <c r="O17" s="35"/>
      <c r="P17" s="35"/>
      <c r="Q17" s="35"/>
      <c r="R17" s="35"/>
      <c r="S17" s="35"/>
      <c r="T17" s="35"/>
      <c r="U17" s="35"/>
      <c r="V17" s="35"/>
      <c r="W17" s="35"/>
      <c r="X17" s="35"/>
      <c r="Y17" s="35"/>
      <c r="Z17" s="35"/>
      <c r="AA17" s="35"/>
    </row>
    <row r="18">
      <c r="A18" s="75"/>
      <c r="B18" s="177" t="s">
        <v>205</v>
      </c>
      <c r="C18" s="173"/>
      <c r="D18" s="78"/>
      <c r="E18" s="143"/>
      <c r="F18" s="144"/>
      <c r="G18" s="145"/>
      <c r="H18" s="176"/>
      <c r="I18" s="170"/>
      <c r="J18" s="35"/>
      <c r="K18" s="35"/>
      <c r="L18" s="35"/>
      <c r="M18" s="35"/>
      <c r="N18" s="35"/>
      <c r="O18" s="35"/>
      <c r="P18" s="35"/>
      <c r="Q18" s="35"/>
      <c r="R18" s="35"/>
      <c r="S18" s="35"/>
      <c r="T18" s="35"/>
      <c r="U18" s="35"/>
      <c r="V18" s="35"/>
      <c r="W18" s="35"/>
      <c r="X18" s="35"/>
      <c r="Y18" s="35"/>
      <c r="Z18" s="35"/>
      <c r="AA18" s="35"/>
    </row>
    <row r="19">
      <c r="A19" s="75"/>
      <c r="B19" s="97" t="s">
        <v>149</v>
      </c>
      <c r="C19" s="173" t="s">
        <v>206</v>
      </c>
      <c r="D19" s="78"/>
      <c r="E19" s="143">
        <v>4.0</v>
      </c>
      <c r="F19" s="144">
        <f t="array" ref="F19">ROUNDUP(IF(EQ(A19, ""),D19*INDEX(UncertaintyFactors!$C$2:$D$7, E19, 1), 0), 1)</f>
        <v>0</v>
      </c>
      <c r="G19" s="145">
        <f t="array" ref="G19">ROUNDUP(IF(EQ(A19, ""), D19*INDEX(UncertaintyFactors!$C$2:$D$7, E19, 2), 0), 1)</f>
        <v>0</v>
      </c>
      <c r="H19" s="176" t="s">
        <v>207</v>
      </c>
      <c r="I19" s="176" t="s">
        <v>208</v>
      </c>
      <c r="J19" s="35"/>
      <c r="K19" s="35"/>
      <c r="L19" s="35"/>
      <c r="M19" s="35"/>
      <c r="N19" s="35"/>
      <c r="O19" s="35"/>
      <c r="P19" s="35"/>
      <c r="Q19" s="35"/>
      <c r="R19" s="35"/>
      <c r="S19" s="35"/>
      <c r="T19" s="35"/>
      <c r="U19" s="35"/>
      <c r="V19" s="35"/>
      <c r="W19" s="35"/>
      <c r="X19" s="35"/>
      <c r="Y19" s="35"/>
      <c r="Z19" s="35"/>
      <c r="AA19" s="35"/>
    </row>
    <row r="20">
      <c r="A20" s="75"/>
      <c r="B20" s="97" t="s">
        <v>150</v>
      </c>
      <c r="C20" s="178" t="s">
        <v>209</v>
      </c>
      <c r="D20" s="78"/>
      <c r="E20" s="143">
        <v>5.0</v>
      </c>
      <c r="F20" s="144">
        <f t="array" ref="F20">ROUNDUP(IF(EQ(A20, ""),D20*INDEX(UncertaintyFactors!$C$2:$D$7, E20, 1), 0), 1)</f>
        <v>0</v>
      </c>
      <c r="G20" s="145">
        <f t="array" ref="G20">ROUNDUP(IF(EQ(A20, ""), D20*INDEX(UncertaintyFactors!$C$2:$D$7, E20, 2), 0), 1)</f>
        <v>0</v>
      </c>
      <c r="H20" s="179" t="s">
        <v>210</v>
      </c>
      <c r="I20" s="176" t="s">
        <v>211</v>
      </c>
      <c r="J20" s="35"/>
      <c r="K20" s="35"/>
      <c r="L20" s="35"/>
      <c r="M20" s="35"/>
      <c r="N20" s="35"/>
      <c r="O20" s="35"/>
      <c r="P20" s="35"/>
      <c r="Q20" s="35"/>
      <c r="R20" s="35"/>
      <c r="S20" s="35"/>
      <c r="T20" s="35"/>
      <c r="U20" s="35"/>
      <c r="V20" s="35"/>
      <c r="W20" s="35"/>
      <c r="X20" s="35"/>
      <c r="Y20" s="35"/>
      <c r="Z20" s="35"/>
      <c r="AA20" s="35"/>
    </row>
    <row r="21">
      <c r="A21" s="180"/>
      <c r="B21" s="181" t="s">
        <v>212</v>
      </c>
      <c r="C21" s="182" t="s">
        <v>213</v>
      </c>
      <c r="D21" s="183"/>
      <c r="E21" s="184">
        <v>4.0</v>
      </c>
      <c r="F21" s="185">
        <f t="array" ref="F21">ROUNDUP(IF(EQ(A21, ""),D21*INDEX(UncertaintyFactors!$C$2:$D$7, E21, 1), 0), 1)</f>
        <v>0</v>
      </c>
      <c r="G21" s="186">
        <f t="array" ref="G21">ROUNDUP(IF(EQ(A21, ""), D21*INDEX(UncertaintyFactors!$C$2:$D$7, E21, 2), 0), 1)</f>
        <v>0</v>
      </c>
      <c r="H21" s="187" t="s">
        <v>214</v>
      </c>
      <c r="I21" s="188"/>
      <c r="J21" s="189"/>
      <c r="K21" s="189"/>
      <c r="L21" s="189"/>
      <c r="M21" s="189"/>
      <c r="N21" s="189"/>
      <c r="O21" s="189"/>
      <c r="P21" s="189"/>
      <c r="Q21" s="189"/>
      <c r="R21" s="189"/>
      <c r="S21" s="189"/>
      <c r="T21" s="189"/>
      <c r="U21" s="189"/>
      <c r="V21" s="189"/>
      <c r="W21" s="189"/>
      <c r="X21" s="189"/>
      <c r="Y21" s="189"/>
      <c r="Z21" s="189"/>
      <c r="AA21" s="189"/>
    </row>
    <row r="22">
      <c r="A22" s="180"/>
      <c r="B22" s="181" t="s">
        <v>215</v>
      </c>
      <c r="C22" s="182" t="s">
        <v>216</v>
      </c>
      <c r="D22" s="183"/>
      <c r="E22" s="184">
        <v>4.0</v>
      </c>
      <c r="F22" s="185">
        <f t="array" ref="F22">ROUNDUP(IF(EQ(A22, ""),D22*INDEX(UncertaintyFactors!$C$2:$D$7, E22, 1), 0), 1)</f>
        <v>0</v>
      </c>
      <c r="G22" s="186">
        <f t="array" ref="G22">ROUNDUP(IF(EQ(A22, ""), D22*INDEX(UncertaintyFactors!$C$2:$D$7, E22, 2), 0), 1)</f>
        <v>0</v>
      </c>
      <c r="H22" s="187" t="s">
        <v>217</v>
      </c>
      <c r="I22" s="188"/>
      <c r="J22" s="189"/>
      <c r="K22" s="189"/>
      <c r="L22" s="189"/>
      <c r="M22" s="189"/>
      <c r="N22" s="189"/>
      <c r="O22" s="189"/>
      <c r="P22" s="189"/>
      <c r="Q22" s="189"/>
      <c r="R22" s="189"/>
      <c r="S22" s="189"/>
      <c r="T22" s="189"/>
      <c r="U22" s="189"/>
      <c r="V22" s="189"/>
      <c r="W22" s="189"/>
      <c r="X22" s="189"/>
      <c r="Y22" s="189"/>
      <c r="Z22" s="189"/>
      <c r="AA22" s="189"/>
    </row>
    <row r="23">
      <c r="A23" s="75"/>
      <c r="B23" s="97" t="s">
        <v>152</v>
      </c>
      <c r="C23" s="190" t="s">
        <v>218</v>
      </c>
      <c r="D23" s="78"/>
      <c r="E23" s="147">
        <v>6.0</v>
      </c>
      <c r="F23" s="144">
        <f t="array" ref="F23">ROUNDUP(IF(EQ(A23, ""),D23*INDEX(UncertaintyFactors!$C$2:$D$7, E23, 1), 0), 1)</f>
        <v>0</v>
      </c>
      <c r="G23" s="145">
        <f t="array" ref="G23">ROUNDUP(IF(EQ(A23, ""), D23*INDEX(UncertaintyFactors!$C$2:$D$7, E23, 2), 0), 1)</f>
        <v>0</v>
      </c>
      <c r="H23" s="18"/>
      <c r="I23" s="27"/>
      <c r="J23" s="35"/>
      <c r="K23" s="35"/>
      <c r="L23" s="35"/>
      <c r="M23" s="35"/>
      <c r="N23" s="35"/>
      <c r="O23" s="35"/>
      <c r="P23" s="35"/>
      <c r="Q23" s="35"/>
      <c r="R23" s="35"/>
      <c r="S23" s="35"/>
      <c r="T23" s="35"/>
      <c r="U23" s="35"/>
      <c r="V23" s="35"/>
      <c r="W23" s="35"/>
      <c r="X23" s="35"/>
      <c r="Y23" s="35"/>
      <c r="Z23" s="35"/>
      <c r="AA23" s="35"/>
    </row>
    <row r="24">
      <c r="A24" s="75"/>
      <c r="B24" s="97" t="s">
        <v>179</v>
      </c>
      <c r="C24" s="27"/>
      <c r="D24" s="26"/>
      <c r="E24" s="147">
        <v>6.0</v>
      </c>
      <c r="F24" s="144">
        <f t="array" ref="F24">ROUNDUP(IF(EQ(A24, ""),D24*INDEX(UncertaintyFactors!$C$2:$D$7, E24, 1), 0), 1)</f>
        <v>0</v>
      </c>
      <c r="G24" s="145">
        <f t="array" ref="G24">ROUNDUP(IF(EQ(A24, ""), D24*INDEX(UncertaintyFactors!$C$2:$D$7, E24, 2), 0), 1)</f>
        <v>0</v>
      </c>
      <c r="H24" s="18"/>
      <c r="I24" s="27"/>
      <c r="J24" s="35"/>
      <c r="K24" s="35"/>
      <c r="L24" s="35"/>
      <c r="M24" s="35"/>
      <c r="N24" s="35"/>
      <c r="O24" s="35"/>
      <c r="P24" s="35"/>
      <c r="Q24" s="35"/>
      <c r="R24" s="35"/>
      <c r="S24" s="35"/>
      <c r="T24" s="35"/>
      <c r="U24" s="35"/>
      <c r="V24" s="35"/>
      <c r="W24" s="35"/>
      <c r="X24" s="35"/>
      <c r="Y24" s="35"/>
      <c r="Z24" s="35"/>
      <c r="AA24" s="35"/>
    </row>
    <row r="25">
      <c r="A25" s="75"/>
      <c r="B25" s="97" t="s">
        <v>184</v>
      </c>
      <c r="C25" s="27" t="s">
        <v>185</v>
      </c>
      <c r="D25" s="26"/>
      <c r="E25" s="147">
        <v>6.0</v>
      </c>
      <c r="F25" s="144">
        <f t="array" ref="F25">ROUNDUP(IF(EQ(A25, ""),D25*INDEX(UncertaintyFactors!$C$2:$D$7, E25, 1), 0), 1)</f>
        <v>0</v>
      </c>
      <c r="G25" s="145">
        <f t="array" ref="G25">ROUNDUP(IF(EQ(A25, ""), D25*INDEX(UncertaintyFactors!$C$2:$D$7, E25, 2), 0), 1)</f>
        <v>0</v>
      </c>
      <c r="H25" s="179" t="s">
        <v>219</v>
      </c>
      <c r="I25" s="27"/>
      <c r="J25" s="35"/>
      <c r="K25" s="35"/>
      <c r="L25" s="35"/>
      <c r="M25" s="35"/>
      <c r="N25" s="35"/>
      <c r="O25" s="35"/>
      <c r="P25" s="35"/>
      <c r="Q25" s="35"/>
      <c r="R25" s="35"/>
      <c r="S25" s="35"/>
      <c r="T25" s="35"/>
      <c r="U25" s="35"/>
      <c r="V25" s="35"/>
      <c r="W25" s="35"/>
      <c r="X25" s="35"/>
      <c r="Y25" s="35"/>
      <c r="Z25" s="35"/>
      <c r="AA25" s="35"/>
    </row>
    <row r="26">
      <c r="A26" s="75"/>
      <c r="B26" s="97" t="s">
        <v>182</v>
      </c>
      <c r="C26" s="27"/>
      <c r="D26" s="26"/>
      <c r="E26" s="147">
        <v>6.0</v>
      </c>
      <c r="F26" s="144">
        <f t="array" ref="F26">ROUNDUP(IF(EQ(A26, ""),D26*INDEX(UncertaintyFactors!$C$2:$D$7, E26, 1), 0), 1)</f>
        <v>0</v>
      </c>
      <c r="G26" s="145">
        <f t="array" ref="G26">ROUNDUP(IF(EQ(A26, ""), D26*INDEX(UncertaintyFactors!$C$2:$D$7, E26, 2), 0), 1)</f>
        <v>0</v>
      </c>
      <c r="H26" s="18"/>
      <c r="I26" s="27"/>
      <c r="J26" s="35"/>
      <c r="K26" s="35"/>
      <c r="L26" s="35"/>
      <c r="M26" s="35"/>
      <c r="N26" s="35"/>
      <c r="O26" s="35"/>
      <c r="P26" s="35"/>
      <c r="Q26" s="35"/>
      <c r="R26" s="35"/>
      <c r="S26" s="35"/>
      <c r="T26" s="35"/>
      <c r="U26" s="35"/>
      <c r="V26" s="35"/>
      <c r="W26" s="35"/>
      <c r="X26" s="35"/>
      <c r="Y26" s="35"/>
      <c r="Z26" s="35"/>
      <c r="AA26" s="35"/>
    </row>
    <row r="27">
      <c r="A27" s="75"/>
      <c r="B27" s="97" t="s">
        <v>174</v>
      </c>
      <c r="C27" s="191" t="s">
        <v>220</v>
      </c>
      <c r="D27" s="78"/>
      <c r="E27" s="147">
        <v>6.0</v>
      </c>
      <c r="F27" s="144">
        <f t="array" ref="F27">ROUNDUP(IF(EQ(A27, ""),D27*INDEX(UncertaintyFactors!$C$2:$D$7, E27, 1), 0), 1)</f>
        <v>0</v>
      </c>
      <c r="G27" s="145">
        <f t="array" ref="G27">ROUNDUP(IF(EQ(A27, ""), D27*INDEX(UncertaintyFactors!$C$2:$D$7, E27, 2), 0), 1)</f>
        <v>0</v>
      </c>
      <c r="H27" s="18"/>
      <c r="I27" s="27"/>
      <c r="J27" s="35"/>
      <c r="K27" s="35"/>
      <c r="L27" s="35"/>
      <c r="M27" s="35"/>
      <c r="N27" s="35"/>
      <c r="O27" s="35"/>
      <c r="P27" s="35"/>
      <c r="Q27" s="35"/>
      <c r="R27" s="35"/>
      <c r="S27" s="35"/>
      <c r="T27" s="35"/>
      <c r="U27" s="35"/>
      <c r="V27" s="35"/>
      <c r="W27" s="35"/>
      <c r="X27" s="35"/>
      <c r="Y27" s="35"/>
      <c r="Z27" s="35"/>
      <c r="AA27" s="35"/>
    </row>
    <row r="28">
      <c r="A28" s="75"/>
      <c r="B28" s="97" t="s">
        <v>188</v>
      </c>
      <c r="C28" s="27"/>
      <c r="D28" s="26"/>
      <c r="E28" s="147">
        <v>6.0</v>
      </c>
      <c r="F28" s="144">
        <f t="array" ref="F28">ROUNDUP(IF(EQ(A28, ""),D28*INDEX(UncertaintyFactors!$C$2:$D$7, E28, 1), 0), 1)</f>
        <v>0</v>
      </c>
      <c r="G28" s="145">
        <f t="array" ref="G28">ROUNDUP(IF(EQ(A28, ""), D28*INDEX(UncertaintyFactors!$C$2:$D$7, E28, 2), 0), 1)</f>
        <v>0</v>
      </c>
      <c r="H28" s="192" t="s">
        <v>221</v>
      </c>
      <c r="I28" s="27"/>
      <c r="J28" s="35"/>
      <c r="K28" s="35"/>
      <c r="L28" s="35"/>
      <c r="M28" s="35"/>
      <c r="N28" s="35"/>
      <c r="O28" s="35"/>
      <c r="P28" s="35"/>
      <c r="Q28" s="35"/>
      <c r="R28" s="35"/>
      <c r="S28" s="35"/>
      <c r="T28" s="35"/>
      <c r="U28" s="35"/>
      <c r="V28" s="35"/>
      <c r="W28" s="35"/>
      <c r="X28" s="35"/>
      <c r="Y28" s="35"/>
      <c r="Z28" s="35"/>
      <c r="AA28" s="35"/>
    </row>
    <row r="29">
      <c r="A29" s="75"/>
      <c r="B29" s="156" t="s">
        <v>222</v>
      </c>
      <c r="C29" s="131"/>
      <c r="D29" s="157">
        <v>24.0</v>
      </c>
      <c r="E29" s="193">
        <v>5.0</v>
      </c>
      <c r="F29" s="159">
        <f t="array" ref="F29">ROUNDUP(IF(EQ(A29, ""),D29*INDEX(UncertaintyFactors!$C$2:$D$7, E29, 1), 0), 1)</f>
        <v>24</v>
      </c>
      <c r="G29" s="160">
        <f t="array" ref="G29">ROUNDUP(IF(EQ(A29, ""), D29*INDEX(UncertaintyFactors!$C$2:$D$7, E29, 2), 0), 1)</f>
        <v>30</v>
      </c>
      <c r="H29" s="192" t="s">
        <v>223</v>
      </c>
      <c r="I29" s="27"/>
      <c r="J29" s="35"/>
      <c r="K29" s="35"/>
      <c r="L29" s="35"/>
      <c r="M29" s="35"/>
      <c r="N29" s="35"/>
      <c r="O29" s="35"/>
      <c r="P29" s="35"/>
      <c r="Q29" s="35"/>
      <c r="R29" s="35"/>
      <c r="S29" s="35"/>
      <c r="T29" s="35"/>
      <c r="U29" s="35"/>
      <c r="V29" s="35"/>
      <c r="W29" s="35"/>
      <c r="X29" s="35"/>
      <c r="Y29" s="35"/>
      <c r="Z29" s="35"/>
      <c r="AA29" s="35"/>
    </row>
    <row r="30">
      <c r="A30" s="75"/>
      <c r="B30" s="156" t="s">
        <v>224</v>
      </c>
      <c r="C30" s="131"/>
      <c r="D30" s="157">
        <v>1.0</v>
      </c>
      <c r="E30" s="193">
        <v>6.0</v>
      </c>
      <c r="F30" s="159">
        <f t="array" ref="F30">ROUNDUP(IF(EQ(A30, ""),D30*INDEX(UncertaintyFactors!$C$2:$D$7, E30, 1), 0), 1)</f>
        <v>1</v>
      </c>
      <c r="G30" s="160">
        <f t="array" ref="G30">ROUNDUP(IF(EQ(A30, ""), D30*INDEX(UncertaintyFactors!$C$2:$D$7, E30, 2), 0), 1)</f>
        <v>1</v>
      </c>
      <c r="H30" s="192" t="s">
        <v>225</v>
      </c>
      <c r="I30" s="27"/>
      <c r="J30" s="35"/>
      <c r="K30" s="35"/>
      <c r="L30" s="35"/>
      <c r="M30" s="35"/>
      <c r="N30" s="35"/>
      <c r="O30" s="35"/>
      <c r="P30" s="35"/>
      <c r="Q30" s="35"/>
      <c r="R30" s="35"/>
      <c r="S30" s="35"/>
      <c r="T30" s="35"/>
      <c r="U30" s="35"/>
      <c r="V30" s="35"/>
      <c r="W30" s="35"/>
      <c r="X30" s="35"/>
      <c r="Y30" s="35"/>
      <c r="Z30" s="35"/>
      <c r="AA30" s="35"/>
    </row>
    <row r="31">
      <c r="A31" s="75"/>
      <c r="B31" s="156" t="s">
        <v>226</v>
      </c>
      <c r="C31" s="131"/>
      <c r="D31" s="157">
        <v>1.0</v>
      </c>
      <c r="E31" s="193">
        <v>6.0</v>
      </c>
      <c r="F31" s="159">
        <f t="array" ref="F31">ROUNDUP(IF(EQ(A31, ""),D31*INDEX(UncertaintyFactors!$C$2:$D$7, E31, 1), 0), 1)</f>
        <v>1</v>
      </c>
      <c r="G31" s="160">
        <f t="array" ref="G31">ROUNDUP(IF(EQ(A31, ""), D31*INDEX(UncertaintyFactors!$C$2:$D$7, E31, 2), 0), 1)</f>
        <v>1</v>
      </c>
      <c r="H31" s="192" t="s">
        <v>227</v>
      </c>
      <c r="I31" s="27"/>
      <c r="J31" s="35"/>
      <c r="K31" s="35"/>
      <c r="L31" s="35"/>
      <c r="M31" s="35"/>
      <c r="N31" s="35"/>
      <c r="O31" s="35"/>
      <c r="P31" s="35"/>
      <c r="Q31" s="35"/>
      <c r="R31" s="35"/>
      <c r="S31" s="35"/>
      <c r="T31" s="35"/>
      <c r="U31" s="35"/>
      <c r="V31" s="35"/>
      <c r="W31" s="35"/>
      <c r="X31" s="35"/>
      <c r="Y31" s="35"/>
      <c r="Z31" s="35"/>
      <c r="AA31" s="35"/>
    </row>
    <row r="32">
      <c r="A32" s="75"/>
      <c r="B32" s="194" t="s">
        <v>228</v>
      </c>
      <c r="C32" s="131"/>
      <c r="D32" s="157"/>
      <c r="E32" s="193">
        <v>6.0</v>
      </c>
      <c r="F32" s="159">
        <f t="array" ref="F32">ROUNDUP(IF(EQ(A32, ""),D32*INDEX(UncertaintyFactors!$C$2:$D$7, E32, 1), 0), 1)</f>
        <v>0</v>
      </c>
      <c r="G32" s="160">
        <f t="array" ref="G32">ROUNDUP(IF(EQ(A32, ""), D32*INDEX(UncertaintyFactors!$C$2:$D$7, E32, 2), 0), 1)</f>
        <v>0</v>
      </c>
      <c r="H32" s="195" t="s">
        <v>229</v>
      </c>
      <c r="I32" s="27"/>
      <c r="J32" s="35"/>
      <c r="K32" s="35"/>
      <c r="L32" s="35"/>
      <c r="M32" s="35"/>
      <c r="N32" s="35"/>
      <c r="O32" s="35"/>
      <c r="P32" s="35"/>
      <c r="Q32" s="35"/>
      <c r="R32" s="35"/>
      <c r="S32" s="35"/>
      <c r="T32" s="35"/>
      <c r="U32" s="35"/>
      <c r="V32" s="35"/>
      <c r="W32" s="35"/>
      <c r="X32" s="35"/>
      <c r="Y32" s="35"/>
      <c r="Z32" s="35"/>
      <c r="AA32" s="35"/>
    </row>
    <row r="33">
      <c r="A33" s="75"/>
      <c r="B33" s="156" t="s">
        <v>230</v>
      </c>
      <c r="C33" s="152"/>
      <c r="D33" s="157"/>
      <c r="E33" s="193">
        <v>6.0</v>
      </c>
      <c r="F33" s="159">
        <f t="array" ref="F33">ROUNDUP(IF(EQ(A33, ""),D33*INDEX(UncertaintyFactors!$C$2:$D$7, E33, 1), 0), 1)</f>
        <v>0</v>
      </c>
      <c r="G33" s="160">
        <f t="array" ref="G33">ROUNDUP(IF(EQ(A33, ""), D33*INDEX(UncertaintyFactors!$C$2:$D$7, E33, 2), 0), 1)</f>
        <v>0</v>
      </c>
      <c r="H33" s="29" t="s">
        <v>231</v>
      </c>
      <c r="I33" s="27"/>
      <c r="J33" s="35"/>
      <c r="K33" s="35"/>
      <c r="L33" s="35"/>
      <c r="M33" s="35"/>
      <c r="N33" s="35"/>
      <c r="O33" s="35"/>
      <c r="P33" s="35"/>
      <c r="Q33" s="35"/>
      <c r="R33" s="35"/>
      <c r="S33" s="35"/>
      <c r="T33" s="35"/>
      <c r="U33" s="35"/>
      <c r="V33" s="35"/>
      <c r="W33" s="35"/>
      <c r="X33" s="35"/>
      <c r="Y33" s="35"/>
      <c r="Z33" s="35"/>
      <c r="AA33" s="35"/>
    </row>
    <row r="34">
      <c r="A34" s="171"/>
      <c r="B34" s="142"/>
      <c r="C34" s="176"/>
      <c r="D34" s="78"/>
      <c r="E34" s="196"/>
      <c r="F34" s="144"/>
      <c r="G34" s="175"/>
      <c r="H34" s="179"/>
      <c r="I34" s="27"/>
      <c r="J34" s="35"/>
      <c r="K34" s="35"/>
      <c r="L34" s="35"/>
      <c r="M34" s="35"/>
      <c r="N34" s="35"/>
      <c r="O34" s="35"/>
      <c r="P34" s="35"/>
      <c r="Q34" s="35"/>
      <c r="R34" s="35"/>
      <c r="S34" s="35"/>
      <c r="T34" s="35"/>
      <c r="U34" s="35"/>
      <c r="V34" s="35"/>
      <c r="W34" s="35"/>
      <c r="X34" s="35"/>
      <c r="Y34" s="35"/>
      <c r="Z34" s="35"/>
      <c r="AA34" s="35"/>
    </row>
    <row r="35">
      <c r="A35" s="75"/>
      <c r="B35" s="197" t="s">
        <v>232</v>
      </c>
      <c r="C35" s="176"/>
      <c r="D35" s="78"/>
      <c r="E35" s="147"/>
      <c r="F35" s="144"/>
      <c r="G35" s="145"/>
      <c r="H35" s="179"/>
      <c r="I35" s="27"/>
      <c r="J35" s="35"/>
      <c r="K35" s="35"/>
      <c r="L35" s="35"/>
      <c r="M35" s="35"/>
      <c r="N35" s="35"/>
      <c r="O35" s="35"/>
      <c r="P35" s="35"/>
      <c r="Q35" s="35"/>
      <c r="R35" s="35"/>
      <c r="S35" s="35"/>
      <c r="T35" s="35"/>
      <c r="U35" s="35"/>
      <c r="V35" s="35"/>
      <c r="W35" s="35"/>
      <c r="X35" s="35"/>
      <c r="Y35" s="35"/>
      <c r="Z35" s="35"/>
      <c r="AA35" s="35"/>
    </row>
    <row r="36">
      <c r="A36" s="75"/>
      <c r="B36" s="97" t="s">
        <v>153</v>
      </c>
      <c r="C36" s="190" t="s">
        <v>233</v>
      </c>
      <c r="D36" s="78"/>
      <c r="E36" s="147">
        <v>6.0</v>
      </c>
      <c r="F36" s="144">
        <f t="array" ref="F36">ROUNDUP(IF(EQ(A36, ""),D36*INDEX(UncertaintyFactors!$C$2:$D$7, E36, 1), 0), 1)</f>
        <v>0</v>
      </c>
      <c r="G36" s="145">
        <f t="array" ref="G36">ROUNDUP(IF(EQ(A36, ""), D36*INDEX(UncertaintyFactors!$C$2:$D$7, E36, 2), 0), 1)</f>
        <v>0</v>
      </c>
      <c r="H36" s="179"/>
      <c r="I36" s="27"/>
      <c r="J36" s="35"/>
      <c r="K36" s="35"/>
      <c r="L36" s="35"/>
      <c r="M36" s="35"/>
      <c r="N36" s="35"/>
      <c r="O36" s="35"/>
      <c r="P36" s="35"/>
      <c r="Q36" s="35"/>
      <c r="R36" s="35"/>
      <c r="S36" s="35"/>
      <c r="T36" s="35"/>
      <c r="U36" s="35"/>
      <c r="V36" s="35"/>
      <c r="W36" s="35"/>
      <c r="X36" s="35"/>
      <c r="Y36" s="35"/>
      <c r="Z36" s="35"/>
      <c r="AA36" s="35"/>
    </row>
    <row r="37">
      <c r="A37" s="75"/>
      <c r="B37" s="97" t="s">
        <v>154</v>
      </c>
      <c r="C37" s="191" t="s">
        <v>234</v>
      </c>
      <c r="D37" s="78"/>
      <c r="E37" s="147">
        <v>6.0</v>
      </c>
      <c r="F37" s="144">
        <f t="array" ref="F37">ROUNDUP(IF(EQ(A37, ""),D37*INDEX(UncertaintyFactors!$C$2:$D$7, E37, 1), 0), 1)</f>
        <v>0</v>
      </c>
      <c r="G37" s="145">
        <f t="array" ref="G37">ROUNDUP(IF(EQ(A37, ""), D37*INDEX(UncertaintyFactors!$C$2:$D$7, E37, 2), 0), 1)</f>
        <v>0</v>
      </c>
      <c r="H37" s="18"/>
      <c r="I37" s="27"/>
      <c r="J37" s="35"/>
      <c r="K37" s="35"/>
      <c r="L37" s="35"/>
      <c r="M37" s="35"/>
      <c r="N37" s="35"/>
      <c r="O37" s="35"/>
      <c r="P37" s="35"/>
      <c r="Q37" s="35"/>
      <c r="R37" s="35"/>
      <c r="S37" s="35"/>
      <c r="T37" s="35"/>
      <c r="U37" s="35"/>
      <c r="V37" s="35"/>
      <c r="W37" s="35"/>
      <c r="X37" s="35"/>
      <c r="Y37" s="35"/>
      <c r="Z37" s="35"/>
      <c r="AA37" s="35"/>
    </row>
    <row r="38">
      <c r="A38" s="171"/>
      <c r="B38" s="172"/>
      <c r="C38" s="198"/>
      <c r="D38" s="78"/>
      <c r="E38" s="196"/>
      <c r="F38" s="144"/>
      <c r="G38" s="175"/>
      <c r="H38" s="179"/>
      <c r="I38" s="27"/>
      <c r="J38" s="35"/>
      <c r="K38" s="35"/>
      <c r="L38" s="35"/>
      <c r="M38" s="35"/>
      <c r="N38" s="35"/>
      <c r="O38" s="35"/>
      <c r="P38" s="35"/>
      <c r="Q38" s="35"/>
      <c r="R38" s="35"/>
      <c r="S38" s="35"/>
      <c r="T38" s="35"/>
      <c r="U38" s="35"/>
      <c r="V38" s="35"/>
      <c r="W38" s="35"/>
      <c r="X38" s="35"/>
      <c r="Y38" s="35"/>
      <c r="Z38" s="35"/>
      <c r="AA38" s="35"/>
    </row>
    <row r="39">
      <c r="A39" s="75"/>
      <c r="B39" s="199" t="s">
        <v>235</v>
      </c>
      <c r="C39" s="198"/>
      <c r="D39" s="78"/>
      <c r="E39" s="147"/>
      <c r="F39" s="144"/>
      <c r="G39" s="145"/>
      <c r="H39" s="179"/>
      <c r="I39" s="27"/>
      <c r="J39" s="35"/>
      <c r="K39" s="35"/>
      <c r="L39" s="35"/>
      <c r="M39" s="35"/>
      <c r="N39" s="35"/>
      <c r="O39" s="35"/>
      <c r="P39" s="35"/>
      <c r="Q39" s="35"/>
      <c r="R39" s="35"/>
      <c r="S39" s="35"/>
      <c r="T39" s="35"/>
      <c r="U39" s="35"/>
      <c r="V39" s="35"/>
      <c r="W39" s="35"/>
      <c r="X39" s="35"/>
      <c r="Y39" s="35"/>
      <c r="Z39" s="35"/>
      <c r="AA39" s="35"/>
    </row>
    <row r="40">
      <c r="A40" s="75"/>
      <c r="B40" s="97" t="s">
        <v>155</v>
      </c>
      <c r="C40" s="198" t="s">
        <v>236</v>
      </c>
      <c r="D40" s="78"/>
      <c r="E40" s="147">
        <v>6.0</v>
      </c>
      <c r="F40" s="144">
        <f t="array" ref="F40">ROUNDUP(IF(EQ(A40, ""),D40*INDEX(UncertaintyFactors!$C$2:$D$7, E40, 1), 0), 1)</f>
        <v>0</v>
      </c>
      <c r="G40" s="145">
        <f t="array" ref="G40">ROUNDUP(IF(EQ(A40, ""), D40*INDEX(UncertaintyFactors!$C$2:$D$7, E40, 2), 0), 1)</f>
        <v>0</v>
      </c>
      <c r="H40" s="179" t="s">
        <v>237</v>
      </c>
      <c r="I40" s="27"/>
      <c r="J40" s="35"/>
      <c r="K40" s="35"/>
      <c r="L40" s="35"/>
      <c r="M40" s="35"/>
      <c r="N40" s="35"/>
      <c r="O40" s="35"/>
      <c r="P40" s="35"/>
      <c r="Q40" s="35"/>
      <c r="R40" s="35"/>
      <c r="S40" s="35"/>
      <c r="T40" s="35"/>
      <c r="U40" s="35"/>
      <c r="V40" s="35"/>
      <c r="W40" s="35"/>
      <c r="X40" s="35"/>
      <c r="Y40" s="35"/>
      <c r="Z40" s="35"/>
      <c r="AA40" s="35"/>
    </row>
    <row r="41">
      <c r="A41" s="146"/>
      <c r="B41" s="97" t="s">
        <v>156</v>
      </c>
      <c r="C41" s="190" t="s">
        <v>238</v>
      </c>
      <c r="D41" s="78"/>
      <c r="E41" s="147">
        <v>6.0</v>
      </c>
      <c r="F41" s="144">
        <f t="array" ref="F41">ROUNDUP(IF(EQ(A41, ""),D41*INDEX(UncertaintyFactors!$C$2:$D$7, E41, 1), 0), 1)</f>
        <v>0</v>
      </c>
      <c r="G41" s="145">
        <f t="array" ref="G41">ROUNDUP(IF(EQ(A41, ""), D41*INDEX(UncertaintyFactors!$C$2:$D$7, E41, 2), 0), 1)</f>
        <v>0</v>
      </c>
      <c r="H41" s="179" t="s">
        <v>239</v>
      </c>
      <c r="I41" s="27"/>
      <c r="J41" s="35"/>
      <c r="K41" s="35"/>
      <c r="L41" s="35"/>
      <c r="M41" s="35"/>
      <c r="N41" s="35"/>
      <c r="O41" s="35"/>
      <c r="P41" s="35"/>
      <c r="Q41" s="35"/>
      <c r="R41" s="35"/>
      <c r="S41" s="35"/>
      <c r="T41" s="35"/>
      <c r="U41" s="35"/>
      <c r="V41" s="35"/>
      <c r="W41" s="35"/>
      <c r="X41" s="35"/>
      <c r="Y41" s="35"/>
      <c r="Z41" s="35"/>
      <c r="AA41" s="35"/>
    </row>
    <row r="42">
      <c r="A42" s="75"/>
      <c r="B42" s="97" t="s">
        <v>158</v>
      </c>
      <c r="C42" s="190" t="s">
        <v>240</v>
      </c>
      <c r="D42" s="78"/>
      <c r="E42" s="147">
        <v>6.0</v>
      </c>
      <c r="F42" s="144">
        <f t="array" ref="F42">ROUNDUP(IF(EQ(A42, ""),D42*INDEX(UncertaintyFactors!$C$2:$D$7, E42, 1), 0), 1)</f>
        <v>0</v>
      </c>
      <c r="G42" s="145">
        <f t="array" ref="G42">ROUNDUP(IF(EQ(A42, ""), D42*INDEX(UncertaintyFactors!$C$2:$D$7, E42, 2), 0), 1)</f>
        <v>0</v>
      </c>
      <c r="H42" s="179" t="s">
        <v>239</v>
      </c>
      <c r="I42" s="27"/>
      <c r="J42" s="35"/>
      <c r="K42" s="35"/>
      <c r="L42" s="35"/>
      <c r="M42" s="35"/>
      <c r="N42" s="35"/>
      <c r="O42" s="35"/>
      <c r="P42" s="35"/>
      <c r="Q42" s="35"/>
      <c r="R42" s="35"/>
      <c r="S42" s="35"/>
      <c r="T42" s="35"/>
      <c r="U42" s="35"/>
      <c r="V42" s="35"/>
      <c r="W42" s="35"/>
      <c r="X42" s="35"/>
      <c r="Y42" s="35"/>
      <c r="Z42" s="35"/>
      <c r="AA42" s="35"/>
    </row>
    <row r="43">
      <c r="A43" s="75"/>
      <c r="B43" s="97" t="s">
        <v>159</v>
      </c>
      <c r="C43" s="190" t="s">
        <v>241</v>
      </c>
      <c r="D43" s="78"/>
      <c r="E43" s="147">
        <v>6.0</v>
      </c>
      <c r="F43" s="144">
        <f t="array" ref="F43">ROUNDUP(IF(EQ(A43, ""),D43*INDEX(UncertaintyFactors!$C$2:$D$7, E43, 1), 0), 1)</f>
        <v>0</v>
      </c>
      <c r="G43" s="145">
        <f t="array" ref="G43">ROUNDUP(IF(EQ(A43, ""), D43*INDEX(UncertaintyFactors!$C$2:$D$7, E43, 2), 0), 1)</f>
        <v>0</v>
      </c>
      <c r="H43" s="179" t="s">
        <v>239</v>
      </c>
      <c r="I43" s="27"/>
      <c r="J43" s="35"/>
      <c r="K43" s="35"/>
      <c r="L43" s="35"/>
      <c r="M43" s="35"/>
      <c r="N43" s="35"/>
      <c r="O43" s="35"/>
      <c r="P43" s="35"/>
      <c r="Q43" s="35"/>
      <c r="R43" s="35"/>
      <c r="S43" s="35"/>
      <c r="T43" s="35"/>
      <c r="U43" s="35"/>
      <c r="V43" s="35"/>
      <c r="W43" s="35"/>
      <c r="X43" s="35"/>
      <c r="Y43" s="35"/>
      <c r="Z43" s="35"/>
      <c r="AA43" s="35"/>
    </row>
    <row r="44">
      <c r="A44" s="75"/>
      <c r="B44" s="97" t="s">
        <v>165</v>
      </c>
      <c r="C44" s="200" t="s">
        <v>242</v>
      </c>
      <c r="D44" s="78"/>
      <c r="E44" s="147">
        <v>6.0</v>
      </c>
      <c r="F44" s="144">
        <f t="array" ref="F44">ROUNDUP(IF(EQ(A44, ""),D44*INDEX(UncertaintyFactors!$C$2:$D$7, E44, 1), 0), 1)</f>
        <v>0</v>
      </c>
      <c r="G44" s="145">
        <f t="array" ref="G44">ROUNDUP(IF(EQ(A44, ""), D44*INDEX(UncertaintyFactors!$C$2:$D$7, E44, 2), 0), 1)</f>
        <v>0</v>
      </c>
      <c r="H44" s="179" t="s">
        <v>239</v>
      </c>
      <c r="I44" s="27"/>
      <c r="J44" s="35"/>
      <c r="K44" s="35"/>
      <c r="L44" s="35"/>
      <c r="M44" s="35"/>
      <c r="N44" s="35"/>
      <c r="O44" s="35"/>
      <c r="P44" s="35"/>
      <c r="Q44" s="35"/>
      <c r="R44" s="35"/>
      <c r="S44" s="35"/>
      <c r="T44" s="35"/>
      <c r="U44" s="35"/>
      <c r="V44" s="35"/>
      <c r="W44" s="35"/>
      <c r="X44" s="35"/>
      <c r="Y44" s="35"/>
      <c r="Z44" s="35"/>
      <c r="AA44" s="35"/>
    </row>
    <row r="45">
      <c r="A45" s="171"/>
      <c r="B45" s="201"/>
      <c r="C45" s="176"/>
      <c r="D45" s="78"/>
      <c r="E45" s="196"/>
      <c r="F45" s="144"/>
      <c r="G45" s="175"/>
      <c r="H45" s="18"/>
      <c r="I45" s="27"/>
      <c r="J45" s="35"/>
      <c r="K45" s="35"/>
      <c r="L45" s="35"/>
      <c r="M45" s="35"/>
      <c r="N45" s="35"/>
      <c r="O45" s="35"/>
      <c r="P45" s="35"/>
      <c r="Q45" s="35"/>
      <c r="R45" s="35"/>
      <c r="S45" s="35"/>
      <c r="T45" s="35"/>
      <c r="U45" s="35"/>
      <c r="V45" s="35"/>
      <c r="W45" s="35"/>
      <c r="X45" s="35"/>
      <c r="Y45" s="35"/>
      <c r="Z45" s="35"/>
      <c r="AA45" s="35"/>
    </row>
    <row r="46">
      <c r="A46" s="75"/>
      <c r="B46" s="202" t="s">
        <v>243</v>
      </c>
      <c r="C46" s="176"/>
      <c r="D46" s="78"/>
      <c r="E46" s="147"/>
      <c r="F46" s="144"/>
      <c r="G46" s="145"/>
      <c r="H46" s="18"/>
      <c r="I46" s="27"/>
      <c r="J46" s="35"/>
      <c r="K46" s="35"/>
      <c r="L46" s="35"/>
      <c r="M46" s="35"/>
      <c r="N46" s="35"/>
      <c r="O46" s="35"/>
      <c r="P46" s="35"/>
      <c r="Q46" s="35"/>
      <c r="R46" s="35"/>
      <c r="S46" s="35"/>
      <c r="T46" s="35"/>
      <c r="U46" s="35"/>
      <c r="V46" s="35"/>
      <c r="W46" s="35"/>
      <c r="X46" s="35"/>
      <c r="Y46" s="35"/>
      <c r="Z46" s="35"/>
      <c r="AA46" s="35"/>
    </row>
    <row r="47">
      <c r="A47" s="75"/>
      <c r="B47" s="97" t="s">
        <v>160</v>
      </c>
      <c r="C47" s="190" t="s">
        <v>244</v>
      </c>
      <c r="D47" s="78"/>
      <c r="E47" s="147">
        <v>6.0</v>
      </c>
      <c r="F47" s="144">
        <f t="array" ref="F47">ROUNDUP(IF(EQ(A47, ""),D47*INDEX(UncertaintyFactors!$C$2:$D$7, E47, 1), 0), 1)</f>
        <v>0</v>
      </c>
      <c r="G47" s="145">
        <f t="array" ref="G47">ROUNDUP(IF(EQ(A47, ""), D47*INDEX(UncertaintyFactors!$C$2:$D$7, E47, 2), 0), 1)</f>
        <v>0</v>
      </c>
      <c r="H47" s="179" t="s">
        <v>239</v>
      </c>
      <c r="I47" s="27"/>
      <c r="J47" s="35"/>
      <c r="K47" s="35"/>
      <c r="L47" s="35"/>
      <c r="M47" s="35"/>
      <c r="N47" s="35"/>
      <c r="O47" s="35"/>
      <c r="P47" s="35"/>
      <c r="Q47" s="35"/>
      <c r="R47" s="35"/>
      <c r="S47" s="35"/>
      <c r="T47" s="35"/>
      <c r="U47" s="35"/>
      <c r="V47" s="35"/>
      <c r="W47" s="35"/>
      <c r="X47" s="35"/>
      <c r="Y47" s="35"/>
      <c r="Z47" s="35"/>
      <c r="AA47" s="35"/>
    </row>
    <row r="48">
      <c r="A48" s="75"/>
      <c r="B48" s="97" t="s">
        <v>161</v>
      </c>
      <c r="C48" s="200" t="s">
        <v>245</v>
      </c>
      <c r="D48" s="78"/>
      <c r="E48" s="147">
        <v>6.0</v>
      </c>
      <c r="F48" s="144">
        <f t="array" ref="F48">ROUNDUP(IF(EQ(A48, ""),D48*INDEX(UncertaintyFactors!$C$2:$D$7, E48, 1), 0), 1)</f>
        <v>0</v>
      </c>
      <c r="G48" s="145">
        <f t="array" ref="G48">ROUNDUP(IF(EQ(A48, ""), D48*INDEX(UncertaintyFactors!$C$2:$D$7, E48, 2), 0), 1)</f>
        <v>0</v>
      </c>
      <c r="H48" s="179" t="s">
        <v>239</v>
      </c>
      <c r="I48" s="27"/>
      <c r="J48" s="35"/>
      <c r="K48" s="35"/>
      <c r="L48" s="35"/>
      <c r="M48" s="35"/>
      <c r="N48" s="35"/>
      <c r="O48" s="35"/>
      <c r="P48" s="35"/>
      <c r="Q48" s="35"/>
      <c r="R48" s="35"/>
      <c r="S48" s="35"/>
      <c r="T48" s="35"/>
      <c r="U48" s="35"/>
      <c r="V48" s="35"/>
      <c r="W48" s="35"/>
      <c r="X48" s="35"/>
      <c r="Y48" s="35"/>
      <c r="Z48" s="35"/>
      <c r="AA48" s="35"/>
    </row>
    <row r="49">
      <c r="A49" s="75"/>
      <c r="B49" s="97" t="s">
        <v>163</v>
      </c>
      <c r="C49" s="190" t="s">
        <v>246</v>
      </c>
      <c r="D49" s="78"/>
      <c r="E49" s="147">
        <v>6.0</v>
      </c>
      <c r="F49" s="144">
        <f t="array" ref="F49">ROUNDUP(IF(EQ(A49, ""),D49*INDEX(UncertaintyFactors!$C$2:$D$7, E49, 1), 0), 1)</f>
        <v>0</v>
      </c>
      <c r="G49" s="145">
        <f t="array" ref="G49">ROUNDUP(IF(EQ(A49, ""), D49*INDEX(UncertaintyFactors!$C$2:$D$7, E49, 2), 0), 1)</f>
        <v>0</v>
      </c>
      <c r="H49" s="179" t="s">
        <v>239</v>
      </c>
      <c r="I49" s="27"/>
      <c r="J49" s="35"/>
      <c r="K49" s="35"/>
      <c r="L49" s="35"/>
      <c r="M49" s="35"/>
      <c r="N49" s="35"/>
      <c r="O49" s="35"/>
      <c r="P49" s="35"/>
      <c r="Q49" s="35"/>
      <c r="R49" s="35"/>
      <c r="S49" s="35"/>
      <c r="T49" s="35"/>
      <c r="U49" s="35"/>
      <c r="V49" s="35"/>
      <c r="W49" s="35"/>
      <c r="X49" s="35"/>
      <c r="Y49" s="35"/>
      <c r="Z49" s="35"/>
      <c r="AA49" s="35"/>
    </row>
    <row r="50">
      <c r="A50" s="75"/>
      <c r="B50" s="97" t="s">
        <v>164</v>
      </c>
      <c r="C50" s="190" t="s">
        <v>247</v>
      </c>
      <c r="D50" s="78"/>
      <c r="E50" s="147">
        <v>6.0</v>
      </c>
      <c r="F50" s="144">
        <f t="array" ref="F50">ROUNDUP(IF(EQ(A50, ""),D50*INDEX(UncertaintyFactors!$C$2:$D$7, E50, 1), 0), 1)</f>
        <v>0</v>
      </c>
      <c r="G50" s="145">
        <f t="array" ref="G50">ROUNDUP(IF(EQ(A50, ""), D50*INDEX(UncertaintyFactors!$C$2:$D$7, E50, 2), 0), 1)</f>
        <v>0</v>
      </c>
      <c r="H50" s="179" t="s">
        <v>239</v>
      </c>
      <c r="I50" s="27"/>
      <c r="J50" s="35"/>
      <c r="K50" s="35"/>
      <c r="L50" s="35"/>
      <c r="M50" s="35"/>
      <c r="N50" s="35"/>
      <c r="O50" s="35"/>
      <c r="P50" s="35"/>
      <c r="Q50" s="35"/>
      <c r="R50" s="35"/>
      <c r="S50" s="35"/>
      <c r="T50" s="35"/>
      <c r="U50" s="35"/>
      <c r="V50" s="35"/>
      <c r="W50" s="35"/>
      <c r="X50" s="35"/>
      <c r="Y50" s="35"/>
      <c r="Z50" s="35"/>
      <c r="AA50" s="35"/>
    </row>
    <row r="51">
      <c r="A51" s="75"/>
      <c r="B51" s="97" t="s">
        <v>166</v>
      </c>
      <c r="C51" s="190" t="s">
        <v>248</v>
      </c>
      <c r="D51" s="78"/>
      <c r="E51" s="147">
        <v>6.0</v>
      </c>
      <c r="F51" s="144">
        <f t="array" ref="F51">ROUNDUP(IF(EQ(A51, ""),D51*INDEX(UncertaintyFactors!$C$2:$D$7, E51, 1), 0), 1)</f>
        <v>0</v>
      </c>
      <c r="G51" s="145">
        <f t="array" ref="G51">ROUNDUP(IF(EQ(A51, ""), D51*INDEX(UncertaintyFactors!$C$2:$D$7, E51, 2), 0), 1)</f>
        <v>0</v>
      </c>
      <c r="H51" s="179" t="s">
        <v>239</v>
      </c>
      <c r="I51" s="27"/>
      <c r="J51" s="35"/>
      <c r="K51" s="35"/>
      <c r="L51" s="35"/>
      <c r="M51" s="35"/>
      <c r="N51" s="35"/>
      <c r="O51" s="35"/>
      <c r="P51" s="35"/>
      <c r="Q51" s="35"/>
      <c r="R51" s="35"/>
      <c r="S51" s="35"/>
      <c r="T51" s="35"/>
      <c r="U51" s="35"/>
      <c r="V51" s="35"/>
      <c r="W51" s="35"/>
      <c r="X51" s="35"/>
      <c r="Y51" s="35"/>
      <c r="Z51" s="35"/>
      <c r="AA51" s="35"/>
    </row>
    <row r="52">
      <c r="A52" s="171"/>
      <c r="B52" s="172"/>
      <c r="C52" s="27"/>
      <c r="D52" s="78"/>
      <c r="E52" s="196"/>
      <c r="F52" s="144"/>
      <c r="G52" s="175"/>
      <c r="H52" s="18"/>
      <c r="I52" s="27"/>
      <c r="J52" s="35"/>
      <c r="K52" s="35"/>
      <c r="L52" s="35"/>
      <c r="M52" s="35"/>
      <c r="N52" s="35"/>
      <c r="O52" s="35"/>
      <c r="P52" s="35"/>
      <c r="Q52" s="35"/>
      <c r="R52" s="35"/>
      <c r="S52" s="35"/>
      <c r="T52" s="35"/>
      <c r="U52" s="35"/>
      <c r="V52" s="35"/>
      <c r="W52" s="35"/>
      <c r="X52" s="35"/>
      <c r="Y52" s="35"/>
      <c r="Z52" s="35"/>
      <c r="AA52" s="35"/>
    </row>
    <row r="53">
      <c r="A53" s="75"/>
      <c r="B53" s="203" t="s">
        <v>249</v>
      </c>
      <c r="C53" s="27"/>
      <c r="D53" s="78"/>
      <c r="E53" s="147"/>
      <c r="F53" s="144"/>
      <c r="G53" s="145"/>
      <c r="H53" s="18"/>
      <c r="I53" s="27"/>
      <c r="J53" s="35"/>
      <c r="K53" s="35"/>
      <c r="L53" s="35"/>
      <c r="M53" s="35"/>
      <c r="N53" s="35"/>
      <c r="O53" s="35"/>
      <c r="P53" s="35"/>
      <c r="Q53" s="35"/>
      <c r="R53" s="35"/>
      <c r="S53" s="35"/>
      <c r="T53" s="35"/>
      <c r="U53" s="35"/>
      <c r="V53" s="35"/>
      <c r="W53" s="35"/>
      <c r="X53" s="35"/>
      <c r="Y53" s="35"/>
      <c r="Z53" s="35"/>
      <c r="AA53" s="35"/>
    </row>
    <row r="54">
      <c r="A54" s="75"/>
      <c r="B54" s="97" t="s">
        <v>167</v>
      </c>
      <c r="C54" s="190" t="s">
        <v>250</v>
      </c>
      <c r="D54" s="78"/>
      <c r="E54" s="147">
        <v>6.0</v>
      </c>
      <c r="F54" s="144">
        <f t="array" ref="F54">ROUNDUP(IF(EQ(A54, ""),D54*INDEX(UncertaintyFactors!$C$2:$D$7, E54, 1), 0), 1)</f>
        <v>0</v>
      </c>
      <c r="G54" s="145">
        <f t="array" ref="G54">ROUNDUP(IF(EQ(A54, ""), D54*INDEX(UncertaintyFactors!$C$2:$D$7, E54, 2), 0), 1)</f>
        <v>0</v>
      </c>
      <c r="H54" s="179" t="s">
        <v>239</v>
      </c>
      <c r="I54" s="27"/>
      <c r="J54" s="35"/>
      <c r="K54" s="35"/>
      <c r="L54" s="35"/>
      <c r="M54" s="35"/>
      <c r="N54" s="35"/>
      <c r="O54" s="35"/>
      <c r="P54" s="35"/>
      <c r="Q54" s="35"/>
      <c r="R54" s="35"/>
      <c r="S54" s="35"/>
      <c r="T54" s="35"/>
      <c r="U54" s="35"/>
      <c r="V54" s="35"/>
      <c r="W54" s="35"/>
      <c r="X54" s="35"/>
      <c r="Y54" s="35"/>
      <c r="Z54" s="35"/>
      <c r="AA54" s="35"/>
    </row>
    <row r="55">
      <c r="A55" s="87"/>
      <c r="B55" s="97" t="s">
        <v>251</v>
      </c>
      <c r="C55" s="204" t="s">
        <v>252</v>
      </c>
      <c r="D55" s="205"/>
      <c r="E55" s="147">
        <v>6.0</v>
      </c>
      <c r="F55" s="144">
        <f t="array" ref="F55">ROUNDUP(IF(EQ(A55, ""),D55*INDEX(UncertaintyFactors!$C$2:$D$7, E55, 1), 0), 1)</f>
        <v>0</v>
      </c>
      <c r="G55" s="145">
        <f t="array" ref="G55">ROUNDUP(IF(EQ(A55, ""), D55*INDEX(UncertaintyFactors!$C$2:$D$7, E55, 2), 0), 1)</f>
        <v>0</v>
      </c>
      <c r="H55" s="179" t="s">
        <v>239</v>
      </c>
      <c r="I55" s="27"/>
      <c r="J55" s="206"/>
      <c r="K55" s="206"/>
      <c r="L55" s="35"/>
      <c r="M55" s="35"/>
      <c r="N55" s="35"/>
      <c r="O55" s="35"/>
      <c r="P55" s="35"/>
      <c r="Q55" s="35"/>
      <c r="R55" s="35"/>
      <c r="S55" s="35"/>
      <c r="T55" s="35"/>
      <c r="U55" s="35"/>
      <c r="V55" s="35"/>
      <c r="W55" s="35"/>
      <c r="X55" s="35"/>
      <c r="Y55" s="35"/>
      <c r="Z55" s="35"/>
      <c r="AA55" s="35"/>
    </row>
    <row r="56">
      <c r="A56" s="75"/>
      <c r="B56" s="97" t="s">
        <v>168</v>
      </c>
      <c r="C56" s="190" t="s">
        <v>253</v>
      </c>
      <c r="D56" s="78"/>
      <c r="E56" s="147">
        <v>6.0</v>
      </c>
      <c r="F56" s="144">
        <f t="array" ref="F56">ROUNDUP(IF(EQ(A56, ""),D56*INDEX(UncertaintyFactors!$C$2:$D$7, E56, 1), 0), 1)</f>
        <v>0</v>
      </c>
      <c r="G56" s="145">
        <f t="array" ref="G56">ROUNDUP(IF(EQ(A56, ""), D56*INDEX(UncertaintyFactors!$C$2:$D$7, E56, 2), 0), 1)</f>
        <v>0</v>
      </c>
      <c r="H56" s="179" t="s">
        <v>239</v>
      </c>
      <c r="I56" s="27"/>
      <c r="J56" s="35"/>
      <c r="K56" s="35"/>
      <c r="L56" s="35"/>
      <c r="M56" s="35"/>
      <c r="N56" s="35"/>
      <c r="O56" s="35"/>
      <c r="P56" s="35"/>
      <c r="Q56" s="35"/>
      <c r="R56" s="35"/>
      <c r="S56" s="35"/>
      <c r="T56" s="35"/>
      <c r="U56" s="35"/>
      <c r="V56" s="35"/>
      <c r="W56" s="35"/>
      <c r="X56" s="35"/>
      <c r="Y56" s="35"/>
      <c r="Z56" s="35"/>
      <c r="AA56" s="35"/>
    </row>
    <row r="57">
      <c r="A57" s="75"/>
      <c r="B57" s="97" t="s">
        <v>169</v>
      </c>
      <c r="C57" s="190" t="s">
        <v>254</v>
      </c>
      <c r="D57" s="78"/>
      <c r="E57" s="147">
        <v>6.0</v>
      </c>
      <c r="F57" s="144">
        <f t="array" ref="F57">ROUNDUP(IF(EQ(A57, ""),D57*INDEX(UncertaintyFactors!$C$2:$D$7, E57, 1), 0), 1)</f>
        <v>0</v>
      </c>
      <c r="G57" s="145">
        <f t="array" ref="G57">ROUNDUP(IF(EQ(A57, ""), D57*INDEX(UncertaintyFactors!$C$2:$D$7, E57, 2), 0), 1)</f>
        <v>0</v>
      </c>
      <c r="H57" s="179" t="s">
        <v>255</v>
      </c>
      <c r="I57" s="27"/>
      <c r="J57" s="35"/>
      <c r="K57" s="35"/>
      <c r="L57" s="35"/>
      <c r="M57" s="35"/>
      <c r="N57" s="35"/>
      <c r="O57" s="35"/>
      <c r="P57" s="35"/>
      <c r="Q57" s="35"/>
      <c r="R57" s="35"/>
      <c r="S57" s="35"/>
      <c r="T57" s="35"/>
      <c r="U57" s="35"/>
      <c r="V57" s="35"/>
      <c r="W57" s="35"/>
      <c r="X57" s="35"/>
      <c r="Y57" s="35"/>
      <c r="Z57" s="35"/>
      <c r="AA57" s="35"/>
    </row>
    <row r="58">
      <c r="A58" s="75"/>
      <c r="B58" s="97" t="s">
        <v>170</v>
      </c>
      <c r="C58" s="207" t="s">
        <v>256</v>
      </c>
      <c r="D58" s="78"/>
      <c r="E58" s="147">
        <v>6.0</v>
      </c>
      <c r="F58" s="144">
        <f t="array" ref="F58">ROUNDUP(IF(EQ(A58, ""),D58*INDEX(UncertaintyFactors!$C$2:$D$7, E58, 1), 0), 1)</f>
        <v>0</v>
      </c>
      <c r="G58" s="145">
        <f t="array" ref="G58">ROUNDUP(IF(EQ(A58, ""), D58*INDEX(UncertaintyFactors!$C$2:$D$7, E58, 2), 0), 1)</f>
        <v>0</v>
      </c>
      <c r="H58" s="179" t="s">
        <v>257</v>
      </c>
      <c r="I58" s="27"/>
      <c r="J58" s="35"/>
      <c r="K58" s="35"/>
      <c r="L58" s="35"/>
      <c r="M58" s="35"/>
      <c r="N58" s="35"/>
      <c r="O58" s="35"/>
      <c r="P58" s="35"/>
      <c r="Q58" s="35"/>
      <c r="R58" s="35"/>
      <c r="S58" s="35"/>
      <c r="T58" s="35"/>
      <c r="U58" s="35"/>
      <c r="V58" s="35"/>
      <c r="W58" s="35"/>
      <c r="X58" s="35"/>
      <c r="Y58" s="35"/>
      <c r="Z58" s="35"/>
      <c r="AA58" s="35"/>
    </row>
    <row r="59">
      <c r="A59" s="75"/>
      <c r="B59" s="97" t="s">
        <v>190</v>
      </c>
      <c r="C59" s="200" t="s">
        <v>258</v>
      </c>
      <c r="D59" s="26"/>
      <c r="E59" s="147">
        <v>6.0</v>
      </c>
      <c r="F59" s="144">
        <f t="array" ref="F59">ROUNDUP(IF(EQ(A59, ""),D59*INDEX(UncertaintyFactors!$C$2:$D$7, E59, 1), 0), 1)</f>
        <v>0</v>
      </c>
      <c r="G59" s="145">
        <f t="array" ref="G59">ROUNDUP(IF(EQ(A59, ""), D59*INDEX(UncertaintyFactors!$C$2:$D$7, E59, 2), 0), 1)</f>
        <v>0</v>
      </c>
      <c r="H59" s="179" t="s">
        <v>239</v>
      </c>
      <c r="I59" s="27"/>
      <c r="J59" s="35"/>
      <c r="K59" s="35"/>
      <c r="L59" s="35"/>
      <c r="M59" s="35"/>
      <c r="N59" s="35"/>
      <c r="O59" s="35"/>
      <c r="P59" s="35"/>
      <c r="Q59" s="35"/>
      <c r="R59" s="35"/>
      <c r="S59" s="35"/>
      <c r="T59" s="35"/>
      <c r="U59" s="35"/>
      <c r="V59" s="35"/>
      <c r="W59" s="35"/>
      <c r="X59" s="35"/>
      <c r="Y59" s="35"/>
      <c r="Z59" s="35"/>
      <c r="AA59" s="35"/>
    </row>
    <row r="60">
      <c r="A60" s="75"/>
      <c r="B60" s="101" t="s">
        <v>259</v>
      </c>
      <c r="C60" s="200" t="s">
        <v>260</v>
      </c>
      <c r="D60" s="26"/>
      <c r="E60" s="147">
        <v>6.0</v>
      </c>
      <c r="F60" s="144">
        <f t="array" ref="F60">ROUNDUP(IF(EQ(A60, ""),D60*INDEX(UncertaintyFactors!$C$2:$D$7, E60, 1), 0), 1)</f>
        <v>0</v>
      </c>
      <c r="G60" s="145">
        <f t="array" ref="G60">ROUNDUP(IF(EQ(A60, ""), D60*INDEX(UncertaintyFactors!$C$2:$D$7, E60, 2), 0), 1)</f>
        <v>0</v>
      </c>
      <c r="H60" s="179" t="s">
        <v>239</v>
      </c>
      <c r="I60" s="27"/>
      <c r="J60" s="35"/>
      <c r="K60" s="35"/>
      <c r="L60" s="35"/>
      <c r="M60" s="35"/>
      <c r="N60" s="35"/>
      <c r="O60" s="35"/>
      <c r="P60" s="35"/>
      <c r="Q60" s="35"/>
      <c r="R60" s="35"/>
      <c r="S60" s="35"/>
      <c r="T60" s="35"/>
      <c r="U60" s="35"/>
      <c r="V60" s="35"/>
      <c r="W60" s="35"/>
      <c r="X60" s="35"/>
      <c r="Y60" s="35"/>
      <c r="Z60" s="35"/>
      <c r="AA60" s="35"/>
    </row>
    <row r="61">
      <c r="A61" s="75"/>
      <c r="B61" s="97" t="s">
        <v>192</v>
      </c>
      <c r="C61" s="200" t="s">
        <v>261</v>
      </c>
      <c r="D61" s="26"/>
      <c r="E61" s="147">
        <v>6.0</v>
      </c>
      <c r="F61" s="144">
        <f t="array" ref="F61">ROUNDUP(IF(EQ(A61, ""),D61*INDEX(UncertaintyFactors!$C$2:$D$7, E61, 1), 0), 1)</f>
        <v>0</v>
      </c>
      <c r="G61" s="145">
        <f t="array" ref="G61">ROUNDUP(IF(EQ(A61, ""), D61*INDEX(UncertaintyFactors!$C$2:$D$7, E61, 2), 0), 1)</f>
        <v>0</v>
      </c>
      <c r="H61" s="179" t="s">
        <v>239</v>
      </c>
      <c r="I61" s="27"/>
      <c r="J61" s="35"/>
      <c r="K61" s="35"/>
      <c r="L61" s="35"/>
      <c r="M61" s="35"/>
      <c r="N61" s="35"/>
      <c r="O61" s="35"/>
      <c r="P61" s="35"/>
      <c r="Q61" s="35"/>
      <c r="R61" s="35"/>
      <c r="S61" s="35"/>
      <c r="T61" s="35"/>
      <c r="U61" s="35"/>
      <c r="V61" s="35"/>
      <c r="W61" s="35"/>
      <c r="X61" s="35"/>
      <c r="Y61" s="35"/>
      <c r="Z61" s="35"/>
      <c r="AA61" s="35"/>
    </row>
    <row r="62">
      <c r="A62" s="75"/>
      <c r="B62" s="97" t="s">
        <v>178</v>
      </c>
      <c r="C62" s="200" t="s">
        <v>262</v>
      </c>
      <c r="D62" s="26"/>
      <c r="E62" s="147">
        <v>6.0</v>
      </c>
      <c r="F62" s="144">
        <f t="array" ref="F62">ROUNDUP(IF(EQ(A62, ""),D62*INDEX(UncertaintyFactors!$C$2:$D$7, E62, 1), 0), 1)</f>
        <v>0</v>
      </c>
      <c r="G62" s="145">
        <f t="array" ref="G62">ROUNDUP(IF(EQ(A62, ""), D62*INDEX(UncertaintyFactors!$C$2:$D$7, E62, 2), 0), 1)</f>
        <v>0</v>
      </c>
      <c r="H62" s="179" t="s">
        <v>239</v>
      </c>
      <c r="I62" s="27"/>
      <c r="J62" s="35"/>
      <c r="K62" s="35"/>
      <c r="L62" s="35"/>
      <c r="M62" s="35"/>
      <c r="N62" s="35"/>
      <c r="O62" s="35"/>
      <c r="P62" s="35"/>
      <c r="Q62" s="35"/>
      <c r="R62" s="35"/>
      <c r="S62" s="35"/>
      <c r="T62" s="35"/>
      <c r="U62" s="35"/>
      <c r="V62" s="35"/>
      <c r="W62" s="35"/>
      <c r="X62" s="35"/>
      <c r="Y62" s="35"/>
      <c r="Z62" s="35"/>
      <c r="AA62" s="35"/>
    </row>
    <row r="63">
      <c r="A63" s="75"/>
      <c r="B63" s="101" t="s">
        <v>263</v>
      </c>
      <c r="C63" s="200" t="s">
        <v>264</v>
      </c>
      <c r="D63" s="26"/>
      <c r="E63" s="147">
        <v>6.0</v>
      </c>
      <c r="F63" s="144">
        <f t="array" ref="F63">ROUNDUP(IF(EQ(A63, ""),D63*INDEX(UncertaintyFactors!$C$2:$D$7, E63, 1), 0), 1)</f>
        <v>0</v>
      </c>
      <c r="G63" s="145">
        <f t="array" ref="G63">ROUNDUP(IF(EQ(A63, ""), D63*INDEX(UncertaintyFactors!$C$2:$D$7, E63, 2), 0), 1)</f>
        <v>0</v>
      </c>
      <c r="H63" s="179" t="s">
        <v>239</v>
      </c>
      <c r="I63" s="27"/>
      <c r="J63" s="35"/>
      <c r="K63" s="35"/>
      <c r="L63" s="35"/>
      <c r="M63" s="35"/>
      <c r="N63" s="35"/>
      <c r="O63" s="35"/>
      <c r="P63" s="35"/>
      <c r="Q63" s="35"/>
      <c r="R63" s="35"/>
      <c r="S63" s="35"/>
      <c r="T63" s="35"/>
      <c r="U63" s="35"/>
      <c r="V63" s="35"/>
      <c r="W63" s="35"/>
      <c r="X63" s="35"/>
      <c r="Y63" s="35"/>
      <c r="Z63" s="35"/>
      <c r="AA63" s="35"/>
    </row>
    <row r="64">
      <c r="A64" s="75"/>
      <c r="B64" s="101" t="s">
        <v>265</v>
      </c>
      <c r="C64" s="191" t="s">
        <v>266</v>
      </c>
      <c r="D64" s="78"/>
      <c r="E64" s="147">
        <v>6.0</v>
      </c>
      <c r="F64" s="144">
        <f t="array" ref="F64">ROUNDUP(IF(EQ(A64, ""),D64*INDEX(UncertaintyFactors!$C$2:$D$7, E64, 1), 0), 1)</f>
        <v>0</v>
      </c>
      <c r="G64" s="145">
        <f t="array" ref="G64">ROUNDUP(IF(EQ(A64, ""), D64*INDEX(UncertaintyFactors!$C$2:$D$7, E64, 2), 0), 1)</f>
        <v>0</v>
      </c>
      <c r="H64" s="179" t="s">
        <v>239</v>
      </c>
      <c r="I64" s="27"/>
      <c r="J64" s="35"/>
      <c r="K64" s="35"/>
      <c r="L64" s="35"/>
      <c r="M64" s="35"/>
      <c r="N64" s="35"/>
      <c r="O64" s="35"/>
      <c r="P64" s="35"/>
      <c r="Q64" s="35"/>
      <c r="R64" s="35"/>
      <c r="S64" s="35"/>
      <c r="T64" s="35"/>
      <c r="U64" s="35"/>
      <c r="V64" s="35"/>
      <c r="W64" s="35"/>
      <c r="X64" s="35"/>
      <c r="Y64" s="35"/>
      <c r="Z64" s="35"/>
      <c r="AA64" s="35"/>
    </row>
    <row r="65">
      <c r="A65" s="75"/>
      <c r="B65" s="97" t="s">
        <v>172</v>
      </c>
      <c r="C65" s="200" t="s">
        <v>267</v>
      </c>
      <c r="D65" s="78"/>
      <c r="E65" s="147">
        <v>6.0</v>
      </c>
      <c r="F65" s="144">
        <f t="array" ref="F65">ROUNDUP(IF(EQ(A65, ""),D65*INDEX(UncertaintyFactors!$C$2:$D$7, E65, 1), 0), 1)</f>
        <v>0</v>
      </c>
      <c r="G65" s="145">
        <f t="array" ref="G65">ROUNDUP(IF(EQ(A65, ""), D65*INDEX(UncertaintyFactors!$C$2:$D$7, E65, 2), 0), 1)</f>
        <v>0</v>
      </c>
      <c r="H65" s="18"/>
      <c r="I65" s="27"/>
      <c r="J65" s="35"/>
      <c r="K65" s="35"/>
      <c r="L65" s="35"/>
      <c r="M65" s="35"/>
      <c r="N65" s="35"/>
      <c r="O65" s="35"/>
      <c r="P65" s="35"/>
      <c r="Q65" s="35"/>
      <c r="R65" s="35"/>
      <c r="S65" s="35"/>
      <c r="T65" s="35"/>
      <c r="U65" s="35"/>
      <c r="V65" s="35"/>
      <c r="W65" s="35"/>
      <c r="X65" s="35"/>
      <c r="Y65" s="35"/>
      <c r="Z65" s="35"/>
      <c r="AA65" s="35"/>
    </row>
    <row r="66">
      <c r="A66" s="171"/>
      <c r="B66" s="208"/>
      <c r="C66" s="27"/>
      <c r="D66" s="78"/>
      <c r="E66" s="196"/>
      <c r="F66" s="144"/>
      <c r="G66" s="175"/>
      <c r="H66" s="18"/>
      <c r="I66" s="27"/>
      <c r="J66" s="35"/>
      <c r="K66" s="35"/>
      <c r="L66" s="35"/>
      <c r="M66" s="35"/>
      <c r="N66" s="35"/>
      <c r="O66" s="35"/>
      <c r="P66" s="35"/>
      <c r="Q66" s="35"/>
      <c r="R66" s="35"/>
      <c r="S66" s="35"/>
      <c r="T66" s="35"/>
      <c r="U66" s="35"/>
      <c r="V66" s="35"/>
      <c r="W66" s="35"/>
      <c r="X66" s="35"/>
      <c r="Y66" s="35"/>
      <c r="Z66" s="35"/>
      <c r="AA66" s="35"/>
    </row>
    <row r="67">
      <c r="A67" s="75"/>
      <c r="B67" s="209" t="s">
        <v>268</v>
      </c>
      <c r="C67" s="27"/>
      <c r="D67" s="78"/>
      <c r="E67" s="147"/>
      <c r="F67" s="144"/>
      <c r="G67" s="145"/>
      <c r="H67" s="18"/>
      <c r="I67" s="27"/>
      <c r="J67" s="35"/>
      <c r="K67" s="35"/>
      <c r="L67" s="35"/>
      <c r="M67" s="35"/>
      <c r="N67" s="35"/>
      <c r="O67" s="35"/>
      <c r="P67" s="35"/>
      <c r="Q67" s="35"/>
      <c r="R67" s="35"/>
      <c r="S67" s="35"/>
      <c r="T67" s="35"/>
      <c r="U67" s="35"/>
      <c r="V67" s="35"/>
      <c r="W67" s="35"/>
      <c r="X67" s="35"/>
      <c r="Y67" s="35"/>
      <c r="Z67" s="35"/>
      <c r="AA67" s="35"/>
    </row>
    <row r="68">
      <c r="A68" s="75"/>
      <c r="B68" s="97" t="s">
        <v>269</v>
      </c>
      <c r="C68" s="27"/>
      <c r="D68" s="78"/>
      <c r="E68" s="147">
        <v>6.0</v>
      </c>
      <c r="F68" s="144">
        <f t="array" ref="F68">ROUNDUP(IF(EQ(A68, ""),D68*INDEX(UncertaintyFactors!$C$2:$D$7, E68, 1), 0), 1)</f>
        <v>0</v>
      </c>
      <c r="G68" s="145">
        <f t="array" ref="G68">ROUNDUP(IF(EQ(A68, ""), D68*INDEX(UncertaintyFactors!$C$2:$D$7, E68, 2), 0), 1)</f>
        <v>0</v>
      </c>
      <c r="H68" s="18"/>
      <c r="I68" s="27"/>
      <c r="J68" s="35"/>
      <c r="K68" s="35"/>
      <c r="L68" s="35"/>
      <c r="M68" s="35"/>
      <c r="N68" s="35"/>
      <c r="O68" s="35"/>
      <c r="P68" s="35"/>
      <c r="Q68" s="35"/>
      <c r="R68" s="35"/>
      <c r="S68" s="35"/>
      <c r="T68" s="35"/>
      <c r="U68" s="35"/>
      <c r="V68" s="35"/>
      <c r="W68" s="35"/>
      <c r="X68" s="35"/>
      <c r="Y68" s="35"/>
      <c r="Z68" s="35"/>
      <c r="AA68" s="35"/>
    </row>
    <row r="69">
      <c r="A69" s="75"/>
      <c r="B69" s="97" t="s">
        <v>270</v>
      </c>
      <c r="C69" s="27"/>
      <c r="D69" s="78"/>
      <c r="E69" s="147">
        <v>6.0</v>
      </c>
      <c r="F69" s="144">
        <f t="array" ref="F69">ROUNDUP(IF(EQ(A69, ""),D69*INDEX(UncertaintyFactors!$C$2:$D$7, E69, 1), 0), 1)</f>
        <v>0</v>
      </c>
      <c r="G69" s="145">
        <f t="array" ref="G69">ROUNDUP(IF(EQ(A69, ""), D69*INDEX(UncertaintyFactors!$C$2:$D$7, E69, 2), 0), 1)</f>
        <v>0</v>
      </c>
      <c r="H69" s="18"/>
      <c r="I69" s="27"/>
      <c r="J69" s="35"/>
      <c r="K69" s="35"/>
      <c r="L69" s="35"/>
      <c r="M69" s="35"/>
      <c r="N69" s="35"/>
      <c r="O69" s="35"/>
      <c r="P69" s="35"/>
      <c r="Q69" s="35"/>
      <c r="R69" s="35"/>
      <c r="S69" s="35"/>
      <c r="T69" s="35"/>
      <c r="U69" s="35"/>
      <c r="V69" s="35"/>
      <c r="W69" s="35"/>
      <c r="X69" s="35"/>
      <c r="Y69" s="35"/>
      <c r="Z69" s="35"/>
      <c r="AA69" s="35"/>
    </row>
    <row r="70">
      <c r="A70" s="75"/>
      <c r="B70" s="97" t="s">
        <v>271</v>
      </c>
      <c r="C70" s="27"/>
      <c r="D70" s="78"/>
      <c r="E70" s="147">
        <v>6.0</v>
      </c>
      <c r="F70" s="144">
        <f t="array" ref="F70">ROUNDUP(IF(EQ(A70, ""),D70*INDEX(UncertaintyFactors!$C$2:$D$7, E70, 1), 0), 1)</f>
        <v>0</v>
      </c>
      <c r="G70" s="145">
        <f t="array" ref="G70">ROUNDUP(IF(EQ(A70, ""), D70*INDEX(UncertaintyFactors!$C$2:$D$7, E70, 2), 0), 1)</f>
        <v>0</v>
      </c>
      <c r="H70" s="179" t="s">
        <v>272</v>
      </c>
      <c r="I70" s="27"/>
      <c r="J70" s="35"/>
      <c r="K70" s="35"/>
      <c r="L70" s="35"/>
      <c r="M70" s="35"/>
      <c r="N70" s="35"/>
      <c r="O70" s="35"/>
      <c r="P70" s="35"/>
      <c r="Q70" s="35"/>
      <c r="R70" s="35"/>
      <c r="S70" s="35"/>
      <c r="T70" s="35"/>
      <c r="U70" s="35"/>
      <c r="V70" s="35"/>
      <c r="W70" s="35"/>
      <c r="X70" s="35"/>
      <c r="Y70" s="35"/>
      <c r="Z70" s="35"/>
      <c r="AA70" s="35"/>
    </row>
    <row r="71">
      <c r="A71" s="75"/>
      <c r="B71" s="97" t="s">
        <v>273</v>
      </c>
      <c r="C71" s="179" t="s">
        <v>274</v>
      </c>
      <c r="D71" s="78"/>
      <c r="E71" s="147">
        <v>6.0</v>
      </c>
      <c r="F71" s="144">
        <f t="array" ref="F71">ROUNDUP(IF(EQ(A71, ""),D71*INDEX(UncertaintyFactors!$C$2:$D$7, E71, 1), 0), 1)</f>
        <v>0</v>
      </c>
      <c r="G71" s="145">
        <f t="array" ref="G71">ROUNDUP(IF(EQ(A71, ""), D71*INDEX(UncertaintyFactors!$C$2:$D$7, E71, 2), 0), 1)</f>
        <v>0</v>
      </c>
      <c r="H71" s="18"/>
      <c r="I71" s="27"/>
      <c r="J71" s="35"/>
      <c r="K71" s="35"/>
      <c r="L71" s="35"/>
      <c r="M71" s="35"/>
      <c r="N71" s="35"/>
      <c r="O71" s="35"/>
      <c r="P71" s="35"/>
      <c r="Q71" s="35"/>
      <c r="R71" s="35"/>
      <c r="S71" s="35"/>
      <c r="T71" s="35"/>
      <c r="U71" s="35"/>
      <c r="V71" s="35"/>
      <c r="W71" s="35"/>
      <c r="X71" s="35"/>
      <c r="Y71" s="35"/>
      <c r="Z71" s="35"/>
      <c r="AA71" s="35"/>
    </row>
    <row r="72">
      <c r="A72" s="75"/>
      <c r="B72" s="210" t="s">
        <v>275</v>
      </c>
      <c r="C72" s="140"/>
      <c r="D72" s="157"/>
      <c r="E72" s="193">
        <v>6.0</v>
      </c>
      <c r="F72" s="159">
        <f t="array" ref="F72">ROUNDUP(IF(EQ(A72, ""),D72*INDEX(UncertaintyFactors!$C$2:$D$7, E72, 1), 0), 1)</f>
        <v>0</v>
      </c>
      <c r="G72" s="160">
        <f t="array" ref="G72">ROUNDUP(IF(EQ(A72, ""), D72*INDEX(UncertaintyFactors!$C$2:$D$7, E72, 2), 0), 1)</f>
        <v>0</v>
      </c>
      <c r="H72" s="32"/>
      <c r="I72" s="27"/>
      <c r="J72" s="35"/>
      <c r="K72" s="35"/>
      <c r="L72" s="35"/>
      <c r="M72" s="35"/>
      <c r="N72" s="35"/>
      <c r="O72" s="35"/>
      <c r="P72" s="35"/>
      <c r="Q72" s="35"/>
      <c r="R72" s="35"/>
      <c r="S72" s="35"/>
      <c r="T72" s="35"/>
      <c r="U72" s="35"/>
      <c r="V72" s="35"/>
      <c r="W72" s="35"/>
      <c r="X72" s="35"/>
      <c r="Y72" s="35"/>
      <c r="Z72" s="35"/>
      <c r="AA72" s="35"/>
    </row>
    <row r="73">
      <c r="A73" s="75"/>
      <c r="B73" s="101" t="s">
        <v>276</v>
      </c>
      <c r="C73" s="27"/>
      <c r="D73" s="78"/>
      <c r="E73" s="147"/>
      <c r="F73" s="144"/>
      <c r="G73" s="145"/>
      <c r="H73" s="18"/>
      <c r="I73" s="27"/>
      <c r="J73" s="35"/>
      <c r="K73" s="35"/>
      <c r="L73" s="35"/>
      <c r="M73" s="35"/>
      <c r="N73" s="35"/>
      <c r="O73" s="35"/>
      <c r="P73" s="35"/>
      <c r="Q73" s="35"/>
      <c r="R73" s="35"/>
      <c r="S73" s="35"/>
      <c r="T73" s="35"/>
      <c r="U73" s="35"/>
      <c r="V73" s="35"/>
      <c r="W73" s="35"/>
      <c r="X73" s="35"/>
      <c r="Y73" s="35"/>
      <c r="Z73" s="35"/>
      <c r="AA73" s="35"/>
    </row>
    <row r="74">
      <c r="A74" s="75"/>
      <c r="B74" s="97" t="s">
        <v>175</v>
      </c>
      <c r="C74" s="27"/>
      <c r="D74" s="78"/>
      <c r="E74" s="147">
        <v>6.0</v>
      </c>
      <c r="F74" s="144">
        <f t="array" ref="F74">ROUNDUP(IF(EQ(A74, ""),D74*INDEX(UncertaintyFactors!$C$2:$D$7, E74, 1), 0), 1)</f>
        <v>0</v>
      </c>
      <c r="G74" s="145">
        <f t="array" ref="G74">ROUNDUP(IF(EQ(A74, ""), D74*INDEX(UncertaintyFactors!$C$2:$D$7, E74, 2), 0), 1)</f>
        <v>0</v>
      </c>
      <c r="H74" s="18"/>
      <c r="I74" s="27"/>
      <c r="J74" s="35"/>
      <c r="K74" s="35"/>
      <c r="L74" s="35"/>
      <c r="M74" s="35"/>
      <c r="N74" s="35"/>
      <c r="O74" s="35"/>
      <c r="P74" s="35"/>
      <c r="Q74" s="35"/>
      <c r="R74" s="35"/>
      <c r="S74" s="35"/>
      <c r="T74" s="35"/>
      <c r="U74" s="35"/>
      <c r="V74" s="35"/>
      <c r="W74" s="35"/>
      <c r="X74" s="35"/>
      <c r="Y74" s="35"/>
      <c r="Z74" s="35"/>
      <c r="AA74" s="35"/>
    </row>
    <row r="75">
      <c r="A75" s="75"/>
      <c r="B75" s="97" t="s">
        <v>189</v>
      </c>
      <c r="C75" s="27"/>
      <c r="D75" s="26"/>
      <c r="E75" s="147">
        <v>6.0</v>
      </c>
      <c r="F75" s="144">
        <f t="array" ref="F75">ROUNDUP(IF(EQ(A75, ""),D75*INDEX(UncertaintyFactors!$C$2:$D$7, E75, 1), 0), 1)</f>
        <v>0</v>
      </c>
      <c r="G75" s="145">
        <f t="array" ref="G75">ROUNDUP(IF(EQ(A75, ""), D75*INDEX(UncertaintyFactors!$C$2:$D$7, E75, 2), 0), 1)</f>
        <v>0</v>
      </c>
      <c r="H75" s="18"/>
      <c r="I75" s="27"/>
      <c r="J75" s="35"/>
      <c r="K75" s="35"/>
      <c r="L75" s="35"/>
      <c r="M75" s="35"/>
      <c r="N75" s="35"/>
      <c r="O75" s="35"/>
      <c r="P75" s="35"/>
      <c r="Q75" s="35"/>
      <c r="R75" s="35"/>
      <c r="S75" s="35"/>
      <c r="T75" s="35"/>
      <c r="U75" s="35"/>
      <c r="V75" s="35"/>
      <c r="W75" s="35"/>
      <c r="X75" s="35"/>
      <c r="Y75" s="35"/>
      <c r="Z75" s="35"/>
      <c r="AA75" s="35"/>
    </row>
    <row r="76">
      <c r="A76" s="75"/>
      <c r="B76" s="97" t="s">
        <v>187</v>
      </c>
      <c r="C76" s="27"/>
      <c r="D76" s="26"/>
      <c r="E76" s="147">
        <v>6.0</v>
      </c>
      <c r="F76" s="144">
        <f t="array" ref="F76">ROUNDUP(IF(EQ(A76, ""),D76*INDEX(UncertaintyFactors!$C$2:$D$7, E76, 1), 0), 1)</f>
        <v>0</v>
      </c>
      <c r="G76" s="145">
        <f t="array" ref="G76">ROUNDUP(IF(EQ(A76, ""), D76*INDEX(UncertaintyFactors!$C$2:$D$7, E76, 2), 0), 1)</f>
        <v>0</v>
      </c>
      <c r="H76" s="18"/>
      <c r="I76" s="27"/>
      <c r="J76" s="35"/>
      <c r="K76" s="35"/>
      <c r="L76" s="35"/>
      <c r="M76" s="35"/>
      <c r="N76" s="35"/>
      <c r="O76" s="35"/>
      <c r="P76" s="35"/>
      <c r="Q76" s="35"/>
      <c r="R76" s="35"/>
      <c r="S76" s="35"/>
      <c r="T76" s="35"/>
      <c r="U76" s="35"/>
      <c r="V76" s="35"/>
      <c r="W76" s="35"/>
      <c r="X76" s="35"/>
      <c r="Y76" s="35"/>
      <c r="Z76" s="35"/>
      <c r="AA76" s="35"/>
    </row>
    <row r="77">
      <c r="A77" s="75"/>
      <c r="B77" s="101" t="s">
        <v>93</v>
      </c>
      <c r="C77" s="27"/>
      <c r="D77" s="26"/>
      <c r="E77" s="147">
        <v>6.0</v>
      </c>
      <c r="F77" s="144">
        <f t="array" ref="F77">ROUNDUP(IF(EQ(A77, ""),D77*INDEX(UncertaintyFactors!$C$2:$D$7, E77, 1), 0), 1)</f>
        <v>0</v>
      </c>
      <c r="G77" s="145">
        <f t="array" ref="G77">ROUNDUP(IF(EQ(A77, ""), D77*INDEX(UncertaintyFactors!$C$2:$D$7, E77, 2), 0), 1)</f>
        <v>0</v>
      </c>
      <c r="H77" s="18"/>
      <c r="I77" s="27"/>
      <c r="J77" s="35"/>
      <c r="K77" s="35"/>
      <c r="L77" s="35"/>
      <c r="M77" s="35"/>
      <c r="N77" s="35"/>
      <c r="O77" s="35"/>
      <c r="P77" s="35"/>
      <c r="Q77" s="35"/>
      <c r="R77" s="35"/>
      <c r="S77" s="35"/>
      <c r="T77" s="35"/>
      <c r="U77" s="35"/>
      <c r="V77" s="35"/>
      <c r="W77" s="35"/>
      <c r="X77" s="35"/>
      <c r="Y77" s="35"/>
      <c r="Z77" s="35"/>
      <c r="AA77" s="35"/>
    </row>
    <row r="78">
      <c r="A78" s="75"/>
      <c r="B78" s="101" t="s">
        <v>277</v>
      </c>
      <c r="C78" s="27"/>
      <c r="D78" s="26"/>
      <c r="E78" s="147">
        <v>6.0</v>
      </c>
      <c r="F78" s="144">
        <f t="array" ref="F78">ROUNDUP(IF(EQ(A78, ""),D78*INDEX(UncertaintyFactors!$C$2:$D$7, E78, 1), 0), 1)</f>
        <v>0</v>
      </c>
      <c r="G78" s="145">
        <f t="array" ref="G78">ROUNDUP(IF(EQ(A78, ""), D78*INDEX(UncertaintyFactors!$C$2:$D$7, E78, 2), 0), 1)</f>
        <v>0</v>
      </c>
      <c r="H78" s="18"/>
      <c r="I78" s="27"/>
      <c r="J78" s="35"/>
      <c r="K78" s="35"/>
      <c r="L78" s="35"/>
      <c r="M78" s="35"/>
      <c r="N78" s="35"/>
      <c r="O78" s="35"/>
      <c r="P78" s="35"/>
      <c r="Q78" s="35"/>
      <c r="R78" s="35"/>
      <c r="S78" s="35"/>
      <c r="T78" s="35"/>
      <c r="U78" s="35"/>
      <c r="V78" s="35"/>
      <c r="W78" s="35"/>
      <c r="X78" s="35"/>
      <c r="Y78" s="35"/>
      <c r="Z78" s="35"/>
      <c r="AA78" s="35"/>
    </row>
    <row r="79">
      <c r="A79" s="75"/>
      <c r="B79" s="101" t="s">
        <v>278</v>
      </c>
      <c r="C79" s="27"/>
      <c r="D79" s="26"/>
      <c r="E79" s="147">
        <v>6.0</v>
      </c>
      <c r="F79" s="144">
        <f t="array" ref="F79">ROUNDUP(IF(EQ(A79, ""),D79*INDEX(UncertaintyFactors!$C$2:$D$7, E79, 1), 0), 1)</f>
        <v>0</v>
      </c>
      <c r="G79" s="145">
        <f t="array" ref="G79">ROUNDUP(IF(EQ(A79, ""), D79*INDEX(UncertaintyFactors!$C$2:$D$7, E79, 2), 0), 1)</f>
        <v>0</v>
      </c>
      <c r="H79" s="179" t="s">
        <v>279</v>
      </c>
      <c r="I79" s="27"/>
      <c r="J79" s="35"/>
      <c r="K79" s="35"/>
      <c r="L79" s="35"/>
      <c r="M79" s="35"/>
      <c r="N79" s="35"/>
      <c r="O79" s="35"/>
      <c r="P79" s="35"/>
      <c r="Q79" s="35"/>
      <c r="R79" s="35"/>
      <c r="S79" s="35"/>
      <c r="T79" s="35"/>
      <c r="U79" s="35"/>
      <c r="V79" s="35"/>
      <c r="W79" s="35"/>
      <c r="X79" s="35"/>
      <c r="Y79" s="35"/>
      <c r="Z79" s="35"/>
      <c r="AA79" s="35"/>
    </row>
    <row r="80">
      <c r="A80" s="75"/>
      <c r="B80" s="211" t="s">
        <v>280</v>
      </c>
      <c r="C80" s="179" t="s">
        <v>281</v>
      </c>
      <c r="D80" s="212"/>
      <c r="E80" s="193">
        <v>5.0</v>
      </c>
      <c r="F80" s="159">
        <f t="array" ref="F80">ROUNDUP(IF(EQ(A80, ""),D80*INDEX(UncertaintyFactors!$C$2:$D$7, E80, 1), 0), 1)</f>
        <v>0</v>
      </c>
      <c r="G80" s="160">
        <f t="array" ref="G80">ROUNDUP(IF(EQ(A80, ""), D80*INDEX(UncertaintyFactors!$C$2:$D$7, E80, 2), 0), 1)</f>
        <v>0</v>
      </c>
      <c r="H80" s="213" t="s">
        <v>282</v>
      </c>
      <c r="I80" s="27"/>
      <c r="J80" s="35"/>
      <c r="K80" s="35"/>
      <c r="L80" s="35"/>
      <c r="M80" s="35"/>
      <c r="N80" s="35"/>
      <c r="O80" s="35"/>
      <c r="P80" s="35"/>
      <c r="Q80" s="35"/>
      <c r="R80" s="35"/>
      <c r="S80" s="35"/>
      <c r="T80" s="35"/>
      <c r="U80" s="35"/>
      <c r="V80" s="35"/>
      <c r="W80" s="35"/>
      <c r="X80" s="35"/>
      <c r="Y80" s="35"/>
      <c r="Z80" s="35"/>
      <c r="AA80" s="35"/>
    </row>
    <row r="81">
      <c r="A81" s="75"/>
      <c r="B81" s="214" t="s">
        <v>283</v>
      </c>
      <c r="C81" s="134"/>
      <c r="D81" s="212"/>
      <c r="E81" s="193">
        <v>6.0</v>
      </c>
      <c r="F81" s="159">
        <f t="array" ref="F81">ROUNDUP(IF(EQ(A81, ""),D81*INDEX(UncertaintyFactors!$C$2:$D$7, E81, 1), 0), 1)</f>
        <v>0</v>
      </c>
      <c r="G81" s="160">
        <f t="array" ref="G81">ROUNDUP(IF(EQ(A81, ""), D81*INDEX(UncertaintyFactors!$C$2:$D$7, E81, 2), 0), 1)</f>
        <v>0</v>
      </c>
      <c r="H81" s="213" t="s">
        <v>284</v>
      </c>
      <c r="I81" s="27"/>
      <c r="J81" s="35"/>
      <c r="K81" s="35"/>
      <c r="L81" s="35"/>
      <c r="M81" s="35"/>
      <c r="N81" s="35"/>
      <c r="O81" s="35"/>
      <c r="P81" s="35"/>
      <c r="Q81" s="35"/>
      <c r="R81" s="35"/>
      <c r="S81" s="35"/>
      <c r="T81" s="35"/>
      <c r="U81" s="35"/>
      <c r="V81" s="35"/>
      <c r="W81" s="35"/>
      <c r="X81" s="35"/>
      <c r="Y81" s="35"/>
      <c r="Z81" s="35"/>
      <c r="AA81" s="35"/>
    </row>
    <row r="82">
      <c r="A82" s="75"/>
      <c r="B82" s="214" t="s">
        <v>285</v>
      </c>
      <c r="C82" s="27"/>
      <c r="D82" s="26"/>
      <c r="E82" s="193">
        <v>6.0</v>
      </c>
      <c r="F82" s="159">
        <f t="array" ref="F82">ROUNDUP(IF(EQ(A82, ""),D82*INDEX(UncertaintyFactors!$C$2:$D$7, E82, 1), 0), 1)</f>
        <v>0</v>
      </c>
      <c r="G82" s="160">
        <f t="array" ref="G82">ROUNDUP(IF(EQ(A82, ""), D82*INDEX(UncertaintyFactors!$C$2:$D$7, E82, 2), 0), 1)</f>
        <v>0</v>
      </c>
      <c r="H82" s="18"/>
      <c r="I82" s="27"/>
      <c r="J82" s="35"/>
      <c r="K82" s="35"/>
      <c r="L82" s="35"/>
      <c r="M82" s="35"/>
      <c r="N82" s="35"/>
      <c r="O82" s="35"/>
      <c r="P82" s="35"/>
      <c r="Q82" s="35"/>
      <c r="R82" s="35"/>
      <c r="S82" s="35"/>
      <c r="T82" s="35"/>
      <c r="U82" s="35"/>
      <c r="V82" s="35"/>
      <c r="W82" s="35"/>
      <c r="X82" s="35"/>
      <c r="Y82" s="35"/>
      <c r="Z82" s="35"/>
      <c r="AA82" s="35"/>
    </row>
    <row r="83">
      <c r="A83" s="75"/>
      <c r="B83" s="97"/>
      <c r="C83" s="27"/>
      <c r="D83" s="26"/>
      <c r="E83" s="147">
        <v>6.0</v>
      </c>
      <c r="F83" s="144">
        <f t="array" ref="F83">ROUNDUP(IF(EQ(A83, ""),D83*INDEX(UncertaintyFactors!$C$2:$D$7, E83, 1), 0), 1)</f>
        <v>0</v>
      </c>
      <c r="G83" s="145">
        <f t="array" ref="G83">ROUNDUP(IF(EQ(A83, ""), D83*INDEX(UncertaintyFactors!$C$2:$D$7, E83, 2), 0), 1)</f>
        <v>0</v>
      </c>
      <c r="H83" s="18"/>
      <c r="I83" s="27"/>
      <c r="J83" s="35"/>
      <c r="K83" s="35"/>
      <c r="L83" s="35"/>
      <c r="M83" s="35"/>
      <c r="N83" s="35"/>
      <c r="O83" s="35"/>
      <c r="P83" s="35"/>
      <c r="Q83" s="35"/>
      <c r="R83" s="35"/>
      <c r="S83" s="35"/>
      <c r="T83" s="35"/>
      <c r="U83" s="35"/>
      <c r="V83" s="35"/>
      <c r="W83" s="35"/>
      <c r="X83" s="35"/>
      <c r="Y83" s="35"/>
      <c r="Z83" s="35"/>
      <c r="AA83" s="35"/>
    </row>
    <row r="84">
      <c r="A84" s="90"/>
      <c r="B84" s="90"/>
      <c r="C84" s="215"/>
      <c r="D84" s="93">
        <f>ROUNDUP(SUM(D8:D83),0)</f>
        <v>70</v>
      </c>
      <c r="E84" s="94">
        <f>AVERAGE(E8:E83)</f>
        <v>5.777777778</v>
      </c>
      <c r="F84" s="95">
        <f t="shared" ref="F84:G84" si="1">ROUNDUP(SUM(F8:F83),0)</f>
        <v>70</v>
      </c>
      <c r="G84" s="95">
        <f t="shared" si="1"/>
        <v>92</v>
      </c>
      <c r="H84" s="216"/>
      <c r="J84" s="35"/>
      <c r="K84" s="35"/>
      <c r="L84" s="35"/>
      <c r="M84" s="35"/>
      <c r="N84" s="35"/>
      <c r="O84" s="35"/>
      <c r="P84" s="35"/>
      <c r="Q84" s="35"/>
      <c r="R84" s="35"/>
      <c r="S84" s="35"/>
      <c r="T84" s="35"/>
      <c r="U84" s="35"/>
      <c r="V84" s="35"/>
      <c r="W84" s="35"/>
      <c r="X84" s="35"/>
      <c r="Y84" s="35"/>
      <c r="Z84" s="35"/>
      <c r="AA84" s="35"/>
    </row>
    <row r="85">
      <c r="A85" s="97"/>
      <c r="B85" s="97"/>
      <c r="C85" s="27"/>
      <c r="D85" s="98" t="s">
        <v>86</v>
      </c>
      <c r="F85" s="148">
        <f>ROUNDUP(AVERAGE(F84:G84),0)</f>
        <v>81</v>
      </c>
      <c r="H85" s="216"/>
      <c r="J85" s="35"/>
      <c r="K85" s="35"/>
      <c r="L85" s="35"/>
      <c r="M85" s="35"/>
      <c r="N85" s="35"/>
      <c r="O85" s="35"/>
      <c r="P85" s="35"/>
      <c r="Q85" s="35"/>
      <c r="R85" s="35"/>
      <c r="S85" s="35"/>
      <c r="T85" s="35"/>
      <c r="U85" s="35"/>
      <c r="V85" s="35"/>
      <c r="W85" s="35"/>
      <c r="X85" s="35"/>
      <c r="Y85" s="35"/>
      <c r="Z85" s="35"/>
      <c r="AA85" s="35"/>
    </row>
    <row r="86">
      <c r="A86" s="97"/>
      <c r="B86" s="97"/>
      <c r="C86" s="27"/>
      <c r="D86" s="26"/>
      <c r="E86" s="51"/>
      <c r="F86" s="51"/>
      <c r="G86" s="51"/>
      <c r="H86" s="18"/>
      <c r="I86" s="27"/>
      <c r="J86" s="35"/>
      <c r="K86" s="35"/>
      <c r="L86" s="35"/>
      <c r="M86" s="35"/>
      <c r="N86" s="35"/>
      <c r="O86" s="35"/>
      <c r="P86" s="35"/>
      <c r="Q86" s="35"/>
      <c r="R86" s="35"/>
      <c r="S86" s="35"/>
      <c r="T86" s="35"/>
      <c r="U86" s="35"/>
      <c r="V86" s="35"/>
      <c r="W86" s="35"/>
      <c r="X86" s="35"/>
      <c r="Y86" s="35"/>
      <c r="Z86" s="35"/>
      <c r="AA86" s="35"/>
    </row>
    <row r="87">
      <c r="A87" s="97"/>
      <c r="B87" s="97"/>
      <c r="C87" s="27"/>
      <c r="D87" s="26"/>
      <c r="E87" s="51"/>
      <c r="F87" s="51"/>
      <c r="G87" s="51"/>
      <c r="H87" s="18"/>
      <c r="I87" s="27"/>
      <c r="J87" s="35"/>
      <c r="K87" s="35"/>
      <c r="L87" s="35"/>
      <c r="M87" s="35"/>
      <c r="N87" s="35"/>
      <c r="O87" s="35"/>
      <c r="P87" s="35"/>
      <c r="Q87" s="35"/>
      <c r="R87" s="35"/>
      <c r="S87" s="35"/>
      <c r="T87" s="35"/>
      <c r="U87" s="35"/>
      <c r="V87" s="35"/>
      <c r="W87" s="35"/>
      <c r="X87" s="35"/>
      <c r="Y87" s="35"/>
      <c r="Z87" s="35"/>
      <c r="AA87" s="35"/>
    </row>
    <row r="88">
      <c r="A88" s="97"/>
      <c r="B88" s="97"/>
      <c r="C88" s="27"/>
      <c r="D88" s="26"/>
      <c r="E88" s="51"/>
      <c r="F88" s="51"/>
      <c r="G88" s="51"/>
      <c r="H88" s="18"/>
      <c r="I88" s="27"/>
      <c r="J88" s="35"/>
      <c r="K88" s="35"/>
      <c r="L88" s="35"/>
      <c r="M88" s="35"/>
      <c r="N88" s="35"/>
      <c r="O88" s="35"/>
      <c r="P88" s="35"/>
      <c r="Q88" s="35"/>
      <c r="R88" s="35"/>
      <c r="S88" s="35"/>
      <c r="T88" s="35"/>
      <c r="U88" s="35"/>
      <c r="V88" s="35"/>
      <c r="W88" s="35"/>
      <c r="X88" s="35"/>
      <c r="Y88" s="35"/>
      <c r="Z88" s="35"/>
      <c r="AA88" s="35"/>
    </row>
    <row r="89">
      <c r="A89" s="97"/>
      <c r="B89" s="97"/>
      <c r="C89" s="27"/>
      <c r="D89" s="26"/>
      <c r="E89" s="51"/>
      <c r="F89" s="51"/>
      <c r="G89" s="51"/>
      <c r="H89" s="18"/>
      <c r="I89" s="27"/>
      <c r="J89" s="35"/>
      <c r="K89" s="35"/>
      <c r="L89" s="35"/>
      <c r="M89" s="35"/>
      <c r="N89" s="35"/>
      <c r="O89" s="35"/>
      <c r="P89" s="35"/>
      <c r="Q89" s="35"/>
      <c r="R89" s="35"/>
      <c r="S89" s="35"/>
      <c r="T89" s="35"/>
      <c r="U89" s="35"/>
      <c r="V89" s="35"/>
      <c r="W89" s="35"/>
      <c r="X89" s="35"/>
      <c r="Y89" s="35"/>
      <c r="Z89" s="35"/>
      <c r="AA89" s="35"/>
    </row>
    <row r="90">
      <c r="A90" s="97"/>
      <c r="B90" s="97"/>
      <c r="C90" s="27"/>
      <c r="D90" s="26"/>
      <c r="E90" s="51"/>
      <c r="F90" s="51"/>
      <c r="G90" s="51"/>
      <c r="H90" s="18"/>
      <c r="I90" s="27"/>
      <c r="J90" s="35"/>
      <c r="K90" s="35"/>
      <c r="L90" s="35"/>
      <c r="M90" s="35"/>
      <c r="N90" s="35"/>
      <c r="O90" s="35"/>
      <c r="P90" s="35"/>
      <c r="Q90" s="35"/>
      <c r="R90" s="35"/>
      <c r="S90" s="35"/>
      <c r="T90" s="35"/>
      <c r="U90" s="35"/>
      <c r="V90" s="35"/>
      <c r="W90" s="35"/>
      <c r="X90" s="35"/>
      <c r="Y90" s="35"/>
      <c r="Z90" s="35"/>
      <c r="AA90" s="35"/>
    </row>
    <row r="91">
      <c r="A91" s="97"/>
      <c r="B91" s="97"/>
      <c r="C91" s="27"/>
      <c r="D91" s="26"/>
      <c r="E91" s="51"/>
      <c r="F91" s="51"/>
      <c r="G91" s="51"/>
      <c r="H91" s="18"/>
      <c r="I91" s="27"/>
      <c r="J91" s="35"/>
      <c r="K91" s="35"/>
      <c r="L91" s="35"/>
      <c r="M91" s="35"/>
      <c r="N91" s="35"/>
      <c r="O91" s="35"/>
      <c r="P91" s="35"/>
      <c r="Q91" s="35"/>
      <c r="R91" s="35"/>
      <c r="S91" s="35"/>
      <c r="T91" s="35"/>
      <c r="U91" s="35"/>
      <c r="V91" s="35"/>
      <c r="W91" s="35"/>
      <c r="X91" s="35"/>
      <c r="Y91" s="35"/>
      <c r="Z91" s="35"/>
      <c r="AA91" s="35"/>
    </row>
    <row r="92">
      <c r="A92" s="97"/>
      <c r="B92" s="97"/>
      <c r="C92" s="27"/>
      <c r="D92" s="26"/>
      <c r="E92" s="51"/>
      <c r="F92" s="51"/>
      <c r="G92" s="51"/>
      <c r="H92" s="18"/>
      <c r="I92" s="27"/>
      <c r="J92" s="35"/>
      <c r="K92" s="35"/>
      <c r="L92" s="35"/>
      <c r="M92" s="35"/>
      <c r="N92" s="35"/>
      <c r="O92" s="35"/>
      <c r="P92" s="35"/>
      <c r="Q92" s="35"/>
      <c r="R92" s="35"/>
      <c r="S92" s="35"/>
      <c r="T92" s="35"/>
      <c r="U92" s="35"/>
      <c r="V92" s="35"/>
      <c r="W92" s="35"/>
      <c r="X92" s="35"/>
      <c r="Y92" s="35"/>
      <c r="Z92" s="35"/>
      <c r="AA92" s="35"/>
    </row>
    <row r="93">
      <c r="A93" s="97"/>
      <c r="B93" s="97"/>
      <c r="C93" s="27"/>
      <c r="D93" s="26"/>
      <c r="E93" s="51"/>
      <c r="F93" s="51"/>
      <c r="G93" s="51"/>
      <c r="H93" s="18"/>
      <c r="I93" s="27"/>
      <c r="J93" s="35"/>
      <c r="K93" s="35"/>
      <c r="L93" s="35"/>
      <c r="M93" s="35"/>
      <c r="N93" s="35"/>
      <c r="O93" s="35"/>
      <c r="P93" s="35"/>
      <c r="Q93" s="35"/>
      <c r="R93" s="35"/>
      <c r="S93" s="35"/>
      <c r="T93" s="35"/>
      <c r="U93" s="35"/>
      <c r="V93" s="35"/>
      <c r="W93" s="35"/>
      <c r="X93" s="35"/>
      <c r="Y93" s="35"/>
      <c r="Z93" s="35"/>
      <c r="AA93" s="35"/>
    </row>
    <row r="94">
      <c r="A94" s="97"/>
      <c r="B94" s="97"/>
      <c r="C94" s="27"/>
      <c r="D94" s="26"/>
      <c r="E94" s="51"/>
      <c r="F94" s="51"/>
      <c r="G94" s="51"/>
      <c r="H94" s="18"/>
      <c r="I94" s="27"/>
      <c r="J94" s="35"/>
      <c r="K94" s="35"/>
      <c r="L94" s="35"/>
      <c r="M94" s="35"/>
      <c r="N94" s="35"/>
      <c r="O94" s="35"/>
      <c r="P94" s="35"/>
      <c r="Q94" s="35"/>
      <c r="R94" s="35"/>
      <c r="S94" s="35"/>
      <c r="T94" s="35"/>
      <c r="U94" s="35"/>
      <c r="V94" s="35"/>
      <c r="W94" s="35"/>
      <c r="X94" s="35"/>
      <c r="Y94" s="35"/>
      <c r="Z94" s="35"/>
      <c r="AA94" s="35"/>
    </row>
    <row r="95">
      <c r="A95" s="97"/>
      <c r="B95" s="97"/>
      <c r="C95" s="27"/>
      <c r="D95" s="26"/>
      <c r="E95" s="51"/>
      <c r="F95" s="51"/>
      <c r="G95" s="51"/>
      <c r="H95" s="18"/>
      <c r="I95" s="27"/>
      <c r="J95" s="35"/>
      <c r="K95" s="35"/>
      <c r="L95" s="35"/>
      <c r="M95" s="35"/>
      <c r="N95" s="35"/>
      <c r="O95" s="35"/>
      <c r="P95" s="35"/>
      <c r="Q95" s="35"/>
      <c r="R95" s="35"/>
      <c r="S95" s="35"/>
      <c r="T95" s="35"/>
      <c r="U95" s="35"/>
      <c r="V95" s="35"/>
      <c r="W95" s="35"/>
      <c r="X95" s="35"/>
      <c r="Y95" s="35"/>
      <c r="Z95" s="35"/>
      <c r="AA95" s="35"/>
    </row>
    <row r="96">
      <c r="A96" s="97"/>
      <c r="B96" s="97"/>
      <c r="C96" s="27"/>
      <c r="D96" s="26"/>
      <c r="E96" s="51"/>
      <c r="F96" s="51"/>
      <c r="G96" s="51"/>
      <c r="H96" s="18"/>
      <c r="I96" s="27"/>
      <c r="J96" s="35"/>
      <c r="K96" s="35"/>
      <c r="L96" s="35"/>
      <c r="M96" s="35"/>
      <c r="N96" s="35"/>
      <c r="O96" s="35"/>
      <c r="P96" s="35"/>
      <c r="Q96" s="35"/>
      <c r="R96" s="35"/>
      <c r="S96" s="35"/>
      <c r="T96" s="35"/>
      <c r="U96" s="35"/>
      <c r="V96" s="35"/>
      <c r="W96" s="35"/>
      <c r="X96" s="35"/>
      <c r="Y96" s="35"/>
      <c r="Z96" s="35"/>
      <c r="AA96" s="35"/>
    </row>
    <row r="97">
      <c r="A97" s="97"/>
      <c r="B97" s="97"/>
      <c r="C97" s="27"/>
      <c r="D97" s="26"/>
      <c r="E97" s="51"/>
      <c r="F97" s="51"/>
      <c r="G97" s="51"/>
      <c r="H97" s="18"/>
      <c r="I97" s="27"/>
      <c r="J97" s="35"/>
      <c r="K97" s="35"/>
      <c r="L97" s="35"/>
      <c r="M97" s="35"/>
      <c r="N97" s="35"/>
      <c r="O97" s="35"/>
      <c r="P97" s="35"/>
      <c r="Q97" s="35"/>
      <c r="R97" s="35"/>
      <c r="S97" s="35"/>
      <c r="T97" s="35"/>
      <c r="U97" s="35"/>
      <c r="V97" s="35"/>
      <c r="W97" s="35"/>
      <c r="X97" s="35"/>
      <c r="Y97" s="35"/>
      <c r="Z97" s="35"/>
      <c r="AA97" s="35"/>
    </row>
    <row r="98">
      <c r="A98" s="97"/>
      <c r="B98" s="97"/>
      <c r="C98" s="27"/>
      <c r="D98" s="26"/>
      <c r="E98" s="51"/>
      <c r="F98" s="51"/>
      <c r="G98" s="51"/>
      <c r="H98" s="18"/>
      <c r="I98" s="27"/>
      <c r="J98" s="35"/>
      <c r="K98" s="35"/>
      <c r="L98" s="35"/>
      <c r="M98" s="35"/>
      <c r="N98" s="35"/>
      <c r="O98" s="35"/>
      <c r="P98" s="35"/>
      <c r="Q98" s="35"/>
      <c r="R98" s="35"/>
      <c r="S98" s="35"/>
      <c r="T98" s="35"/>
      <c r="U98" s="35"/>
      <c r="V98" s="35"/>
      <c r="W98" s="35"/>
      <c r="X98" s="35"/>
      <c r="Y98" s="35"/>
      <c r="Z98" s="35"/>
      <c r="AA98" s="35"/>
    </row>
    <row r="99">
      <c r="A99" s="97"/>
      <c r="B99" s="97"/>
      <c r="C99" s="27"/>
      <c r="D99" s="26"/>
      <c r="E99" s="51"/>
      <c r="F99" s="51"/>
      <c r="G99" s="51"/>
      <c r="H99" s="18"/>
      <c r="I99" s="27"/>
      <c r="J99" s="35"/>
      <c r="K99" s="35"/>
      <c r="L99" s="35"/>
      <c r="M99" s="35"/>
      <c r="N99" s="35"/>
      <c r="O99" s="35"/>
      <c r="P99" s="35"/>
      <c r="Q99" s="35"/>
      <c r="R99" s="35"/>
      <c r="S99" s="35"/>
      <c r="T99" s="35"/>
      <c r="U99" s="35"/>
      <c r="V99" s="35"/>
      <c r="W99" s="35"/>
      <c r="X99" s="35"/>
      <c r="Y99" s="35"/>
      <c r="Z99" s="35"/>
      <c r="AA99" s="35"/>
    </row>
    <row r="100">
      <c r="A100" s="97"/>
      <c r="B100" s="97"/>
      <c r="C100" s="27"/>
      <c r="D100" s="26"/>
      <c r="E100" s="51"/>
      <c r="F100" s="51"/>
      <c r="G100" s="51"/>
      <c r="H100" s="18"/>
      <c r="I100" s="27"/>
      <c r="J100" s="35"/>
      <c r="K100" s="35"/>
      <c r="L100" s="35"/>
      <c r="M100" s="35"/>
      <c r="N100" s="35"/>
      <c r="O100" s="35"/>
      <c r="P100" s="35"/>
      <c r="Q100" s="35"/>
      <c r="R100" s="35"/>
      <c r="S100" s="35"/>
      <c r="T100" s="35"/>
      <c r="U100" s="35"/>
      <c r="V100" s="35"/>
      <c r="W100" s="35"/>
      <c r="X100" s="35"/>
      <c r="Y100" s="35"/>
      <c r="Z100" s="35"/>
      <c r="AA100" s="35"/>
    </row>
    <row r="101">
      <c r="A101" s="97"/>
      <c r="B101" s="97"/>
      <c r="C101" s="27"/>
      <c r="D101" s="26"/>
      <c r="E101" s="51"/>
      <c r="F101" s="51"/>
      <c r="G101" s="51"/>
      <c r="H101" s="18"/>
      <c r="I101" s="27"/>
      <c r="J101" s="35"/>
      <c r="K101" s="35"/>
      <c r="L101" s="35"/>
      <c r="M101" s="35"/>
      <c r="N101" s="35"/>
      <c r="O101" s="35"/>
      <c r="P101" s="35"/>
      <c r="Q101" s="35"/>
      <c r="R101" s="35"/>
      <c r="S101" s="35"/>
      <c r="T101" s="35"/>
      <c r="U101" s="35"/>
      <c r="V101" s="35"/>
      <c r="W101" s="35"/>
      <c r="X101" s="35"/>
      <c r="Y101" s="35"/>
      <c r="Z101" s="35"/>
      <c r="AA101" s="35"/>
    </row>
    <row r="102">
      <c r="A102" s="97"/>
      <c r="B102" s="97"/>
      <c r="C102" s="27"/>
      <c r="D102" s="26"/>
      <c r="E102" s="51"/>
      <c r="F102" s="51"/>
      <c r="G102" s="51"/>
      <c r="H102" s="18"/>
      <c r="I102" s="27"/>
      <c r="J102" s="35"/>
      <c r="K102" s="35"/>
      <c r="L102" s="35"/>
      <c r="M102" s="35"/>
      <c r="N102" s="35"/>
      <c r="O102" s="35"/>
      <c r="P102" s="35"/>
      <c r="Q102" s="35"/>
      <c r="R102" s="35"/>
      <c r="S102" s="35"/>
      <c r="T102" s="35"/>
      <c r="U102" s="35"/>
      <c r="V102" s="35"/>
      <c r="W102" s="35"/>
      <c r="X102" s="35"/>
      <c r="Y102" s="35"/>
      <c r="Z102" s="35"/>
      <c r="AA102" s="35"/>
    </row>
    <row r="103">
      <c r="A103" s="97"/>
      <c r="B103" s="97"/>
      <c r="C103" s="27"/>
      <c r="D103" s="26"/>
      <c r="E103" s="51"/>
      <c r="F103" s="51"/>
      <c r="G103" s="51"/>
      <c r="H103" s="18"/>
      <c r="I103" s="27"/>
      <c r="J103" s="35"/>
      <c r="K103" s="35"/>
      <c r="L103" s="35"/>
      <c r="M103" s="35"/>
      <c r="N103" s="35"/>
      <c r="O103" s="35"/>
      <c r="P103" s="35"/>
      <c r="Q103" s="35"/>
      <c r="R103" s="35"/>
      <c r="S103" s="35"/>
      <c r="T103" s="35"/>
      <c r="U103" s="35"/>
      <c r="V103" s="35"/>
      <c r="W103" s="35"/>
      <c r="X103" s="35"/>
      <c r="Y103" s="35"/>
      <c r="Z103" s="35"/>
      <c r="AA103" s="35"/>
    </row>
    <row r="104">
      <c r="A104" s="97"/>
      <c r="B104" s="97"/>
      <c r="C104" s="27"/>
      <c r="D104" s="26"/>
      <c r="E104" s="51"/>
      <c r="F104" s="51"/>
      <c r="G104" s="51"/>
      <c r="H104" s="18"/>
      <c r="I104" s="27"/>
      <c r="J104" s="35"/>
      <c r="K104" s="35"/>
      <c r="L104" s="35"/>
      <c r="M104" s="35"/>
      <c r="N104" s="35"/>
      <c r="O104" s="35"/>
      <c r="P104" s="35"/>
      <c r="Q104" s="35"/>
      <c r="R104" s="35"/>
      <c r="S104" s="35"/>
      <c r="T104" s="35"/>
      <c r="U104" s="35"/>
      <c r="V104" s="35"/>
      <c r="W104" s="35"/>
      <c r="X104" s="35"/>
      <c r="Y104" s="35"/>
      <c r="Z104" s="35"/>
      <c r="AA104" s="35"/>
    </row>
    <row r="105">
      <c r="A105" s="97"/>
      <c r="B105" s="97"/>
      <c r="C105" s="27"/>
      <c r="D105" s="26"/>
      <c r="E105" s="51"/>
      <c r="F105" s="51"/>
      <c r="G105" s="51"/>
      <c r="H105" s="18"/>
      <c r="I105" s="27"/>
      <c r="J105" s="35"/>
      <c r="K105" s="35"/>
      <c r="L105" s="35"/>
      <c r="M105" s="35"/>
      <c r="N105" s="35"/>
      <c r="O105" s="35"/>
      <c r="P105" s="35"/>
      <c r="Q105" s="35"/>
      <c r="R105" s="35"/>
      <c r="S105" s="35"/>
      <c r="T105" s="35"/>
      <c r="U105" s="35"/>
      <c r="V105" s="35"/>
      <c r="W105" s="35"/>
      <c r="X105" s="35"/>
      <c r="Y105" s="35"/>
      <c r="Z105" s="35"/>
      <c r="AA105" s="35"/>
    </row>
    <row r="106">
      <c r="A106" s="97"/>
      <c r="B106" s="97"/>
      <c r="C106" s="27"/>
      <c r="D106" s="26"/>
      <c r="E106" s="51"/>
      <c r="F106" s="51"/>
      <c r="G106" s="51"/>
      <c r="H106" s="18"/>
      <c r="I106" s="27"/>
      <c r="J106" s="35"/>
      <c r="K106" s="35"/>
      <c r="L106" s="35"/>
      <c r="M106" s="35"/>
      <c r="N106" s="35"/>
      <c r="O106" s="35"/>
      <c r="P106" s="35"/>
      <c r="Q106" s="35"/>
      <c r="R106" s="35"/>
      <c r="S106" s="35"/>
      <c r="T106" s="35"/>
      <c r="U106" s="35"/>
      <c r="V106" s="35"/>
      <c r="W106" s="35"/>
      <c r="X106" s="35"/>
      <c r="Y106" s="35"/>
      <c r="Z106" s="35"/>
      <c r="AA106" s="35"/>
    </row>
    <row r="107">
      <c r="A107" s="97"/>
      <c r="B107" s="97"/>
      <c r="C107" s="27"/>
      <c r="D107" s="26"/>
      <c r="E107" s="51"/>
      <c r="F107" s="51"/>
      <c r="G107" s="51"/>
      <c r="H107" s="18"/>
      <c r="I107" s="27"/>
      <c r="J107" s="35"/>
      <c r="K107" s="35"/>
      <c r="L107" s="35"/>
      <c r="M107" s="35"/>
      <c r="N107" s="35"/>
      <c r="O107" s="35"/>
      <c r="P107" s="35"/>
      <c r="Q107" s="35"/>
      <c r="R107" s="35"/>
      <c r="S107" s="35"/>
      <c r="T107" s="35"/>
      <c r="U107" s="35"/>
      <c r="V107" s="35"/>
      <c r="W107" s="35"/>
      <c r="X107" s="35"/>
      <c r="Y107" s="35"/>
      <c r="Z107" s="35"/>
      <c r="AA107" s="35"/>
    </row>
    <row r="108">
      <c r="A108" s="97"/>
      <c r="B108" s="97"/>
      <c r="C108" s="27"/>
      <c r="D108" s="26"/>
      <c r="E108" s="51"/>
      <c r="F108" s="51"/>
      <c r="G108" s="51"/>
      <c r="H108" s="18"/>
      <c r="I108" s="27"/>
      <c r="J108" s="35"/>
      <c r="K108" s="35"/>
      <c r="L108" s="35"/>
      <c r="M108" s="35"/>
      <c r="N108" s="35"/>
      <c r="O108" s="35"/>
      <c r="P108" s="35"/>
      <c r="Q108" s="35"/>
      <c r="R108" s="35"/>
      <c r="S108" s="35"/>
      <c r="T108" s="35"/>
      <c r="U108" s="35"/>
      <c r="V108" s="35"/>
      <c r="W108" s="35"/>
      <c r="X108" s="35"/>
      <c r="Y108" s="35"/>
      <c r="Z108" s="35"/>
      <c r="AA108" s="35"/>
    </row>
    <row r="109">
      <c r="A109" s="97"/>
      <c r="B109" s="97"/>
      <c r="C109" s="27"/>
      <c r="D109" s="26"/>
      <c r="E109" s="51"/>
      <c r="F109" s="51"/>
      <c r="G109" s="51"/>
      <c r="H109" s="18"/>
      <c r="I109" s="27"/>
      <c r="J109" s="35"/>
      <c r="K109" s="35"/>
      <c r="L109" s="35"/>
      <c r="M109" s="35"/>
      <c r="N109" s="35"/>
      <c r="O109" s="35"/>
      <c r="P109" s="35"/>
      <c r="Q109" s="35"/>
      <c r="R109" s="35"/>
      <c r="S109" s="35"/>
      <c r="T109" s="35"/>
      <c r="U109" s="35"/>
      <c r="V109" s="35"/>
      <c r="W109" s="35"/>
      <c r="X109" s="35"/>
      <c r="Y109" s="35"/>
      <c r="Z109" s="35"/>
      <c r="AA109" s="35"/>
    </row>
    <row r="110">
      <c r="A110" s="97"/>
      <c r="B110" s="97"/>
      <c r="C110" s="27"/>
      <c r="D110" s="26"/>
      <c r="E110" s="51"/>
      <c r="F110" s="51"/>
      <c r="G110" s="51"/>
      <c r="H110" s="18"/>
      <c r="I110" s="27"/>
      <c r="J110" s="35"/>
      <c r="K110" s="35"/>
      <c r="L110" s="35"/>
      <c r="M110" s="35"/>
      <c r="N110" s="35"/>
      <c r="O110" s="35"/>
      <c r="P110" s="35"/>
      <c r="Q110" s="35"/>
      <c r="R110" s="35"/>
      <c r="S110" s="35"/>
      <c r="T110" s="35"/>
      <c r="U110" s="35"/>
      <c r="V110" s="35"/>
      <c r="W110" s="35"/>
      <c r="X110" s="35"/>
      <c r="Y110" s="35"/>
      <c r="Z110" s="35"/>
      <c r="AA110" s="35"/>
    </row>
    <row r="111">
      <c r="A111" s="97"/>
      <c r="B111" s="97"/>
      <c r="C111" s="27"/>
      <c r="D111" s="26"/>
      <c r="E111" s="51"/>
      <c r="F111" s="51"/>
      <c r="G111" s="51"/>
      <c r="H111" s="18"/>
      <c r="I111" s="27"/>
      <c r="J111" s="35"/>
      <c r="K111" s="35"/>
      <c r="L111" s="35"/>
      <c r="M111" s="35"/>
      <c r="N111" s="35"/>
      <c r="O111" s="35"/>
      <c r="P111" s="35"/>
      <c r="Q111" s="35"/>
      <c r="R111" s="35"/>
      <c r="S111" s="35"/>
      <c r="T111" s="35"/>
      <c r="U111" s="35"/>
      <c r="V111" s="35"/>
      <c r="W111" s="35"/>
      <c r="X111" s="35"/>
      <c r="Y111" s="35"/>
      <c r="Z111" s="35"/>
      <c r="AA111" s="35"/>
    </row>
    <row r="112">
      <c r="A112" s="97"/>
      <c r="B112" s="97"/>
      <c r="C112" s="27"/>
      <c r="D112" s="26"/>
      <c r="E112" s="51"/>
      <c r="F112" s="51"/>
      <c r="G112" s="51"/>
      <c r="H112" s="18"/>
      <c r="I112" s="27"/>
      <c r="J112" s="35"/>
      <c r="K112" s="35"/>
      <c r="L112" s="35"/>
      <c r="M112" s="35"/>
      <c r="N112" s="35"/>
      <c r="O112" s="35"/>
      <c r="P112" s="35"/>
      <c r="Q112" s="35"/>
      <c r="R112" s="35"/>
      <c r="S112" s="35"/>
      <c r="T112" s="35"/>
      <c r="U112" s="35"/>
      <c r="V112" s="35"/>
      <c r="W112" s="35"/>
      <c r="X112" s="35"/>
      <c r="Y112" s="35"/>
      <c r="Z112" s="35"/>
      <c r="AA112" s="35"/>
    </row>
    <row r="113">
      <c r="A113" s="97"/>
      <c r="B113" s="97"/>
      <c r="C113" s="27"/>
      <c r="D113" s="26"/>
      <c r="E113" s="51"/>
      <c r="F113" s="51"/>
      <c r="G113" s="51"/>
      <c r="H113" s="18"/>
      <c r="I113" s="27"/>
      <c r="J113" s="35"/>
      <c r="K113" s="35"/>
      <c r="L113" s="35"/>
      <c r="M113" s="35"/>
      <c r="N113" s="35"/>
      <c r="O113" s="35"/>
      <c r="P113" s="35"/>
      <c r="Q113" s="35"/>
      <c r="R113" s="35"/>
      <c r="S113" s="35"/>
      <c r="T113" s="35"/>
      <c r="U113" s="35"/>
      <c r="V113" s="35"/>
      <c r="W113" s="35"/>
      <c r="X113" s="35"/>
      <c r="Y113" s="35"/>
      <c r="Z113" s="35"/>
      <c r="AA113" s="35"/>
    </row>
    <row r="114">
      <c r="A114" s="97"/>
      <c r="B114" s="97"/>
      <c r="C114" s="27"/>
      <c r="D114" s="26"/>
      <c r="E114" s="51"/>
      <c r="F114" s="51"/>
      <c r="G114" s="51"/>
      <c r="H114" s="18"/>
      <c r="I114" s="27"/>
      <c r="J114" s="35"/>
      <c r="K114" s="35"/>
      <c r="L114" s="35"/>
      <c r="M114" s="35"/>
      <c r="N114" s="35"/>
      <c r="O114" s="35"/>
      <c r="P114" s="35"/>
      <c r="Q114" s="35"/>
      <c r="R114" s="35"/>
      <c r="S114" s="35"/>
      <c r="T114" s="35"/>
      <c r="U114" s="35"/>
      <c r="V114" s="35"/>
      <c r="W114" s="35"/>
      <c r="X114" s="35"/>
      <c r="Y114" s="35"/>
      <c r="Z114" s="35"/>
      <c r="AA114" s="35"/>
    </row>
    <row r="115">
      <c r="A115" s="97"/>
      <c r="B115" s="97"/>
      <c r="C115" s="27"/>
      <c r="D115" s="26"/>
      <c r="E115" s="51"/>
      <c r="F115" s="51"/>
      <c r="G115" s="51"/>
      <c r="H115" s="18"/>
      <c r="I115" s="27"/>
      <c r="J115" s="35"/>
      <c r="K115" s="35"/>
      <c r="L115" s="35"/>
      <c r="M115" s="35"/>
      <c r="N115" s="35"/>
      <c r="O115" s="35"/>
      <c r="P115" s="35"/>
      <c r="Q115" s="35"/>
      <c r="R115" s="35"/>
      <c r="S115" s="35"/>
      <c r="T115" s="35"/>
      <c r="U115" s="35"/>
      <c r="V115" s="35"/>
      <c r="W115" s="35"/>
      <c r="X115" s="35"/>
      <c r="Y115" s="35"/>
      <c r="Z115" s="35"/>
      <c r="AA115" s="35"/>
    </row>
    <row r="116">
      <c r="A116" s="97"/>
      <c r="B116" s="97"/>
      <c r="C116" s="27"/>
      <c r="D116" s="26"/>
      <c r="E116" s="51"/>
      <c r="F116" s="51"/>
      <c r="G116" s="51"/>
      <c r="H116" s="18"/>
      <c r="I116" s="27"/>
      <c r="J116" s="35"/>
      <c r="K116" s="35"/>
      <c r="L116" s="35"/>
      <c r="M116" s="35"/>
      <c r="N116" s="35"/>
      <c r="O116" s="35"/>
      <c r="P116" s="35"/>
      <c r="Q116" s="35"/>
      <c r="R116" s="35"/>
      <c r="S116" s="35"/>
      <c r="T116" s="35"/>
      <c r="U116" s="35"/>
      <c r="V116" s="35"/>
      <c r="W116" s="35"/>
      <c r="X116" s="35"/>
      <c r="Y116" s="35"/>
      <c r="Z116" s="35"/>
      <c r="AA116" s="35"/>
    </row>
    <row r="117">
      <c r="A117" s="97"/>
      <c r="B117" s="97"/>
      <c r="C117" s="27"/>
      <c r="D117" s="26"/>
      <c r="E117" s="51"/>
      <c r="F117" s="51"/>
      <c r="G117" s="51"/>
      <c r="H117" s="18"/>
      <c r="I117" s="27"/>
      <c r="J117" s="35"/>
      <c r="K117" s="35"/>
      <c r="L117" s="35"/>
      <c r="M117" s="35"/>
      <c r="N117" s="35"/>
      <c r="O117" s="35"/>
      <c r="P117" s="35"/>
      <c r="Q117" s="35"/>
      <c r="R117" s="35"/>
      <c r="S117" s="35"/>
      <c r="T117" s="35"/>
      <c r="U117" s="35"/>
      <c r="V117" s="35"/>
      <c r="W117" s="35"/>
      <c r="X117" s="35"/>
      <c r="Y117" s="35"/>
      <c r="Z117" s="35"/>
      <c r="AA117" s="35"/>
    </row>
    <row r="118">
      <c r="A118" s="97"/>
      <c r="B118" s="97"/>
      <c r="C118" s="27"/>
      <c r="D118" s="26"/>
      <c r="E118" s="51"/>
      <c r="F118" s="51"/>
      <c r="G118" s="51"/>
      <c r="H118" s="18"/>
      <c r="I118" s="27"/>
      <c r="J118" s="35"/>
      <c r="K118" s="35"/>
      <c r="L118" s="35"/>
      <c r="M118" s="35"/>
      <c r="N118" s="35"/>
      <c r="O118" s="35"/>
      <c r="P118" s="35"/>
      <c r="Q118" s="35"/>
      <c r="R118" s="35"/>
      <c r="S118" s="35"/>
      <c r="T118" s="35"/>
      <c r="U118" s="35"/>
      <c r="V118" s="35"/>
      <c r="W118" s="35"/>
      <c r="X118" s="35"/>
      <c r="Y118" s="35"/>
      <c r="Z118" s="35"/>
      <c r="AA118" s="35"/>
    </row>
    <row r="119">
      <c r="A119" s="97"/>
      <c r="B119" s="97"/>
      <c r="C119" s="27"/>
      <c r="D119" s="26"/>
      <c r="E119" s="51"/>
      <c r="F119" s="51"/>
      <c r="G119" s="51"/>
      <c r="H119" s="18"/>
      <c r="I119" s="27"/>
      <c r="J119" s="35"/>
      <c r="K119" s="35"/>
      <c r="L119" s="35"/>
      <c r="M119" s="35"/>
      <c r="N119" s="35"/>
      <c r="O119" s="35"/>
      <c r="P119" s="35"/>
      <c r="Q119" s="35"/>
      <c r="R119" s="35"/>
      <c r="S119" s="35"/>
      <c r="T119" s="35"/>
      <c r="U119" s="35"/>
      <c r="V119" s="35"/>
      <c r="W119" s="35"/>
      <c r="X119" s="35"/>
      <c r="Y119" s="35"/>
      <c r="Z119" s="35"/>
      <c r="AA119" s="35"/>
    </row>
    <row r="120">
      <c r="A120" s="97"/>
      <c r="B120" s="97"/>
      <c r="C120" s="27"/>
      <c r="D120" s="26"/>
      <c r="E120" s="51"/>
      <c r="F120" s="51"/>
      <c r="G120" s="51"/>
      <c r="H120" s="18"/>
      <c r="I120" s="27"/>
      <c r="J120" s="35"/>
      <c r="K120" s="35"/>
      <c r="L120" s="35"/>
      <c r="M120" s="35"/>
      <c r="N120" s="35"/>
      <c r="O120" s="35"/>
      <c r="P120" s="35"/>
      <c r="Q120" s="35"/>
      <c r="R120" s="35"/>
      <c r="S120" s="35"/>
      <c r="T120" s="35"/>
      <c r="U120" s="35"/>
      <c r="V120" s="35"/>
      <c r="W120" s="35"/>
      <c r="X120" s="35"/>
      <c r="Y120" s="35"/>
      <c r="Z120" s="35"/>
      <c r="AA120" s="35"/>
    </row>
    <row r="121">
      <c r="A121" s="97"/>
      <c r="B121" s="97"/>
      <c r="C121" s="27"/>
      <c r="D121" s="26"/>
      <c r="E121" s="51"/>
      <c r="F121" s="51"/>
      <c r="G121" s="51"/>
      <c r="H121" s="18"/>
      <c r="I121" s="27"/>
      <c r="J121" s="35"/>
      <c r="K121" s="35"/>
      <c r="L121" s="35"/>
      <c r="M121" s="35"/>
      <c r="N121" s="35"/>
      <c r="O121" s="35"/>
      <c r="P121" s="35"/>
      <c r="Q121" s="35"/>
      <c r="R121" s="35"/>
      <c r="S121" s="35"/>
      <c r="T121" s="35"/>
      <c r="U121" s="35"/>
      <c r="V121" s="35"/>
      <c r="W121" s="35"/>
      <c r="X121" s="35"/>
      <c r="Y121" s="35"/>
      <c r="Z121" s="35"/>
      <c r="AA121" s="35"/>
    </row>
    <row r="122">
      <c r="A122" s="97"/>
      <c r="B122" s="97"/>
      <c r="C122" s="27"/>
      <c r="D122" s="26"/>
      <c r="E122" s="51"/>
      <c r="F122" s="51"/>
      <c r="G122" s="51"/>
      <c r="H122" s="18"/>
      <c r="I122" s="27"/>
      <c r="J122" s="35"/>
      <c r="K122" s="35"/>
      <c r="L122" s="35"/>
      <c r="M122" s="35"/>
      <c r="N122" s="35"/>
      <c r="O122" s="35"/>
      <c r="P122" s="35"/>
      <c r="Q122" s="35"/>
      <c r="R122" s="35"/>
      <c r="S122" s="35"/>
      <c r="T122" s="35"/>
      <c r="U122" s="35"/>
      <c r="V122" s="35"/>
      <c r="W122" s="35"/>
      <c r="X122" s="35"/>
      <c r="Y122" s="35"/>
      <c r="Z122" s="35"/>
      <c r="AA122" s="35"/>
    </row>
    <row r="123">
      <c r="A123" s="97"/>
      <c r="B123" s="97"/>
      <c r="C123" s="27"/>
      <c r="D123" s="26"/>
      <c r="E123" s="51"/>
      <c r="F123" s="51"/>
      <c r="G123" s="51"/>
      <c r="H123" s="18"/>
      <c r="I123" s="27"/>
      <c r="J123" s="35"/>
      <c r="K123" s="35"/>
      <c r="L123" s="35"/>
      <c r="M123" s="35"/>
      <c r="N123" s="35"/>
      <c r="O123" s="35"/>
      <c r="P123" s="35"/>
      <c r="Q123" s="35"/>
      <c r="R123" s="35"/>
      <c r="S123" s="35"/>
      <c r="T123" s="35"/>
      <c r="U123" s="35"/>
      <c r="V123" s="35"/>
      <c r="W123" s="35"/>
      <c r="X123" s="35"/>
      <c r="Y123" s="35"/>
      <c r="Z123" s="35"/>
      <c r="AA123" s="35"/>
    </row>
    <row r="124">
      <c r="A124" s="97"/>
      <c r="B124" s="97"/>
      <c r="C124" s="27"/>
      <c r="D124" s="26"/>
      <c r="E124" s="51"/>
      <c r="F124" s="51"/>
      <c r="G124" s="51"/>
      <c r="H124" s="18"/>
      <c r="I124" s="27"/>
      <c r="J124" s="35"/>
      <c r="K124" s="35"/>
      <c r="L124" s="35"/>
      <c r="M124" s="35"/>
      <c r="N124" s="35"/>
      <c r="O124" s="35"/>
      <c r="P124" s="35"/>
      <c r="Q124" s="35"/>
      <c r="R124" s="35"/>
      <c r="S124" s="35"/>
      <c r="T124" s="35"/>
      <c r="U124" s="35"/>
      <c r="V124" s="35"/>
      <c r="W124" s="35"/>
      <c r="X124" s="35"/>
      <c r="Y124" s="35"/>
      <c r="Z124" s="35"/>
      <c r="AA124" s="35"/>
    </row>
    <row r="125">
      <c r="A125" s="97"/>
      <c r="B125" s="97"/>
      <c r="C125" s="27"/>
      <c r="D125" s="26"/>
      <c r="E125" s="51"/>
      <c r="F125" s="51"/>
      <c r="G125" s="51"/>
      <c r="H125" s="18"/>
      <c r="I125" s="27"/>
      <c r="J125" s="35"/>
      <c r="K125" s="35"/>
      <c r="L125" s="35"/>
      <c r="M125" s="35"/>
      <c r="N125" s="35"/>
      <c r="O125" s="35"/>
      <c r="P125" s="35"/>
      <c r="Q125" s="35"/>
      <c r="R125" s="35"/>
      <c r="S125" s="35"/>
      <c r="T125" s="35"/>
      <c r="U125" s="35"/>
      <c r="V125" s="35"/>
      <c r="W125" s="35"/>
      <c r="X125" s="35"/>
      <c r="Y125" s="35"/>
      <c r="Z125" s="35"/>
      <c r="AA125" s="35"/>
    </row>
    <row r="126">
      <c r="A126" s="97"/>
      <c r="B126" s="97"/>
      <c r="C126" s="27"/>
      <c r="D126" s="26"/>
      <c r="E126" s="51"/>
      <c r="F126" s="51"/>
      <c r="G126" s="51"/>
      <c r="H126" s="18"/>
      <c r="I126" s="27"/>
      <c r="J126" s="35"/>
      <c r="K126" s="35"/>
      <c r="L126" s="35"/>
      <c r="M126" s="35"/>
      <c r="N126" s="35"/>
      <c r="O126" s="35"/>
      <c r="P126" s="35"/>
      <c r="Q126" s="35"/>
      <c r="R126" s="35"/>
      <c r="S126" s="35"/>
      <c r="T126" s="35"/>
      <c r="U126" s="35"/>
      <c r="V126" s="35"/>
      <c r="W126" s="35"/>
      <c r="X126" s="35"/>
      <c r="Y126" s="35"/>
      <c r="Z126" s="35"/>
      <c r="AA126" s="35"/>
    </row>
    <row r="127">
      <c r="A127" s="97"/>
      <c r="B127" s="97"/>
      <c r="C127" s="27"/>
      <c r="D127" s="26"/>
      <c r="E127" s="51"/>
      <c r="F127" s="51"/>
      <c r="G127" s="51"/>
      <c r="H127" s="18"/>
      <c r="I127" s="27"/>
      <c r="J127" s="35"/>
      <c r="K127" s="35"/>
      <c r="L127" s="35"/>
      <c r="M127" s="35"/>
      <c r="N127" s="35"/>
      <c r="O127" s="35"/>
      <c r="P127" s="35"/>
      <c r="Q127" s="35"/>
      <c r="R127" s="35"/>
      <c r="S127" s="35"/>
      <c r="T127" s="35"/>
      <c r="U127" s="35"/>
      <c r="V127" s="35"/>
      <c r="W127" s="35"/>
      <c r="X127" s="35"/>
      <c r="Y127" s="35"/>
      <c r="Z127" s="35"/>
      <c r="AA127" s="35"/>
    </row>
    <row r="128">
      <c r="A128" s="97"/>
      <c r="B128" s="97"/>
      <c r="C128" s="27"/>
      <c r="D128" s="26"/>
      <c r="E128" s="51"/>
      <c r="F128" s="51"/>
      <c r="G128" s="51"/>
      <c r="H128" s="18"/>
      <c r="I128" s="27"/>
      <c r="J128" s="35"/>
      <c r="K128" s="35"/>
      <c r="L128" s="35"/>
      <c r="M128" s="35"/>
      <c r="N128" s="35"/>
      <c r="O128" s="35"/>
      <c r="P128" s="35"/>
      <c r="Q128" s="35"/>
      <c r="R128" s="35"/>
      <c r="S128" s="35"/>
      <c r="T128" s="35"/>
      <c r="U128" s="35"/>
      <c r="V128" s="35"/>
      <c r="W128" s="35"/>
      <c r="X128" s="35"/>
      <c r="Y128" s="35"/>
      <c r="Z128" s="35"/>
      <c r="AA128" s="35"/>
    </row>
    <row r="129">
      <c r="A129" s="97"/>
      <c r="B129" s="97"/>
      <c r="C129" s="27"/>
      <c r="D129" s="26"/>
      <c r="E129" s="51"/>
      <c r="F129" s="51"/>
      <c r="G129" s="51"/>
      <c r="H129" s="18"/>
      <c r="I129" s="27"/>
      <c r="J129" s="35"/>
      <c r="K129" s="35"/>
      <c r="L129" s="35"/>
      <c r="M129" s="35"/>
      <c r="N129" s="35"/>
      <c r="O129" s="35"/>
      <c r="P129" s="35"/>
      <c r="Q129" s="35"/>
      <c r="R129" s="35"/>
      <c r="S129" s="35"/>
      <c r="T129" s="35"/>
      <c r="U129" s="35"/>
      <c r="V129" s="35"/>
      <c r="W129" s="35"/>
      <c r="X129" s="35"/>
      <c r="Y129" s="35"/>
      <c r="Z129" s="35"/>
      <c r="AA129" s="35"/>
    </row>
    <row r="130">
      <c r="A130" s="97"/>
      <c r="B130" s="97"/>
      <c r="C130" s="27"/>
      <c r="D130" s="26"/>
      <c r="E130" s="51"/>
      <c r="F130" s="51"/>
      <c r="G130" s="51"/>
      <c r="H130" s="18"/>
      <c r="I130" s="27"/>
      <c r="J130" s="35"/>
      <c r="K130" s="35"/>
      <c r="L130" s="35"/>
      <c r="M130" s="35"/>
      <c r="N130" s="35"/>
      <c r="O130" s="35"/>
      <c r="P130" s="35"/>
      <c r="Q130" s="35"/>
      <c r="R130" s="35"/>
      <c r="S130" s="35"/>
      <c r="T130" s="35"/>
      <c r="U130" s="35"/>
      <c r="V130" s="35"/>
      <c r="W130" s="35"/>
      <c r="X130" s="35"/>
      <c r="Y130" s="35"/>
      <c r="Z130" s="35"/>
      <c r="AA130" s="35"/>
    </row>
    <row r="131">
      <c r="A131" s="97"/>
      <c r="B131" s="97"/>
      <c r="C131" s="27"/>
      <c r="D131" s="26"/>
      <c r="E131" s="51"/>
      <c r="F131" s="51"/>
      <c r="G131" s="51"/>
      <c r="H131" s="18"/>
      <c r="I131" s="27"/>
      <c r="J131" s="35"/>
      <c r="K131" s="35"/>
      <c r="L131" s="35"/>
      <c r="M131" s="35"/>
      <c r="N131" s="35"/>
      <c r="O131" s="35"/>
      <c r="P131" s="35"/>
      <c r="Q131" s="35"/>
      <c r="R131" s="35"/>
      <c r="S131" s="35"/>
      <c r="T131" s="35"/>
      <c r="U131" s="35"/>
      <c r="V131" s="35"/>
      <c r="W131" s="35"/>
      <c r="X131" s="35"/>
      <c r="Y131" s="35"/>
      <c r="Z131" s="35"/>
      <c r="AA131" s="35"/>
    </row>
    <row r="132">
      <c r="A132" s="97"/>
      <c r="B132" s="97"/>
      <c r="C132" s="27"/>
      <c r="D132" s="26"/>
      <c r="E132" s="51"/>
      <c r="F132" s="51"/>
      <c r="G132" s="51"/>
      <c r="H132" s="18"/>
      <c r="I132" s="27"/>
      <c r="J132" s="35"/>
      <c r="K132" s="35"/>
      <c r="L132" s="35"/>
      <c r="M132" s="35"/>
      <c r="N132" s="35"/>
      <c r="O132" s="35"/>
      <c r="P132" s="35"/>
      <c r="Q132" s="35"/>
      <c r="R132" s="35"/>
      <c r="S132" s="35"/>
      <c r="T132" s="35"/>
      <c r="U132" s="35"/>
      <c r="V132" s="35"/>
      <c r="W132" s="35"/>
      <c r="X132" s="35"/>
      <c r="Y132" s="35"/>
      <c r="Z132" s="35"/>
      <c r="AA132" s="35"/>
    </row>
    <row r="133">
      <c r="A133" s="97"/>
      <c r="B133" s="97"/>
      <c r="C133" s="27"/>
      <c r="D133" s="26"/>
      <c r="E133" s="51"/>
      <c r="F133" s="51"/>
      <c r="G133" s="51"/>
      <c r="H133" s="18"/>
      <c r="I133" s="27"/>
      <c r="J133" s="35"/>
      <c r="K133" s="35"/>
      <c r="L133" s="35"/>
      <c r="M133" s="35"/>
      <c r="N133" s="35"/>
      <c r="O133" s="35"/>
      <c r="P133" s="35"/>
      <c r="Q133" s="35"/>
      <c r="R133" s="35"/>
      <c r="S133" s="35"/>
      <c r="T133" s="35"/>
      <c r="U133" s="35"/>
      <c r="V133" s="35"/>
      <c r="W133" s="35"/>
      <c r="X133" s="35"/>
      <c r="Y133" s="35"/>
      <c r="Z133" s="35"/>
      <c r="AA133" s="35"/>
    </row>
    <row r="134">
      <c r="A134" s="97"/>
      <c r="B134" s="97"/>
      <c r="C134" s="27"/>
      <c r="D134" s="26"/>
      <c r="E134" s="51"/>
      <c r="F134" s="51"/>
      <c r="G134" s="51"/>
      <c r="H134" s="18"/>
      <c r="I134" s="27"/>
      <c r="J134" s="35"/>
      <c r="K134" s="35"/>
      <c r="L134" s="35"/>
      <c r="M134" s="35"/>
      <c r="N134" s="35"/>
      <c r="O134" s="35"/>
      <c r="P134" s="35"/>
      <c r="Q134" s="35"/>
      <c r="R134" s="35"/>
      <c r="S134" s="35"/>
      <c r="T134" s="35"/>
      <c r="U134" s="35"/>
      <c r="V134" s="35"/>
      <c r="W134" s="35"/>
      <c r="X134" s="35"/>
      <c r="Y134" s="35"/>
      <c r="Z134" s="35"/>
      <c r="AA134" s="35"/>
    </row>
    <row r="135">
      <c r="A135" s="97"/>
      <c r="B135" s="97"/>
      <c r="C135" s="27"/>
      <c r="D135" s="26"/>
      <c r="E135" s="51"/>
      <c r="F135" s="51"/>
      <c r="G135" s="51"/>
      <c r="H135" s="18"/>
      <c r="I135" s="27"/>
      <c r="J135" s="35"/>
      <c r="K135" s="35"/>
      <c r="L135" s="35"/>
      <c r="M135" s="35"/>
      <c r="N135" s="35"/>
      <c r="O135" s="35"/>
      <c r="P135" s="35"/>
      <c r="Q135" s="35"/>
      <c r="R135" s="35"/>
      <c r="S135" s="35"/>
      <c r="T135" s="35"/>
      <c r="U135" s="35"/>
      <c r="V135" s="35"/>
      <c r="W135" s="35"/>
      <c r="X135" s="35"/>
      <c r="Y135" s="35"/>
      <c r="Z135" s="35"/>
      <c r="AA135" s="35"/>
    </row>
    <row r="136">
      <c r="A136" s="97"/>
      <c r="B136" s="97"/>
      <c r="C136" s="27"/>
      <c r="D136" s="26"/>
      <c r="E136" s="51"/>
      <c r="F136" s="51"/>
      <c r="G136" s="51"/>
      <c r="H136" s="18"/>
      <c r="I136" s="27"/>
      <c r="J136" s="35"/>
      <c r="K136" s="35"/>
      <c r="L136" s="35"/>
      <c r="M136" s="35"/>
      <c r="N136" s="35"/>
      <c r="O136" s="35"/>
      <c r="P136" s="35"/>
      <c r="Q136" s="35"/>
      <c r="R136" s="35"/>
      <c r="S136" s="35"/>
      <c r="T136" s="35"/>
      <c r="U136" s="35"/>
      <c r="V136" s="35"/>
      <c r="W136" s="35"/>
      <c r="X136" s="35"/>
      <c r="Y136" s="35"/>
      <c r="Z136" s="35"/>
      <c r="AA136" s="35"/>
    </row>
    <row r="137">
      <c r="A137" s="97"/>
      <c r="B137" s="97"/>
      <c r="C137" s="27"/>
      <c r="D137" s="26"/>
      <c r="E137" s="51"/>
      <c r="F137" s="51"/>
      <c r="G137" s="51"/>
      <c r="H137" s="18"/>
      <c r="I137" s="27"/>
      <c r="J137" s="35"/>
      <c r="K137" s="35"/>
      <c r="L137" s="35"/>
      <c r="M137" s="35"/>
      <c r="N137" s="35"/>
      <c r="O137" s="35"/>
      <c r="P137" s="35"/>
      <c r="Q137" s="35"/>
      <c r="R137" s="35"/>
      <c r="S137" s="35"/>
      <c r="T137" s="35"/>
      <c r="U137" s="35"/>
      <c r="V137" s="35"/>
      <c r="W137" s="35"/>
      <c r="X137" s="35"/>
      <c r="Y137" s="35"/>
      <c r="Z137" s="35"/>
      <c r="AA137" s="35"/>
    </row>
    <row r="138">
      <c r="A138" s="97"/>
      <c r="B138" s="97"/>
      <c r="C138" s="27"/>
      <c r="D138" s="26"/>
      <c r="E138" s="51"/>
      <c r="F138" s="51"/>
      <c r="G138" s="51"/>
      <c r="H138" s="18"/>
      <c r="I138" s="27"/>
      <c r="J138" s="35"/>
      <c r="K138" s="35"/>
      <c r="L138" s="35"/>
      <c r="M138" s="35"/>
      <c r="N138" s="35"/>
      <c r="O138" s="35"/>
      <c r="P138" s="35"/>
      <c r="Q138" s="35"/>
      <c r="R138" s="35"/>
      <c r="S138" s="35"/>
      <c r="T138" s="35"/>
      <c r="U138" s="35"/>
      <c r="V138" s="35"/>
      <c r="W138" s="35"/>
      <c r="X138" s="35"/>
      <c r="Y138" s="35"/>
      <c r="Z138" s="35"/>
      <c r="AA138" s="35"/>
    </row>
    <row r="139">
      <c r="A139" s="97"/>
      <c r="B139" s="97"/>
      <c r="C139" s="27"/>
      <c r="D139" s="26"/>
      <c r="E139" s="51"/>
      <c r="F139" s="51"/>
      <c r="G139" s="51"/>
      <c r="H139" s="18"/>
      <c r="I139" s="27"/>
      <c r="J139" s="35"/>
      <c r="K139" s="35"/>
      <c r="L139" s="35"/>
      <c r="M139" s="35"/>
      <c r="N139" s="35"/>
      <c r="O139" s="35"/>
      <c r="P139" s="35"/>
      <c r="Q139" s="35"/>
      <c r="R139" s="35"/>
      <c r="S139" s="35"/>
      <c r="T139" s="35"/>
      <c r="U139" s="35"/>
      <c r="V139" s="35"/>
      <c r="W139" s="35"/>
      <c r="X139" s="35"/>
      <c r="Y139" s="35"/>
      <c r="Z139" s="35"/>
      <c r="AA139" s="35"/>
    </row>
    <row r="140">
      <c r="A140" s="97"/>
      <c r="B140" s="97"/>
      <c r="C140" s="27"/>
      <c r="D140" s="26"/>
      <c r="E140" s="51"/>
      <c r="F140" s="51"/>
      <c r="G140" s="51"/>
      <c r="H140" s="18"/>
      <c r="I140" s="27"/>
      <c r="J140" s="35"/>
      <c r="K140" s="35"/>
      <c r="L140" s="35"/>
      <c r="M140" s="35"/>
      <c r="N140" s="35"/>
      <c r="O140" s="35"/>
      <c r="P140" s="35"/>
      <c r="Q140" s="35"/>
      <c r="R140" s="35"/>
      <c r="S140" s="35"/>
      <c r="T140" s="35"/>
      <c r="U140" s="35"/>
      <c r="V140" s="35"/>
      <c r="W140" s="35"/>
      <c r="X140" s="35"/>
      <c r="Y140" s="35"/>
      <c r="Z140" s="35"/>
      <c r="AA140" s="35"/>
    </row>
    <row r="141">
      <c r="A141" s="97"/>
      <c r="B141" s="97"/>
      <c r="C141" s="27"/>
      <c r="D141" s="26"/>
      <c r="E141" s="51"/>
      <c r="F141" s="51"/>
      <c r="G141" s="51"/>
      <c r="H141" s="18"/>
      <c r="I141" s="27"/>
      <c r="J141" s="35"/>
      <c r="K141" s="35"/>
      <c r="L141" s="35"/>
      <c r="M141" s="35"/>
      <c r="N141" s="35"/>
      <c r="O141" s="35"/>
      <c r="P141" s="35"/>
      <c r="Q141" s="35"/>
      <c r="R141" s="35"/>
      <c r="S141" s="35"/>
      <c r="T141" s="35"/>
      <c r="U141" s="35"/>
      <c r="V141" s="35"/>
      <c r="W141" s="35"/>
      <c r="X141" s="35"/>
      <c r="Y141" s="35"/>
      <c r="Z141" s="35"/>
      <c r="AA141" s="35"/>
    </row>
    <row r="142">
      <c r="A142" s="97"/>
      <c r="B142" s="97"/>
      <c r="C142" s="27"/>
      <c r="D142" s="26"/>
      <c r="E142" s="51"/>
      <c r="F142" s="51"/>
      <c r="G142" s="51"/>
      <c r="H142" s="18"/>
      <c r="I142" s="27"/>
      <c r="J142" s="35"/>
      <c r="K142" s="35"/>
      <c r="L142" s="35"/>
      <c r="M142" s="35"/>
      <c r="N142" s="35"/>
      <c r="O142" s="35"/>
      <c r="P142" s="35"/>
      <c r="Q142" s="35"/>
      <c r="R142" s="35"/>
      <c r="S142" s="35"/>
      <c r="T142" s="35"/>
      <c r="U142" s="35"/>
      <c r="V142" s="35"/>
      <c r="W142" s="35"/>
      <c r="X142" s="35"/>
      <c r="Y142" s="35"/>
      <c r="Z142" s="35"/>
      <c r="AA142" s="35"/>
    </row>
    <row r="143">
      <c r="A143" s="97"/>
      <c r="B143" s="97"/>
      <c r="C143" s="27"/>
      <c r="D143" s="26"/>
      <c r="E143" s="51"/>
      <c r="F143" s="51"/>
      <c r="G143" s="51"/>
      <c r="H143" s="18"/>
      <c r="I143" s="27"/>
      <c r="J143" s="35"/>
      <c r="K143" s="35"/>
      <c r="L143" s="35"/>
      <c r="M143" s="35"/>
      <c r="N143" s="35"/>
      <c r="O143" s="35"/>
      <c r="P143" s="35"/>
      <c r="Q143" s="35"/>
      <c r="R143" s="35"/>
      <c r="S143" s="35"/>
      <c r="T143" s="35"/>
      <c r="U143" s="35"/>
      <c r="V143" s="35"/>
      <c r="W143" s="35"/>
      <c r="X143" s="35"/>
      <c r="Y143" s="35"/>
      <c r="Z143" s="35"/>
      <c r="AA143" s="35"/>
    </row>
    <row r="144">
      <c r="A144" s="97"/>
      <c r="B144" s="97"/>
      <c r="C144" s="27"/>
      <c r="D144" s="26"/>
      <c r="E144" s="51"/>
      <c r="F144" s="51"/>
      <c r="G144" s="51"/>
      <c r="H144" s="18"/>
      <c r="I144" s="27"/>
      <c r="J144" s="35"/>
      <c r="K144" s="35"/>
      <c r="L144" s="35"/>
      <c r="M144" s="35"/>
      <c r="N144" s="35"/>
      <c r="O144" s="35"/>
      <c r="P144" s="35"/>
      <c r="Q144" s="35"/>
      <c r="R144" s="35"/>
      <c r="S144" s="35"/>
      <c r="T144" s="35"/>
      <c r="U144" s="35"/>
      <c r="V144" s="35"/>
      <c r="W144" s="35"/>
      <c r="X144" s="35"/>
      <c r="Y144" s="35"/>
      <c r="Z144" s="35"/>
      <c r="AA144" s="35"/>
    </row>
    <row r="145">
      <c r="A145" s="97"/>
      <c r="B145" s="97"/>
      <c r="C145" s="27"/>
      <c r="D145" s="26"/>
      <c r="E145" s="51"/>
      <c r="F145" s="51"/>
      <c r="G145" s="51"/>
      <c r="H145" s="18"/>
      <c r="I145" s="27"/>
      <c r="J145" s="35"/>
      <c r="K145" s="35"/>
      <c r="L145" s="35"/>
      <c r="M145" s="35"/>
      <c r="N145" s="35"/>
      <c r="O145" s="35"/>
      <c r="P145" s="35"/>
      <c r="Q145" s="35"/>
      <c r="R145" s="35"/>
      <c r="S145" s="35"/>
      <c r="T145" s="35"/>
      <c r="U145" s="35"/>
      <c r="V145" s="35"/>
      <c r="W145" s="35"/>
      <c r="X145" s="35"/>
      <c r="Y145" s="35"/>
      <c r="Z145" s="35"/>
      <c r="AA145" s="35"/>
    </row>
    <row r="146">
      <c r="A146" s="97"/>
      <c r="B146" s="97"/>
      <c r="C146" s="27"/>
      <c r="D146" s="26"/>
      <c r="E146" s="51"/>
      <c r="F146" s="51"/>
      <c r="G146" s="51"/>
      <c r="H146" s="18"/>
      <c r="I146" s="27"/>
      <c r="J146" s="35"/>
      <c r="K146" s="35"/>
      <c r="L146" s="35"/>
      <c r="M146" s="35"/>
      <c r="N146" s="35"/>
      <c r="O146" s="35"/>
      <c r="P146" s="35"/>
      <c r="Q146" s="35"/>
      <c r="R146" s="35"/>
      <c r="S146" s="35"/>
      <c r="T146" s="35"/>
      <c r="U146" s="35"/>
      <c r="V146" s="35"/>
      <c r="W146" s="35"/>
      <c r="X146" s="35"/>
      <c r="Y146" s="35"/>
      <c r="Z146" s="35"/>
      <c r="AA146" s="35"/>
    </row>
    <row r="147">
      <c r="A147" s="97"/>
      <c r="B147" s="97"/>
      <c r="C147" s="27"/>
      <c r="D147" s="26"/>
      <c r="E147" s="51"/>
      <c r="F147" s="51"/>
      <c r="G147" s="51"/>
      <c r="H147" s="18"/>
      <c r="I147" s="27"/>
      <c r="J147" s="35"/>
      <c r="K147" s="35"/>
      <c r="L147" s="35"/>
      <c r="M147" s="35"/>
      <c r="N147" s="35"/>
      <c r="O147" s="35"/>
      <c r="P147" s="35"/>
      <c r="Q147" s="35"/>
      <c r="R147" s="35"/>
      <c r="S147" s="35"/>
      <c r="T147" s="35"/>
      <c r="U147" s="35"/>
      <c r="V147" s="35"/>
      <c r="W147" s="35"/>
      <c r="X147" s="35"/>
      <c r="Y147" s="35"/>
      <c r="Z147" s="35"/>
      <c r="AA147" s="35"/>
    </row>
    <row r="148">
      <c r="A148" s="97"/>
      <c r="B148" s="97"/>
      <c r="C148" s="27"/>
      <c r="D148" s="26"/>
      <c r="E148" s="51"/>
      <c r="F148" s="51"/>
      <c r="G148" s="51"/>
      <c r="H148" s="18"/>
      <c r="I148" s="27"/>
      <c r="J148" s="35"/>
      <c r="K148" s="35"/>
      <c r="L148" s="35"/>
      <c r="M148" s="35"/>
      <c r="N148" s="35"/>
      <c r="O148" s="35"/>
      <c r="P148" s="35"/>
      <c r="Q148" s="35"/>
      <c r="R148" s="35"/>
      <c r="S148" s="35"/>
      <c r="T148" s="35"/>
      <c r="U148" s="35"/>
      <c r="V148" s="35"/>
      <c r="W148" s="35"/>
      <c r="X148" s="35"/>
      <c r="Y148" s="35"/>
      <c r="Z148" s="35"/>
      <c r="AA148" s="35"/>
    </row>
    <row r="149">
      <c r="A149" s="97"/>
      <c r="B149" s="97"/>
      <c r="C149" s="27"/>
      <c r="D149" s="26"/>
      <c r="E149" s="51"/>
      <c r="F149" s="51"/>
      <c r="G149" s="51"/>
      <c r="H149" s="18"/>
      <c r="I149" s="27"/>
      <c r="J149" s="35"/>
      <c r="K149" s="35"/>
      <c r="L149" s="35"/>
      <c r="M149" s="35"/>
      <c r="N149" s="35"/>
      <c r="O149" s="35"/>
      <c r="P149" s="35"/>
      <c r="Q149" s="35"/>
      <c r="R149" s="35"/>
      <c r="S149" s="35"/>
      <c r="T149" s="35"/>
      <c r="U149" s="35"/>
      <c r="V149" s="35"/>
      <c r="W149" s="35"/>
      <c r="X149" s="35"/>
      <c r="Y149" s="35"/>
      <c r="Z149" s="35"/>
      <c r="AA149" s="35"/>
    </row>
    <row r="150">
      <c r="A150" s="97"/>
      <c r="B150" s="97"/>
      <c r="C150" s="27"/>
      <c r="D150" s="26"/>
      <c r="E150" s="51"/>
      <c r="F150" s="51"/>
      <c r="G150" s="51"/>
      <c r="H150" s="18"/>
      <c r="I150" s="27"/>
      <c r="J150" s="35"/>
      <c r="K150" s="35"/>
      <c r="L150" s="35"/>
      <c r="M150" s="35"/>
      <c r="N150" s="35"/>
      <c r="O150" s="35"/>
      <c r="P150" s="35"/>
      <c r="Q150" s="35"/>
      <c r="R150" s="35"/>
      <c r="S150" s="35"/>
      <c r="T150" s="35"/>
      <c r="U150" s="35"/>
      <c r="V150" s="35"/>
      <c r="W150" s="35"/>
      <c r="X150" s="35"/>
      <c r="Y150" s="35"/>
      <c r="Z150" s="35"/>
      <c r="AA150" s="35"/>
    </row>
    <row r="151">
      <c r="A151" s="97"/>
      <c r="B151" s="97"/>
      <c r="C151" s="27"/>
      <c r="D151" s="26"/>
      <c r="E151" s="51"/>
      <c r="F151" s="51"/>
      <c r="G151" s="51"/>
      <c r="H151" s="18"/>
      <c r="I151" s="27"/>
      <c r="J151" s="35"/>
      <c r="K151" s="35"/>
      <c r="L151" s="35"/>
      <c r="M151" s="35"/>
      <c r="N151" s="35"/>
      <c r="O151" s="35"/>
      <c r="P151" s="35"/>
      <c r="Q151" s="35"/>
      <c r="R151" s="35"/>
      <c r="S151" s="35"/>
      <c r="T151" s="35"/>
      <c r="U151" s="35"/>
      <c r="V151" s="35"/>
      <c r="W151" s="35"/>
      <c r="X151" s="35"/>
      <c r="Y151" s="35"/>
      <c r="Z151" s="35"/>
      <c r="AA151" s="35"/>
    </row>
    <row r="152">
      <c r="A152" s="97"/>
      <c r="B152" s="97"/>
      <c r="C152" s="27"/>
      <c r="D152" s="26"/>
      <c r="E152" s="51"/>
      <c r="F152" s="51"/>
      <c r="G152" s="51"/>
      <c r="H152" s="18"/>
      <c r="I152" s="27"/>
      <c r="J152" s="35"/>
      <c r="K152" s="35"/>
      <c r="L152" s="35"/>
      <c r="M152" s="35"/>
      <c r="N152" s="35"/>
      <c r="O152" s="35"/>
      <c r="P152" s="35"/>
      <c r="Q152" s="35"/>
      <c r="R152" s="35"/>
      <c r="S152" s="35"/>
      <c r="T152" s="35"/>
      <c r="U152" s="35"/>
      <c r="V152" s="35"/>
      <c r="W152" s="35"/>
      <c r="X152" s="35"/>
      <c r="Y152" s="35"/>
      <c r="Z152" s="35"/>
      <c r="AA152" s="35"/>
    </row>
    <row r="153">
      <c r="A153" s="97"/>
      <c r="B153" s="97"/>
      <c r="C153" s="27"/>
      <c r="D153" s="26"/>
      <c r="E153" s="51"/>
      <c r="F153" s="51"/>
      <c r="G153" s="51"/>
      <c r="H153" s="18"/>
      <c r="I153" s="27"/>
      <c r="J153" s="35"/>
      <c r="K153" s="35"/>
      <c r="L153" s="35"/>
      <c r="M153" s="35"/>
      <c r="N153" s="35"/>
      <c r="O153" s="35"/>
      <c r="P153" s="35"/>
      <c r="Q153" s="35"/>
      <c r="R153" s="35"/>
      <c r="S153" s="35"/>
      <c r="T153" s="35"/>
      <c r="U153" s="35"/>
      <c r="V153" s="35"/>
      <c r="W153" s="35"/>
      <c r="X153" s="35"/>
      <c r="Y153" s="35"/>
      <c r="Z153" s="35"/>
      <c r="AA153" s="35"/>
    </row>
    <row r="154">
      <c r="A154" s="97"/>
      <c r="B154" s="97"/>
      <c r="C154" s="27"/>
      <c r="D154" s="26"/>
      <c r="E154" s="51"/>
      <c r="F154" s="51"/>
      <c r="G154" s="51"/>
      <c r="H154" s="18"/>
      <c r="I154" s="27"/>
      <c r="J154" s="35"/>
      <c r="K154" s="35"/>
      <c r="L154" s="35"/>
      <c r="M154" s="35"/>
      <c r="N154" s="35"/>
      <c r="O154" s="35"/>
      <c r="P154" s="35"/>
      <c r="Q154" s="35"/>
      <c r="R154" s="35"/>
      <c r="S154" s="35"/>
      <c r="T154" s="35"/>
      <c r="U154" s="35"/>
      <c r="V154" s="35"/>
      <c r="W154" s="35"/>
      <c r="X154" s="35"/>
      <c r="Y154" s="35"/>
      <c r="Z154" s="35"/>
      <c r="AA154" s="35"/>
    </row>
    <row r="155">
      <c r="A155" s="35"/>
      <c r="B155" s="35"/>
      <c r="C155" s="27"/>
      <c r="D155" s="26"/>
      <c r="E155" s="51"/>
      <c r="F155" s="51"/>
      <c r="G155" s="51"/>
      <c r="H155" s="18"/>
      <c r="I155" s="27"/>
      <c r="J155" s="35"/>
      <c r="K155" s="35"/>
      <c r="L155" s="35"/>
      <c r="M155" s="35"/>
      <c r="N155" s="35"/>
      <c r="O155" s="35"/>
      <c r="P155" s="35"/>
      <c r="Q155" s="35"/>
      <c r="R155" s="35"/>
      <c r="S155" s="35"/>
      <c r="T155" s="35"/>
      <c r="U155" s="35"/>
      <c r="V155" s="35"/>
      <c r="W155" s="35"/>
      <c r="X155" s="35"/>
      <c r="Y155" s="35"/>
      <c r="Z155" s="35"/>
      <c r="AA155" s="35"/>
    </row>
    <row r="156">
      <c r="A156" s="35"/>
      <c r="B156" s="35"/>
      <c r="C156" s="27"/>
      <c r="D156" s="26"/>
      <c r="E156" s="51"/>
      <c r="F156" s="51"/>
      <c r="G156" s="51"/>
      <c r="H156" s="18"/>
      <c r="I156" s="27"/>
      <c r="J156" s="35"/>
      <c r="K156" s="35"/>
      <c r="L156" s="35"/>
      <c r="M156" s="35"/>
      <c r="N156" s="35"/>
      <c r="O156" s="35"/>
      <c r="P156" s="35"/>
      <c r="Q156" s="35"/>
      <c r="R156" s="35"/>
      <c r="S156" s="35"/>
      <c r="T156" s="35"/>
      <c r="U156" s="35"/>
      <c r="V156" s="35"/>
      <c r="W156" s="35"/>
      <c r="X156" s="35"/>
      <c r="Y156" s="35"/>
      <c r="Z156" s="35"/>
      <c r="AA156" s="35"/>
    </row>
    <row r="157">
      <c r="A157" s="35"/>
      <c r="B157" s="35"/>
      <c r="C157" s="27"/>
      <c r="D157" s="26"/>
      <c r="E157" s="51"/>
      <c r="F157" s="51"/>
      <c r="G157" s="51"/>
      <c r="H157" s="18"/>
      <c r="I157" s="27"/>
      <c r="J157" s="35"/>
      <c r="K157" s="35"/>
      <c r="L157" s="35"/>
      <c r="M157" s="35"/>
      <c r="N157" s="35"/>
      <c r="O157" s="35"/>
      <c r="P157" s="35"/>
      <c r="Q157" s="35"/>
      <c r="R157" s="35"/>
      <c r="S157" s="35"/>
      <c r="T157" s="35"/>
      <c r="U157" s="35"/>
      <c r="V157" s="35"/>
      <c r="W157" s="35"/>
      <c r="X157" s="35"/>
      <c r="Y157" s="35"/>
      <c r="Z157" s="35"/>
      <c r="AA157" s="35"/>
    </row>
    <row r="158">
      <c r="A158" s="35"/>
      <c r="B158" s="35"/>
      <c r="C158" s="27"/>
      <c r="D158" s="26"/>
      <c r="E158" s="51"/>
      <c r="F158" s="51"/>
      <c r="G158" s="51"/>
      <c r="H158" s="18"/>
      <c r="I158" s="27"/>
      <c r="J158" s="35"/>
      <c r="K158" s="35"/>
      <c r="L158" s="35"/>
      <c r="M158" s="35"/>
      <c r="N158" s="35"/>
      <c r="O158" s="35"/>
      <c r="P158" s="35"/>
      <c r="Q158" s="35"/>
      <c r="R158" s="35"/>
      <c r="S158" s="35"/>
      <c r="T158" s="35"/>
      <c r="U158" s="35"/>
      <c r="V158" s="35"/>
      <c r="W158" s="35"/>
      <c r="X158" s="35"/>
      <c r="Y158" s="35"/>
      <c r="Z158" s="35"/>
      <c r="AA158" s="35"/>
    </row>
    <row r="159">
      <c r="A159" s="35"/>
      <c r="B159" s="35"/>
      <c r="C159" s="27"/>
      <c r="D159" s="26"/>
      <c r="E159" s="51"/>
      <c r="F159" s="51"/>
      <c r="G159" s="51"/>
      <c r="H159" s="18"/>
      <c r="I159" s="27"/>
      <c r="J159" s="35"/>
      <c r="K159" s="35"/>
      <c r="L159" s="35"/>
      <c r="M159" s="35"/>
      <c r="N159" s="35"/>
      <c r="O159" s="35"/>
      <c r="P159" s="35"/>
      <c r="Q159" s="35"/>
      <c r="R159" s="35"/>
      <c r="S159" s="35"/>
      <c r="T159" s="35"/>
      <c r="U159" s="35"/>
      <c r="V159" s="35"/>
      <c r="W159" s="35"/>
      <c r="X159" s="35"/>
      <c r="Y159" s="35"/>
      <c r="Z159" s="35"/>
      <c r="AA159" s="35"/>
    </row>
    <row r="160">
      <c r="A160" s="35"/>
      <c r="B160" s="35"/>
      <c r="C160" s="27"/>
      <c r="D160" s="26"/>
      <c r="E160" s="51"/>
      <c r="F160" s="51"/>
      <c r="G160" s="51"/>
      <c r="H160" s="18"/>
      <c r="I160" s="27"/>
      <c r="J160" s="35"/>
      <c r="K160" s="35"/>
      <c r="L160" s="35"/>
      <c r="M160" s="35"/>
      <c r="N160" s="35"/>
      <c r="O160" s="35"/>
      <c r="P160" s="35"/>
      <c r="Q160" s="35"/>
      <c r="R160" s="35"/>
      <c r="S160" s="35"/>
      <c r="T160" s="35"/>
      <c r="U160" s="35"/>
      <c r="V160" s="35"/>
      <c r="W160" s="35"/>
      <c r="X160" s="35"/>
      <c r="Y160" s="35"/>
      <c r="Z160" s="35"/>
      <c r="AA160" s="35"/>
    </row>
    <row r="161">
      <c r="A161" s="35"/>
      <c r="B161" s="35"/>
      <c r="C161" s="27"/>
      <c r="D161" s="26"/>
      <c r="E161" s="51"/>
      <c r="F161" s="51"/>
      <c r="G161" s="51"/>
      <c r="H161" s="18"/>
      <c r="I161" s="27"/>
      <c r="J161" s="35"/>
      <c r="K161" s="35"/>
      <c r="L161" s="35"/>
      <c r="M161" s="35"/>
      <c r="N161" s="35"/>
      <c r="O161" s="35"/>
      <c r="P161" s="35"/>
      <c r="Q161" s="35"/>
      <c r="R161" s="35"/>
      <c r="S161" s="35"/>
      <c r="T161" s="35"/>
      <c r="U161" s="35"/>
      <c r="V161" s="35"/>
      <c r="W161" s="35"/>
      <c r="X161" s="35"/>
      <c r="Y161" s="35"/>
      <c r="Z161" s="35"/>
      <c r="AA161" s="35"/>
    </row>
    <row r="162">
      <c r="A162" s="35"/>
      <c r="B162" s="35"/>
      <c r="C162" s="27"/>
      <c r="D162" s="26"/>
      <c r="E162" s="51"/>
      <c r="F162" s="51"/>
      <c r="G162" s="51"/>
      <c r="H162" s="18"/>
      <c r="I162" s="27"/>
      <c r="J162" s="35"/>
      <c r="K162" s="35"/>
      <c r="L162" s="35"/>
      <c r="M162" s="35"/>
      <c r="N162" s="35"/>
      <c r="O162" s="35"/>
      <c r="P162" s="35"/>
      <c r="Q162" s="35"/>
      <c r="R162" s="35"/>
      <c r="S162" s="35"/>
      <c r="T162" s="35"/>
      <c r="U162" s="35"/>
      <c r="V162" s="35"/>
      <c r="W162" s="35"/>
      <c r="X162" s="35"/>
      <c r="Y162" s="35"/>
      <c r="Z162" s="35"/>
      <c r="AA162" s="35"/>
    </row>
    <row r="163">
      <c r="A163" s="35"/>
      <c r="B163" s="35"/>
      <c r="C163" s="27"/>
      <c r="D163" s="26"/>
      <c r="E163" s="51"/>
      <c r="F163" s="51"/>
      <c r="G163" s="51"/>
      <c r="H163" s="18"/>
      <c r="I163" s="27"/>
      <c r="J163" s="35"/>
      <c r="K163" s="35"/>
      <c r="L163" s="35"/>
      <c r="M163" s="35"/>
      <c r="N163" s="35"/>
      <c r="O163" s="35"/>
      <c r="P163" s="35"/>
      <c r="Q163" s="35"/>
      <c r="R163" s="35"/>
      <c r="S163" s="35"/>
      <c r="T163" s="35"/>
      <c r="U163" s="35"/>
      <c r="V163" s="35"/>
      <c r="W163" s="35"/>
      <c r="X163" s="35"/>
      <c r="Y163" s="35"/>
      <c r="Z163" s="35"/>
      <c r="AA163" s="35"/>
    </row>
    <row r="164">
      <c r="A164" s="35"/>
      <c r="B164" s="35"/>
      <c r="C164" s="27"/>
      <c r="D164" s="26"/>
      <c r="E164" s="51"/>
      <c r="F164" s="51"/>
      <c r="G164" s="51"/>
      <c r="H164" s="18"/>
      <c r="I164" s="27"/>
      <c r="J164" s="35"/>
      <c r="K164" s="35"/>
      <c r="L164" s="35"/>
      <c r="M164" s="35"/>
      <c r="N164" s="35"/>
      <c r="O164" s="35"/>
      <c r="P164" s="35"/>
      <c r="Q164" s="35"/>
      <c r="R164" s="35"/>
      <c r="S164" s="35"/>
      <c r="T164" s="35"/>
      <c r="U164" s="35"/>
      <c r="V164" s="35"/>
      <c r="W164" s="35"/>
      <c r="X164" s="35"/>
      <c r="Y164" s="35"/>
      <c r="Z164" s="35"/>
      <c r="AA164" s="35"/>
    </row>
    <row r="165">
      <c r="A165" s="35"/>
      <c r="B165" s="35"/>
      <c r="C165" s="27"/>
      <c r="D165" s="26"/>
      <c r="E165" s="51"/>
      <c r="F165" s="51"/>
      <c r="G165" s="51"/>
      <c r="H165" s="18"/>
      <c r="I165" s="27"/>
      <c r="J165" s="35"/>
      <c r="K165" s="35"/>
      <c r="L165" s="35"/>
      <c r="M165" s="35"/>
      <c r="N165" s="35"/>
      <c r="O165" s="35"/>
      <c r="P165" s="35"/>
      <c r="Q165" s="35"/>
      <c r="R165" s="35"/>
      <c r="S165" s="35"/>
      <c r="T165" s="35"/>
      <c r="U165" s="35"/>
      <c r="V165" s="35"/>
      <c r="W165" s="35"/>
      <c r="X165" s="35"/>
      <c r="Y165" s="35"/>
      <c r="Z165" s="35"/>
      <c r="AA165" s="35"/>
    </row>
    <row r="166">
      <c r="A166" s="35"/>
      <c r="B166" s="35"/>
      <c r="C166" s="27"/>
      <c r="D166" s="26"/>
      <c r="E166" s="51"/>
      <c r="F166" s="51"/>
      <c r="G166" s="51"/>
      <c r="H166" s="18"/>
      <c r="I166" s="27"/>
      <c r="J166" s="35"/>
      <c r="K166" s="35"/>
      <c r="L166" s="35"/>
      <c r="M166" s="35"/>
      <c r="N166" s="35"/>
      <c r="O166" s="35"/>
      <c r="P166" s="35"/>
      <c r="Q166" s="35"/>
      <c r="R166" s="35"/>
      <c r="S166" s="35"/>
      <c r="T166" s="35"/>
      <c r="U166" s="35"/>
      <c r="V166" s="35"/>
      <c r="W166" s="35"/>
      <c r="X166" s="35"/>
      <c r="Y166" s="35"/>
      <c r="Z166" s="35"/>
      <c r="AA166" s="35"/>
    </row>
    <row r="167">
      <c r="A167" s="35"/>
      <c r="B167" s="35"/>
      <c r="C167" s="27"/>
      <c r="D167" s="26"/>
      <c r="E167" s="51"/>
      <c r="F167" s="51"/>
      <c r="G167" s="51"/>
      <c r="H167" s="18"/>
      <c r="I167" s="27"/>
      <c r="J167" s="35"/>
      <c r="K167" s="35"/>
      <c r="L167" s="35"/>
      <c r="M167" s="35"/>
      <c r="N167" s="35"/>
      <c r="O167" s="35"/>
      <c r="P167" s="35"/>
      <c r="Q167" s="35"/>
      <c r="R167" s="35"/>
      <c r="S167" s="35"/>
      <c r="T167" s="35"/>
      <c r="U167" s="35"/>
      <c r="V167" s="35"/>
      <c r="W167" s="35"/>
      <c r="X167" s="35"/>
      <c r="Y167" s="35"/>
      <c r="Z167" s="35"/>
      <c r="AA167" s="35"/>
    </row>
    <row r="168">
      <c r="A168" s="35"/>
      <c r="B168" s="35"/>
      <c r="C168" s="27"/>
      <c r="D168" s="26"/>
      <c r="E168" s="51"/>
      <c r="F168" s="51"/>
      <c r="G168" s="51"/>
      <c r="H168" s="18"/>
      <c r="I168" s="27"/>
      <c r="J168" s="35"/>
      <c r="K168" s="35"/>
      <c r="L168" s="35"/>
      <c r="M168" s="35"/>
      <c r="N168" s="35"/>
      <c r="O168" s="35"/>
      <c r="P168" s="35"/>
      <c r="Q168" s="35"/>
      <c r="R168" s="35"/>
      <c r="S168" s="35"/>
      <c r="T168" s="35"/>
      <c r="U168" s="35"/>
      <c r="V168" s="35"/>
      <c r="W168" s="35"/>
      <c r="X168" s="35"/>
      <c r="Y168" s="35"/>
      <c r="Z168" s="35"/>
      <c r="AA168" s="35"/>
    </row>
    <row r="169">
      <c r="A169" s="35"/>
      <c r="B169" s="35"/>
      <c r="C169" s="27"/>
      <c r="D169" s="26"/>
      <c r="E169" s="51"/>
      <c r="F169" s="51"/>
      <c r="G169" s="51"/>
      <c r="H169" s="18"/>
      <c r="I169" s="27"/>
      <c r="J169" s="35"/>
      <c r="K169" s="35"/>
      <c r="L169" s="35"/>
      <c r="M169" s="35"/>
      <c r="N169" s="35"/>
      <c r="O169" s="35"/>
      <c r="P169" s="35"/>
      <c r="Q169" s="35"/>
      <c r="R169" s="35"/>
      <c r="S169" s="35"/>
      <c r="T169" s="35"/>
      <c r="U169" s="35"/>
      <c r="V169" s="35"/>
      <c r="W169" s="35"/>
      <c r="X169" s="35"/>
      <c r="Y169" s="35"/>
      <c r="Z169" s="35"/>
      <c r="AA169" s="35"/>
    </row>
    <row r="170">
      <c r="A170" s="35"/>
      <c r="B170" s="35"/>
      <c r="C170" s="27"/>
      <c r="D170" s="26"/>
      <c r="E170" s="51"/>
      <c r="F170" s="51"/>
      <c r="G170" s="51"/>
      <c r="H170" s="18"/>
      <c r="I170" s="27"/>
      <c r="J170" s="35"/>
      <c r="K170" s="35"/>
      <c r="L170" s="35"/>
      <c r="M170" s="35"/>
      <c r="N170" s="35"/>
      <c r="O170" s="35"/>
      <c r="P170" s="35"/>
      <c r="Q170" s="35"/>
      <c r="R170" s="35"/>
      <c r="S170" s="35"/>
      <c r="T170" s="35"/>
      <c r="U170" s="35"/>
      <c r="V170" s="35"/>
      <c r="W170" s="35"/>
      <c r="X170" s="35"/>
      <c r="Y170" s="35"/>
      <c r="Z170" s="35"/>
      <c r="AA170" s="35"/>
    </row>
    <row r="171">
      <c r="A171" s="35"/>
      <c r="B171" s="35"/>
      <c r="C171" s="27"/>
      <c r="D171" s="26"/>
      <c r="E171" s="51"/>
      <c r="F171" s="51"/>
      <c r="G171" s="51"/>
      <c r="H171" s="18"/>
      <c r="I171" s="27"/>
      <c r="J171" s="35"/>
      <c r="K171" s="35"/>
      <c r="L171" s="35"/>
      <c r="M171" s="35"/>
      <c r="N171" s="35"/>
      <c r="O171" s="35"/>
      <c r="P171" s="35"/>
      <c r="Q171" s="35"/>
      <c r="R171" s="35"/>
      <c r="S171" s="35"/>
      <c r="T171" s="35"/>
      <c r="U171" s="35"/>
      <c r="V171" s="35"/>
      <c r="W171" s="35"/>
      <c r="X171" s="35"/>
      <c r="Y171" s="35"/>
      <c r="Z171" s="35"/>
      <c r="AA171" s="35"/>
    </row>
    <row r="172">
      <c r="A172" s="35"/>
      <c r="B172" s="35"/>
      <c r="C172" s="27"/>
      <c r="D172" s="26"/>
      <c r="E172" s="51"/>
      <c r="F172" s="51"/>
      <c r="G172" s="51"/>
      <c r="H172" s="18"/>
      <c r="I172" s="27"/>
      <c r="J172" s="35"/>
      <c r="K172" s="35"/>
      <c r="L172" s="35"/>
      <c r="M172" s="35"/>
      <c r="N172" s="35"/>
      <c r="O172" s="35"/>
      <c r="P172" s="35"/>
      <c r="Q172" s="35"/>
      <c r="R172" s="35"/>
      <c r="S172" s="35"/>
      <c r="T172" s="35"/>
      <c r="U172" s="35"/>
      <c r="V172" s="35"/>
      <c r="W172" s="35"/>
      <c r="X172" s="35"/>
      <c r="Y172" s="35"/>
      <c r="Z172" s="35"/>
      <c r="AA172" s="35"/>
    </row>
    <row r="173">
      <c r="A173" s="35"/>
      <c r="B173" s="35"/>
      <c r="C173" s="27"/>
      <c r="D173" s="26"/>
      <c r="E173" s="51"/>
      <c r="F173" s="51"/>
      <c r="G173" s="51"/>
      <c r="H173" s="18"/>
      <c r="I173" s="27"/>
      <c r="J173" s="35"/>
      <c r="K173" s="35"/>
      <c r="L173" s="35"/>
      <c r="M173" s="35"/>
      <c r="N173" s="35"/>
      <c r="O173" s="35"/>
      <c r="P173" s="35"/>
      <c r="Q173" s="35"/>
      <c r="R173" s="35"/>
      <c r="S173" s="35"/>
      <c r="T173" s="35"/>
      <c r="U173" s="35"/>
      <c r="V173" s="35"/>
      <c r="W173" s="35"/>
      <c r="X173" s="35"/>
      <c r="Y173" s="35"/>
      <c r="Z173" s="35"/>
      <c r="AA173" s="35"/>
    </row>
    <row r="174">
      <c r="A174" s="35"/>
      <c r="B174" s="35"/>
      <c r="C174" s="27"/>
      <c r="D174" s="26"/>
      <c r="E174" s="51"/>
      <c r="F174" s="51"/>
      <c r="G174" s="51"/>
      <c r="H174" s="18"/>
      <c r="I174" s="27"/>
      <c r="J174" s="35"/>
      <c r="K174" s="35"/>
      <c r="L174" s="35"/>
      <c r="M174" s="35"/>
      <c r="N174" s="35"/>
      <c r="O174" s="35"/>
      <c r="P174" s="35"/>
      <c r="Q174" s="35"/>
      <c r="R174" s="35"/>
      <c r="S174" s="35"/>
      <c r="T174" s="35"/>
      <c r="U174" s="35"/>
      <c r="V174" s="35"/>
      <c r="W174" s="35"/>
      <c r="X174" s="35"/>
      <c r="Y174" s="35"/>
      <c r="Z174" s="35"/>
      <c r="AA174" s="35"/>
    </row>
    <row r="175">
      <c r="A175" s="35"/>
      <c r="B175" s="35"/>
      <c r="C175" s="27"/>
      <c r="D175" s="26"/>
      <c r="E175" s="51"/>
      <c r="F175" s="51"/>
      <c r="G175" s="51"/>
      <c r="H175" s="18"/>
      <c r="I175" s="27"/>
      <c r="J175" s="35"/>
      <c r="K175" s="35"/>
      <c r="L175" s="35"/>
      <c r="M175" s="35"/>
      <c r="N175" s="35"/>
      <c r="O175" s="35"/>
      <c r="P175" s="35"/>
      <c r="Q175" s="35"/>
      <c r="R175" s="35"/>
      <c r="S175" s="35"/>
      <c r="T175" s="35"/>
      <c r="U175" s="35"/>
      <c r="V175" s="35"/>
      <c r="W175" s="35"/>
      <c r="X175" s="35"/>
      <c r="Y175" s="35"/>
      <c r="Z175" s="35"/>
      <c r="AA175" s="35"/>
    </row>
    <row r="176">
      <c r="A176" s="35"/>
      <c r="B176" s="35"/>
      <c r="C176" s="27"/>
      <c r="D176" s="26"/>
      <c r="E176" s="51"/>
      <c r="F176" s="51"/>
      <c r="G176" s="51"/>
      <c r="H176" s="18"/>
      <c r="I176" s="27"/>
      <c r="J176" s="35"/>
      <c r="K176" s="35"/>
      <c r="L176" s="35"/>
      <c r="M176" s="35"/>
      <c r="N176" s="35"/>
      <c r="O176" s="35"/>
      <c r="P176" s="35"/>
      <c r="Q176" s="35"/>
      <c r="R176" s="35"/>
      <c r="S176" s="35"/>
      <c r="T176" s="35"/>
      <c r="U176" s="35"/>
      <c r="V176" s="35"/>
      <c r="W176" s="35"/>
      <c r="X176" s="35"/>
      <c r="Y176" s="35"/>
      <c r="Z176" s="35"/>
      <c r="AA176" s="35"/>
    </row>
    <row r="177">
      <c r="A177" s="35"/>
      <c r="B177" s="35"/>
      <c r="C177" s="27"/>
      <c r="D177" s="26"/>
      <c r="E177" s="51"/>
      <c r="F177" s="51"/>
      <c r="G177" s="51"/>
      <c r="H177" s="18"/>
      <c r="I177" s="27"/>
      <c r="J177" s="35"/>
      <c r="K177" s="35"/>
      <c r="L177" s="35"/>
      <c r="M177" s="35"/>
      <c r="N177" s="35"/>
      <c r="O177" s="35"/>
      <c r="P177" s="35"/>
      <c r="Q177" s="35"/>
      <c r="R177" s="35"/>
      <c r="S177" s="35"/>
      <c r="T177" s="35"/>
      <c r="U177" s="35"/>
      <c r="V177" s="35"/>
      <c r="W177" s="35"/>
      <c r="X177" s="35"/>
      <c r="Y177" s="35"/>
      <c r="Z177" s="35"/>
      <c r="AA177" s="35"/>
    </row>
    <row r="178">
      <c r="A178" s="35"/>
      <c r="B178" s="35"/>
      <c r="C178" s="27"/>
      <c r="D178" s="26"/>
      <c r="E178" s="51"/>
      <c r="F178" s="51"/>
      <c r="G178" s="51"/>
      <c r="H178" s="18"/>
      <c r="I178" s="27"/>
      <c r="J178" s="35"/>
      <c r="K178" s="35"/>
      <c r="L178" s="35"/>
      <c r="M178" s="35"/>
      <c r="N178" s="35"/>
      <c r="O178" s="35"/>
      <c r="P178" s="35"/>
      <c r="Q178" s="35"/>
      <c r="R178" s="35"/>
      <c r="S178" s="35"/>
      <c r="T178" s="35"/>
      <c r="U178" s="35"/>
      <c r="V178" s="35"/>
      <c r="W178" s="35"/>
      <c r="X178" s="35"/>
      <c r="Y178" s="35"/>
      <c r="Z178" s="35"/>
      <c r="AA178" s="35"/>
    </row>
    <row r="179">
      <c r="A179" s="35"/>
      <c r="B179" s="35"/>
      <c r="C179" s="27"/>
      <c r="D179" s="26"/>
      <c r="E179" s="51"/>
      <c r="F179" s="51"/>
      <c r="G179" s="51"/>
      <c r="H179" s="18"/>
      <c r="I179" s="27"/>
      <c r="J179" s="35"/>
      <c r="K179" s="35"/>
      <c r="L179" s="35"/>
      <c r="M179" s="35"/>
      <c r="N179" s="35"/>
      <c r="O179" s="35"/>
      <c r="P179" s="35"/>
      <c r="Q179" s="35"/>
      <c r="R179" s="35"/>
      <c r="S179" s="35"/>
      <c r="T179" s="35"/>
      <c r="U179" s="35"/>
      <c r="V179" s="35"/>
      <c r="W179" s="35"/>
      <c r="X179" s="35"/>
      <c r="Y179" s="35"/>
      <c r="Z179" s="35"/>
      <c r="AA179" s="35"/>
    </row>
    <row r="180">
      <c r="A180" s="35"/>
      <c r="B180" s="35"/>
      <c r="C180" s="27"/>
      <c r="D180" s="26"/>
      <c r="E180" s="51"/>
      <c r="F180" s="51"/>
      <c r="G180" s="51"/>
      <c r="H180" s="18"/>
      <c r="I180" s="27"/>
      <c r="J180" s="35"/>
      <c r="K180" s="35"/>
      <c r="L180" s="35"/>
      <c r="M180" s="35"/>
      <c r="N180" s="35"/>
      <c r="O180" s="35"/>
      <c r="P180" s="35"/>
      <c r="Q180" s="35"/>
      <c r="R180" s="35"/>
      <c r="S180" s="35"/>
      <c r="T180" s="35"/>
      <c r="U180" s="35"/>
      <c r="V180" s="35"/>
      <c r="W180" s="35"/>
      <c r="X180" s="35"/>
      <c r="Y180" s="35"/>
      <c r="Z180" s="35"/>
      <c r="AA180" s="35"/>
    </row>
    <row r="181">
      <c r="A181" s="35"/>
      <c r="B181" s="35"/>
      <c r="C181" s="27"/>
      <c r="D181" s="26"/>
      <c r="E181" s="51"/>
      <c r="F181" s="51"/>
      <c r="G181" s="51"/>
      <c r="H181" s="18"/>
      <c r="I181" s="27"/>
      <c r="J181" s="35"/>
      <c r="K181" s="35"/>
      <c r="L181" s="35"/>
      <c r="M181" s="35"/>
      <c r="N181" s="35"/>
      <c r="O181" s="35"/>
      <c r="P181" s="35"/>
      <c r="Q181" s="35"/>
      <c r="R181" s="35"/>
      <c r="S181" s="35"/>
      <c r="T181" s="35"/>
      <c r="U181" s="35"/>
      <c r="V181" s="35"/>
      <c r="W181" s="35"/>
      <c r="X181" s="35"/>
      <c r="Y181" s="35"/>
      <c r="Z181" s="35"/>
      <c r="AA181" s="35"/>
    </row>
    <row r="182">
      <c r="A182" s="35"/>
      <c r="B182" s="35"/>
      <c r="C182" s="27"/>
      <c r="D182" s="26"/>
      <c r="E182" s="51"/>
      <c r="F182" s="51"/>
      <c r="G182" s="51"/>
      <c r="H182" s="18"/>
      <c r="I182" s="27"/>
      <c r="J182" s="35"/>
      <c r="K182" s="35"/>
      <c r="L182" s="35"/>
      <c r="M182" s="35"/>
      <c r="N182" s="35"/>
      <c r="O182" s="35"/>
      <c r="P182" s="35"/>
      <c r="Q182" s="35"/>
      <c r="R182" s="35"/>
      <c r="S182" s="35"/>
      <c r="T182" s="35"/>
      <c r="U182" s="35"/>
      <c r="V182" s="35"/>
      <c r="W182" s="35"/>
      <c r="X182" s="35"/>
      <c r="Y182" s="35"/>
      <c r="Z182" s="35"/>
      <c r="AA182" s="35"/>
    </row>
    <row r="183">
      <c r="A183" s="35"/>
      <c r="B183" s="35"/>
      <c r="C183" s="27"/>
      <c r="D183" s="26"/>
      <c r="E183" s="51"/>
      <c r="F183" s="51"/>
      <c r="G183" s="51"/>
      <c r="H183" s="18"/>
      <c r="I183" s="27"/>
      <c r="J183" s="35"/>
      <c r="K183" s="35"/>
      <c r="L183" s="35"/>
      <c r="M183" s="35"/>
      <c r="N183" s="35"/>
      <c r="O183" s="35"/>
      <c r="P183" s="35"/>
      <c r="Q183" s="35"/>
      <c r="R183" s="35"/>
      <c r="S183" s="35"/>
      <c r="T183" s="35"/>
      <c r="U183" s="35"/>
      <c r="V183" s="35"/>
      <c r="W183" s="35"/>
      <c r="X183" s="35"/>
      <c r="Y183" s="35"/>
      <c r="Z183" s="35"/>
      <c r="AA183" s="35"/>
    </row>
    <row r="184">
      <c r="A184" s="35"/>
      <c r="B184" s="35"/>
      <c r="C184" s="27"/>
      <c r="D184" s="26"/>
      <c r="E184" s="51"/>
      <c r="F184" s="51"/>
      <c r="G184" s="51"/>
      <c r="H184" s="18"/>
      <c r="I184" s="27"/>
      <c r="J184" s="35"/>
      <c r="K184" s="35"/>
      <c r="L184" s="35"/>
      <c r="M184" s="35"/>
      <c r="N184" s="35"/>
      <c r="O184" s="35"/>
      <c r="P184" s="35"/>
      <c r="Q184" s="35"/>
      <c r="R184" s="35"/>
      <c r="S184" s="35"/>
      <c r="T184" s="35"/>
      <c r="U184" s="35"/>
      <c r="V184" s="35"/>
      <c r="W184" s="35"/>
      <c r="X184" s="35"/>
      <c r="Y184" s="35"/>
      <c r="Z184" s="35"/>
      <c r="AA184" s="35"/>
    </row>
    <row r="185">
      <c r="A185" s="35"/>
      <c r="B185" s="35"/>
      <c r="C185" s="27"/>
      <c r="D185" s="26"/>
      <c r="E185" s="51"/>
      <c r="F185" s="51"/>
      <c r="G185" s="51"/>
      <c r="H185" s="18"/>
      <c r="I185" s="27"/>
      <c r="J185" s="35"/>
      <c r="K185" s="35"/>
      <c r="L185" s="35"/>
      <c r="M185" s="35"/>
      <c r="N185" s="35"/>
      <c r="O185" s="35"/>
      <c r="P185" s="35"/>
      <c r="Q185" s="35"/>
      <c r="R185" s="35"/>
      <c r="S185" s="35"/>
      <c r="T185" s="35"/>
      <c r="U185" s="35"/>
      <c r="V185" s="35"/>
      <c r="W185" s="35"/>
      <c r="X185" s="35"/>
      <c r="Y185" s="35"/>
      <c r="Z185" s="35"/>
      <c r="AA185" s="35"/>
    </row>
    <row r="186">
      <c r="A186" s="35"/>
      <c r="B186" s="35"/>
      <c r="C186" s="27"/>
      <c r="D186" s="26"/>
      <c r="E186" s="51"/>
      <c r="F186" s="51"/>
      <c r="G186" s="51"/>
      <c r="H186" s="18"/>
      <c r="I186" s="27"/>
      <c r="J186" s="35"/>
      <c r="K186" s="35"/>
      <c r="L186" s="35"/>
      <c r="M186" s="35"/>
      <c r="N186" s="35"/>
      <c r="O186" s="35"/>
      <c r="P186" s="35"/>
      <c r="Q186" s="35"/>
      <c r="R186" s="35"/>
      <c r="S186" s="35"/>
      <c r="T186" s="35"/>
      <c r="U186" s="35"/>
      <c r="V186" s="35"/>
      <c r="W186" s="35"/>
      <c r="X186" s="35"/>
      <c r="Y186" s="35"/>
      <c r="Z186" s="35"/>
      <c r="AA186" s="35"/>
    </row>
    <row r="187">
      <c r="A187" s="35"/>
      <c r="B187" s="35"/>
      <c r="C187" s="27"/>
      <c r="D187" s="26"/>
      <c r="E187" s="51"/>
      <c r="F187" s="51"/>
      <c r="G187" s="51"/>
      <c r="H187" s="18"/>
      <c r="I187" s="27"/>
      <c r="J187" s="35"/>
      <c r="K187" s="35"/>
      <c r="L187" s="35"/>
      <c r="M187" s="35"/>
      <c r="N187" s="35"/>
      <c r="O187" s="35"/>
      <c r="P187" s="35"/>
      <c r="Q187" s="35"/>
      <c r="R187" s="35"/>
      <c r="S187" s="35"/>
      <c r="T187" s="35"/>
      <c r="U187" s="35"/>
      <c r="V187" s="35"/>
      <c r="W187" s="35"/>
      <c r="X187" s="35"/>
      <c r="Y187" s="35"/>
      <c r="Z187" s="35"/>
      <c r="AA187" s="35"/>
    </row>
    <row r="188">
      <c r="A188" s="35"/>
      <c r="B188" s="35"/>
      <c r="C188" s="27"/>
      <c r="D188" s="26"/>
      <c r="E188" s="51"/>
      <c r="F188" s="51"/>
      <c r="G188" s="51"/>
      <c r="H188" s="18"/>
      <c r="I188" s="27"/>
      <c r="J188" s="35"/>
      <c r="K188" s="35"/>
      <c r="L188" s="35"/>
      <c r="M188" s="35"/>
      <c r="N188" s="35"/>
      <c r="O188" s="35"/>
      <c r="P188" s="35"/>
      <c r="Q188" s="35"/>
      <c r="R188" s="35"/>
      <c r="S188" s="35"/>
      <c r="T188" s="35"/>
      <c r="U188" s="35"/>
      <c r="V188" s="35"/>
      <c r="W188" s="35"/>
      <c r="X188" s="35"/>
      <c r="Y188" s="35"/>
      <c r="Z188" s="35"/>
      <c r="AA188" s="35"/>
    </row>
    <row r="189">
      <c r="A189" s="35"/>
      <c r="B189" s="35"/>
      <c r="C189" s="27"/>
      <c r="D189" s="26"/>
      <c r="E189" s="51"/>
      <c r="F189" s="51"/>
      <c r="G189" s="51"/>
      <c r="H189" s="18"/>
      <c r="I189" s="27"/>
      <c r="J189" s="35"/>
      <c r="K189" s="35"/>
      <c r="L189" s="35"/>
      <c r="M189" s="35"/>
      <c r="N189" s="35"/>
      <c r="O189" s="35"/>
      <c r="P189" s="35"/>
      <c r="Q189" s="35"/>
      <c r="R189" s="35"/>
      <c r="S189" s="35"/>
      <c r="T189" s="35"/>
      <c r="U189" s="35"/>
      <c r="V189" s="35"/>
      <c r="W189" s="35"/>
      <c r="X189" s="35"/>
      <c r="Y189" s="35"/>
      <c r="Z189" s="35"/>
      <c r="AA189" s="35"/>
    </row>
    <row r="190">
      <c r="A190" s="35"/>
      <c r="B190" s="35"/>
      <c r="C190" s="27"/>
      <c r="D190" s="26"/>
      <c r="E190" s="51"/>
      <c r="F190" s="51"/>
      <c r="G190" s="51"/>
      <c r="H190" s="18"/>
      <c r="I190" s="27"/>
      <c r="J190" s="35"/>
      <c r="K190" s="35"/>
      <c r="L190" s="35"/>
      <c r="M190" s="35"/>
      <c r="N190" s="35"/>
      <c r="O190" s="35"/>
      <c r="P190" s="35"/>
      <c r="Q190" s="35"/>
      <c r="R190" s="35"/>
      <c r="S190" s="35"/>
      <c r="T190" s="35"/>
      <c r="U190" s="35"/>
      <c r="V190" s="35"/>
      <c r="W190" s="35"/>
      <c r="X190" s="35"/>
      <c r="Y190" s="35"/>
      <c r="Z190" s="35"/>
      <c r="AA190" s="35"/>
    </row>
    <row r="191">
      <c r="A191" s="35"/>
      <c r="B191" s="35"/>
      <c r="C191" s="27"/>
      <c r="D191" s="26"/>
      <c r="E191" s="51"/>
      <c r="F191" s="51"/>
      <c r="G191" s="51"/>
      <c r="H191" s="18"/>
      <c r="I191" s="27"/>
      <c r="J191" s="35"/>
      <c r="K191" s="35"/>
      <c r="L191" s="35"/>
      <c r="M191" s="35"/>
      <c r="N191" s="35"/>
      <c r="O191" s="35"/>
      <c r="P191" s="35"/>
      <c r="Q191" s="35"/>
      <c r="R191" s="35"/>
      <c r="S191" s="35"/>
      <c r="T191" s="35"/>
      <c r="U191" s="35"/>
      <c r="V191" s="35"/>
      <c r="W191" s="35"/>
      <c r="X191" s="35"/>
      <c r="Y191" s="35"/>
      <c r="Z191" s="35"/>
      <c r="AA191" s="35"/>
    </row>
    <row r="192">
      <c r="A192" s="35"/>
      <c r="B192" s="35"/>
      <c r="C192" s="27"/>
      <c r="D192" s="26"/>
      <c r="E192" s="51"/>
      <c r="F192" s="51"/>
      <c r="G192" s="51"/>
      <c r="H192" s="18"/>
      <c r="I192" s="27"/>
      <c r="J192" s="35"/>
      <c r="K192" s="35"/>
      <c r="L192" s="35"/>
      <c r="M192" s="35"/>
      <c r="N192" s="35"/>
      <c r="O192" s="35"/>
      <c r="P192" s="35"/>
      <c r="Q192" s="35"/>
      <c r="R192" s="35"/>
      <c r="S192" s="35"/>
      <c r="T192" s="35"/>
      <c r="U192" s="35"/>
      <c r="V192" s="35"/>
      <c r="W192" s="35"/>
      <c r="X192" s="35"/>
      <c r="Y192" s="35"/>
      <c r="Z192" s="35"/>
      <c r="AA192" s="35"/>
    </row>
    <row r="193">
      <c r="A193" s="35"/>
      <c r="B193" s="35"/>
      <c r="C193" s="27"/>
      <c r="D193" s="26"/>
      <c r="E193" s="51"/>
      <c r="F193" s="51"/>
      <c r="G193" s="51"/>
      <c r="H193" s="18"/>
      <c r="I193" s="27"/>
      <c r="J193" s="35"/>
      <c r="K193" s="35"/>
      <c r="L193" s="35"/>
      <c r="M193" s="35"/>
      <c r="N193" s="35"/>
      <c r="O193" s="35"/>
      <c r="P193" s="35"/>
      <c r="Q193" s="35"/>
      <c r="R193" s="35"/>
      <c r="S193" s="35"/>
      <c r="T193" s="35"/>
      <c r="U193" s="35"/>
      <c r="V193" s="35"/>
      <c r="W193" s="35"/>
      <c r="X193" s="35"/>
      <c r="Y193" s="35"/>
      <c r="Z193" s="35"/>
      <c r="AA193" s="35"/>
    </row>
    <row r="194">
      <c r="A194" s="35"/>
      <c r="B194" s="35"/>
      <c r="C194" s="27"/>
      <c r="D194" s="26"/>
      <c r="E194" s="51"/>
      <c r="F194" s="51"/>
      <c r="G194" s="51"/>
      <c r="H194" s="18"/>
      <c r="I194" s="27"/>
      <c r="J194" s="35"/>
      <c r="K194" s="35"/>
      <c r="L194" s="35"/>
      <c r="M194" s="35"/>
      <c r="N194" s="35"/>
      <c r="O194" s="35"/>
      <c r="P194" s="35"/>
      <c r="Q194" s="35"/>
      <c r="R194" s="35"/>
      <c r="S194" s="35"/>
      <c r="T194" s="35"/>
      <c r="U194" s="35"/>
      <c r="V194" s="35"/>
      <c r="W194" s="35"/>
      <c r="X194" s="35"/>
      <c r="Y194" s="35"/>
      <c r="Z194" s="35"/>
      <c r="AA194" s="35"/>
    </row>
    <row r="195">
      <c r="A195" s="35"/>
      <c r="B195" s="35"/>
      <c r="C195" s="27"/>
      <c r="D195" s="26"/>
      <c r="E195" s="51"/>
      <c r="F195" s="51"/>
      <c r="G195" s="51"/>
      <c r="H195" s="18"/>
      <c r="I195" s="27"/>
      <c r="J195" s="35"/>
      <c r="K195" s="35"/>
      <c r="L195" s="35"/>
      <c r="M195" s="35"/>
      <c r="N195" s="35"/>
      <c r="O195" s="35"/>
      <c r="P195" s="35"/>
      <c r="Q195" s="35"/>
      <c r="R195" s="35"/>
      <c r="S195" s="35"/>
      <c r="T195" s="35"/>
      <c r="U195" s="35"/>
      <c r="V195" s="35"/>
      <c r="W195" s="35"/>
      <c r="X195" s="35"/>
      <c r="Y195" s="35"/>
      <c r="Z195" s="35"/>
      <c r="AA195" s="35"/>
    </row>
    <row r="196">
      <c r="A196" s="35"/>
      <c r="B196" s="35"/>
      <c r="C196" s="27"/>
      <c r="D196" s="26"/>
      <c r="E196" s="51"/>
      <c r="F196" s="51"/>
      <c r="G196" s="51"/>
      <c r="H196" s="18"/>
      <c r="I196" s="27"/>
      <c r="J196" s="35"/>
      <c r="K196" s="35"/>
      <c r="L196" s="35"/>
      <c r="M196" s="35"/>
      <c r="N196" s="35"/>
      <c r="O196" s="35"/>
      <c r="P196" s="35"/>
      <c r="Q196" s="35"/>
      <c r="R196" s="35"/>
      <c r="S196" s="35"/>
      <c r="T196" s="35"/>
      <c r="U196" s="35"/>
      <c r="V196" s="35"/>
      <c r="W196" s="35"/>
      <c r="X196" s="35"/>
      <c r="Y196" s="35"/>
      <c r="Z196" s="35"/>
      <c r="AA196" s="35"/>
    </row>
    <row r="197">
      <c r="A197" s="35"/>
      <c r="B197" s="35"/>
      <c r="C197" s="27"/>
      <c r="D197" s="26"/>
      <c r="E197" s="51"/>
      <c r="F197" s="51"/>
      <c r="G197" s="51"/>
      <c r="H197" s="18"/>
      <c r="I197" s="27"/>
      <c r="J197" s="35"/>
      <c r="K197" s="35"/>
      <c r="L197" s="35"/>
      <c r="M197" s="35"/>
      <c r="N197" s="35"/>
      <c r="O197" s="35"/>
      <c r="P197" s="35"/>
      <c r="Q197" s="35"/>
      <c r="R197" s="35"/>
      <c r="S197" s="35"/>
      <c r="T197" s="35"/>
      <c r="U197" s="35"/>
      <c r="V197" s="35"/>
      <c r="W197" s="35"/>
      <c r="X197" s="35"/>
      <c r="Y197" s="35"/>
      <c r="Z197" s="35"/>
      <c r="AA197" s="35"/>
    </row>
    <row r="198">
      <c r="A198" s="35"/>
      <c r="B198" s="35"/>
      <c r="C198" s="27"/>
      <c r="D198" s="26"/>
      <c r="E198" s="51"/>
      <c r="F198" s="51"/>
      <c r="G198" s="51"/>
      <c r="H198" s="18"/>
      <c r="I198" s="27"/>
      <c r="J198" s="35"/>
      <c r="K198" s="35"/>
      <c r="L198" s="35"/>
      <c r="M198" s="35"/>
      <c r="N198" s="35"/>
      <c r="O198" s="35"/>
      <c r="P198" s="35"/>
      <c r="Q198" s="35"/>
      <c r="R198" s="35"/>
      <c r="S198" s="35"/>
      <c r="T198" s="35"/>
      <c r="U198" s="35"/>
      <c r="V198" s="35"/>
      <c r="W198" s="35"/>
      <c r="X198" s="35"/>
      <c r="Y198" s="35"/>
      <c r="Z198" s="35"/>
      <c r="AA198" s="35"/>
    </row>
    <row r="199">
      <c r="A199" s="35"/>
      <c r="B199" s="35"/>
      <c r="C199" s="27"/>
      <c r="D199" s="26"/>
      <c r="E199" s="51"/>
      <c r="F199" s="51"/>
      <c r="G199" s="51"/>
      <c r="H199" s="18"/>
      <c r="I199" s="27"/>
      <c r="J199" s="35"/>
      <c r="K199" s="35"/>
      <c r="L199" s="35"/>
      <c r="M199" s="35"/>
      <c r="N199" s="35"/>
      <c r="O199" s="35"/>
      <c r="P199" s="35"/>
      <c r="Q199" s="35"/>
      <c r="R199" s="35"/>
      <c r="S199" s="35"/>
      <c r="T199" s="35"/>
      <c r="U199" s="35"/>
      <c r="V199" s="35"/>
      <c r="W199" s="35"/>
      <c r="X199" s="35"/>
      <c r="Y199" s="35"/>
      <c r="Z199" s="35"/>
      <c r="AA199" s="35"/>
    </row>
    <row r="200">
      <c r="A200" s="35"/>
      <c r="B200" s="35"/>
      <c r="C200" s="27"/>
      <c r="D200" s="26"/>
      <c r="E200" s="51"/>
      <c r="F200" s="51"/>
      <c r="G200" s="51"/>
      <c r="H200" s="18"/>
      <c r="I200" s="27"/>
      <c r="J200" s="35"/>
      <c r="K200" s="35"/>
      <c r="L200" s="35"/>
      <c r="M200" s="35"/>
      <c r="N200" s="35"/>
      <c r="O200" s="35"/>
      <c r="P200" s="35"/>
      <c r="Q200" s="35"/>
      <c r="R200" s="35"/>
      <c r="S200" s="35"/>
      <c r="T200" s="35"/>
      <c r="U200" s="35"/>
      <c r="V200" s="35"/>
      <c r="W200" s="35"/>
      <c r="X200" s="35"/>
      <c r="Y200" s="35"/>
      <c r="Z200" s="35"/>
      <c r="AA200" s="35"/>
    </row>
    <row r="201">
      <c r="A201" s="35"/>
      <c r="B201" s="35"/>
      <c r="C201" s="27"/>
      <c r="D201" s="26"/>
      <c r="E201" s="51"/>
      <c r="F201" s="51"/>
      <c r="G201" s="51"/>
      <c r="H201" s="18"/>
      <c r="I201" s="27"/>
      <c r="J201" s="35"/>
      <c r="K201" s="35"/>
      <c r="L201" s="35"/>
      <c r="M201" s="35"/>
      <c r="N201" s="35"/>
      <c r="O201" s="35"/>
      <c r="P201" s="35"/>
      <c r="Q201" s="35"/>
      <c r="R201" s="35"/>
      <c r="S201" s="35"/>
      <c r="T201" s="35"/>
      <c r="U201" s="35"/>
      <c r="V201" s="35"/>
      <c r="W201" s="35"/>
      <c r="X201" s="35"/>
      <c r="Y201" s="35"/>
      <c r="Z201" s="35"/>
      <c r="AA201" s="35"/>
    </row>
    <row r="202">
      <c r="A202" s="35"/>
      <c r="B202" s="35"/>
      <c r="C202" s="27"/>
      <c r="D202" s="26"/>
      <c r="E202" s="51"/>
      <c r="F202" s="51"/>
      <c r="G202" s="51"/>
      <c r="H202" s="18"/>
      <c r="I202" s="27"/>
      <c r="J202" s="35"/>
      <c r="K202" s="35"/>
      <c r="L202" s="35"/>
      <c r="M202" s="35"/>
      <c r="N202" s="35"/>
      <c r="O202" s="35"/>
      <c r="P202" s="35"/>
      <c r="Q202" s="35"/>
      <c r="R202" s="35"/>
      <c r="S202" s="35"/>
      <c r="T202" s="35"/>
      <c r="U202" s="35"/>
      <c r="V202" s="35"/>
      <c r="W202" s="35"/>
      <c r="X202" s="35"/>
      <c r="Y202" s="35"/>
      <c r="Z202" s="35"/>
      <c r="AA202" s="35"/>
    </row>
    <row r="203">
      <c r="A203" s="35"/>
      <c r="B203" s="35"/>
      <c r="C203" s="27"/>
      <c r="D203" s="26"/>
      <c r="E203" s="51"/>
      <c r="F203" s="51"/>
      <c r="G203" s="51"/>
      <c r="H203" s="18"/>
      <c r="I203" s="27"/>
      <c r="J203" s="35"/>
      <c r="K203" s="35"/>
      <c r="L203" s="35"/>
      <c r="M203" s="35"/>
      <c r="N203" s="35"/>
      <c r="O203" s="35"/>
      <c r="P203" s="35"/>
      <c r="Q203" s="35"/>
      <c r="R203" s="35"/>
      <c r="S203" s="35"/>
      <c r="T203" s="35"/>
      <c r="U203" s="35"/>
      <c r="V203" s="35"/>
      <c r="W203" s="35"/>
      <c r="X203" s="35"/>
      <c r="Y203" s="35"/>
      <c r="Z203" s="35"/>
      <c r="AA203" s="35"/>
    </row>
    <row r="204">
      <c r="A204" s="35"/>
      <c r="B204" s="35"/>
      <c r="C204" s="27"/>
      <c r="D204" s="26"/>
      <c r="E204" s="51"/>
      <c r="F204" s="51"/>
      <c r="G204" s="51"/>
      <c r="H204" s="18"/>
      <c r="I204" s="27"/>
      <c r="J204" s="35"/>
      <c r="K204" s="35"/>
      <c r="L204" s="35"/>
      <c r="M204" s="35"/>
      <c r="N204" s="35"/>
      <c r="O204" s="35"/>
      <c r="P204" s="35"/>
      <c r="Q204" s="35"/>
      <c r="R204" s="35"/>
      <c r="S204" s="35"/>
      <c r="T204" s="35"/>
      <c r="U204" s="35"/>
      <c r="V204" s="35"/>
      <c r="W204" s="35"/>
      <c r="X204" s="35"/>
      <c r="Y204" s="35"/>
      <c r="Z204" s="35"/>
      <c r="AA204" s="35"/>
    </row>
    <row r="205">
      <c r="A205" s="35"/>
      <c r="B205" s="35"/>
      <c r="C205" s="27"/>
      <c r="D205" s="26"/>
      <c r="E205" s="51"/>
      <c r="F205" s="51"/>
      <c r="G205" s="51"/>
      <c r="H205" s="18"/>
      <c r="I205" s="27"/>
      <c r="J205" s="35"/>
      <c r="K205" s="35"/>
      <c r="L205" s="35"/>
      <c r="M205" s="35"/>
      <c r="N205" s="35"/>
      <c r="O205" s="35"/>
      <c r="P205" s="35"/>
      <c r="Q205" s="35"/>
      <c r="R205" s="35"/>
      <c r="S205" s="35"/>
      <c r="T205" s="35"/>
      <c r="U205" s="35"/>
      <c r="V205" s="35"/>
      <c r="W205" s="35"/>
      <c r="X205" s="35"/>
      <c r="Y205" s="35"/>
      <c r="Z205" s="35"/>
      <c r="AA205" s="35"/>
    </row>
    <row r="206">
      <c r="A206" s="35"/>
      <c r="B206" s="35"/>
      <c r="C206" s="27"/>
      <c r="D206" s="26"/>
      <c r="E206" s="51"/>
      <c r="F206" s="51"/>
      <c r="G206" s="51"/>
      <c r="H206" s="18"/>
      <c r="I206" s="27"/>
      <c r="J206" s="35"/>
      <c r="K206" s="35"/>
      <c r="L206" s="35"/>
      <c r="M206" s="35"/>
      <c r="N206" s="35"/>
      <c r="O206" s="35"/>
      <c r="P206" s="35"/>
      <c r="Q206" s="35"/>
      <c r="R206" s="35"/>
      <c r="S206" s="35"/>
      <c r="T206" s="35"/>
      <c r="U206" s="35"/>
      <c r="V206" s="35"/>
      <c r="W206" s="35"/>
      <c r="X206" s="35"/>
      <c r="Y206" s="35"/>
      <c r="Z206" s="35"/>
      <c r="AA206" s="35"/>
    </row>
    <row r="207">
      <c r="A207" s="35"/>
      <c r="B207" s="35"/>
      <c r="C207" s="27"/>
      <c r="D207" s="26"/>
      <c r="E207" s="51"/>
      <c r="F207" s="51"/>
      <c r="G207" s="51"/>
      <c r="H207" s="18"/>
      <c r="I207" s="27"/>
      <c r="J207" s="35"/>
      <c r="K207" s="35"/>
      <c r="L207" s="35"/>
      <c r="M207" s="35"/>
      <c r="N207" s="35"/>
      <c r="O207" s="35"/>
      <c r="P207" s="35"/>
      <c r="Q207" s="35"/>
      <c r="R207" s="35"/>
      <c r="S207" s="35"/>
      <c r="T207" s="35"/>
      <c r="U207" s="35"/>
      <c r="V207" s="35"/>
      <c r="W207" s="35"/>
      <c r="X207" s="35"/>
      <c r="Y207" s="35"/>
      <c r="Z207" s="35"/>
      <c r="AA207" s="35"/>
    </row>
    <row r="208">
      <c r="A208" s="35"/>
      <c r="B208" s="35"/>
      <c r="C208" s="27"/>
      <c r="D208" s="26"/>
      <c r="E208" s="51"/>
      <c r="F208" s="51"/>
      <c r="G208" s="51"/>
      <c r="H208" s="18"/>
      <c r="I208" s="27"/>
      <c r="J208" s="35"/>
      <c r="K208" s="35"/>
      <c r="L208" s="35"/>
      <c r="M208" s="35"/>
      <c r="N208" s="35"/>
      <c r="O208" s="35"/>
      <c r="P208" s="35"/>
      <c r="Q208" s="35"/>
      <c r="R208" s="35"/>
      <c r="S208" s="35"/>
      <c r="T208" s="35"/>
      <c r="U208" s="35"/>
      <c r="V208" s="35"/>
      <c r="W208" s="35"/>
      <c r="X208" s="35"/>
      <c r="Y208" s="35"/>
      <c r="Z208" s="35"/>
      <c r="AA208" s="35"/>
    </row>
    <row r="209">
      <c r="A209" s="35"/>
      <c r="B209" s="35"/>
      <c r="C209" s="27"/>
      <c r="D209" s="26"/>
      <c r="E209" s="51"/>
      <c r="F209" s="51"/>
      <c r="G209" s="51"/>
      <c r="H209" s="18"/>
      <c r="I209" s="27"/>
      <c r="J209" s="35"/>
      <c r="K209" s="35"/>
      <c r="L209" s="35"/>
      <c r="M209" s="35"/>
      <c r="N209" s="35"/>
      <c r="O209" s="35"/>
      <c r="P209" s="35"/>
      <c r="Q209" s="35"/>
      <c r="R209" s="35"/>
      <c r="S209" s="35"/>
      <c r="T209" s="35"/>
      <c r="U209" s="35"/>
      <c r="V209" s="35"/>
      <c r="W209" s="35"/>
      <c r="X209" s="35"/>
      <c r="Y209" s="35"/>
      <c r="Z209" s="35"/>
      <c r="AA209" s="35"/>
    </row>
    <row r="210">
      <c r="A210" s="35"/>
      <c r="B210" s="35"/>
      <c r="C210" s="27"/>
      <c r="D210" s="26"/>
      <c r="E210" s="51"/>
      <c r="F210" s="51"/>
      <c r="G210" s="51"/>
      <c r="H210" s="18"/>
      <c r="I210" s="27"/>
      <c r="J210" s="35"/>
      <c r="K210" s="35"/>
      <c r="L210" s="35"/>
      <c r="M210" s="35"/>
      <c r="N210" s="35"/>
      <c r="O210" s="35"/>
      <c r="P210" s="35"/>
      <c r="Q210" s="35"/>
      <c r="R210" s="35"/>
      <c r="S210" s="35"/>
      <c r="T210" s="35"/>
      <c r="U210" s="35"/>
      <c r="V210" s="35"/>
      <c r="W210" s="35"/>
      <c r="X210" s="35"/>
      <c r="Y210" s="35"/>
      <c r="Z210" s="35"/>
      <c r="AA210" s="35"/>
    </row>
    <row r="211">
      <c r="A211" s="35"/>
      <c r="B211" s="35"/>
      <c r="C211" s="27"/>
      <c r="D211" s="26"/>
      <c r="E211" s="51"/>
      <c r="F211" s="51"/>
      <c r="G211" s="51"/>
      <c r="H211" s="18"/>
      <c r="I211" s="27"/>
      <c r="J211" s="35"/>
      <c r="K211" s="35"/>
      <c r="L211" s="35"/>
      <c r="M211" s="35"/>
      <c r="N211" s="35"/>
      <c r="O211" s="35"/>
      <c r="P211" s="35"/>
      <c r="Q211" s="35"/>
      <c r="R211" s="35"/>
      <c r="S211" s="35"/>
      <c r="T211" s="35"/>
      <c r="U211" s="35"/>
      <c r="V211" s="35"/>
      <c r="W211" s="35"/>
      <c r="X211" s="35"/>
      <c r="Y211" s="35"/>
      <c r="Z211" s="35"/>
      <c r="AA211" s="35"/>
    </row>
    <row r="212">
      <c r="A212" s="35"/>
      <c r="B212" s="35"/>
      <c r="C212" s="27"/>
      <c r="D212" s="26"/>
      <c r="E212" s="51"/>
      <c r="F212" s="51"/>
      <c r="G212" s="51"/>
      <c r="H212" s="18"/>
      <c r="I212" s="27"/>
      <c r="J212" s="35"/>
      <c r="K212" s="35"/>
      <c r="L212" s="35"/>
      <c r="M212" s="35"/>
      <c r="N212" s="35"/>
      <c r="O212" s="35"/>
      <c r="P212" s="35"/>
      <c r="Q212" s="35"/>
      <c r="R212" s="35"/>
      <c r="S212" s="35"/>
      <c r="T212" s="35"/>
      <c r="U212" s="35"/>
      <c r="V212" s="35"/>
      <c r="W212" s="35"/>
      <c r="X212" s="35"/>
      <c r="Y212" s="35"/>
      <c r="Z212" s="35"/>
      <c r="AA212" s="35"/>
    </row>
    <row r="213">
      <c r="A213" s="35"/>
      <c r="B213" s="35"/>
      <c r="C213" s="27"/>
      <c r="D213" s="26"/>
      <c r="E213" s="51"/>
      <c r="F213" s="51"/>
      <c r="G213" s="51"/>
      <c r="H213" s="18"/>
      <c r="I213" s="27"/>
      <c r="J213" s="35"/>
      <c r="K213" s="35"/>
      <c r="L213" s="35"/>
      <c r="M213" s="35"/>
      <c r="N213" s="35"/>
      <c r="O213" s="35"/>
      <c r="P213" s="35"/>
      <c r="Q213" s="35"/>
      <c r="R213" s="35"/>
      <c r="S213" s="35"/>
      <c r="T213" s="35"/>
      <c r="U213" s="35"/>
      <c r="V213" s="35"/>
      <c r="W213" s="35"/>
      <c r="X213" s="35"/>
      <c r="Y213" s="35"/>
      <c r="Z213" s="35"/>
      <c r="AA213" s="35"/>
    </row>
    <row r="214">
      <c r="A214" s="35"/>
      <c r="B214" s="35"/>
      <c r="C214" s="27"/>
      <c r="D214" s="26"/>
      <c r="E214" s="51"/>
      <c r="F214" s="51"/>
      <c r="G214" s="51"/>
      <c r="H214" s="18"/>
      <c r="I214" s="27"/>
      <c r="J214" s="35"/>
      <c r="K214" s="35"/>
      <c r="L214" s="35"/>
      <c r="M214" s="35"/>
      <c r="N214" s="35"/>
      <c r="O214" s="35"/>
      <c r="P214" s="35"/>
      <c r="Q214" s="35"/>
      <c r="R214" s="35"/>
      <c r="S214" s="35"/>
      <c r="T214" s="35"/>
      <c r="U214" s="35"/>
      <c r="V214" s="35"/>
      <c r="W214" s="35"/>
      <c r="X214" s="35"/>
      <c r="Y214" s="35"/>
      <c r="Z214" s="35"/>
      <c r="AA214" s="35"/>
    </row>
    <row r="215">
      <c r="A215" s="35"/>
      <c r="B215" s="35"/>
      <c r="C215" s="27"/>
      <c r="D215" s="26"/>
      <c r="E215" s="51"/>
      <c r="F215" s="51"/>
      <c r="G215" s="51"/>
      <c r="H215" s="18"/>
      <c r="I215" s="27"/>
      <c r="J215" s="35"/>
      <c r="K215" s="35"/>
      <c r="L215" s="35"/>
      <c r="M215" s="35"/>
      <c r="N215" s="35"/>
      <c r="O215" s="35"/>
      <c r="P215" s="35"/>
      <c r="Q215" s="35"/>
      <c r="R215" s="35"/>
      <c r="S215" s="35"/>
      <c r="T215" s="35"/>
      <c r="U215" s="35"/>
      <c r="V215" s="35"/>
      <c r="W215" s="35"/>
      <c r="X215" s="35"/>
      <c r="Y215" s="35"/>
      <c r="Z215" s="35"/>
      <c r="AA215" s="35"/>
    </row>
    <row r="216">
      <c r="A216" s="35"/>
      <c r="B216" s="35"/>
      <c r="C216" s="27"/>
      <c r="D216" s="26"/>
      <c r="E216" s="51"/>
      <c r="F216" s="51"/>
      <c r="G216" s="51"/>
      <c r="H216" s="18"/>
      <c r="I216" s="27"/>
      <c r="J216" s="35"/>
      <c r="K216" s="35"/>
      <c r="L216" s="35"/>
      <c r="M216" s="35"/>
      <c r="N216" s="35"/>
      <c r="O216" s="35"/>
      <c r="P216" s="35"/>
      <c r="Q216" s="35"/>
      <c r="R216" s="35"/>
      <c r="S216" s="35"/>
      <c r="T216" s="35"/>
      <c r="U216" s="35"/>
      <c r="V216" s="35"/>
      <c r="W216" s="35"/>
      <c r="X216" s="35"/>
      <c r="Y216" s="35"/>
      <c r="Z216" s="35"/>
      <c r="AA216" s="35"/>
    </row>
    <row r="217">
      <c r="A217" s="35"/>
      <c r="B217" s="35"/>
      <c r="C217" s="27"/>
      <c r="D217" s="26"/>
      <c r="E217" s="51"/>
      <c r="F217" s="51"/>
      <c r="G217" s="51"/>
      <c r="H217" s="18"/>
      <c r="I217" s="27"/>
      <c r="J217" s="35"/>
      <c r="K217" s="35"/>
      <c r="L217" s="35"/>
      <c r="M217" s="35"/>
      <c r="N217" s="35"/>
      <c r="O217" s="35"/>
      <c r="P217" s="35"/>
      <c r="Q217" s="35"/>
      <c r="R217" s="35"/>
      <c r="S217" s="35"/>
      <c r="T217" s="35"/>
      <c r="U217" s="35"/>
      <c r="V217" s="35"/>
      <c r="W217" s="35"/>
      <c r="X217" s="35"/>
      <c r="Y217" s="35"/>
      <c r="Z217" s="35"/>
      <c r="AA217" s="35"/>
    </row>
    <row r="218">
      <c r="A218" s="35"/>
      <c r="B218" s="35"/>
      <c r="C218" s="27"/>
      <c r="D218" s="26"/>
      <c r="E218" s="51"/>
      <c r="F218" s="51"/>
      <c r="G218" s="51"/>
      <c r="H218" s="18"/>
      <c r="I218" s="27"/>
      <c r="J218" s="35"/>
      <c r="K218" s="35"/>
      <c r="L218" s="35"/>
      <c r="M218" s="35"/>
      <c r="N218" s="35"/>
      <c r="O218" s="35"/>
      <c r="P218" s="35"/>
      <c r="Q218" s="35"/>
      <c r="R218" s="35"/>
      <c r="S218" s="35"/>
      <c r="T218" s="35"/>
      <c r="U218" s="35"/>
      <c r="V218" s="35"/>
      <c r="W218" s="35"/>
      <c r="X218" s="35"/>
      <c r="Y218" s="35"/>
      <c r="Z218" s="35"/>
      <c r="AA218" s="35"/>
    </row>
    <row r="219">
      <c r="A219" s="35"/>
      <c r="B219" s="35"/>
      <c r="C219" s="27"/>
      <c r="D219" s="26"/>
      <c r="E219" s="51"/>
      <c r="F219" s="51"/>
      <c r="G219" s="51"/>
      <c r="H219" s="18"/>
      <c r="I219" s="27"/>
      <c r="J219" s="35"/>
      <c r="K219" s="35"/>
      <c r="L219" s="35"/>
      <c r="M219" s="35"/>
      <c r="N219" s="35"/>
      <c r="O219" s="35"/>
      <c r="P219" s="35"/>
      <c r="Q219" s="35"/>
      <c r="R219" s="35"/>
      <c r="S219" s="35"/>
      <c r="T219" s="35"/>
      <c r="U219" s="35"/>
      <c r="V219" s="35"/>
      <c r="W219" s="35"/>
      <c r="X219" s="35"/>
      <c r="Y219" s="35"/>
      <c r="Z219" s="35"/>
      <c r="AA219" s="35"/>
    </row>
    <row r="220">
      <c r="A220" s="35"/>
      <c r="B220" s="35"/>
      <c r="C220" s="27"/>
      <c r="D220" s="26"/>
      <c r="E220" s="51"/>
      <c r="F220" s="51"/>
      <c r="G220" s="51"/>
      <c r="H220" s="18"/>
      <c r="I220" s="27"/>
      <c r="J220" s="35"/>
      <c r="K220" s="35"/>
      <c r="L220" s="35"/>
      <c r="M220" s="35"/>
      <c r="N220" s="35"/>
      <c r="O220" s="35"/>
      <c r="P220" s="35"/>
      <c r="Q220" s="35"/>
      <c r="R220" s="35"/>
      <c r="S220" s="35"/>
      <c r="T220" s="35"/>
      <c r="U220" s="35"/>
      <c r="V220" s="35"/>
      <c r="W220" s="35"/>
      <c r="X220" s="35"/>
      <c r="Y220" s="35"/>
      <c r="Z220" s="35"/>
      <c r="AA220" s="35"/>
    </row>
    <row r="221">
      <c r="A221" s="35"/>
      <c r="B221" s="35"/>
      <c r="C221" s="27"/>
      <c r="D221" s="26"/>
      <c r="E221" s="51"/>
      <c r="F221" s="51"/>
      <c r="G221" s="51"/>
      <c r="H221" s="18"/>
      <c r="I221" s="27"/>
      <c r="J221" s="35"/>
      <c r="K221" s="35"/>
      <c r="L221" s="35"/>
      <c r="M221" s="35"/>
      <c r="N221" s="35"/>
      <c r="O221" s="35"/>
      <c r="P221" s="35"/>
      <c r="Q221" s="35"/>
      <c r="R221" s="35"/>
      <c r="S221" s="35"/>
      <c r="T221" s="35"/>
      <c r="U221" s="35"/>
      <c r="V221" s="35"/>
      <c r="W221" s="35"/>
      <c r="X221" s="35"/>
      <c r="Y221" s="35"/>
      <c r="Z221" s="35"/>
      <c r="AA221" s="35"/>
    </row>
    <row r="222">
      <c r="A222" s="35"/>
      <c r="B222" s="35"/>
      <c r="C222" s="27"/>
      <c r="D222" s="26"/>
      <c r="E222" s="51"/>
      <c r="F222" s="51"/>
      <c r="G222" s="51"/>
      <c r="H222" s="18"/>
      <c r="I222" s="27"/>
      <c r="J222" s="35"/>
      <c r="K222" s="35"/>
      <c r="L222" s="35"/>
      <c r="M222" s="35"/>
      <c r="N222" s="35"/>
      <c r="O222" s="35"/>
      <c r="P222" s="35"/>
      <c r="Q222" s="35"/>
      <c r="R222" s="35"/>
      <c r="S222" s="35"/>
      <c r="T222" s="35"/>
      <c r="U222" s="35"/>
      <c r="V222" s="35"/>
      <c r="W222" s="35"/>
      <c r="X222" s="35"/>
      <c r="Y222" s="35"/>
      <c r="Z222" s="35"/>
      <c r="AA222" s="35"/>
    </row>
    <row r="223">
      <c r="A223" s="35"/>
      <c r="B223" s="35"/>
      <c r="C223" s="27"/>
      <c r="D223" s="26"/>
      <c r="E223" s="51"/>
      <c r="F223" s="51"/>
      <c r="G223" s="51"/>
      <c r="H223" s="18"/>
      <c r="I223" s="27"/>
      <c r="J223" s="35"/>
      <c r="K223" s="35"/>
      <c r="L223" s="35"/>
      <c r="M223" s="35"/>
      <c r="N223" s="35"/>
      <c r="O223" s="35"/>
      <c r="P223" s="35"/>
      <c r="Q223" s="35"/>
      <c r="R223" s="35"/>
      <c r="S223" s="35"/>
      <c r="T223" s="35"/>
      <c r="U223" s="35"/>
      <c r="V223" s="35"/>
      <c r="W223" s="35"/>
      <c r="X223" s="35"/>
      <c r="Y223" s="35"/>
      <c r="Z223" s="35"/>
      <c r="AA223" s="35"/>
    </row>
    <row r="224">
      <c r="A224" s="35"/>
      <c r="B224" s="35"/>
      <c r="C224" s="27"/>
      <c r="D224" s="26"/>
      <c r="E224" s="51"/>
      <c r="F224" s="51"/>
      <c r="G224" s="51"/>
      <c r="H224" s="18"/>
      <c r="I224" s="27"/>
      <c r="J224" s="35"/>
      <c r="K224" s="35"/>
      <c r="L224" s="35"/>
      <c r="M224" s="35"/>
      <c r="N224" s="35"/>
      <c r="O224" s="35"/>
      <c r="P224" s="35"/>
      <c r="Q224" s="35"/>
      <c r="R224" s="35"/>
      <c r="S224" s="35"/>
      <c r="T224" s="35"/>
      <c r="U224" s="35"/>
      <c r="V224" s="35"/>
      <c r="W224" s="35"/>
      <c r="X224" s="35"/>
      <c r="Y224" s="35"/>
      <c r="Z224" s="35"/>
      <c r="AA224" s="35"/>
    </row>
    <row r="225">
      <c r="A225" s="35"/>
      <c r="B225" s="35"/>
      <c r="C225" s="27"/>
      <c r="D225" s="26"/>
      <c r="E225" s="51"/>
      <c r="F225" s="51"/>
      <c r="G225" s="51"/>
      <c r="H225" s="18"/>
      <c r="I225" s="27"/>
      <c r="J225" s="35"/>
      <c r="K225" s="35"/>
      <c r="L225" s="35"/>
      <c r="M225" s="35"/>
      <c r="N225" s="35"/>
      <c r="O225" s="35"/>
      <c r="P225" s="35"/>
      <c r="Q225" s="35"/>
      <c r="R225" s="35"/>
      <c r="S225" s="35"/>
      <c r="T225" s="35"/>
      <c r="U225" s="35"/>
      <c r="V225" s="35"/>
      <c r="W225" s="35"/>
      <c r="X225" s="35"/>
      <c r="Y225" s="35"/>
      <c r="Z225" s="35"/>
      <c r="AA225" s="35"/>
    </row>
    <row r="226">
      <c r="A226" s="35"/>
      <c r="B226" s="35"/>
      <c r="C226" s="27"/>
      <c r="D226" s="26"/>
      <c r="E226" s="51"/>
      <c r="F226" s="51"/>
      <c r="G226" s="51"/>
      <c r="H226" s="18"/>
      <c r="I226" s="27"/>
      <c r="J226" s="35"/>
      <c r="K226" s="35"/>
      <c r="L226" s="35"/>
      <c r="M226" s="35"/>
      <c r="N226" s="35"/>
      <c r="O226" s="35"/>
      <c r="P226" s="35"/>
      <c r="Q226" s="35"/>
      <c r="R226" s="35"/>
      <c r="S226" s="35"/>
      <c r="T226" s="35"/>
      <c r="U226" s="35"/>
      <c r="V226" s="35"/>
      <c r="W226" s="35"/>
      <c r="X226" s="35"/>
      <c r="Y226" s="35"/>
      <c r="Z226" s="35"/>
      <c r="AA226" s="35"/>
    </row>
    <row r="227">
      <c r="A227" s="35"/>
      <c r="B227" s="35"/>
      <c r="C227" s="27"/>
      <c r="D227" s="26"/>
      <c r="E227" s="51"/>
      <c r="F227" s="51"/>
      <c r="G227" s="51"/>
      <c r="H227" s="18"/>
      <c r="I227" s="27"/>
      <c r="J227" s="35"/>
      <c r="K227" s="35"/>
      <c r="L227" s="35"/>
      <c r="M227" s="35"/>
      <c r="N227" s="35"/>
      <c r="O227" s="35"/>
      <c r="P227" s="35"/>
      <c r="Q227" s="35"/>
      <c r="R227" s="35"/>
      <c r="S227" s="35"/>
      <c r="T227" s="35"/>
      <c r="U227" s="35"/>
      <c r="V227" s="35"/>
      <c r="W227" s="35"/>
      <c r="X227" s="35"/>
      <c r="Y227" s="35"/>
      <c r="Z227" s="35"/>
      <c r="AA227" s="35"/>
    </row>
    <row r="228">
      <c r="A228" s="35"/>
      <c r="B228" s="35"/>
      <c r="C228" s="27"/>
      <c r="D228" s="26"/>
      <c r="E228" s="51"/>
      <c r="F228" s="51"/>
      <c r="G228" s="51"/>
      <c r="H228" s="18"/>
      <c r="I228" s="27"/>
      <c r="J228" s="35"/>
      <c r="K228" s="35"/>
      <c r="L228" s="35"/>
      <c r="M228" s="35"/>
      <c r="N228" s="35"/>
      <c r="O228" s="35"/>
      <c r="P228" s="35"/>
      <c r="Q228" s="35"/>
      <c r="R228" s="35"/>
      <c r="S228" s="35"/>
      <c r="T228" s="35"/>
      <c r="U228" s="35"/>
      <c r="V228" s="35"/>
      <c r="W228" s="35"/>
      <c r="X228" s="35"/>
      <c r="Y228" s="35"/>
      <c r="Z228" s="35"/>
      <c r="AA228" s="35"/>
    </row>
    <row r="229">
      <c r="A229" s="35"/>
      <c r="B229" s="35"/>
      <c r="C229" s="27"/>
      <c r="D229" s="26"/>
      <c r="E229" s="51"/>
      <c r="F229" s="51"/>
      <c r="G229" s="51"/>
      <c r="H229" s="18"/>
      <c r="I229" s="27"/>
      <c r="J229" s="35"/>
      <c r="K229" s="35"/>
      <c r="L229" s="35"/>
      <c r="M229" s="35"/>
      <c r="N229" s="35"/>
      <c r="O229" s="35"/>
      <c r="P229" s="35"/>
      <c r="Q229" s="35"/>
      <c r="R229" s="35"/>
      <c r="S229" s="35"/>
      <c r="T229" s="35"/>
      <c r="U229" s="35"/>
      <c r="V229" s="35"/>
      <c r="W229" s="35"/>
      <c r="X229" s="35"/>
      <c r="Y229" s="35"/>
      <c r="Z229" s="35"/>
      <c r="AA229" s="35"/>
    </row>
    <row r="230">
      <c r="A230" s="35"/>
      <c r="B230" s="35"/>
      <c r="C230" s="27"/>
      <c r="D230" s="26"/>
      <c r="E230" s="51"/>
      <c r="F230" s="51"/>
      <c r="G230" s="51"/>
      <c r="H230" s="18"/>
      <c r="I230" s="27"/>
      <c r="J230" s="35"/>
      <c r="K230" s="35"/>
      <c r="L230" s="35"/>
      <c r="M230" s="35"/>
      <c r="N230" s="35"/>
      <c r="O230" s="35"/>
      <c r="P230" s="35"/>
      <c r="Q230" s="35"/>
      <c r="R230" s="35"/>
      <c r="S230" s="35"/>
      <c r="T230" s="35"/>
      <c r="U230" s="35"/>
      <c r="V230" s="35"/>
      <c r="W230" s="35"/>
      <c r="X230" s="35"/>
      <c r="Y230" s="35"/>
      <c r="Z230" s="35"/>
      <c r="AA230" s="35"/>
    </row>
    <row r="231">
      <c r="A231" s="35"/>
      <c r="B231" s="35"/>
      <c r="C231" s="27"/>
      <c r="D231" s="26"/>
      <c r="E231" s="51"/>
      <c r="F231" s="51"/>
      <c r="G231" s="51"/>
      <c r="H231" s="18"/>
      <c r="I231" s="27"/>
      <c r="J231" s="35"/>
      <c r="K231" s="35"/>
      <c r="L231" s="35"/>
      <c r="M231" s="35"/>
      <c r="N231" s="35"/>
      <c r="O231" s="35"/>
      <c r="P231" s="35"/>
      <c r="Q231" s="35"/>
      <c r="R231" s="35"/>
      <c r="S231" s="35"/>
      <c r="T231" s="35"/>
      <c r="U231" s="35"/>
      <c r="V231" s="35"/>
      <c r="W231" s="35"/>
      <c r="X231" s="35"/>
      <c r="Y231" s="35"/>
      <c r="Z231" s="35"/>
      <c r="AA231" s="35"/>
    </row>
    <row r="232">
      <c r="A232" s="35"/>
      <c r="B232" s="35"/>
      <c r="C232" s="27"/>
      <c r="D232" s="26"/>
      <c r="E232" s="51"/>
      <c r="F232" s="51"/>
      <c r="G232" s="51"/>
      <c r="H232" s="18"/>
      <c r="I232" s="27"/>
      <c r="J232" s="35"/>
      <c r="K232" s="35"/>
      <c r="L232" s="35"/>
      <c r="M232" s="35"/>
      <c r="N232" s="35"/>
      <c r="O232" s="35"/>
      <c r="P232" s="35"/>
      <c r="Q232" s="35"/>
      <c r="R232" s="35"/>
      <c r="S232" s="35"/>
      <c r="T232" s="35"/>
      <c r="U232" s="35"/>
      <c r="V232" s="35"/>
      <c r="W232" s="35"/>
      <c r="X232" s="35"/>
      <c r="Y232" s="35"/>
      <c r="Z232" s="35"/>
      <c r="AA232" s="35"/>
    </row>
    <row r="233">
      <c r="A233" s="35"/>
      <c r="B233" s="35"/>
      <c r="C233" s="27"/>
      <c r="D233" s="26"/>
      <c r="E233" s="51"/>
      <c r="F233" s="51"/>
      <c r="G233" s="51"/>
      <c r="H233" s="18"/>
      <c r="I233" s="27"/>
      <c r="J233" s="35"/>
      <c r="K233" s="35"/>
      <c r="L233" s="35"/>
      <c r="M233" s="35"/>
      <c r="N233" s="35"/>
      <c r="O233" s="35"/>
      <c r="P233" s="35"/>
      <c r="Q233" s="35"/>
      <c r="R233" s="35"/>
      <c r="S233" s="35"/>
      <c r="T233" s="35"/>
      <c r="U233" s="35"/>
      <c r="V233" s="35"/>
      <c r="W233" s="35"/>
      <c r="X233" s="35"/>
      <c r="Y233" s="35"/>
      <c r="Z233" s="35"/>
      <c r="AA233" s="35"/>
    </row>
    <row r="234">
      <c r="A234" s="35"/>
      <c r="B234" s="35"/>
      <c r="C234" s="27"/>
      <c r="D234" s="26"/>
      <c r="E234" s="51"/>
      <c r="F234" s="51"/>
      <c r="G234" s="51"/>
      <c r="H234" s="18"/>
      <c r="I234" s="27"/>
      <c r="J234" s="35"/>
      <c r="K234" s="35"/>
      <c r="L234" s="35"/>
      <c r="M234" s="35"/>
      <c r="N234" s="35"/>
      <c r="O234" s="35"/>
      <c r="P234" s="35"/>
      <c r="Q234" s="35"/>
      <c r="R234" s="35"/>
      <c r="S234" s="35"/>
      <c r="T234" s="35"/>
      <c r="U234" s="35"/>
      <c r="V234" s="35"/>
      <c r="W234" s="35"/>
      <c r="X234" s="35"/>
      <c r="Y234" s="35"/>
      <c r="Z234" s="35"/>
      <c r="AA234" s="35"/>
    </row>
    <row r="235">
      <c r="A235" s="35"/>
      <c r="B235" s="35"/>
      <c r="C235" s="27"/>
      <c r="D235" s="26"/>
      <c r="E235" s="51"/>
      <c r="F235" s="51"/>
      <c r="G235" s="51"/>
      <c r="H235" s="18"/>
      <c r="I235" s="27"/>
      <c r="J235" s="35"/>
      <c r="K235" s="35"/>
      <c r="L235" s="35"/>
      <c r="M235" s="35"/>
      <c r="N235" s="35"/>
      <c r="O235" s="35"/>
      <c r="P235" s="35"/>
      <c r="Q235" s="35"/>
      <c r="R235" s="35"/>
      <c r="S235" s="35"/>
      <c r="T235" s="35"/>
      <c r="U235" s="35"/>
      <c r="V235" s="35"/>
      <c r="W235" s="35"/>
      <c r="X235" s="35"/>
      <c r="Y235" s="35"/>
      <c r="Z235" s="35"/>
      <c r="AA235" s="35"/>
    </row>
    <row r="236">
      <c r="A236" s="35"/>
      <c r="B236" s="35"/>
      <c r="C236" s="27"/>
      <c r="D236" s="26"/>
      <c r="E236" s="51"/>
      <c r="F236" s="51"/>
      <c r="G236" s="51"/>
      <c r="H236" s="18"/>
      <c r="I236" s="27"/>
      <c r="J236" s="35"/>
      <c r="K236" s="35"/>
      <c r="L236" s="35"/>
      <c r="M236" s="35"/>
      <c r="N236" s="35"/>
      <c r="O236" s="35"/>
      <c r="P236" s="35"/>
      <c r="Q236" s="35"/>
      <c r="R236" s="35"/>
      <c r="S236" s="35"/>
      <c r="T236" s="35"/>
      <c r="U236" s="35"/>
      <c r="V236" s="35"/>
      <c r="W236" s="35"/>
      <c r="X236" s="35"/>
      <c r="Y236" s="35"/>
      <c r="Z236" s="35"/>
      <c r="AA236" s="35"/>
    </row>
    <row r="237">
      <c r="A237" s="35"/>
      <c r="B237" s="35"/>
      <c r="C237" s="27"/>
      <c r="D237" s="26"/>
      <c r="E237" s="51"/>
      <c r="F237" s="51"/>
      <c r="G237" s="51"/>
      <c r="H237" s="18"/>
      <c r="I237" s="27"/>
      <c r="J237" s="35"/>
      <c r="K237" s="35"/>
      <c r="L237" s="35"/>
      <c r="M237" s="35"/>
      <c r="N237" s="35"/>
      <c r="O237" s="35"/>
      <c r="P237" s="35"/>
      <c r="Q237" s="35"/>
      <c r="R237" s="35"/>
      <c r="S237" s="35"/>
      <c r="T237" s="35"/>
      <c r="U237" s="35"/>
      <c r="V237" s="35"/>
      <c r="W237" s="35"/>
      <c r="X237" s="35"/>
      <c r="Y237" s="35"/>
      <c r="Z237" s="35"/>
      <c r="AA237" s="35"/>
    </row>
    <row r="238">
      <c r="A238" s="35"/>
      <c r="B238" s="35"/>
      <c r="C238" s="27"/>
      <c r="D238" s="26"/>
      <c r="E238" s="51"/>
      <c r="F238" s="51"/>
      <c r="G238" s="51"/>
      <c r="H238" s="18"/>
      <c r="I238" s="27"/>
      <c r="J238" s="35"/>
      <c r="K238" s="35"/>
      <c r="L238" s="35"/>
      <c r="M238" s="35"/>
      <c r="N238" s="35"/>
      <c r="O238" s="35"/>
      <c r="P238" s="35"/>
      <c r="Q238" s="35"/>
      <c r="R238" s="35"/>
      <c r="S238" s="35"/>
      <c r="T238" s="35"/>
      <c r="U238" s="35"/>
      <c r="V238" s="35"/>
      <c r="W238" s="35"/>
      <c r="X238" s="35"/>
      <c r="Y238" s="35"/>
      <c r="Z238" s="35"/>
      <c r="AA238" s="35"/>
    </row>
    <row r="239">
      <c r="A239" s="35"/>
      <c r="B239" s="35"/>
      <c r="C239" s="27"/>
      <c r="D239" s="26"/>
      <c r="E239" s="51"/>
      <c r="F239" s="51"/>
      <c r="G239" s="51"/>
      <c r="H239" s="18"/>
      <c r="I239" s="27"/>
      <c r="J239" s="35"/>
      <c r="K239" s="35"/>
      <c r="L239" s="35"/>
      <c r="M239" s="35"/>
      <c r="N239" s="35"/>
      <c r="O239" s="35"/>
      <c r="P239" s="35"/>
      <c r="Q239" s="35"/>
      <c r="R239" s="35"/>
      <c r="S239" s="35"/>
      <c r="T239" s="35"/>
      <c r="U239" s="35"/>
      <c r="V239" s="35"/>
      <c r="W239" s="35"/>
      <c r="X239" s="35"/>
      <c r="Y239" s="35"/>
      <c r="Z239" s="35"/>
      <c r="AA239" s="35"/>
    </row>
    <row r="240">
      <c r="A240" s="35"/>
      <c r="B240" s="35"/>
      <c r="C240" s="27"/>
      <c r="D240" s="26"/>
      <c r="E240" s="51"/>
      <c r="F240" s="51"/>
      <c r="G240" s="51"/>
      <c r="H240" s="18"/>
      <c r="I240" s="27"/>
      <c r="J240" s="35"/>
      <c r="K240" s="35"/>
      <c r="L240" s="35"/>
      <c r="M240" s="35"/>
      <c r="N240" s="35"/>
      <c r="O240" s="35"/>
      <c r="P240" s="35"/>
      <c r="Q240" s="35"/>
      <c r="R240" s="35"/>
      <c r="S240" s="35"/>
      <c r="T240" s="35"/>
      <c r="U240" s="35"/>
      <c r="V240" s="35"/>
      <c r="W240" s="35"/>
      <c r="X240" s="35"/>
      <c r="Y240" s="35"/>
      <c r="Z240" s="35"/>
      <c r="AA240" s="35"/>
    </row>
    <row r="241">
      <c r="A241" s="35"/>
      <c r="B241" s="35"/>
      <c r="C241" s="27"/>
      <c r="D241" s="26"/>
      <c r="E241" s="51"/>
      <c r="F241" s="51"/>
      <c r="G241" s="51"/>
      <c r="H241" s="18"/>
      <c r="I241" s="27"/>
      <c r="J241" s="35"/>
      <c r="K241" s="35"/>
      <c r="L241" s="35"/>
      <c r="M241" s="35"/>
      <c r="N241" s="35"/>
      <c r="O241" s="35"/>
      <c r="P241" s="35"/>
      <c r="Q241" s="35"/>
      <c r="R241" s="35"/>
      <c r="S241" s="35"/>
      <c r="T241" s="35"/>
      <c r="U241" s="35"/>
      <c r="V241" s="35"/>
      <c r="W241" s="35"/>
      <c r="X241" s="35"/>
      <c r="Y241" s="35"/>
      <c r="Z241" s="35"/>
      <c r="AA241" s="35"/>
    </row>
    <row r="242">
      <c r="A242" s="35"/>
      <c r="B242" s="35"/>
      <c r="C242" s="27"/>
      <c r="D242" s="26"/>
      <c r="E242" s="51"/>
      <c r="F242" s="51"/>
      <c r="G242" s="51"/>
      <c r="H242" s="18"/>
      <c r="I242" s="27"/>
      <c r="J242" s="35"/>
      <c r="K242" s="35"/>
      <c r="L242" s="35"/>
      <c r="M242" s="35"/>
      <c r="N242" s="35"/>
      <c r="O242" s="35"/>
      <c r="P242" s="35"/>
      <c r="Q242" s="35"/>
      <c r="R242" s="35"/>
      <c r="S242" s="35"/>
      <c r="T242" s="35"/>
      <c r="U242" s="35"/>
      <c r="V242" s="35"/>
      <c r="W242" s="35"/>
      <c r="X242" s="35"/>
      <c r="Y242" s="35"/>
      <c r="Z242" s="35"/>
      <c r="AA242" s="35"/>
    </row>
    <row r="243">
      <c r="A243" s="35"/>
      <c r="B243" s="35"/>
      <c r="C243" s="27"/>
      <c r="D243" s="26"/>
      <c r="E243" s="51"/>
      <c r="F243" s="51"/>
      <c r="G243" s="51"/>
      <c r="H243" s="18"/>
      <c r="I243" s="27"/>
      <c r="J243" s="35"/>
      <c r="K243" s="35"/>
      <c r="L243" s="35"/>
      <c r="M243" s="35"/>
      <c r="N243" s="35"/>
      <c r="O243" s="35"/>
      <c r="P243" s="35"/>
      <c r="Q243" s="35"/>
      <c r="R243" s="35"/>
      <c r="S243" s="35"/>
      <c r="T243" s="35"/>
      <c r="U243" s="35"/>
      <c r="V243" s="35"/>
      <c r="W243" s="35"/>
      <c r="X243" s="35"/>
      <c r="Y243" s="35"/>
      <c r="Z243" s="35"/>
      <c r="AA243" s="35"/>
    </row>
    <row r="244">
      <c r="A244" s="35"/>
      <c r="B244" s="35"/>
      <c r="C244" s="27"/>
      <c r="D244" s="26"/>
      <c r="E244" s="51"/>
      <c r="F244" s="51"/>
      <c r="G244" s="51"/>
      <c r="H244" s="18"/>
      <c r="I244" s="27"/>
      <c r="J244" s="35"/>
      <c r="K244" s="35"/>
      <c r="L244" s="35"/>
      <c r="M244" s="35"/>
      <c r="N244" s="35"/>
      <c r="O244" s="35"/>
      <c r="P244" s="35"/>
      <c r="Q244" s="35"/>
      <c r="R244" s="35"/>
      <c r="S244" s="35"/>
      <c r="T244" s="35"/>
      <c r="U244" s="35"/>
      <c r="V244" s="35"/>
      <c r="W244" s="35"/>
      <c r="X244" s="35"/>
      <c r="Y244" s="35"/>
      <c r="Z244" s="35"/>
      <c r="AA244" s="35"/>
    </row>
    <row r="245">
      <c r="A245" s="35"/>
      <c r="B245" s="35"/>
      <c r="C245" s="27"/>
      <c r="D245" s="26"/>
      <c r="E245" s="51"/>
      <c r="F245" s="51"/>
      <c r="G245" s="51"/>
      <c r="H245" s="18"/>
      <c r="I245" s="27"/>
      <c r="J245" s="35"/>
      <c r="K245" s="35"/>
      <c r="L245" s="35"/>
      <c r="M245" s="35"/>
      <c r="N245" s="35"/>
      <c r="O245" s="35"/>
      <c r="P245" s="35"/>
      <c r="Q245" s="35"/>
      <c r="R245" s="35"/>
      <c r="S245" s="35"/>
      <c r="T245" s="35"/>
      <c r="U245" s="35"/>
      <c r="V245" s="35"/>
      <c r="W245" s="35"/>
      <c r="X245" s="35"/>
      <c r="Y245" s="35"/>
      <c r="Z245" s="35"/>
      <c r="AA245" s="35"/>
    </row>
    <row r="246">
      <c r="A246" s="35"/>
      <c r="B246" s="35"/>
      <c r="C246" s="27"/>
      <c r="D246" s="26"/>
      <c r="E246" s="51"/>
      <c r="F246" s="51"/>
      <c r="G246" s="51"/>
      <c r="H246" s="18"/>
      <c r="I246" s="27"/>
      <c r="J246" s="35"/>
      <c r="K246" s="35"/>
      <c r="L246" s="35"/>
      <c r="M246" s="35"/>
      <c r="N246" s="35"/>
      <c r="O246" s="35"/>
      <c r="P246" s="35"/>
      <c r="Q246" s="35"/>
      <c r="R246" s="35"/>
      <c r="S246" s="35"/>
      <c r="T246" s="35"/>
      <c r="U246" s="35"/>
      <c r="V246" s="35"/>
      <c r="W246" s="35"/>
      <c r="X246" s="35"/>
      <c r="Y246" s="35"/>
      <c r="Z246" s="35"/>
      <c r="AA246" s="35"/>
    </row>
    <row r="247">
      <c r="A247" s="35"/>
      <c r="B247" s="35"/>
      <c r="C247" s="27"/>
      <c r="D247" s="26"/>
      <c r="E247" s="51"/>
      <c r="F247" s="51"/>
      <c r="G247" s="51"/>
      <c r="H247" s="18"/>
      <c r="I247" s="27"/>
      <c r="J247" s="35"/>
      <c r="K247" s="35"/>
      <c r="L247" s="35"/>
      <c r="M247" s="35"/>
      <c r="N247" s="35"/>
      <c r="O247" s="35"/>
      <c r="P247" s="35"/>
      <c r="Q247" s="35"/>
      <c r="R247" s="35"/>
      <c r="S247" s="35"/>
      <c r="T247" s="35"/>
      <c r="U247" s="35"/>
      <c r="V247" s="35"/>
      <c r="W247" s="35"/>
      <c r="X247" s="35"/>
      <c r="Y247" s="35"/>
      <c r="Z247" s="35"/>
      <c r="AA247" s="35"/>
    </row>
    <row r="248">
      <c r="A248" s="35"/>
      <c r="B248" s="35"/>
      <c r="C248" s="27"/>
      <c r="D248" s="26"/>
      <c r="E248" s="51"/>
      <c r="F248" s="51"/>
      <c r="G248" s="51"/>
      <c r="H248" s="18"/>
      <c r="I248" s="27"/>
      <c r="J248" s="35"/>
      <c r="K248" s="35"/>
      <c r="L248" s="35"/>
      <c r="M248" s="35"/>
      <c r="N248" s="35"/>
      <c r="O248" s="35"/>
      <c r="P248" s="35"/>
      <c r="Q248" s="35"/>
      <c r="R248" s="35"/>
      <c r="S248" s="35"/>
      <c r="T248" s="35"/>
      <c r="U248" s="35"/>
      <c r="V248" s="35"/>
      <c r="W248" s="35"/>
      <c r="X248" s="35"/>
      <c r="Y248" s="35"/>
      <c r="Z248" s="35"/>
      <c r="AA248" s="35"/>
    </row>
    <row r="249">
      <c r="A249" s="35"/>
      <c r="B249" s="35"/>
      <c r="C249" s="27"/>
      <c r="D249" s="26"/>
      <c r="E249" s="51"/>
      <c r="F249" s="51"/>
      <c r="G249" s="51"/>
      <c r="H249" s="18"/>
      <c r="I249" s="27"/>
      <c r="J249" s="35"/>
      <c r="K249" s="35"/>
      <c r="L249" s="35"/>
      <c r="M249" s="35"/>
      <c r="N249" s="35"/>
      <c r="O249" s="35"/>
      <c r="P249" s="35"/>
      <c r="Q249" s="35"/>
      <c r="R249" s="35"/>
      <c r="S249" s="35"/>
      <c r="T249" s="35"/>
      <c r="U249" s="35"/>
      <c r="V249" s="35"/>
      <c r="W249" s="35"/>
      <c r="X249" s="35"/>
      <c r="Y249" s="35"/>
      <c r="Z249" s="35"/>
      <c r="AA249" s="35"/>
    </row>
    <row r="250">
      <c r="A250" s="35"/>
      <c r="B250" s="35"/>
      <c r="C250" s="27"/>
      <c r="D250" s="26"/>
      <c r="E250" s="51"/>
      <c r="F250" s="51"/>
      <c r="G250" s="51"/>
      <c r="H250" s="18"/>
      <c r="I250" s="27"/>
      <c r="J250" s="35"/>
      <c r="K250" s="35"/>
      <c r="L250" s="35"/>
      <c r="M250" s="35"/>
      <c r="N250" s="35"/>
      <c r="O250" s="35"/>
      <c r="P250" s="35"/>
      <c r="Q250" s="35"/>
      <c r="R250" s="35"/>
      <c r="S250" s="35"/>
      <c r="T250" s="35"/>
      <c r="U250" s="35"/>
      <c r="V250" s="35"/>
      <c r="W250" s="35"/>
      <c r="X250" s="35"/>
      <c r="Y250" s="35"/>
      <c r="Z250" s="35"/>
      <c r="AA250" s="35"/>
    </row>
    <row r="251">
      <c r="A251" s="35"/>
      <c r="B251" s="35"/>
      <c r="C251" s="27"/>
      <c r="D251" s="26"/>
      <c r="E251" s="51"/>
      <c r="F251" s="51"/>
      <c r="G251" s="51"/>
      <c r="H251" s="18"/>
      <c r="I251" s="27"/>
      <c r="J251" s="35"/>
      <c r="K251" s="35"/>
      <c r="L251" s="35"/>
      <c r="M251" s="35"/>
      <c r="N251" s="35"/>
      <c r="O251" s="35"/>
      <c r="P251" s="35"/>
      <c r="Q251" s="35"/>
      <c r="R251" s="35"/>
      <c r="S251" s="35"/>
      <c r="T251" s="35"/>
      <c r="U251" s="35"/>
      <c r="V251" s="35"/>
      <c r="W251" s="35"/>
      <c r="X251" s="35"/>
      <c r="Y251" s="35"/>
      <c r="Z251" s="35"/>
      <c r="AA251" s="35"/>
    </row>
    <row r="252">
      <c r="A252" s="35"/>
      <c r="B252" s="35"/>
      <c r="C252" s="27"/>
      <c r="D252" s="26"/>
      <c r="E252" s="51"/>
      <c r="F252" s="51"/>
      <c r="G252" s="51"/>
      <c r="H252" s="18"/>
      <c r="I252" s="27"/>
      <c r="J252" s="35"/>
      <c r="K252" s="35"/>
      <c r="L252" s="35"/>
      <c r="M252" s="35"/>
      <c r="N252" s="35"/>
      <c r="O252" s="35"/>
      <c r="P252" s="35"/>
      <c r="Q252" s="35"/>
      <c r="R252" s="35"/>
      <c r="S252" s="35"/>
      <c r="T252" s="35"/>
      <c r="U252" s="35"/>
      <c r="V252" s="35"/>
      <c r="W252" s="35"/>
      <c r="X252" s="35"/>
      <c r="Y252" s="35"/>
      <c r="Z252" s="35"/>
      <c r="AA252" s="35"/>
    </row>
    <row r="253">
      <c r="A253" s="35"/>
      <c r="B253" s="35"/>
      <c r="C253" s="27"/>
      <c r="D253" s="26"/>
      <c r="E253" s="51"/>
      <c r="F253" s="51"/>
      <c r="G253" s="51"/>
      <c r="H253" s="18"/>
      <c r="I253" s="27"/>
      <c r="J253" s="35"/>
      <c r="K253" s="35"/>
      <c r="L253" s="35"/>
      <c r="M253" s="35"/>
      <c r="N253" s="35"/>
      <c r="O253" s="35"/>
      <c r="P253" s="35"/>
      <c r="Q253" s="35"/>
      <c r="R253" s="35"/>
      <c r="S253" s="35"/>
      <c r="T253" s="35"/>
      <c r="U253" s="35"/>
      <c r="V253" s="35"/>
      <c r="W253" s="35"/>
      <c r="X253" s="35"/>
      <c r="Y253" s="35"/>
      <c r="Z253" s="35"/>
      <c r="AA253" s="35"/>
    </row>
    <row r="254">
      <c r="A254" s="35"/>
      <c r="B254" s="35"/>
      <c r="C254" s="27"/>
      <c r="D254" s="26"/>
      <c r="E254" s="51"/>
      <c r="F254" s="51"/>
      <c r="G254" s="51"/>
      <c r="H254" s="18"/>
      <c r="I254" s="27"/>
      <c r="J254" s="35"/>
      <c r="K254" s="35"/>
      <c r="L254" s="35"/>
      <c r="M254" s="35"/>
      <c r="N254" s="35"/>
      <c r="O254" s="35"/>
      <c r="P254" s="35"/>
      <c r="Q254" s="35"/>
      <c r="R254" s="35"/>
      <c r="S254" s="35"/>
      <c r="T254" s="35"/>
      <c r="U254" s="35"/>
      <c r="V254" s="35"/>
      <c r="W254" s="35"/>
      <c r="X254" s="35"/>
      <c r="Y254" s="35"/>
      <c r="Z254" s="35"/>
      <c r="AA254" s="35"/>
    </row>
    <row r="255">
      <c r="A255" s="35"/>
      <c r="B255" s="35"/>
      <c r="C255" s="27"/>
      <c r="D255" s="26"/>
      <c r="E255" s="51"/>
      <c r="F255" s="51"/>
      <c r="G255" s="51"/>
      <c r="H255" s="18"/>
      <c r="I255" s="27"/>
      <c r="J255" s="35"/>
      <c r="K255" s="35"/>
      <c r="L255" s="35"/>
      <c r="M255" s="35"/>
      <c r="N255" s="35"/>
      <c r="O255" s="35"/>
      <c r="P255" s="35"/>
      <c r="Q255" s="35"/>
      <c r="R255" s="35"/>
      <c r="S255" s="35"/>
      <c r="T255" s="35"/>
      <c r="U255" s="35"/>
      <c r="V255" s="35"/>
      <c r="W255" s="35"/>
      <c r="X255" s="35"/>
      <c r="Y255" s="35"/>
      <c r="Z255" s="35"/>
      <c r="AA255" s="35"/>
    </row>
    <row r="256">
      <c r="A256" s="35"/>
      <c r="B256" s="35"/>
      <c r="C256" s="27"/>
      <c r="D256" s="26"/>
      <c r="E256" s="51"/>
      <c r="F256" s="51"/>
      <c r="G256" s="51"/>
      <c r="H256" s="18"/>
      <c r="I256" s="27"/>
      <c r="J256" s="35"/>
      <c r="K256" s="35"/>
      <c r="L256" s="35"/>
      <c r="M256" s="35"/>
      <c r="N256" s="35"/>
      <c r="O256" s="35"/>
      <c r="P256" s="35"/>
      <c r="Q256" s="35"/>
      <c r="R256" s="35"/>
      <c r="S256" s="35"/>
      <c r="T256" s="35"/>
      <c r="U256" s="35"/>
      <c r="V256" s="35"/>
      <c r="W256" s="35"/>
      <c r="X256" s="35"/>
      <c r="Y256" s="35"/>
      <c r="Z256" s="35"/>
      <c r="AA256" s="35"/>
    </row>
    <row r="257">
      <c r="A257" s="35"/>
      <c r="B257" s="35"/>
      <c r="C257" s="27"/>
      <c r="D257" s="26"/>
      <c r="E257" s="51"/>
      <c r="F257" s="51"/>
      <c r="G257" s="51"/>
      <c r="H257" s="18"/>
      <c r="I257" s="27"/>
      <c r="J257" s="35"/>
      <c r="K257" s="35"/>
      <c r="L257" s="35"/>
      <c r="M257" s="35"/>
      <c r="N257" s="35"/>
      <c r="O257" s="35"/>
      <c r="P257" s="35"/>
      <c r="Q257" s="35"/>
      <c r="R257" s="35"/>
      <c r="S257" s="35"/>
      <c r="T257" s="35"/>
      <c r="U257" s="35"/>
      <c r="V257" s="35"/>
      <c r="W257" s="35"/>
      <c r="X257" s="35"/>
      <c r="Y257" s="35"/>
      <c r="Z257" s="35"/>
      <c r="AA257" s="35"/>
    </row>
    <row r="258">
      <c r="A258" s="35"/>
      <c r="B258" s="35"/>
      <c r="C258" s="27"/>
      <c r="D258" s="26"/>
      <c r="E258" s="51"/>
      <c r="F258" s="51"/>
      <c r="G258" s="51"/>
      <c r="H258" s="18"/>
      <c r="I258" s="27"/>
      <c r="J258" s="35"/>
      <c r="K258" s="35"/>
      <c r="L258" s="35"/>
      <c r="M258" s="35"/>
      <c r="N258" s="35"/>
      <c r="O258" s="35"/>
      <c r="P258" s="35"/>
      <c r="Q258" s="35"/>
      <c r="R258" s="35"/>
      <c r="S258" s="35"/>
      <c r="T258" s="35"/>
      <c r="U258" s="35"/>
      <c r="V258" s="35"/>
      <c r="W258" s="35"/>
      <c r="X258" s="35"/>
      <c r="Y258" s="35"/>
      <c r="Z258" s="35"/>
      <c r="AA258" s="35"/>
    </row>
    <row r="259">
      <c r="A259" s="35"/>
      <c r="B259" s="35"/>
      <c r="C259" s="27"/>
      <c r="D259" s="26"/>
      <c r="E259" s="51"/>
      <c r="F259" s="51"/>
      <c r="G259" s="51"/>
      <c r="H259" s="18"/>
      <c r="I259" s="27"/>
      <c r="J259" s="35"/>
      <c r="K259" s="35"/>
      <c r="L259" s="35"/>
      <c r="M259" s="35"/>
      <c r="N259" s="35"/>
      <c r="O259" s="35"/>
      <c r="P259" s="35"/>
      <c r="Q259" s="35"/>
      <c r="R259" s="35"/>
      <c r="S259" s="35"/>
      <c r="T259" s="35"/>
      <c r="U259" s="35"/>
      <c r="V259" s="35"/>
      <c r="W259" s="35"/>
      <c r="X259" s="35"/>
      <c r="Y259" s="35"/>
      <c r="Z259" s="35"/>
      <c r="AA259" s="35"/>
    </row>
    <row r="260">
      <c r="A260" s="35"/>
      <c r="B260" s="35"/>
      <c r="C260" s="27"/>
      <c r="D260" s="26"/>
      <c r="E260" s="51"/>
      <c r="F260" s="51"/>
      <c r="G260" s="51"/>
      <c r="H260" s="18"/>
      <c r="I260" s="27"/>
      <c r="J260" s="35"/>
      <c r="K260" s="35"/>
      <c r="L260" s="35"/>
      <c r="M260" s="35"/>
      <c r="N260" s="35"/>
      <c r="O260" s="35"/>
      <c r="P260" s="35"/>
      <c r="Q260" s="35"/>
      <c r="R260" s="35"/>
      <c r="S260" s="35"/>
      <c r="T260" s="35"/>
      <c r="U260" s="35"/>
      <c r="V260" s="35"/>
      <c r="W260" s="35"/>
      <c r="X260" s="35"/>
      <c r="Y260" s="35"/>
      <c r="Z260" s="35"/>
      <c r="AA260" s="35"/>
    </row>
    <row r="261">
      <c r="A261" s="35"/>
      <c r="B261" s="35"/>
      <c r="C261" s="27"/>
      <c r="D261" s="26"/>
      <c r="E261" s="51"/>
      <c r="F261" s="51"/>
      <c r="G261" s="51"/>
      <c r="H261" s="18"/>
      <c r="I261" s="27"/>
      <c r="J261" s="35"/>
      <c r="K261" s="35"/>
      <c r="L261" s="35"/>
      <c r="M261" s="35"/>
      <c r="N261" s="35"/>
      <c r="O261" s="35"/>
      <c r="P261" s="35"/>
      <c r="Q261" s="35"/>
      <c r="R261" s="35"/>
      <c r="S261" s="35"/>
      <c r="T261" s="35"/>
      <c r="U261" s="35"/>
      <c r="V261" s="35"/>
      <c r="W261" s="35"/>
      <c r="X261" s="35"/>
      <c r="Y261" s="35"/>
      <c r="Z261" s="35"/>
      <c r="AA261" s="35"/>
    </row>
    <row r="262">
      <c r="A262" s="35"/>
      <c r="B262" s="35"/>
      <c r="C262" s="27"/>
      <c r="D262" s="26"/>
      <c r="E262" s="51"/>
      <c r="F262" s="51"/>
      <c r="G262" s="51"/>
      <c r="H262" s="18"/>
      <c r="I262" s="27"/>
      <c r="J262" s="35"/>
      <c r="K262" s="35"/>
      <c r="L262" s="35"/>
      <c r="M262" s="35"/>
      <c r="N262" s="35"/>
      <c r="O262" s="35"/>
      <c r="P262" s="35"/>
      <c r="Q262" s="35"/>
      <c r="R262" s="35"/>
      <c r="S262" s="35"/>
      <c r="T262" s="35"/>
      <c r="U262" s="35"/>
      <c r="V262" s="35"/>
      <c r="W262" s="35"/>
      <c r="X262" s="35"/>
      <c r="Y262" s="35"/>
      <c r="Z262" s="35"/>
      <c r="AA262" s="35"/>
    </row>
    <row r="263">
      <c r="A263" s="35"/>
      <c r="B263" s="35"/>
      <c r="C263" s="27"/>
      <c r="D263" s="26"/>
      <c r="E263" s="51"/>
      <c r="F263" s="51"/>
      <c r="G263" s="51"/>
      <c r="H263" s="18"/>
      <c r="I263" s="27"/>
      <c r="J263" s="35"/>
      <c r="K263" s="35"/>
      <c r="L263" s="35"/>
      <c r="M263" s="35"/>
      <c r="N263" s="35"/>
      <c r="O263" s="35"/>
      <c r="P263" s="35"/>
      <c r="Q263" s="35"/>
      <c r="R263" s="35"/>
      <c r="S263" s="35"/>
      <c r="T263" s="35"/>
      <c r="U263" s="35"/>
      <c r="V263" s="35"/>
      <c r="W263" s="35"/>
      <c r="X263" s="35"/>
      <c r="Y263" s="35"/>
      <c r="Z263" s="35"/>
      <c r="AA263" s="35"/>
    </row>
    <row r="264">
      <c r="A264" s="35"/>
      <c r="B264" s="35"/>
      <c r="C264" s="27"/>
      <c r="D264" s="26"/>
      <c r="E264" s="51"/>
      <c r="F264" s="51"/>
      <c r="G264" s="51"/>
      <c r="H264" s="18"/>
      <c r="I264" s="27"/>
      <c r="J264" s="35"/>
      <c r="K264" s="35"/>
      <c r="L264" s="35"/>
      <c r="M264" s="35"/>
      <c r="N264" s="35"/>
      <c r="O264" s="35"/>
      <c r="P264" s="35"/>
      <c r="Q264" s="35"/>
      <c r="R264" s="35"/>
      <c r="S264" s="35"/>
      <c r="T264" s="35"/>
      <c r="U264" s="35"/>
      <c r="V264" s="35"/>
      <c r="W264" s="35"/>
      <c r="X264" s="35"/>
      <c r="Y264" s="35"/>
      <c r="Z264" s="35"/>
      <c r="AA264" s="35"/>
    </row>
    <row r="265">
      <c r="A265" s="35"/>
      <c r="B265" s="35"/>
      <c r="C265" s="27"/>
      <c r="D265" s="26"/>
      <c r="E265" s="51"/>
      <c r="F265" s="51"/>
      <c r="G265" s="51"/>
      <c r="H265" s="18"/>
      <c r="I265" s="27"/>
      <c r="J265" s="35"/>
      <c r="K265" s="35"/>
      <c r="L265" s="35"/>
      <c r="M265" s="35"/>
      <c r="N265" s="35"/>
      <c r="O265" s="35"/>
      <c r="P265" s="35"/>
      <c r="Q265" s="35"/>
      <c r="R265" s="35"/>
      <c r="S265" s="35"/>
      <c r="T265" s="35"/>
      <c r="U265" s="35"/>
      <c r="V265" s="35"/>
      <c r="W265" s="35"/>
      <c r="X265" s="35"/>
      <c r="Y265" s="35"/>
      <c r="Z265" s="35"/>
      <c r="AA265" s="35"/>
    </row>
    <row r="266">
      <c r="A266" s="35"/>
      <c r="B266" s="35"/>
      <c r="C266" s="27"/>
      <c r="D266" s="26"/>
      <c r="E266" s="51"/>
      <c r="F266" s="51"/>
      <c r="G266" s="51"/>
      <c r="H266" s="18"/>
      <c r="I266" s="27"/>
      <c r="J266" s="35"/>
      <c r="K266" s="35"/>
      <c r="L266" s="35"/>
      <c r="M266" s="35"/>
      <c r="N266" s="35"/>
      <c r="O266" s="35"/>
      <c r="P266" s="35"/>
      <c r="Q266" s="35"/>
      <c r="R266" s="35"/>
      <c r="S266" s="35"/>
      <c r="T266" s="35"/>
      <c r="U266" s="35"/>
      <c r="V266" s="35"/>
      <c r="W266" s="35"/>
      <c r="X266" s="35"/>
      <c r="Y266" s="35"/>
      <c r="Z266" s="35"/>
      <c r="AA266" s="35"/>
    </row>
    <row r="267">
      <c r="A267" s="35"/>
      <c r="B267" s="35"/>
      <c r="C267" s="27"/>
      <c r="D267" s="26"/>
      <c r="E267" s="51"/>
      <c r="F267" s="51"/>
      <c r="G267" s="51"/>
      <c r="H267" s="18"/>
      <c r="I267" s="27"/>
      <c r="J267" s="35"/>
      <c r="K267" s="35"/>
      <c r="L267" s="35"/>
      <c r="M267" s="35"/>
      <c r="N267" s="35"/>
      <c r="O267" s="35"/>
      <c r="P267" s="35"/>
      <c r="Q267" s="35"/>
      <c r="R267" s="35"/>
      <c r="S267" s="35"/>
      <c r="T267" s="35"/>
      <c r="U267" s="35"/>
      <c r="V267" s="35"/>
      <c r="W267" s="35"/>
      <c r="X267" s="35"/>
      <c r="Y267" s="35"/>
      <c r="Z267" s="35"/>
      <c r="AA267" s="35"/>
    </row>
    <row r="268">
      <c r="A268" s="35"/>
      <c r="B268" s="35"/>
      <c r="C268" s="27"/>
      <c r="D268" s="26"/>
      <c r="E268" s="51"/>
      <c r="F268" s="51"/>
      <c r="G268" s="51"/>
      <c r="H268" s="18"/>
      <c r="I268" s="27"/>
      <c r="J268" s="35"/>
      <c r="K268" s="35"/>
      <c r="L268" s="35"/>
      <c r="M268" s="35"/>
      <c r="N268" s="35"/>
      <c r="O268" s="35"/>
      <c r="P268" s="35"/>
      <c r="Q268" s="35"/>
      <c r="R268" s="35"/>
      <c r="S268" s="35"/>
      <c r="T268" s="35"/>
      <c r="U268" s="35"/>
      <c r="V268" s="35"/>
      <c r="W268" s="35"/>
      <c r="X268" s="35"/>
      <c r="Y268" s="35"/>
      <c r="Z268" s="35"/>
      <c r="AA268" s="35"/>
    </row>
    <row r="269">
      <c r="A269" s="35"/>
      <c r="B269" s="35"/>
      <c r="C269" s="27"/>
      <c r="D269" s="26"/>
      <c r="E269" s="51"/>
      <c r="F269" s="51"/>
      <c r="G269" s="51"/>
      <c r="H269" s="18"/>
      <c r="I269" s="27"/>
      <c r="J269" s="35"/>
      <c r="K269" s="35"/>
      <c r="L269" s="35"/>
      <c r="M269" s="35"/>
      <c r="N269" s="35"/>
      <c r="O269" s="35"/>
      <c r="P269" s="35"/>
      <c r="Q269" s="35"/>
      <c r="R269" s="35"/>
      <c r="S269" s="35"/>
      <c r="T269" s="35"/>
      <c r="U269" s="35"/>
      <c r="V269" s="35"/>
      <c r="W269" s="35"/>
      <c r="X269" s="35"/>
      <c r="Y269" s="35"/>
      <c r="Z269" s="35"/>
      <c r="AA269" s="35"/>
    </row>
    <row r="270">
      <c r="A270" s="35"/>
      <c r="B270" s="35"/>
      <c r="C270" s="27"/>
      <c r="D270" s="26"/>
      <c r="E270" s="51"/>
      <c r="F270" s="51"/>
      <c r="G270" s="51"/>
      <c r="H270" s="18"/>
      <c r="I270" s="27"/>
      <c r="J270" s="35"/>
      <c r="K270" s="35"/>
      <c r="L270" s="35"/>
      <c r="M270" s="35"/>
      <c r="N270" s="35"/>
      <c r="O270" s="35"/>
      <c r="P270" s="35"/>
      <c r="Q270" s="35"/>
      <c r="R270" s="35"/>
      <c r="S270" s="35"/>
      <c r="T270" s="35"/>
      <c r="U270" s="35"/>
      <c r="V270" s="35"/>
      <c r="W270" s="35"/>
      <c r="X270" s="35"/>
      <c r="Y270" s="35"/>
      <c r="Z270" s="35"/>
      <c r="AA270" s="35"/>
    </row>
    <row r="271">
      <c r="A271" s="35"/>
      <c r="B271" s="35"/>
      <c r="C271" s="27"/>
      <c r="D271" s="26"/>
      <c r="E271" s="51"/>
      <c r="F271" s="51"/>
      <c r="G271" s="51"/>
      <c r="H271" s="18"/>
      <c r="I271" s="27"/>
      <c r="J271" s="35"/>
      <c r="K271" s="35"/>
      <c r="L271" s="35"/>
      <c r="M271" s="35"/>
      <c r="N271" s="35"/>
      <c r="O271" s="35"/>
      <c r="P271" s="35"/>
      <c r="Q271" s="35"/>
      <c r="R271" s="35"/>
      <c r="S271" s="35"/>
      <c r="T271" s="35"/>
      <c r="U271" s="35"/>
      <c r="V271" s="35"/>
      <c r="W271" s="35"/>
      <c r="X271" s="35"/>
      <c r="Y271" s="35"/>
      <c r="Z271" s="35"/>
      <c r="AA271" s="35"/>
    </row>
    <row r="272">
      <c r="A272" s="35"/>
      <c r="B272" s="35"/>
      <c r="C272" s="27"/>
      <c r="D272" s="26"/>
      <c r="E272" s="51"/>
      <c r="F272" s="51"/>
      <c r="G272" s="51"/>
      <c r="H272" s="18"/>
      <c r="I272" s="27"/>
      <c r="J272" s="35"/>
      <c r="K272" s="35"/>
      <c r="L272" s="35"/>
      <c r="M272" s="35"/>
      <c r="N272" s="35"/>
      <c r="O272" s="35"/>
      <c r="P272" s="35"/>
      <c r="Q272" s="35"/>
      <c r="R272" s="35"/>
      <c r="S272" s="35"/>
      <c r="T272" s="35"/>
      <c r="U272" s="35"/>
      <c r="V272" s="35"/>
      <c r="W272" s="35"/>
      <c r="X272" s="35"/>
      <c r="Y272" s="35"/>
      <c r="Z272" s="35"/>
      <c r="AA272" s="35"/>
    </row>
    <row r="273">
      <c r="A273" s="35"/>
      <c r="B273" s="35"/>
      <c r="C273" s="27"/>
      <c r="D273" s="26"/>
      <c r="E273" s="51"/>
      <c r="F273" s="51"/>
      <c r="G273" s="51"/>
      <c r="H273" s="18"/>
      <c r="I273" s="27"/>
      <c r="J273" s="35"/>
      <c r="K273" s="35"/>
      <c r="L273" s="35"/>
      <c r="M273" s="35"/>
      <c r="N273" s="35"/>
      <c r="O273" s="35"/>
      <c r="P273" s="35"/>
      <c r="Q273" s="35"/>
      <c r="R273" s="35"/>
      <c r="S273" s="35"/>
      <c r="T273" s="35"/>
      <c r="U273" s="35"/>
      <c r="V273" s="35"/>
      <c r="W273" s="35"/>
      <c r="X273" s="35"/>
      <c r="Y273" s="35"/>
      <c r="Z273" s="35"/>
      <c r="AA273" s="35"/>
    </row>
    <row r="274">
      <c r="A274" s="35"/>
      <c r="B274" s="35"/>
      <c r="C274" s="27"/>
      <c r="D274" s="26"/>
      <c r="E274" s="51"/>
      <c r="F274" s="51"/>
      <c r="G274" s="51"/>
      <c r="H274" s="18"/>
      <c r="I274" s="27"/>
      <c r="J274" s="35"/>
      <c r="K274" s="35"/>
      <c r="L274" s="35"/>
      <c r="M274" s="35"/>
      <c r="N274" s="35"/>
      <c r="O274" s="35"/>
      <c r="P274" s="35"/>
      <c r="Q274" s="35"/>
      <c r="R274" s="35"/>
      <c r="S274" s="35"/>
      <c r="T274" s="35"/>
      <c r="U274" s="35"/>
      <c r="V274" s="35"/>
      <c r="W274" s="35"/>
      <c r="X274" s="35"/>
      <c r="Y274" s="35"/>
      <c r="Z274" s="35"/>
      <c r="AA274" s="35"/>
    </row>
    <row r="275">
      <c r="A275" s="35"/>
      <c r="B275" s="35"/>
      <c r="C275" s="27"/>
      <c r="D275" s="26"/>
      <c r="E275" s="51"/>
      <c r="F275" s="51"/>
      <c r="G275" s="51"/>
      <c r="H275" s="18"/>
      <c r="I275" s="27"/>
      <c r="J275" s="35"/>
      <c r="K275" s="35"/>
      <c r="L275" s="35"/>
      <c r="M275" s="35"/>
      <c r="N275" s="35"/>
      <c r="O275" s="35"/>
      <c r="P275" s="35"/>
      <c r="Q275" s="35"/>
      <c r="R275" s="35"/>
      <c r="S275" s="35"/>
      <c r="T275" s="35"/>
      <c r="U275" s="35"/>
      <c r="V275" s="35"/>
      <c r="W275" s="35"/>
      <c r="X275" s="35"/>
      <c r="Y275" s="35"/>
      <c r="Z275" s="35"/>
      <c r="AA275" s="35"/>
    </row>
    <row r="276">
      <c r="A276" s="35"/>
      <c r="B276" s="35"/>
      <c r="C276" s="27"/>
      <c r="D276" s="26"/>
      <c r="E276" s="51"/>
      <c r="F276" s="51"/>
      <c r="G276" s="51"/>
      <c r="H276" s="18"/>
      <c r="I276" s="27"/>
      <c r="J276" s="35"/>
      <c r="K276" s="35"/>
      <c r="L276" s="35"/>
      <c r="M276" s="35"/>
      <c r="N276" s="35"/>
      <c r="O276" s="35"/>
      <c r="P276" s="35"/>
      <c r="Q276" s="35"/>
      <c r="R276" s="35"/>
      <c r="S276" s="35"/>
      <c r="T276" s="35"/>
      <c r="U276" s="35"/>
      <c r="V276" s="35"/>
      <c r="W276" s="35"/>
      <c r="X276" s="35"/>
      <c r="Y276" s="35"/>
      <c r="Z276" s="35"/>
      <c r="AA276" s="35"/>
    </row>
    <row r="277">
      <c r="A277" s="35"/>
      <c r="B277" s="35"/>
      <c r="C277" s="27"/>
      <c r="D277" s="26"/>
      <c r="E277" s="51"/>
      <c r="F277" s="51"/>
      <c r="G277" s="51"/>
      <c r="H277" s="18"/>
      <c r="I277" s="27"/>
      <c r="J277" s="35"/>
      <c r="K277" s="35"/>
      <c r="L277" s="35"/>
      <c r="M277" s="35"/>
      <c r="N277" s="35"/>
      <c r="O277" s="35"/>
      <c r="P277" s="35"/>
      <c r="Q277" s="35"/>
      <c r="R277" s="35"/>
      <c r="S277" s="35"/>
      <c r="T277" s="35"/>
      <c r="U277" s="35"/>
      <c r="V277" s="35"/>
      <c r="W277" s="35"/>
      <c r="X277" s="35"/>
      <c r="Y277" s="35"/>
      <c r="Z277" s="35"/>
      <c r="AA277" s="35"/>
    </row>
    <row r="278">
      <c r="A278" s="35"/>
      <c r="B278" s="35"/>
      <c r="C278" s="27"/>
      <c r="D278" s="26"/>
      <c r="E278" s="51"/>
      <c r="F278" s="51"/>
      <c r="G278" s="51"/>
      <c r="H278" s="18"/>
      <c r="I278" s="27"/>
      <c r="J278" s="35"/>
      <c r="K278" s="35"/>
      <c r="L278" s="35"/>
      <c r="M278" s="35"/>
      <c r="N278" s="35"/>
      <c r="O278" s="35"/>
      <c r="P278" s="35"/>
      <c r="Q278" s="35"/>
      <c r="R278" s="35"/>
      <c r="S278" s="35"/>
      <c r="T278" s="35"/>
      <c r="U278" s="35"/>
      <c r="V278" s="35"/>
      <c r="W278" s="35"/>
      <c r="X278" s="35"/>
      <c r="Y278" s="35"/>
      <c r="Z278" s="35"/>
      <c r="AA278" s="35"/>
    </row>
    <row r="279">
      <c r="A279" s="35"/>
      <c r="B279" s="35"/>
      <c r="C279" s="27"/>
      <c r="D279" s="26"/>
      <c r="E279" s="51"/>
      <c r="F279" s="51"/>
      <c r="G279" s="51"/>
      <c r="H279" s="18"/>
      <c r="I279" s="27"/>
      <c r="J279" s="35"/>
      <c r="K279" s="35"/>
      <c r="L279" s="35"/>
      <c r="M279" s="35"/>
      <c r="N279" s="35"/>
      <c r="O279" s="35"/>
      <c r="P279" s="35"/>
      <c r="Q279" s="35"/>
      <c r="R279" s="35"/>
      <c r="S279" s="35"/>
      <c r="T279" s="35"/>
      <c r="U279" s="35"/>
      <c r="V279" s="35"/>
      <c r="W279" s="35"/>
      <c r="X279" s="35"/>
      <c r="Y279" s="35"/>
      <c r="Z279" s="35"/>
      <c r="AA279" s="35"/>
    </row>
    <row r="280">
      <c r="A280" s="35"/>
      <c r="B280" s="35"/>
      <c r="C280" s="27"/>
      <c r="D280" s="26"/>
      <c r="E280" s="51"/>
      <c r="F280" s="51"/>
      <c r="G280" s="51"/>
      <c r="H280" s="18"/>
      <c r="I280" s="27"/>
      <c r="J280" s="35"/>
      <c r="K280" s="35"/>
      <c r="L280" s="35"/>
      <c r="M280" s="35"/>
      <c r="N280" s="35"/>
      <c r="O280" s="35"/>
      <c r="P280" s="35"/>
      <c r="Q280" s="35"/>
      <c r="R280" s="35"/>
      <c r="S280" s="35"/>
      <c r="T280" s="35"/>
      <c r="U280" s="35"/>
      <c r="V280" s="35"/>
      <c r="W280" s="35"/>
      <c r="X280" s="35"/>
      <c r="Y280" s="35"/>
      <c r="Z280" s="35"/>
      <c r="AA280" s="35"/>
    </row>
    <row r="281">
      <c r="A281" s="35"/>
      <c r="B281" s="35"/>
      <c r="C281" s="27"/>
      <c r="D281" s="26"/>
      <c r="E281" s="51"/>
      <c r="F281" s="51"/>
      <c r="G281" s="51"/>
      <c r="H281" s="18"/>
      <c r="I281" s="27"/>
      <c r="J281" s="35"/>
      <c r="K281" s="35"/>
      <c r="L281" s="35"/>
      <c r="M281" s="35"/>
      <c r="N281" s="35"/>
      <c r="O281" s="35"/>
      <c r="P281" s="35"/>
      <c r="Q281" s="35"/>
      <c r="R281" s="35"/>
      <c r="S281" s="35"/>
      <c r="T281" s="35"/>
      <c r="U281" s="35"/>
      <c r="V281" s="35"/>
      <c r="W281" s="35"/>
      <c r="X281" s="35"/>
      <c r="Y281" s="35"/>
      <c r="Z281" s="35"/>
      <c r="AA281" s="35"/>
    </row>
    <row r="282">
      <c r="A282" s="35"/>
      <c r="B282" s="35"/>
      <c r="C282" s="27"/>
      <c r="D282" s="26"/>
      <c r="E282" s="51"/>
      <c r="F282" s="51"/>
      <c r="G282" s="51"/>
      <c r="H282" s="18"/>
      <c r="I282" s="27"/>
      <c r="J282" s="35"/>
      <c r="K282" s="35"/>
      <c r="L282" s="35"/>
      <c r="M282" s="35"/>
      <c r="N282" s="35"/>
      <c r="O282" s="35"/>
      <c r="P282" s="35"/>
      <c r="Q282" s="35"/>
      <c r="R282" s="35"/>
      <c r="S282" s="35"/>
      <c r="T282" s="35"/>
      <c r="U282" s="35"/>
      <c r="V282" s="35"/>
      <c r="W282" s="35"/>
      <c r="X282" s="35"/>
      <c r="Y282" s="35"/>
      <c r="Z282" s="35"/>
      <c r="AA282" s="35"/>
    </row>
    <row r="283">
      <c r="A283" s="35"/>
      <c r="B283" s="35"/>
      <c r="C283" s="27"/>
      <c r="D283" s="26"/>
      <c r="E283" s="51"/>
      <c r="F283" s="51"/>
      <c r="G283" s="51"/>
      <c r="H283" s="18"/>
      <c r="I283" s="27"/>
      <c r="J283" s="35"/>
      <c r="K283" s="35"/>
      <c r="L283" s="35"/>
      <c r="M283" s="35"/>
      <c r="N283" s="35"/>
      <c r="O283" s="35"/>
      <c r="P283" s="35"/>
      <c r="Q283" s="35"/>
      <c r="R283" s="35"/>
      <c r="S283" s="35"/>
      <c r="T283" s="35"/>
      <c r="U283" s="35"/>
      <c r="V283" s="35"/>
      <c r="W283" s="35"/>
      <c r="X283" s="35"/>
      <c r="Y283" s="35"/>
      <c r="Z283" s="35"/>
      <c r="AA283" s="35"/>
    </row>
    <row r="284">
      <c r="A284" s="35"/>
      <c r="B284" s="35"/>
      <c r="C284" s="27"/>
      <c r="D284" s="26"/>
      <c r="E284" s="51"/>
      <c r="F284" s="51"/>
      <c r="G284" s="51"/>
      <c r="H284" s="18"/>
      <c r="I284" s="27"/>
      <c r="J284" s="35"/>
      <c r="K284" s="35"/>
      <c r="L284" s="35"/>
      <c r="M284" s="35"/>
      <c r="N284" s="35"/>
      <c r="O284" s="35"/>
      <c r="P284" s="35"/>
      <c r="Q284" s="35"/>
      <c r="R284" s="35"/>
      <c r="S284" s="35"/>
      <c r="T284" s="35"/>
      <c r="U284" s="35"/>
      <c r="V284" s="35"/>
      <c r="W284" s="35"/>
      <c r="X284" s="35"/>
      <c r="Y284" s="35"/>
      <c r="Z284" s="35"/>
      <c r="AA284" s="35"/>
    </row>
    <row r="285">
      <c r="A285" s="35"/>
      <c r="B285" s="35"/>
      <c r="C285" s="27"/>
      <c r="D285" s="26"/>
      <c r="E285" s="51"/>
      <c r="F285" s="51"/>
      <c r="G285" s="51"/>
      <c r="H285" s="18"/>
      <c r="I285" s="27"/>
      <c r="J285" s="35"/>
      <c r="K285" s="35"/>
      <c r="L285" s="35"/>
      <c r="M285" s="35"/>
      <c r="N285" s="35"/>
      <c r="O285" s="35"/>
      <c r="P285" s="35"/>
      <c r="Q285" s="35"/>
      <c r="R285" s="35"/>
      <c r="S285" s="35"/>
      <c r="T285" s="35"/>
      <c r="U285" s="35"/>
      <c r="V285" s="35"/>
      <c r="W285" s="35"/>
      <c r="X285" s="35"/>
      <c r="Y285" s="35"/>
      <c r="Z285" s="35"/>
      <c r="AA285" s="35"/>
    </row>
    <row r="286">
      <c r="C286" s="33"/>
      <c r="H286" s="216"/>
    </row>
    <row r="287">
      <c r="C287" s="33"/>
      <c r="H287" s="216"/>
    </row>
    <row r="288">
      <c r="C288" s="33"/>
      <c r="H288" s="216"/>
    </row>
    <row r="289">
      <c r="C289" s="33"/>
      <c r="H289" s="216"/>
    </row>
    <row r="290">
      <c r="C290" s="33"/>
      <c r="H290" s="216"/>
    </row>
    <row r="291">
      <c r="C291" s="33"/>
      <c r="H291" s="216"/>
    </row>
    <row r="292">
      <c r="C292" s="33"/>
      <c r="H292" s="216"/>
    </row>
    <row r="293">
      <c r="C293" s="33"/>
      <c r="H293" s="216"/>
    </row>
    <row r="294">
      <c r="C294" s="33"/>
      <c r="H294" s="216"/>
    </row>
    <row r="295">
      <c r="C295" s="33"/>
      <c r="H295" s="216"/>
    </row>
    <row r="296">
      <c r="C296" s="33"/>
      <c r="H296" s="216"/>
    </row>
    <row r="297">
      <c r="C297" s="33"/>
      <c r="H297" s="216"/>
    </row>
    <row r="298">
      <c r="C298" s="33"/>
      <c r="H298" s="216"/>
    </row>
    <row r="299">
      <c r="C299" s="33"/>
      <c r="H299" s="216"/>
    </row>
    <row r="300">
      <c r="C300" s="33"/>
      <c r="H300" s="216"/>
    </row>
    <row r="301">
      <c r="C301" s="33"/>
      <c r="H301" s="216"/>
    </row>
    <row r="302">
      <c r="C302" s="33"/>
      <c r="H302" s="216"/>
    </row>
    <row r="303">
      <c r="C303" s="33"/>
      <c r="H303" s="216"/>
    </row>
    <row r="304">
      <c r="C304" s="33"/>
      <c r="H304" s="216"/>
    </row>
    <row r="305">
      <c r="C305" s="33"/>
      <c r="H305" s="216"/>
    </row>
    <row r="306">
      <c r="C306" s="33"/>
      <c r="H306" s="216"/>
    </row>
    <row r="307">
      <c r="C307" s="33"/>
      <c r="H307" s="216"/>
    </row>
    <row r="308">
      <c r="C308" s="33"/>
      <c r="H308" s="216"/>
    </row>
    <row r="309">
      <c r="C309" s="33"/>
      <c r="H309" s="216"/>
    </row>
    <row r="310">
      <c r="C310" s="33"/>
      <c r="H310" s="216"/>
    </row>
    <row r="311">
      <c r="C311" s="33"/>
      <c r="H311" s="216"/>
    </row>
    <row r="312">
      <c r="C312" s="33"/>
      <c r="H312" s="216"/>
    </row>
    <row r="313">
      <c r="C313" s="33"/>
      <c r="H313" s="216"/>
    </row>
    <row r="314">
      <c r="C314" s="33"/>
      <c r="H314" s="216"/>
    </row>
    <row r="315">
      <c r="C315" s="33"/>
      <c r="H315" s="216"/>
    </row>
    <row r="316">
      <c r="C316" s="33"/>
      <c r="H316" s="216"/>
    </row>
    <row r="317">
      <c r="C317" s="33"/>
      <c r="H317" s="216"/>
    </row>
    <row r="318">
      <c r="C318" s="33"/>
      <c r="H318" s="216"/>
    </row>
    <row r="319">
      <c r="C319" s="33"/>
      <c r="H319" s="216"/>
    </row>
    <row r="320">
      <c r="C320" s="33"/>
      <c r="H320" s="216"/>
    </row>
    <row r="321">
      <c r="C321" s="33"/>
      <c r="H321" s="216"/>
    </row>
    <row r="322">
      <c r="C322" s="33"/>
      <c r="H322" s="216"/>
    </row>
    <row r="323">
      <c r="C323" s="33"/>
      <c r="H323" s="216"/>
    </row>
    <row r="324">
      <c r="C324" s="33"/>
      <c r="H324" s="216"/>
    </row>
    <row r="325">
      <c r="C325" s="33"/>
      <c r="H325" s="216"/>
    </row>
    <row r="326">
      <c r="C326" s="33"/>
      <c r="H326" s="216"/>
    </row>
    <row r="327">
      <c r="C327" s="33"/>
      <c r="H327" s="216"/>
    </row>
    <row r="328">
      <c r="C328" s="33"/>
      <c r="H328" s="216"/>
    </row>
    <row r="329">
      <c r="C329" s="33"/>
      <c r="H329" s="216"/>
    </row>
    <row r="330">
      <c r="C330" s="33"/>
      <c r="H330" s="216"/>
    </row>
    <row r="331">
      <c r="C331" s="33"/>
      <c r="H331" s="216"/>
    </row>
    <row r="332">
      <c r="C332" s="33"/>
      <c r="H332" s="216"/>
    </row>
    <row r="333">
      <c r="C333" s="33"/>
      <c r="H333" s="216"/>
    </row>
    <row r="334">
      <c r="C334" s="33"/>
      <c r="H334" s="216"/>
    </row>
    <row r="335">
      <c r="C335" s="33"/>
      <c r="H335" s="216"/>
    </row>
    <row r="336">
      <c r="C336" s="33"/>
      <c r="H336" s="216"/>
    </row>
    <row r="337">
      <c r="C337" s="33"/>
      <c r="H337" s="216"/>
    </row>
    <row r="338">
      <c r="C338" s="33"/>
      <c r="H338" s="216"/>
    </row>
    <row r="339">
      <c r="C339" s="33"/>
      <c r="H339" s="216"/>
    </row>
    <row r="340">
      <c r="C340" s="33"/>
      <c r="H340" s="216"/>
    </row>
    <row r="341">
      <c r="C341" s="33"/>
      <c r="H341" s="216"/>
    </row>
    <row r="342">
      <c r="C342" s="33"/>
      <c r="H342" s="216"/>
    </row>
    <row r="343">
      <c r="C343" s="33"/>
      <c r="H343" s="216"/>
    </row>
    <row r="344">
      <c r="C344" s="33"/>
      <c r="H344" s="216"/>
    </row>
    <row r="345">
      <c r="C345" s="33"/>
      <c r="H345" s="216"/>
    </row>
    <row r="346">
      <c r="C346" s="33"/>
      <c r="H346" s="216"/>
    </row>
    <row r="347">
      <c r="C347" s="33"/>
      <c r="H347" s="216"/>
    </row>
    <row r="348">
      <c r="C348" s="33"/>
      <c r="H348" s="216"/>
    </row>
    <row r="349">
      <c r="C349" s="33"/>
      <c r="H349" s="216"/>
    </row>
    <row r="350">
      <c r="C350" s="33"/>
      <c r="H350" s="216"/>
    </row>
    <row r="351">
      <c r="C351" s="33"/>
      <c r="H351" s="216"/>
    </row>
    <row r="352">
      <c r="C352" s="33"/>
      <c r="H352" s="216"/>
    </row>
    <row r="353">
      <c r="C353" s="33"/>
      <c r="H353" s="216"/>
    </row>
    <row r="354">
      <c r="C354" s="33"/>
      <c r="H354" s="216"/>
    </row>
    <row r="355">
      <c r="C355" s="33"/>
      <c r="H355" s="216"/>
    </row>
    <row r="356">
      <c r="C356" s="33"/>
      <c r="H356" s="216"/>
    </row>
    <row r="357">
      <c r="C357" s="33"/>
      <c r="H357" s="216"/>
    </row>
    <row r="358">
      <c r="C358" s="33"/>
      <c r="H358" s="216"/>
    </row>
    <row r="359">
      <c r="C359" s="33"/>
      <c r="H359" s="216"/>
    </row>
    <row r="360">
      <c r="C360" s="33"/>
      <c r="H360" s="216"/>
    </row>
    <row r="361">
      <c r="C361" s="33"/>
      <c r="H361" s="216"/>
    </row>
    <row r="362">
      <c r="C362" s="33"/>
      <c r="H362" s="216"/>
    </row>
    <row r="363">
      <c r="C363" s="33"/>
      <c r="H363" s="216"/>
    </row>
    <row r="364">
      <c r="C364" s="33"/>
      <c r="H364" s="216"/>
    </row>
    <row r="365">
      <c r="C365" s="33"/>
      <c r="H365" s="216"/>
    </row>
    <row r="366">
      <c r="C366" s="33"/>
      <c r="H366" s="216"/>
    </row>
    <row r="367">
      <c r="C367" s="33"/>
      <c r="H367" s="216"/>
    </row>
    <row r="368">
      <c r="C368" s="33"/>
      <c r="H368" s="216"/>
    </row>
    <row r="369">
      <c r="C369" s="33"/>
      <c r="H369" s="216"/>
    </row>
    <row r="370">
      <c r="C370" s="33"/>
      <c r="H370" s="216"/>
    </row>
    <row r="371">
      <c r="C371" s="33"/>
      <c r="H371" s="216"/>
    </row>
    <row r="372">
      <c r="C372" s="33"/>
      <c r="H372" s="216"/>
    </row>
    <row r="373">
      <c r="C373" s="33"/>
      <c r="H373" s="216"/>
    </row>
    <row r="374">
      <c r="C374" s="33"/>
      <c r="H374" s="216"/>
    </row>
    <row r="375">
      <c r="C375" s="33"/>
      <c r="H375" s="216"/>
    </row>
    <row r="376">
      <c r="C376" s="33"/>
      <c r="H376" s="216"/>
    </row>
    <row r="377">
      <c r="C377" s="33"/>
      <c r="H377" s="216"/>
    </row>
    <row r="378">
      <c r="C378" s="33"/>
      <c r="H378" s="216"/>
    </row>
    <row r="379">
      <c r="C379" s="33"/>
      <c r="H379" s="216"/>
    </row>
    <row r="380">
      <c r="C380" s="33"/>
      <c r="H380" s="216"/>
    </row>
    <row r="381">
      <c r="C381" s="33"/>
      <c r="H381" s="216"/>
    </row>
    <row r="382">
      <c r="C382" s="33"/>
      <c r="H382" s="216"/>
    </row>
    <row r="383">
      <c r="C383" s="33"/>
      <c r="H383" s="216"/>
    </row>
    <row r="384">
      <c r="C384" s="33"/>
      <c r="H384" s="216"/>
    </row>
    <row r="385">
      <c r="C385" s="33"/>
      <c r="H385" s="216"/>
    </row>
    <row r="386">
      <c r="C386" s="33"/>
      <c r="H386" s="216"/>
    </row>
    <row r="387">
      <c r="C387" s="33"/>
      <c r="H387" s="216"/>
    </row>
    <row r="388">
      <c r="C388" s="33"/>
      <c r="H388" s="216"/>
    </row>
    <row r="389">
      <c r="C389" s="33"/>
      <c r="H389" s="216"/>
    </row>
    <row r="390">
      <c r="C390" s="33"/>
      <c r="H390" s="216"/>
    </row>
    <row r="391">
      <c r="C391" s="33"/>
      <c r="H391" s="216"/>
    </row>
    <row r="392">
      <c r="C392" s="33"/>
      <c r="H392" s="216"/>
    </row>
    <row r="393">
      <c r="C393" s="33"/>
      <c r="H393" s="216"/>
    </row>
    <row r="394">
      <c r="C394" s="33"/>
      <c r="H394" s="216"/>
    </row>
    <row r="395">
      <c r="C395" s="33"/>
      <c r="H395" s="216"/>
    </row>
    <row r="396">
      <c r="C396" s="33"/>
      <c r="H396" s="216"/>
    </row>
    <row r="397">
      <c r="C397" s="33"/>
      <c r="H397" s="216"/>
    </row>
    <row r="398">
      <c r="C398" s="33"/>
      <c r="H398" s="216"/>
    </row>
    <row r="399">
      <c r="C399" s="33"/>
      <c r="H399" s="216"/>
    </row>
    <row r="400">
      <c r="C400" s="33"/>
      <c r="H400" s="216"/>
    </row>
    <row r="401">
      <c r="C401" s="33"/>
      <c r="H401" s="216"/>
    </row>
    <row r="402">
      <c r="C402" s="33"/>
      <c r="H402" s="216"/>
    </row>
    <row r="403">
      <c r="C403" s="33"/>
      <c r="H403" s="216"/>
    </row>
    <row r="404">
      <c r="C404" s="33"/>
      <c r="H404" s="216"/>
    </row>
    <row r="405">
      <c r="C405" s="33"/>
      <c r="H405" s="216"/>
    </row>
    <row r="406">
      <c r="C406" s="33"/>
      <c r="H406" s="216"/>
    </row>
    <row r="407">
      <c r="C407" s="33"/>
      <c r="H407" s="216"/>
    </row>
    <row r="408">
      <c r="C408" s="33"/>
      <c r="H408" s="216"/>
    </row>
    <row r="409">
      <c r="C409" s="33"/>
      <c r="H409" s="216"/>
    </row>
    <row r="410">
      <c r="C410" s="33"/>
      <c r="H410" s="216"/>
    </row>
    <row r="411">
      <c r="C411" s="33"/>
      <c r="H411" s="216"/>
    </row>
    <row r="412">
      <c r="C412" s="33"/>
      <c r="H412" s="216"/>
    </row>
    <row r="413">
      <c r="C413" s="33"/>
      <c r="H413" s="216"/>
    </row>
    <row r="414">
      <c r="C414" s="33"/>
      <c r="H414" s="216"/>
    </row>
    <row r="415">
      <c r="C415" s="33"/>
      <c r="H415" s="216"/>
    </row>
    <row r="416">
      <c r="C416" s="33"/>
      <c r="H416" s="216"/>
    </row>
    <row r="417">
      <c r="C417" s="33"/>
      <c r="H417" s="216"/>
    </row>
    <row r="418">
      <c r="C418" s="33"/>
      <c r="H418" s="216"/>
    </row>
    <row r="419">
      <c r="C419" s="33"/>
      <c r="H419" s="216"/>
    </row>
    <row r="420">
      <c r="C420" s="33"/>
      <c r="H420" s="216"/>
    </row>
    <row r="421">
      <c r="C421" s="33"/>
      <c r="H421" s="216"/>
    </row>
    <row r="422">
      <c r="C422" s="33"/>
      <c r="H422" s="216"/>
    </row>
    <row r="423">
      <c r="C423" s="33"/>
      <c r="H423" s="216"/>
    </row>
    <row r="424">
      <c r="C424" s="33"/>
      <c r="H424" s="216"/>
    </row>
    <row r="425">
      <c r="C425" s="33"/>
      <c r="H425" s="216"/>
    </row>
    <row r="426">
      <c r="C426" s="33"/>
      <c r="H426" s="216"/>
    </row>
    <row r="427">
      <c r="C427" s="33"/>
      <c r="H427" s="216"/>
    </row>
    <row r="428">
      <c r="C428" s="33"/>
      <c r="H428" s="216"/>
    </row>
    <row r="429">
      <c r="C429" s="33"/>
      <c r="H429" s="216"/>
    </row>
    <row r="430">
      <c r="C430" s="33"/>
      <c r="H430" s="216"/>
    </row>
    <row r="431">
      <c r="C431" s="33"/>
      <c r="H431" s="216"/>
    </row>
    <row r="432">
      <c r="C432" s="33"/>
      <c r="H432" s="216"/>
    </row>
    <row r="433">
      <c r="C433" s="33"/>
      <c r="H433" s="216"/>
    </row>
    <row r="434">
      <c r="C434" s="33"/>
      <c r="H434" s="216"/>
    </row>
    <row r="435">
      <c r="C435" s="33"/>
      <c r="H435" s="216"/>
    </row>
    <row r="436">
      <c r="C436" s="33"/>
      <c r="H436" s="216"/>
    </row>
    <row r="437">
      <c r="C437" s="33"/>
      <c r="H437" s="216"/>
    </row>
    <row r="438">
      <c r="C438" s="33"/>
      <c r="H438" s="216"/>
    </row>
    <row r="439">
      <c r="C439" s="33"/>
      <c r="H439" s="216"/>
    </row>
    <row r="440">
      <c r="C440" s="33"/>
      <c r="H440" s="216"/>
    </row>
    <row r="441">
      <c r="C441" s="33"/>
      <c r="H441" s="216"/>
    </row>
    <row r="442">
      <c r="C442" s="33"/>
      <c r="H442" s="216"/>
    </row>
    <row r="443">
      <c r="C443" s="33"/>
      <c r="H443" s="216"/>
    </row>
    <row r="444">
      <c r="C444" s="33"/>
      <c r="H444" s="216"/>
    </row>
    <row r="445">
      <c r="C445" s="33"/>
      <c r="H445" s="216"/>
    </row>
    <row r="446">
      <c r="C446" s="33"/>
      <c r="H446" s="216"/>
    </row>
    <row r="447">
      <c r="C447" s="33"/>
      <c r="H447" s="216"/>
    </row>
    <row r="448">
      <c r="C448" s="33"/>
      <c r="H448" s="216"/>
    </row>
    <row r="449">
      <c r="C449" s="33"/>
      <c r="H449" s="216"/>
    </row>
    <row r="450">
      <c r="C450" s="33"/>
      <c r="H450" s="216"/>
    </row>
    <row r="451">
      <c r="C451" s="33"/>
      <c r="H451" s="216"/>
    </row>
    <row r="452">
      <c r="C452" s="33"/>
      <c r="H452" s="216"/>
    </row>
    <row r="453">
      <c r="C453" s="33"/>
      <c r="H453" s="216"/>
    </row>
    <row r="454">
      <c r="C454" s="33"/>
      <c r="H454" s="216"/>
    </row>
    <row r="455">
      <c r="C455" s="33"/>
      <c r="H455" s="216"/>
    </row>
    <row r="456">
      <c r="C456" s="33"/>
      <c r="H456" s="216"/>
    </row>
    <row r="457">
      <c r="C457" s="33"/>
      <c r="H457" s="216"/>
    </row>
    <row r="458">
      <c r="C458" s="33"/>
      <c r="H458" s="216"/>
    </row>
    <row r="459">
      <c r="C459" s="33"/>
      <c r="H459" s="216"/>
    </row>
    <row r="460">
      <c r="C460" s="33"/>
      <c r="H460" s="216"/>
    </row>
    <row r="461">
      <c r="C461" s="33"/>
      <c r="H461" s="216"/>
    </row>
    <row r="462">
      <c r="C462" s="33"/>
      <c r="H462" s="216"/>
    </row>
    <row r="463">
      <c r="C463" s="33"/>
      <c r="H463" s="216"/>
    </row>
    <row r="464">
      <c r="C464" s="33"/>
      <c r="H464" s="216"/>
    </row>
    <row r="465">
      <c r="C465" s="33"/>
      <c r="H465" s="216"/>
    </row>
    <row r="466">
      <c r="C466" s="33"/>
      <c r="H466" s="216"/>
    </row>
    <row r="467">
      <c r="C467" s="33"/>
      <c r="H467" s="216"/>
    </row>
    <row r="468">
      <c r="C468" s="33"/>
      <c r="H468" s="216"/>
    </row>
    <row r="469">
      <c r="C469" s="33"/>
      <c r="H469" s="216"/>
    </row>
    <row r="470">
      <c r="C470" s="33"/>
      <c r="H470" s="216"/>
    </row>
    <row r="471">
      <c r="C471" s="33"/>
      <c r="H471" s="216"/>
    </row>
    <row r="472">
      <c r="C472" s="33"/>
      <c r="H472" s="216"/>
    </row>
    <row r="473">
      <c r="C473" s="33"/>
      <c r="H473" s="216"/>
    </row>
    <row r="474">
      <c r="C474" s="33"/>
      <c r="H474" s="216"/>
    </row>
    <row r="475">
      <c r="C475" s="33"/>
      <c r="H475" s="216"/>
    </row>
    <row r="476">
      <c r="C476" s="33"/>
      <c r="H476" s="216"/>
    </row>
    <row r="477">
      <c r="C477" s="33"/>
      <c r="H477" s="216"/>
    </row>
    <row r="478">
      <c r="C478" s="33"/>
      <c r="H478" s="216"/>
    </row>
    <row r="479">
      <c r="C479" s="33"/>
      <c r="H479" s="216"/>
    </row>
    <row r="480">
      <c r="C480" s="33"/>
      <c r="H480" s="216"/>
    </row>
    <row r="481">
      <c r="C481" s="33"/>
      <c r="H481" s="216"/>
    </row>
    <row r="482">
      <c r="C482" s="33"/>
      <c r="H482" s="216"/>
    </row>
    <row r="483">
      <c r="C483" s="33"/>
      <c r="H483" s="216"/>
    </row>
    <row r="484">
      <c r="C484" s="33"/>
      <c r="H484" s="216"/>
    </row>
    <row r="485">
      <c r="C485" s="33"/>
      <c r="H485" s="216"/>
    </row>
    <row r="486">
      <c r="C486" s="33"/>
      <c r="H486" s="216"/>
    </row>
    <row r="487">
      <c r="C487" s="33"/>
      <c r="H487" s="216"/>
    </row>
    <row r="488">
      <c r="C488" s="33"/>
      <c r="H488" s="216"/>
    </row>
    <row r="489">
      <c r="C489" s="33"/>
      <c r="H489" s="216"/>
    </row>
    <row r="490">
      <c r="C490" s="33"/>
      <c r="H490" s="216"/>
    </row>
    <row r="491">
      <c r="C491" s="33"/>
      <c r="H491" s="216"/>
    </row>
    <row r="492">
      <c r="C492" s="33"/>
      <c r="H492" s="216"/>
    </row>
    <row r="493">
      <c r="C493" s="33"/>
      <c r="H493" s="216"/>
    </row>
    <row r="494">
      <c r="C494" s="33"/>
      <c r="H494" s="216"/>
    </row>
    <row r="495">
      <c r="C495" s="33"/>
      <c r="H495" s="216"/>
    </row>
    <row r="496">
      <c r="C496" s="33"/>
      <c r="H496" s="216"/>
    </row>
    <row r="497">
      <c r="C497" s="33"/>
      <c r="H497" s="216"/>
    </row>
    <row r="498">
      <c r="C498" s="33"/>
      <c r="H498" s="216"/>
    </row>
    <row r="499">
      <c r="C499" s="33"/>
      <c r="H499" s="216"/>
    </row>
    <row r="500">
      <c r="C500" s="33"/>
      <c r="H500" s="216"/>
    </row>
    <row r="501">
      <c r="C501" s="33"/>
      <c r="H501" s="216"/>
    </row>
    <row r="502">
      <c r="C502" s="33"/>
      <c r="H502" s="216"/>
    </row>
    <row r="503">
      <c r="C503" s="33"/>
      <c r="H503" s="216"/>
    </row>
    <row r="504">
      <c r="C504" s="33"/>
      <c r="H504" s="216"/>
    </row>
    <row r="505">
      <c r="C505" s="33"/>
      <c r="H505" s="216"/>
    </row>
    <row r="506">
      <c r="C506" s="33"/>
      <c r="H506" s="216"/>
    </row>
    <row r="507">
      <c r="C507" s="33"/>
      <c r="H507" s="216"/>
    </row>
    <row r="508">
      <c r="C508" s="33"/>
      <c r="H508" s="216"/>
    </row>
    <row r="509">
      <c r="C509" s="33"/>
      <c r="H509" s="216"/>
    </row>
    <row r="510">
      <c r="C510" s="33"/>
      <c r="H510" s="216"/>
    </row>
    <row r="511">
      <c r="C511" s="33"/>
      <c r="H511" s="216"/>
    </row>
    <row r="512">
      <c r="C512" s="33"/>
      <c r="H512" s="216"/>
    </row>
    <row r="513">
      <c r="C513" s="33"/>
      <c r="H513" s="216"/>
    </row>
    <row r="514">
      <c r="C514" s="33"/>
      <c r="H514" s="216"/>
    </row>
    <row r="515">
      <c r="C515" s="33"/>
      <c r="H515" s="216"/>
    </row>
    <row r="516">
      <c r="C516" s="33"/>
      <c r="H516" s="216"/>
    </row>
    <row r="517">
      <c r="C517" s="33"/>
      <c r="H517" s="216"/>
    </row>
    <row r="518">
      <c r="C518" s="33"/>
      <c r="H518" s="216"/>
    </row>
    <row r="519">
      <c r="C519" s="33"/>
      <c r="H519" s="216"/>
    </row>
    <row r="520">
      <c r="C520" s="33"/>
      <c r="H520" s="216"/>
    </row>
    <row r="521">
      <c r="C521" s="33"/>
      <c r="H521" s="216"/>
    </row>
    <row r="522">
      <c r="C522" s="33"/>
      <c r="H522" s="216"/>
    </row>
    <row r="523">
      <c r="C523" s="33"/>
      <c r="H523" s="216"/>
    </row>
    <row r="524">
      <c r="C524" s="33"/>
      <c r="H524" s="216"/>
    </row>
    <row r="525">
      <c r="C525" s="33"/>
      <c r="H525" s="216"/>
    </row>
    <row r="526">
      <c r="C526" s="33"/>
      <c r="H526" s="216"/>
    </row>
    <row r="527">
      <c r="C527" s="33"/>
      <c r="H527" s="216"/>
    </row>
    <row r="528">
      <c r="C528" s="33"/>
      <c r="H528" s="216"/>
    </row>
    <row r="529">
      <c r="C529" s="33"/>
      <c r="H529" s="216"/>
    </row>
    <row r="530">
      <c r="C530" s="33"/>
      <c r="H530" s="216"/>
    </row>
    <row r="531">
      <c r="C531" s="33"/>
      <c r="H531" s="216"/>
    </row>
    <row r="532">
      <c r="C532" s="33"/>
      <c r="H532" s="216"/>
    </row>
    <row r="533">
      <c r="C533" s="33"/>
      <c r="H533" s="216"/>
    </row>
    <row r="534">
      <c r="C534" s="33"/>
      <c r="H534" s="216"/>
    </row>
    <row r="535">
      <c r="C535" s="33"/>
      <c r="H535" s="216"/>
    </row>
    <row r="536">
      <c r="C536" s="33"/>
      <c r="H536" s="216"/>
    </row>
    <row r="537">
      <c r="C537" s="33"/>
      <c r="H537" s="216"/>
    </row>
    <row r="538">
      <c r="C538" s="33"/>
      <c r="H538" s="216"/>
    </row>
    <row r="539">
      <c r="C539" s="33"/>
      <c r="H539" s="216"/>
    </row>
    <row r="540">
      <c r="C540" s="33"/>
      <c r="H540" s="216"/>
    </row>
    <row r="541">
      <c r="C541" s="33"/>
      <c r="H541" s="216"/>
    </row>
    <row r="542">
      <c r="C542" s="33"/>
      <c r="H542" s="216"/>
    </row>
    <row r="543">
      <c r="C543" s="33"/>
      <c r="H543" s="216"/>
    </row>
    <row r="544">
      <c r="C544" s="33"/>
      <c r="H544" s="216"/>
    </row>
    <row r="545">
      <c r="C545" s="33"/>
      <c r="H545" s="216"/>
    </row>
    <row r="546">
      <c r="C546" s="33"/>
      <c r="H546" s="216"/>
    </row>
    <row r="547">
      <c r="C547" s="33"/>
      <c r="H547" s="216"/>
    </row>
    <row r="548">
      <c r="C548" s="33"/>
      <c r="H548" s="216"/>
    </row>
    <row r="549">
      <c r="C549" s="33"/>
      <c r="H549" s="216"/>
    </row>
    <row r="550">
      <c r="C550" s="33"/>
      <c r="H550" s="216"/>
    </row>
    <row r="551">
      <c r="C551" s="33"/>
      <c r="H551" s="216"/>
    </row>
    <row r="552">
      <c r="C552" s="33"/>
      <c r="H552" s="216"/>
    </row>
    <row r="553">
      <c r="C553" s="33"/>
      <c r="H553" s="216"/>
    </row>
    <row r="554">
      <c r="C554" s="33"/>
      <c r="H554" s="216"/>
    </row>
    <row r="555">
      <c r="C555" s="33"/>
      <c r="H555" s="216"/>
    </row>
    <row r="556">
      <c r="C556" s="33"/>
      <c r="H556" s="216"/>
    </row>
    <row r="557">
      <c r="C557" s="33"/>
      <c r="H557" s="216"/>
    </row>
    <row r="558">
      <c r="C558" s="33"/>
      <c r="H558" s="216"/>
    </row>
    <row r="559">
      <c r="C559" s="33"/>
      <c r="H559" s="216"/>
    </row>
    <row r="560">
      <c r="C560" s="33"/>
      <c r="H560" s="216"/>
    </row>
    <row r="561">
      <c r="C561" s="33"/>
      <c r="H561" s="216"/>
    </row>
    <row r="562">
      <c r="C562" s="33"/>
      <c r="H562" s="216"/>
    </row>
    <row r="563">
      <c r="C563" s="33"/>
      <c r="H563" s="216"/>
    </row>
    <row r="564">
      <c r="C564" s="33"/>
      <c r="H564" s="216"/>
    </row>
    <row r="565">
      <c r="C565" s="33"/>
      <c r="H565" s="216"/>
    </row>
    <row r="566">
      <c r="C566" s="33"/>
      <c r="H566" s="216"/>
    </row>
    <row r="567">
      <c r="C567" s="33"/>
      <c r="H567" s="216"/>
    </row>
    <row r="568">
      <c r="C568" s="33"/>
      <c r="H568" s="216"/>
    </row>
    <row r="569">
      <c r="C569" s="33"/>
      <c r="H569" s="216"/>
    </row>
    <row r="570">
      <c r="C570" s="33"/>
      <c r="H570" s="216"/>
    </row>
    <row r="571">
      <c r="C571" s="33"/>
      <c r="H571" s="216"/>
    </row>
    <row r="572">
      <c r="C572" s="33"/>
      <c r="H572" s="216"/>
    </row>
    <row r="573">
      <c r="C573" s="33"/>
      <c r="H573" s="216"/>
    </row>
    <row r="574">
      <c r="C574" s="33"/>
      <c r="H574" s="216"/>
    </row>
    <row r="575">
      <c r="C575" s="33"/>
      <c r="H575" s="216"/>
    </row>
    <row r="576">
      <c r="C576" s="33"/>
      <c r="H576" s="216"/>
    </row>
    <row r="577">
      <c r="C577" s="33"/>
      <c r="H577" s="216"/>
    </row>
    <row r="578">
      <c r="C578" s="33"/>
      <c r="H578" s="216"/>
    </row>
    <row r="579">
      <c r="C579" s="33"/>
      <c r="H579" s="216"/>
    </row>
    <row r="580">
      <c r="C580" s="33"/>
      <c r="H580" s="216"/>
    </row>
    <row r="581">
      <c r="C581" s="33"/>
      <c r="H581" s="216"/>
    </row>
    <row r="582">
      <c r="C582" s="33"/>
      <c r="H582" s="216"/>
    </row>
    <row r="583">
      <c r="C583" s="33"/>
      <c r="H583" s="216"/>
    </row>
    <row r="584">
      <c r="C584" s="33"/>
      <c r="H584" s="216"/>
    </row>
    <row r="585">
      <c r="C585" s="33"/>
      <c r="H585" s="216"/>
    </row>
    <row r="586">
      <c r="C586" s="33"/>
      <c r="H586" s="216"/>
    </row>
    <row r="587">
      <c r="C587" s="33"/>
      <c r="H587" s="216"/>
    </row>
    <row r="588">
      <c r="C588" s="33"/>
      <c r="H588" s="216"/>
    </row>
    <row r="589">
      <c r="C589" s="33"/>
      <c r="H589" s="216"/>
    </row>
    <row r="590">
      <c r="C590" s="33"/>
      <c r="H590" s="216"/>
    </row>
    <row r="591">
      <c r="C591" s="33"/>
      <c r="H591" s="216"/>
    </row>
    <row r="592">
      <c r="C592" s="33"/>
      <c r="H592" s="216"/>
    </row>
    <row r="593">
      <c r="C593" s="33"/>
      <c r="H593" s="216"/>
    </row>
    <row r="594">
      <c r="C594" s="33"/>
      <c r="H594" s="216"/>
    </row>
    <row r="595">
      <c r="C595" s="33"/>
      <c r="H595" s="216"/>
    </row>
    <row r="596">
      <c r="C596" s="33"/>
      <c r="H596" s="216"/>
    </row>
    <row r="597">
      <c r="C597" s="33"/>
      <c r="H597" s="216"/>
    </row>
    <row r="598">
      <c r="C598" s="33"/>
      <c r="H598" s="216"/>
    </row>
    <row r="599">
      <c r="C599" s="33"/>
      <c r="H599" s="216"/>
    </row>
    <row r="600">
      <c r="C600" s="33"/>
      <c r="H600" s="216"/>
    </row>
    <row r="601">
      <c r="C601" s="33"/>
      <c r="H601" s="216"/>
    </row>
    <row r="602">
      <c r="C602" s="33"/>
      <c r="H602" s="216"/>
    </row>
    <row r="603">
      <c r="C603" s="33"/>
      <c r="H603" s="216"/>
    </row>
    <row r="604">
      <c r="C604" s="33"/>
      <c r="H604" s="216"/>
    </row>
    <row r="605">
      <c r="C605" s="33"/>
      <c r="H605" s="216"/>
    </row>
    <row r="606">
      <c r="C606" s="33"/>
      <c r="H606" s="216"/>
    </row>
    <row r="607">
      <c r="C607" s="33"/>
      <c r="H607" s="216"/>
    </row>
    <row r="608">
      <c r="C608" s="33"/>
      <c r="H608" s="216"/>
    </row>
    <row r="609">
      <c r="C609" s="33"/>
      <c r="H609" s="216"/>
    </row>
    <row r="610">
      <c r="C610" s="33"/>
      <c r="H610" s="216"/>
    </row>
    <row r="611">
      <c r="C611" s="33"/>
      <c r="H611" s="216"/>
    </row>
    <row r="612">
      <c r="C612" s="33"/>
      <c r="H612" s="216"/>
    </row>
    <row r="613">
      <c r="C613" s="33"/>
      <c r="H613" s="216"/>
    </row>
    <row r="614">
      <c r="C614" s="33"/>
      <c r="H614" s="216"/>
    </row>
    <row r="615">
      <c r="C615" s="33"/>
      <c r="H615" s="216"/>
    </row>
    <row r="616">
      <c r="C616" s="33"/>
      <c r="H616" s="216"/>
    </row>
    <row r="617">
      <c r="C617" s="33"/>
      <c r="H617" s="216"/>
    </row>
    <row r="618">
      <c r="C618" s="33"/>
      <c r="H618" s="216"/>
    </row>
    <row r="619">
      <c r="C619" s="33"/>
      <c r="H619" s="216"/>
    </row>
    <row r="620">
      <c r="C620" s="33"/>
      <c r="H620" s="216"/>
    </row>
    <row r="621">
      <c r="C621" s="33"/>
      <c r="H621" s="216"/>
    </row>
    <row r="622">
      <c r="C622" s="33"/>
      <c r="H622" s="216"/>
    </row>
    <row r="623">
      <c r="C623" s="33"/>
      <c r="H623" s="216"/>
    </row>
    <row r="624">
      <c r="C624" s="33"/>
      <c r="H624" s="216"/>
    </row>
    <row r="625">
      <c r="C625" s="33"/>
      <c r="H625" s="216"/>
    </row>
    <row r="626">
      <c r="C626" s="33"/>
      <c r="H626" s="216"/>
    </row>
    <row r="627">
      <c r="C627" s="33"/>
      <c r="H627" s="216"/>
    </row>
    <row r="628">
      <c r="C628" s="33"/>
      <c r="H628" s="216"/>
    </row>
    <row r="629">
      <c r="C629" s="33"/>
      <c r="H629" s="216"/>
    </row>
    <row r="630">
      <c r="C630" s="33"/>
      <c r="H630" s="216"/>
    </row>
    <row r="631">
      <c r="C631" s="33"/>
      <c r="H631" s="216"/>
    </row>
    <row r="632">
      <c r="C632" s="33"/>
      <c r="H632" s="216"/>
    </row>
    <row r="633">
      <c r="C633" s="33"/>
      <c r="H633" s="216"/>
    </row>
    <row r="634">
      <c r="C634" s="33"/>
      <c r="H634" s="216"/>
    </row>
    <row r="635">
      <c r="C635" s="33"/>
      <c r="H635" s="216"/>
    </row>
    <row r="636">
      <c r="C636" s="33"/>
      <c r="H636" s="216"/>
    </row>
    <row r="637">
      <c r="C637" s="33"/>
      <c r="H637" s="216"/>
    </row>
    <row r="638">
      <c r="C638" s="33"/>
      <c r="H638" s="216"/>
    </row>
    <row r="639">
      <c r="C639" s="33"/>
      <c r="H639" s="216"/>
    </row>
    <row r="640">
      <c r="C640" s="33"/>
      <c r="H640" s="216"/>
    </row>
    <row r="641">
      <c r="C641" s="33"/>
      <c r="H641" s="216"/>
    </row>
    <row r="642">
      <c r="C642" s="33"/>
      <c r="H642" s="216"/>
    </row>
    <row r="643">
      <c r="C643" s="33"/>
      <c r="H643" s="216"/>
    </row>
    <row r="644">
      <c r="C644" s="33"/>
      <c r="H644" s="216"/>
    </row>
    <row r="645">
      <c r="C645" s="33"/>
      <c r="H645" s="216"/>
    </row>
    <row r="646">
      <c r="C646" s="33"/>
      <c r="H646" s="216"/>
    </row>
    <row r="647">
      <c r="C647" s="33"/>
      <c r="H647" s="216"/>
    </row>
    <row r="648">
      <c r="C648" s="33"/>
      <c r="H648" s="216"/>
    </row>
    <row r="649">
      <c r="C649" s="33"/>
      <c r="H649" s="216"/>
    </row>
    <row r="650">
      <c r="C650" s="33"/>
      <c r="H650" s="216"/>
    </row>
    <row r="651">
      <c r="C651" s="33"/>
      <c r="H651" s="216"/>
    </row>
    <row r="652">
      <c r="C652" s="33"/>
      <c r="H652" s="216"/>
    </row>
    <row r="653">
      <c r="C653" s="33"/>
      <c r="H653" s="216"/>
    </row>
    <row r="654">
      <c r="C654" s="33"/>
      <c r="H654" s="216"/>
    </row>
    <row r="655">
      <c r="C655" s="33"/>
      <c r="H655" s="216"/>
    </row>
    <row r="656">
      <c r="C656" s="33"/>
      <c r="H656" s="216"/>
    </row>
    <row r="657">
      <c r="C657" s="33"/>
      <c r="H657" s="216"/>
    </row>
    <row r="658">
      <c r="C658" s="33"/>
      <c r="H658" s="216"/>
    </row>
    <row r="659">
      <c r="C659" s="33"/>
      <c r="H659" s="216"/>
    </row>
    <row r="660">
      <c r="C660" s="33"/>
      <c r="H660" s="216"/>
    </row>
    <row r="661">
      <c r="C661" s="33"/>
      <c r="H661" s="216"/>
    </row>
    <row r="662">
      <c r="C662" s="33"/>
      <c r="H662" s="216"/>
    </row>
    <row r="663">
      <c r="C663" s="33"/>
      <c r="H663" s="216"/>
    </row>
    <row r="664">
      <c r="C664" s="33"/>
      <c r="H664" s="216"/>
    </row>
    <row r="665">
      <c r="C665" s="33"/>
      <c r="H665" s="216"/>
    </row>
    <row r="666">
      <c r="C666" s="33"/>
      <c r="H666" s="216"/>
    </row>
    <row r="667">
      <c r="C667" s="33"/>
      <c r="H667" s="216"/>
    </row>
    <row r="668">
      <c r="C668" s="33"/>
      <c r="H668" s="216"/>
    </row>
    <row r="669">
      <c r="C669" s="33"/>
      <c r="H669" s="216"/>
    </row>
    <row r="670">
      <c r="C670" s="33"/>
      <c r="H670" s="216"/>
    </row>
    <row r="671">
      <c r="C671" s="33"/>
      <c r="H671" s="216"/>
    </row>
    <row r="672">
      <c r="C672" s="33"/>
      <c r="H672" s="216"/>
    </row>
    <row r="673">
      <c r="C673" s="33"/>
      <c r="H673" s="216"/>
    </row>
    <row r="674">
      <c r="C674" s="33"/>
      <c r="H674" s="216"/>
    </row>
    <row r="675">
      <c r="C675" s="33"/>
      <c r="H675" s="216"/>
    </row>
    <row r="676">
      <c r="C676" s="33"/>
      <c r="H676" s="216"/>
    </row>
    <row r="677">
      <c r="C677" s="33"/>
      <c r="H677" s="216"/>
    </row>
    <row r="678">
      <c r="C678" s="33"/>
      <c r="H678" s="216"/>
    </row>
    <row r="679">
      <c r="C679" s="33"/>
      <c r="H679" s="216"/>
    </row>
    <row r="680">
      <c r="C680" s="33"/>
      <c r="H680" s="216"/>
    </row>
    <row r="681">
      <c r="C681" s="33"/>
      <c r="H681" s="216"/>
    </row>
    <row r="682">
      <c r="C682" s="33"/>
      <c r="H682" s="216"/>
    </row>
    <row r="683">
      <c r="C683" s="33"/>
      <c r="H683" s="216"/>
    </row>
    <row r="684">
      <c r="C684" s="33"/>
      <c r="H684" s="216"/>
    </row>
    <row r="685">
      <c r="C685" s="33"/>
      <c r="H685" s="216"/>
    </row>
    <row r="686">
      <c r="C686" s="33"/>
      <c r="H686" s="216"/>
    </row>
    <row r="687">
      <c r="C687" s="33"/>
      <c r="H687" s="216"/>
    </row>
    <row r="688">
      <c r="C688" s="33"/>
      <c r="H688" s="216"/>
    </row>
    <row r="689">
      <c r="C689" s="33"/>
      <c r="H689" s="216"/>
    </row>
    <row r="690">
      <c r="C690" s="33"/>
      <c r="H690" s="216"/>
    </row>
    <row r="691">
      <c r="C691" s="33"/>
      <c r="H691" s="216"/>
    </row>
    <row r="692">
      <c r="C692" s="33"/>
      <c r="H692" s="216"/>
    </row>
    <row r="693">
      <c r="C693" s="33"/>
      <c r="H693" s="216"/>
    </row>
    <row r="694">
      <c r="C694" s="33"/>
      <c r="H694" s="216"/>
    </row>
    <row r="695">
      <c r="C695" s="33"/>
      <c r="H695" s="216"/>
    </row>
    <row r="696">
      <c r="C696" s="33"/>
      <c r="H696" s="216"/>
    </row>
    <row r="697">
      <c r="C697" s="33"/>
      <c r="H697" s="216"/>
    </row>
    <row r="698">
      <c r="C698" s="33"/>
      <c r="H698" s="216"/>
    </row>
    <row r="699">
      <c r="C699" s="33"/>
      <c r="H699" s="216"/>
    </row>
    <row r="700">
      <c r="C700" s="33"/>
      <c r="H700" s="216"/>
    </row>
    <row r="701">
      <c r="C701" s="33"/>
      <c r="H701" s="216"/>
    </row>
    <row r="702">
      <c r="C702" s="33"/>
      <c r="H702" s="216"/>
    </row>
    <row r="703">
      <c r="C703" s="33"/>
      <c r="H703" s="216"/>
    </row>
    <row r="704">
      <c r="C704" s="33"/>
      <c r="H704" s="216"/>
    </row>
    <row r="705">
      <c r="C705" s="33"/>
      <c r="H705" s="216"/>
    </row>
    <row r="706">
      <c r="C706" s="33"/>
      <c r="H706" s="216"/>
    </row>
    <row r="707">
      <c r="C707" s="33"/>
      <c r="H707" s="216"/>
    </row>
    <row r="708">
      <c r="C708" s="33"/>
      <c r="H708" s="216"/>
    </row>
    <row r="709">
      <c r="C709" s="33"/>
      <c r="H709" s="216"/>
    </row>
    <row r="710">
      <c r="C710" s="33"/>
      <c r="H710" s="216"/>
    </row>
    <row r="711">
      <c r="C711" s="33"/>
      <c r="H711" s="216"/>
    </row>
    <row r="712">
      <c r="C712" s="33"/>
      <c r="H712" s="216"/>
    </row>
    <row r="713">
      <c r="C713" s="33"/>
      <c r="H713" s="216"/>
    </row>
    <row r="714">
      <c r="C714" s="33"/>
      <c r="H714" s="216"/>
    </row>
    <row r="715">
      <c r="C715" s="33"/>
      <c r="H715" s="216"/>
    </row>
    <row r="716">
      <c r="C716" s="33"/>
      <c r="H716" s="216"/>
    </row>
    <row r="717">
      <c r="C717" s="33"/>
      <c r="H717" s="216"/>
    </row>
    <row r="718">
      <c r="C718" s="33"/>
      <c r="H718" s="216"/>
    </row>
    <row r="719">
      <c r="C719" s="33"/>
      <c r="H719" s="216"/>
    </row>
    <row r="720">
      <c r="C720" s="33"/>
      <c r="H720" s="216"/>
    </row>
    <row r="721">
      <c r="C721" s="33"/>
      <c r="H721" s="216"/>
    </row>
    <row r="722">
      <c r="C722" s="33"/>
      <c r="H722" s="216"/>
    </row>
    <row r="723">
      <c r="C723" s="33"/>
      <c r="H723" s="216"/>
    </row>
    <row r="724">
      <c r="C724" s="33"/>
      <c r="H724" s="216"/>
    </row>
    <row r="725">
      <c r="C725" s="33"/>
      <c r="H725" s="216"/>
    </row>
    <row r="726">
      <c r="C726" s="33"/>
      <c r="H726" s="216"/>
    </row>
    <row r="727">
      <c r="C727" s="33"/>
      <c r="H727" s="216"/>
    </row>
    <row r="728">
      <c r="C728" s="33"/>
      <c r="H728" s="216"/>
    </row>
    <row r="729">
      <c r="C729" s="33"/>
      <c r="H729" s="216"/>
    </row>
    <row r="730">
      <c r="C730" s="33"/>
      <c r="H730" s="216"/>
    </row>
    <row r="731">
      <c r="C731" s="33"/>
      <c r="H731" s="216"/>
    </row>
    <row r="732">
      <c r="C732" s="33"/>
      <c r="H732" s="216"/>
    </row>
    <row r="733">
      <c r="C733" s="33"/>
      <c r="H733" s="216"/>
    </row>
    <row r="734">
      <c r="C734" s="33"/>
      <c r="H734" s="216"/>
    </row>
    <row r="735">
      <c r="C735" s="33"/>
      <c r="H735" s="216"/>
    </row>
    <row r="736">
      <c r="C736" s="33"/>
      <c r="H736" s="216"/>
    </row>
    <row r="737">
      <c r="C737" s="33"/>
      <c r="H737" s="216"/>
    </row>
    <row r="738">
      <c r="C738" s="33"/>
      <c r="H738" s="216"/>
    </row>
    <row r="739">
      <c r="C739" s="33"/>
      <c r="H739" s="216"/>
    </row>
    <row r="740">
      <c r="C740" s="33"/>
      <c r="H740" s="216"/>
    </row>
    <row r="741">
      <c r="C741" s="33"/>
      <c r="H741" s="216"/>
    </row>
    <row r="742">
      <c r="C742" s="33"/>
      <c r="H742" s="216"/>
    </row>
    <row r="743">
      <c r="C743" s="33"/>
      <c r="H743" s="216"/>
    </row>
    <row r="744">
      <c r="C744" s="33"/>
      <c r="H744" s="216"/>
    </row>
    <row r="745">
      <c r="C745" s="33"/>
      <c r="H745" s="216"/>
    </row>
    <row r="746">
      <c r="C746" s="33"/>
      <c r="H746" s="216"/>
    </row>
    <row r="747">
      <c r="C747" s="33"/>
      <c r="H747" s="216"/>
    </row>
    <row r="748">
      <c r="C748" s="33"/>
      <c r="H748" s="216"/>
    </row>
    <row r="749">
      <c r="C749" s="33"/>
      <c r="H749" s="216"/>
    </row>
    <row r="750">
      <c r="C750" s="33"/>
      <c r="H750" s="216"/>
    </row>
    <row r="751">
      <c r="C751" s="33"/>
      <c r="H751" s="216"/>
    </row>
    <row r="752">
      <c r="C752" s="33"/>
      <c r="H752" s="216"/>
    </row>
    <row r="753">
      <c r="C753" s="33"/>
      <c r="H753" s="216"/>
    </row>
    <row r="754">
      <c r="C754" s="33"/>
      <c r="H754" s="216"/>
    </row>
    <row r="755">
      <c r="C755" s="33"/>
      <c r="H755" s="216"/>
    </row>
    <row r="756">
      <c r="C756" s="33"/>
      <c r="H756" s="216"/>
    </row>
    <row r="757">
      <c r="C757" s="33"/>
      <c r="H757" s="216"/>
    </row>
    <row r="758">
      <c r="C758" s="33"/>
      <c r="H758" s="216"/>
    </row>
    <row r="759">
      <c r="C759" s="33"/>
      <c r="H759" s="216"/>
    </row>
    <row r="760">
      <c r="C760" s="33"/>
      <c r="H760" s="216"/>
    </row>
    <row r="761">
      <c r="C761" s="33"/>
      <c r="H761" s="216"/>
    </row>
    <row r="762">
      <c r="C762" s="33"/>
      <c r="H762" s="216"/>
    </row>
    <row r="763">
      <c r="C763" s="33"/>
      <c r="H763" s="216"/>
    </row>
    <row r="764">
      <c r="C764" s="33"/>
      <c r="H764" s="216"/>
    </row>
    <row r="765">
      <c r="C765" s="33"/>
      <c r="H765" s="216"/>
    </row>
    <row r="766">
      <c r="C766" s="33"/>
      <c r="H766" s="216"/>
    </row>
    <row r="767">
      <c r="C767" s="33"/>
      <c r="H767" s="216"/>
    </row>
    <row r="768">
      <c r="C768" s="33"/>
      <c r="H768" s="216"/>
    </row>
    <row r="769">
      <c r="C769" s="33"/>
      <c r="H769" s="216"/>
    </row>
    <row r="770">
      <c r="C770" s="33"/>
      <c r="H770" s="216"/>
    </row>
    <row r="771">
      <c r="C771" s="33"/>
      <c r="H771" s="216"/>
    </row>
    <row r="772">
      <c r="C772" s="33"/>
      <c r="H772" s="216"/>
    </row>
    <row r="773">
      <c r="C773" s="33"/>
      <c r="H773" s="216"/>
    </row>
    <row r="774">
      <c r="C774" s="33"/>
      <c r="H774" s="216"/>
    </row>
    <row r="775">
      <c r="C775" s="33"/>
      <c r="H775" s="216"/>
    </row>
    <row r="776">
      <c r="C776" s="33"/>
      <c r="H776" s="216"/>
    </row>
    <row r="777">
      <c r="C777" s="33"/>
      <c r="H777" s="216"/>
    </row>
    <row r="778">
      <c r="C778" s="33"/>
      <c r="H778" s="216"/>
    </row>
    <row r="779">
      <c r="C779" s="33"/>
      <c r="H779" s="216"/>
    </row>
    <row r="780">
      <c r="C780" s="33"/>
      <c r="H780" s="216"/>
    </row>
    <row r="781">
      <c r="C781" s="33"/>
      <c r="H781" s="216"/>
    </row>
    <row r="782">
      <c r="C782" s="33"/>
      <c r="H782" s="216"/>
    </row>
    <row r="783">
      <c r="C783" s="33"/>
      <c r="H783" s="216"/>
    </row>
    <row r="784">
      <c r="C784" s="33"/>
      <c r="H784" s="216"/>
    </row>
    <row r="785">
      <c r="C785" s="33"/>
      <c r="H785" s="216"/>
    </row>
    <row r="786">
      <c r="C786" s="33"/>
      <c r="H786" s="216"/>
    </row>
    <row r="787">
      <c r="C787" s="33"/>
      <c r="H787" s="216"/>
    </row>
    <row r="788">
      <c r="C788" s="33"/>
      <c r="H788" s="216"/>
    </row>
    <row r="789">
      <c r="C789" s="33"/>
      <c r="H789" s="216"/>
    </row>
    <row r="790">
      <c r="C790" s="33"/>
      <c r="H790" s="216"/>
    </row>
    <row r="791">
      <c r="C791" s="33"/>
      <c r="H791" s="216"/>
    </row>
    <row r="792">
      <c r="C792" s="33"/>
      <c r="H792" s="216"/>
    </row>
    <row r="793">
      <c r="C793" s="33"/>
      <c r="H793" s="216"/>
    </row>
    <row r="794">
      <c r="C794" s="33"/>
      <c r="H794" s="216"/>
    </row>
    <row r="795">
      <c r="C795" s="33"/>
      <c r="H795" s="216"/>
    </row>
    <row r="796">
      <c r="C796" s="33"/>
      <c r="H796" s="216"/>
    </row>
    <row r="797">
      <c r="C797" s="33"/>
      <c r="H797" s="216"/>
    </row>
    <row r="798">
      <c r="C798" s="33"/>
      <c r="H798" s="216"/>
    </row>
    <row r="799">
      <c r="C799" s="33"/>
      <c r="H799" s="216"/>
    </row>
    <row r="800">
      <c r="C800" s="33"/>
      <c r="H800" s="216"/>
    </row>
    <row r="801">
      <c r="C801" s="33"/>
      <c r="H801" s="216"/>
    </row>
    <row r="802">
      <c r="C802" s="33"/>
      <c r="H802" s="216"/>
    </row>
    <row r="803">
      <c r="C803" s="33"/>
      <c r="H803" s="216"/>
    </row>
    <row r="804">
      <c r="C804" s="33"/>
      <c r="H804" s="216"/>
    </row>
    <row r="805">
      <c r="C805" s="33"/>
      <c r="H805" s="216"/>
    </row>
    <row r="806">
      <c r="C806" s="33"/>
      <c r="H806" s="216"/>
    </row>
    <row r="807">
      <c r="C807" s="33"/>
      <c r="H807" s="216"/>
    </row>
    <row r="808">
      <c r="C808" s="33"/>
      <c r="H808" s="216"/>
    </row>
    <row r="809">
      <c r="C809" s="33"/>
      <c r="H809" s="216"/>
    </row>
    <row r="810">
      <c r="C810" s="33"/>
      <c r="H810" s="216"/>
    </row>
    <row r="811">
      <c r="C811" s="33"/>
      <c r="H811" s="216"/>
    </row>
    <row r="812">
      <c r="C812" s="33"/>
      <c r="H812" s="216"/>
    </row>
    <row r="813">
      <c r="C813" s="33"/>
      <c r="H813" s="216"/>
    </row>
    <row r="814">
      <c r="C814" s="33"/>
      <c r="H814" s="216"/>
    </row>
    <row r="815">
      <c r="C815" s="33"/>
      <c r="H815" s="216"/>
    </row>
    <row r="816">
      <c r="C816" s="33"/>
      <c r="H816" s="216"/>
    </row>
    <row r="817">
      <c r="C817" s="33"/>
      <c r="H817" s="216"/>
    </row>
    <row r="818">
      <c r="C818" s="33"/>
      <c r="H818" s="216"/>
    </row>
    <row r="819">
      <c r="C819" s="33"/>
      <c r="H819" s="216"/>
    </row>
    <row r="820">
      <c r="C820" s="33"/>
      <c r="H820" s="216"/>
    </row>
    <row r="821">
      <c r="C821" s="33"/>
      <c r="H821" s="216"/>
    </row>
    <row r="822">
      <c r="C822" s="33"/>
      <c r="H822" s="216"/>
    </row>
    <row r="823">
      <c r="C823" s="33"/>
      <c r="H823" s="216"/>
    </row>
    <row r="824">
      <c r="C824" s="33"/>
      <c r="H824" s="216"/>
    </row>
    <row r="825">
      <c r="C825" s="33"/>
      <c r="H825" s="216"/>
    </row>
    <row r="826">
      <c r="C826" s="33"/>
      <c r="H826" s="216"/>
    </row>
    <row r="827">
      <c r="C827" s="33"/>
      <c r="H827" s="216"/>
    </row>
    <row r="828">
      <c r="C828" s="33"/>
      <c r="H828" s="216"/>
    </row>
    <row r="829">
      <c r="C829" s="33"/>
      <c r="H829" s="216"/>
    </row>
    <row r="830">
      <c r="C830" s="33"/>
      <c r="H830" s="216"/>
    </row>
    <row r="831">
      <c r="C831" s="33"/>
      <c r="H831" s="216"/>
    </row>
    <row r="832">
      <c r="C832" s="33"/>
      <c r="H832" s="216"/>
    </row>
    <row r="833">
      <c r="C833" s="33"/>
      <c r="H833" s="216"/>
    </row>
    <row r="834">
      <c r="C834" s="33"/>
      <c r="H834" s="216"/>
    </row>
    <row r="835">
      <c r="C835" s="33"/>
      <c r="H835" s="216"/>
    </row>
    <row r="836">
      <c r="C836" s="33"/>
      <c r="H836" s="216"/>
    </row>
    <row r="837">
      <c r="C837" s="33"/>
      <c r="H837" s="216"/>
    </row>
    <row r="838">
      <c r="C838" s="33"/>
      <c r="H838" s="216"/>
    </row>
    <row r="839">
      <c r="C839" s="33"/>
      <c r="H839" s="216"/>
    </row>
    <row r="840">
      <c r="C840" s="33"/>
      <c r="H840" s="216"/>
    </row>
    <row r="841">
      <c r="C841" s="33"/>
      <c r="H841" s="216"/>
    </row>
    <row r="842">
      <c r="C842" s="33"/>
      <c r="H842" s="216"/>
    </row>
    <row r="843">
      <c r="C843" s="33"/>
      <c r="H843" s="216"/>
    </row>
    <row r="844">
      <c r="C844" s="33"/>
      <c r="H844" s="216"/>
    </row>
    <row r="845">
      <c r="C845" s="33"/>
      <c r="H845" s="216"/>
    </row>
    <row r="846">
      <c r="C846" s="33"/>
      <c r="H846" s="216"/>
    </row>
    <row r="847">
      <c r="C847" s="33"/>
      <c r="H847" s="216"/>
    </row>
    <row r="848">
      <c r="C848" s="33"/>
      <c r="H848" s="216"/>
    </row>
    <row r="849">
      <c r="C849" s="33"/>
      <c r="H849" s="216"/>
    </row>
    <row r="850">
      <c r="C850" s="33"/>
      <c r="H850" s="216"/>
    </row>
    <row r="851">
      <c r="C851" s="33"/>
      <c r="H851" s="216"/>
    </row>
    <row r="852">
      <c r="C852" s="33"/>
      <c r="H852" s="216"/>
    </row>
    <row r="853">
      <c r="C853" s="33"/>
      <c r="H853" s="216"/>
    </row>
    <row r="854">
      <c r="C854" s="33"/>
      <c r="H854" s="216"/>
    </row>
    <row r="855">
      <c r="C855" s="33"/>
      <c r="H855" s="216"/>
    </row>
    <row r="856">
      <c r="C856" s="33"/>
      <c r="H856" s="216"/>
    </row>
    <row r="857">
      <c r="C857" s="33"/>
      <c r="H857" s="216"/>
    </row>
    <row r="858">
      <c r="C858" s="33"/>
      <c r="H858" s="216"/>
    </row>
    <row r="859">
      <c r="C859" s="33"/>
      <c r="H859" s="216"/>
    </row>
    <row r="860">
      <c r="C860" s="33"/>
      <c r="H860" s="216"/>
    </row>
    <row r="861">
      <c r="C861" s="33"/>
      <c r="H861" s="216"/>
    </row>
    <row r="862">
      <c r="C862" s="33"/>
      <c r="H862" s="216"/>
    </row>
    <row r="863">
      <c r="C863" s="33"/>
      <c r="H863" s="216"/>
    </row>
    <row r="864">
      <c r="C864" s="33"/>
      <c r="H864" s="216"/>
    </row>
    <row r="865">
      <c r="C865" s="33"/>
      <c r="H865" s="216"/>
    </row>
    <row r="866">
      <c r="C866" s="33"/>
      <c r="H866" s="216"/>
    </row>
    <row r="867">
      <c r="C867" s="33"/>
      <c r="H867" s="216"/>
    </row>
    <row r="868">
      <c r="C868" s="33"/>
      <c r="H868" s="216"/>
    </row>
    <row r="869">
      <c r="C869" s="33"/>
      <c r="H869" s="216"/>
    </row>
    <row r="870">
      <c r="C870" s="33"/>
      <c r="H870" s="216"/>
    </row>
    <row r="871">
      <c r="C871" s="33"/>
      <c r="H871" s="216"/>
    </row>
    <row r="872">
      <c r="C872" s="33"/>
      <c r="H872" s="216"/>
    </row>
    <row r="873">
      <c r="C873" s="33"/>
      <c r="H873" s="216"/>
    </row>
    <row r="874">
      <c r="C874" s="33"/>
      <c r="H874" s="216"/>
    </row>
    <row r="875">
      <c r="C875" s="33"/>
      <c r="H875" s="216"/>
    </row>
    <row r="876">
      <c r="C876" s="33"/>
      <c r="H876" s="216"/>
    </row>
    <row r="877">
      <c r="C877" s="33"/>
      <c r="H877" s="216"/>
    </row>
    <row r="878">
      <c r="C878" s="33"/>
      <c r="H878" s="216"/>
    </row>
    <row r="879">
      <c r="C879" s="33"/>
      <c r="H879" s="216"/>
    </row>
    <row r="880">
      <c r="C880" s="33"/>
      <c r="H880" s="216"/>
    </row>
    <row r="881">
      <c r="C881" s="33"/>
      <c r="H881" s="216"/>
    </row>
    <row r="882">
      <c r="C882" s="33"/>
      <c r="H882" s="216"/>
    </row>
    <row r="883">
      <c r="C883" s="33"/>
      <c r="H883" s="216"/>
    </row>
    <row r="884">
      <c r="C884" s="33"/>
      <c r="H884" s="216"/>
    </row>
    <row r="885">
      <c r="C885" s="33"/>
      <c r="H885" s="216"/>
    </row>
    <row r="886">
      <c r="C886" s="33"/>
      <c r="H886" s="216"/>
    </row>
    <row r="887">
      <c r="C887" s="33"/>
      <c r="H887" s="216"/>
    </row>
    <row r="888">
      <c r="C888" s="33"/>
      <c r="H888" s="216"/>
    </row>
    <row r="889">
      <c r="C889" s="33"/>
      <c r="H889" s="216"/>
    </row>
    <row r="890">
      <c r="C890" s="33"/>
      <c r="H890" s="216"/>
    </row>
    <row r="891">
      <c r="C891" s="33"/>
      <c r="H891" s="216"/>
    </row>
    <row r="892">
      <c r="C892" s="33"/>
      <c r="H892" s="216"/>
    </row>
    <row r="893">
      <c r="C893" s="33"/>
      <c r="H893" s="216"/>
    </row>
    <row r="894">
      <c r="C894" s="33"/>
      <c r="H894" s="216"/>
    </row>
    <row r="895">
      <c r="C895" s="33"/>
      <c r="H895" s="216"/>
    </row>
    <row r="896">
      <c r="C896" s="33"/>
      <c r="H896" s="216"/>
    </row>
    <row r="897">
      <c r="C897" s="33"/>
      <c r="H897" s="216"/>
    </row>
    <row r="898">
      <c r="C898" s="33"/>
      <c r="H898" s="216"/>
    </row>
    <row r="899">
      <c r="C899" s="33"/>
      <c r="H899" s="216"/>
    </row>
    <row r="900">
      <c r="C900" s="33"/>
      <c r="H900" s="216"/>
    </row>
    <row r="901">
      <c r="C901" s="33"/>
      <c r="H901" s="216"/>
    </row>
    <row r="902">
      <c r="C902" s="33"/>
      <c r="H902" s="216"/>
    </row>
    <row r="903">
      <c r="C903" s="33"/>
      <c r="H903" s="216"/>
    </row>
    <row r="904">
      <c r="C904" s="33"/>
      <c r="H904" s="216"/>
    </row>
    <row r="905">
      <c r="C905" s="33"/>
      <c r="H905" s="216"/>
    </row>
    <row r="906">
      <c r="C906" s="33"/>
      <c r="H906" s="216"/>
    </row>
    <row r="907">
      <c r="C907" s="33"/>
      <c r="H907" s="216"/>
    </row>
    <row r="908">
      <c r="C908" s="33"/>
      <c r="H908" s="216"/>
    </row>
    <row r="909">
      <c r="C909" s="33"/>
      <c r="H909" s="216"/>
    </row>
    <row r="910">
      <c r="C910" s="33"/>
      <c r="H910" s="216"/>
    </row>
    <row r="911">
      <c r="C911" s="33"/>
      <c r="H911" s="216"/>
    </row>
    <row r="912">
      <c r="C912" s="33"/>
      <c r="H912" s="216"/>
    </row>
    <row r="913">
      <c r="C913" s="33"/>
      <c r="H913" s="216"/>
    </row>
    <row r="914">
      <c r="C914" s="33"/>
      <c r="H914" s="216"/>
    </row>
    <row r="915">
      <c r="C915" s="33"/>
      <c r="H915" s="216"/>
    </row>
    <row r="916">
      <c r="C916" s="33"/>
      <c r="H916" s="216"/>
    </row>
    <row r="917">
      <c r="C917" s="33"/>
      <c r="H917" s="216"/>
    </row>
    <row r="918">
      <c r="C918" s="33"/>
      <c r="H918" s="216"/>
    </row>
    <row r="919">
      <c r="C919" s="33"/>
      <c r="H919" s="216"/>
    </row>
    <row r="920">
      <c r="C920" s="33"/>
      <c r="H920" s="216"/>
    </row>
    <row r="921">
      <c r="C921" s="33"/>
      <c r="H921" s="216"/>
    </row>
    <row r="922">
      <c r="C922" s="33"/>
      <c r="H922" s="216"/>
    </row>
    <row r="923">
      <c r="C923" s="33"/>
      <c r="H923" s="216"/>
    </row>
    <row r="924">
      <c r="C924" s="33"/>
      <c r="H924" s="216"/>
    </row>
    <row r="925">
      <c r="C925" s="33"/>
      <c r="H925" s="216"/>
    </row>
    <row r="926">
      <c r="C926" s="33"/>
      <c r="H926" s="216"/>
    </row>
    <row r="927">
      <c r="C927" s="33"/>
      <c r="H927" s="216"/>
    </row>
    <row r="928">
      <c r="C928" s="33"/>
      <c r="H928" s="216"/>
    </row>
    <row r="929">
      <c r="C929" s="33"/>
      <c r="H929" s="216"/>
    </row>
    <row r="930">
      <c r="C930" s="33"/>
      <c r="H930" s="216"/>
    </row>
    <row r="931">
      <c r="C931" s="33"/>
      <c r="H931" s="216"/>
    </row>
    <row r="932">
      <c r="C932" s="33"/>
      <c r="H932" s="216"/>
    </row>
    <row r="933">
      <c r="C933" s="33"/>
      <c r="H933" s="216"/>
    </row>
    <row r="934">
      <c r="C934" s="33"/>
      <c r="H934" s="216"/>
    </row>
    <row r="935">
      <c r="C935" s="33"/>
      <c r="H935" s="216"/>
    </row>
    <row r="936">
      <c r="C936" s="33"/>
      <c r="H936" s="216"/>
    </row>
    <row r="937">
      <c r="C937" s="33"/>
      <c r="H937" s="216"/>
    </row>
    <row r="938">
      <c r="C938" s="33"/>
      <c r="H938" s="216"/>
    </row>
    <row r="939">
      <c r="C939" s="33"/>
      <c r="H939" s="216"/>
    </row>
    <row r="940">
      <c r="C940" s="33"/>
      <c r="H940" s="216"/>
    </row>
    <row r="941">
      <c r="C941" s="33"/>
      <c r="H941" s="216"/>
    </row>
    <row r="942">
      <c r="C942" s="33"/>
      <c r="H942" s="216"/>
    </row>
    <row r="943">
      <c r="C943" s="33"/>
      <c r="H943" s="216"/>
    </row>
    <row r="944">
      <c r="C944" s="33"/>
      <c r="H944" s="216"/>
    </row>
    <row r="945">
      <c r="C945" s="33"/>
      <c r="H945" s="216"/>
    </row>
    <row r="946">
      <c r="C946" s="33"/>
      <c r="H946" s="216"/>
    </row>
    <row r="947">
      <c r="C947" s="33"/>
      <c r="H947" s="216"/>
    </row>
    <row r="948">
      <c r="C948" s="33"/>
      <c r="H948" s="216"/>
    </row>
    <row r="949">
      <c r="C949" s="33"/>
      <c r="H949" s="216"/>
    </row>
    <row r="950">
      <c r="C950" s="33"/>
      <c r="H950" s="216"/>
    </row>
    <row r="951">
      <c r="C951" s="33"/>
      <c r="H951" s="216"/>
    </row>
    <row r="952">
      <c r="C952" s="33"/>
      <c r="H952" s="216"/>
    </row>
    <row r="953">
      <c r="C953" s="33"/>
      <c r="H953" s="216"/>
    </row>
    <row r="954">
      <c r="C954" s="33"/>
      <c r="H954" s="216"/>
    </row>
    <row r="955">
      <c r="C955" s="33"/>
      <c r="H955" s="216"/>
    </row>
    <row r="956">
      <c r="C956" s="33"/>
      <c r="H956" s="216"/>
    </row>
    <row r="957">
      <c r="C957" s="33"/>
      <c r="H957" s="216"/>
    </row>
    <row r="958">
      <c r="C958" s="33"/>
      <c r="H958" s="216"/>
    </row>
    <row r="959">
      <c r="C959" s="33"/>
      <c r="H959" s="216"/>
    </row>
    <row r="960">
      <c r="C960" s="33"/>
      <c r="H960" s="216"/>
    </row>
    <row r="961">
      <c r="C961" s="33"/>
      <c r="H961" s="216"/>
    </row>
    <row r="962">
      <c r="C962" s="33"/>
      <c r="H962" s="216"/>
    </row>
    <row r="963">
      <c r="C963" s="33"/>
      <c r="H963" s="216"/>
    </row>
    <row r="964">
      <c r="C964" s="33"/>
      <c r="H964" s="216"/>
    </row>
    <row r="965">
      <c r="C965" s="33"/>
      <c r="H965" s="216"/>
    </row>
    <row r="966">
      <c r="C966" s="33"/>
      <c r="H966" s="216"/>
    </row>
    <row r="967">
      <c r="C967" s="33"/>
      <c r="H967" s="216"/>
    </row>
    <row r="968">
      <c r="C968" s="33"/>
      <c r="H968" s="216"/>
    </row>
    <row r="969">
      <c r="C969" s="33"/>
      <c r="H969" s="216"/>
    </row>
    <row r="970">
      <c r="C970" s="33"/>
      <c r="H970" s="216"/>
    </row>
    <row r="971">
      <c r="C971" s="33"/>
      <c r="H971" s="216"/>
    </row>
    <row r="972">
      <c r="C972" s="33"/>
      <c r="H972" s="216"/>
    </row>
    <row r="973">
      <c r="C973" s="33"/>
      <c r="H973" s="216"/>
    </row>
    <row r="974">
      <c r="C974" s="33"/>
      <c r="H974" s="216"/>
    </row>
    <row r="975">
      <c r="C975" s="33"/>
      <c r="H975" s="216"/>
    </row>
    <row r="976">
      <c r="C976" s="33"/>
      <c r="H976" s="216"/>
    </row>
    <row r="977">
      <c r="C977" s="33"/>
      <c r="H977" s="216"/>
    </row>
    <row r="978">
      <c r="C978" s="33"/>
      <c r="H978" s="216"/>
    </row>
    <row r="979">
      <c r="C979" s="33"/>
      <c r="H979" s="216"/>
    </row>
    <row r="980">
      <c r="C980" s="33"/>
      <c r="H980" s="216"/>
    </row>
    <row r="981">
      <c r="C981" s="33"/>
      <c r="H981" s="216"/>
    </row>
    <row r="982">
      <c r="C982" s="33"/>
      <c r="H982" s="216"/>
    </row>
    <row r="983">
      <c r="C983" s="33"/>
      <c r="H983" s="216"/>
    </row>
    <row r="984">
      <c r="C984" s="33"/>
      <c r="H984" s="216"/>
    </row>
    <row r="985">
      <c r="C985" s="33"/>
      <c r="H985" s="216"/>
    </row>
    <row r="986">
      <c r="C986" s="33"/>
      <c r="H986" s="216"/>
    </row>
    <row r="987">
      <c r="C987" s="33"/>
      <c r="H987" s="216"/>
    </row>
    <row r="988">
      <c r="C988" s="33"/>
      <c r="H988" s="216"/>
    </row>
    <row r="989">
      <c r="C989" s="33"/>
      <c r="H989" s="216"/>
    </row>
    <row r="990">
      <c r="C990" s="33"/>
      <c r="H990" s="216"/>
    </row>
    <row r="991">
      <c r="C991" s="33"/>
      <c r="H991" s="216"/>
    </row>
    <row r="992">
      <c r="C992" s="33"/>
      <c r="H992" s="216"/>
    </row>
    <row r="993">
      <c r="C993" s="33"/>
      <c r="H993" s="216"/>
    </row>
    <row r="994">
      <c r="C994" s="33"/>
      <c r="H994" s="216"/>
    </row>
    <row r="995">
      <c r="C995" s="33"/>
      <c r="H995" s="216"/>
    </row>
    <row r="996">
      <c r="C996" s="33"/>
      <c r="H996" s="216"/>
    </row>
    <row r="997">
      <c r="C997" s="33"/>
      <c r="H997" s="216"/>
    </row>
    <row r="998">
      <c r="C998" s="33"/>
      <c r="H998" s="216"/>
    </row>
    <row r="999">
      <c r="C999" s="33"/>
      <c r="H999" s="216"/>
    </row>
    <row r="1000">
      <c r="C1000" s="33"/>
      <c r="H1000" s="216"/>
    </row>
    <row r="1001">
      <c r="C1001" s="33"/>
      <c r="H1001" s="216"/>
    </row>
    <row r="1002">
      <c r="C1002" s="33"/>
      <c r="H1002" s="216"/>
    </row>
    <row r="1003">
      <c r="C1003" s="33"/>
      <c r="H1003" s="216"/>
    </row>
    <row r="1004">
      <c r="C1004" s="33"/>
      <c r="H1004" s="216"/>
    </row>
    <row r="1005">
      <c r="C1005" s="33"/>
      <c r="H1005" s="216"/>
    </row>
    <row r="1006">
      <c r="C1006" s="33"/>
      <c r="H1006" s="216"/>
    </row>
    <row r="1007">
      <c r="C1007" s="33"/>
      <c r="H1007" s="216"/>
    </row>
    <row r="1008">
      <c r="C1008" s="33"/>
      <c r="H1008" s="216"/>
    </row>
    <row r="1009">
      <c r="C1009" s="33"/>
      <c r="H1009" s="216"/>
    </row>
    <row r="1010">
      <c r="C1010" s="33"/>
      <c r="H1010" s="216"/>
    </row>
    <row r="1011">
      <c r="C1011" s="33"/>
      <c r="H1011" s="216"/>
    </row>
    <row r="1012">
      <c r="C1012" s="33"/>
      <c r="H1012" s="216"/>
    </row>
    <row r="1013">
      <c r="C1013" s="33"/>
      <c r="H1013" s="216"/>
    </row>
    <row r="1014">
      <c r="C1014" s="33"/>
      <c r="H1014" s="216"/>
    </row>
    <row r="1015">
      <c r="C1015" s="33"/>
      <c r="H1015" s="216"/>
    </row>
    <row r="1016">
      <c r="C1016" s="33"/>
      <c r="H1016" s="216"/>
    </row>
    <row r="1017">
      <c r="C1017" s="33"/>
      <c r="H1017" s="216"/>
    </row>
    <row r="1018">
      <c r="C1018" s="33"/>
      <c r="H1018" s="216"/>
    </row>
    <row r="1019">
      <c r="C1019" s="33"/>
      <c r="H1019" s="216"/>
    </row>
    <row r="1020">
      <c r="C1020" s="33"/>
      <c r="H1020" s="216"/>
    </row>
    <row r="1021">
      <c r="C1021" s="33"/>
      <c r="H1021" s="216"/>
    </row>
    <row r="1022">
      <c r="C1022" s="33"/>
      <c r="H1022" s="216"/>
    </row>
    <row r="1023">
      <c r="C1023" s="33"/>
      <c r="H1023" s="216"/>
    </row>
    <row r="1024">
      <c r="C1024" s="33"/>
      <c r="H1024" s="216"/>
    </row>
    <row r="1025">
      <c r="C1025" s="33"/>
      <c r="H1025" s="216"/>
    </row>
    <row r="1026">
      <c r="C1026" s="33"/>
      <c r="H1026" s="216"/>
    </row>
    <row r="1027">
      <c r="C1027" s="33"/>
      <c r="H1027" s="216"/>
    </row>
    <row r="1028">
      <c r="C1028" s="33"/>
      <c r="H1028" s="216"/>
    </row>
    <row r="1029">
      <c r="C1029" s="33"/>
      <c r="H1029" s="216"/>
    </row>
  </sheetData>
  <mergeCells count="3">
    <mergeCell ref="B1:J1"/>
    <mergeCell ref="D85:E85"/>
    <mergeCell ref="F85:G85"/>
  </mergeCells>
  <dataValidations>
    <dataValidation type="list" allowBlank="1" sqref="G2">
      <formula1>"0%,5%,10%,15%,20%,25%,30%"</formula1>
    </dataValidation>
    <dataValidation type="decimal" allowBlank="1" showDropDown="1" showInputMessage="1" showErrorMessage="1" prompt="Enter a number between 1 and 6" sqref="E7:E76 E80:E82">
      <formula1>1.0</formula1>
      <formula2>6.0</formula2>
    </dataValidation>
  </dataValidations>
  <hyperlinks>
    <hyperlink r:id="rId1" ref="C19"/>
    <hyperlink r:id="rId2" ref="C20"/>
    <hyperlink r:id="rId3" ref="C21"/>
    <hyperlink r:id="rId4" ref="C22"/>
    <hyperlink r:id="rId5" ref="C23"/>
    <hyperlink r:id="rId6" ref="C27"/>
    <hyperlink r:id="rId7" ref="C36"/>
    <hyperlink r:id="rId8" ref="C37"/>
    <hyperlink r:id="rId9" ref="C40"/>
    <hyperlink r:id="rId10" ref="C41"/>
    <hyperlink r:id="rId11" ref="C42"/>
    <hyperlink r:id="rId12" ref="C43"/>
    <hyperlink r:id="rId13" ref="C44"/>
    <hyperlink r:id="rId14" ref="C47"/>
    <hyperlink r:id="rId15" ref="C48"/>
    <hyperlink r:id="rId16" ref="C49"/>
    <hyperlink r:id="rId17" ref="C50"/>
    <hyperlink r:id="rId18" ref="C51"/>
    <hyperlink r:id="rId19" ref="C54"/>
    <hyperlink r:id="rId20" ref="C55"/>
    <hyperlink r:id="rId21" ref="C56"/>
    <hyperlink r:id="rId22" ref="C57"/>
    <hyperlink r:id="rId23" ref="C58"/>
    <hyperlink r:id="rId24" ref="C59"/>
    <hyperlink r:id="rId25" ref="C60"/>
    <hyperlink r:id="rId26" ref="C61"/>
    <hyperlink r:id="rId27" ref="C62"/>
    <hyperlink r:id="rId28" ref="C63"/>
    <hyperlink r:id="rId29" ref="C64"/>
    <hyperlink r:id="rId30" ref="C65"/>
  </hyperlinks>
  <drawing r:id="rId3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3"/>
    <col customWidth="1" min="2" max="2" width="38.13"/>
    <col customWidth="1" min="3" max="3" width="32.13"/>
    <col customWidth="1" min="5" max="5" width="10.75"/>
    <col customWidth="1" min="6" max="6" width="5.38"/>
    <col customWidth="1" min="7" max="7" width="8.5"/>
    <col customWidth="1" min="8" max="8" width="9.25"/>
    <col customWidth="1" min="9" max="10" width="11.75"/>
    <col customWidth="1" min="11" max="11" width="25.75"/>
    <col customWidth="1" min="12" max="12" width="10.0"/>
    <col customWidth="1" min="13" max="13" width="13.38"/>
  </cols>
  <sheetData>
    <row r="1">
      <c r="A1" s="53"/>
      <c r="B1" s="53" t="s">
        <v>56</v>
      </c>
      <c r="C1" s="53"/>
      <c r="D1" s="35"/>
      <c r="E1" s="53"/>
      <c r="F1" s="53"/>
      <c r="G1" s="53"/>
      <c r="H1" s="53"/>
      <c r="I1" s="53"/>
      <c r="J1" s="53"/>
      <c r="K1" s="53"/>
      <c r="L1" s="53"/>
      <c r="M1" s="53"/>
      <c r="N1" s="35"/>
      <c r="O1" s="35"/>
      <c r="P1" s="35"/>
      <c r="Q1" s="35"/>
      <c r="R1" s="35"/>
      <c r="S1" s="35"/>
      <c r="T1" s="35"/>
      <c r="U1" s="35"/>
      <c r="V1" s="35"/>
      <c r="W1" s="35"/>
      <c r="X1" s="35"/>
      <c r="Y1" s="35"/>
      <c r="Z1" s="35"/>
      <c r="AA1" s="35"/>
      <c r="AB1" s="35"/>
      <c r="AC1" s="35"/>
    </row>
    <row r="2">
      <c r="A2" s="55"/>
      <c r="B2" s="55" t="s">
        <v>57</v>
      </c>
      <c r="C2" s="57"/>
      <c r="E2" s="26"/>
      <c r="F2" s="58"/>
      <c r="G2" s="58"/>
      <c r="H2" s="58"/>
      <c r="J2" s="149">
        <v>0.0</v>
      </c>
      <c r="K2" s="60" t="s">
        <v>58</v>
      </c>
      <c r="L2" s="217"/>
      <c r="N2" s="35"/>
      <c r="O2" s="35"/>
      <c r="P2" s="35"/>
      <c r="Q2" s="35"/>
      <c r="R2" s="35"/>
      <c r="S2" s="35"/>
      <c r="T2" s="35"/>
      <c r="U2" s="35"/>
      <c r="V2" s="35"/>
      <c r="W2" s="35"/>
      <c r="X2" s="35"/>
      <c r="Y2" s="35"/>
      <c r="Z2" s="35"/>
      <c r="AA2" s="35"/>
      <c r="AB2" s="35"/>
      <c r="AC2" s="35"/>
    </row>
    <row r="3">
      <c r="A3" s="55"/>
      <c r="B3" s="55" t="s">
        <v>59</v>
      </c>
      <c r="C3" s="107">
        <v>45525.0</v>
      </c>
      <c r="E3" s="26"/>
      <c r="F3" s="58"/>
      <c r="G3" s="58"/>
      <c r="H3" s="58"/>
      <c r="J3" s="62">
        <f>ROUNDUP(G32*J2,0)</f>
        <v>0</v>
      </c>
      <c r="K3" s="60" t="s">
        <v>60</v>
      </c>
      <c r="L3" s="217"/>
      <c r="N3" s="35"/>
      <c r="O3" s="35"/>
      <c r="P3" s="35"/>
      <c r="Q3" s="35"/>
      <c r="R3" s="35"/>
      <c r="S3" s="35"/>
      <c r="T3" s="35"/>
      <c r="U3" s="35"/>
      <c r="V3" s="35"/>
      <c r="W3" s="35"/>
      <c r="X3" s="35"/>
      <c r="Y3" s="35"/>
      <c r="Z3" s="35"/>
      <c r="AA3" s="35"/>
      <c r="AB3" s="35"/>
      <c r="AC3" s="35"/>
    </row>
    <row r="4">
      <c r="A4" s="55"/>
      <c r="B4" s="55" t="s">
        <v>61</v>
      </c>
      <c r="C4" s="57">
        <f>ROUNDUP(SUM(G32,J3),0)</f>
        <v>0</v>
      </c>
      <c r="E4" s="26"/>
      <c r="F4" s="51"/>
      <c r="G4" s="51"/>
      <c r="H4" s="51"/>
      <c r="I4" s="51"/>
      <c r="J4" s="51"/>
      <c r="K4" s="51"/>
      <c r="L4" s="27"/>
      <c r="M4" s="35"/>
      <c r="N4" s="55" t="s">
        <v>61</v>
      </c>
      <c r="O4" s="57">
        <f>ROUNDUP(SUM(P32,J3),0)</f>
        <v>0</v>
      </c>
      <c r="P4" s="35"/>
      <c r="Q4" s="35"/>
      <c r="R4" s="35"/>
      <c r="S4" s="35"/>
      <c r="T4" s="35"/>
      <c r="U4" s="35"/>
      <c r="V4" s="35"/>
      <c r="W4" s="35"/>
      <c r="X4" s="35"/>
      <c r="Y4" s="35"/>
      <c r="Z4" s="35"/>
      <c r="AA4" s="35"/>
      <c r="AB4" s="35"/>
      <c r="AC4" s="35"/>
    </row>
    <row r="5">
      <c r="A5" s="55"/>
      <c r="B5" s="65" t="s">
        <v>63</v>
      </c>
      <c r="C5" s="66"/>
      <c r="D5" s="35"/>
      <c r="E5" s="35"/>
      <c r="F5" s="35"/>
      <c r="G5" s="35"/>
      <c r="H5" s="35"/>
      <c r="I5" s="35"/>
      <c r="J5" s="35"/>
      <c r="K5" s="35"/>
      <c r="L5" s="35"/>
      <c r="M5" s="35"/>
      <c r="N5" s="35"/>
      <c r="O5" s="35"/>
      <c r="P5" s="35"/>
      <c r="Q5" s="35"/>
      <c r="R5" s="35"/>
      <c r="S5" s="35"/>
      <c r="T5" s="35"/>
      <c r="U5" s="35"/>
      <c r="V5" s="35"/>
      <c r="W5" s="35"/>
      <c r="X5" s="35"/>
      <c r="Y5" s="35"/>
      <c r="Z5" s="35"/>
      <c r="AA5" s="35"/>
      <c r="AB5" s="35"/>
      <c r="AC5" s="35"/>
    </row>
    <row r="6">
      <c r="A6" s="68"/>
      <c r="B6" s="68" t="s">
        <v>64</v>
      </c>
      <c r="C6" s="68" t="s">
        <v>65</v>
      </c>
      <c r="D6" s="69" t="s">
        <v>66</v>
      </c>
      <c r="E6" s="21" t="s">
        <v>67</v>
      </c>
      <c r="F6" s="70" t="s">
        <v>68</v>
      </c>
      <c r="G6" s="71" t="s">
        <v>69</v>
      </c>
      <c r="H6" s="72" t="s">
        <v>70</v>
      </c>
      <c r="I6" s="69" t="s">
        <v>286</v>
      </c>
      <c r="J6" s="74" t="s">
        <v>287</v>
      </c>
      <c r="K6" s="69" t="s">
        <v>71</v>
      </c>
      <c r="L6" s="74" t="s">
        <v>288</v>
      </c>
      <c r="M6" s="73" t="s">
        <v>73</v>
      </c>
      <c r="N6" s="74" t="s">
        <v>74</v>
      </c>
      <c r="O6" s="70" t="s">
        <v>68</v>
      </c>
      <c r="P6" s="71" t="s">
        <v>69</v>
      </c>
      <c r="Q6" s="72" t="s">
        <v>70</v>
      </c>
      <c r="R6" s="35"/>
      <c r="S6" s="35"/>
      <c r="T6" s="35"/>
      <c r="U6" s="35"/>
      <c r="V6" s="35"/>
      <c r="W6" s="35"/>
      <c r="X6" s="35"/>
      <c r="Y6" s="35"/>
      <c r="Z6" s="35"/>
      <c r="AA6" s="35"/>
      <c r="AB6" s="35"/>
      <c r="AC6" s="35"/>
    </row>
    <row r="7">
      <c r="A7" s="75"/>
      <c r="B7" s="97"/>
      <c r="C7" s="142"/>
      <c r="D7" s="77">
        <v>0.0</v>
      </c>
      <c r="E7" s="78"/>
      <c r="F7" s="79">
        <v>6.0</v>
      </c>
      <c r="G7" s="80">
        <f t="array" ref="G7">ROUNDUP(IF(EQ(A7, ""),E7*INDEX(UncertaintyFactors!$C$2:$D$7, F7, 1), 0), 1)</f>
        <v>0</v>
      </c>
      <c r="H7" s="81">
        <f t="array" ref="H7">ROUNDUP(IF(EQ(A7, ""), E7*INDEX(UncertaintyFactors!$C$2:$D$7, F7, 2), 0), 1)</f>
        <v>0</v>
      </c>
      <c r="I7" s="28" t="s">
        <v>289</v>
      </c>
      <c r="J7" s="218">
        <f>G7*VLOOKUP(I7,Data!$A$2:$C$11,3,FALSE)/8</f>
        <v>0</v>
      </c>
      <c r="K7" s="27"/>
      <c r="L7" s="219">
        <f>G7*VLOOKUP(I7,Data!$A$2:$E$11,5,FALSE)/8</f>
        <v>0</v>
      </c>
      <c r="M7" s="35"/>
      <c r="N7" s="83">
        <f t="shared" ref="N7:N30" si="1">G7-(G7*D7)</f>
        <v>0</v>
      </c>
      <c r="O7" s="79">
        <f t="shared" ref="O7:O31" si="2">F7</f>
        <v>6</v>
      </c>
      <c r="P7" s="80">
        <f t="array" ref="P7">ROUNDUP(IF(EQ(A7, ""),N7*INDEX(UncertaintyFactors!$C$2:$D$7, O7, 1), 0), 1)</f>
        <v>0</v>
      </c>
      <c r="Q7" s="81">
        <f t="array" ref="Q7">ROUNDUP(IF(EQ(A7, ""), N7*INDEX(UncertaintyFactors!$C$2:$D$7, O7, 2), 0), 1)</f>
        <v>0</v>
      </c>
      <c r="R7" s="35"/>
      <c r="S7" s="35"/>
      <c r="T7" s="35"/>
      <c r="U7" s="35"/>
      <c r="V7" s="35"/>
      <c r="W7" s="35"/>
      <c r="X7" s="35"/>
      <c r="Y7" s="35"/>
      <c r="Z7" s="35"/>
      <c r="AA7" s="35"/>
      <c r="AB7" s="35"/>
      <c r="AC7" s="35"/>
    </row>
    <row r="8">
      <c r="A8" s="75"/>
      <c r="B8" s="97"/>
      <c r="C8" s="35"/>
      <c r="D8" s="77">
        <v>0.0</v>
      </c>
      <c r="E8" s="78"/>
      <c r="F8" s="87">
        <v>6.0</v>
      </c>
      <c r="G8" s="80">
        <f t="array" ref="G8">ROUNDUP(IF(EQ(A8, ""),E8*INDEX(UncertaintyFactors!$C$2:$D$7, F8, 1), 0), 1)</f>
        <v>0</v>
      </c>
      <c r="H8" s="81">
        <f t="array" ref="H8">ROUNDUP(IF(EQ(A8, ""), E8*INDEX(UncertaintyFactors!$C$2:$D$7, F8, 2), 0), 1)</f>
        <v>0</v>
      </c>
      <c r="I8" s="28" t="s">
        <v>289</v>
      </c>
      <c r="J8" s="218">
        <f>G8*VLOOKUP(I8,Data!$A$2:$C$11,3,FALSE)/8</f>
        <v>0</v>
      </c>
      <c r="K8" s="27"/>
      <c r="L8" s="219">
        <f>G8*VLOOKUP(I8,Data!$A$2:$E$11,5,FALSE)/8</f>
        <v>0</v>
      </c>
      <c r="M8" s="35"/>
      <c r="N8" s="83">
        <f t="shared" si="1"/>
        <v>0</v>
      </c>
      <c r="O8" s="79">
        <f t="shared" si="2"/>
        <v>6</v>
      </c>
      <c r="P8" s="80">
        <f t="array" ref="P8">ROUNDUP(IF(EQ(A8, ""),N8*INDEX(UncertaintyFactors!$C$2:$D$7, O8, 1), 0), 1)</f>
        <v>0</v>
      </c>
      <c r="Q8" s="81">
        <f t="array" ref="Q8">ROUNDUP(IF(EQ(A8, ""), N8*INDEX(UncertaintyFactors!$C$2:$D$7, O8, 2), 0), 1)</f>
        <v>0</v>
      </c>
      <c r="R8" s="35"/>
      <c r="S8" s="35"/>
      <c r="T8" s="35"/>
      <c r="U8" s="35"/>
      <c r="V8" s="35"/>
      <c r="W8" s="35"/>
      <c r="X8" s="35"/>
      <c r="Y8" s="35"/>
      <c r="Z8" s="35"/>
      <c r="AA8" s="35"/>
      <c r="AB8" s="35"/>
      <c r="AC8" s="35"/>
    </row>
    <row r="9">
      <c r="A9" s="75"/>
      <c r="B9" s="101"/>
      <c r="C9" s="35"/>
      <c r="D9" s="77">
        <v>0.0</v>
      </c>
      <c r="E9" s="78"/>
      <c r="F9" s="87">
        <v>6.0</v>
      </c>
      <c r="G9" s="80">
        <f t="array" ref="G9">ROUNDUP(IF(EQ(A9, ""),E9*INDEX(UncertaintyFactors!$C$2:$D$7, F9, 1), 0), 1)</f>
        <v>0</v>
      </c>
      <c r="H9" s="81">
        <f t="array" ref="H9">ROUNDUP(IF(EQ(A9, ""), E9*INDEX(UncertaintyFactors!$C$2:$D$7, F9, 2), 0), 1)</f>
        <v>0</v>
      </c>
      <c r="I9" s="28" t="s">
        <v>289</v>
      </c>
      <c r="J9" s="218">
        <f>G9*VLOOKUP(I9,Data!$A$2:$C$11,3,FALSE)/8</f>
        <v>0</v>
      </c>
      <c r="K9" s="27"/>
      <c r="L9" s="219">
        <f>G9*VLOOKUP(I9,Data!$A$2:$E$11,5,FALSE)/8</f>
        <v>0</v>
      </c>
      <c r="M9" s="35"/>
      <c r="N9" s="83">
        <f t="shared" si="1"/>
        <v>0</v>
      </c>
      <c r="O9" s="79">
        <f t="shared" si="2"/>
        <v>6</v>
      </c>
      <c r="P9" s="80">
        <f t="array" ref="P9">ROUNDUP(IF(EQ(A9, ""),N9*INDEX(UncertaintyFactors!$C$2:$D$7, O9, 1), 0), 1)</f>
        <v>0</v>
      </c>
      <c r="Q9" s="81">
        <f t="array" ref="Q9">ROUNDUP(IF(EQ(A9, ""), N9*INDEX(UncertaintyFactors!$C$2:$D$7, O9, 2), 0), 1)</f>
        <v>0</v>
      </c>
      <c r="R9" s="35"/>
      <c r="S9" s="35"/>
      <c r="T9" s="35"/>
      <c r="U9" s="35"/>
      <c r="V9" s="35"/>
      <c r="W9" s="35"/>
      <c r="X9" s="35"/>
      <c r="Y9" s="35"/>
      <c r="Z9" s="35"/>
      <c r="AA9" s="35"/>
      <c r="AB9" s="35"/>
      <c r="AC9" s="35"/>
    </row>
    <row r="10">
      <c r="A10" s="75"/>
      <c r="B10" s="97"/>
      <c r="C10" s="35"/>
      <c r="D10" s="77">
        <v>0.0</v>
      </c>
      <c r="E10" s="78"/>
      <c r="F10" s="87">
        <v>6.0</v>
      </c>
      <c r="G10" s="80">
        <f t="array" ref="G10">ROUNDUP(IF(EQ(A10, ""),E10*INDEX(UncertaintyFactors!$C$2:$D$7, F10, 1), 0), 1)</f>
        <v>0</v>
      </c>
      <c r="H10" s="81">
        <f t="array" ref="H10">ROUNDUP(IF(EQ(A10, ""), E10*INDEX(UncertaintyFactors!$C$2:$D$7, F10, 2), 0), 1)</f>
        <v>0</v>
      </c>
      <c r="I10" s="27" t="s">
        <v>289</v>
      </c>
      <c r="J10" s="218">
        <f>G10*VLOOKUP(I10,Data!$A$2:$C$11,3,FALSE)/8</f>
        <v>0</v>
      </c>
      <c r="K10" s="28"/>
      <c r="L10" s="219">
        <f>G10*VLOOKUP(I10,Data!$A$2:$E$11,5,FALSE)/8</f>
        <v>0</v>
      </c>
      <c r="M10" s="35"/>
      <c r="N10" s="83">
        <f t="shared" si="1"/>
        <v>0</v>
      </c>
      <c r="O10" s="79">
        <f t="shared" si="2"/>
        <v>6</v>
      </c>
      <c r="P10" s="80">
        <f t="array" ref="P10">ROUNDUP(IF(EQ(A10, ""),N10*INDEX(UncertaintyFactors!$C$2:$D$7, O10, 1), 0), 1)</f>
        <v>0</v>
      </c>
      <c r="Q10" s="81">
        <f t="array" ref="Q10">ROUNDUP(IF(EQ(A10, ""), N10*INDEX(UncertaintyFactors!$C$2:$D$7, O10, 2), 0), 1)</f>
        <v>0</v>
      </c>
      <c r="R10" s="35"/>
      <c r="S10" s="35"/>
      <c r="T10" s="35"/>
      <c r="U10" s="35"/>
      <c r="V10" s="35"/>
      <c r="W10" s="35"/>
      <c r="X10" s="35"/>
      <c r="Y10" s="35"/>
      <c r="Z10" s="35"/>
      <c r="AA10" s="35"/>
      <c r="AB10" s="35"/>
      <c r="AC10" s="35"/>
    </row>
    <row r="11">
      <c r="A11" s="75"/>
      <c r="B11" s="97"/>
      <c r="C11" s="35"/>
      <c r="D11" s="77">
        <v>0.0</v>
      </c>
      <c r="E11" s="78"/>
      <c r="F11" s="87">
        <v>6.0</v>
      </c>
      <c r="G11" s="80">
        <f t="array" ref="G11">ROUNDUP(IF(EQ(A11, ""),E11*INDEX(UncertaintyFactors!$C$2:$D$7, F11, 1), 0), 1)</f>
        <v>0</v>
      </c>
      <c r="H11" s="81">
        <f t="array" ref="H11">ROUNDUP(IF(EQ(A11, ""), E11*INDEX(UncertaintyFactors!$C$2:$D$7, F11, 2), 0), 1)</f>
        <v>0</v>
      </c>
      <c r="I11" s="27" t="s">
        <v>290</v>
      </c>
      <c r="J11" s="218">
        <f>G11*VLOOKUP(I11,Data!$A$2:$C$11,3,FALSE)/8</f>
        <v>0</v>
      </c>
      <c r="K11" s="51"/>
      <c r="L11" s="219">
        <f>G11*VLOOKUP(I11,Data!$A$2:$E$11,5,FALSE)/8</f>
        <v>0</v>
      </c>
      <c r="M11" s="35"/>
      <c r="N11" s="83">
        <f t="shared" si="1"/>
        <v>0</v>
      </c>
      <c r="O11" s="79">
        <f t="shared" si="2"/>
        <v>6</v>
      </c>
      <c r="P11" s="80">
        <f t="array" ref="P11">ROUNDUP(IF(EQ(A11, ""),N11*INDEX(UncertaintyFactors!$C$2:$D$7, O11, 1), 0), 1)</f>
        <v>0</v>
      </c>
      <c r="Q11" s="81">
        <f t="array" ref="Q11">ROUNDUP(IF(EQ(A11, ""), N11*INDEX(UncertaintyFactors!$C$2:$D$7, O11, 2), 0), 1)</f>
        <v>0</v>
      </c>
      <c r="R11" s="35"/>
      <c r="S11" s="35"/>
      <c r="T11" s="35"/>
      <c r="U11" s="35"/>
      <c r="V11" s="35"/>
      <c r="W11" s="35"/>
      <c r="X11" s="35"/>
      <c r="Y11" s="35"/>
      <c r="Z11" s="35"/>
      <c r="AA11" s="35"/>
      <c r="AB11" s="35"/>
      <c r="AC11" s="35"/>
    </row>
    <row r="12">
      <c r="A12" s="75"/>
      <c r="B12" s="97"/>
      <c r="C12" s="35"/>
      <c r="D12" s="77">
        <v>0.0</v>
      </c>
      <c r="E12" s="78"/>
      <c r="F12" s="87">
        <v>6.0</v>
      </c>
      <c r="G12" s="80">
        <f t="array" ref="G12">ROUNDUP(IF(EQ(A12, ""),E12*INDEX(UncertaintyFactors!$C$2:$D$7, F12, 1), 0), 1)</f>
        <v>0</v>
      </c>
      <c r="H12" s="81">
        <f t="array" ref="H12">ROUNDUP(IF(EQ(A12, ""), E12*INDEX(UncertaintyFactors!$C$2:$D$7, F12, 2), 0), 1)</f>
        <v>0</v>
      </c>
      <c r="I12" s="27" t="s">
        <v>290</v>
      </c>
      <c r="J12" s="218">
        <f>G12*VLOOKUP(I12,Data!$A$2:$C$11,3,FALSE)/8</f>
        <v>0</v>
      </c>
      <c r="K12" s="51"/>
      <c r="L12" s="219">
        <f>G12*VLOOKUP(I12,Data!$A$2:$E$11,5,FALSE)/8</f>
        <v>0</v>
      </c>
      <c r="M12" s="35"/>
      <c r="N12" s="83">
        <f t="shared" si="1"/>
        <v>0</v>
      </c>
      <c r="O12" s="79">
        <f t="shared" si="2"/>
        <v>6</v>
      </c>
      <c r="P12" s="80">
        <f t="array" ref="P12">ROUNDUP(IF(EQ(A12, ""),N12*INDEX(UncertaintyFactors!$C$2:$D$7, O12, 1), 0), 1)</f>
        <v>0</v>
      </c>
      <c r="Q12" s="81">
        <f t="array" ref="Q12">ROUNDUP(IF(EQ(A12, ""), N12*INDEX(UncertaintyFactors!$C$2:$D$7, O12, 2), 0), 1)</f>
        <v>0</v>
      </c>
      <c r="R12" s="35"/>
      <c r="S12" s="35"/>
      <c r="T12" s="35"/>
      <c r="U12" s="35"/>
      <c r="V12" s="35"/>
      <c r="W12" s="35"/>
      <c r="X12" s="35"/>
      <c r="Y12" s="35"/>
      <c r="Z12" s="35"/>
      <c r="AA12" s="35"/>
      <c r="AB12" s="35"/>
      <c r="AC12" s="35"/>
    </row>
    <row r="13">
      <c r="A13" s="75"/>
      <c r="B13" s="97"/>
      <c r="C13" s="35"/>
      <c r="D13" s="77">
        <v>0.0</v>
      </c>
      <c r="E13" s="78"/>
      <c r="F13" s="87">
        <v>6.0</v>
      </c>
      <c r="G13" s="80">
        <f t="array" ref="G13">ROUNDUP(IF(EQ(A13, ""),E13*INDEX(UncertaintyFactors!$C$2:$D$7, F13, 1), 0), 1)</f>
        <v>0</v>
      </c>
      <c r="H13" s="81">
        <f t="array" ref="H13">ROUNDUP(IF(EQ(A13, ""), E13*INDEX(UncertaintyFactors!$C$2:$D$7, F13, 2), 0), 1)</f>
        <v>0</v>
      </c>
      <c r="I13" s="28" t="s">
        <v>289</v>
      </c>
      <c r="J13" s="218">
        <f>G13*VLOOKUP(I13,Data!$A$2:$C$11,3,FALSE)/8</f>
        <v>0</v>
      </c>
      <c r="K13" s="51"/>
      <c r="L13" s="219">
        <f>G13*VLOOKUP(I13,Data!$A$2:$E$11,5,FALSE)/8</f>
        <v>0</v>
      </c>
      <c r="M13" s="35"/>
      <c r="N13" s="83">
        <f t="shared" si="1"/>
        <v>0</v>
      </c>
      <c r="O13" s="79">
        <f t="shared" si="2"/>
        <v>6</v>
      </c>
      <c r="P13" s="80">
        <f t="array" ref="P13">ROUNDUP(IF(EQ(A13, ""),N13*INDEX(UncertaintyFactors!$C$2:$D$7, O13, 1), 0), 1)</f>
        <v>0</v>
      </c>
      <c r="Q13" s="81">
        <f t="array" ref="Q13">ROUNDUP(IF(EQ(A13, ""), N13*INDEX(UncertaintyFactors!$C$2:$D$7, O13, 2), 0), 1)</f>
        <v>0</v>
      </c>
      <c r="R13" s="35"/>
      <c r="S13" s="35"/>
      <c r="T13" s="35"/>
      <c r="U13" s="35"/>
      <c r="V13" s="35"/>
      <c r="W13" s="35"/>
      <c r="X13" s="35"/>
      <c r="Y13" s="35"/>
      <c r="Z13" s="35"/>
      <c r="AA13" s="35"/>
      <c r="AB13" s="35"/>
      <c r="AC13" s="35"/>
    </row>
    <row r="14">
      <c r="A14" s="75"/>
      <c r="B14" s="97"/>
      <c r="C14" s="35"/>
      <c r="D14" s="77">
        <v>0.0</v>
      </c>
      <c r="E14" s="78"/>
      <c r="F14" s="87">
        <v>6.0</v>
      </c>
      <c r="G14" s="80">
        <f t="array" ref="G14">ROUNDUP(IF(EQ(A14, ""),E14*INDEX(UncertaintyFactors!$C$2:$D$7, F14, 1), 0), 1)</f>
        <v>0</v>
      </c>
      <c r="H14" s="81">
        <f t="array" ref="H14">ROUNDUP(IF(EQ(A14, ""), E14*INDEX(UncertaintyFactors!$C$2:$D$7, F14, 2), 0), 1)</f>
        <v>0</v>
      </c>
      <c r="I14" s="28" t="s">
        <v>289</v>
      </c>
      <c r="J14" s="218">
        <f>G14*VLOOKUP(I14,Data!$A$2:$C$11,3,FALSE)/8</f>
        <v>0</v>
      </c>
      <c r="K14" s="51"/>
      <c r="L14" s="219">
        <f>G14*VLOOKUP(I14,Data!$A$2:$E$11,5,FALSE)/8</f>
        <v>0</v>
      </c>
      <c r="M14" s="35"/>
      <c r="N14" s="83">
        <f t="shared" si="1"/>
        <v>0</v>
      </c>
      <c r="O14" s="79">
        <f t="shared" si="2"/>
        <v>6</v>
      </c>
      <c r="P14" s="80">
        <f t="array" ref="P14">ROUNDUP(IF(EQ(A14, ""),N14*INDEX(UncertaintyFactors!$C$2:$D$7, O14, 1), 0), 1)</f>
        <v>0</v>
      </c>
      <c r="Q14" s="81">
        <f t="array" ref="Q14">ROUNDUP(IF(EQ(A14, ""), N14*INDEX(UncertaintyFactors!$C$2:$D$7, O14, 2), 0), 1)</f>
        <v>0</v>
      </c>
      <c r="R14" s="35"/>
      <c r="S14" s="35"/>
      <c r="T14" s="35"/>
      <c r="U14" s="35"/>
      <c r="V14" s="35"/>
      <c r="W14" s="35"/>
      <c r="X14" s="35"/>
      <c r="Y14" s="35"/>
      <c r="Z14" s="35"/>
      <c r="AA14" s="35"/>
      <c r="AB14" s="35"/>
      <c r="AC14" s="35"/>
    </row>
    <row r="15">
      <c r="A15" s="75"/>
      <c r="B15" s="101"/>
      <c r="C15" s="35"/>
      <c r="D15" s="77">
        <v>0.0</v>
      </c>
      <c r="E15" s="26"/>
      <c r="F15" s="87">
        <v>6.0</v>
      </c>
      <c r="G15" s="80">
        <f t="array" ref="G15">ROUNDUP(IF(EQ(A15, ""),E15*INDEX(UncertaintyFactors!$C$2:$D$7, F15, 1), 0), 1)</f>
        <v>0</v>
      </c>
      <c r="H15" s="81">
        <f t="array" ref="H15">ROUNDUP(IF(EQ(A15, ""), E15*INDEX(UncertaintyFactors!$C$2:$D$7, F15, 2), 0), 1)</f>
        <v>0</v>
      </c>
      <c r="I15" s="28" t="s">
        <v>289</v>
      </c>
      <c r="J15" s="218">
        <v>0.0</v>
      </c>
      <c r="K15" s="51"/>
      <c r="L15" s="219">
        <f>G15*VLOOKUP(I15,Data!$A$2:$E$11,5,FALSE)/8</f>
        <v>0</v>
      </c>
      <c r="M15" s="35"/>
      <c r="N15" s="83">
        <f t="shared" si="1"/>
        <v>0</v>
      </c>
      <c r="O15" s="79">
        <f t="shared" si="2"/>
        <v>6</v>
      </c>
      <c r="P15" s="80">
        <f t="array" ref="P15">ROUNDUP(IF(EQ(A15, ""),N15*INDEX(UncertaintyFactors!$C$2:$D$7, O15, 1), 0), 1)</f>
        <v>0</v>
      </c>
      <c r="Q15" s="81">
        <f t="array" ref="Q15">ROUNDUP(IF(EQ(A15, ""), N15*INDEX(UncertaintyFactors!$C$2:$D$7, O15, 2), 0), 1)</f>
        <v>0</v>
      </c>
      <c r="R15" s="35"/>
      <c r="S15" s="35"/>
      <c r="T15" s="35"/>
      <c r="U15" s="35"/>
      <c r="V15" s="35"/>
      <c r="W15" s="35"/>
      <c r="X15" s="35"/>
      <c r="Y15" s="35"/>
      <c r="Z15" s="35"/>
      <c r="AA15" s="35"/>
      <c r="AB15" s="35"/>
      <c r="AC15" s="35"/>
    </row>
    <row r="16">
      <c r="A16" s="75"/>
      <c r="B16" s="101"/>
      <c r="C16" s="35"/>
      <c r="D16" s="77">
        <v>0.0</v>
      </c>
      <c r="E16" s="78"/>
      <c r="F16" s="87">
        <v>6.0</v>
      </c>
      <c r="G16" s="80">
        <f t="array" ref="G16">ROUNDUP(IF(EQ(A16, ""),E16*INDEX(UncertaintyFactors!$C$2:$D$7, F16, 1), 0), 1)</f>
        <v>0</v>
      </c>
      <c r="H16" s="81">
        <f t="array" ref="H16">ROUNDUP(IF(EQ(A16, ""), E16*INDEX(UncertaintyFactors!$C$2:$D$7, F16, 2), 0), 1)</f>
        <v>0</v>
      </c>
      <c r="I16" s="28" t="s">
        <v>291</v>
      </c>
      <c r="J16" s="218">
        <f>G16*VLOOKUP(I16,Data!$A$2:$C$11,3,FALSE)/8</f>
        <v>0</v>
      </c>
      <c r="K16" s="51"/>
      <c r="L16" s="219">
        <f>G16*VLOOKUP(I16,Data!$A$2:$E$11,5,FALSE)/8</f>
        <v>0</v>
      </c>
      <c r="M16" s="35"/>
      <c r="N16" s="83">
        <f t="shared" si="1"/>
        <v>0</v>
      </c>
      <c r="O16" s="79">
        <f t="shared" si="2"/>
        <v>6</v>
      </c>
      <c r="P16" s="80">
        <f t="array" ref="P16">ROUNDUP(IF(EQ(A16, ""),N16*INDEX(UncertaintyFactors!$C$2:$D$7, O16, 1), 0), 1)</f>
        <v>0</v>
      </c>
      <c r="Q16" s="81">
        <f t="array" ref="Q16">ROUNDUP(IF(EQ(A16, ""), N16*INDEX(UncertaintyFactors!$C$2:$D$7, O16, 2), 0), 1)</f>
        <v>0</v>
      </c>
      <c r="R16" s="35"/>
      <c r="S16" s="35"/>
      <c r="T16" s="35"/>
      <c r="U16" s="35"/>
      <c r="V16" s="35"/>
      <c r="W16" s="35"/>
      <c r="X16" s="35"/>
      <c r="Y16" s="35"/>
      <c r="Z16" s="35"/>
      <c r="AA16" s="35"/>
      <c r="AB16" s="35"/>
      <c r="AC16" s="35"/>
    </row>
    <row r="17">
      <c r="A17" s="75"/>
      <c r="B17" s="97"/>
      <c r="C17" s="35"/>
      <c r="D17" s="77">
        <v>0.05</v>
      </c>
      <c r="E17" s="26"/>
      <c r="F17" s="87">
        <v>6.0</v>
      </c>
      <c r="G17" s="80">
        <f t="array" ref="G17">ROUNDUP(IF(EQ(A17, ""),E17*INDEX(UncertaintyFactors!$C$2:$D$7, F17, 1), 0), 1)</f>
        <v>0</v>
      </c>
      <c r="H17" s="81">
        <f t="array" ref="H17">ROUNDUP(IF(EQ(A17, ""), E17*INDEX(UncertaintyFactors!$C$2:$D$7, F17, 2), 0), 1)</f>
        <v>0</v>
      </c>
      <c r="I17" s="28" t="s">
        <v>289</v>
      </c>
      <c r="J17" s="218">
        <f>G17*VLOOKUP(I17,Data!$A$2:$C$11,3,FALSE)/8</f>
        <v>0</v>
      </c>
      <c r="K17" s="51"/>
      <c r="L17" s="219">
        <f>G17*VLOOKUP(I17,Data!$A$2:$E$11,5,FALSE)/8</f>
        <v>0</v>
      </c>
      <c r="M17" s="35"/>
      <c r="N17" s="83">
        <f t="shared" si="1"/>
        <v>0</v>
      </c>
      <c r="O17" s="79">
        <f t="shared" si="2"/>
        <v>6</v>
      </c>
      <c r="P17" s="35"/>
      <c r="Q17" s="35"/>
      <c r="R17" s="35"/>
      <c r="S17" s="35"/>
      <c r="T17" s="35"/>
      <c r="U17" s="35"/>
      <c r="V17" s="35"/>
      <c r="W17" s="35"/>
      <c r="X17" s="35"/>
      <c r="Y17" s="35"/>
      <c r="Z17" s="35"/>
      <c r="AA17" s="35"/>
      <c r="AB17" s="35"/>
      <c r="AC17" s="35"/>
    </row>
    <row r="18">
      <c r="A18" s="75"/>
      <c r="B18" s="97"/>
      <c r="C18" s="35"/>
      <c r="D18" s="77">
        <v>0.0</v>
      </c>
      <c r="E18" s="26"/>
      <c r="F18" s="87">
        <v>6.0</v>
      </c>
      <c r="G18" s="80">
        <f t="array" ref="G18">ROUNDUP(IF(EQ(A18, ""),E18*INDEX(UncertaintyFactors!$C$2:$D$7, F18, 1), 0), 1)</f>
        <v>0</v>
      </c>
      <c r="H18" s="81">
        <f t="array" ref="H18">ROUNDUP(IF(EQ(A18, ""), E18*INDEX(UncertaintyFactors!$C$2:$D$7, F18, 2), 0), 1)</f>
        <v>0</v>
      </c>
      <c r="I18" s="28" t="s">
        <v>289</v>
      </c>
      <c r="J18" s="218">
        <f>G18*VLOOKUP(I18,Data!$A$2:$C$11,3,FALSE)/8</f>
        <v>0</v>
      </c>
      <c r="K18" s="51"/>
      <c r="L18" s="219">
        <f>G18*VLOOKUP(I18,Data!$A$2:$E$11,5,FALSE)/8</f>
        <v>0</v>
      </c>
      <c r="M18" s="35"/>
      <c r="N18" s="83">
        <f t="shared" si="1"/>
        <v>0</v>
      </c>
      <c r="O18" s="79">
        <f t="shared" si="2"/>
        <v>6</v>
      </c>
      <c r="P18" s="35"/>
      <c r="Q18" s="35"/>
      <c r="R18" s="35"/>
      <c r="S18" s="35"/>
      <c r="T18" s="35"/>
      <c r="U18" s="35"/>
      <c r="V18" s="35"/>
      <c r="W18" s="35"/>
      <c r="X18" s="35"/>
      <c r="Y18" s="35"/>
      <c r="Z18" s="35"/>
      <c r="AA18" s="35"/>
      <c r="AB18" s="35"/>
      <c r="AC18" s="35"/>
    </row>
    <row r="19">
      <c r="A19" s="75"/>
      <c r="B19" s="97"/>
      <c r="C19" s="35"/>
      <c r="D19" s="77">
        <v>0.0</v>
      </c>
      <c r="E19" s="26"/>
      <c r="F19" s="87">
        <v>6.0</v>
      </c>
      <c r="G19" s="80">
        <f t="array" ref="G19">ROUNDUP(IF(EQ(A19, ""),E19*INDEX(UncertaintyFactors!$C$2:$D$7, F19, 1), 0), 1)</f>
        <v>0</v>
      </c>
      <c r="H19" s="81">
        <f t="array" ref="H19">ROUNDUP(IF(EQ(A19, ""), E19*INDEX(UncertaintyFactors!$C$2:$D$7, F19, 2), 0), 1)</f>
        <v>0</v>
      </c>
      <c r="I19" s="28" t="s">
        <v>289</v>
      </c>
      <c r="J19" s="218">
        <f>G19*VLOOKUP(I19,Data!$A$2:$C$11,3,FALSE)/8</f>
        <v>0</v>
      </c>
      <c r="K19" s="51"/>
      <c r="L19" s="219">
        <f>G19*VLOOKUP(I19,Data!$A$2:$E$11,5,FALSE)/8</f>
        <v>0</v>
      </c>
      <c r="M19" s="35"/>
      <c r="N19" s="83">
        <f t="shared" si="1"/>
        <v>0</v>
      </c>
      <c r="O19" s="79">
        <f t="shared" si="2"/>
        <v>6</v>
      </c>
      <c r="P19" s="35"/>
      <c r="Q19" s="35"/>
      <c r="R19" s="35"/>
      <c r="S19" s="35"/>
      <c r="T19" s="35"/>
      <c r="U19" s="35"/>
      <c r="V19" s="35"/>
      <c r="W19" s="35"/>
      <c r="X19" s="35"/>
      <c r="Y19" s="35"/>
      <c r="Z19" s="35"/>
      <c r="AA19" s="35"/>
      <c r="AB19" s="35"/>
      <c r="AC19" s="35"/>
    </row>
    <row r="20">
      <c r="A20" s="75"/>
      <c r="B20" s="102"/>
      <c r="C20" s="35"/>
      <c r="D20" s="77">
        <v>0.0</v>
      </c>
      <c r="E20" s="26"/>
      <c r="F20" s="87">
        <v>6.0</v>
      </c>
      <c r="G20" s="80">
        <f t="array" ref="G20">ROUNDUP(IF(EQ(A20, ""),E20*INDEX(UncertaintyFactors!$C$2:$D$7, F20, 1), 0), 1)</f>
        <v>0</v>
      </c>
      <c r="H20" s="81">
        <f t="array" ref="H20">ROUNDUP(IF(EQ(A20, ""), E20*INDEX(UncertaintyFactors!$C$2:$D$7, F20, 2), 0), 1)</f>
        <v>0</v>
      </c>
      <c r="I20" s="28" t="s">
        <v>289</v>
      </c>
      <c r="J20" s="218">
        <f>G20*VLOOKUP(I20,Data!$A$2:$C$11,3,FALSE)/8</f>
        <v>0</v>
      </c>
      <c r="K20" s="51"/>
      <c r="L20" s="219">
        <f>G20*VLOOKUP(I20,Data!$A$2:$E$11,5,FALSE)/8</f>
        <v>0</v>
      </c>
      <c r="M20" s="35"/>
      <c r="N20" s="83">
        <f t="shared" si="1"/>
        <v>0</v>
      </c>
      <c r="O20" s="79">
        <f t="shared" si="2"/>
        <v>6</v>
      </c>
      <c r="P20" s="35"/>
      <c r="Q20" s="35"/>
      <c r="R20" s="35"/>
      <c r="S20" s="35"/>
      <c r="T20" s="35"/>
      <c r="U20" s="35"/>
      <c r="V20" s="35"/>
      <c r="W20" s="35"/>
      <c r="X20" s="35"/>
      <c r="Y20" s="35"/>
      <c r="Z20" s="35"/>
      <c r="AA20" s="35"/>
      <c r="AB20" s="35"/>
      <c r="AC20" s="35"/>
    </row>
    <row r="21">
      <c r="A21" s="75"/>
      <c r="B21" s="97"/>
      <c r="C21" s="35"/>
      <c r="D21" s="77">
        <v>0.0</v>
      </c>
      <c r="E21" s="26"/>
      <c r="F21" s="87">
        <v>6.0</v>
      </c>
      <c r="G21" s="80">
        <f t="array" ref="G21">ROUNDUP(IF(EQ(A21, ""),E21*INDEX(UncertaintyFactors!$C$2:$D$7, F21, 1), 0), 1)</f>
        <v>0</v>
      </c>
      <c r="H21" s="81">
        <f t="array" ref="H21">ROUNDUP(IF(EQ(A21, ""), E21*INDEX(UncertaintyFactors!$C$2:$D$7, F21, 2), 0), 1)</f>
        <v>0</v>
      </c>
      <c r="I21" s="51"/>
      <c r="J21" s="51"/>
      <c r="K21" s="51"/>
      <c r="L21" s="27"/>
      <c r="M21" s="35"/>
      <c r="N21" s="83">
        <f t="shared" si="1"/>
        <v>0</v>
      </c>
      <c r="O21" s="79">
        <f t="shared" si="2"/>
        <v>6</v>
      </c>
      <c r="P21" s="35"/>
      <c r="Q21" s="35"/>
      <c r="R21" s="35"/>
      <c r="S21" s="35"/>
      <c r="T21" s="35"/>
      <c r="U21" s="35"/>
      <c r="V21" s="35"/>
      <c r="W21" s="35"/>
      <c r="X21" s="35"/>
      <c r="Y21" s="35"/>
      <c r="Z21" s="35"/>
      <c r="AA21" s="35"/>
      <c r="AB21" s="35"/>
      <c r="AC21" s="35"/>
    </row>
    <row r="22">
      <c r="A22" s="75"/>
      <c r="B22" s="97"/>
      <c r="C22" s="35"/>
      <c r="D22" s="77">
        <v>0.0</v>
      </c>
      <c r="E22" s="26"/>
      <c r="F22" s="87">
        <v>6.0</v>
      </c>
      <c r="G22" s="80">
        <f t="array" ref="G22">ROUNDUP(IF(EQ(A22, ""),E22*INDEX(UncertaintyFactors!$C$2:$D$7, F22, 1), 0), 1)</f>
        <v>0</v>
      </c>
      <c r="H22" s="81">
        <f t="array" ref="H22">ROUNDUP(IF(EQ(A22, ""), E22*INDEX(UncertaintyFactors!$C$2:$D$7, F22, 2), 0), 1)</f>
        <v>0</v>
      </c>
      <c r="I22" s="51"/>
      <c r="J22" s="51"/>
      <c r="K22" s="51"/>
      <c r="L22" s="27"/>
      <c r="M22" s="35"/>
      <c r="N22" s="83">
        <f t="shared" si="1"/>
        <v>0</v>
      </c>
      <c r="O22" s="79">
        <f t="shared" si="2"/>
        <v>6</v>
      </c>
      <c r="P22" s="35"/>
      <c r="Q22" s="35"/>
      <c r="R22" s="35"/>
      <c r="S22" s="35"/>
      <c r="T22" s="35"/>
      <c r="U22" s="35"/>
      <c r="V22" s="35"/>
      <c r="W22" s="35"/>
      <c r="X22" s="35"/>
      <c r="Y22" s="35"/>
      <c r="Z22" s="35"/>
      <c r="AA22" s="35"/>
      <c r="AB22" s="35"/>
      <c r="AC22" s="35"/>
    </row>
    <row r="23">
      <c r="A23" s="75"/>
      <c r="B23" s="97"/>
      <c r="C23" s="35"/>
      <c r="D23" s="77">
        <v>0.0</v>
      </c>
      <c r="E23" s="26"/>
      <c r="F23" s="87">
        <v>6.0</v>
      </c>
      <c r="G23" s="80">
        <f t="array" ref="G23">ROUNDUP(IF(EQ(A23, ""),E23*INDEX(UncertaintyFactors!$C$2:$D$7, F23, 1), 0), 1)</f>
        <v>0</v>
      </c>
      <c r="H23" s="81">
        <f t="array" ref="H23">ROUNDUP(IF(EQ(A23, ""), E23*INDEX(UncertaintyFactors!$C$2:$D$7, F23, 2), 0), 1)</f>
        <v>0</v>
      </c>
      <c r="I23" s="51"/>
      <c r="J23" s="51"/>
      <c r="K23" s="51"/>
      <c r="L23" s="27"/>
      <c r="M23" s="35"/>
      <c r="N23" s="83">
        <f t="shared" si="1"/>
        <v>0</v>
      </c>
      <c r="O23" s="79">
        <f t="shared" si="2"/>
        <v>6</v>
      </c>
      <c r="P23" s="35"/>
      <c r="Q23" s="35"/>
      <c r="R23" s="35"/>
      <c r="S23" s="35"/>
      <c r="T23" s="35"/>
      <c r="U23" s="35"/>
      <c r="V23" s="35"/>
      <c r="W23" s="35"/>
      <c r="X23" s="35"/>
      <c r="Y23" s="35"/>
      <c r="Z23" s="35"/>
      <c r="AA23" s="35"/>
      <c r="AB23" s="35"/>
      <c r="AC23" s="35"/>
    </row>
    <row r="24">
      <c r="A24" s="75"/>
      <c r="B24" s="97"/>
      <c r="C24" s="35"/>
      <c r="D24" s="77">
        <v>0.0</v>
      </c>
      <c r="E24" s="26"/>
      <c r="F24" s="87">
        <v>6.0</v>
      </c>
      <c r="G24" s="80">
        <f t="array" ref="G24">ROUNDUP(IF(EQ(A24, ""),E24*INDEX(UncertaintyFactors!$C$2:$D$7, F24, 1), 0), 1)</f>
        <v>0</v>
      </c>
      <c r="H24" s="81">
        <f t="array" ref="H24">ROUNDUP(IF(EQ(A24, ""), E24*INDEX(UncertaintyFactors!$C$2:$D$7, F24, 2), 0), 1)</f>
        <v>0</v>
      </c>
      <c r="I24" s="51"/>
      <c r="J24" s="51"/>
      <c r="K24" s="51"/>
      <c r="L24" s="27"/>
      <c r="M24" s="35"/>
      <c r="N24" s="83">
        <f t="shared" si="1"/>
        <v>0</v>
      </c>
      <c r="O24" s="79">
        <f t="shared" si="2"/>
        <v>6</v>
      </c>
      <c r="P24" s="35"/>
      <c r="Q24" s="35"/>
      <c r="R24" s="35"/>
      <c r="S24" s="35"/>
      <c r="T24" s="35"/>
      <c r="U24" s="35"/>
      <c r="V24" s="35"/>
      <c r="W24" s="35"/>
      <c r="X24" s="35"/>
      <c r="Y24" s="35"/>
      <c r="Z24" s="35"/>
      <c r="AA24" s="35"/>
      <c r="AB24" s="35"/>
      <c r="AC24" s="35"/>
    </row>
    <row r="25">
      <c r="A25" s="75"/>
      <c r="B25" s="97"/>
      <c r="C25" s="35"/>
      <c r="D25" s="77">
        <v>0.0</v>
      </c>
      <c r="E25" s="26"/>
      <c r="F25" s="87">
        <v>6.0</v>
      </c>
      <c r="G25" s="80">
        <f t="array" ref="G25">ROUNDUP(IF(EQ(A25, ""),E25*INDEX(UncertaintyFactors!$C$2:$D$7, F25, 1), 0), 1)</f>
        <v>0</v>
      </c>
      <c r="H25" s="81">
        <f t="array" ref="H25">ROUNDUP(IF(EQ(A25, ""), E25*INDEX(UncertaintyFactors!$C$2:$D$7, F25, 2), 0), 1)</f>
        <v>0</v>
      </c>
      <c r="I25" s="51"/>
      <c r="J25" s="51"/>
      <c r="K25" s="51"/>
      <c r="L25" s="27"/>
      <c r="M25" s="35"/>
      <c r="N25" s="83">
        <f t="shared" si="1"/>
        <v>0</v>
      </c>
      <c r="O25" s="79">
        <f t="shared" si="2"/>
        <v>6</v>
      </c>
      <c r="P25" s="35"/>
      <c r="Q25" s="35"/>
      <c r="R25" s="35"/>
      <c r="S25" s="35"/>
      <c r="T25" s="35"/>
      <c r="U25" s="35"/>
      <c r="V25" s="35"/>
      <c r="W25" s="35"/>
      <c r="X25" s="35"/>
      <c r="Y25" s="35"/>
      <c r="Z25" s="35"/>
      <c r="AA25" s="35"/>
      <c r="AB25" s="35"/>
      <c r="AC25" s="35"/>
    </row>
    <row r="26">
      <c r="A26" s="75"/>
      <c r="B26" s="97"/>
      <c r="C26" s="35"/>
      <c r="D26" s="77">
        <v>0.0</v>
      </c>
      <c r="E26" s="26"/>
      <c r="F26" s="87">
        <v>6.0</v>
      </c>
      <c r="G26" s="80">
        <f t="array" ref="G26">ROUNDUP(IF(EQ(A26, ""),E26*INDEX(UncertaintyFactors!$C$2:$D$7, F26, 1), 0), 1)</f>
        <v>0</v>
      </c>
      <c r="H26" s="81">
        <f t="array" ref="H26">ROUNDUP(IF(EQ(A26, ""), E26*INDEX(UncertaintyFactors!$C$2:$D$7, F26, 2), 0), 1)</f>
        <v>0</v>
      </c>
      <c r="I26" s="51"/>
      <c r="J26" s="51"/>
      <c r="K26" s="51"/>
      <c r="L26" s="27"/>
      <c r="M26" s="35"/>
      <c r="N26" s="83">
        <f t="shared" si="1"/>
        <v>0</v>
      </c>
      <c r="O26" s="79">
        <f t="shared" si="2"/>
        <v>6</v>
      </c>
      <c r="P26" s="35"/>
      <c r="Q26" s="35"/>
      <c r="R26" s="35"/>
      <c r="S26" s="35"/>
      <c r="T26" s="35"/>
      <c r="U26" s="35"/>
      <c r="V26" s="35"/>
      <c r="W26" s="35"/>
      <c r="X26" s="35"/>
      <c r="Y26" s="35"/>
      <c r="Z26" s="35"/>
      <c r="AA26" s="35"/>
      <c r="AB26" s="35"/>
      <c r="AC26" s="35"/>
    </row>
    <row r="27">
      <c r="A27" s="75"/>
      <c r="B27" s="97"/>
      <c r="C27" s="35"/>
      <c r="D27" s="77">
        <v>0.05</v>
      </c>
      <c r="E27" s="26"/>
      <c r="F27" s="87">
        <v>6.0</v>
      </c>
      <c r="G27" s="80">
        <f t="array" ref="G27">ROUNDUP(IF(EQ(A27, ""),E27*INDEX(UncertaintyFactors!$C$2:$D$7, F27, 1), 0), 1)</f>
        <v>0</v>
      </c>
      <c r="H27" s="81">
        <f t="array" ref="H27">ROUNDUP(IF(EQ(A27, ""), E27*INDEX(UncertaintyFactors!$C$2:$D$7, F27, 2), 0), 1)</f>
        <v>0</v>
      </c>
      <c r="I27" s="51"/>
      <c r="J27" s="51"/>
      <c r="K27" s="51"/>
      <c r="L27" s="27"/>
      <c r="M27" s="35"/>
      <c r="N27" s="83">
        <f t="shared" si="1"/>
        <v>0</v>
      </c>
      <c r="O27" s="79">
        <f t="shared" si="2"/>
        <v>6</v>
      </c>
      <c r="P27" s="35"/>
      <c r="Q27" s="35"/>
      <c r="R27" s="35"/>
      <c r="S27" s="35"/>
      <c r="T27" s="35"/>
      <c r="U27" s="35"/>
      <c r="V27" s="35"/>
      <c r="W27" s="35"/>
      <c r="X27" s="35"/>
      <c r="Y27" s="35"/>
      <c r="Z27" s="35"/>
      <c r="AA27" s="35"/>
      <c r="AB27" s="35"/>
      <c r="AC27" s="35"/>
    </row>
    <row r="28">
      <c r="A28" s="75"/>
      <c r="B28" s="97"/>
      <c r="C28" s="35"/>
      <c r="D28" s="77">
        <v>0.0</v>
      </c>
      <c r="E28" s="26"/>
      <c r="F28" s="87">
        <v>6.0</v>
      </c>
      <c r="G28" s="80">
        <f t="array" ref="G28">ROUNDUP(IF(EQ(A28, ""),E28*INDEX(UncertaintyFactors!$C$2:$D$7, F28, 1), 0), 1)</f>
        <v>0</v>
      </c>
      <c r="H28" s="81">
        <f t="array" ref="H28">ROUNDUP(IF(EQ(A28, ""), E28*INDEX(UncertaintyFactors!$C$2:$D$7, F28, 2), 0), 1)</f>
        <v>0</v>
      </c>
      <c r="I28" s="51"/>
      <c r="J28" s="51"/>
      <c r="K28" s="51"/>
      <c r="L28" s="27"/>
      <c r="M28" s="35"/>
      <c r="N28" s="83">
        <f t="shared" si="1"/>
        <v>0</v>
      </c>
      <c r="O28" s="79">
        <f t="shared" si="2"/>
        <v>6</v>
      </c>
      <c r="P28" s="35"/>
      <c r="Q28" s="35"/>
      <c r="R28" s="35"/>
      <c r="S28" s="35"/>
      <c r="T28" s="35"/>
      <c r="U28" s="35"/>
      <c r="V28" s="35"/>
      <c r="W28" s="35"/>
      <c r="X28" s="35"/>
      <c r="Y28" s="35"/>
      <c r="Z28" s="35"/>
      <c r="AA28" s="35"/>
      <c r="AB28" s="35"/>
      <c r="AC28" s="35"/>
    </row>
    <row r="29">
      <c r="A29" s="75"/>
      <c r="B29" s="97"/>
      <c r="C29" s="35"/>
      <c r="D29" s="77">
        <v>0.0</v>
      </c>
      <c r="E29" s="26"/>
      <c r="F29" s="87">
        <v>6.0</v>
      </c>
      <c r="G29" s="80">
        <f t="array" ref="G29">ROUNDUP(IF(EQ(A29, ""),E29*INDEX(UncertaintyFactors!$C$2:$D$7, F29, 1), 0), 1)</f>
        <v>0</v>
      </c>
      <c r="H29" s="81">
        <f t="array" ref="H29">ROUNDUP(IF(EQ(A29, ""), E29*INDEX(UncertaintyFactors!$C$2:$D$7, F29, 2), 0), 1)</f>
        <v>0</v>
      </c>
      <c r="I29" s="51"/>
      <c r="J29" s="51"/>
      <c r="K29" s="51"/>
      <c r="L29" s="27"/>
      <c r="M29" s="35"/>
      <c r="N29" s="83">
        <f t="shared" si="1"/>
        <v>0</v>
      </c>
      <c r="O29" s="79">
        <f t="shared" si="2"/>
        <v>6</v>
      </c>
      <c r="P29" s="35"/>
      <c r="Q29" s="35"/>
      <c r="R29" s="35"/>
      <c r="S29" s="35"/>
      <c r="T29" s="35"/>
      <c r="U29" s="35"/>
      <c r="V29" s="35"/>
      <c r="W29" s="35"/>
      <c r="X29" s="35"/>
      <c r="Y29" s="35"/>
      <c r="Z29" s="35"/>
      <c r="AA29" s="35"/>
      <c r="AB29" s="35"/>
      <c r="AC29" s="35"/>
    </row>
    <row r="30">
      <c r="A30" s="75"/>
      <c r="B30" s="97"/>
      <c r="C30" s="35"/>
      <c r="D30" s="77">
        <v>0.0</v>
      </c>
      <c r="E30" s="26"/>
      <c r="F30" s="87">
        <v>6.0</v>
      </c>
      <c r="G30" s="80">
        <f t="array" ref="G30">ROUNDUP(IF(EQ(A30, ""),E30*INDEX(UncertaintyFactors!$C$2:$D$7, F30, 1), 0), 1)</f>
        <v>0</v>
      </c>
      <c r="H30" s="81">
        <f t="array" ref="H30">ROUNDUP(IF(EQ(A30, ""), E30*INDEX(UncertaintyFactors!$C$2:$D$7, F30, 2), 0), 1)</f>
        <v>0</v>
      </c>
      <c r="I30" s="51"/>
      <c r="J30" s="51"/>
      <c r="K30" s="51"/>
      <c r="L30" s="27"/>
      <c r="M30" s="35"/>
      <c r="N30" s="83">
        <f t="shared" si="1"/>
        <v>0</v>
      </c>
      <c r="O30" s="79">
        <f t="shared" si="2"/>
        <v>6</v>
      </c>
      <c r="P30" s="35"/>
      <c r="Q30" s="35"/>
      <c r="R30" s="35"/>
      <c r="S30" s="35"/>
      <c r="T30" s="35"/>
      <c r="U30" s="35"/>
      <c r="V30" s="35"/>
      <c r="W30" s="35"/>
      <c r="X30" s="35"/>
      <c r="Y30" s="35"/>
      <c r="Z30" s="35"/>
      <c r="AA30" s="35"/>
      <c r="AB30" s="35"/>
      <c r="AC30" s="35"/>
    </row>
    <row r="31">
      <c r="A31" s="90"/>
      <c r="B31" s="90" t="s">
        <v>63</v>
      </c>
      <c r="C31" s="92"/>
      <c r="D31" s="92"/>
      <c r="E31" s="93">
        <f>ROUNDUP(SUM(E7:E30),0)</f>
        <v>0</v>
      </c>
      <c r="F31" s="94">
        <f>AVERAGE(F7:F30)</f>
        <v>6</v>
      </c>
      <c r="G31" s="95">
        <f t="shared" ref="G31:H31" si="3">ROUNDUP(SUM(G7:G30),0)</f>
        <v>0</v>
      </c>
      <c r="H31" s="95">
        <f t="shared" si="3"/>
        <v>0</v>
      </c>
      <c r="J31" s="95">
        <f>ROUNDUP(SUM(J7:J30),0)</f>
        <v>0</v>
      </c>
      <c r="K31" s="51"/>
      <c r="L31" s="95">
        <f>ROUNDUP(SUM(L7:L30),0)</f>
        <v>0</v>
      </c>
      <c r="M31" s="35"/>
      <c r="N31" s="93">
        <f>ROUNDUP(SUM(N7:N30),0)</f>
        <v>0</v>
      </c>
      <c r="O31" s="220">
        <f t="shared" si="2"/>
        <v>6</v>
      </c>
      <c r="P31" s="95">
        <f t="shared" ref="P31:Q31" si="4">ROUNDUP(SUM(P7:P30),0)</f>
        <v>0</v>
      </c>
      <c r="Q31" s="95">
        <f t="shared" si="4"/>
        <v>0</v>
      </c>
      <c r="R31" s="35"/>
      <c r="S31" s="35"/>
      <c r="T31" s="35"/>
      <c r="U31" s="35"/>
      <c r="V31" s="35"/>
      <c r="W31" s="35"/>
      <c r="X31" s="35"/>
      <c r="Y31" s="35"/>
      <c r="Z31" s="35"/>
      <c r="AA31" s="35"/>
      <c r="AB31" s="35"/>
      <c r="AC31" s="35"/>
    </row>
    <row r="32">
      <c r="A32" s="97"/>
      <c r="B32" s="97"/>
      <c r="C32" s="35"/>
      <c r="D32" s="77"/>
      <c r="E32" s="98" t="s">
        <v>86</v>
      </c>
      <c r="G32" s="99">
        <f>ROUNDUP(AVERAGE(G31:H31),0)</f>
        <v>0</v>
      </c>
      <c r="L32" s="217"/>
      <c r="M32" s="35"/>
      <c r="N32" s="98" t="s">
        <v>86</v>
      </c>
      <c r="P32" s="99">
        <f>ROUNDUP(AVERAGE(P31:Q31),0)</f>
        <v>0</v>
      </c>
      <c r="R32" s="35"/>
      <c r="S32" s="35"/>
      <c r="T32" s="35"/>
      <c r="U32" s="35"/>
      <c r="V32" s="35"/>
      <c r="W32" s="35"/>
      <c r="X32" s="35"/>
      <c r="Y32" s="35"/>
      <c r="Z32" s="35"/>
      <c r="AA32" s="35"/>
      <c r="AB32" s="35"/>
      <c r="AC32" s="35"/>
    </row>
    <row r="33">
      <c r="A33" s="97"/>
      <c r="B33" s="97"/>
      <c r="C33" s="35"/>
      <c r="D33" s="35"/>
      <c r="E33" s="26"/>
      <c r="F33" s="51"/>
      <c r="G33" s="51"/>
      <c r="H33" s="51"/>
      <c r="I33" s="51"/>
      <c r="J33" s="51"/>
      <c r="K33" s="51"/>
      <c r="L33" s="27"/>
      <c r="M33" s="35"/>
      <c r="N33" s="35"/>
      <c r="O33" s="35"/>
      <c r="P33" s="35"/>
      <c r="Q33" s="35"/>
      <c r="R33" s="35"/>
      <c r="S33" s="35"/>
      <c r="T33" s="35"/>
      <c r="U33" s="35"/>
      <c r="V33" s="35"/>
      <c r="W33" s="35"/>
      <c r="X33" s="35"/>
      <c r="Y33" s="35"/>
      <c r="Z33" s="35"/>
      <c r="AA33" s="35"/>
      <c r="AB33" s="35"/>
      <c r="AC33" s="35"/>
    </row>
    <row r="34">
      <c r="A34" s="97"/>
      <c r="B34" s="97"/>
      <c r="C34" s="35"/>
      <c r="D34" s="77"/>
      <c r="E34" s="26"/>
      <c r="F34" s="51"/>
      <c r="G34" s="51"/>
      <c r="H34" s="51"/>
      <c r="I34" s="51"/>
      <c r="J34" s="51"/>
      <c r="K34" s="51"/>
      <c r="L34" s="27"/>
      <c r="M34" s="35"/>
      <c r="N34" s="35"/>
      <c r="O34" s="35"/>
      <c r="P34" s="35"/>
      <c r="Q34" s="35"/>
      <c r="R34" s="35"/>
      <c r="S34" s="35"/>
      <c r="T34" s="35"/>
      <c r="U34" s="35"/>
      <c r="V34" s="35"/>
      <c r="W34" s="35"/>
      <c r="X34" s="35"/>
      <c r="Y34" s="35"/>
      <c r="Z34" s="35"/>
      <c r="AA34" s="35"/>
      <c r="AB34" s="35"/>
      <c r="AC34" s="35"/>
    </row>
    <row r="35">
      <c r="A35" s="97"/>
      <c r="B35" s="97"/>
      <c r="C35" s="35"/>
      <c r="D35" s="77"/>
      <c r="E35" s="26"/>
      <c r="F35" s="51"/>
      <c r="G35" s="51"/>
      <c r="H35" s="51"/>
      <c r="I35" s="51"/>
      <c r="J35" s="51"/>
      <c r="K35" s="51"/>
      <c r="L35" s="27"/>
      <c r="M35" s="35"/>
      <c r="N35" s="35"/>
      <c r="O35" s="35"/>
      <c r="P35" s="35"/>
      <c r="Q35" s="35"/>
      <c r="R35" s="35"/>
      <c r="S35" s="35"/>
      <c r="T35" s="35"/>
      <c r="U35" s="35"/>
      <c r="V35" s="35"/>
      <c r="W35" s="35"/>
      <c r="X35" s="35"/>
      <c r="Y35" s="35"/>
      <c r="Z35" s="35"/>
      <c r="AA35" s="35"/>
      <c r="AB35" s="35"/>
      <c r="AC35" s="35"/>
    </row>
    <row r="36">
      <c r="A36" s="97"/>
      <c r="B36" s="97"/>
      <c r="C36" s="35"/>
      <c r="D36" s="77"/>
      <c r="E36" s="26"/>
      <c r="F36" s="51"/>
      <c r="G36" s="51"/>
      <c r="H36" s="51"/>
      <c r="I36" s="51"/>
      <c r="J36" s="51"/>
      <c r="K36" s="51"/>
      <c r="L36" s="27"/>
      <c r="M36" s="35"/>
      <c r="N36" s="35"/>
      <c r="O36" s="35"/>
      <c r="P36" s="35"/>
      <c r="Q36" s="35"/>
      <c r="R36" s="35"/>
      <c r="S36" s="35"/>
      <c r="T36" s="35"/>
      <c r="U36" s="35"/>
      <c r="V36" s="35"/>
      <c r="W36" s="35"/>
      <c r="X36" s="35"/>
      <c r="Y36" s="35"/>
      <c r="Z36" s="35"/>
      <c r="AA36" s="35"/>
      <c r="AB36" s="35"/>
      <c r="AC36" s="35"/>
    </row>
    <row r="37">
      <c r="A37" s="97"/>
      <c r="B37" s="97"/>
      <c r="C37" s="35"/>
      <c r="D37" s="35"/>
      <c r="E37" s="26"/>
      <c r="F37" s="51"/>
      <c r="G37" s="51"/>
      <c r="H37" s="51"/>
      <c r="I37" s="51"/>
      <c r="J37" s="51"/>
      <c r="K37" s="51"/>
      <c r="L37" s="27"/>
      <c r="M37" s="35"/>
      <c r="N37" s="35"/>
      <c r="O37" s="35"/>
      <c r="P37" s="35"/>
      <c r="Q37" s="35"/>
      <c r="R37" s="35"/>
      <c r="S37" s="35"/>
      <c r="T37" s="35"/>
      <c r="U37" s="35"/>
      <c r="V37" s="35"/>
      <c r="W37" s="35"/>
      <c r="X37" s="35"/>
      <c r="Y37" s="35"/>
      <c r="Z37" s="35"/>
      <c r="AA37" s="35"/>
      <c r="AB37" s="35"/>
      <c r="AC37" s="35"/>
    </row>
    <row r="38">
      <c r="A38" s="97"/>
      <c r="B38" s="97"/>
      <c r="C38" s="35"/>
      <c r="D38" s="35"/>
      <c r="E38" s="26"/>
      <c r="F38" s="51"/>
      <c r="G38" s="51"/>
      <c r="H38" s="51"/>
      <c r="I38" s="51"/>
      <c r="J38" s="51"/>
      <c r="K38" s="51"/>
      <c r="L38" s="27"/>
      <c r="M38" s="35"/>
      <c r="N38" s="35"/>
      <c r="O38" s="35"/>
      <c r="P38" s="35"/>
      <c r="Q38" s="35"/>
      <c r="R38" s="35"/>
      <c r="S38" s="35"/>
      <c r="T38" s="35"/>
      <c r="U38" s="35"/>
      <c r="V38" s="35"/>
      <c r="W38" s="35"/>
      <c r="X38" s="35"/>
      <c r="Y38" s="35"/>
      <c r="Z38" s="35"/>
      <c r="AA38" s="35"/>
      <c r="AB38" s="35"/>
      <c r="AC38" s="35"/>
    </row>
    <row r="39">
      <c r="A39" s="97"/>
      <c r="B39" s="97"/>
      <c r="C39" s="35"/>
      <c r="D39" s="35"/>
      <c r="E39" s="26"/>
      <c r="F39" s="51"/>
      <c r="G39" s="51"/>
      <c r="H39" s="51"/>
      <c r="I39" s="51"/>
      <c r="J39" s="51"/>
      <c r="K39" s="51"/>
      <c r="L39" s="27"/>
      <c r="M39" s="35"/>
      <c r="N39" s="35"/>
      <c r="O39" s="35"/>
      <c r="P39" s="35"/>
      <c r="Q39" s="35"/>
      <c r="R39" s="35"/>
      <c r="S39" s="35"/>
      <c r="T39" s="35"/>
      <c r="U39" s="35"/>
      <c r="V39" s="35"/>
      <c r="W39" s="35"/>
      <c r="X39" s="35"/>
      <c r="Y39" s="35"/>
      <c r="Z39" s="35"/>
      <c r="AA39" s="35"/>
      <c r="AB39" s="35"/>
      <c r="AC39" s="35"/>
    </row>
    <row r="40">
      <c r="A40" s="97"/>
      <c r="B40" s="97"/>
      <c r="C40" s="35"/>
      <c r="D40" s="35"/>
      <c r="E40" s="26"/>
      <c r="F40" s="51"/>
      <c r="G40" s="51"/>
      <c r="H40" s="51"/>
      <c r="I40" s="51"/>
      <c r="J40" s="51"/>
      <c r="K40" s="51"/>
      <c r="L40" s="27"/>
      <c r="M40" s="35"/>
      <c r="N40" s="35"/>
      <c r="O40" s="35"/>
      <c r="P40" s="35"/>
      <c r="Q40" s="35"/>
      <c r="R40" s="35"/>
      <c r="S40" s="35"/>
      <c r="T40" s="35"/>
      <c r="U40" s="35"/>
      <c r="V40" s="35"/>
      <c r="W40" s="35"/>
      <c r="X40" s="35"/>
      <c r="Y40" s="35"/>
      <c r="Z40" s="35"/>
      <c r="AA40" s="35"/>
      <c r="AB40" s="35"/>
      <c r="AC40" s="35"/>
    </row>
    <row r="41">
      <c r="A41" s="97"/>
      <c r="B41" s="97"/>
      <c r="C41" s="35"/>
      <c r="D41" s="35"/>
      <c r="E41" s="26"/>
      <c r="F41" s="51"/>
      <c r="G41" s="51"/>
      <c r="H41" s="51"/>
      <c r="I41" s="51"/>
      <c r="J41" s="51"/>
      <c r="K41" s="51"/>
      <c r="L41" s="27"/>
      <c r="M41" s="35"/>
      <c r="N41" s="35"/>
      <c r="O41" s="35"/>
      <c r="P41" s="35"/>
      <c r="Q41" s="35"/>
      <c r="R41" s="35"/>
      <c r="S41" s="35"/>
      <c r="T41" s="35"/>
      <c r="U41" s="35"/>
      <c r="V41" s="35"/>
      <c r="W41" s="35"/>
      <c r="X41" s="35"/>
      <c r="Y41" s="35"/>
      <c r="Z41" s="35"/>
      <c r="AA41" s="35"/>
      <c r="AB41" s="35"/>
      <c r="AC41" s="35"/>
    </row>
    <row r="42">
      <c r="A42" s="97"/>
      <c r="B42" s="97"/>
      <c r="C42" s="35"/>
      <c r="D42" s="35"/>
      <c r="E42" s="26"/>
      <c r="F42" s="51"/>
      <c r="G42" s="51"/>
      <c r="H42" s="51"/>
      <c r="I42" s="51"/>
      <c r="J42" s="51"/>
      <c r="K42" s="51"/>
      <c r="L42" s="27"/>
      <c r="M42" s="35"/>
      <c r="N42" s="35"/>
      <c r="O42" s="35"/>
      <c r="P42" s="35"/>
      <c r="Q42" s="35"/>
      <c r="R42" s="35"/>
      <c r="S42" s="35"/>
      <c r="T42" s="35"/>
      <c r="U42" s="35"/>
      <c r="V42" s="35"/>
      <c r="W42" s="35"/>
      <c r="X42" s="35"/>
      <c r="Y42" s="35"/>
      <c r="Z42" s="35"/>
      <c r="AA42" s="35"/>
      <c r="AB42" s="35"/>
      <c r="AC42" s="35"/>
    </row>
    <row r="43">
      <c r="A43" s="97"/>
      <c r="B43" s="97"/>
      <c r="C43" s="35"/>
      <c r="D43" s="35"/>
      <c r="E43" s="26"/>
      <c r="F43" s="51"/>
      <c r="G43" s="51"/>
      <c r="H43" s="51"/>
      <c r="I43" s="51"/>
      <c r="J43" s="51"/>
      <c r="K43" s="51"/>
      <c r="L43" s="27"/>
      <c r="M43" s="35"/>
      <c r="N43" s="35"/>
      <c r="O43" s="35"/>
      <c r="P43" s="35"/>
      <c r="Q43" s="35"/>
      <c r="R43" s="35"/>
      <c r="S43" s="35"/>
      <c r="T43" s="35"/>
      <c r="U43" s="35"/>
      <c r="V43" s="35"/>
      <c r="W43" s="35"/>
      <c r="X43" s="35"/>
      <c r="Y43" s="35"/>
      <c r="Z43" s="35"/>
      <c r="AA43" s="35"/>
      <c r="AB43" s="35"/>
      <c r="AC43" s="35"/>
    </row>
    <row r="44">
      <c r="A44" s="97"/>
      <c r="B44" s="97"/>
      <c r="C44" s="35"/>
      <c r="D44" s="35"/>
      <c r="E44" s="26"/>
      <c r="F44" s="51"/>
      <c r="G44" s="51"/>
      <c r="H44" s="51"/>
      <c r="I44" s="51"/>
      <c r="J44" s="51"/>
      <c r="K44" s="51"/>
      <c r="L44" s="27"/>
      <c r="M44" s="35"/>
      <c r="N44" s="35"/>
      <c r="O44" s="35"/>
      <c r="P44" s="35"/>
      <c r="Q44" s="35"/>
      <c r="R44" s="35"/>
      <c r="S44" s="35"/>
      <c r="T44" s="35"/>
      <c r="U44" s="35"/>
      <c r="V44" s="35"/>
      <c r="W44" s="35"/>
      <c r="X44" s="35"/>
      <c r="Y44" s="35"/>
      <c r="Z44" s="35"/>
      <c r="AA44" s="35"/>
      <c r="AB44" s="35"/>
      <c r="AC44" s="35"/>
    </row>
    <row r="45">
      <c r="A45" s="97"/>
      <c r="B45" s="97"/>
      <c r="C45" s="35"/>
      <c r="D45" s="35"/>
      <c r="E45" s="26"/>
      <c r="F45" s="51"/>
      <c r="G45" s="51"/>
      <c r="H45" s="51"/>
      <c r="I45" s="51"/>
      <c r="J45" s="51"/>
      <c r="K45" s="51"/>
      <c r="L45" s="27"/>
      <c r="M45" s="35"/>
      <c r="N45" s="35"/>
      <c r="O45" s="35"/>
      <c r="P45" s="35"/>
      <c r="Q45" s="35"/>
      <c r="R45" s="35"/>
      <c r="S45" s="35"/>
      <c r="T45" s="35"/>
      <c r="U45" s="35"/>
      <c r="V45" s="35"/>
      <c r="W45" s="35"/>
      <c r="X45" s="35"/>
      <c r="Y45" s="35"/>
      <c r="Z45" s="35"/>
      <c r="AA45" s="35"/>
      <c r="AB45" s="35"/>
      <c r="AC45" s="35"/>
    </row>
    <row r="46">
      <c r="A46" s="97"/>
      <c r="B46" s="97"/>
      <c r="C46" s="35"/>
      <c r="D46" s="35"/>
      <c r="E46" s="26"/>
      <c r="F46" s="51"/>
      <c r="G46" s="51"/>
      <c r="H46" s="51"/>
      <c r="I46" s="51"/>
      <c r="J46" s="51"/>
      <c r="K46" s="51"/>
      <c r="L46" s="27"/>
      <c r="M46" s="35"/>
      <c r="N46" s="35"/>
      <c r="O46" s="35"/>
      <c r="P46" s="35"/>
      <c r="Q46" s="35"/>
      <c r="R46" s="35"/>
      <c r="S46" s="35"/>
      <c r="T46" s="35"/>
      <c r="U46" s="35"/>
      <c r="V46" s="35"/>
      <c r="W46" s="35"/>
      <c r="X46" s="35"/>
      <c r="Y46" s="35"/>
      <c r="Z46" s="35"/>
      <c r="AA46" s="35"/>
      <c r="AB46" s="35"/>
      <c r="AC46" s="35"/>
    </row>
    <row r="47">
      <c r="A47" s="97"/>
      <c r="B47" s="97"/>
      <c r="C47" s="35"/>
      <c r="D47" s="35"/>
      <c r="E47" s="26"/>
      <c r="F47" s="51"/>
      <c r="G47" s="51"/>
      <c r="H47" s="51"/>
      <c r="I47" s="51"/>
      <c r="J47" s="51"/>
      <c r="K47" s="51"/>
      <c r="L47" s="27"/>
      <c r="M47" s="35"/>
      <c r="N47" s="35"/>
      <c r="O47" s="35"/>
      <c r="P47" s="35"/>
      <c r="Q47" s="35"/>
      <c r="R47" s="35"/>
      <c r="S47" s="35"/>
      <c r="T47" s="35"/>
      <c r="U47" s="35"/>
      <c r="V47" s="35"/>
      <c r="W47" s="35"/>
      <c r="X47" s="35"/>
      <c r="Y47" s="35"/>
      <c r="Z47" s="35"/>
      <c r="AA47" s="35"/>
      <c r="AB47" s="35"/>
      <c r="AC47" s="35"/>
    </row>
    <row r="48">
      <c r="A48" s="97"/>
      <c r="B48" s="97"/>
      <c r="C48" s="35"/>
      <c r="D48" s="35"/>
      <c r="E48" s="26"/>
      <c r="F48" s="51"/>
      <c r="G48" s="51"/>
      <c r="H48" s="51"/>
      <c r="I48" s="51"/>
      <c r="J48" s="51"/>
      <c r="K48" s="51"/>
      <c r="L48" s="27"/>
      <c r="M48" s="35"/>
      <c r="N48" s="35"/>
      <c r="O48" s="35"/>
      <c r="P48" s="35"/>
      <c r="Q48" s="35"/>
      <c r="R48" s="35"/>
      <c r="S48" s="35"/>
      <c r="T48" s="35"/>
      <c r="U48" s="35"/>
      <c r="V48" s="35"/>
      <c r="W48" s="35"/>
      <c r="X48" s="35"/>
      <c r="Y48" s="35"/>
      <c r="Z48" s="35"/>
      <c r="AA48" s="35"/>
      <c r="AB48" s="35"/>
      <c r="AC48" s="35"/>
    </row>
    <row r="49">
      <c r="A49" s="97"/>
      <c r="B49" s="97"/>
      <c r="C49" s="35"/>
      <c r="D49" s="35"/>
      <c r="E49" s="26"/>
      <c r="F49" s="51"/>
      <c r="G49" s="51"/>
      <c r="H49" s="51"/>
      <c r="I49" s="51"/>
      <c r="J49" s="51"/>
      <c r="K49" s="51"/>
      <c r="L49" s="27"/>
      <c r="M49" s="35"/>
      <c r="N49" s="35"/>
      <c r="O49" s="35"/>
      <c r="P49" s="35"/>
      <c r="Q49" s="35"/>
      <c r="R49" s="35"/>
      <c r="S49" s="35"/>
      <c r="T49" s="35"/>
      <c r="U49" s="35"/>
      <c r="V49" s="35"/>
      <c r="W49" s="35"/>
      <c r="X49" s="35"/>
      <c r="Y49" s="35"/>
      <c r="Z49" s="35"/>
      <c r="AA49" s="35"/>
      <c r="AB49" s="35"/>
      <c r="AC49" s="35"/>
    </row>
    <row r="50">
      <c r="A50" s="97"/>
      <c r="B50" s="97"/>
      <c r="C50" s="35"/>
      <c r="D50" s="35"/>
      <c r="E50" s="26"/>
      <c r="F50" s="51"/>
      <c r="G50" s="51"/>
      <c r="H50" s="51"/>
      <c r="I50" s="51"/>
      <c r="J50" s="51"/>
      <c r="K50" s="51"/>
      <c r="L50" s="27"/>
      <c r="M50" s="35"/>
      <c r="N50" s="35"/>
      <c r="O50" s="35"/>
      <c r="P50" s="35"/>
      <c r="Q50" s="35"/>
      <c r="R50" s="35"/>
      <c r="S50" s="35"/>
      <c r="T50" s="35"/>
      <c r="U50" s="35"/>
      <c r="V50" s="35"/>
      <c r="W50" s="35"/>
      <c r="X50" s="35"/>
      <c r="Y50" s="35"/>
      <c r="Z50" s="35"/>
      <c r="AA50" s="35"/>
      <c r="AB50" s="35"/>
      <c r="AC50" s="35"/>
    </row>
    <row r="51">
      <c r="A51" s="97"/>
      <c r="B51" s="97"/>
      <c r="C51" s="35"/>
      <c r="D51" s="35"/>
      <c r="E51" s="26"/>
      <c r="F51" s="51"/>
      <c r="G51" s="51"/>
      <c r="H51" s="51"/>
      <c r="I51" s="51"/>
      <c r="J51" s="51"/>
      <c r="K51" s="51"/>
      <c r="L51" s="27"/>
      <c r="M51" s="35"/>
      <c r="N51" s="35"/>
      <c r="O51" s="35"/>
      <c r="P51" s="35"/>
      <c r="Q51" s="35"/>
      <c r="R51" s="35"/>
      <c r="S51" s="35"/>
      <c r="T51" s="35"/>
      <c r="U51" s="35"/>
      <c r="V51" s="35"/>
      <c r="W51" s="35"/>
      <c r="X51" s="35"/>
      <c r="Y51" s="35"/>
      <c r="Z51" s="35"/>
      <c r="AA51" s="35"/>
      <c r="AB51" s="35"/>
      <c r="AC51" s="35"/>
    </row>
    <row r="52">
      <c r="A52" s="97"/>
      <c r="B52" s="97"/>
      <c r="C52" s="35"/>
      <c r="D52" s="35"/>
      <c r="E52" s="26"/>
      <c r="F52" s="51"/>
      <c r="G52" s="51"/>
      <c r="H52" s="51"/>
      <c r="I52" s="51"/>
      <c r="J52" s="51"/>
      <c r="K52" s="51"/>
      <c r="L52" s="27"/>
      <c r="M52" s="35"/>
      <c r="N52" s="35"/>
      <c r="O52" s="35"/>
      <c r="P52" s="35"/>
      <c r="Q52" s="35"/>
      <c r="R52" s="35"/>
      <c r="S52" s="35"/>
      <c r="T52" s="35"/>
      <c r="U52" s="35"/>
      <c r="V52" s="35"/>
      <c r="W52" s="35"/>
      <c r="X52" s="35"/>
      <c r="Y52" s="35"/>
      <c r="Z52" s="35"/>
      <c r="AA52" s="35"/>
      <c r="AB52" s="35"/>
      <c r="AC52" s="35"/>
    </row>
    <row r="53">
      <c r="A53" s="97"/>
      <c r="B53" s="97"/>
      <c r="C53" s="35"/>
      <c r="D53" s="35"/>
      <c r="E53" s="26"/>
      <c r="F53" s="51"/>
      <c r="G53" s="51"/>
      <c r="H53" s="51"/>
      <c r="I53" s="51"/>
      <c r="J53" s="51"/>
      <c r="K53" s="51"/>
      <c r="L53" s="27"/>
      <c r="M53" s="35"/>
      <c r="N53" s="35"/>
      <c r="O53" s="35"/>
      <c r="P53" s="35"/>
      <c r="Q53" s="35"/>
      <c r="R53" s="35"/>
      <c r="S53" s="35"/>
      <c r="T53" s="35"/>
      <c r="U53" s="35"/>
      <c r="V53" s="35"/>
      <c r="W53" s="35"/>
      <c r="X53" s="35"/>
      <c r="Y53" s="35"/>
      <c r="Z53" s="35"/>
      <c r="AA53" s="35"/>
      <c r="AB53" s="35"/>
      <c r="AC53" s="35"/>
    </row>
    <row r="54">
      <c r="A54" s="97"/>
      <c r="B54" s="97"/>
      <c r="C54" s="35"/>
      <c r="D54" s="35"/>
      <c r="E54" s="26"/>
      <c r="F54" s="51"/>
      <c r="G54" s="51"/>
      <c r="H54" s="51"/>
      <c r="I54" s="51"/>
      <c r="J54" s="51"/>
      <c r="K54" s="51"/>
      <c r="L54" s="27"/>
      <c r="M54" s="35"/>
      <c r="N54" s="35"/>
      <c r="O54" s="35"/>
      <c r="P54" s="35"/>
      <c r="Q54" s="35"/>
      <c r="R54" s="35"/>
      <c r="S54" s="35"/>
      <c r="T54" s="35"/>
      <c r="U54" s="35"/>
      <c r="V54" s="35"/>
      <c r="W54" s="35"/>
      <c r="X54" s="35"/>
      <c r="Y54" s="35"/>
      <c r="Z54" s="35"/>
      <c r="AA54" s="35"/>
      <c r="AB54" s="35"/>
      <c r="AC54" s="35"/>
    </row>
    <row r="55">
      <c r="A55" s="97"/>
      <c r="B55" s="97"/>
      <c r="C55" s="35"/>
      <c r="D55" s="35"/>
      <c r="E55" s="26"/>
      <c r="F55" s="51"/>
      <c r="G55" s="51"/>
      <c r="H55" s="51"/>
      <c r="I55" s="51"/>
      <c r="J55" s="51"/>
      <c r="K55" s="51"/>
      <c r="L55" s="27"/>
      <c r="M55" s="35"/>
      <c r="N55" s="35"/>
      <c r="O55" s="35"/>
      <c r="P55" s="35"/>
      <c r="Q55" s="35"/>
      <c r="R55" s="35"/>
      <c r="S55" s="35"/>
      <c r="T55" s="35"/>
      <c r="U55" s="35"/>
      <c r="V55" s="35"/>
      <c r="W55" s="35"/>
      <c r="X55" s="35"/>
      <c r="Y55" s="35"/>
      <c r="Z55" s="35"/>
      <c r="AA55" s="35"/>
      <c r="AB55" s="35"/>
      <c r="AC55" s="35"/>
    </row>
    <row r="56">
      <c r="A56" s="97"/>
      <c r="B56" s="97"/>
      <c r="C56" s="35"/>
      <c r="D56" s="35"/>
      <c r="E56" s="26"/>
      <c r="F56" s="51"/>
      <c r="G56" s="51"/>
      <c r="H56" s="51"/>
      <c r="I56" s="51"/>
      <c r="J56" s="51"/>
      <c r="K56" s="51"/>
      <c r="L56" s="27"/>
      <c r="M56" s="35"/>
      <c r="N56" s="35"/>
      <c r="O56" s="35"/>
      <c r="P56" s="35"/>
      <c r="Q56" s="35"/>
      <c r="R56" s="35"/>
      <c r="S56" s="35"/>
      <c r="T56" s="35"/>
      <c r="U56" s="35"/>
      <c r="V56" s="35"/>
      <c r="W56" s="35"/>
      <c r="X56" s="35"/>
      <c r="Y56" s="35"/>
      <c r="Z56" s="35"/>
      <c r="AA56" s="35"/>
      <c r="AB56" s="35"/>
      <c r="AC56" s="35"/>
    </row>
    <row r="57">
      <c r="A57" s="97"/>
      <c r="B57" s="97"/>
      <c r="C57" s="35"/>
      <c r="D57" s="35"/>
      <c r="E57" s="26"/>
      <c r="F57" s="51"/>
      <c r="G57" s="51"/>
      <c r="H57" s="51"/>
      <c r="I57" s="51"/>
      <c r="J57" s="51"/>
      <c r="K57" s="51"/>
      <c r="L57" s="27"/>
      <c r="M57" s="35"/>
      <c r="N57" s="35"/>
      <c r="O57" s="35"/>
      <c r="P57" s="35"/>
      <c r="Q57" s="35"/>
      <c r="R57" s="35"/>
      <c r="S57" s="35"/>
      <c r="T57" s="35"/>
      <c r="U57" s="35"/>
      <c r="V57" s="35"/>
      <c r="W57" s="35"/>
      <c r="X57" s="35"/>
      <c r="Y57" s="35"/>
      <c r="Z57" s="35"/>
      <c r="AA57" s="35"/>
      <c r="AB57" s="35"/>
      <c r="AC57" s="35"/>
    </row>
    <row r="58">
      <c r="A58" s="97"/>
      <c r="B58" s="97"/>
      <c r="C58" s="35"/>
      <c r="D58" s="35"/>
      <c r="E58" s="26"/>
      <c r="F58" s="51"/>
      <c r="G58" s="51"/>
      <c r="H58" s="51"/>
      <c r="I58" s="51"/>
      <c r="J58" s="51"/>
      <c r="K58" s="51"/>
      <c r="L58" s="27"/>
      <c r="M58" s="35"/>
      <c r="N58" s="35"/>
      <c r="O58" s="35"/>
      <c r="P58" s="35"/>
      <c r="Q58" s="35"/>
      <c r="R58" s="35"/>
      <c r="S58" s="35"/>
      <c r="T58" s="35"/>
      <c r="U58" s="35"/>
      <c r="V58" s="35"/>
      <c r="W58" s="35"/>
      <c r="X58" s="35"/>
      <c r="Y58" s="35"/>
      <c r="Z58" s="35"/>
      <c r="AA58" s="35"/>
      <c r="AB58" s="35"/>
      <c r="AC58" s="35"/>
    </row>
    <row r="59">
      <c r="A59" s="97"/>
      <c r="B59" s="97"/>
      <c r="C59" s="35"/>
      <c r="D59" s="35"/>
      <c r="E59" s="26"/>
      <c r="F59" s="51"/>
      <c r="G59" s="51"/>
      <c r="H59" s="51"/>
      <c r="I59" s="51"/>
      <c r="J59" s="51"/>
      <c r="K59" s="51"/>
      <c r="L59" s="27"/>
      <c r="M59" s="35"/>
      <c r="N59" s="35"/>
      <c r="O59" s="35"/>
      <c r="P59" s="35"/>
      <c r="Q59" s="35"/>
      <c r="R59" s="35"/>
      <c r="S59" s="35"/>
      <c r="T59" s="35"/>
      <c r="U59" s="35"/>
      <c r="V59" s="35"/>
      <c r="W59" s="35"/>
      <c r="X59" s="35"/>
      <c r="Y59" s="35"/>
      <c r="Z59" s="35"/>
      <c r="AA59" s="35"/>
      <c r="AB59" s="35"/>
      <c r="AC59" s="35"/>
    </row>
    <row r="60">
      <c r="A60" s="97"/>
      <c r="B60" s="97"/>
      <c r="C60" s="35"/>
      <c r="D60" s="35"/>
      <c r="E60" s="26"/>
      <c r="F60" s="51"/>
      <c r="G60" s="51"/>
      <c r="H60" s="51"/>
      <c r="I60" s="51"/>
      <c r="J60" s="51"/>
      <c r="K60" s="51"/>
      <c r="L60" s="27"/>
      <c r="M60" s="35"/>
      <c r="N60" s="35"/>
      <c r="O60" s="35"/>
      <c r="P60" s="35"/>
      <c r="Q60" s="35"/>
      <c r="R60" s="35"/>
      <c r="S60" s="35"/>
      <c r="T60" s="35"/>
      <c r="U60" s="35"/>
      <c r="V60" s="35"/>
      <c r="W60" s="35"/>
      <c r="X60" s="35"/>
      <c r="Y60" s="35"/>
      <c r="Z60" s="35"/>
      <c r="AA60" s="35"/>
      <c r="AB60" s="35"/>
      <c r="AC60" s="35"/>
    </row>
    <row r="61">
      <c r="A61" s="97"/>
      <c r="B61" s="97"/>
      <c r="C61" s="35"/>
      <c r="D61" s="35"/>
      <c r="E61" s="26"/>
      <c r="F61" s="51"/>
      <c r="G61" s="51"/>
      <c r="H61" s="51"/>
      <c r="I61" s="51"/>
      <c r="J61" s="51"/>
      <c r="K61" s="51"/>
      <c r="L61" s="27"/>
      <c r="M61" s="35"/>
      <c r="N61" s="35"/>
      <c r="O61" s="35"/>
      <c r="P61" s="35"/>
      <c r="Q61" s="35"/>
      <c r="R61" s="35"/>
      <c r="S61" s="35"/>
      <c r="T61" s="35"/>
      <c r="U61" s="35"/>
      <c r="V61" s="35"/>
      <c r="W61" s="35"/>
      <c r="X61" s="35"/>
      <c r="Y61" s="35"/>
      <c r="Z61" s="35"/>
      <c r="AA61" s="35"/>
      <c r="AB61" s="35"/>
      <c r="AC61" s="35"/>
    </row>
    <row r="62">
      <c r="A62" s="97"/>
      <c r="B62" s="97"/>
      <c r="C62" s="35"/>
      <c r="D62" s="35"/>
      <c r="E62" s="26"/>
      <c r="F62" s="51"/>
      <c r="G62" s="51"/>
      <c r="H62" s="51"/>
      <c r="I62" s="51"/>
      <c r="J62" s="51"/>
      <c r="K62" s="51"/>
      <c r="L62" s="27"/>
      <c r="M62" s="35"/>
      <c r="N62" s="35"/>
      <c r="O62" s="35"/>
      <c r="P62" s="35"/>
      <c r="Q62" s="35"/>
      <c r="R62" s="35"/>
      <c r="S62" s="35"/>
      <c r="T62" s="35"/>
      <c r="U62" s="35"/>
      <c r="V62" s="35"/>
      <c r="W62" s="35"/>
      <c r="X62" s="35"/>
      <c r="Y62" s="35"/>
      <c r="Z62" s="35"/>
      <c r="AA62" s="35"/>
      <c r="AB62" s="35"/>
      <c r="AC62" s="35"/>
    </row>
    <row r="63">
      <c r="A63" s="97"/>
      <c r="B63" s="97"/>
      <c r="C63" s="35"/>
      <c r="D63" s="35"/>
      <c r="E63" s="26"/>
      <c r="F63" s="51"/>
      <c r="G63" s="51"/>
      <c r="H63" s="51"/>
      <c r="I63" s="51"/>
      <c r="J63" s="51"/>
      <c r="K63" s="51"/>
      <c r="L63" s="27"/>
      <c r="M63" s="35"/>
      <c r="N63" s="35"/>
      <c r="O63" s="35"/>
      <c r="P63" s="35"/>
      <c r="Q63" s="35"/>
      <c r="R63" s="35"/>
      <c r="S63" s="35"/>
      <c r="T63" s="35"/>
      <c r="U63" s="35"/>
      <c r="V63" s="35"/>
      <c r="W63" s="35"/>
      <c r="X63" s="35"/>
      <c r="Y63" s="35"/>
      <c r="Z63" s="35"/>
      <c r="AA63" s="35"/>
      <c r="AB63" s="35"/>
      <c r="AC63" s="35"/>
    </row>
    <row r="64">
      <c r="A64" s="97"/>
      <c r="B64" s="97"/>
      <c r="C64" s="35"/>
      <c r="D64" s="35"/>
      <c r="E64" s="26"/>
      <c r="F64" s="51"/>
      <c r="G64" s="51"/>
      <c r="H64" s="51"/>
      <c r="I64" s="51"/>
      <c r="J64" s="51"/>
      <c r="K64" s="51"/>
      <c r="L64" s="27"/>
      <c r="M64" s="35"/>
      <c r="N64" s="35"/>
      <c r="O64" s="35"/>
      <c r="P64" s="35"/>
      <c r="Q64" s="35"/>
      <c r="R64" s="35"/>
      <c r="S64" s="35"/>
      <c r="T64" s="35"/>
      <c r="U64" s="35"/>
      <c r="V64" s="35"/>
      <c r="W64" s="35"/>
      <c r="X64" s="35"/>
      <c r="Y64" s="35"/>
      <c r="Z64" s="35"/>
      <c r="AA64" s="35"/>
      <c r="AB64" s="35"/>
      <c r="AC64" s="35"/>
    </row>
    <row r="65">
      <c r="A65" s="97"/>
      <c r="B65" s="97"/>
      <c r="C65" s="35"/>
      <c r="D65" s="35"/>
      <c r="E65" s="26"/>
      <c r="F65" s="51"/>
      <c r="G65" s="51"/>
      <c r="H65" s="51"/>
      <c r="I65" s="51"/>
      <c r="J65" s="51"/>
      <c r="K65" s="51"/>
      <c r="L65" s="27"/>
      <c r="M65" s="35"/>
      <c r="N65" s="35"/>
      <c r="O65" s="35"/>
      <c r="P65" s="35"/>
      <c r="Q65" s="35"/>
      <c r="R65" s="35"/>
      <c r="S65" s="35"/>
      <c r="T65" s="35"/>
      <c r="U65" s="35"/>
      <c r="V65" s="35"/>
      <c r="W65" s="35"/>
      <c r="X65" s="35"/>
      <c r="Y65" s="35"/>
      <c r="Z65" s="35"/>
      <c r="AA65" s="35"/>
      <c r="AB65" s="35"/>
      <c r="AC65" s="35"/>
    </row>
    <row r="66">
      <c r="A66" s="97"/>
      <c r="B66" s="97"/>
      <c r="C66" s="35"/>
      <c r="D66" s="35"/>
      <c r="E66" s="26"/>
      <c r="F66" s="51"/>
      <c r="G66" s="51"/>
      <c r="H66" s="51"/>
      <c r="I66" s="51"/>
      <c r="J66" s="51"/>
      <c r="K66" s="51"/>
      <c r="L66" s="27"/>
      <c r="M66" s="35"/>
      <c r="N66" s="35"/>
      <c r="O66" s="35"/>
      <c r="P66" s="35"/>
      <c r="Q66" s="35"/>
      <c r="R66" s="35"/>
      <c r="S66" s="35"/>
      <c r="T66" s="35"/>
      <c r="U66" s="35"/>
      <c r="V66" s="35"/>
      <c r="W66" s="35"/>
      <c r="X66" s="35"/>
      <c r="Y66" s="35"/>
      <c r="Z66" s="35"/>
      <c r="AA66" s="35"/>
      <c r="AB66" s="35"/>
      <c r="AC66" s="35"/>
    </row>
    <row r="67">
      <c r="A67" s="97"/>
      <c r="B67" s="97"/>
      <c r="C67" s="35"/>
      <c r="D67" s="35"/>
      <c r="E67" s="26"/>
      <c r="F67" s="51"/>
      <c r="G67" s="51"/>
      <c r="H67" s="51"/>
      <c r="I67" s="51"/>
      <c r="J67" s="51"/>
      <c r="K67" s="51"/>
      <c r="L67" s="27"/>
      <c r="M67" s="35"/>
      <c r="N67" s="35"/>
      <c r="O67" s="35"/>
      <c r="P67" s="35"/>
      <c r="Q67" s="35"/>
      <c r="R67" s="35"/>
      <c r="S67" s="35"/>
      <c r="T67" s="35"/>
      <c r="U67" s="35"/>
      <c r="V67" s="35"/>
      <c r="W67" s="35"/>
      <c r="X67" s="35"/>
      <c r="Y67" s="35"/>
      <c r="Z67" s="35"/>
      <c r="AA67" s="35"/>
      <c r="AB67" s="35"/>
      <c r="AC67" s="35"/>
    </row>
    <row r="68">
      <c r="A68" s="97"/>
      <c r="B68" s="97"/>
      <c r="C68" s="35"/>
      <c r="D68" s="35"/>
      <c r="E68" s="26"/>
      <c r="F68" s="51"/>
      <c r="G68" s="51"/>
      <c r="H68" s="51"/>
      <c r="I68" s="51"/>
      <c r="J68" s="51"/>
      <c r="K68" s="51"/>
      <c r="L68" s="27"/>
      <c r="M68" s="35"/>
      <c r="N68" s="35"/>
      <c r="O68" s="35"/>
      <c r="P68" s="35"/>
      <c r="Q68" s="35"/>
      <c r="R68" s="35"/>
      <c r="S68" s="35"/>
      <c r="T68" s="35"/>
      <c r="U68" s="35"/>
      <c r="V68" s="35"/>
      <c r="W68" s="35"/>
      <c r="X68" s="35"/>
      <c r="Y68" s="35"/>
      <c r="Z68" s="35"/>
      <c r="AA68" s="35"/>
      <c r="AB68" s="35"/>
      <c r="AC68" s="35"/>
    </row>
    <row r="69">
      <c r="A69" s="97"/>
      <c r="B69" s="97"/>
      <c r="C69" s="35"/>
      <c r="D69" s="35"/>
      <c r="E69" s="26"/>
      <c r="F69" s="51"/>
      <c r="G69" s="51"/>
      <c r="H69" s="51"/>
      <c r="I69" s="51"/>
      <c r="J69" s="51"/>
      <c r="K69" s="51"/>
      <c r="L69" s="27"/>
      <c r="M69" s="35"/>
      <c r="N69" s="35"/>
      <c r="O69" s="35"/>
      <c r="P69" s="35"/>
      <c r="Q69" s="35"/>
      <c r="R69" s="35"/>
      <c r="S69" s="35"/>
      <c r="T69" s="35"/>
      <c r="U69" s="35"/>
      <c r="V69" s="35"/>
      <c r="W69" s="35"/>
      <c r="X69" s="35"/>
      <c r="Y69" s="35"/>
      <c r="Z69" s="35"/>
      <c r="AA69" s="35"/>
      <c r="AB69" s="35"/>
      <c r="AC69" s="35"/>
    </row>
    <row r="70">
      <c r="A70" s="97"/>
      <c r="B70" s="97"/>
      <c r="C70" s="35"/>
      <c r="D70" s="35"/>
      <c r="E70" s="26"/>
      <c r="F70" s="51"/>
      <c r="G70" s="51"/>
      <c r="H70" s="51"/>
      <c r="I70" s="51"/>
      <c r="J70" s="51"/>
      <c r="K70" s="51"/>
      <c r="L70" s="27"/>
      <c r="M70" s="35"/>
      <c r="N70" s="35"/>
      <c r="O70" s="35"/>
      <c r="P70" s="35"/>
      <c r="Q70" s="35"/>
      <c r="R70" s="35"/>
      <c r="S70" s="35"/>
      <c r="T70" s="35"/>
      <c r="U70" s="35"/>
      <c r="V70" s="35"/>
      <c r="W70" s="35"/>
      <c r="X70" s="35"/>
      <c r="Y70" s="35"/>
      <c r="Z70" s="35"/>
      <c r="AA70" s="35"/>
      <c r="AB70" s="35"/>
      <c r="AC70" s="35"/>
    </row>
    <row r="71">
      <c r="A71" s="97"/>
      <c r="B71" s="97"/>
      <c r="C71" s="35"/>
      <c r="D71" s="35"/>
      <c r="E71" s="26"/>
      <c r="F71" s="51"/>
      <c r="G71" s="51"/>
      <c r="H71" s="51"/>
      <c r="I71" s="51"/>
      <c r="J71" s="51"/>
      <c r="K71" s="51"/>
      <c r="L71" s="27"/>
      <c r="M71" s="35"/>
      <c r="N71" s="35"/>
      <c r="O71" s="35"/>
      <c r="P71" s="35"/>
      <c r="Q71" s="35"/>
      <c r="R71" s="35"/>
      <c r="S71" s="35"/>
      <c r="T71" s="35"/>
      <c r="U71" s="35"/>
      <c r="V71" s="35"/>
      <c r="W71" s="35"/>
      <c r="X71" s="35"/>
      <c r="Y71" s="35"/>
      <c r="Z71" s="35"/>
      <c r="AA71" s="35"/>
      <c r="AB71" s="35"/>
      <c r="AC71" s="35"/>
    </row>
    <row r="72">
      <c r="A72" s="97"/>
      <c r="B72" s="97"/>
      <c r="C72" s="35"/>
      <c r="D72" s="35"/>
      <c r="E72" s="26"/>
      <c r="F72" s="51"/>
      <c r="G72" s="51"/>
      <c r="H72" s="51"/>
      <c r="I72" s="51"/>
      <c r="J72" s="51"/>
      <c r="K72" s="51"/>
      <c r="L72" s="27"/>
      <c r="M72" s="35"/>
      <c r="N72" s="35"/>
      <c r="O72" s="35"/>
      <c r="P72" s="35"/>
      <c r="Q72" s="35"/>
      <c r="R72" s="35"/>
      <c r="S72" s="35"/>
      <c r="T72" s="35"/>
      <c r="U72" s="35"/>
      <c r="V72" s="35"/>
      <c r="W72" s="35"/>
      <c r="X72" s="35"/>
      <c r="Y72" s="35"/>
      <c r="Z72" s="35"/>
      <c r="AA72" s="35"/>
      <c r="AB72" s="35"/>
      <c r="AC72" s="35"/>
    </row>
    <row r="73">
      <c r="A73" s="97"/>
      <c r="B73" s="97"/>
      <c r="C73" s="35"/>
      <c r="D73" s="35"/>
      <c r="E73" s="26"/>
      <c r="F73" s="51"/>
      <c r="G73" s="51"/>
      <c r="H73" s="51"/>
      <c r="I73" s="51"/>
      <c r="J73" s="51"/>
      <c r="K73" s="51"/>
      <c r="L73" s="27"/>
      <c r="M73" s="35"/>
      <c r="N73" s="35"/>
      <c r="O73" s="35"/>
      <c r="P73" s="35"/>
      <c r="Q73" s="35"/>
      <c r="R73" s="35"/>
      <c r="S73" s="35"/>
      <c r="T73" s="35"/>
      <c r="U73" s="35"/>
      <c r="V73" s="35"/>
      <c r="W73" s="35"/>
      <c r="X73" s="35"/>
      <c r="Y73" s="35"/>
      <c r="Z73" s="35"/>
      <c r="AA73" s="35"/>
      <c r="AB73" s="35"/>
      <c r="AC73" s="35"/>
    </row>
    <row r="74">
      <c r="A74" s="97"/>
      <c r="B74" s="97"/>
      <c r="C74" s="35"/>
      <c r="D74" s="35"/>
      <c r="E74" s="26"/>
      <c r="F74" s="51"/>
      <c r="G74" s="51"/>
      <c r="H74" s="51"/>
      <c r="I74" s="51"/>
      <c r="J74" s="51"/>
      <c r="K74" s="51"/>
      <c r="L74" s="27"/>
      <c r="M74" s="35"/>
      <c r="N74" s="35"/>
      <c r="O74" s="35"/>
      <c r="P74" s="35"/>
      <c r="Q74" s="35"/>
      <c r="R74" s="35"/>
      <c r="S74" s="35"/>
      <c r="T74" s="35"/>
      <c r="U74" s="35"/>
      <c r="V74" s="35"/>
      <c r="W74" s="35"/>
      <c r="X74" s="35"/>
      <c r="Y74" s="35"/>
      <c r="Z74" s="35"/>
      <c r="AA74" s="35"/>
      <c r="AB74" s="35"/>
      <c r="AC74" s="35"/>
    </row>
    <row r="75">
      <c r="A75" s="97"/>
      <c r="B75" s="97"/>
      <c r="C75" s="35"/>
      <c r="D75" s="35"/>
      <c r="E75" s="26"/>
      <c r="F75" s="51"/>
      <c r="G75" s="51"/>
      <c r="H75" s="51"/>
      <c r="I75" s="51"/>
      <c r="J75" s="51"/>
      <c r="K75" s="51"/>
      <c r="L75" s="27"/>
      <c r="M75" s="35"/>
      <c r="N75" s="35"/>
      <c r="O75" s="35"/>
      <c r="P75" s="35"/>
      <c r="Q75" s="35"/>
      <c r="R75" s="35"/>
      <c r="S75" s="35"/>
      <c r="T75" s="35"/>
      <c r="U75" s="35"/>
      <c r="V75" s="35"/>
      <c r="W75" s="35"/>
      <c r="X75" s="35"/>
      <c r="Y75" s="35"/>
      <c r="Z75" s="35"/>
      <c r="AA75" s="35"/>
      <c r="AB75" s="35"/>
      <c r="AC75" s="35"/>
    </row>
    <row r="76">
      <c r="A76" s="97"/>
      <c r="B76" s="97"/>
      <c r="C76" s="35"/>
      <c r="D76" s="35"/>
      <c r="E76" s="26"/>
      <c r="F76" s="51"/>
      <c r="G76" s="51"/>
      <c r="H76" s="51"/>
      <c r="I76" s="51"/>
      <c r="J76" s="51"/>
      <c r="K76" s="51"/>
      <c r="L76" s="27"/>
      <c r="M76" s="35"/>
      <c r="N76" s="35"/>
      <c r="O76" s="35"/>
      <c r="P76" s="35"/>
      <c r="Q76" s="35"/>
      <c r="R76" s="35"/>
      <c r="S76" s="35"/>
      <c r="T76" s="35"/>
      <c r="U76" s="35"/>
      <c r="V76" s="35"/>
      <c r="W76" s="35"/>
      <c r="X76" s="35"/>
      <c r="Y76" s="35"/>
      <c r="Z76" s="35"/>
      <c r="AA76" s="35"/>
      <c r="AB76" s="35"/>
      <c r="AC76" s="35"/>
    </row>
    <row r="77">
      <c r="A77" s="97"/>
      <c r="B77" s="97"/>
      <c r="C77" s="35"/>
      <c r="D77" s="35"/>
      <c r="E77" s="26"/>
      <c r="F77" s="51"/>
      <c r="G77" s="51"/>
      <c r="H77" s="51"/>
      <c r="I77" s="51"/>
      <c r="J77" s="51"/>
      <c r="K77" s="51"/>
      <c r="L77" s="27"/>
      <c r="M77" s="35"/>
      <c r="N77" s="35"/>
      <c r="O77" s="35"/>
      <c r="P77" s="35"/>
      <c r="Q77" s="35"/>
      <c r="R77" s="35"/>
      <c r="S77" s="35"/>
      <c r="T77" s="35"/>
      <c r="U77" s="35"/>
      <c r="V77" s="35"/>
      <c r="W77" s="35"/>
      <c r="X77" s="35"/>
      <c r="Y77" s="35"/>
      <c r="Z77" s="35"/>
      <c r="AA77" s="35"/>
      <c r="AB77" s="35"/>
      <c r="AC77" s="35"/>
    </row>
    <row r="78">
      <c r="A78" s="97"/>
      <c r="B78" s="97"/>
      <c r="C78" s="35"/>
      <c r="D78" s="35"/>
      <c r="E78" s="26"/>
      <c r="F78" s="51"/>
      <c r="G78" s="51"/>
      <c r="H78" s="51"/>
      <c r="I78" s="51"/>
      <c r="J78" s="51"/>
      <c r="K78" s="51"/>
      <c r="L78" s="27"/>
      <c r="M78" s="35"/>
      <c r="N78" s="35"/>
      <c r="O78" s="35"/>
      <c r="P78" s="35"/>
      <c r="Q78" s="35"/>
      <c r="R78" s="35"/>
      <c r="S78" s="35"/>
      <c r="T78" s="35"/>
      <c r="U78" s="35"/>
      <c r="V78" s="35"/>
      <c r="W78" s="35"/>
      <c r="X78" s="35"/>
      <c r="Y78" s="35"/>
      <c r="Z78" s="35"/>
      <c r="AA78" s="35"/>
      <c r="AB78" s="35"/>
      <c r="AC78" s="35"/>
    </row>
    <row r="79">
      <c r="A79" s="97"/>
      <c r="B79" s="97"/>
      <c r="C79" s="35"/>
      <c r="D79" s="35"/>
      <c r="E79" s="26"/>
      <c r="F79" s="51"/>
      <c r="G79" s="51"/>
      <c r="H79" s="51"/>
      <c r="I79" s="51"/>
      <c r="J79" s="51"/>
      <c r="K79" s="51"/>
      <c r="L79" s="27"/>
      <c r="M79" s="35"/>
      <c r="N79" s="35"/>
      <c r="O79" s="35"/>
      <c r="P79" s="35"/>
      <c r="Q79" s="35"/>
      <c r="R79" s="35"/>
      <c r="S79" s="35"/>
      <c r="T79" s="35"/>
      <c r="U79" s="35"/>
      <c r="V79" s="35"/>
      <c r="W79" s="35"/>
      <c r="X79" s="35"/>
      <c r="Y79" s="35"/>
      <c r="Z79" s="35"/>
      <c r="AA79" s="35"/>
      <c r="AB79" s="35"/>
      <c r="AC79" s="35"/>
    </row>
    <row r="80">
      <c r="A80" s="97"/>
      <c r="B80" s="97"/>
      <c r="C80" s="35"/>
      <c r="D80" s="35"/>
      <c r="E80" s="26"/>
      <c r="F80" s="51"/>
      <c r="G80" s="51"/>
      <c r="H80" s="51"/>
      <c r="I80" s="51"/>
      <c r="J80" s="51"/>
      <c r="K80" s="51"/>
      <c r="L80" s="27"/>
      <c r="M80" s="35"/>
      <c r="N80" s="35"/>
      <c r="O80" s="35"/>
      <c r="P80" s="35"/>
      <c r="Q80" s="35"/>
      <c r="R80" s="35"/>
      <c r="S80" s="35"/>
      <c r="T80" s="35"/>
      <c r="U80" s="35"/>
      <c r="V80" s="35"/>
      <c r="W80" s="35"/>
      <c r="X80" s="35"/>
      <c r="Y80" s="35"/>
      <c r="Z80" s="35"/>
      <c r="AA80" s="35"/>
      <c r="AB80" s="35"/>
      <c r="AC80" s="35"/>
    </row>
    <row r="81">
      <c r="A81" s="97"/>
      <c r="B81" s="97"/>
      <c r="C81" s="35"/>
      <c r="D81" s="35"/>
      <c r="E81" s="26"/>
      <c r="F81" s="51"/>
      <c r="G81" s="51"/>
      <c r="H81" s="51"/>
      <c r="I81" s="51"/>
      <c r="J81" s="51"/>
      <c r="K81" s="51"/>
      <c r="L81" s="27"/>
      <c r="M81" s="35"/>
      <c r="N81" s="35"/>
      <c r="O81" s="35"/>
      <c r="P81" s="35"/>
      <c r="Q81" s="35"/>
      <c r="R81" s="35"/>
      <c r="S81" s="35"/>
      <c r="T81" s="35"/>
      <c r="U81" s="35"/>
      <c r="V81" s="35"/>
      <c r="W81" s="35"/>
      <c r="X81" s="35"/>
      <c r="Y81" s="35"/>
      <c r="Z81" s="35"/>
      <c r="AA81" s="35"/>
      <c r="AB81" s="35"/>
      <c r="AC81" s="35"/>
    </row>
    <row r="82">
      <c r="A82" s="97"/>
      <c r="B82" s="97"/>
      <c r="C82" s="35"/>
      <c r="D82" s="35"/>
      <c r="E82" s="26"/>
      <c r="F82" s="51"/>
      <c r="G82" s="51"/>
      <c r="H82" s="51"/>
      <c r="I82" s="51"/>
      <c r="J82" s="51"/>
      <c r="K82" s="51"/>
      <c r="L82" s="27"/>
      <c r="M82" s="35"/>
      <c r="N82" s="35"/>
      <c r="O82" s="35"/>
      <c r="P82" s="35"/>
      <c r="Q82" s="35"/>
      <c r="R82" s="35"/>
      <c r="S82" s="35"/>
      <c r="T82" s="35"/>
      <c r="U82" s="35"/>
      <c r="V82" s="35"/>
      <c r="W82" s="35"/>
      <c r="X82" s="35"/>
      <c r="Y82" s="35"/>
      <c r="Z82" s="35"/>
      <c r="AA82" s="35"/>
      <c r="AB82" s="35"/>
      <c r="AC82" s="35"/>
    </row>
    <row r="83">
      <c r="A83" s="97"/>
      <c r="B83" s="97"/>
      <c r="C83" s="35"/>
      <c r="D83" s="35"/>
      <c r="E83" s="26"/>
      <c r="F83" s="51"/>
      <c r="G83" s="51"/>
      <c r="H83" s="51"/>
      <c r="I83" s="51"/>
      <c r="J83" s="51"/>
      <c r="K83" s="51"/>
      <c r="L83" s="27"/>
      <c r="M83" s="35"/>
      <c r="N83" s="35"/>
      <c r="O83" s="35"/>
      <c r="P83" s="35"/>
      <c r="Q83" s="35"/>
      <c r="R83" s="35"/>
      <c r="S83" s="35"/>
      <c r="T83" s="35"/>
      <c r="U83" s="35"/>
      <c r="V83" s="35"/>
      <c r="W83" s="35"/>
      <c r="X83" s="35"/>
      <c r="Y83" s="35"/>
      <c r="Z83" s="35"/>
      <c r="AA83" s="35"/>
      <c r="AB83" s="35"/>
      <c r="AC83" s="35"/>
    </row>
    <row r="84">
      <c r="A84" s="97"/>
      <c r="B84" s="97"/>
      <c r="C84" s="35"/>
      <c r="D84" s="35"/>
      <c r="E84" s="26"/>
      <c r="F84" s="51"/>
      <c r="G84" s="51"/>
      <c r="H84" s="51"/>
      <c r="I84" s="51"/>
      <c r="J84" s="51"/>
      <c r="K84" s="51"/>
      <c r="L84" s="27"/>
      <c r="M84" s="35"/>
      <c r="N84" s="35"/>
      <c r="O84" s="35"/>
      <c r="P84" s="35"/>
      <c r="Q84" s="35"/>
      <c r="R84" s="35"/>
      <c r="S84" s="35"/>
      <c r="T84" s="35"/>
      <c r="U84" s="35"/>
      <c r="V84" s="35"/>
      <c r="W84" s="35"/>
      <c r="X84" s="35"/>
      <c r="Y84" s="35"/>
      <c r="Z84" s="35"/>
      <c r="AA84" s="35"/>
      <c r="AB84" s="35"/>
      <c r="AC84" s="35"/>
    </row>
    <row r="85">
      <c r="A85" s="97"/>
      <c r="B85" s="97"/>
      <c r="C85" s="35"/>
      <c r="D85" s="35"/>
      <c r="E85" s="26"/>
      <c r="F85" s="51"/>
      <c r="G85" s="51"/>
      <c r="H85" s="51"/>
      <c r="I85" s="51"/>
      <c r="J85" s="51"/>
      <c r="K85" s="51"/>
      <c r="L85" s="27"/>
      <c r="M85" s="35"/>
      <c r="N85" s="35"/>
      <c r="O85" s="35"/>
      <c r="P85" s="35"/>
      <c r="Q85" s="35"/>
      <c r="R85" s="35"/>
      <c r="S85" s="35"/>
      <c r="T85" s="35"/>
      <c r="U85" s="35"/>
      <c r="V85" s="35"/>
      <c r="W85" s="35"/>
      <c r="X85" s="35"/>
      <c r="Y85" s="35"/>
      <c r="Z85" s="35"/>
      <c r="AA85" s="35"/>
      <c r="AB85" s="35"/>
      <c r="AC85" s="35"/>
    </row>
    <row r="86">
      <c r="A86" s="97"/>
      <c r="B86" s="97"/>
      <c r="C86" s="35"/>
      <c r="D86" s="35"/>
      <c r="E86" s="26"/>
      <c r="F86" s="51"/>
      <c r="G86" s="51"/>
      <c r="H86" s="51"/>
      <c r="I86" s="51"/>
      <c r="J86" s="51"/>
      <c r="K86" s="51"/>
      <c r="L86" s="27"/>
      <c r="M86" s="35"/>
      <c r="N86" s="35"/>
      <c r="O86" s="35"/>
      <c r="P86" s="35"/>
      <c r="Q86" s="35"/>
      <c r="R86" s="35"/>
      <c r="S86" s="35"/>
      <c r="T86" s="35"/>
      <c r="U86" s="35"/>
      <c r="V86" s="35"/>
      <c r="W86" s="35"/>
      <c r="X86" s="35"/>
      <c r="Y86" s="35"/>
      <c r="Z86" s="35"/>
      <c r="AA86" s="35"/>
      <c r="AB86" s="35"/>
      <c r="AC86" s="35"/>
    </row>
    <row r="87">
      <c r="A87" s="97"/>
      <c r="B87" s="97"/>
      <c r="C87" s="35"/>
      <c r="D87" s="35"/>
      <c r="E87" s="26"/>
      <c r="F87" s="51"/>
      <c r="G87" s="51"/>
      <c r="H87" s="51"/>
      <c r="I87" s="51"/>
      <c r="J87" s="51"/>
      <c r="K87" s="51"/>
      <c r="L87" s="27"/>
      <c r="M87" s="35"/>
      <c r="N87" s="35"/>
      <c r="O87" s="35"/>
      <c r="P87" s="35"/>
      <c r="Q87" s="35"/>
      <c r="R87" s="35"/>
      <c r="S87" s="35"/>
      <c r="T87" s="35"/>
      <c r="U87" s="35"/>
      <c r="V87" s="35"/>
      <c r="W87" s="35"/>
      <c r="X87" s="35"/>
      <c r="Y87" s="35"/>
      <c r="Z87" s="35"/>
      <c r="AA87" s="35"/>
      <c r="AB87" s="35"/>
      <c r="AC87" s="35"/>
    </row>
    <row r="88">
      <c r="A88" s="97"/>
      <c r="B88" s="97"/>
      <c r="C88" s="35"/>
      <c r="D88" s="35"/>
      <c r="E88" s="26"/>
      <c r="F88" s="51"/>
      <c r="G88" s="51"/>
      <c r="H88" s="51"/>
      <c r="I88" s="51"/>
      <c r="J88" s="51"/>
      <c r="K88" s="51"/>
      <c r="L88" s="27"/>
      <c r="M88" s="35"/>
      <c r="N88" s="35"/>
      <c r="O88" s="35"/>
      <c r="P88" s="35"/>
      <c r="Q88" s="35"/>
      <c r="R88" s="35"/>
      <c r="S88" s="35"/>
      <c r="T88" s="35"/>
      <c r="U88" s="35"/>
      <c r="V88" s="35"/>
      <c r="W88" s="35"/>
      <c r="X88" s="35"/>
      <c r="Y88" s="35"/>
      <c r="Z88" s="35"/>
      <c r="AA88" s="35"/>
      <c r="AB88" s="35"/>
      <c r="AC88" s="35"/>
    </row>
    <row r="89">
      <c r="A89" s="97"/>
      <c r="B89" s="97"/>
      <c r="C89" s="35"/>
      <c r="D89" s="35"/>
      <c r="E89" s="26"/>
      <c r="F89" s="51"/>
      <c r="G89" s="51"/>
      <c r="H89" s="51"/>
      <c r="I89" s="51"/>
      <c r="J89" s="51"/>
      <c r="K89" s="51"/>
      <c r="L89" s="27"/>
      <c r="M89" s="35"/>
      <c r="N89" s="35"/>
      <c r="O89" s="35"/>
      <c r="P89" s="35"/>
      <c r="Q89" s="35"/>
      <c r="R89" s="35"/>
      <c r="S89" s="35"/>
      <c r="T89" s="35"/>
      <c r="U89" s="35"/>
      <c r="V89" s="35"/>
      <c r="W89" s="35"/>
      <c r="X89" s="35"/>
      <c r="Y89" s="35"/>
      <c r="Z89" s="35"/>
      <c r="AA89" s="35"/>
      <c r="AB89" s="35"/>
      <c r="AC89" s="35"/>
    </row>
    <row r="90">
      <c r="A90" s="97"/>
      <c r="B90" s="97"/>
      <c r="C90" s="35"/>
      <c r="D90" s="35"/>
      <c r="E90" s="26"/>
      <c r="F90" s="51"/>
      <c r="G90" s="51"/>
      <c r="H90" s="51"/>
      <c r="I90" s="51"/>
      <c r="J90" s="51"/>
      <c r="K90" s="51"/>
      <c r="L90" s="27"/>
      <c r="M90" s="35"/>
      <c r="N90" s="35"/>
      <c r="O90" s="35"/>
      <c r="P90" s="35"/>
      <c r="Q90" s="35"/>
      <c r="R90" s="35"/>
      <c r="S90" s="35"/>
      <c r="T90" s="35"/>
      <c r="U90" s="35"/>
      <c r="V90" s="35"/>
      <c r="W90" s="35"/>
      <c r="X90" s="35"/>
      <c r="Y90" s="35"/>
      <c r="Z90" s="35"/>
      <c r="AA90" s="35"/>
      <c r="AB90" s="35"/>
      <c r="AC90" s="35"/>
    </row>
    <row r="91">
      <c r="A91" s="97"/>
      <c r="B91" s="97"/>
      <c r="C91" s="35"/>
      <c r="D91" s="35"/>
      <c r="E91" s="26"/>
      <c r="F91" s="51"/>
      <c r="G91" s="51"/>
      <c r="H91" s="51"/>
      <c r="I91" s="51"/>
      <c r="J91" s="51"/>
      <c r="K91" s="51"/>
      <c r="L91" s="27"/>
      <c r="M91" s="35"/>
      <c r="N91" s="35"/>
      <c r="O91" s="35"/>
      <c r="P91" s="35"/>
      <c r="Q91" s="35"/>
      <c r="R91" s="35"/>
      <c r="S91" s="35"/>
      <c r="T91" s="35"/>
      <c r="U91" s="35"/>
      <c r="V91" s="35"/>
      <c r="W91" s="35"/>
      <c r="X91" s="35"/>
      <c r="Y91" s="35"/>
      <c r="Z91" s="35"/>
      <c r="AA91" s="35"/>
      <c r="AB91" s="35"/>
      <c r="AC91" s="35"/>
    </row>
    <row r="92">
      <c r="A92" s="97"/>
      <c r="B92" s="97"/>
      <c r="C92" s="35"/>
      <c r="D92" s="35"/>
      <c r="E92" s="26"/>
      <c r="F92" s="51"/>
      <c r="G92" s="51"/>
      <c r="H92" s="51"/>
      <c r="I92" s="51"/>
      <c r="J92" s="51"/>
      <c r="K92" s="51"/>
      <c r="L92" s="27"/>
      <c r="M92" s="35"/>
      <c r="N92" s="35"/>
      <c r="O92" s="35"/>
      <c r="P92" s="35"/>
      <c r="Q92" s="35"/>
      <c r="R92" s="35"/>
      <c r="S92" s="35"/>
      <c r="T92" s="35"/>
      <c r="U92" s="35"/>
      <c r="V92" s="35"/>
      <c r="W92" s="35"/>
      <c r="X92" s="35"/>
      <c r="Y92" s="35"/>
      <c r="Z92" s="35"/>
      <c r="AA92" s="35"/>
      <c r="AB92" s="35"/>
      <c r="AC92" s="35"/>
    </row>
    <row r="93">
      <c r="A93" s="97"/>
      <c r="B93" s="97"/>
      <c r="C93" s="35"/>
      <c r="D93" s="35"/>
      <c r="E93" s="26"/>
      <c r="F93" s="51"/>
      <c r="G93" s="51"/>
      <c r="H93" s="51"/>
      <c r="I93" s="51"/>
      <c r="J93" s="51"/>
      <c r="K93" s="51"/>
      <c r="L93" s="27"/>
      <c r="M93" s="35"/>
      <c r="N93" s="35"/>
      <c r="O93" s="35"/>
      <c r="P93" s="35"/>
      <c r="Q93" s="35"/>
      <c r="R93" s="35"/>
      <c r="S93" s="35"/>
      <c r="T93" s="35"/>
      <c r="U93" s="35"/>
      <c r="V93" s="35"/>
      <c r="W93" s="35"/>
      <c r="X93" s="35"/>
      <c r="Y93" s="35"/>
      <c r="Z93" s="35"/>
      <c r="AA93" s="35"/>
      <c r="AB93" s="35"/>
      <c r="AC93" s="35"/>
    </row>
    <row r="94">
      <c r="A94" s="97"/>
      <c r="B94" s="97"/>
      <c r="C94" s="35"/>
      <c r="D94" s="35"/>
      <c r="E94" s="26"/>
      <c r="F94" s="51"/>
      <c r="G94" s="51"/>
      <c r="H94" s="51"/>
      <c r="I94" s="51"/>
      <c r="J94" s="51"/>
      <c r="K94" s="51"/>
      <c r="L94" s="27"/>
      <c r="M94" s="35"/>
      <c r="N94" s="35"/>
      <c r="O94" s="35"/>
      <c r="P94" s="35"/>
      <c r="Q94" s="35"/>
      <c r="R94" s="35"/>
      <c r="S94" s="35"/>
      <c r="T94" s="35"/>
      <c r="U94" s="35"/>
      <c r="V94" s="35"/>
      <c r="W94" s="35"/>
      <c r="X94" s="35"/>
      <c r="Y94" s="35"/>
      <c r="Z94" s="35"/>
      <c r="AA94" s="35"/>
      <c r="AB94" s="35"/>
      <c r="AC94" s="35"/>
    </row>
    <row r="95">
      <c r="A95" s="97"/>
      <c r="B95" s="97"/>
      <c r="C95" s="35"/>
      <c r="D95" s="35"/>
      <c r="E95" s="26"/>
      <c r="F95" s="51"/>
      <c r="G95" s="51"/>
      <c r="H95" s="51"/>
      <c r="I95" s="51"/>
      <c r="J95" s="51"/>
      <c r="K95" s="51"/>
      <c r="L95" s="27"/>
      <c r="M95" s="35"/>
      <c r="N95" s="35"/>
      <c r="O95" s="35"/>
      <c r="P95" s="35"/>
      <c r="Q95" s="35"/>
      <c r="R95" s="35"/>
      <c r="S95" s="35"/>
      <c r="T95" s="35"/>
      <c r="U95" s="35"/>
      <c r="V95" s="35"/>
      <c r="W95" s="35"/>
      <c r="X95" s="35"/>
      <c r="Y95" s="35"/>
      <c r="Z95" s="35"/>
      <c r="AA95" s="35"/>
      <c r="AB95" s="35"/>
      <c r="AC95" s="35"/>
    </row>
    <row r="96">
      <c r="A96" s="97"/>
      <c r="B96" s="97"/>
      <c r="C96" s="35"/>
      <c r="D96" s="35"/>
      <c r="E96" s="26"/>
      <c r="F96" s="51"/>
      <c r="G96" s="51"/>
      <c r="H96" s="51"/>
      <c r="I96" s="51"/>
      <c r="J96" s="51"/>
      <c r="K96" s="51"/>
      <c r="L96" s="27"/>
      <c r="M96" s="35"/>
      <c r="N96" s="35"/>
      <c r="O96" s="35"/>
      <c r="P96" s="35"/>
      <c r="Q96" s="35"/>
      <c r="R96" s="35"/>
      <c r="S96" s="35"/>
      <c r="T96" s="35"/>
      <c r="U96" s="35"/>
      <c r="V96" s="35"/>
      <c r="W96" s="35"/>
      <c r="X96" s="35"/>
      <c r="Y96" s="35"/>
      <c r="Z96" s="35"/>
      <c r="AA96" s="35"/>
      <c r="AB96" s="35"/>
      <c r="AC96" s="35"/>
    </row>
    <row r="97">
      <c r="A97" s="97"/>
      <c r="B97" s="97"/>
      <c r="C97" s="35"/>
      <c r="D97" s="35"/>
      <c r="E97" s="26"/>
      <c r="F97" s="51"/>
      <c r="G97" s="51"/>
      <c r="H97" s="51"/>
      <c r="I97" s="51"/>
      <c r="J97" s="51"/>
      <c r="K97" s="51"/>
      <c r="L97" s="27"/>
      <c r="M97" s="35"/>
      <c r="N97" s="35"/>
      <c r="O97" s="35"/>
      <c r="P97" s="35"/>
      <c r="Q97" s="35"/>
      <c r="R97" s="35"/>
      <c r="S97" s="35"/>
      <c r="T97" s="35"/>
      <c r="U97" s="35"/>
      <c r="V97" s="35"/>
      <c r="W97" s="35"/>
      <c r="X97" s="35"/>
      <c r="Y97" s="35"/>
      <c r="Z97" s="35"/>
      <c r="AA97" s="35"/>
      <c r="AB97" s="35"/>
      <c r="AC97" s="35"/>
    </row>
    <row r="98">
      <c r="A98" s="97"/>
      <c r="B98" s="97"/>
      <c r="C98" s="35"/>
      <c r="D98" s="35"/>
      <c r="E98" s="26"/>
      <c r="F98" s="51"/>
      <c r="G98" s="51"/>
      <c r="H98" s="51"/>
      <c r="I98" s="51"/>
      <c r="J98" s="51"/>
      <c r="K98" s="51"/>
      <c r="L98" s="27"/>
      <c r="M98" s="35"/>
      <c r="N98" s="35"/>
      <c r="O98" s="35"/>
      <c r="P98" s="35"/>
      <c r="Q98" s="35"/>
      <c r="R98" s="35"/>
      <c r="S98" s="35"/>
      <c r="T98" s="35"/>
      <c r="U98" s="35"/>
      <c r="V98" s="35"/>
      <c r="W98" s="35"/>
      <c r="X98" s="35"/>
      <c r="Y98" s="35"/>
      <c r="Z98" s="35"/>
      <c r="AA98" s="35"/>
      <c r="AB98" s="35"/>
      <c r="AC98" s="35"/>
    </row>
    <row r="99">
      <c r="A99" s="97"/>
      <c r="B99" s="97"/>
      <c r="C99" s="35"/>
      <c r="D99" s="35"/>
      <c r="E99" s="26"/>
      <c r="F99" s="51"/>
      <c r="G99" s="51"/>
      <c r="H99" s="51"/>
      <c r="I99" s="51"/>
      <c r="J99" s="51"/>
      <c r="K99" s="51"/>
      <c r="L99" s="27"/>
      <c r="M99" s="35"/>
      <c r="N99" s="35"/>
      <c r="O99" s="35"/>
      <c r="P99" s="35"/>
      <c r="Q99" s="35"/>
      <c r="R99" s="35"/>
      <c r="S99" s="35"/>
      <c r="T99" s="35"/>
      <c r="U99" s="35"/>
      <c r="V99" s="35"/>
      <c r="W99" s="35"/>
      <c r="X99" s="35"/>
      <c r="Y99" s="35"/>
      <c r="Z99" s="35"/>
      <c r="AA99" s="35"/>
      <c r="AB99" s="35"/>
      <c r="AC99" s="35"/>
    </row>
    <row r="100">
      <c r="A100" s="97"/>
      <c r="B100" s="97"/>
      <c r="C100" s="35"/>
      <c r="D100" s="35"/>
      <c r="E100" s="26"/>
      <c r="F100" s="51"/>
      <c r="G100" s="51"/>
      <c r="H100" s="51"/>
      <c r="I100" s="51"/>
      <c r="J100" s="51"/>
      <c r="K100" s="51"/>
      <c r="L100" s="27"/>
      <c r="M100" s="35"/>
      <c r="N100" s="35"/>
      <c r="O100" s="35"/>
      <c r="P100" s="35"/>
      <c r="Q100" s="35"/>
      <c r="R100" s="35"/>
      <c r="S100" s="35"/>
      <c r="T100" s="35"/>
      <c r="U100" s="35"/>
      <c r="V100" s="35"/>
      <c r="W100" s="35"/>
      <c r="X100" s="35"/>
      <c r="Y100" s="35"/>
      <c r="Z100" s="35"/>
      <c r="AA100" s="35"/>
      <c r="AB100" s="35"/>
      <c r="AC100" s="35"/>
    </row>
    <row r="101">
      <c r="A101" s="97"/>
      <c r="B101" s="97"/>
      <c r="C101" s="35"/>
      <c r="D101" s="35"/>
      <c r="E101" s="26"/>
      <c r="F101" s="51"/>
      <c r="G101" s="51"/>
      <c r="H101" s="51"/>
      <c r="I101" s="51"/>
      <c r="J101" s="51"/>
      <c r="K101" s="51"/>
      <c r="L101" s="27"/>
      <c r="M101" s="35"/>
      <c r="N101" s="35"/>
      <c r="O101" s="35"/>
      <c r="P101" s="35"/>
      <c r="Q101" s="35"/>
      <c r="R101" s="35"/>
      <c r="S101" s="35"/>
      <c r="T101" s="35"/>
      <c r="U101" s="35"/>
      <c r="V101" s="35"/>
      <c r="W101" s="35"/>
      <c r="X101" s="35"/>
      <c r="Y101" s="35"/>
      <c r="Z101" s="35"/>
      <c r="AA101" s="35"/>
      <c r="AB101" s="35"/>
      <c r="AC101" s="35"/>
    </row>
    <row r="102">
      <c r="A102" s="35"/>
      <c r="B102" s="35"/>
      <c r="C102" s="35"/>
      <c r="D102" s="35"/>
      <c r="E102" s="26"/>
      <c r="F102" s="51"/>
      <c r="G102" s="51"/>
      <c r="H102" s="51"/>
      <c r="I102" s="51"/>
      <c r="J102" s="51"/>
      <c r="K102" s="51"/>
      <c r="L102" s="27"/>
      <c r="M102" s="35"/>
      <c r="N102" s="35"/>
      <c r="O102" s="35"/>
      <c r="P102" s="35"/>
      <c r="Q102" s="35"/>
      <c r="R102" s="35"/>
      <c r="S102" s="35"/>
      <c r="T102" s="35"/>
      <c r="U102" s="35"/>
      <c r="V102" s="35"/>
      <c r="W102" s="35"/>
      <c r="X102" s="35"/>
      <c r="Y102" s="35"/>
      <c r="Z102" s="35"/>
      <c r="AA102" s="35"/>
      <c r="AB102" s="35"/>
      <c r="AC102" s="35"/>
    </row>
    <row r="103">
      <c r="A103" s="35"/>
      <c r="B103" s="35"/>
      <c r="C103" s="35"/>
      <c r="D103" s="35"/>
      <c r="E103" s="26"/>
      <c r="F103" s="51"/>
      <c r="G103" s="51"/>
      <c r="H103" s="51"/>
      <c r="I103" s="51"/>
      <c r="J103" s="51"/>
      <c r="K103" s="51"/>
      <c r="L103" s="27"/>
      <c r="M103" s="35"/>
      <c r="N103" s="35"/>
      <c r="O103" s="35"/>
      <c r="P103" s="35"/>
      <c r="Q103" s="35"/>
      <c r="R103" s="35"/>
      <c r="S103" s="35"/>
      <c r="T103" s="35"/>
      <c r="U103" s="35"/>
      <c r="V103" s="35"/>
      <c r="W103" s="35"/>
      <c r="X103" s="35"/>
      <c r="Y103" s="35"/>
      <c r="Z103" s="35"/>
      <c r="AA103" s="35"/>
      <c r="AB103" s="35"/>
      <c r="AC103" s="35"/>
    </row>
    <row r="104">
      <c r="A104" s="35"/>
      <c r="B104" s="35"/>
      <c r="C104" s="35"/>
      <c r="D104" s="35"/>
      <c r="E104" s="26"/>
      <c r="F104" s="51"/>
      <c r="G104" s="51"/>
      <c r="H104" s="51"/>
      <c r="I104" s="51"/>
      <c r="J104" s="51"/>
      <c r="K104" s="51"/>
      <c r="L104" s="27"/>
      <c r="M104" s="35"/>
      <c r="N104" s="35"/>
      <c r="O104" s="35"/>
      <c r="P104" s="35"/>
      <c r="Q104" s="35"/>
      <c r="R104" s="35"/>
      <c r="S104" s="35"/>
      <c r="T104" s="35"/>
      <c r="U104" s="35"/>
      <c r="V104" s="35"/>
      <c r="W104" s="35"/>
      <c r="X104" s="35"/>
      <c r="Y104" s="35"/>
      <c r="Z104" s="35"/>
      <c r="AA104" s="35"/>
      <c r="AB104" s="35"/>
      <c r="AC104" s="35"/>
    </row>
    <row r="105">
      <c r="A105" s="35"/>
      <c r="B105" s="35"/>
      <c r="C105" s="35"/>
      <c r="D105" s="35"/>
      <c r="E105" s="26"/>
      <c r="F105" s="51"/>
      <c r="G105" s="51"/>
      <c r="H105" s="51"/>
      <c r="I105" s="51"/>
      <c r="J105" s="51"/>
      <c r="K105" s="51"/>
      <c r="L105" s="27"/>
      <c r="M105" s="35"/>
      <c r="N105" s="35"/>
      <c r="O105" s="35"/>
      <c r="P105" s="35"/>
      <c r="Q105" s="35"/>
      <c r="R105" s="35"/>
      <c r="S105" s="35"/>
      <c r="T105" s="35"/>
      <c r="U105" s="35"/>
      <c r="V105" s="35"/>
      <c r="W105" s="35"/>
      <c r="X105" s="35"/>
      <c r="Y105" s="35"/>
      <c r="Z105" s="35"/>
      <c r="AA105" s="35"/>
      <c r="AB105" s="35"/>
      <c r="AC105" s="35"/>
    </row>
    <row r="106">
      <c r="A106" s="35"/>
      <c r="B106" s="35"/>
      <c r="C106" s="35"/>
      <c r="D106" s="35"/>
      <c r="E106" s="26"/>
      <c r="F106" s="51"/>
      <c r="G106" s="51"/>
      <c r="H106" s="51"/>
      <c r="I106" s="51"/>
      <c r="J106" s="51"/>
      <c r="K106" s="51"/>
      <c r="L106" s="27"/>
      <c r="M106" s="35"/>
      <c r="N106" s="35"/>
      <c r="O106" s="35"/>
      <c r="P106" s="35"/>
      <c r="Q106" s="35"/>
      <c r="R106" s="35"/>
      <c r="S106" s="35"/>
      <c r="T106" s="35"/>
      <c r="U106" s="35"/>
      <c r="V106" s="35"/>
      <c r="W106" s="35"/>
      <c r="X106" s="35"/>
      <c r="Y106" s="35"/>
      <c r="Z106" s="35"/>
      <c r="AA106" s="35"/>
      <c r="AB106" s="35"/>
      <c r="AC106" s="35"/>
    </row>
    <row r="107">
      <c r="A107" s="35"/>
      <c r="B107" s="35"/>
      <c r="C107" s="35"/>
      <c r="D107" s="35"/>
      <c r="E107" s="26"/>
      <c r="F107" s="51"/>
      <c r="G107" s="51"/>
      <c r="H107" s="51"/>
      <c r="I107" s="51"/>
      <c r="J107" s="51"/>
      <c r="K107" s="51"/>
      <c r="L107" s="27"/>
      <c r="M107" s="35"/>
      <c r="N107" s="35"/>
      <c r="O107" s="35"/>
      <c r="P107" s="35"/>
      <c r="Q107" s="35"/>
      <c r="R107" s="35"/>
      <c r="S107" s="35"/>
      <c r="T107" s="35"/>
      <c r="U107" s="35"/>
      <c r="V107" s="35"/>
      <c r="W107" s="35"/>
      <c r="X107" s="35"/>
      <c r="Y107" s="35"/>
      <c r="Z107" s="35"/>
      <c r="AA107" s="35"/>
      <c r="AB107" s="35"/>
      <c r="AC107" s="35"/>
    </row>
    <row r="108">
      <c r="A108" s="35"/>
      <c r="B108" s="35"/>
      <c r="C108" s="35"/>
      <c r="D108" s="35"/>
      <c r="E108" s="26"/>
      <c r="F108" s="51"/>
      <c r="G108" s="51"/>
      <c r="H108" s="51"/>
      <c r="I108" s="51"/>
      <c r="J108" s="51"/>
      <c r="K108" s="51"/>
      <c r="L108" s="27"/>
      <c r="M108" s="35"/>
      <c r="N108" s="35"/>
      <c r="O108" s="35"/>
      <c r="P108" s="35"/>
      <c r="Q108" s="35"/>
      <c r="R108" s="35"/>
      <c r="S108" s="35"/>
      <c r="T108" s="35"/>
      <c r="U108" s="35"/>
      <c r="V108" s="35"/>
      <c r="W108" s="35"/>
      <c r="X108" s="35"/>
      <c r="Y108" s="35"/>
      <c r="Z108" s="35"/>
      <c r="AA108" s="35"/>
      <c r="AB108" s="35"/>
      <c r="AC108" s="35"/>
    </row>
    <row r="109">
      <c r="A109" s="35"/>
      <c r="B109" s="35"/>
      <c r="C109" s="35"/>
      <c r="D109" s="35"/>
      <c r="E109" s="26"/>
      <c r="F109" s="51"/>
      <c r="G109" s="51"/>
      <c r="H109" s="51"/>
      <c r="I109" s="51"/>
      <c r="J109" s="51"/>
      <c r="K109" s="51"/>
      <c r="L109" s="27"/>
      <c r="M109" s="35"/>
      <c r="N109" s="35"/>
      <c r="O109" s="35"/>
      <c r="P109" s="35"/>
      <c r="Q109" s="35"/>
      <c r="R109" s="35"/>
      <c r="S109" s="35"/>
      <c r="T109" s="35"/>
      <c r="U109" s="35"/>
      <c r="V109" s="35"/>
      <c r="W109" s="35"/>
      <c r="X109" s="35"/>
      <c r="Y109" s="35"/>
      <c r="Z109" s="35"/>
      <c r="AA109" s="35"/>
      <c r="AB109" s="35"/>
      <c r="AC109" s="35"/>
    </row>
    <row r="110">
      <c r="A110" s="35"/>
      <c r="B110" s="35"/>
      <c r="C110" s="35"/>
      <c r="D110" s="35"/>
      <c r="E110" s="26"/>
      <c r="F110" s="51"/>
      <c r="G110" s="51"/>
      <c r="H110" s="51"/>
      <c r="I110" s="51"/>
      <c r="J110" s="51"/>
      <c r="K110" s="51"/>
      <c r="L110" s="27"/>
      <c r="M110" s="35"/>
      <c r="N110" s="35"/>
      <c r="O110" s="35"/>
      <c r="P110" s="35"/>
      <c r="Q110" s="35"/>
      <c r="R110" s="35"/>
      <c r="S110" s="35"/>
      <c r="T110" s="35"/>
      <c r="U110" s="35"/>
      <c r="V110" s="35"/>
      <c r="W110" s="35"/>
      <c r="X110" s="35"/>
      <c r="Y110" s="35"/>
      <c r="Z110" s="35"/>
      <c r="AA110" s="35"/>
      <c r="AB110" s="35"/>
      <c r="AC110" s="35"/>
    </row>
    <row r="111">
      <c r="A111" s="35"/>
      <c r="B111" s="35"/>
      <c r="C111" s="35"/>
      <c r="D111" s="35"/>
      <c r="E111" s="26"/>
      <c r="F111" s="51"/>
      <c r="G111" s="51"/>
      <c r="H111" s="51"/>
      <c r="I111" s="51"/>
      <c r="J111" s="51"/>
      <c r="K111" s="51"/>
      <c r="L111" s="27"/>
      <c r="M111" s="35"/>
      <c r="N111" s="35"/>
      <c r="O111" s="35"/>
      <c r="P111" s="35"/>
      <c r="Q111" s="35"/>
      <c r="R111" s="35"/>
      <c r="S111" s="35"/>
      <c r="T111" s="35"/>
      <c r="U111" s="35"/>
      <c r="V111" s="35"/>
      <c r="W111" s="35"/>
      <c r="X111" s="35"/>
      <c r="Y111" s="35"/>
      <c r="Z111" s="35"/>
      <c r="AA111" s="35"/>
      <c r="AB111" s="35"/>
      <c r="AC111" s="35"/>
    </row>
    <row r="112">
      <c r="A112" s="35"/>
      <c r="B112" s="35"/>
      <c r="C112" s="35"/>
      <c r="D112" s="35"/>
      <c r="E112" s="26"/>
      <c r="F112" s="51"/>
      <c r="G112" s="51"/>
      <c r="H112" s="51"/>
      <c r="I112" s="51"/>
      <c r="J112" s="51"/>
      <c r="K112" s="51"/>
      <c r="L112" s="27"/>
      <c r="M112" s="35"/>
      <c r="N112" s="35"/>
      <c r="O112" s="35"/>
      <c r="P112" s="35"/>
      <c r="Q112" s="35"/>
      <c r="R112" s="35"/>
      <c r="S112" s="35"/>
      <c r="T112" s="35"/>
      <c r="U112" s="35"/>
      <c r="V112" s="35"/>
      <c r="W112" s="35"/>
      <c r="X112" s="35"/>
      <c r="Y112" s="35"/>
      <c r="Z112" s="35"/>
      <c r="AA112" s="35"/>
      <c r="AB112" s="35"/>
      <c r="AC112" s="35"/>
    </row>
    <row r="113">
      <c r="A113" s="35"/>
      <c r="B113" s="35"/>
      <c r="C113" s="35"/>
      <c r="D113" s="35"/>
      <c r="E113" s="26"/>
      <c r="F113" s="51"/>
      <c r="G113" s="51"/>
      <c r="H113" s="51"/>
      <c r="I113" s="51"/>
      <c r="J113" s="51"/>
      <c r="K113" s="51"/>
      <c r="L113" s="27"/>
      <c r="M113" s="35"/>
      <c r="N113" s="35"/>
      <c r="O113" s="35"/>
      <c r="P113" s="35"/>
      <c r="Q113" s="35"/>
      <c r="R113" s="35"/>
      <c r="S113" s="35"/>
      <c r="T113" s="35"/>
      <c r="U113" s="35"/>
      <c r="V113" s="35"/>
      <c r="W113" s="35"/>
      <c r="X113" s="35"/>
      <c r="Y113" s="35"/>
      <c r="Z113" s="35"/>
      <c r="AA113" s="35"/>
      <c r="AB113" s="35"/>
      <c r="AC113" s="35"/>
    </row>
    <row r="114">
      <c r="A114" s="35"/>
      <c r="B114" s="35"/>
      <c r="C114" s="35"/>
      <c r="D114" s="35"/>
      <c r="E114" s="26"/>
      <c r="F114" s="51"/>
      <c r="G114" s="51"/>
      <c r="H114" s="51"/>
      <c r="I114" s="51"/>
      <c r="J114" s="51"/>
      <c r="K114" s="51"/>
      <c r="L114" s="27"/>
      <c r="M114" s="35"/>
      <c r="N114" s="35"/>
      <c r="O114" s="35"/>
      <c r="P114" s="35"/>
      <c r="Q114" s="35"/>
      <c r="R114" s="35"/>
      <c r="S114" s="35"/>
      <c r="T114" s="35"/>
      <c r="U114" s="35"/>
      <c r="V114" s="35"/>
      <c r="W114" s="35"/>
      <c r="X114" s="35"/>
      <c r="Y114" s="35"/>
      <c r="Z114" s="35"/>
      <c r="AA114" s="35"/>
      <c r="AB114" s="35"/>
      <c r="AC114" s="35"/>
    </row>
    <row r="115">
      <c r="A115" s="35"/>
      <c r="B115" s="35"/>
      <c r="C115" s="35"/>
      <c r="D115" s="35"/>
      <c r="E115" s="26"/>
      <c r="F115" s="51"/>
      <c r="G115" s="51"/>
      <c r="H115" s="51"/>
      <c r="I115" s="51"/>
      <c r="J115" s="51"/>
      <c r="K115" s="51"/>
      <c r="L115" s="27"/>
      <c r="M115" s="35"/>
      <c r="N115" s="35"/>
      <c r="O115" s="35"/>
      <c r="P115" s="35"/>
      <c r="Q115" s="35"/>
      <c r="R115" s="35"/>
      <c r="S115" s="35"/>
      <c r="T115" s="35"/>
      <c r="U115" s="35"/>
      <c r="V115" s="35"/>
      <c r="W115" s="35"/>
      <c r="X115" s="35"/>
      <c r="Y115" s="35"/>
      <c r="Z115" s="35"/>
      <c r="AA115" s="35"/>
      <c r="AB115" s="35"/>
      <c r="AC115" s="35"/>
    </row>
    <row r="116">
      <c r="A116" s="35"/>
      <c r="B116" s="35"/>
      <c r="C116" s="35"/>
      <c r="D116" s="35"/>
      <c r="E116" s="26"/>
      <c r="F116" s="51"/>
      <c r="G116" s="51"/>
      <c r="H116" s="51"/>
      <c r="I116" s="51"/>
      <c r="J116" s="51"/>
      <c r="K116" s="51"/>
      <c r="L116" s="27"/>
      <c r="M116" s="35"/>
      <c r="N116" s="35"/>
      <c r="O116" s="35"/>
      <c r="P116" s="35"/>
      <c r="Q116" s="35"/>
      <c r="R116" s="35"/>
      <c r="S116" s="35"/>
      <c r="T116" s="35"/>
      <c r="U116" s="35"/>
      <c r="V116" s="35"/>
      <c r="W116" s="35"/>
      <c r="X116" s="35"/>
      <c r="Y116" s="35"/>
      <c r="Z116" s="35"/>
      <c r="AA116" s="35"/>
      <c r="AB116" s="35"/>
      <c r="AC116" s="35"/>
    </row>
    <row r="117">
      <c r="A117" s="35"/>
      <c r="B117" s="35"/>
      <c r="C117" s="35"/>
      <c r="D117" s="35"/>
      <c r="E117" s="26"/>
      <c r="F117" s="51"/>
      <c r="G117" s="51"/>
      <c r="H117" s="51"/>
      <c r="I117" s="51"/>
      <c r="J117" s="51"/>
      <c r="K117" s="51"/>
      <c r="L117" s="27"/>
      <c r="M117" s="35"/>
      <c r="N117" s="35"/>
      <c r="O117" s="35"/>
      <c r="P117" s="35"/>
      <c r="Q117" s="35"/>
      <c r="R117" s="35"/>
      <c r="S117" s="35"/>
      <c r="T117" s="35"/>
      <c r="U117" s="35"/>
      <c r="V117" s="35"/>
      <c r="W117" s="35"/>
      <c r="X117" s="35"/>
      <c r="Y117" s="35"/>
      <c r="Z117" s="35"/>
      <c r="AA117" s="35"/>
      <c r="AB117" s="35"/>
      <c r="AC117" s="35"/>
    </row>
    <row r="118">
      <c r="A118" s="35"/>
      <c r="B118" s="35"/>
      <c r="C118" s="35"/>
      <c r="D118" s="35"/>
      <c r="E118" s="26"/>
      <c r="F118" s="51"/>
      <c r="G118" s="51"/>
      <c r="H118" s="51"/>
      <c r="I118" s="51"/>
      <c r="J118" s="51"/>
      <c r="K118" s="51"/>
      <c r="L118" s="27"/>
      <c r="M118" s="35"/>
      <c r="N118" s="35"/>
      <c r="O118" s="35"/>
      <c r="P118" s="35"/>
      <c r="Q118" s="35"/>
      <c r="R118" s="35"/>
      <c r="S118" s="35"/>
      <c r="T118" s="35"/>
      <c r="U118" s="35"/>
      <c r="V118" s="35"/>
      <c r="W118" s="35"/>
      <c r="X118" s="35"/>
      <c r="Y118" s="35"/>
      <c r="Z118" s="35"/>
      <c r="AA118" s="35"/>
      <c r="AB118" s="35"/>
      <c r="AC118" s="35"/>
    </row>
    <row r="119">
      <c r="A119" s="35"/>
      <c r="B119" s="35"/>
      <c r="C119" s="35"/>
      <c r="D119" s="35"/>
      <c r="E119" s="26"/>
      <c r="F119" s="51"/>
      <c r="G119" s="51"/>
      <c r="H119" s="51"/>
      <c r="I119" s="51"/>
      <c r="J119" s="51"/>
      <c r="K119" s="51"/>
      <c r="L119" s="27"/>
      <c r="M119" s="35"/>
      <c r="N119" s="35"/>
      <c r="O119" s="35"/>
      <c r="P119" s="35"/>
      <c r="Q119" s="35"/>
      <c r="R119" s="35"/>
      <c r="S119" s="35"/>
      <c r="T119" s="35"/>
      <c r="U119" s="35"/>
      <c r="V119" s="35"/>
      <c r="W119" s="35"/>
      <c r="X119" s="35"/>
      <c r="Y119" s="35"/>
      <c r="Z119" s="35"/>
      <c r="AA119" s="35"/>
      <c r="AB119" s="35"/>
      <c r="AC119" s="35"/>
    </row>
    <row r="120">
      <c r="A120" s="35"/>
      <c r="B120" s="35"/>
      <c r="C120" s="35"/>
      <c r="D120" s="35"/>
      <c r="E120" s="26"/>
      <c r="F120" s="51"/>
      <c r="G120" s="51"/>
      <c r="H120" s="51"/>
      <c r="I120" s="51"/>
      <c r="J120" s="51"/>
      <c r="K120" s="51"/>
      <c r="L120" s="27"/>
      <c r="M120" s="35"/>
      <c r="N120" s="35"/>
      <c r="O120" s="35"/>
      <c r="P120" s="35"/>
      <c r="Q120" s="35"/>
      <c r="R120" s="35"/>
      <c r="S120" s="35"/>
      <c r="T120" s="35"/>
      <c r="U120" s="35"/>
      <c r="V120" s="35"/>
      <c r="W120" s="35"/>
      <c r="X120" s="35"/>
      <c r="Y120" s="35"/>
      <c r="Z120" s="35"/>
      <c r="AA120" s="35"/>
      <c r="AB120" s="35"/>
      <c r="AC120" s="35"/>
    </row>
    <row r="121">
      <c r="A121" s="35"/>
      <c r="B121" s="35"/>
      <c r="C121" s="35"/>
      <c r="D121" s="35"/>
      <c r="E121" s="26"/>
      <c r="F121" s="51"/>
      <c r="G121" s="51"/>
      <c r="H121" s="51"/>
      <c r="I121" s="51"/>
      <c r="J121" s="51"/>
      <c r="K121" s="51"/>
      <c r="L121" s="27"/>
      <c r="M121" s="35"/>
      <c r="N121" s="35"/>
      <c r="O121" s="35"/>
      <c r="P121" s="35"/>
      <c r="Q121" s="35"/>
      <c r="R121" s="35"/>
      <c r="S121" s="35"/>
      <c r="T121" s="35"/>
      <c r="U121" s="35"/>
      <c r="V121" s="35"/>
      <c r="W121" s="35"/>
      <c r="X121" s="35"/>
      <c r="Y121" s="35"/>
      <c r="Z121" s="35"/>
      <c r="AA121" s="35"/>
      <c r="AB121" s="35"/>
      <c r="AC121" s="35"/>
    </row>
    <row r="122">
      <c r="A122" s="35"/>
      <c r="B122" s="35"/>
      <c r="C122" s="35"/>
      <c r="D122" s="35"/>
      <c r="E122" s="26"/>
      <c r="F122" s="51"/>
      <c r="G122" s="51"/>
      <c r="H122" s="51"/>
      <c r="I122" s="51"/>
      <c r="J122" s="51"/>
      <c r="K122" s="51"/>
      <c r="L122" s="27"/>
      <c r="M122" s="35"/>
      <c r="N122" s="35"/>
      <c r="O122" s="35"/>
      <c r="P122" s="35"/>
      <c r="Q122" s="35"/>
      <c r="R122" s="35"/>
      <c r="S122" s="35"/>
      <c r="T122" s="35"/>
      <c r="U122" s="35"/>
      <c r="V122" s="35"/>
      <c r="W122" s="35"/>
      <c r="X122" s="35"/>
      <c r="Y122" s="35"/>
      <c r="Z122" s="35"/>
      <c r="AA122" s="35"/>
      <c r="AB122" s="35"/>
      <c r="AC122" s="35"/>
    </row>
    <row r="123">
      <c r="A123" s="35"/>
      <c r="B123" s="35"/>
      <c r="C123" s="35"/>
      <c r="D123" s="35"/>
      <c r="E123" s="26"/>
      <c r="F123" s="51"/>
      <c r="G123" s="51"/>
      <c r="H123" s="51"/>
      <c r="I123" s="51"/>
      <c r="J123" s="51"/>
      <c r="K123" s="51"/>
      <c r="L123" s="27"/>
      <c r="M123" s="35"/>
      <c r="N123" s="35"/>
      <c r="O123" s="35"/>
      <c r="P123" s="35"/>
      <c r="Q123" s="35"/>
      <c r="R123" s="35"/>
      <c r="S123" s="35"/>
      <c r="T123" s="35"/>
      <c r="U123" s="35"/>
      <c r="V123" s="35"/>
      <c r="W123" s="35"/>
      <c r="X123" s="35"/>
      <c r="Y123" s="35"/>
      <c r="Z123" s="35"/>
      <c r="AA123" s="35"/>
      <c r="AB123" s="35"/>
      <c r="AC123" s="35"/>
    </row>
    <row r="124">
      <c r="A124" s="35"/>
      <c r="B124" s="35"/>
      <c r="C124" s="35"/>
      <c r="D124" s="35"/>
      <c r="E124" s="26"/>
      <c r="F124" s="51"/>
      <c r="G124" s="51"/>
      <c r="H124" s="51"/>
      <c r="I124" s="51"/>
      <c r="J124" s="51"/>
      <c r="K124" s="51"/>
      <c r="L124" s="27"/>
      <c r="M124" s="35"/>
      <c r="N124" s="35"/>
      <c r="O124" s="35"/>
      <c r="P124" s="35"/>
      <c r="Q124" s="35"/>
      <c r="R124" s="35"/>
      <c r="S124" s="35"/>
      <c r="T124" s="35"/>
      <c r="U124" s="35"/>
      <c r="V124" s="35"/>
      <c r="W124" s="35"/>
      <c r="X124" s="35"/>
      <c r="Y124" s="35"/>
      <c r="Z124" s="35"/>
      <c r="AA124" s="35"/>
      <c r="AB124" s="35"/>
      <c r="AC124" s="35"/>
    </row>
    <row r="125">
      <c r="A125" s="35"/>
      <c r="B125" s="35"/>
      <c r="C125" s="35"/>
      <c r="D125" s="35"/>
      <c r="E125" s="26"/>
      <c r="F125" s="51"/>
      <c r="G125" s="51"/>
      <c r="H125" s="51"/>
      <c r="I125" s="51"/>
      <c r="J125" s="51"/>
      <c r="K125" s="51"/>
      <c r="L125" s="27"/>
      <c r="M125" s="35"/>
      <c r="N125" s="35"/>
      <c r="O125" s="35"/>
      <c r="P125" s="35"/>
      <c r="Q125" s="35"/>
      <c r="R125" s="35"/>
      <c r="S125" s="35"/>
      <c r="T125" s="35"/>
      <c r="U125" s="35"/>
      <c r="V125" s="35"/>
      <c r="W125" s="35"/>
      <c r="X125" s="35"/>
      <c r="Y125" s="35"/>
      <c r="Z125" s="35"/>
      <c r="AA125" s="35"/>
      <c r="AB125" s="35"/>
      <c r="AC125" s="35"/>
    </row>
    <row r="126">
      <c r="A126" s="35"/>
      <c r="B126" s="35"/>
      <c r="C126" s="35"/>
      <c r="D126" s="35"/>
      <c r="E126" s="26"/>
      <c r="F126" s="51"/>
      <c r="G126" s="51"/>
      <c r="H126" s="51"/>
      <c r="I126" s="51"/>
      <c r="J126" s="51"/>
      <c r="K126" s="51"/>
      <c r="L126" s="27"/>
      <c r="M126" s="35"/>
      <c r="N126" s="35"/>
      <c r="O126" s="35"/>
      <c r="P126" s="35"/>
      <c r="Q126" s="35"/>
      <c r="R126" s="35"/>
      <c r="S126" s="35"/>
      <c r="T126" s="35"/>
      <c r="U126" s="35"/>
      <c r="V126" s="35"/>
      <c r="W126" s="35"/>
      <c r="X126" s="35"/>
      <c r="Y126" s="35"/>
      <c r="Z126" s="35"/>
      <c r="AA126" s="35"/>
      <c r="AB126" s="35"/>
      <c r="AC126" s="35"/>
    </row>
    <row r="127">
      <c r="A127" s="35"/>
      <c r="B127" s="35"/>
      <c r="C127" s="35"/>
      <c r="D127" s="35"/>
      <c r="E127" s="26"/>
      <c r="F127" s="51"/>
      <c r="G127" s="51"/>
      <c r="H127" s="51"/>
      <c r="I127" s="51"/>
      <c r="J127" s="51"/>
      <c r="K127" s="51"/>
      <c r="L127" s="27"/>
      <c r="M127" s="35"/>
      <c r="N127" s="35"/>
      <c r="O127" s="35"/>
      <c r="P127" s="35"/>
      <c r="Q127" s="35"/>
      <c r="R127" s="35"/>
      <c r="S127" s="35"/>
      <c r="T127" s="35"/>
      <c r="U127" s="35"/>
      <c r="V127" s="35"/>
      <c r="W127" s="35"/>
      <c r="X127" s="35"/>
      <c r="Y127" s="35"/>
      <c r="Z127" s="35"/>
      <c r="AA127" s="35"/>
      <c r="AB127" s="35"/>
      <c r="AC127" s="35"/>
    </row>
    <row r="128">
      <c r="A128" s="35"/>
      <c r="B128" s="35"/>
      <c r="C128" s="35"/>
      <c r="D128" s="35"/>
      <c r="E128" s="26"/>
      <c r="F128" s="51"/>
      <c r="G128" s="51"/>
      <c r="H128" s="51"/>
      <c r="I128" s="51"/>
      <c r="J128" s="51"/>
      <c r="K128" s="51"/>
      <c r="L128" s="27"/>
      <c r="M128" s="35"/>
      <c r="N128" s="35"/>
      <c r="O128" s="35"/>
      <c r="P128" s="35"/>
      <c r="Q128" s="35"/>
      <c r="R128" s="35"/>
      <c r="S128" s="35"/>
      <c r="T128" s="35"/>
      <c r="U128" s="35"/>
      <c r="V128" s="35"/>
      <c r="W128" s="35"/>
      <c r="X128" s="35"/>
      <c r="Y128" s="35"/>
      <c r="Z128" s="35"/>
      <c r="AA128" s="35"/>
      <c r="AB128" s="35"/>
      <c r="AC128" s="35"/>
    </row>
    <row r="129">
      <c r="A129" s="35"/>
      <c r="B129" s="35"/>
      <c r="C129" s="35"/>
      <c r="D129" s="35"/>
      <c r="E129" s="26"/>
      <c r="F129" s="51"/>
      <c r="G129" s="51"/>
      <c r="H129" s="51"/>
      <c r="I129" s="51"/>
      <c r="J129" s="51"/>
      <c r="K129" s="51"/>
      <c r="L129" s="27"/>
      <c r="M129" s="35"/>
      <c r="N129" s="35"/>
      <c r="O129" s="35"/>
      <c r="P129" s="35"/>
      <c r="Q129" s="35"/>
      <c r="R129" s="35"/>
      <c r="S129" s="35"/>
      <c r="T129" s="35"/>
      <c r="U129" s="35"/>
      <c r="V129" s="35"/>
      <c r="W129" s="35"/>
      <c r="X129" s="35"/>
      <c r="Y129" s="35"/>
      <c r="Z129" s="35"/>
      <c r="AA129" s="35"/>
      <c r="AB129" s="35"/>
      <c r="AC129" s="35"/>
    </row>
    <row r="130">
      <c r="A130" s="35"/>
      <c r="B130" s="35"/>
      <c r="C130" s="35"/>
      <c r="D130" s="35"/>
      <c r="E130" s="26"/>
      <c r="F130" s="51"/>
      <c r="G130" s="51"/>
      <c r="H130" s="51"/>
      <c r="I130" s="51"/>
      <c r="J130" s="51"/>
      <c r="K130" s="51"/>
      <c r="L130" s="27"/>
      <c r="M130" s="35"/>
      <c r="N130" s="35"/>
      <c r="O130" s="35"/>
      <c r="P130" s="35"/>
      <c r="Q130" s="35"/>
      <c r="R130" s="35"/>
      <c r="S130" s="35"/>
      <c r="T130" s="35"/>
      <c r="U130" s="35"/>
      <c r="V130" s="35"/>
      <c r="W130" s="35"/>
      <c r="X130" s="35"/>
      <c r="Y130" s="35"/>
      <c r="Z130" s="35"/>
      <c r="AA130" s="35"/>
      <c r="AB130" s="35"/>
      <c r="AC130" s="35"/>
    </row>
    <row r="131">
      <c r="A131" s="35"/>
      <c r="B131" s="35"/>
      <c r="C131" s="35"/>
      <c r="D131" s="35"/>
      <c r="E131" s="26"/>
      <c r="F131" s="51"/>
      <c r="G131" s="51"/>
      <c r="H131" s="51"/>
      <c r="I131" s="51"/>
      <c r="J131" s="51"/>
      <c r="K131" s="51"/>
      <c r="L131" s="27"/>
      <c r="M131" s="35"/>
      <c r="N131" s="35"/>
      <c r="O131" s="35"/>
      <c r="P131" s="35"/>
      <c r="Q131" s="35"/>
      <c r="R131" s="35"/>
      <c r="S131" s="35"/>
      <c r="T131" s="35"/>
      <c r="U131" s="35"/>
      <c r="V131" s="35"/>
      <c r="W131" s="35"/>
      <c r="X131" s="35"/>
      <c r="Y131" s="35"/>
      <c r="Z131" s="35"/>
      <c r="AA131" s="35"/>
      <c r="AB131" s="35"/>
      <c r="AC131" s="35"/>
    </row>
    <row r="132">
      <c r="A132" s="35"/>
      <c r="B132" s="35"/>
      <c r="C132" s="35"/>
      <c r="D132" s="35"/>
      <c r="E132" s="26"/>
      <c r="F132" s="51"/>
      <c r="G132" s="51"/>
      <c r="H132" s="51"/>
      <c r="I132" s="51"/>
      <c r="J132" s="51"/>
      <c r="K132" s="51"/>
      <c r="L132" s="27"/>
      <c r="M132" s="35"/>
      <c r="N132" s="35"/>
      <c r="O132" s="35"/>
      <c r="P132" s="35"/>
      <c r="Q132" s="35"/>
      <c r="R132" s="35"/>
      <c r="S132" s="35"/>
      <c r="T132" s="35"/>
      <c r="U132" s="35"/>
      <c r="V132" s="35"/>
      <c r="W132" s="35"/>
      <c r="X132" s="35"/>
      <c r="Y132" s="35"/>
      <c r="Z132" s="35"/>
      <c r="AA132" s="35"/>
      <c r="AB132" s="35"/>
      <c r="AC132" s="35"/>
    </row>
    <row r="133">
      <c r="A133" s="35"/>
      <c r="B133" s="35"/>
      <c r="C133" s="35"/>
      <c r="D133" s="35"/>
      <c r="E133" s="26"/>
      <c r="F133" s="51"/>
      <c r="G133" s="51"/>
      <c r="H133" s="51"/>
      <c r="I133" s="51"/>
      <c r="J133" s="51"/>
      <c r="K133" s="51"/>
      <c r="L133" s="27"/>
      <c r="M133" s="35"/>
      <c r="N133" s="35"/>
      <c r="O133" s="35"/>
      <c r="P133" s="35"/>
      <c r="Q133" s="35"/>
      <c r="R133" s="35"/>
      <c r="S133" s="35"/>
      <c r="T133" s="35"/>
      <c r="U133" s="35"/>
      <c r="V133" s="35"/>
      <c r="W133" s="35"/>
      <c r="X133" s="35"/>
      <c r="Y133" s="35"/>
      <c r="Z133" s="35"/>
      <c r="AA133" s="35"/>
      <c r="AB133" s="35"/>
      <c r="AC133" s="35"/>
    </row>
    <row r="134">
      <c r="A134" s="35"/>
      <c r="B134" s="35"/>
      <c r="C134" s="35"/>
      <c r="D134" s="35"/>
      <c r="E134" s="26"/>
      <c r="F134" s="51"/>
      <c r="G134" s="51"/>
      <c r="H134" s="51"/>
      <c r="I134" s="51"/>
      <c r="J134" s="51"/>
      <c r="K134" s="51"/>
      <c r="L134" s="27"/>
      <c r="M134" s="35"/>
      <c r="N134" s="35"/>
      <c r="O134" s="35"/>
      <c r="P134" s="35"/>
      <c r="Q134" s="35"/>
      <c r="R134" s="35"/>
      <c r="S134" s="35"/>
      <c r="T134" s="35"/>
      <c r="U134" s="35"/>
      <c r="V134" s="35"/>
      <c r="W134" s="35"/>
      <c r="X134" s="35"/>
      <c r="Y134" s="35"/>
      <c r="Z134" s="35"/>
      <c r="AA134" s="35"/>
      <c r="AB134" s="35"/>
      <c r="AC134" s="35"/>
    </row>
    <row r="135">
      <c r="A135" s="35"/>
      <c r="B135" s="35"/>
      <c r="C135" s="35"/>
      <c r="D135" s="35"/>
      <c r="E135" s="26"/>
      <c r="F135" s="51"/>
      <c r="G135" s="51"/>
      <c r="H135" s="51"/>
      <c r="I135" s="51"/>
      <c r="J135" s="51"/>
      <c r="K135" s="51"/>
      <c r="L135" s="27"/>
      <c r="M135" s="35"/>
      <c r="N135" s="35"/>
      <c r="O135" s="35"/>
      <c r="P135" s="35"/>
      <c r="Q135" s="35"/>
      <c r="R135" s="35"/>
      <c r="S135" s="35"/>
      <c r="T135" s="35"/>
      <c r="U135" s="35"/>
      <c r="V135" s="35"/>
      <c r="W135" s="35"/>
      <c r="X135" s="35"/>
      <c r="Y135" s="35"/>
      <c r="Z135" s="35"/>
      <c r="AA135" s="35"/>
      <c r="AB135" s="35"/>
      <c r="AC135" s="35"/>
    </row>
    <row r="136">
      <c r="A136" s="35"/>
      <c r="B136" s="35"/>
      <c r="C136" s="35"/>
      <c r="D136" s="35"/>
      <c r="E136" s="26"/>
      <c r="F136" s="51"/>
      <c r="G136" s="51"/>
      <c r="H136" s="51"/>
      <c r="I136" s="51"/>
      <c r="J136" s="51"/>
      <c r="K136" s="51"/>
      <c r="L136" s="27"/>
      <c r="M136" s="35"/>
      <c r="N136" s="35"/>
      <c r="O136" s="35"/>
      <c r="P136" s="35"/>
      <c r="Q136" s="35"/>
      <c r="R136" s="35"/>
      <c r="S136" s="35"/>
      <c r="T136" s="35"/>
      <c r="U136" s="35"/>
      <c r="V136" s="35"/>
      <c r="W136" s="35"/>
      <c r="X136" s="35"/>
      <c r="Y136" s="35"/>
      <c r="Z136" s="35"/>
      <c r="AA136" s="35"/>
      <c r="AB136" s="35"/>
      <c r="AC136" s="35"/>
    </row>
    <row r="137">
      <c r="A137" s="35"/>
      <c r="B137" s="35"/>
      <c r="C137" s="35"/>
      <c r="D137" s="35"/>
      <c r="E137" s="26"/>
      <c r="F137" s="51"/>
      <c r="G137" s="51"/>
      <c r="H137" s="51"/>
      <c r="I137" s="51"/>
      <c r="J137" s="51"/>
      <c r="K137" s="51"/>
      <c r="L137" s="27"/>
      <c r="M137" s="35"/>
      <c r="N137" s="35"/>
      <c r="O137" s="35"/>
      <c r="P137" s="35"/>
      <c r="Q137" s="35"/>
      <c r="R137" s="35"/>
      <c r="S137" s="35"/>
      <c r="T137" s="35"/>
      <c r="U137" s="35"/>
      <c r="V137" s="35"/>
      <c r="W137" s="35"/>
      <c r="X137" s="35"/>
      <c r="Y137" s="35"/>
      <c r="Z137" s="35"/>
      <c r="AA137" s="35"/>
      <c r="AB137" s="35"/>
      <c r="AC137" s="35"/>
    </row>
    <row r="138">
      <c r="A138" s="35"/>
      <c r="B138" s="35"/>
      <c r="C138" s="35"/>
      <c r="D138" s="35"/>
      <c r="E138" s="26"/>
      <c r="F138" s="51"/>
      <c r="G138" s="51"/>
      <c r="H138" s="51"/>
      <c r="I138" s="51"/>
      <c r="J138" s="51"/>
      <c r="K138" s="51"/>
      <c r="L138" s="27"/>
      <c r="M138" s="35"/>
      <c r="N138" s="35"/>
      <c r="O138" s="35"/>
      <c r="P138" s="35"/>
      <c r="Q138" s="35"/>
      <c r="R138" s="35"/>
      <c r="S138" s="35"/>
      <c r="T138" s="35"/>
      <c r="U138" s="35"/>
      <c r="V138" s="35"/>
      <c r="W138" s="35"/>
      <c r="X138" s="35"/>
      <c r="Y138" s="35"/>
      <c r="Z138" s="35"/>
      <c r="AA138" s="35"/>
      <c r="AB138" s="35"/>
      <c r="AC138" s="35"/>
    </row>
    <row r="139">
      <c r="A139" s="35"/>
      <c r="B139" s="35"/>
      <c r="C139" s="35"/>
      <c r="D139" s="35"/>
      <c r="E139" s="26"/>
      <c r="F139" s="51"/>
      <c r="G139" s="51"/>
      <c r="H139" s="51"/>
      <c r="I139" s="51"/>
      <c r="J139" s="51"/>
      <c r="K139" s="51"/>
      <c r="L139" s="27"/>
      <c r="M139" s="35"/>
      <c r="N139" s="35"/>
      <c r="O139" s="35"/>
      <c r="P139" s="35"/>
      <c r="Q139" s="35"/>
      <c r="R139" s="35"/>
      <c r="S139" s="35"/>
      <c r="T139" s="35"/>
      <c r="U139" s="35"/>
      <c r="V139" s="35"/>
      <c r="W139" s="35"/>
      <c r="X139" s="35"/>
      <c r="Y139" s="35"/>
      <c r="Z139" s="35"/>
      <c r="AA139" s="35"/>
      <c r="AB139" s="35"/>
      <c r="AC139" s="35"/>
    </row>
    <row r="140">
      <c r="A140" s="35"/>
      <c r="B140" s="35"/>
      <c r="C140" s="35"/>
      <c r="D140" s="35"/>
      <c r="E140" s="26"/>
      <c r="F140" s="51"/>
      <c r="G140" s="51"/>
      <c r="H140" s="51"/>
      <c r="I140" s="51"/>
      <c r="J140" s="51"/>
      <c r="K140" s="51"/>
      <c r="L140" s="27"/>
      <c r="M140" s="35"/>
      <c r="N140" s="35"/>
      <c r="O140" s="35"/>
      <c r="P140" s="35"/>
      <c r="Q140" s="35"/>
      <c r="R140" s="35"/>
      <c r="S140" s="35"/>
      <c r="T140" s="35"/>
      <c r="U140" s="35"/>
      <c r="V140" s="35"/>
      <c r="W140" s="35"/>
      <c r="X140" s="35"/>
      <c r="Y140" s="35"/>
      <c r="Z140" s="35"/>
      <c r="AA140" s="35"/>
      <c r="AB140" s="35"/>
      <c r="AC140" s="35"/>
    </row>
    <row r="141">
      <c r="A141" s="35"/>
      <c r="B141" s="35"/>
      <c r="C141" s="35"/>
      <c r="D141" s="35"/>
      <c r="E141" s="26"/>
      <c r="F141" s="51"/>
      <c r="G141" s="51"/>
      <c r="H141" s="51"/>
      <c r="I141" s="51"/>
      <c r="J141" s="51"/>
      <c r="K141" s="51"/>
      <c r="L141" s="27"/>
      <c r="M141" s="35"/>
      <c r="N141" s="35"/>
      <c r="O141" s="35"/>
      <c r="P141" s="35"/>
      <c r="Q141" s="35"/>
      <c r="R141" s="35"/>
      <c r="S141" s="35"/>
      <c r="T141" s="35"/>
      <c r="U141" s="35"/>
      <c r="V141" s="35"/>
      <c r="W141" s="35"/>
      <c r="X141" s="35"/>
      <c r="Y141" s="35"/>
      <c r="Z141" s="35"/>
      <c r="AA141" s="35"/>
      <c r="AB141" s="35"/>
      <c r="AC141" s="35"/>
    </row>
    <row r="142">
      <c r="A142" s="35"/>
      <c r="B142" s="35"/>
      <c r="C142" s="35"/>
      <c r="D142" s="35"/>
      <c r="E142" s="26"/>
      <c r="F142" s="51"/>
      <c r="G142" s="51"/>
      <c r="H142" s="51"/>
      <c r="I142" s="51"/>
      <c r="J142" s="51"/>
      <c r="K142" s="51"/>
      <c r="L142" s="27"/>
      <c r="M142" s="35"/>
      <c r="N142" s="35"/>
      <c r="O142" s="35"/>
      <c r="P142" s="35"/>
      <c r="Q142" s="35"/>
      <c r="R142" s="35"/>
      <c r="S142" s="35"/>
      <c r="T142" s="35"/>
      <c r="U142" s="35"/>
      <c r="V142" s="35"/>
      <c r="W142" s="35"/>
      <c r="X142" s="35"/>
      <c r="Y142" s="35"/>
      <c r="Z142" s="35"/>
      <c r="AA142" s="35"/>
      <c r="AB142" s="35"/>
      <c r="AC142" s="35"/>
    </row>
    <row r="143">
      <c r="A143" s="35"/>
      <c r="B143" s="35"/>
      <c r="C143" s="35"/>
      <c r="D143" s="35"/>
      <c r="E143" s="26"/>
      <c r="F143" s="51"/>
      <c r="G143" s="51"/>
      <c r="H143" s="51"/>
      <c r="I143" s="51"/>
      <c r="J143" s="51"/>
      <c r="K143" s="51"/>
      <c r="L143" s="27"/>
      <c r="M143" s="35"/>
      <c r="N143" s="35"/>
      <c r="O143" s="35"/>
      <c r="P143" s="35"/>
      <c r="Q143" s="35"/>
      <c r="R143" s="35"/>
      <c r="S143" s="35"/>
      <c r="T143" s="35"/>
      <c r="U143" s="35"/>
      <c r="V143" s="35"/>
      <c r="W143" s="35"/>
      <c r="X143" s="35"/>
      <c r="Y143" s="35"/>
      <c r="Z143" s="35"/>
      <c r="AA143" s="35"/>
      <c r="AB143" s="35"/>
      <c r="AC143" s="35"/>
    </row>
    <row r="144">
      <c r="A144" s="35"/>
      <c r="B144" s="35"/>
      <c r="C144" s="35"/>
      <c r="D144" s="35"/>
      <c r="E144" s="26"/>
      <c r="F144" s="51"/>
      <c r="G144" s="51"/>
      <c r="H144" s="51"/>
      <c r="I144" s="51"/>
      <c r="J144" s="51"/>
      <c r="K144" s="51"/>
      <c r="L144" s="27"/>
      <c r="M144" s="35"/>
      <c r="N144" s="35"/>
      <c r="O144" s="35"/>
      <c r="P144" s="35"/>
      <c r="Q144" s="35"/>
      <c r="R144" s="35"/>
      <c r="S144" s="35"/>
      <c r="T144" s="35"/>
      <c r="U144" s="35"/>
      <c r="V144" s="35"/>
      <c r="W144" s="35"/>
      <c r="X144" s="35"/>
      <c r="Y144" s="35"/>
      <c r="Z144" s="35"/>
      <c r="AA144" s="35"/>
      <c r="AB144" s="35"/>
      <c r="AC144" s="35"/>
    </row>
    <row r="145">
      <c r="A145" s="35"/>
      <c r="B145" s="35"/>
      <c r="C145" s="35"/>
      <c r="D145" s="35"/>
      <c r="E145" s="26"/>
      <c r="F145" s="51"/>
      <c r="G145" s="51"/>
      <c r="H145" s="51"/>
      <c r="I145" s="51"/>
      <c r="J145" s="51"/>
      <c r="K145" s="51"/>
      <c r="L145" s="27"/>
      <c r="M145" s="35"/>
      <c r="N145" s="35"/>
      <c r="O145" s="35"/>
      <c r="P145" s="35"/>
      <c r="Q145" s="35"/>
      <c r="R145" s="35"/>
      <c r="S145" s="35"/>
      <c r="T145" s="35"/>
      <c r="U145" s="35"/>
      <c r="V145" s="35"/>
      <c r="W145" s="35"/>
      <c r="X145" s="35"/>
      <c r="Y145" s="35"/>
      <c r="Z145" s="35"/>
      <c r="AA145" s="35"/>
      <c r="AB145" s="35"/>
      <c r="AC145" s="35"/>
    </row>
    <row r="146">
      <c r="A146" s="35"/>
      <c r="B146" s="35"/>
      <c r="C146" s="35"/>
      <c r="D146" s="35"/>
      <c r="E146" s="26"/>
      <c r="F146" s="51"/>
      <c r="G146" s="51"/>
      <c r="H146" s="51"/>
      <c r="I146" s="51"/>
      <c r="J146" s="51"/>
      <c r="K146" s="51"/>
      <c r="L146" s="27"/>
      <c r="M146" s="35"/>
      <c r="N146" s="35"/>
      <c r="O146" s="35"/>
      <c r="P146" s="35"/>
      <c r="Q146" s="35"/>
      <c r="R146" s="35"/>
      <c r="S146" s="35"/>
      <c r="T146" s="35"/>
      <c r="U146" s="35"/>
      <c r="V146" s="35"/>
      <c r="W146" s="35"/>
      <c r="X146" s="35"/>
      <c r="Y146" s="35"/>
      <c r="Z146" s="35"/>
      <c r="AA146" s="35"/>
      <c r="AB146" s="35"/>
      <c r="AC146" s="35"/>
    </row>
    <row r="147">
      <c r="A147" s="35"/>
      <c r="B147" s="35"/>
      <c r="C147" s="35"/>
      <c r="D147" s="35"/>
      <c r="E147" s="26"/>
      <c r="F147" s="51"/>
      <c r="G147" s="51"/>
      <c r="H147" s="51"/>
      <c r="I147" s="51"/>
      <c r="J147" s="51"/>
      <c r="K147" s="51"/>
      <c r="L147" s="27"/>
      <c r="M147" s="35"/>
      <c r="N147" s="35"/>
      <c r="O147" s="35"/>
      <c r="P147" s="35"/>
      <c r="Q147" s="35"/>
      <c r="R147" s="35"/>
      <c r="S147" s="35"/>
      <c r="T147" s="35"/>
      <c r="U147" s="35"/>
      <c r="V147" s="35"/>
      <c r="W147" s="35"/>
      <c r="X147" s="35"/>
      <c r="Y147" s="35"/>
      <c r="Z147" s="35"/>
      <c r="AA147" s="35"/>
      <c r="AB147" s="35"/>
      <c r="AC147" s="35"/>
    </row>
    <row r="148">
      <c r="A148" s="35"/>
      <c r="B148" s="35"/>
      <c r="C148" s="35"/>
      <c r="D148" s="35"/>
      <c r="E148" s="26"/>
      <c r="F148" s="51"/>
      <c r="G148" s="51"/>
      <c r="H148" s="51"/>
      <c r="I148" s="51"/>
      <c r="J148" s="51"/>
      <c r="K148" s="51"/>
      <c r="L148" s="27"/>
      <c r="M148" s="35"/>
      <c r="N148" s="35"/>
      <c r="O148" s="35"/>
      <c r="P148" s="35"/>
      <c r="Q148" s="35"/>
      <c r="R148" s="35"/>
      <c r="S148" s="35"/>
      <c r="T148" s="35"/>
      <c r="U148" s="35"/>
      <c r="V148" s="35"/>
      <c r="W148" s="35"/>
      <c r="X148" s="35"/>
      <c r="Y148" s="35"/>
      <c r="Z148" s="35"/>
      <c r="AA148" s="35"/>
      <c r="AB148" s="35"/>
      <c r="AC148" s="35"/>
    </row>
    <row r="149">
      <c r="A149" s="35"/>
      <c r="B149" s="35"/>
      <c r="C149" s="35"/>
      <c r="D149" s="35"/>
      <c r="E149" s="26"/>
      <c r="F149" s="51"/>
      <c r="G149" s="51"/>
      <c r="H149" s="51"/>
      <c r="I149" s="51"/>
      <c r="J149" s="51"/>
      <c r="K149" s="51"/>
      <c r="L149" s="27"/>
      <c r="M149" s="35"/>
      <c r="N149" s="35"/>
      <c r="O149" s="35"/>
      <c r="P149" s="35"/>
      <c r="Q149" s="35"/>
      <c r="R149" s="35"/>
      <c r="S149" s="35"/>
      <c r="T149" s="35"/>
      <c r="U149" s="35"/>
      <c r="V149" s="35"/>
      <c r="W149" s="35"/>
      <c r="X149" s="35"/>
      <c r="Y149" s="35"/>
      <c r="Z149" s="35"/>
      <c r="AA149" s="35"/>
      <c r="AB149" s="35"/>
      <c r="AC149" s="35"/>
    </row>
    <row r="150">
      <c r="A150" s="35"/>
      <c r="B150" s="35"/>
      <c r="C150" s="35"/>
      <c r="D150" s="35"/>
      <c r="E150" s="26"/>
      <c r="F150" s="51"/>
      <c r="G150" s="51"/>
      <c r="H150" s="51"/>
      <c r="I150" s="51"/>
      <c r="J150" s="51"/>
      <c r="K150" s="51"/>
      <c r="L150" s="27"/>
      <c r="M150" s="35"/>
      <c r="N150" s="35"/>
      <c r="O150" s="35"/>
      <c r="P150" s="35"/>
      <c r="Q150" s="35"/>
      <c r="R150" s="35"/>
      <c r="S150" s="35"/>
      <c r="T150" s="35"/>
      <c r="U150" s="35"/>
      <c r="V150" s="35"/>
      <c r="W150" s="35"/>
      <c r="X150" s="35"/>
      <c r="Y150" s="35"/>
      <c r="Z150" s="35"/>
      <c r="AA150" s="35"/>
      <c r="AB150" s="35"/>
      <c r="AC150" s="35"/>
    </row>
    <row r="151">
      <c r="A151" s="35"/>
      <c r="B151" s="35"/>
      <c r="C151" s="35"/>
      <c r="D151" s="35"/>
      <c r="E151" s="26"/>
      <c r="F151" s="51"/>
      <c r="G151" s="51"/>
      <c r="H151" s="51"/>
      <c r="I151" s="51"/>
      <c r="J151" s="51"/>
      <c r="K151" s="51"/>
      <c r="L151" s="27"/>
      <c r="M151" s="35"/>
      <c r="N151" s="35"/>
      <c r="O151" s="35"/>
      <c r="P151" s="35"/>
      <c r="Q151" s="35"/>
      <c r="R151" s="35"/>
      <c r="S151" s="35"/>
      <c r="T151" s="35"/>
      <c r="U151" s="35"/>
      <c r="V151" s="35"/>
      <c r="W151" s="35"/>
      <c r="X151" s="35"/>
      <c r="Y151" s="35"/>
      <c r="Z151" s="35"/>
      <c r="AA151" s="35"/>
      <c r="AB151" s="35"/>
      <c r="AC151" s="35"/>
    </row>
    <row r="152">
      <c r="A152" s="35"/>
      <c r="B152" s="35"/>
      <c r="C152" s="35"/>
      <c r="D152" s="35"/>
      <c r="E152" s="26"/>
      <c r="F152" s="51"/>
      <c r="G152" s="51"/>
      <c r="H152" s="51"/>
      <c r="I152" s="51"/>
      <c r="J152" s="51"/>
      <c r="K152" s="51"/>
      <c r="L152" s="27"/>
      <c r="M152" s="35"/>
      <c r="N152" s="35"/>
      <c r="O152" s="35"/>
      <c r="P152" s="35"/>
      <c r="Q152" s="35"/>
      <c r="R152" s="35"/>
      <c r="S152" s="35"/>
      <c r="T152" s="35"/>
      <c r="U152" s="35"/>
      <c r="V152" s="35"/>
      <c r="W152" s="35"/>
      <c r="X152" s="35"/>
      <c r="Y152" s="35"/>
      <c r="Z152" s="35"/>
      <c r="AA152" s="35"/>
      <c r="AB152" s="35"/>
      <c r="AC152" s="35"/>
    </row>
    <row r="153">
      <c r="A153" s="35"/>
      <c r="B153" s="35"/>
      <c r="C153" s="35"/>
      <c r="D153" s="35"/>
      <c r="E153" s="26"/>
      <c r="F153" s="51"/>
      <c r="G153" s="51"/>
      <c r="H153" s="51"/>
      <c r="I153" s="51"/>
      <c r="J153" s="51"/>
      <c r="K153" s="51"/>
      <c r="L153" s="27"/>
      <c r="M153" s="35"/>
      <c r="N153" s="35"/>
      <c r="O153" s="35"/>
      <c r="P153" s="35"/>
      <c r="Q153" s="35"/>
      <c r="R153" s="35"/>
      <c r="S153" s="35"/>
      <c r="T153" s="35"/>
      <c r="U153" s="35"/>
      <c r="V153" s="35"/>
      <c r="W153" s="35"/>
      <c r="X153" s="35"/>
      <c r="Y153" s="35"/>
      <c r="Z153" s="35"/>
      <c r="AA153" s="35"/>
      <c r="AB153" s="35"/>
      <c r="AC153" s="35"/>
    </row>
    <row r="154">
      <c r="A154" s="35"/>
      <c r="B154" s="35"/>
      <c r="C154" s="35"/>
      <c r="D154" s="35"/>
      <c r="E154" s="26"/>
      <c r="F154" s="51"/>
      <c r="G154" s="51"/>
      <c r="H154" s="51"/>
      <c r="I154" s="51"/>
      <c r="J154" s="51"/>
      <c r="K154" s="51"/>
      <c r="L154" s="27"/>
      <c r="M154" s="35"/>
      <c r="N154" s="35"/>
      <c r="O154" s="35"/>
      <c r="P154" s="35"/>
      <c r="Q154" s="35"/>
      <c r="R154" s="35"/>
      <c r="S154" s="35"/>
      <c r="T154" s="35"/>
      <c r="U154" s="35"/>
      <c r="V154" s="35"/>
      <c r="W154" s="35"/>
      <c r="X154" s="35"/>
      <c r="Y154" s="35"/>
      <c r="Z154" s="35"/>
      <c r="AA154" s="35"/>
      <c r="AB154" s="35"/>
      <c r="AC154" s="35"/>
    </row>
    <row r="155">
      <c r="A155" s="35"/>
      <c r="B155" s="35"/>
      <c r="C155" s="35"/>
      <c r="D155" s="35"/>
      <c r="E155" s="26"/>
      <c r="F155" s="51"/>
      <c r="G155" s="51"/>
      <c r="H155" s="51"/>
      <c r="I155" s="51"/>
      <c r="J155" s="51"/>
      <c r="K155" s="51"/>
      <c r="L155" s="27"/>
      <c r="M155" s="35"/>
      <c r="N155" s="35"/>
      <c r="O155" s="35"/>
      <c r="P155" s="35"/>
      <c r="Q155" s="35"/>
      <c r="R155" s="35"/>
      <c r="S155" s="35"/>
      <c r="T155" s="35"/>
      <c r="U155" s="35"/>
      <c r="V155" s="35"/>
      <c r="W155" s="35"/>
      <c r="X155" s="35"/>
      <c r="Y155" s="35"/>
      <c r="Z155" s="35"/>
      <c r="AA155" s="35"/>
      <c r="AB155" s="35"/>
      <c r="AC155" s="35"/>
    </row>
    <row r="156">
      <c r="A156" s="35"/>
      <c r="B156" s="35"/>
      <c r="C156" s="35"/>
      <c r="D156" s="35"/>
      <c r="E156" s="26"/>
      <c r="F156" s="51"/>
      <c r="G156" s="51"/>
      <c r="H156" s="51"/>
      <c r="I156" s="51"/>
      <c r="J156" s="51"/>
      <c r="K156" s="51"/>
      <c r="L156" s="27"/>
      <c r="M156" s="35"/>
      <c r="N156" s="35"/>
      <c r="O156" s="35"/>
      <c r="P156" s="35"/>
      <c r="Q156" s="35"/>
      <c r="R156" s="35"/>
      <c r="S156" s="35"/>
      <c r="T156" s="35"/>
      <c r="U156" s="35"/>
      <c r="V156" s="35"/>
      <c r="W156" s="35"/>
      <c r="X156" s="35"/>
      <c r="Y156" s="35"/>
      <c r="Z156" s="35"/>
      <c r="AA156" s="35"/>
      <c r="AB156" s="35"/>
      <c r="AC156" s="35"/>
    </row>
    <row r="157">
      <c r="A157" s="35"/>
      <c r="B157" s="35"/>
      <c r="C157" s="35"/>
      <c r="D157" s="35"/>
      <c r="E157" s="26"/>
      <c r="F157" s="51"/>
      <c r="G157" s="51"/>
      <c r="H157" s="51"/>
      <c r="I157" s="51"/>
      <c r="J157" s="51"/>
      <c r="K157" s="51"/>
      <c r="L157" s="27"/>
      <c r="M157" s="35"/>
      <c r="N157" s="35"/>
      <c r="O157" s="35"/>
      <c r="P157" s="35"/>
      <c r="Q157" s="35"/>
      <c r="R157" s="35"/>
      <c r="S157" s="35"/>
      <c r="T157" s="35"/>
      <c r="U157" s="35"/>
      <c r="V157" s="35"/>
      <c r="W157" s="35"/>
      <c r="X157" s="35"/>
      <c r="Y157" s="35"/>
      <c r="Z157" s="35"/>
      <c r="AA157" s="35"/>
      <c r="AB157" s="35"/>
      <c r="AC157" s="35"/>
    </row>
    <row r="158">
      <c r="A158" s="35"/>
      <c r="B158" s="35"/>
      <c r="C158" s="35"/>
      <c r="D158" s="35"/>
      <c r="E158" s="26"/>
      <c r="F158" s="51"/>
      <c r="G158" s="51"/>
      <c r="H158" s="51"/>
      <c r="I158" s="51"/>
      <c r="J158" s="51"/>
      <c r="K158" s="51"/>
      <c r="L158" s="27"/>
      <c r="M158" s="35"/>
      <c r="N158" s="35"/>
      <c r="O158" s="35"/>
      <c r="P158" s="35"/>
      <c r="Q158" s="35"/>
      <c r="R158" s="35"/>
      <c r="S158" s="35"/>
      <c r="T158" s="35"/>
      <c r="U158" s="35"/>
      <c r="V158" s="35"/>
      <c r="W158" s="35"/>
      <c r="X158" s="35"/>
      <c r="Y158" s="35"/>
      <c r="Z158" s="35"/>
      <c r="AA158" s="35"/>
      <c r="AB158" s="35"/>
      <c r="AC158" s="35"/>
    </row>
    <row r="159">
      <c r="A159" s="35"/>
      <c r="B159" s="35"/>
      <c r="C159" s="35"/>
      <c r="D159" s="35"/>
      <c r="E159" s="26"/>
      <c r="F159" s="51"/>
      <c r="G159" s="51"/>
      <c r="H159" s="51"/>
      <c r="I159" s="51"/>
      <c r="J159" s="51"/>
      <c r="K159" s="51"/>
      <c r="L159" s="27"/>
      <c r="M159" s="35"/>
      <c r="N159" s="35"/>
      <c r="O159" s="35"/>
      <c r="P159" s="35"/>
      <c r="Q159" s="35"/>
      <c r="R159" s="35"/>
      <c r="S159" s="35"/>
      <c r="T159" s="35"/>
      <c r="U159" s="35"/>
      <c r="V159" s="35"/>
      <c r="W159" s="35"/>
      <c r="X159" s="35"/>
      <c r="Y159" s="35"/>
      <c r="Z159" s="35"/>
      <c r="AA159" s="35"/>
      <c r="AB159" s="35"/>
      <c r="AC159" s="35"/>
    </row>
    <row r="160">
      <c r="A160" s="35"/>
      <c r="B160" s="35"/>
      <c r="C160" s="35"/>
      <c r="D160" s="35"/>
      <c r="E160" s="26"/>
      <c r="F160" s="51"/>
      <c r="G160" s="51"/>
      <c r="H160" s="51"/>
      <c r="I160" s="51"/>
      <c r="J160" s="51"/>
      <c r="K160" s="51"/>
      <c r="L160" s="27"/>
      <c r="M160" s="35"/>
      <c r="N160" s="35"/>
      <c r="O160" s="35"/>
      <c r="P160" s="35"/>
      <c r="Q160" s="35"/>
      <c r="R160" s="35"/>
      <c r="S160" s="35"/>
      <c r="T160" s="35"/>
      <c r="U160" s="35"/>
      <c r="V160" s="35"/>
      <c r="W160" s="35"/>
      <c r="X160" s="35"/>
      <c r="Y160" s="35"/>
      <c r="Z160" s="35"/>
      <c r="AA160" s="35"/>
      <c r="AB160" s="35"/>
      <c r="AC160" s="35"/>
    </row>
    <row r="161">
      <c r="A161" s="35"/>
      <c r="B161" s="35"/>
      <c r="C161" s="35"/>
      <c r="D161" s="35"/>
      <c r="E161" s="26"/>
      <c r="F161" s="51"/>
      <c r="G161" s="51"/>
      <c r="H161" s="51"/>
      <c r="I161" s="51"/>
      <c r="J161" s="51"/>
      <c r="K161" s="51"/>
      <c r="L161" s="27"/>
      <c r="M161" s="35"/>
      <c r="N161" s="35"/>
      <c r="O161" s="35"/>
      <c r="P161" s="35"/>
      <c r="Q161" s="35"/>
      <c r="R161" s="35"/>
      <c r="S161" s="35"/>
      <c r="T161" s="35"/>
      <c r="U161" s="35"/>
      <c r="V161" s="35"/>
      <c r="W161" s="35"/>
      <c r="X161" s="35"/>
      <c r="Y161" s="35"/>
      <c r="Z161" s="35"/>
      <c r="AA161" s="35"/>
      <c r="AB161" s="35"/>
      <c r="AC161" s="35"/>
    </row>
    <row r="162">
      <c r="A162" s="35"/>
      <c r="B162" s="35"/>
      <c r="C162" s="35"/>
      <c r="D162" s="35"/>
      <c r="E162" s="26"/>
      <c r="F162" s="51"/>
      <c r="G162" s="51"/>
      <c r="H162" s="51"/>
      <c r="I162" s="51"/>
      <c r="J162" s="51"/>
      <c r="K162" s="51"/>
      <c r="L162" s="27"/>
      <c r="M162" s="35"/>
      <c r="N162" s="35"/>
      <c r="O162" s="35"/>
      <c r="P162" s="35"/>
      <c r="Q162" s="35"/>
      <c r="R162" s="35"/>
      <c r="S162" s="35"/>
      <c r="T162" s="35"/>
      <c r="U162" s="35"/>
      <c r="V162" s="35"/>
      <c r="W162" s="35"/>
      <c r="X162" s="35"/>
      <c r="Y162" s="35"/>
      <c r="Z162" s="35"/>
      <c r="AA162" s="35"/>
      <c r="AB162" s="35"/>
      <c r="AC162" s="35"/>
    </row>
    <row r="163">
      <c r="A163" s="35"/>
      <c r="B163" s="35"/>
      <c r="C163" s="35"/>
      <c r="D163" s="35"/>
      <c r="E163" s="26"/>
      <c r="F163" s="51"/>
      <c r="G163" s="51"/>
      <c r="H163" s="51"/>
      <c r="I163" s="51"/>
      <c r="J163" s="51"/>
      <c r="K163" s="51"/>
      <c r="L163" s="27"/>
      <c r="M163" s="35"/>
      <c r="N163" s="35"/>
      <c r="O163" s="35"/>
      <c r="P163" s="35"/>
      <c r="Q163" s="35"/>
      <c r="R163" s="35"/>
      <c r="S163" s="35"/>
      <c r="T163" s="35"/>
      <c r="U163" s="35"/>
      <c r="V163" s="35"/>
      <c r="W163" s="35"/>
      <c r="X163" s="35"/>
      <c r="Y163" s="35"/>
      <c r="Z163" s="35"/>
      <c r="AA163" s="35"/>
      <c r="AB163" s="35"/>
      <c r="AC163" s="35"/>
    </row>
    <row r="164">
      <c r="A164" s="35"/>
      <c r="B164" s="35"/>
      <c r="C164" s="35"/>
      <c r="D164" s="35"/>
      <c r="E164" s="26"/>
      <c r="F164" s="51"/>
      <c r="G164" s="51"/>
      <c r="H164" s="51"/>
      <c r="I164" s="51"/>
      <c r="J164" s="51"/>
      <c r="K164" s="51"/>
      <c r="L164" s="27"/>
      <c r="M164" s="35"/>
      <c r="N164" s="35"/>
      <c r="O164" s="35"/>
      <c r="P164" s="35"/>
      <c r="Q164" s="35"/>
      <c r="R164" s="35"/>
      <c r="S164" s="35"/>
      <c r="T164" s="35"/>
      <c r="U164" s="35"/>
      <c r="V164" s="35"/>
      <c r="W164" s="35"/>
      <c r="X164" s="35"/>
      <c r="Y164" s="35"/>
      <c r="Z164" s="35"/>
      <c r="AA164" s="35"/>
      <c r="AB164" s="35"/>
      <c r="AC164" s="35"/>
    </row>
    <row r="165">
      <c r="A165" s="35"/>
      <c r="B165" s="35"/>
      <c r="C165" s="35"/>
      <c r="D165" s="35"/>
      <c r="E165" s="26"/>
      <c r="F165" s="51"/>
      <c r="G165" s="51"/>
      <c r="H165" s="51"/>
      <c r="I165" s="51"/>
      <c r="J165" s="51"/>
      <c r="K165" s="51"/>
      <c r="L165" s="27"/>
      <c r="M165" s="35"/>
      <c r="N165" s="35"/>
      <c r="O165" s="35"/>
      <c r="P165" s="35"/>
      <c r="Q165" s="35"/>
      <c r="R165" s="35"/>
      <c r="S165" s="35"/>
      <c r="T165" s="35"/>
      <c r="U165" s="35"/>
      <c r="V165" s="35"/>
      <c r="W165" s="35"/>
      <c r="X165" s="35"/>
      <c r="Y165" s="35"/>
      <c r="Z165" s="35"/>
      <c r="AA165" s="35"/>
      <c r="AB165" s="35"/>
      <c r="AC165" s="35"/>
    </row>
    <row r="166">
      <c r="A166" s="35"/>
      <c r="B166" s="35"/>
      <c r="C166" s="35"/>
      <c r="D166" s="35"/>
      <c r="E166" s="26"/>
      <c r="F166" s="51"/>
      <c r="G166" s="51"/>
      <c r="H166" s="51"/>
      <c r="I166" s="51"/>
      <c r="J166" s="51"/>
      <c r="K166" s="51"/>
      <c r="L166" s="27"/>
      <c r="M166" s="35"/>
      <c r="N166" s="35"/>
      <c r="O166" s="35"/>
      <c r="P166" s="35"/>
      <c r="Q166" s="35"/>
      <c r="R166" s="35"/>
      <c r="S166" s="35"/>
      <c r="T166" s="35"/>
      <c r="U166" s="35"/>
      <c r="V166" s="35"/>
      <c r="W166" s="35"/>
      <c r="X166" s="35"/>
      <c r="Y166" s="35"/>
      <c r="Z166" s="35"/>
      <c r="AA166" s="35"/>
      <c r="AB166" s="35"/>
      <c r="AC166" s="35"/>
    </row>
    <row r="167">
      <c r="A167" s="35"/>
      <c r="B167" s="35"/>
      <c r="C167" s="35"/>
      <c r="D167" s="35"/>
      <c r="E167" s="26"/>
      <c r="F167" s="51"/>
      <c r="G167" s="51"/>
      <c r="H167" s="51"/>
      <c r="I167" s="51"/>
      <c r="J167" s="51"/>
      <c r="K167" s="51"/>
      <c r="L167" s="27"/>
      <c r="M167" s="35"/>
      <c r="N167" s="35"/>
      <c r="O167" s="35"/>
      <c r="P167" s="35"/>
      <c r="Q167" s="35"/>
      <c r="R167" s="35"/>
      <c r="S167" s="35"/>
      <c r="T167" s="35"/>
      <c r="U167" s="35"/>
      <c r="V167" s="35"/>
      <c r="W167" s="35"/>
      <c r="X167" s="35"/>
      <c r="Y167" s="35"/>
      <c r="Z167" s="35"/>
      <c r="AA167" s="35"/>
      <c r="AB167" s="35"/>
      <c r="AC167" s="35"/>
    </row>
    <row r="168">
      <c r="A168" s="35"/>
      <c r="B168" s="35"/>
      <c r="C168" s="35"/>
      <c r="D168" s="35"/>
      <c r="E168" s="26"/>
      <c r="F168" s="51"/>
      <c r="G168" s="51"/>
      <c r="H168" s="51"/>
      <c r="I168" s="51"/>
      <c r="J168" s="51"/>
      <c r="K168" s="51"/>
      <c r="L168" s="27"/>
      <c r="M168" s="35"/>
      <c r="N168" s="35"/>
      <c r="O168" s="35"/>
      <c r="P168" s="35"/>
      <c r="Q168" s="35"/>
      <c r="R168" s="35"/>
      <c r="S168" s="35"/>
      <c r="T168" s="35"/>
      <c r="U168" s="35"/>
      <c r="V168" s="35"/>
      <c r="W168" s="35"/>
      <c r="X168" s="35"/>
      <c r="Y168" s="35"/>
      <c r="Z168" s="35"/>
      <c r="AA168" s="35"/>
      <c r="AB168" s="35"/>
      <c r="AC168" s="35"/>
    </row>
    <row r="169">
      <c r="A169" s="35"/>
      <c r="B169" s="35"/>
      <c r="C169" s="35"/>
      <c r="D169" s="35"/>
      <c r="E169" s="26"/>
      <c r="F169" s="51"/>
      <c r="G169" s="51"/>
      <c r="H169" s="51"/>
      <c r="I169" s="51"/>
      <c r="J169" s="51"/>
      <c r="K169" s="51"/>
      <c r="L169" s="27"/>
      <c r="M169" s="35"/>
      <c r="N169" s="35"/>
      <c r="O169" s="35"/>
      <c r="P169" s="35"/>
      <c r="Q169" s="35"/>
      <c r="R169" s="35"/>
      <c r="S169" s="35"/>
      <c r="T169" s="35"/>
      <c r="U169" s="35"/>
      <c r="V169" s="35"/>
      <c r="W169" s="35"/>
      <c r="X169" s="35"/>
      <c r="Y169" s="35"/>
      <c r="Z169" s="35"/>
      <c r="AA169" s="35"/>
      <c r="AB169" s="35"/>
      <c r="AC169" s="35"/>
    </row>
    <row r="170">
      <c r="A170" s="35"/>
      <c r="B170" s="35"/>
      <c r="C170" s="35"/>
      <c r="D170" s="35"/>
      <c r="E170" s="26"/>
      <c r="F170" s="51"/>
      <c r="G170" s="51"/>
      <c r="H170" s="51"/>
      <c r="I170" s="51"/>
      <c r="J170" s="51"/>
      <c r="K170" s="51"/>
      <c r="L170" s="27"/>
      <c r="M170" s="35"/>
      <c r="N170" s="35"/>
      <c r="O170" s="35"/>
      <c r="P170" s="35"/>
      <c r="Q170" s="35"/>
      <c r="R170" s="35"/>
      <c r="S170" s="35"/>
      <c r="T170" s="35"/>
      <c r="U170" s="35"/>
      <c r="V170" s="35"/>
      <c r="W170" s="35"/>
      <c r="X170" s="35"/>
      <c r="Y170" s="35"/>
      <c r="Z170" s="35"/>
      <c r="AA170" s="35"/>
      <c r="AB170" s="35"/>
      <c r="AC170" s="35"/>
    </row>
    <row r="171">
      <c r="A171" s="35"/>
      <c r="B171" s="35"/>
      <c r="C171" s="35"/>
      <c r="D171" s="35"/>
      <c r="E171" s="26"/>
      <c r="F171" s="51"/>
      <c r="G171" s="51"/>
      <c r="H171" s="51"/>
      <c r="I171" s="51"/>
      <c r="J171" s="51"/>
      <c r="K171" s="51"/>
      <c r="L171" s="27"/>
      <c r="M171" s="35"/>
      <c r="N171" s="35"/>
      <c r="O171" s="35"/>
      <c r="P171" s="35"/>
      <c r="Q171" s="35"/>
      <c r="R171" s="35"/>
      <c r="S171" s="35"/>
      <c r="T171" s="35"/>
      <c r="U171" s="35"/>
      <c r="V171" s="35"/>
      <c r="W171" s="35"/>
      <c r="X171" s="35"/>
      <c r="Y171" s="35"/>
      <c r="Z171" s="35"/>
      <c r="AA171" s="35"/>
      <c r="AB171" s="35"/>
      <c r="AC171" s="35"/>
    </row>
    <row r="172">
      <c r="A172" s="35"/>
      <c r="B172" s="35"/>
      <c r="C172" s="35"/>
      <c r="D172" s="35"/>
      <c r="E172" s="26"/>
      <c r="F172" s="51"/>
      <c r="G172" s="51"/>
      <c r="H172" s="51"/>
      <c r="I172" s="51"/>
      <c r="J172" s="51"/>
      <c r="K172" s="51"/>
      <c r="L172" s="27"/>
      <c r="M172" s="35"/>
      <c r="N172" s="35"/>
      <c r="O172" s="35"/>
      <c r="P172" s="35"/>
      <c r="Q172" s="35"/>
      <c r="R172" s="35"/>
      <c r="S172" s="35"/>
      <c r="T172" s="35"/>
      <c r="U172" s="35"/>
      <c r="V172" s="35"/>
      <c r="W172" s="35"/>
      <c r="X172" s="35"/>
      <c r="Y172" s="35"/>
      <c r="Z172" s="35"/>
      <c r="AA172" s="35"/>
      <c r="AB172" s="35"/>
      <c r="AC172" s="35"/>
    </row>
    <row r="173">
      <c r="A173" s="35"/>
      <c r="B173" s="35"/>
      <c r="C173" s="35"/>
      <c r="D173" s="35"/>
      <c r="E173" s="26"/>
      <c r="F173" s="51"/>
      <c r="G173" s="51"/>
      <c r="H173" s="51"/>
      <c r="I173" s="51"/>
      <c r="J173" s="51"/>
      <c r="K173" s="51"/>
      <c r="L173" s="27"/>
      <c r="M173" s="35"/>
      <c r="N173" s="35"/>
      <c r="O173" s="35"/>
      <c r="P173" s="35"/>
      <c r="Q173" s="35"/>
      <c r="R173" s="35"/>
      <c r="S173" s="35"/>
      <c r="T173" s="35"/>
      <c r="U173" s="35"/>
      <c r="V173" s="35"/>
      <c r="W173" s="35"/>
      <c r="X173" s="35"/>
      <c r="Y173" s="35"/>
      <c r="Z173" s="35"/>
      <c r="AA173" s="35"/>
      <c r="AB173" s="35"/>
      <c r="AC173" s="35"/>
    </row>
    <row r="174">
      <c r="A174" s="35"/>
      <c r="B174" s="35"/>
      <c r="C174" s="35"/>
      <c r="D174" s="35"/>
      <c r="E174" s="26"/>
      <c r="F174" s="51"/>
      <c r="G174" s="51"/>
      <c r="H174" s="51"/>
      <c r="I174" s="51"/>
      <c r="J174" s="51"/>
      <c r="K174" s="51"/>
      <c r="L174" s="27"/>
      <c r="M174" s="35"/>
      <c r="N174" s="35"/>
      <c r="O174" s="35"/>
      <c r="P174" s="35"/>
      <c r="Q174" s="35"/>
      <c r="R174" s="35"/>
      <c r="S174" s="35"/>
      <c r="T174" s="35"/>
      <c r="U174" s="35"/>
      <c r="V174" s="35"/>
      <c r="W174" s="35"/>
      <c r="X174" s="35"/>
      <c r="Y174" s="35"/>
      <c r="Z174" s="35"/>
      <c r="AA174" s="35"/>
      <c r="AB174" s="35"/>
      <c r="AC174" s="35"/>
    </row>
    <row r="175">
      <c r="A175" s="35"/>
      <c r="B175" s="35"/>
      <c r="C175" s="35"/>
      <c r="D175" s="35"/>
      <c r="E175" s="26"/>
      <c r="F175" s="51"/>
      <c r="G175" s="51"/>
      <c r="H175" s="51"/>
      <c r="I175" s="51"/>
      <c r="J175" s="51"/>
      <c r="K175" s="51"/>
      <c r="L175" s="27"/>
      <c r="M175" s="35"/>
      <c r="N175" s="35"/>
      <c r="O175" s="35"/>
      <c r="P175" s="35"/>
      <c r="Q175" s="35"/>
      <c r="R175" s="35"/>
      <c r="S175" s="35"/>
      <c r="T175" s="35"/>
      <c r="U175" s="35"/>
      <c r="V175" s="35"/>
      <c r="W175" s="35"/>
      <c r="X175" s="35"/>
      <c r="Y175" s="35"/>
      <c r="Z175" s="35"/>
      <c r="AA175" s="35"/>
      <c r="AB175" s="35"/>
      <c r="AC175" s="35"/>
    </row>
    <row r="176">
      <c r="A176" s="35"/>
      <c r="B176" s="35"/>
      <c r="C176" s="35"/>
      <c r="D176" s="35"/>
      <c r="E176" s="26"/>
      <c r="F176" s="51"/>
      <c r="G176" s="51"/>
      <c r="H176" s="51"/>
      <c r="I176" s="51"/>
      <c r="J176" s="51"/>
      <c r="K176" s="51"/>
      <c r="L176" s="27"/>
      <c r="M176" s="35"/>
      <c r="N176" s="35"/>
      <c r="O176" s="35"/>
      <c r="P176" s="35"/>
      <c r="Q176" s="35"/>
      <c r="R176" s="35"/>
      <c r="S176" s="35"/>
      <c r="T176" s="35"/>
      <c r="U176" s="35"/>
      <c r="V176" s="35"/>
      <c r="W176" s="35"/>
      <c r="X176" s="35"/>
      <c r="Y176" s="35"/>
      <c r="Z176" s="35"/>
      <c r="AA176" s="35"/>
      <c r="AB176" s="35"/>
      <c r="AC176" s="35"/>
    </row>
    <row r="177">
      <c r="A177" s="35"/>
      <c r="B177" s="35"/>
      <c r="C177" s="35"/>
      <c r="D177" s="35"/>
      <c r="E177" s="26"/>
      <c r="F177" s="51"/>
      <c r="G177" s="51"/>
      <c r="H177" s="51"/>
      <c r="I177" s="51"/>
      <c r="J177" s="51"/>
      <c r="K177" s="51"/>
      <c r="L177" s="27"/>
      <c r="M177" s="35"/>
      <c r="N177" s="35"/>
      <c r="O177" s="35"/>
      <c r="P177" s="35"/>
      <c r="Q177" s="35"/>
      <c r="R177" s="35"/>
      <c r="S177" s="35"/>
      <c r="T177" s="35"/>
      <c r="U177" s="35"/>
      <c r="V177" s="35"/>
      <c r="W177" s="35"/>
      <c r="X177" s="35"/>
      <c r="Y177" s="35"/>
      <c r="Z177" s="35"/>
      <c r="AA177" s="35"/>
      <c r="AB177" s="35"/>
      <c r="AC177" s="35"/>
    </row>
    <row r="178">
      <c r="A178" s="35"/>
      <c r="B178" s="35"/>
      <c r="C178" s="35"/>
      <c r="D178" s="35"/>
      <c r="E178" s="26"/>
      <c r="F178" s="51"/>
      <c r="G178" s="51"/>
      <c r="H178" s="51"/>
      <c r="I178" s="51"/>
      <c r="J178" s="51"/>
      <c r="K178" s="51"/>
      <c r="L178" s="27"/>
      <c r="M178" s="35"/>
      <c r="N178" s="35"/>
      <c r="O178" s="35"/>
      <c r="P178" s="35"/>
      <c r="Q178" s="35"/>
      <c r="R178" s="35"/>
      <c r="S178" s="35"/>
      <c r="T178" s="35"/>
      <c r="U178" s="35"/>
      <c r="V178" s="35"/>
      <c r="W178" s="35"/>
      <c r="X178" s="35"/>
      <c r="Y178" s="35"/>
      <c r="Z178" s="35"/>
      <c r="AA178" s="35"/>
      <c r="AB178" s="35"/>
      <c r="AC178" s="35"/>
    </row>
    <row r="179">
      <c r="A179" s="35"/>
      <c r="B179" s="35"/>
      <c r="C179" s="35"/>
      <c r="D179" s="35"/>
      <c r="E179" s="26"/>
      <c r="F179" s="51"/>
      <c r="G179" s="51"/>
      <c r="H179" s="51"/>
      <c r="I179" s="51"/>
      <c r="J179" s="51"/>
      <c r="K179" s="51"/>
      <c r="L179" s="27"/>
      <c r="M179" s="35"/>
      <c r="N179" s="35"/>
      <c r="O179" s="35"/>
      <c r="P179" s="35"/>
      <c r="Q179" s="35"/>
      <c r="R179" s="35"/>
      <c r="S179" s="35"/>
      <c r="T179" s="35"/>
      <c r="U179" s="35"/>
      <c r="V179" s="35"/>
      <c r="W179" s="35"/>
      <c r="X179" s="35"/>
      <c r="Y179" s="35"/>
      <c r="Z179" s="35"/>
      <c r="AA179" s="35"/>
      <c r="AB179" s="35"/>
      <c r="AC179" s="35"/>
    </row>
    <row r="180">
      <c r="A180" s="35"/>
      <c r="B180" s="35"/>
      <c r="C180" s="35"/>
      <c r="D180" s="35"/>
      <c r="E180" s="26"/>
      <c r="F180" s="51"/>
      <c r="G180" s="51"/>
      <c r="H180" s="51"/>
      <c r="I180" s="51"/>
      <c r="J180" s="51"/>
      <c r="K180" s="51"/>
      <c r="L180" s="27"/>
      <c r="M180" s="35"/>
      <c r="N180" s="35"/>
      <c r="O180" s="35"/>
      <c r="P180" s="35"/>
      <c r="Q180" s="35"/>
      <c r="R180" s="35"/>
      <c r="S180" s="35"/>
      <c r="T180" s="35"/>
      <c r="U180" s="35"/>
      <c r="V180" s="35"/>
      <c r="W180" s="35"/>
      <c r="X180" s="35"/>
      <c r="Y180" s="35"/>
      <c r="Z180" s="35"/>
      <c r="AA180" s="35"/>
      <c r="AB180" s="35"/>
      <c r="AC180" s="35"/>
    </row>
    <row r="181">
      <c r="A181" s="35"/>
      <c r="B181" s="35"/>
      <c r="C181" s="35"/>
      <c r="D181" s="35"/>
      <c r="E181" s="26"/>
      <c r="F181" s="51"/>
      <c r="G181" s="51"/>
      <c r="H181" s="51"/>
      <c r="I181" s="51"/>
      <c r="J181" s="51"/>
      <c r="K181" s="51"/>
      <c r="L181" s="27"/>
      <c r="M181" s="35"/>
      <c r="N181" s="35"/>
      <c r="O181" s="35"/>
      <c r="P181" s="35"/>
      <c r="Q181" s="35"/>
      <c r="R181" s="35"/>
      <c r="S181" s="35"/>
      <c r="T181" s="35"/>
      <c r="U181" s="35"/>
      <c r="V181" s="35"/>
      <c r="W181" s="35"/>
      <c r="X181" s="35"/>
      <c r="Y181" s="35"/>
      <c r="Z181" s="35"/>
      <c r="AA181" s="35"/>
      <c r="AB181" s="35"/>
      <c r="AC181" s="35"/>
    </row>
    <row r="182">
      <c r="A182" s="35"/>
      <c r="B182" s="35"/>
      <c r="C182" s="35"/>
      <c r="D182" s="35"/>
      <c r="E182" s="26"/>
      <c r="F182" s="51"/>
      <c r="G182" s="51"/>
      <c r="H182" s="51"/>
      <c r="I182" s="51"/>
      <c r="J182" s="51"/>
      <c r="K182" s="51"/>
      <c r="L182" s="27"/>
      <c r="M182" s="35"/>
      <c r="N182" s="35"/>
      <c r="O182" s="35"/>
      <c r="P182" s="35"/>
      <c r="Q182" s="35"/>
      <c r="R182" s="35"/>
      <c r="S182" s="35"/>
      <c r="T182" s="35"/>
      <c r="U182" s="35"/>
      <c r="V182" s="35"/>
      <c r="W182" s="35"/>
      <c r="X182" s="35"/>
      <c r="Y182" s="35"/>
      <c r="Z182" s="35"/>
      <c r="AA182" s="35"/>
      <c r="AB182" s="35"/>
      <c r="AC182" s="35"/>
    </row>
    <row r="183">
      <c r="A183" s="35"/>
      <c r="B183" s="35"/>
      <c r="C183" s="35"/>
      <c r="D183" s="35"/>
      <c r="E183" s="26"/>
      <c r="F183" s="51"/>
      <c r="G183" s="51"/>
      <c r="H183" s="51"/>
      <c r="I183" s="51"/>
      <c r="J183" s="51"/>
      <c r="K183" s="51"/>
      <c r="L183" s="27"/>
      <c r="M183" s="35"/>
      <c r="N183" s="35"/>
      <c r="O183" s="35"/>
      <c r="P183" s="35"/>
      <c r="Q183" s="35"/>
      <c r="R183" s="35"/>
      <c r="S183" s="35"/>
      <c r="T183" s="35"/>
      <c r="U183" s="35"/>
      <c r="V183" s="35"/>
      <c r="W183" s="35"/>
      <c r="X183" s="35"/>
      <c r="Y183" s="35"/>
      <c r="Z183" s="35"/>
      <c r="AA183" s="35"/>
      <c r="AB183" s="35"/>
      <c r="AC183" s="35"/>
    </row>
    <row r="184">
      <c r="A184" s="35"/>
      <c r="B184" s="35"/>
      <c r="C184" s="35"/>
      <c r="D184" s="35"/>
      <c r="E184" s="26"/>
      <c r="F184" s="51"/>
      <c r="G184" s="51"/>
      <c r="H184" s="51"/>
      <c r="I184" s="51"/>
      <c r="J184" s="51"/>
      <c r="K184" s="51"/>
      <c r="L184" s="27"/>
      <c r="M184" s="35"/>
      <c r="N184" s="35"/>
      <c r="O184" s="35"/>
      <c r="P184" s="35"/>
      <c r="Q184" s="35"/>
      <c r="R184" s="35"/>
      <c r="S184" s="35"/>
      <c r="T184" s="35"/>
      <c r="U184" s="35"/>
      <c r="V184" s="35"/>
      <c r="W184" s="35"/>
      <c r="X184" s="35"/>
      <c r="Y184" s="35"/>
      <c r="Z184" s="35"/>
      <c r="AA184" s="35"/>
      <c r="AB184" s="35"/>
      <c r="AC184" s="35"/>
    </row>
    <row r="185">
      <c r="A185" s="35"/>
      <c r="B185" s="35"/>
      <c r="C185" s="35"/>
      <c r="D185" s="35"/>
      <c r="E185" s="26"/>
      <c r="F185" s="51"/>
      <c r="G185" s="51"/>
      <c r="H185" s="51"/>
      <c r="I185" s="51"/>
      <c r="J185" s="51"/>
      <c r="K185" s="51"/>
      <c r="L185" s="27"/>
      <c r="M185" s="35"/>
      <c r="N185" s="35"/>
      <c r="O185" s="35"/>
      <c r="P185" s="35"/>
      <c r="Q185" s="35"/>
      <c r="R185" s="35"/>
      <c r="S185" s="35"/>
      <c r="T185" s="35"/>
      <c r="U185" s="35"/>
      <c r="V185" s="35"/>
      <c r="W185" s="35"/>
      <c r="X185" s="35"/>
      <c r="Y185" s="35"/>
      <c r="Z185" s="35"/>
      <c r="AA185" s="35"/>
      <c r="AB185" s="35"/>
      <c r="AC185" s="35"/>
    </row>
    <row r="186">
      <c r="A186" s="35"/>
      <c r="B186" s="35"/>
      <c r="C186" s="35"/>
      <c r="D186" s="35"/>
      <c r="E186" s="26"/>
      <c r="F186" s="51"/>
      <c r="G186" s="51"/>
      <c r="H186" s="51"/>
      <c r="I186" s="51"/>
      <c r="J186" s="51"/>
      <c r="K186" s="51"/>
      <c r="L186" s="27"/>
      <c r="M186" s="35"/>
      <c r="N186" s="35"/>
      <c r="O186" s="35"/>
      <c r="P186" s="35"/>
      <c r="Q186" s="35"/>
      <c r="R186" s="35"/>
      <c r="S186" s="35"/>
      <c r="T186" s="35"/>
      <c r="U186" s="35"/>
      <c r="V186" s="35"/>
      <c r="W186" s="35"/>
      <c r="X186" s="35"/>
      <c r="Y186" s="35"/>
      <c r="Z186" s="35"/>
      <c r="AA186" s="35"/>
      <c r="AB186" s="35"/>
      <c r="AC186" s="35"/>
    </row>
    <row r="187">
      <c r="A187" s="35"/>
      <c r="B187" s="35"/>
      <c r="C187" s="35"/>
      <c r="D187" s="35"/>
      <c r="E187" s="26"/>
      <c r="F187" s="51"/>
      <c r="G187" s="51"/>
      <c r="H187" s="51"/>
      <c r="I187" s="51"/>
      <c r="J187" s="51"/>
      <c r="K187" s="51"/>
      <c r="L187" s="27"/>
      <c r="M187" s="35"/>
      <c r="N187" s="35"/>
      <c r="O187" s="35"/>
      <c r="P187" s="35"/>
      <c r="Q187" s="35"/>
      <c r="R187" s="35"/>
      <c r="S187" s="35"/>
      <c r="T187" s="35"/>
      <c r="U187" s="35"/>
      <c r="V187" s="35"/>
      <c r="W187" s="35"/>
      <c r="X187" s="35"/>
      <c r="Y187" s="35"/>
      <c r="Z187" s="35"/>
      <c r="AA187" s="35"/>
      <c r="AB187" s="35"/>
      <c r="AC187" s="35"/>
    </row>
    <row r="188">
      <c r="A188" s="35"/>
      <c r="B188" s="35"/>
      <c r="C188" s="35"/>
      <c r="D188" s="35"/>
      <c r="E188" s="26"/>
      <c r="F188" s="51"/>
      <c r="G188" s="51"/>
      <c r="H188" s="51"/>
      <c r="I188" s="51"/>
      <c r="J188" s="51"/>
      <c r="K188" s="51"/>
      <c r="L188" s="27"/>
      <c r="M188" s="35"/>
      <c r="N188" s="35"/>
      <c r="O188" s="35"/>
      <c r="P188" s="35"/>
      <c r="Q188" s="35"/>
      <c r="R188" s="35"/>
      <c r="S188" s="35"/>
      <c r="T188" s="35"/>
      <c r="U188" s="35"/>
      <c r="V188" s="35"/>
      <c r="W188" s="35"/>
      <c r="X188" s="35"/>
      <c r="Y188" s="35"/>
      <c r="Z188" s="35"/>
      <c r="AA188" s="35"/>
      <c r="AB188" s="35"/>
      <c r="AC188" s="35"/>
    </row>
    <row r="189">
      <c r="A189" s="35"/>
      <c r="B189" s="35"/>
      <c r="C189" s="35"/>
      <c r="D189" s="35"/>
      <c r="E189" s="26"/>
      <c r="F189" s="51"/>
      <c r="G189" s="51"/>
      <c r="H189" s="51"/>
      <c r="I189" s="51"/>
      <c r="J189" s="51"/>
      <c r="K189" s="51"/>
      <c r="L189" s="27"/>
      <c r="M189" s="35"/>
      <c r="N189" s="35"/>
      <c r="O189" s="35"/>
      <c r="P189" s="35"/>
      <c r="Q189" s="35"/>
      <c r="R189" s="35"/>
      <c r="S189" s="35"/>
      <c r="T189" s="35"/>
      <c r="U189" s="35"/>
      <c r="V189" s="35"/>
      <c r="W189" s="35"/>
      <c r="X189" s="35"/>
      <c r="Y189" s="35"/>
      <c r="Z189" s="35"/>
      <c r="AA189" s="35"/>
      <c r="AB189" s="35"/>
      <c r="AC189" s="35"/>
    </row>
    <row r="190">
      <c r="A190" s="35"/>
      <c r="B190" s="35"/>
      <c r="C190" s="35"/>
      <c r="D190" s="35"/>
      <c r="E190" s="26"/>
      <c r="F190" s="51"/>
      <c r="G190" s="51"/>
      <c r="H190" s="51"/>
      <c r="I190" s="51"/>
      <c r="J190" s="51"/>
      <c r="K190" s="51"/>
      <c r="L190" s="27"/>
      <c r="M190" s="35"/>
      <c r="N190" s="35"/>
      <c r="O190" s="35"/>
      <c r="P190" s="35"/>
      <c r="Q190" s="35"/>
      <c r="R190" s="35"/>
      <c r="S190" s="35"/>
      <c r="T190" s="35"/>
      <c r="U190" s="35"/>
      <c r="V190" s="35"/>
      <c r="W190" s="35"/>
      <c r="X190" s="35"/>
      <c r="Y190" s="35"/>
      <c r="Z190" s="35"/>
      <c r="AA190" s="35"/>
      <c r="AB190" s="35"/>
      <c r="AC190" s="35"/>
    </row>
    <row r="191">
      <c r="A191" s="35"/>
      <c r="B191" s="35"/>
      <c r="C191" s="35"/>
      <c r="D191" s="35"/>
      <c r="E191" s="26"/>
      <c r="F191" s="51"/>
      <c r="G191" s="51"/>
      <c r="H191" s="51"/>
      <c r="I191" s="51"/>
      <c r="J191" s="51"/>
      <c r="K191" s="51"/>
      <c r="L191" s="27"/>
      <c r="M191" s="35"/>
      <c r="N191" s="35"/>
      <c r="O191" s="35"/>
      <c r="P191" s="35"/>
      <c r="Q191" s="35"/>
      <c r="R191" s="35"/>
      <c r="S191" s="35"/>
      <c r="T191" s="35"/>
      <c r="U191" s="35"/>
      <c r="V191" s="35"/>
      <c r="W191" s="35"/>
      <c r="X191" s="35"/>
      <c r="Y191" s="35"/>
      <c r="Z191" s="35"/>
      <c r="AA191" s="35"/>
      <c r="AB191" s="35"/>
      <c r="AC191" s="35"/>
    </row>
    <row r="192">
      <c r="A192" s="35"/>
      <c r="B192" s="35"/>
      <c r="C192" s="35"/>
      <c r="D192" s="35"/>
      <c r="E192" s="26"/>
      <c r="F192" s="51"/>
      <c r="G192" s="51"/>
      <c r="H192" s="51"/>
      <c r="I192" s="51"/>
      <c r="J192" s="51"/>
      <c r="K192" s="51"/>
      <c r="L192" s="27"/>
      <c r="M192" s="35"/>
      <c r="N192" s="35"/>
      <c r="O192" s="35"/>
      <c r="P192" s="35"/>
      <c r="Q192" s="35"/>
      <c r="R192" s="35"/>
      <c r="S192" s="35"/>
      <c r="T192" s="35"/>
      <c r="U192" s="35"/>
      <c r="V192" s="35"/>
      <c r="W192" s="35"/>
      <c r="X192" s="35"/>
      <c r="Y192" s="35"/>
      <c r="Z192" s="35"/>
      <c r="AA192" s="35"/>
      <c r="AB192" s="35"/>
      <c r="AC192" s="35"/>
    </row>
    <row r="193">
      <c r="A193" s="35"/>
      <c r="B193" s="35"/>
      <c r="C193" s="35"/>
      <c r="D193" s="35"/>
      <c r="E193" s="26"/>
      <c r="F193" s="51"/>
      <c r="G193" s="51"/>
      <c r="H193" s="51"/>
      <c r="I193" s="51"/>
      <c r="J193" s="51"/>
      <c r="K193" s="51"/>
      <c r="L193" s="27"/>
      <c r="M193" s="35"/>
      <c r="N193" s="35"/>
      <c r="O193" s="35"/>
      <c r="P193" s="35"/>
      <c r="Q193" s="35"/>
      <c r="R193" s="35"/>
      <c r="S193" s="35"/>
      <c r="T193" s="35"/>
      <c r="U193" s="35"/>
      <c r="V193" s="35"/>
      <c r="W193" s="35"/>
      <c r="X193" s="35"/>
      <c r="Y193" s="35"/>
      <c r="Z193" s="35"/>
      <c r="AA193" s="35"/>
      <c r="AB193" s="35"/>
      <c r="AC193" s="35"/>
    </row>
    <row r="194">
      <c r="A194" s="35"/>
      <c r="B194" s="35"/>
      <c r="C194" s="35"/>
      <c r="D194" s="35"/>
      <c r="E194" s="26"/>
      <c r="F194" s="51"/>
      <c r="G194" s="51"/>
      <c r="H194" s="51"/>
      <c r="I194" s="51"/>
      <c r="J194" s="51"/>
      <c r="K194" s="51"/>
      <c r="L194" s="27"/>
      <c r="M194" s="35"/>
      <c r="N194" s="35"/>
      <c r="O194" s="35"/>
      <c r="P194" s="35"/>
      <c r="Q194" s="35"/>
      <c r="R194" s="35"/>
      <c r="S194" s="35"/>
      <c r="T194" s="35"/>
      <c r="U194" s="35"/>
      <c r="V194" s="35"/>
      <c r="W194" s="35"/>
      <c r="X194" s="35"/>
      <c r="Y194" s="35"/>
      <c r="Z194" s="35"/>
      <c r="AA194" s="35"/>
      <c r="AB194" s="35"/>
      <c r="AC194" s="35"/>
    </row>
    <row r="195">
      <c r="A195" s="35"/>
      <c r="B195" s="35"/>
      <c r="C195" s="35"/>
      <c r="D195" s="35"/>
      <c r="E195" s="26"/>
      <c r="F195" s="51"/>
      <c r="G195" s="51"/>
      <c r="H195" s="51"/>
      <c r="I195" s="51"/>
      <c r="J195" s="51"/>
      <c r="K195" s="51"/>
      <c r="L195" s="27"/>
      <c r="M195" s="35"/>
      <c r="N195" s="35"/>
      <c r="O195" s="35"/>
      <c r="P195" s="35"/>
      <c r="Q195" s="35"/>
      <c r="R195" s="35"/>
      <c r="S195" s="35"/>
      <c r="T195" s="35"/>
      <c r="U195" s="35"/>
      <c r="V195" s="35"/>
      <c r="W195" s="35"/>
      <c r="X195" s="35"/>
      <c r="Y195" s="35"/>
      <c r="Z195" s="35"/>
      <c r="AA195" s="35"/>
      <c r="AB195" s="35"/>
      <c r="AC195" s="35"/>
    </row>
    <row r="196">
      <c r="A196" s="35"/>
      <c r="B196" s="35"/>
      <c r="C196" s="35"/>
      <c r="D196" s="35"/>
      <c r="E196" s="26"/>
      <c r="F196" s="51"/>
      <c r="G196" s="51"/>
      <c r="H196" s="51"/>
      <c r="I196" s="51"/>
      <c r="J196" s="51"/>
      <c r="K196" s="51"/>
      <c r="L196" s="27"/>
      <c r="M196" s="35"/>
      <c r="N196" s="35"/>
      <c r="O196" s="35"/>
      <c r="P196" s="35"/>
      <c r="Q196" s="35"/>
      <c r="R196" s="35"/>
      <c r="S196" s="35"/>
      <c r="T196" s="35"/>
      <c r="U196" s="35"/>
      <c r="V196" s="35"/>
      <c r="W196" s="35"/>
      <c r="X196" s="35"/>
      <c r="Y196" s="35"/>
      <c r="Z196" s="35"/>
      <c r="AA196" s="35"/>
      <c r="AB196" s="35"/>
      <c r="AC196" s="35"/>
    </row>
    <row r="197">
      <c r="A197" s="35"/>
      <c r="B197" s="35"/>
      <c r="C197" s="35"/>
      <c r="D197" s="35"/>
      <c r="E197" s="26"/>
      <c r="F197" s="51"/>
      <c r="G197" s="51"/>
      <c r="H197" s="51"/>
      <c r="I197" s="51"/>
      <c r="J197" s="51"/>
      <c r="K197" s="51"/>
      <c r="L197" s="27"/>
      <c r="M197" s="35"/>
      <c r="N197" s="35"/>
      <c r="O197" s="35"/>
      <c r="P197" s="35"/>
      <c r="Q197" s="35"/>
      <c r="R197" s="35"/>
      <c r="S197" s="35"/>
      <c r="T197" s="35"/>
      <c r="U197" s="35"/>
      <c r="V197" s="35"/>
      <c r="W197" s="35"/>
      <c r="X197" s="35"/>
      <c r="Y197" s="35"/>
      <c r="Z197" s="35"/>
      <c r="AA197" s="35"/>
      <c r="AB197" s="35"/>
      <c r="AC197" s="35"/>
    </row>
    <row r="198">
      <c r="A198" s="35"/>
      <c r="B198" s="35"/>
      <c r="C198" s="35"/>
      <c r="D198" s="35"/>
      <c r="E198" s="26"/>
      <c r="F198" s="51"/>
      <c r="G198" s="51"/>
      <c r="H198" s="51"/>
      <c r="I198" s="51"/>
      <c r="J198" s="51"/>
      <c r="K198" s="51"/>
      <c r="L198" s="27"/>
      <c r="M198" s="35"/>
      <c r="N198" s="35"/>
      <c r="O198" s="35"/>
      <c r="P198" s="35"/>
      <c r="Q198" s="35"/>
      <c r="R198" s="35"/>
      <c r="S198" s="35"/>
      <c r="T198" s="35"/>
      <c r="U198" s="35"/>
      <c r="V198" s="35"/>
      <c r="W198" s="35"/>
      <c r="X198" s="35"/>
      <c r="Y198" s="35"/>
      <c r="Z198" s="35"/>
      <c r="AA198" s="35"/>
      <c r="AB198" s="35"/>
      <c r="AC198" s="35"/>
    </row>
    <row r="199">
      <c r="A199" s="35"/>
      <c r="B199" s="35"/>
      <c r="C199" s="35"/>
      <c r="D199" s="35"/>
      <c r="E199" s="26"/>
      <c r="F199" s="51"/>
      <c r="G199" s="51"/>
      <c r="H199" s="51"/>
      <c r="I199" s="51"/>
      <c r="J199" s="51"/>
      <c r="K199" s="51"/>
      <c r="L199" s="27"/>
      <c r="M199" s="35"/>
      <c r="N199" s="35"/>
      <c r="O199" s="35"/>
      <c r="P199" s="35"/>
      <c r="Q199" s="35"/>
      <c r="R199" s="35"/>
      <c r="S199" s="35"/>
      <c r="T199" s="35"/>
      <c r="U199" s="35"/>
      <c r="V199" s="35"/>
      <c r="W199" s="35"/>
      <c r="X199" s="35"/>
      <c r="Y199" s="35"/>
      <c r="Z199" s="35"/>
      <c r="AA199" s="35"/>
      <c r="AB199" s="35"/>
      <c r="AC199" s="35"/>
    </row>
    <row r="200">
      <c r="A200" s="35"/>
      <c r="B200" s="35"/>
      <c r="C200" s="35"/>
      <c r="D200" s="35"/>
      <c r="E200" s="26"/>
      <c r="F200" s="51"/>
      <c r="G200" s="51"/>
      <c r="H200" s="51"/>
      <c r="I200" s="51"/>
      <c r="J200" s="51"/>
      <c r="K200" s="51"/>
      <c r="L200" s="27"/>
      <c r="M200" s="35"/>
      <c r="N200" s="35"/>
      <c r="O200" s="35"/>
      <c r="P200" s="35"/>
      <c r="Q200" s="35"/>
      <c r="R200" s="35"/>
      <c r="S200" s="35"/>
      <c r="T200" s="35"/>
      <c r="U200" s="35"/>
      <c r="V200" s="35"/>
      <c r="W200" s="35"/>
      <c r="X200" s="35"/>
      <c r="Y200" s="35"/>
      <c r="Z200" s="35"/>
      <c r="AA200" s="35"/>
      <c r="AB200" s="35"/>
      <c r="AC200" s="35"/>
    </row>
    <row r="201">
      <c r="A201" s="35"/>
      <c r="B201" s="35"/>
      <c r="C201" s="35"/>
      <c r="D201" s="35"/>
      <c r="E201" s="26"/>
      <c r="F201" s="51"/>
      <c r="G201" s="51"/>
      <c r="H201" s="51"/>
      <c r="I201" s="51"/>
      <c r="J201" s="51"/>
      <c r="K201" s="51"/>
      <c r="L201" s="27"/>
      <c r="M201" s="35"/>
      <c r="N201" s="35"/>
      <c r="O201" s="35"/>
      <c r="P201" s="35"/>
      <c r="Q201" s="35"/>
      <c r="R201" s="35"/>
      <c r="S201" s="35"/>
      <c r="T201" s="35"/>
      <c r="U201" s="35"/>
      <c r="V201" s="35"/>
      <c r="W201" s="35"/>
      <c r="X201" s="35"/>
      <c r="Y201" s="35"/>
      <c r="Z201" s="35"/>
      <c r="AA201" s="35"/>
      <c r="AB201" s="35"/>
      <c r="AC201" s="35"/>
    </row>
    <row r="202">
      <c r="A202" s="35"/>
      <c r="B202" s="35"/>
      <c r="C202" s="35"/>
      <c r="D202" s="35"/>
      <c r="E202" s="26"/>
      <c r="F202" s="51"/>
      <c r="G202" s="51"/>
      <c r="H202" s="51"/>
      <c r="I202" s="51"/>
      <c r="J202" s="51"/>
      <c r="K202" s="51"/>
      <c r="L202" s="27"/>
      <c r="M202" s="35"/>
      <c r="N202" s="35"/>
      <c r="O202" s="35"/>
      <c r="P202" s="35"/>
      <c r="Q202" s="35"/>
      <c r="R202" s="35"/>
      <c r="S202" s="35"/>
      <c r="T202" s="35"/>
      <c r="U202" s="35"/>
      <c r="V202" s="35"/>
      <c r="W202" s="35"/>
      <c r="X202" s="35"/>
      <c r="Y202" s="35"/>
      <c r="Z202" s="35"/>
      <c r="AA202" s="35"/>
      <c r="AB202" s="35"/>
      <c r="AC202" s="35"/>
    </row>
    <row r="203">
      <c r="A203" s="35"/>
      <c r="B203" s="35"/>
      <c r="C203" s="35"/>
      <c r="D203" s="35"/>
      <c r="E203" s="26"/>
      <c r="F203" s="51"/>
      <c r="G203" s="51"/>
      <c r="H203" s="51"/>
      <c r="I203" s="51"/>
      <c r="J203" s="51"/>
      <c r="K203" s="51"/>
      <c r="L203" s="27"/>
      <c r="M203" s="35"/>
      <c r="N203" s="35"/>
      <c r="O203" s="35"/>
      <c r="P203" s="35"/>
      <c r="Q203" s="35"/>
      <c r="R203" s="35"/>
      <c r="S203" s="35"/>
      <c r="T203" s="35"/>
      <c r="U203" s="35"/>
      <c r="V203" s="35"/>
      <c r="W203" s="35"/>
      <c r="X203" s="35"/>
      <c r="Y203" s="35"/>
      <c r="Z203" s="35"/>
      <c r="AA203" s="35"/>
      <c r="AB203" s="35"/>
      <c r="AC203" s="35"/>
    </row>
    <row r="204">
      <c r="A204" s="35"/>
      <c r="B204" s="35"/>
      <c r="C204" s="35"/>
      <c r="D204" s="35"/>
      <c r="E204" s="26"/>
      <c r="F204" s="51"/>
      <c r="G204" s="51"/>
      <c r="H204" s="51"/>
      <c r="I204" s="51"/>
      <c r="J204" s="51"/>
      <c r="K204" s="51"/>
      <c r="L204" s="27"/>
      <c r="M204" s="35"/>
      <c r="N204" s="35"/>
      <c r="O204" s="35"/>
      <c r="P204" s="35"/>
      <c r="Q204" s="35"/>
      <c r="R204" s="35"/>
      <c r="S204" s="35"/>
      <c r="T204" s="35"/>
      <c r="U204" s="35"/>
      <c r="V204" s="35"/>
      <c r="W204" s="35"/>
      <c r="X204" s="35"/>
      <c r="Y204" s="35"/>
      <c r="Z204" s="35"/>
      <c r="AA204" s="35"/>
      <c r="AB204" s="35"/>
      <c r="AC204" s="35"/>
    </row>
    <row r="205">
      <c r="A205" s="35"/>
      <c r="B205" s="35"/>
      <c r="C205" s="35"/>
      <c r="D205" s="35"/>
      <c r="E205" s="26"/>
      <c r="F205" s="51"/>
      <c r="G205" s="51"/>
      <c r="H205" s="51"/>
      <c r="I205" s="51"/>
      <c r="J205" s="51"/>
      <c r="K205" s="51"/>
      <c r="L205" s="27"/>
      <c r="M205" s="35"/>
      <c r="N205" s="35"/>
      <c r="O205" s="35"/>
      <c r="P205" s="35"/>
      <c r="Q205" s="35"/>
      <c r="R205" s="35"/>
      <c r="S205" s="35"/>
      <c r="T205" s="35"/>
      <c r="U205" s="35"/>
      <c r="V205" s="35"/>
      <c r="W205" s="35"/>
      <c r="X205" s="35"/>
      <c r="Y205" s="35"/>
      <c r="Z205" s="35"/>
      <c r="AA205" s="35"/>
      <c r="AB205" s="35"/>
      <c r="AC205" s="35"/>
    </row>
    <row r="206">
      <c r="A206" s="35"/>
      <c r="B206" s="35"/>
      <c r="C206" s="35"/>
      <c r="D206" s="35"/>
      <c r="E206" s="26"/>
      <c r="F206" s="51"/>
      <c r="G206" s="51"/>
      <c r="H206" s="51"/>
      <c r="I206" s="51"/>
      <c r="J206" s="51"/>
      <c r="K206" s="51"/>
      <c r="L206" s="27"/>
      <c r="M206" s="35"/>
      <c r="N206" s="35"/>
      <c r="O206" s="35"/>
      <c r="P206" s="35"/>
      <c r="Q206" s="35"/>
      <c r="R206" s="35"/>
      <c r="S206" s="35"/>
      <c r="T206" s="35"/>
      <c r="U206" s="35"/>
      <c r="V206" s="35"/>
      <c r="W206" s="35"/>
      <c r="X206" s="35"/>
      <c r="Y206" s="35"/>
      <c r="Z206" s="35"/>
      <c r="AA206" s="35"/>
      <c r="AB206" s="35"/>
      <c r="AC206" s="35"/>
    </row>
    <row r="207">
      <c r="A207" s="35"/>
      <c r="B207" s="35"/>
      <c r="C207" s="35"/>
      <c r="D207" s="35"/>
      <c r="E207" s="26"/>
      <c r="F207" s="51"/>
      <c r="G207" s="51"/>
      <c r="H207" s="51"/>
      <c r="I207" s="51"/>
      <c r="J207" s="51"/>
      <c r="K207" s="51"/>
      <c r="L207" s="27"/>
      <c r="M207" s="35"/>
      <c r="N207" s="35"/>
      <c r="O207" s="35"/>
      <c r="P207" s="35"/>
      <c r="Q207" s="35"/>
      <c r="R207" s="35"/>
      <c r="S207" s="35"/>
      <c r="T207" s="35"/>
      <c r="U207" s="35"/>
      <c r="V207" s="35"/>
      <c r="W207" s="35"/>
      <c r="X207" s="35"/>
      <c r="Y207" s="35"/>
      <c r="Z207" s="35"/>
      <c r="AA207" s="35"/>
      <c r="AB207" s="35"/>
      <c r="AC207" s="35"/>
    </row>
    <row r="208">
      <c r="A208" s="35"/>
      <c r="B208" s="35"/>
      <c r="C208" s="35"/>
      <c r="D208" s="35"/>
      <c r="E208" s="26"/>
      <c r="F208" s="51"/>
      <c r="G208" s="51"/>
      <c r="H208" s="51"/>
      <c r="I208" s="51"/>
      <c r="J208" s="51"/>
      <c r="K208" s="51"/>
      <c r="L208" s="27"/>
      <c r="M208" s="35"/>
      <c r="N208" s="35"/>
      <c r="O208" s="35"/>
      <c r="P208" s="35"/>
      <c r="Q208" s="35"/>
      <c r="R208" s="35"/>
      <c r="S208" s="35"/>
      <c r="T208" s="35"/>
      <c r="U208" s="35"/>
      <c r="V208" s="35"/>
      <c r="W208" s="35"/>
      <c r="X208" s="35"/>
      <c r="Y208" s="35"/>
      <c r="Z208" s="35"/>
      <c r="AA208" s="35"/>
      <c r="AB208" s="35"/>
      <c r="AC208" s="35"/>
    </row>
    <row r="209">
      <c r="A209" s="35"/>
      <c r="B209" s="35"/>
      <c r="C209" s="35"/>
      <c r="D209" s="35"/>
      <c r="E209" s="26"/>
      <c r="F209" s="51"/>
      <c r="G209" s="51"/>
      <c r="H209" s="51"/>
      <c r="I209" s="51"/>
      <c r="J209" s="51"/>
      <c r="K209" s="51"/>
      <c r="L209" s="27"/>
      <c r="M209" s="35"/>
      <c r="N209" s="35"/>
      <c r="O209" s="35"/>
      <c r="P209" s="35"/>
      <c r="Q209" s="35"/>
      <c r="R209" s="35"/>
      <c r="S209" s="35"/>
      <c r="T209" s="35"/>
      <c r="U209" s="35"/>
      <c r="V209" s="35"/>
      <c r="W209" s="35"/>
      <c r="X209" s="35"/>
      <c r="Y209" s="35"/>
      <c r="Z209" s="35"/>
      <c r="AA209" s="35"/>
      <c r="AB209" s="35"/>
      <c r="AC209" s="35"/>
    </row>
    <row r="210">
      <c r="A210" s="35"/>
      <c r="B210" s="35"/>
      <c r="C210" s="35"/>
      <c r="D210" s="35"/>
      <c r="E210" s="26"/>
      <c r="F210" s="51"/>
      <c r="G210" s="51"/>
      <c r="H210" s="51"/>
      <c r="I210" s="51"/>
      <c r="J210" s="51"/>
      <c r="K210" s="51"/>
      <c r="L210" s="27"/>
      <c r="M210" s="35"/>
      <c r="N210" s="35"/>
      <c r="O210" s="35"/>
      <c r="P210" s="35"/>
      <c r="Q210" s="35"/>
      <c r="R210" s="35"/>
      <c r="S210" s="35"/>
      <c r="T210" s="35"/>
      <c r="U210" s="35"/>
      <c r="V210" s="35"/>
      <c r="W210" s="35"/>
      <c r="X210" s="35"/>
      <c r="Y210" s="35"/>
      <c r="Z210" s="35"/>
      <c r="AA210" s="35"/>
      <c r="AB210" s="35"/>
      <c r="AC210" s="35"/>
    </row>
    <row r="211">
      <c r="A211" s="35"/>
      <c r="B211" s="35"/>
      <c r="C211" s="35"/>
      <c r="D211" s="35"/>
      <c r="E211" s="26"/>
      <c r="F211" s="51"/>
      <c r="G211" s="51"/>
      <c r="H211" s="51"/>
      <c r="I211" s="51"/>
      <c r="J211" s="51"/>
      <c r="K211" s="51"/>
      <c r="L211" s="27"/>
      <c r="M211" s="35"/>
      <c r="N211" s="35"/>
      <c r="O211" s="35"/>
      <c r="P211" s="35"/>
      <c r="Q211" s="35"/>
      <c r="R211" s="35"/>
      <c r="S211" s="35"/>
      <c r="T211" s="35"/>
      <c r="U211" s="35"/>
      <c r="V211" s="35"/>
      <c r="W211" s="35"/>
      <c r="X211" s="35"/>
      <c r="Y211" s="35"/>
      <c r="Z211" s="35"/>
      <c r="AA211" s="35"/>
      <c r="AB211" s="35"/>
      <c r="AC211" s="35"/>
    </row>
    <row r="212">
      <c r="A212" s="35"/>
      <c r="B212" s="35"/>
      <c r="C212" s="35"/>
      <c r="D212" s="35"/>
      <c r="E212" s="26"/>
      <c r="F212" s="51"/>
      <c r="G212" s="51"/>
      <c r="H212" s="51"/>
      <c r="I212" s="51"/>
      <c r="J212" s="51"/>
      <c r="K212" s="51"/>
      <c r="L212" s="27"/>
      <c r="M212" s="35"/>
      <c r="N212" s="35"/>
      <c r="O212" s="35"/>
      <c r="P212" s="35"/>
      <c r="Q212" s="35"/>
      <c r="R212" s="35"/>
      <c r="S212" s="35"/>
      <c r="T212" s="35"/>
      <c r="U212" s="35"/>
      <c r="V212" s="35"/>
      <c r="W212" s="35"/>
      <c r="X212" s="35"/>
      <c r="Y212" s="35"/>
      <c r="Z212" s="35"/>
      <c r="AA212" s="35"/>
      <c r="AB212" s="35"/>
      <c r="AC212" s="35"/>
    </row>
    <row r="213">
      <c r="A213" s="35"/>
      <c r="B213" s="35"/>
      <c r="C213" s="35"/>
      <c r="D213" s="35"/>
      <c r="E213" s="26"/>
      <c r="F213" s="51"/>
      <c r="G213" s="51"/>
      <c r="H213" s="51"/>
      <c r="I213" s="51"/>
      <c r="J213" s="51"/>
      <c r="K213" s="51"/>
      <c r="L213" s="27"/>
      <c r="M213" s="35"/>
      <c r="N213" s="35"/>
      <c r="O213" s="35"/>
      <c r="P213" s="35"/>
      <c r="Q213" s="35"/>
      <c r="R213" s="35"/>
      <c r="S213" s="35"/>
      <c r="T213" s="35"/>
      <c r="U213" s="35"/>
      <c r="V213" s="35"/>
      <c r="W213" s="35"/>
      <c r="X213" s="35"/>
      <c r="Y213" s="35"/>
      <c r="Z213" s="35"/>
      <c r="AA213" s="35"/>
      <c r="AB213" s="35"/>
      <c r="AC213" s="35"/>
    </row>
    <row r="214">
      <c r="A214" s="35"/>
      <c r="B214" s="35"/>
      <c r="C214" s="35"/>
      <c r="D214" s="35"/>
      <c r="E214" s="26"/>
      <c r="F214" s="51"/>
      <c r="G214" s="51"/>
      <c r="H214" s="51"/>
      <c r="I214" s="51"/>
      <c r="J214" s="51"/>
      <c r="K214" s="51"/>
      <c r="L214" s="27"/>
      <c r="M214" s="35"/>
      <c r="N214" s="35"/>
      <c r="O214" s="35"/>
      <c r="P214" s="35"/>
      <c r="Q214" s="35"/>
      <c r="R214" s="35"/>
      <c r="S214" s="35"/>
      <c r="T214" s="35"/>
      <c r="U214" s="35"/>
      <c r="V214" s="35"/>
      <c r="W214" s="35"/>
      <c r="X214" s="35"/>
      <c r="Y214" s="35"/>
      <c r="Z214" s="35"/>
      <c r="AA214" s="35"/>
      <c r="AB214" s="35"/>
      <c r="AC214" s="35"/>
    </row>
    <row r="215">
      <c r="A215" s="35"/>
      <c r="B215" s="35"/>
      <c r="C215" s="35"/>
      <c r="D215" s="35"/>
      <c r="E215" s="26"/>
      <c r="F215" s="51"/>
      <c r="G215" s="51"/>
      <c r="H215" s="51"/>
      <c r="I215" s="51"/>
      <c r="J215" s="51"/>
      <c r="K215" s="51"/>
      <c r="L215" s="27"/>
      <c r="M215" s="35"/>
      <c r="N215" s="35"/>
      <c r="O215" s="35"/>
      <c r="P215" s="35"/>
      <c r="Q215" s="35"/>
      <c r="R215" s="35"/>
      <c r="S215" s="35"/>
      <c r="T215" s="35"/>
      <c r="U215" s="35"/>
      <c r="V215" s="35"/>
      <c r="W215" s="35"/>
      <c r="X215" s="35"/>
      <c r="Y215" s="35"/>
      <c r="Z215" s="35"/>
      <c r="AA215" s="35"/>
      <c r="AB215" s="35"/>
      <c r="AC215" s="35"/>
    </row>
    <row r="216">
      <c r="A216" s="35"/>
      <c r="B216" s="35"/>
      <c r="C216" s="35"/>
      <c r="D216" s="35"/>
      <c r="E216" s="26"/>
      <c r="F216" s="51"/>
      <c r="G216" s="51"/>
      <c r="H216" s="51"/>
      <c r="I216" s="51"/>
      <c r="J216" s="51"/>
      <c r="K216" s="51"/>
      <c r="L216" s="27"/>
      <c r="M216" s="35"/>
      <c r="N216" s="35"/>
      <c r="O216" s="35"/>
      <c r="P216" s="35"/>
      <c r="Q216" s="35"/>
      <c r="R216" s="35"/>
      <c r="S216" s="35"/>
      <c r="T216" s="35"/>
      <c r="U216" s="35"/>
      <c r="V216" s="35"/>
      <c r="W216" s="35"/>
      <c r="X216" s="35"/>
      <c r="Y216" s="35"/>
      <c r="Z216" s="35"/>
      <c r="AA216" s="35"/>
      <c r="AB216" s="35"/>
      <c r="AC216" s="35"/>
    </row>
    <row r="217">
      <c r="A217" s="35"/>
      <c r="B217" s="35"/>
      <c r="C217" s="35"/>
      <c r="D217" s="35"/>
      <c r="E217" s="26"/>
      <c r="F217" s="51"/>
      <c r="G217" s="51"/>
      <c r="H217" s="51"/>
      <c r="I217" s="51"/>
      <c r="J217" s="51"/>
      <c r="K217" s="51"/>
      <c r="L217" s="27"/>
      <c r="M217" s="35"/>
      <c r="N217" s="35"/>
      <c r="O217" s="35"/>
      <c r="P217" s="35"/>
      <c r="Q217" s="35"/>
      <c r="R217" s="35"/>
      <c r="S217" s="35"/>
      <c r="T217" s="35"/>
      <c r="U217" s="35"/>
      <c r="V217" s="35"/>
      <c r="W217" s="35"/>
      <c r="X217" s="35"/>
      <c r="Y217" s="35"/>
      <c r="Z217" s="35"/>
      <c r="AA217" s="35"/>
      <c r="AB217" s="35"/>
      <c r="AC217" s="35"/>
    </row>
    <row r="218">
      <c r="A218" s="35"/>
      <c r="B218" s="35"/>
      <c r="C218" s="35"/>
      <c r="D218" s="35"/>
      <c r="E218" s="26"/>
      <c r="F218" s="51"/>
      <c r="G218" s="51"/>
      <c r="H218" s="51"/>
      <c r="I218" s="51"/>
      <c r="J218" s="51"/>
      <c r="K218" s="51"/>
      <c r="L218" s="27"/>
      <c r="M218" s="35"/>
      <c r="N218" s="35"/>
      <c r="O218" s="35"/>
      <c r="P218" s="35"/>
      <c r="Q218" s="35"/>
      <c r="R218" s="35"/>
      <c r="S218" s="35"/>
      <c r="T218" s="35"/>
      <c r="U218" s="35"/>
      <c r="V218" s="35"/>
      <c r="W218" s="35"/>
      <c r="X218" s="35"/>
      <c r="Y218" s="35"/>
      <c r="Z218" s="35"/>
      <c r="AA218" s="35"/>
      <c r="AB218" s="35"/>
      <c r="AC218" s="35"/>
    </row>
    <row r="219">
      <c r="A219" s="35"/>
      <c r="B219" s="35"/>
      <c r="C219" s="35"/>
      <c r="D219" s="35"/>
      <c r="E219" s="26"/>
      <c r="F219" s="51"/>
      <c r="G219" s="51"/>
      <c r="H219" s="51"/>
      <c r="I219" s="51"/>
      <c r="J219" s="51"/>
      <c r="K219" s="51"/>
      <c r="L219" s="27"/>
      <c r="M219" s="35"/>
      <c r="N219" s="35"/>
      <c r="O219" s="35"/>
      <c r="P219" s="35"/>
      <c r="Q219" s="35"/>
      <c r="R219" s="35"/>
      <c r="S219" s="35"/>
      <c r="T219" s="35"/>
      <c r="U219" s="35"/>
      <c r="V219" s="35"/>
      <c r="W219" s="35"/>
      <c r="X219" s="35"/>
      <c r="Y219" s="35"/>
      <c r="Z219" s="35"/>
      <c r="AA219" s="35"/>
      <c r="AB219" s="35"/>
      <c r="AC219" s="35"/>
    </row>
    <row r="220">
      <c r="A220" s="35"/>
      <c r="B220" s="35"/>
      <c r="C220" s="35"/>
      <c r="D220" s="35"/>
      <c r="E220" s="26"/>
      <c r="F220" s="51"/>
      <c r="G220" s="51"/>
      <c r="H220" s="51"/>
      <c r="I220" s="51"/>
      <c r="J220" s="51"/>
      <c r="K220" s="51"/>
      <c r="L220" s="27"/>
      <c r="M220" s="35"/>
      <c r="N220" s="35"/>
      <c r="O220" s="35"/>
      <c r="P220" s="35"/>
      <c r="Q220" s="35"/>
      <c r="R220" s="35"/>
      <c r="S220" s="35"/>
      <c r="T220" s="35"/>
      <c r="U220" s="35"/>
      <c r="V220" s="35"/>
      <c r="W220" s="35"/>
      <c r="X220" s="35"/>
      <c r="Y220" s="35"/>
      <c r="Z220" s="35"/>
      <c r="AA220" s="35"/>
      <c r="AB220" s="35"/>
      <c r="AC220" s="35"/>
    </row>
    <row r="221">
      <c r="A221" s="35"/>
      <c r="B221" s="35"/>
      <c r="C221" s="35"/>
      <c r="D221" s="35"/>
      <c r="E221" s="26"/>
      <c r="F221" s="51"/>
      <c r="G221" s="51"/>
      <c r="H221" s="51"/>
      <c r="I221" s="51"/>
      <c r="J221" s="51"/>
      <c r="K221" s="51"/>
      <c r="L221" s="27"/>
      <c r="M221" s="35"/>
      <c r="N221" s="35"/>
      <c r="O221" s="35"/>
      <c r="P221" s="35"/>
      <c r="Q221" s="35"/>
      <c r="R221" s="35"/>
      <c r="S221" s="35"/>
      <c r="T221" s="35"/>
      <c r="U221" s="35"/>
      <c r="V221" s="35"/>
      <c r="W221" s="35"/>
      <c r="X221" s="35"/>
      <c r="Y221" s="35"/>
      <c r="Z221" s="35"/>
      <c r="AA221" s="35"/>
      <c r="AB221" s="35"/>
      <c r="AC221" s="35"/>
    </row>
    <row r="222">
      <c r="A222" s="35"/>
      <c r="B222" s="35"/>
      <c r="C222" s="35"/>
      <c r="D222" s="35"/>
      <c r="E222" s="26"/>
      <c r="F222" s="51"/>
      <c r="G222" s="51"/>
      <c r="H222" s="51"/>
      <c r="I222" s="51"/>
      <c r="J222" s="51"/>
      <c r="K222" s="51"/>
      <c r="L222" s="27"/>
      <c r="M222" s="35"/>
      <c r="N222" s="35"/>
      <c r="O222" s="35"/>
      <c r="P222" s="35"/>
      <c r="Q222" s="35"/>
      <c r="R222" s="35"/>
      <c r="S222" s="35"/>
      <c r="T222" s="35"/>
      <c r="U222" s="35"/>
      <c r="V222" s="35"/>
      <c r="W222" s="35"/>
      <c r="X222" s="35"/>
      <c r="Y222" s="35"/>
      <c r="Z222" s="35"/>
      <c r="AA222" s="35"/>
      <c r="AB222" s="35"/>
      <c r="AC222" s="35"/>
    </row>
    <row r="223">
      <c r="A223" s="35"/>
      <c r="B223" s="35"/>
      <c r="C223" s="35"/>
      <c r="D223" s="35"/>
      <c r="E223" s="26"/>
      <c r="F223" s="51"/>
      <c r="G223" s="51"/>
      <c r="H223" s="51"/>
      <c r="I223" s="51"/>
      <c r="J223" s="51"/>
      <c r="K223" s="51"/>
      <c r="L223" s="27"/>
      <c r="M223" s="35"/>
      <c r="N223" s="35"/>
      <c r="O223" s="35"/>
      <c r="P223" s="35"/>
      <c r="Q223" s="35"/>
      <c r="R223" s="35"/>
      <c r="S223" s="35"/>
      <c r="T223" s="35"/>
      <c r="U223" s="35"/>
      <c r="V223" s="35"/>
      <c r="W223" s="35"/>
      <c r="X223" s="35"/>
      <c r="Y223" s="35"/>
      <c r="Z223" s="35"/>
      <c r="AA223" s="35"/>
      <c r="AB223" s="35"/>
      <c r="AC223" s="35"/>
    </row>
    <row r="224">
      <c r="A224" s="35"/>
      <c r="B224" s="35"/>
      <c r="C224" s="35"/>
      <c r="D224" s="35"/>
      <c r="E224" s="26"/>
      <c r="F224" s="51"/>
      <c r="G224" s="51"/>
      <c r="H224" s="51"/>
      <c r="I224" s="51"/>
      <c r="J224" s="51"/>
      <c r="K224" s="51"/>
      <c r="L224" s="27"/>
      <c r="M224" s="35"/>
      <c r="N224" s="35"/>
      <c r="O224" s="35"/>
      <c r="P224" s="35"/>
      <c r="Q224" s="35"/>
      <c r="R224" s="35"/>
      <c r="S224" s="35"/>
      <c r="T224" s="35"/>
      <c r="U224" s="35"/>
      <c r="V224" s="35"/>
      <c r="W224" s="35"/>
      <c r="X224" s="35"/>
      <c r="Y224" s="35"/>
      <c r="Z224" s="35"/>
      <c r="AA224" s="35"/>
      <c r="AB224" s="35"/>
      <c r="AC224" s="35"/>
    </row>
    <row r="225">
      <c r="A225" s="35"/>
      <c r="B225" s="35"/>
      <c r="C225" s="35"/>
      <c r="D225" s="35"/>
      <c r="E225" s="26"/>
      <c r="F225" s="51"/>
      <c r="G225" s="51"/>
      <c r="H225" s="51"/>
      <c r="I225" s="51"/>
      <c r="J225" s="51"/>
      <c r="K225" s="51"/>
      <c r="L225" s="27"/>
      <c r="M225" s="35"/>
      <c r="N225" s="35"/>
      <c r="O225" s="35"/>
      <c r="P225" s="35"/>
      <c r="Q225" s="35"/>
      <c r="R225" s="35"/>
      <c r="S225" s="35"/>
      <c r="T225" s="35"/>
      <c r="U225" s="35"/>
      <c r="V225" s="35"/>
      <c r="W225" s="35"/>
      <c r="X225" s="35"/>
      <c r="Y225" s="35"/>
      <c r="Z225" s="35"/>
      <c r="AA225" s="35"/>
      <c r="AB225" s="35"/>
      <c r="AC225" s="35"/>
    </row>
    <row r="226">
      <c r="A226" s="35"/>
      <c r="B226" s="35"/>
      <c r="C226" s="35"/>
      <c r="D226" s="35"/>
      <c r="E226" s="26"/>
      <c r="F226" s="51"/>
      <c r="G226" s="51"/>
      <c r="H226" s="51"/>
      <c r="I226" s="51"/>
      <c r="J226" s="51"/>
      <c r="K226" s="51"/>
      <c r="L226" s="27"/>
      <c r="M226" s="35"/>
      <c r="N226" s="35"/>
      <c r="O226" s="35"/>
      <c r="P226" s="35"/>
      <c r="Q226" s="35"/>
      <c r="R226" s="35"/>
      <c r="S226" s="35"/>
      <c r="T226" s="35"/>
      <c r="U226" s="35"/>
      <c r="V226" s="35"/>
      <c r="W226" s="35"/>
      <c r="X226" s="35"/>
      <c r="Y226" s="35"/>
      <c r="Z226" s="35"/>
      <c r="AA226" s="35"/>
      <c r="AB226" s="35"/>
      <c r="AC226" s="35"/>
    </row>
    <row r="227">
      <c r="A227" s="35"/>
      <c r="B227" s="35"/>
      <c r="C227" s="35"/>
      <c r="D227" s="35"/>
      <c r="E227" s="26"/>
      <c r="F227" s="51"/>
      <c r="G227" s="51"/>
      <c r="H227" s="51"/>
      <c r="I227" s="51"/>
      <c r="J227" s="51"/>
      <c r="K227" s="51"/>
      <c r="L227" s="27"/>
      <c r="M227" s="35"/>
      <c r="N227" s="35"/>
      <c r="O227" s="35"/>
      <c r="P227" s="35"/>
      <c r="Q227" s="35"/>
      <c r="R227" s="35"/>
      <c r="S227" s="35"/>
      <c r="T227" s="35"/>
      <c r="U227" s="35"/>
      <c r="V227" s="35"/>
      <c r="W227" s="35"/>
      <c r="X227" s="35"/>
      <c r="Y227" s="35"/>
      <c r="Z227" s="35"/>
      <c r="AA227" s="35"/>
      <c r="AB227" s="35"/>
      <c r="AC227" s="35"/>
    </row>
    <row r="228">
      <c r="A228" s="35"/>
      <c r="B228" s="35"/>
      <c r="C228" s="35"/>
      <c r="D228" s="35"/>
      <c r="E228" s="26"/>
      <c r="F228" s="51"/>
      <c r="G228" s="51"/>
      <c r="H228" s="51"/>
      <c r="I228" s="51"/>
      <c r="J228" s="51"/>
      <c r="K228" s="51"/>
      <c r="L228" s="27"/>
      <c r="M228" s="35"/>
      <c r="N228" s="35"/>
      <c r="O228" s="35"/>
      <c r="P228" s="35"/>
      <c r="Q228" s="35"/>
      <c r="R228" s="35"/>
      <c r="S228" s="35"/>
      <c r="T228" s="35"/>
      <c r="U228" s="35"/>
      <c r="V228" s="35"/>
      <c r="W228" s="35"/>
      <c r="X228" s="35"/>
      <c r="Y228" s="35"/>
      <c r="Z228" s="35"/>
      <c r="AA228" s="35"/>
      <c r="AB228" s="35"/>
      <c r="AC228" s="35"/>
    </row>
    <row r="229">
      <c r="A229" s="35"/>
      <c r="B229" s="35"/>
      <c r="C229" s="35"/>
      <c r="D229" s="35"/>
      <c r="E229" s="26"/>
      <c r="F229" s="51"/>
      <c r="G229" s="51"/>
      <c r="H229" s="51"/>
      <c r="I229" s="51"/>
      <c r="J229" s="51"/>
      <c r="K229" s="51"/>
      <c r="L229" s="27"/>
      <c r="M229" s="35"/>
      <c r="N229" s="35"/>
      <c r="O229" s="35"/>
      <c r="P229" s="35"/>
      <c r="Q229" s="35"/>
      <c r="R229" s="35"/>
      <c r="S229" s="35"/>
      <c r="T229" s="35"/>
      <c r="U229" s="35"/>
      <c r="V229" s="35"/>
      <c r="W229" s="35"/>
      <c r="X229" s="35"/>
      <c r="Y229" s="35"/>
      <c r="Z229" s="35"/>
      <c r="AA229" s="35"/>
      <c r="AB229" s="35"/>
      <c r="AC229" s="35"/>
    </row>
    <row r="230">
      <c r="A230" s="35"/>
      <c r="B230" s="35"/>
      <c r="C230" s="35"/>
      <c r="D230" s="35"/>
      <c r="E230" s="26"/>
      <c r="F230" s="51"/>
      <c r="G230" s="51"/>
      <c r="H230" s="51"/>
      <c r="I230" s="51"/>
      <c r="J230" s="51"/>
      <c r="K230" s="51"/>
      <c r="L230" s="27"/>
      <c r="M230" s="35"/>
      <c r="N230" s="35"/>
      <c r="O230" s="35"/>
      <c r="P230" s="35"/>
      <c r="Q230" s="35"/>
      <c r="R230" s="35"/>
      <c r="S230" s="35"/>
      <c r="T230" s="35"/>
      <c r="U230" s="35"/>
      <c r="V230" s="35"/>
      <c r="W230" s="35"/>
      <c r="X230" s="35"/>
      <c r="Y230" s="35"/>
      <c r="Z230" s="35"/>
      <c r="AA230" s="35"/>
      <c r="AB230" s="35"/>
      <c r="AC230" s="35"/>
    </row>
    <row r="231">
      <c r="A231" s="35"/>
      <c r="B231" s="35"/>
      <c r="C231" s="35"/>
      <c r="D231" s="35"/>
      <c r="E231" s="26"/>
      <c r="F231" s="51"/>
      <c r="G231" s="51"/>
      <c r="H231" s="51"/>
      <c r="I231" s="51"/>
      <c r="J231" s="51"/>
      <c r="K231" s="51"/>
      <c r="L231" s="27"/>
      <c r="M231" s="35"/>
      <c r="N231" s="35"/>
      <c r="O231" s="35"/>
      <c r="P231" s="35"/>
      <c r="Q231" s="35"/>
      <c r="R231" s="35"/>
      <c r="S231" s="35"/>
      <c r="T231" s="35"/>
      <c r="U231" s="35"/>
      <c r="V231" s="35"/>
      <c r="W231" s="35"/>
      <c r="X231" s="35"/>
      <c r="Y231" s="35"/>
      <c r="Z231" s="35"/>
      <c r="AA231" s="35"/>
      <c r="AB231" s="35"/>
      <c r="AC231" s="35"/>
    </row>
    <row r="232">
      <c r="A232" s="35"/>
      <c r="B232" s="35"/>
      <c r="C232" s="35"/>
      <c r="D232" s="35"/>
      <c r="E232" s="26"/>
      <c r="F232" s="51"/>
      <c r="G232" s="51"/>
      <c r="H232" s="51"/>
      <c r="I232" s="51"/>
      <c r="J232" s="51"/>
      <c r="K232" s="51"/>
      <c r="L232" s="27"/>
      <c r="M232" s="35"/>
      <c r="N232" s="35"/>
      <c r="O232" s="35"/>
      <c r="P232" s="35"/>
      <c r="Q232" s="35"/>
      <c r="R232" s="35"/>
      <c r="S232" s="35"/>
      <c r="T232" s="35"/>
      <c r="U232" s="35"/>
      <c r="V232" s="35"/>
      <c r="W232" s="35"/>
      <c r="X232" s="35"/>
      <c r="Y232" s="35"/>
      <c r="Z232" s="35"/>
      <c r="AA232" s="35"/>
      <c r="AB232" s="35"/>
      <c r="AC232" s="35"/>
    </row>
    <row r="233">
      <c r="L233" s="217"/>
    </row>
    <row r="234">
      <c r="L234" s="217"/>
    </row>
    <row r="235">
      <c r="L235" s="217"/>
    </row>
    <row r="236">
      <c r="L236" s="217"/>
    </row>
    <row r="237">
      <c r="L237" s="217"/>
    </row>
    <row r="238">
      <c r="L238" s="217"/>
    </row>
    <row r="239">
      <c r="L239" s="217"/>
    </row>
    <row r="240">
      <c r="L240" s="217"/>
    </row>
    <row r="241">
      <c r="L241" s="217"/>
    </row>
    <row r="242">
      <c r="L242" s="217"/>
    </row>
    <row r="243">
      <c r="L243" s="217"/>
    </row>
    <row r="244">
      <c r="L244" s="217"/>
    </row>
    <row r="245">
      <c r="L245" s="217"/>
    </row>
    <row r="246">
      <c r="L246" s="217"/>
    </row>
    <row r="247">
      <c r="L247" s="217"/>
    </row>
    <row r="248">
      <c r="L248" s="217"/>
    </row>
    <row r="249">
      <c r="L249" s="217"/>
    </row>
    <row r="250">
      <c r="L250" s="217"/>
    </row>
    <row r="251">
      <c r="L251" s="217"/>
    </row>
    <row r="252">
      <c r="L252" s="217"/>
    </row>
    <row r="253">
      <c r="L253" s="217"/>
    </row>
    <row r="254">
      <c r="L254" s="217"/>
    </row>
    <row r="255">
      <c r="L255" s="217"/>
    </row>
    <row r="256">
      <c r="L256" s="217"/>
    </row>
    <row r="257">
      <c r="L257" s="217"/>
    </row>
    <row r="258">
      <c r="L258" s="217"/>
    </row>
    <row r="259">
      <c r="L259" s="217"/>
    </row>
    <row r="260">
      <c r="L260" s="217"/>
    </row>
    <row r="261">
      <c r="L261" s="217"/>
    </row>
    <row r="262">
      <c r="L262" s="217"/>
    </row>
    <row r="263">
      <c r="L263" s="217"/>
    </row>
    <row r="264">
      <c r="L264" s="217"/>
    </row>
    <row r="265">
      <c r="L265" s="217"/>
    </row>
    <row r="266">
      <c r="L266" s="217"/>
    </row>
    <row r="267">
      <c r="L267" s="217"/>
    </row>
    <row r="268">
      <c r="L268" s="217"/>
    </row>
    <row r="269">
      <c r="L269" s="217"/>
    </row>
    <row r="270">
      <c r="L270" s="217"/>
    </row>
    <row r="271">
      <c r="L271" s="217"/>
    </row>
    <row r="272">
      <c r="L272" s="217"/>
    </row>
    <row r="273">
      <c r="L273" s="217"/>
    </row>
    <row r="274">
      <c r="L274" s="217"/>
    </row>
    <row r="275">
      <c r="L275" s="217"/>
    </row>
    <row r="276">
      <c r="L276" s="217"/>
    </row>
    <row r="277">
      <c r="L277" s="217"/>
    </row>
    <row r="278">
      <c r="L278" s="217"/>
    </row>
    <row r="279">
      <c r="L279" s="217"/>
    </row>
    <row r="280">
      <c r="L280" s="217"/>
    </row>
    <row r="281">
      <c r="L281" s="217"/>
    </row>
    <row r="282">
      <c r="L282" s="217"/>
    </row>
    <row r="283">
      <c r="L283" s="217"/>
    </row>
    <row r="284">
      <c r="L284" s="217"/>
    </row>
    <row r="285">
      <c r="L285" s="217"/>
    </row>
    <row r="286">
      <c r="L286" s="217"/>
    </row>
    <row r="287">
      <c r="L287" s="217"/>
    </row>
    <row r="288">
      <c r="L288" s="217"/>
    </row>
    <row r="289">
      <c r="L289" s="217"/>
    </row>
    <row r="290">
      <c r="L290" s="217"/>
    </row>
    <row r="291">
      <c r="L291" s="217"/>
    </row>
    <row r="292">
      <c r="L292" s="217"/>
    </row>
    <row r="293">
      <c r="L293" s="217"/>
    </row>
    <row r="294">
      <c r="L294" s="217"/>
    </row>
    <row r="295">
      <c r="L295" s="217"/>
    </row>
    <row r="296">
      <c r="L296" s="217"/>
    </row>
    <row r="297">
      <c r="L297" s="217"/>
    </row>
    <row r="298">
      <c r="L298" s="217"/>
    </row>
    <row r="299">
      <c r="L299" s="217"/>
    </row>
    <row r="300">
      <c r="L300" s="217"/>
    </row>
    <row r="301">
      <c r="L301" s="217"/>
    </row>
    <row r="302">
      <c r="L302" s="217"/>
    </row>
    <row r="303">
      <c r="L303" s="217"/>
    </row>
    <row r="304">
      <c r="L304" s="217"/>
    </row>
    <row r="305">
      <c r="L305" s="217"/>
    </row>
    <row r="306">
      <c r="L306" s="217"/>
    </row>
    <row r="307">
      <c r="L307" s="217"/>
    </row>
    <row r="308">
      <c r="L308" s="217"/>
    </row>
    <row r="309">
      <c r="L309" s="217"/>
    </row>
    <row r="310">
      <c r="L310" s="217"/>
    </row>
    <row r="311">
      <c r="L311" s="217"/>
    </row>
    <row r="312">
      <c r="L312" s="217"/>
    </row>
    <row r="313">
      <c r="L313" s="217"/>
    </row>
    <row r="314">
      <c r="L314" s="217"/>
    </row>
    <row r="315">
      <c r="L315" s="217"/>
    </row>
    <row r="316">
      <c r="L316" s="217"/>
    </row>
    <row r="317">
      <c r="L317" s="217"/>
    </row>
    <row r="318">
      <c r="L318" s="217"/>
    </row>
    <row r="319">
      <c r="L319" s="217"/>
    </row>
    <row r="320">
      <c r="L320" s="217"/>
    </row>
    <row r="321">
      <c r="L321" s="217"/>
    </row>
    <row r="322">
      <c r="L322" s="217"/>
    </row>
    <row r="323">
      <c r="L323" s="217"/>
    </row>
    <row r="324">
      <c r="L324" s="217"/>
    </row>
    <row r="325">
      <c r="L325" s="217"/>
    </row>
    <row r="326">
      <c r="L326" s="217"/>
    </row>
    <row r="327">
      <c r="L327" s="217"/>
    </row>
    <row r="328">
      <c r="L328" s="217"/>
    </row>
    <row r="329">
      <c r="L329" s="217"/>
    </row>
    <row r="330">
      <c r="L330" s="217"/>
    </row>
    <row r="331">
      <c r="L331" s="217"/>
    </row>
    <row r="332">
      <c r="L332" s="217"/>
    </row>
    <row r="333">
      <c r="L333" s="217"/>
    </row>
    <row r="334">
      <c r="L334" s="217"/>
    </row>
    <row r="335">
      <c r="L335" s="217"/>
    </row>
    <row r="336">
      <c r="L336" s="217"/>
    </row>
    <row r="337">
      <c r="L337" s="217"/>
    </row>
    <row r="338">
      <c r="L338" s="217"/>
    </row>
    <row r="339">
      <c r="L339" s="217"/>
    </row>
    <row r="340">
      <c r="L340" s="217"/>
    </row>
    <row r="341">
      <c r="L341" s="217"/>
    </row>
    <row r="342">
      <c r="L342" s="217"/>
    </row>
    <row r="343">
      <c r="L343" s="217"/>
    </row>
    <row r="344">
      <c r="L344" s="217"/>
    </row>
    <row r="345">
      <c r="L345" s="217"/>
    </row>
    <row r="346">
      <c r="L346" s="217"/>
    </row>
    <row r="347">
      <c r="L347" s="217"/>
    </row>
    <row r="348">
      <c r="L348" s="217"/>
    </row>
    <row r="349">
      <c r="L349" s="217"/>
    </row>
    <row r="350">
      <c r="L350" s="217"/>
    </row>
    <row r="351">
      <c r="L351" s="217"/>
    </row>
    <row r="352">
      <c r="L352" s="217"/>
    </row>
    <row r="353">
      <c r="L353" s="217"/>
    </row>
    <row r="354">
      <c r="L354" s="217"/>
    </row>
    <row r="355">
      <c r="L355" s="217"/>
    </row>
    <row r="356">
      <c r="L356" s="217"/>
    </row>
    <row r="357">
      <c r="L357" s="217"/>
    </row>
    <row r="358">
      <c r="L358" s="217"/>
    </row>
    <row r="359">
      <c r="L359" s="217"/>
    </row>
    <row r="360">
      <c r="L360" s="217"/>
    </row>
    <row r="361">
      <c r="L361" s="217"/>
    </row>
    <row r="362">
      <c r="L362" s="217"/>
    </row>
    <row r="363">
      <c r="L363" s="217"/>
    </row>
    <row r="364">
      <c r="L364" s="217"/>
    </row>
    <row r="365">
      <c r="L365" s="217"/>
    </row>
    <row r="366">
      <c r="L366" s="217"/>
    </row>
    <row r="367">
      <c r="L367" s="217"/>
    </row>
    <row r="368">
      <c r="L368" s="217"/>
    </row>
    <row r="369">
      <c r="L369" s="217"/>
    </row>
    <row r="370">
      <c r="L370" s="217"/>
    </row>
    <row r="371">
      <c r="L371" s="217"/>
    </row>
    <row r="372">
      <c r="L372" s="217"/>
    </row>
    <row r="373">
      <c r="L373" s="217"/>
    </row>
    <row r="374">
      <c r="L374" s="217"/>
    </row>
    <row r="375">
      <c r="L375" s="217"/>
    </row>
    <row r="376">
      <c r="L376" s="217"/>
    </row>
    <row r="377">
      <c r="L377" s="217"/>
    </row>
    <row r="378">
      <c r="L378" s="217"/>
    </row>
    <row r="379">
      <c r="L379" s="217"/>
    </row>
    <row r="380">
      <c r="L380" s="217"/>
    </row>
    <row r="381">
      <c r="L381" s="217"/>
    </row>
    <row r="382">
      <c r="L382" s="217"/>
    </row>
    <row r="383">
      <c r="L383" s="217"/>
    </row>
    <row r="384">
      <c r="L384" s="217"/>
    </row>
    <row r="385">
      <c r="L385" s="217"/>
    </row>
    <row r="386">
      <c r="L386" s="217"/>
    </row>
    <row r="387">
      <c r="L387" s="217"/>
    </row>
    <row r="388">
      <c r="L388" s="217"/>
    </row>
    <row r="389">
      <c r="L389" s="217"/>
    </row>
    <row r="390">
      <c r="L390" s="217"/>
    </row>
    <row r="391">
      <c r="L391" s="217"/>
    </row>
    <row r="392">
      <c r="L392" s="217"/>
    </row>
    <row r="393">
      <c r="L393" s="217"/>
    </row>
    <row r="394">
      <c r="L394" s="217"/>
    </row>
    <row r="395">
      <c r="L395" s="217"/>
    </row>
    <row r="396">
      <c r="L396" s="217"/>
    </row>
    <row r="397">
      <c r="L397" s="217"/>
    </row>
    <row r="398">
      <c r="L398" s="217"/>
    </row>
    <row r="399">
      <c r="L399" s="217"/>
    </row>
    <row r="400">
      <c r="L400" s="217"/>
    </row>
    <row r="401">
      <c r="L401" s="217"/>
    </row>
    <row r="402">
      <c r="L402" s="217"/>
    </row>
    <row r="403">
      <c r="L403" s="217"/>
    </row>
    <row r="404">
      <c r="L404" s="217"/>
    </row>
    <row r="405">
      <c r="L405" s="217"/>
    </row>
    <row r="406">
      <c r="L406" s="217"/>
    </row>
    <row r="407">
      <c r="L407" s="217"/>
    </row>
    <row r="408">
      <c r="L408" s="217"/>
    </row>
    <row r="409">
      <c r="L409" s="217"/>
    </row>
    <row r="410">
      <c r="L410" s="217"/>
    </row>
    <row r="411">
      <c r="L411" s="217"/>
    </row>
    <row r="412">
      <c r="L412" s="217"/>
    </row>
    <row r="413">
      <c r="L413" s="217"/>
    </row>
    <row r="414">
      <c r="L414" s="217"/>
    </row>
    <row r="415">
      <c r="L415" s="217"/>
    </row>
    <row r="416">
      <c r="L416" s="217"/>
    </row>
    <row r="417">
      <c r="L417" s="217"/>
    </row>
    <row r="418">
      <c r="L418" s="217"/>
    </row>
    <row r="419">
      <c r="L419" s="217"/>
    </row>
    <row r="420">
      <c r="L420" s="217"/>
    </row>
    <row r="421">
      <c r="L421" s="217"/>
    </row>
    <row r="422">
      <c r="L422" s="217"/>
    </row>
    <row r="423">
      <c r="L423" s="217"/>
    </row>
    <row r="424">
      <c r="L424" s="217"/>
    </row>
    <row r="425">
      <c r="L425" s="217"/>
    </row>
    <row r="426">
      <c r="L426" s="217"/>
    </row>
    <row r="427">
      <c r="L427" s="217"/>
    </row>
    <row r="428">
      <c r="L428" s="217"/>
    </row>
    <row r="429">
      <c r="L429" s="217"/>
    </row>
    <row r="430">
      <c r="L430" s="217"/>
    </row>
    <row r="431">
      <c r="L431" s="217"/>
    </row>
    <row r="432">
      <c r="L432" s="217"/>
    </row>
    <row r="433">
      <c r="L433" s="217"/>
    </row>
    <row r="434">
      <c r="L434" s="217"/>
    </row>
    <row r="435">
      <c r="L435" s="217"/>
    </row>
    <row r="436">
      <c r="L436" s="217"/>
    </row>
    <row r="437">
      <c r="L437" s="217"/>
    </row>
    <row r="438">
      <c r="L438" s="217"/>
    </row>
    <row r="439">
      <c r="L439" s="217"/>
    </row>
    <row r="440">
      <c r="L440" s="217"/>
    </row>
    <row r="441">
      <c r="L441" s="217"/>
    </row>
    <row r="442">
      <c r="L442" s="217"/>
    </row>
    <row r="443">
      <c r="L443" s="217"/>
    </row>
    <row r="444">
      <c r="L444" s="217"/>
    </row>
    <row r="445">
      <c r="L445" s="217"/>
    </row>
    <row r="446">
      <c r="L446" s="217"/>
    </row>
    <row r="447">
      <c r="L447" s="217"/>
    </row>
    <row r="448">
      <c r="L448" s="217"/>
    </row>
    <row r="449">
      <c r="L449" s="217"/>
    </row>
    <row r="450">
      <c r="L450" s="217"/>
    </row>
    <row r="451">
      <c r="L451" s="217"/>
    </row>
    <row r="452">
      <c r="L452" s="217"/>
    </row>
    <row r="453">
      <c r="L453" s="217"/>
    </row>
    <row r="454">
      <c r="L454" s="217"/>
    </row>
    <row r="455">
      <c r="L455" s="217"/>
    </row>
    <row r="456">
      <c r="L456" s="217"/>
    </row>
    <row r="457">
      <c r="L457" s="217"/>
    </row>
    <row r="458">
      <c r="L458" s="217"/>
    </row>
    <row r="459">
      <c r="L459" s="217"/>
    </row>
    <row r="460">
      <c r="L460" s="217"/>
    </row>
    <row r="461">
      <c r="L461" s="217"/>
    </row>
    <row r="462">
      <c r="L462" s="217"/>
    </row>
    <row r="463">
      <c r="L463" s="217"/>
    </row>
    <row r="464">
      <c r="L464" s="217"/>
    </row>
    <row r="465">
      <c r="L465" s="217"/>
    </row>
    <row r="466">
      <c r="L466" s="217"/>
    </row>
    <row r="467">
      <c r="L467" s="217"/>
    </row>
    <row r="468">
      <c r="L468" s="217"/>
    </row>
    <row r="469">
      <c r="L469" s="217"/>
    </row>
    <row r="470">
      <c r="L470" s="217"/>
    </row>
    <row r="471">
      <c r="L471" s="217"/>
    </row>
    <row r="472">
      <c r="L472" s="217"/>
    </row>
    <row r="473">
      <c r="L473" s="217"/>
    </row>
    <row r="474">
      <c r="L474" s="217"/>
    </row>
    <row r="475">
      <c r="L475" s="217"/>
    </row>
    <row r="476">
      <c r="L476" s="217"/>
    </row>
    <row r="477">
      <c r="L477" s="217"/>
    </row>
    <row r="478">
      <c r="L478" s="217"/>
    </row>
    <row r="479">
      <c r="L479" s="217"/>
    </row>
    <row r="480">
      <c r="L480" s="217"/>
    </row>
    <row r="481">
      <c r="L481" s="217"/>
    </row>
    <row r="482">
      <c r="L482" s="217"/>
    </row>
    <row r="483">
      <c r="L483" s="217"/>
    </row>
    <row r="484">
      <c r="L484" s="217"/>
    </row>
    <row r="485">
      <c r="L485" s="217"/>
    </row>
    <row r="486">
      <c r="L486" s="217"/>
    </row>
    <row r="487">
      <c r="L487" s="217"/>
    </row>
    <row r="488">
      <c r="L488" s="217"/>
    </row>
    <row r="489">
      <c r="L489" s="217"/>
    </row>
    <row r="490">
      <c r="L490" s="217"/>
    </row>
    <row r="491">
      <c r="L491" s="217"/>
    </row>
    <row r="492">
      <c r="L492" s="217"/>
    </row>
    <row r="493">
      <c r="L493" s="217"/>
    </row>
    <row r="494">
      <c r="L494" s="217"/>
    </row>
    <row r="495">
      <c r="L495" s="217"/>
    </row>
    <row r="496">
      <c r="L496" s="217"/>
    </row>
    <row r="497">
      <c r="L497" s="217"/>
    </row>
    <row r="498">
      <c r="L498" s="217"/>
    </row>
    <row r="499">
      <c r="L499" s="217"/>
    </row>
    <row r="500">
      <c r="L500" s="217"/>
    </row>
    <row r="501">
      <c r="L501" s="217"/>
    </row>
    <row r="502">
      <c r="L502" s="217"/>
    </row>
    <row r="503">
      <c r="L503" s="217"/>
    </row>
    <row r="504">
      <c r="L504" s="217"/>
    </row>
    <row r="505">
      <c r="L505" s="217"/>
    </row>
    <row r="506">
      <c r="L506" s="217"/>
    </row>
    <row r="507">
      <c r="L507" s="217"/>
    </row>
    <row r="508">
      <c r="L508" s="217"/>
    </row>
    <row r="509">
      <c r="L509" s="217"/>
    </row>
    <row r="510">
      <c r="L510" s="217"/>
    </row>
    <row r="511">
      <c r="L511" s="217"/>
    </row>
    <row r="512">
      <c r="L512" s="217"/>
    </row>
    <row r="513">
      <c r="L513" s="217"/>
    </row>
    <row r="514">
      <c r="L514" s="217"/>
    </row>
    <row r="515">
      <c r="L515" s="217"/>
    </row>
    <row r="516">
      <c r="L516" s="217"/>
    </row>
    <row r="517">
      <c r="L517" s="217"/>
    </row>
    <row r="518">
      <c r="L518" s="217"/>
    </row>
    <row r="519">
      <c r="L519" s="217"/>
    </row>
    <row r="520">
      <c r="L520" s="217"/>
    </row>
    <row r="521">
      <c r="L521" s="217"/>
    </row>
    <row r="522">
      <c r="L522" s="217"/>
    </row>
    <row r="523">
      <c r="L523" s="217"/>
    </row>
    <row r="524">
      <c r="L524" s="217"/>
    </row>
    <row r="525">
      <c r="L525" s="217"/>
    </row>
    <row r="526">
      <c r="L526" s="217"/>
    </row>
    <row r="527">
      <c r="L527" s="217"/>
    </row>
    <row r="528">
      <c r="L528" s="217"/>
    </row>
    <row r="529">
      <c r="L529" s="217"/>
    </row>
    <row r="530">
      <c r="L530" s="217"/>
    </row>
    <row r="531">
      <c r="L531" s="217"/>
    </row>
    <row r="532">
      <c r="L532" s="217"/>
    </row>
    <row r="533">
      <c r="L533" s="217"/>
    </row>
    <row r="534">
      <c r="L534" s="217"/>
    </row>
    <row r="535">
      <c r="L535" s="217"/>
    </row>
    <row r="536">
      <c r="L536" s="217"/>
    </row>
    <row r="537">
      <c r="L537" s="217"/>
    </row>
    <row r="538">
      <c r="L538" s="217"/>
    </row>
    <row r="539">
      <c r="L539" s="217"/>
    </row>
    <row r="540">
      <c r="L540" s="217"/>
    </row>
    <row r="541">
      <c r="L541" s="217"/>
    </row>
    <row r="542">
      <c r="L542" s="217"/>
    </row>
    <row r="543">
      <c r="L543" s="217"/>
    </row>
    <row r="544">
      <c r="L544" s="217"/>
    </row>
    <row r="545">
      <c r="L545" s="217"/>
    </row>
    <row r="546">
      <c r="L546" s="217"/>
    </row>
    <row r="547">
      <c r="L547" s="217"/>
    </row>
    <row r="548">
      <c r="L548" s="217"/>
    </row>
    <row r="549">
      <c r="L549" s="217"/>
    </row>
    <row r="550">
      <c r="L550" s="217"/>
    </row>
    <row r="551">
      <c r="L551" s="217"/>
    </row>
    <row r="552">
      <c r="L552" s="217"/>
    </row>
    <row r="553">
      <c r="L553" s="217"/>
    </row>
    <row r="554">
      <c r="L554" s="217"/>
    </row>
    <row r="555">
      <c r="L555" s="217"/>
    </row>
    <row r="556">
      <c r="L556" s="217"/>
    </row>
    <row r="557">
      <c r="L557" s="217"/>
    </row>
    <row r="558">
      <c r="L558" s="217"/>
    </row>
    <row r="559">
      <c r="L559" s="217"/>
    </row>
    <row r="560">
      <c r="L560" s="217"/>
    </row>
    <row r="561">
      <c r="L561" s="217"/>
    </row>
    <row r="562">
      <c r="L562" s="217"/>
    </row>
    <row r="563">
      <c r="L563" s="217"/>
    </row>
    <row r="564">
      <c r="L564" s="217"/>
    </row>
    <row r="565">
      <c r="L565" s="217"/>
    </row>
    <row r="566">
      <c r="L566" s="217"/>
    </row>
    <row r="567">
      <c r="L567" s="217"/>
    </row>
    <row r="568">
      <c r="L568" s="217"/>
    </row>
    <row r="569">
      <c r="L569" s="217"/>
    </row>
    <row r="570">
      <c r="L570" s="217"/>
    </row>
    <row r="571">
      <c r="L571" s="217"/>
    </row>
    <row r="572">
      <c r="L572" s="217"/>
    </row>
    <row r="573">
      <c r="L573" s="217"/>
    </row>
    <row r="574">
      <c r="L574" s="217"/>
    </row>
    <row r="575">
      <c r="L575" s="217"/>
    </row>
    <row r="576">
      <c r="L576" s="217"/>
    </row>
    <row r="577">
      <c r="L577" s="217"/>
    </row>
    <row r="578">
      <c r="L578" s="217"/>
    </row>
    <row r="579">
      <c r="L579" s="217"/>
    </row>
    <row r="580">
      <c r="L580" s="217"/>
    </row>
    <row r="581">
      <c r="L581" s="217"/>
    </row>
    <row r="582">
      <c r="L582" s="217"/>
    </row>
    <row r="583">
      <c r="L583" s="217"/>
    </row>
    <row r="584">
      <c r="L584" s="217"/>
    </row>
    <row r="585">
      <c r="L585" s="217"/>
    </row>
    <row r="586">
      <c r="L586" s="217"/>
    </row>
    <row r="587">
      <c r="L587" s="217"/>
    </row>
    <row r="588">
      <c r="L588" s="217"/>
    </row>
    <row r="589">
      <c r="L589" s="217"/>
    </row>
    <row r="590">
      <c r="L590" s="217"/>
    </row>
    <row r="591">
      <c r="L591" s="217"/>
    </row>
    <row r="592">
      <c r="L592" s="217"/>
    </row>
    <row r="593">
      <c r="L593" s="217"/>
    </row>
    <row r="594">
      <c r="L594" s="217"/>
    </row>
    <row r="595">
      <c r="L595" s="217"/>
    </row>
    <row r="596">
      <c r="L596" s="217"/>
    </row>
    <row r="597">
      <c r="L597" s="217"/>
    </row>
    <row r="598">
      <c r="L598" s="217"/>
    </row>
    <row r="599">
      <c r="L599" s="217"/>
    </row>
    <row r="600">
      <c r="L600" s="217"/>
    </row>
    <row r="601">
      <c r="L601" s="217"/>
    </row>
    <row r="602">
      <c r="L602" s="217"/>
    </row>
    <row r="603">
      <c r="L603" s="217"/>
    </row>
    <row r="604">
      <c r="L604" s="217"/>
    </row>
    <row r="605">
      <c r="L605" s="217"/>
    </row>
    <row r="606">
      <c r="L606" s="217"/>
    </row>
    <row r="607">
      <c r="L607" s="217"/>
    </row>
    <row r="608">
      <c r="L608" s="217"/>
    </row>
    <row r="609">
      <c r="L609" s="217"/>
    </row>
    <row r="610">
      <c r="L610" s="217"/>
    </row>
    <row r="611">
      <c r="L611" s="217"/>
    </row>
    <row r="612">
      <c r="L612" s="217"/>
    </row>
    <row r="613">
      <c r="L613" s="217"/>
    </row>
    <row r="614">
      <c r="L614" s="217"/>
    </row>
    <row r="615">
      <c r="L615" s="217"/>
    </row>
    <row r="616">
      <c r="L616" s="217"/>
    </row>
    <row r="617">
      <c r="L617" s="217"/>
    </row>
    <row r="618">
      <c r="L618" s="217"/>
    </row>
    <row r="619">
      <c r="L619" s="217"/>
    </row>
    <row r="620">
      <c r="L620" s="217"/>
    </row>
    <row r="621">
      <c r="L621" s="217"/>
    </row>
    <row r="622">
      <c r="L622" s="217"/>
    </row>
    <row r="623">
      <c r="L623" s="217"/>
    </row>
    <row r="624">
      <c r="L624" s="217"/>
    </row>
    <row r="625">
      <c r="L625" s="217"/>
    </row>
    <row r="626">
      <c r="L626" s="217"/>
    </row>
    <row r="627">
      <c r="L627" s="217"/>
    </row>
    <row r="628">
      <c r="L628" s="217"/>
    </row>
    <row r="629">
      <c r="L629" s="217"/>
    </row>
    <row r="630">
      <c r="L630" s="217"/>
    </row>
    <row r="631">
      <c r="L631" s="217"/>
    </row>
    <row r="632">
      <c r="L632" s="217"/>
    </row>
    <row r="633">
      <c r="L633" s="217"/>
    </row>
    <row r="634">
      <c r="L634" s="217"/>
    </row>
    <row r="635">
      <c r="L635" s="217"/>
    </row>
    <row r="636">
      <c r="L636" s="217"/>
    </row>
    <row r="637">
      <c r="L637" s="217"/>
    </row>
    <row r="638">
      <c r="L638" s="217"/>
    </row>
    <row r="639">
      <c r="L639" s="217"/>
    </row>
    <row r="640">
      <c r="L640" s="217"/>
    </row>
    <row r="641">
      <c r="L641" s="217"/>
    </row>
    <row r="642">
      <c r="L642" s="217"/>
    </row>
    <row r="643">
      <c r="L643" s="217"/>
    </row>
    <row r="644">
      <c r="L644" s="217"/>
    </row>
    <row r="645">
      <c r="L645" s="217"/>
    </row>
    <row r="646">
      <c r="L646" s="217"/>
    </row>
    <row r="647">
      <c r="L647" s="217"/>
    </row>
    <row r="648">
      <c r="L648" s="217"/>
    </row>
    <row r="649">
      <c r="L649" s="217"/>
    </row>
    <row r="650">
      <c r="L650" s="217"/>
    </row>
    <row r="651">
      <c r="L651" s="217"/>
    </row>
    <row r="652">
      <c r="L652" s="217"/>
    </row>
    <row r="653">
      <c r="L653" s="217"/>
    </row>
    <row r="654">
      <c r="L654" s="217"/>
    </row>
    <row r="655">
      <c r="L655" s="217"/>
    </row>
    <row r="656">
      <c r="L656" s="217"/>
    </row>
    <row r="657">
      <c r="L657" s="217"/>
    </row>
    <row r="658">
      <c r="L658" s="217"/>
    </row>
    <row r="659">
      <c r="L659" s="217"/>
    </row>
    <row r="660">
      <c r="L660" s="217"/>
    </row>
    <row r="661">
      <c r="L661" s="217"/>
    </row>
    <row r="662">
      <c r="L662" s="217"/>
    </row>
    <row r="663">
      <c r="L663" s="217"/>
    </row>
    <row r="664">
      <c r="L664" s="217"/>
    </row>
    <row r="665">
      <c r="L665" s="217"/>
    </row>
    <row r="666">
      <c r="L666" s="217"/>
    </row>
    <row r="667">
      <c r="L667" s="217"/>
    </row>
    <row r="668">
      <c r="L668" s="217"/>
    </row>
    <row r="669">
      <c r="L669" s="217"/>
    </row>
    <row r="670">
      <c r="L670" s="217"/>
    </row>
    <row r="671">
      <c r="L671" s="217"/>
    </row>
    <row r="672">
      <c r="L672" s="217"/>
    </row>
    <row r="673">
      <c r="L673" s="217"/>
    </row>
    <row r="674">
      <c r="L674" s="217"/>
    </row>
    <row r="675">
      <c r="L675" s="217"/>
    </row>
    <row r="676">
      <c r="L676" s="217"/>
    </row>
    <row r="677">
      <c r="L677" s="217"/>
    </row>
    <row r="678">
      <c r="L678" s="217"/>
    </row>
    <row r="679">
      <c r="L679" s="217"/>
    </row>
    <row r="680">
      <c r="L680" s="217"/>
    </row>
    <row r="681">
      <c r="L681" s="217"/>
    </row>
    <row r="682">
      <c r="L682" s="217"/>
    </row>
    <row r="683">
      <c r="L683" s="217"/>
    </row>
    <row r="684">
      <c r="L684" s="217"/>
    </row>
    <row r="685">
      <c r="L685" s="217"/>
    </row>
    <row r="686">
      <c r="L686" s="217"/>
    </row>
    <row r="687">
      <c r="L687" s="217"/>
    </row>
    <row r="688">
      <c r="L688" s="217"/>
    </row>
    <row r="689">
      <c r="L689" s="217"/>
    </row>
    <row r="690">
      <c r="L690" s="217"/>
    </row>
    <row r="691">
      <c r="L691" s="217"/>
    </row>
    <row r="692">
      <c r="L692" s="217"/>
    </row>
    <row r="693">
      <c r="L693" s="217"/>
    </row>
    <row r="694">
      <c r="L694" s="217"/>
    </row>
    <row r="695">
      <c r="L695" s="217"/>
    </row>
    <row r="696">
      <c r="L696" s="217"/>
    </row>
    <row r="697">
      <c r="L697" s="217"/>
    </row>
    <row r="698">
      <c r="L698" s="217"/>
    </row>
    <row r="699">
      <c r="L699" s="217"/>
    </row>
    <row r="700">
      <c r="L700" s="217"/>
    </row>
    <row r="701">
      <c r="L701" s="217"/>
    </row>
    <row r="702">
      <c r="L702" s="217"/>
    </row>
    <row r="703">
      <c r="L703" s="217"/>
    </row>
    <row r="704">
      <c r="L704" s="217"/>
    </row>
    <row r="705">
      <c r="L705" s="217"/>
    </row>
    <row r="706">
      <c r="L706" s="217"/>
    </row>
    <row r="707">
      <c r="L707" s="217"/>
    </row>
    <row r="708">
      <c r="L708" s="217"/>
    </row>
    <row r="709">
      <c r="L709" s="217"/>
    </row>
    <row r="710">
      <c r="L710" s="217"/>
    </row>
    <row r="711">
      <c r="L711" s="217"/>
    </row>
    <row r="712">
      <c r="L712" s="217"/>
    </row>
    <row r="713">
      <c r="L713" s="217"/>
    </row>
    <row r="714">
      <c r="L714" s="217"/>
    </row>
    <row r="715">
      <c r="L715" s="217"/>
    </row>
    <row r="716">
      <c r="L716" s="217"/>
    </row>
    <row r="717">
      <c r="L717" s="217"/>
    </row>
    <row r="718">
      <c r="L718" s="217"/>
    </row>
    <row r="719">
      <c r="L719" s="217"/>
    </row>
    <row r="720">
      <c r="L720" s="217"/>
    </row>
    <row r="721">
      <c r="L721" s="217"/>
    </row>
    <row r="722">
      <c r="L722" s="217"/>
    </row>
    <row r="723">
      <c r="L723" s="217"/>
    </row>
    <row r="724">
      <c r="L724" s="217"/>
    </row>
    <row r="725">
      <c r="L725" s="217"/>
    </row>
    <row r="726">
      <c r="L726" s="217"/>
    </row>
    <row r="727">
      <c r="L727" s="217"/>
    </row>
    <row r="728">
      <c r="L728" s="217"/>
    </row>
    <row r="729">
      <c r="L729" s="217"/>
    </row>
    <row r="730">
      <c r="L730" s="217"/>
    </row>
    <row r="731">
      <c r="L731" s="217"/>
    </row>
    <row r="732">
      <c r="L732" s="217"/>
    </row>
    <row r="733">
      <c r="L733" s="217"/>
    </row>
    <row r="734">
      <c r="L734" s="217"/>
    </row>
    <row r="735">
      <c r="L735" s="217"/>
    </row>
    <row r="736">
      <c r="L736" s="217"/>
    </row>
    <row r="737">
      <c r="L737" s="217"/>
    </row>
    <row r="738">
      <c r="L738" s="217"/>
    </row>
    <row r="739">
      <c r="L739" s="217"/>
    </row>
    <row r="740">
      <c r="L740" s="217"/>
    </row>
    <row r="741">
      <c r="L741" s="217"/>
    </row>
    <row r="742">
      <c r="L742" s="217"/>
    </row>
    <row r="743">
      <c r="L743" s="217"/>
    </row>
    <row r="744">
      <c r="L744" s="217"/>
    </row>
    <row r="745">
      <c r="L745" s="217"/>
    </row>
    <row r="746">
      <c r="L746" s="217"/>
    </row>
    <row r="747">
      <c r="L747" s="217"/>
    </row>
    <row r="748">
      <c r="L748" s="217"/>
    </row>
    <row r="749">
      <c r="L749" s="217"/>
    </row>
    <row r="750">
      <c r="L750" s="217"/>
    </row>
    <row r="751">
      <c r="L751" s="217"/>
    </row>
    <row r="752">
      <c r="L752" s="217"/>
    </row>
    <row r="753">
      <c r="L753" s="217"/>
    </row>
    <row r="754">
      <c r="L754" s="217"/>
    </row>
    <row r="755">
      <c r="L755" s="217"/>
    </row>
    <row r="756">
      <c r="L756" s="217"/>
    </row>
    <row r="757">
      <c r="L757" s="217"/>
    </row>
    <row r="758">
      <c r="L758" s="217"/>
    </row>
    <row r="759">
      <c r="L759" s="217"/>
    </row>
    <row r="760">
      <c r="L760" s="217"/>
    </row>
    <row r="761">
      <c r="L761" s="217"/>
    </row>
    <row r="762">
      <c r="L762" s="217"/>
    </row>
    <row r="763">
      <c r="L763" s="217"/>
    </row>
    <row r="764">
      <c r="L764" s="217"/>
    </row>
    <row r="765">
      <c r="L765" s="217"/>
    </row>
    <row r="766">
      <c r="L766" s="217"/>
    </row>
    <row r="767">
      <c r="L767" s="217"/>
    </row>
    <row r="768">
      <c r="L768" s="217"/>
    </row>
    <row r="769">
      <c r="L769" s="217"/>
    </row>
    <row r="770">
      <c r="L770" s="217"/>
    </row>
    <row r="771">
      <c r="L771" s="217"/>
    </row>
    <row r="772">
      <c r="L772" s="217"/>
    </row>
    <row r="773">
      <c r="L773" s="217"/>
    </row>
    <row r="774">
      <c r="L774" s="217"/>
    </row>
    <row r="775">
      <c r="L775" s="217"/>
    </row>
    <row r="776">
      <c r="L776" s="217"/>
    </row>
    <row r="777">
      <c r="L777" s="217"/>
    </row>
    <row r="778">
      <c r="L778" s="217"/>
    </row>
    <row r="779">
      <c r="L779" s="217"/>
    </row>
    <row r="780">
      <c r="L780" s="217"/>
    </row>
    <row r="781">
      <c r="L781" s="217"/>
    </row>
    <row r="782">
      <c r="L782" s="217"/>
    </row>
    <row r="783">
      <c r="L783" s="217"/>
    </row>
    <row r="784">
      <c r="L784" s="217"/>
    </row>
    <row r="785">
      <c r="L785" s="217"/>
    </row>
    <row r="786">
      <c r="L786" s="217"/>
    </row>
    <row r="787">
      <c r="L787" s="217"/>
    </row>
    <row r="788">
      <c r="L788" s="217"/>
    </row>
    <row r="789">
      <c r="L789" s="217"/>
    </row>
    <row r="790">
      <c r="L790" s="217"/>
    </row>
    <row r="791">
      <c r="L791" s="217"/>
    </row>
    <row r="792">
      <c r="L792" s="217"/>
    </row>
    <row r="793">
      <c r="L793" s="217"/>
    </row>
    <row r="794">
      <c r="L794" s="217"/>
    </row>
    <row r="795">
      <c r="L795" s="217"/>
    </row>
    <row r="796">
      <c r="L796" s="217"/>
    </row>
    <row r="797">
      <c r="L797" s="217"/>
    </row>
    <row r="798">
      <c r="L798" s="217"/>
    </row>
    <row r="799">
      <c r="L799" s="217"/>
    </row>
    <row r="800">
      <c r="L800" s="217"/>
    </row>
    <row r="801">
      <c r="L801" s="217"/>
    </row>
    <row r="802">
      <c r="L802" s="217"/>
    </row>
    <row r="803">
      <c r="L803" s="217"/>
    </row>
    <row r="804">
      <c r="L804" s="217"/>
    </row>
    <row r="805">
      <c r="L805" s="217"/>
    </row>
    <row r="806">
      <c r="L806" s="217"/>
    </row>
    <row r="807">
      <c r="L807" s="217"/>
    </row>
    <row r="808">
      <c r="L808" s="217"/>
    </row>
    <row r="809">
      <c r="L809" s="217"/>
    </row>
    <row r="810">
      <c r="L810" s="217"/>
    </row>
    <row r="811">
      <c r="L811" s="217"/>
    </row>
    <row r="812">
      <c r="L812" s="217"/>
    </row>
    <row r="813">
      <c r="L813" s="217"/>
    </row>
    <row r="814">
      <c r="L814" s="217"/>
    </row>
    <row r="815">
      <c r="L815" s="217"/>
    </row>
    <row r="816">
      <c r="L816" s="217"/>
    </row>
    <row r="817">
      <c r="L817" s="217"/>
    </row>
    <row r="818">
      <c r="L818" s="217"/>
    </row>
    <row r="819">
      <c r="L819" s="217"/>
    </row>
    <row r="820">
      <c r="L820" s="217"/>
    </row>
    <row r="821">
      <c r="L821" s="217"/>
    </row>
    <row r="822">
      <c r="L822" s="217"/>
    </row>
    <row r="823">
      <c r="L823" s="217"/>
    </row>
    <row r="824">
      <c r="L824" s="217"/>
    </row>
    <row r="825">
      <c r="L825" s="217"/>
    </row>
    <row r="826">
      <c r="L826" s="217"/>
    </row>
    <row r="827">
      <c r="L827" s="217"/>
    </row>
    <row r="828">
      <c r="L828" s="217"/>
    </row>
    <row r="829">
      <c r="L829" s="217"/>
    </row>
    <row r="830">
      <c r="L830" s="217"/>
    </row>
    <row r="831">
      <c r="L831" s="217"/>
    </row>
    <row r="832">
      <c r="L832" s="217"/>
    </row>
    <row r="833">
      <c r="L833" s="217"/>
    </row>
    <row r="834">
      <c r="L834" s="217"/>
    </row>
    <row r="835">
      <c r="L835" s="217"/>
    </row>
    <row r="836">
      <c r="L836" s="217"/>
    </row>
    <row r="837">
      <c r="L837" s="217"/>
    </row>
    <row r="838">
      <c r="L838" s="217"/>
    </row>
    <row r="839">
      <c r="L839" s="217"/>
    </row>
    <row r="840">
      <c r="L840" s="217"/>
    </row>
    <row r="841">
      <c r="L841" s="217"/>
    </row>
    <row r="842">
      <c r="L842" s="217"/>
    </row>
    <row r="843">
      <c r="L843" s="217"/>
    </row>
    <row r="844">
      <c r="L844" s="217"/>
    </row>
    <row r="845">
      <c r="L845" s="217"/>
    </row>
    <row r="846">
      <c r="L846" s="217"/>
    </row>
    <row r="847">
      <c r="L847" s="217"/>
    </row>
    <row r="848">
      <c r="L848" s="217"/>
    </row>
    <row r="849">
      <c r="L849" s="217"/>
    </row>
    <row r="850">
      <c r="L850" s="217"/>
    </row>
    <row r="851">
      <c r="L851" s="217"/>
    </row>
    <row r="852">
      <c r="L852" s="217"/>
    </row>
    <row r="853">
      <c r="L853" s="217"/>
    </row>
    <row r="854">
      <c r="L854" s="217"/>
    </row>
    <row r="855">
      <c r="L855" s="217"/>
    </row>
    <row r="856">
      <c r="L856" s="217"/>
    </row>
    <row r="857">
      <c r="L857" s="217"/>
    </row>
    <row r="858">
      <c r="L858" s="217"/>
    </row>
    <row r="859">
      <c r="L859" s="217"/>
    </row>
    <row r="860">
      <c r="L860" s="217"/>
    </row>
    <row r="861">
      <c r="L861" s="217"/>
    </row>
    <row r="862">
      <c r="L862" s="217"/>
    </row>
    <row r="863">
      <c r="L863" s="217"/>
    </row>
    <row r="864">
      <c r="L864" s="217"/>
    </row>
    <row r="865">
      <c r="L865" s="217"/>
    </row>
    <row r="866">
      <c r="L866" s="217"/>
    </row>
    <row r="867">
      <c r="L867" s="217"/>
    </row>
    <row r="868">
      <c r="L868" s="217"/>
    </row>
    <row r="869">
      <c r="L869" s="217"/>
    </row>
    <row r="870">
      <c r="L870" s="217"/>
    </row>
    <row r="871">
      <c r="L871" s="217"/>
    </row>
    <row r="872">
      <c r="L872" s="217"/>
    </row>
    <row r="873">
      <c r="L873" s="217"/>
    </row>
    <row r="874">
      <c r="L874" s="217"/>
    </row>
    <row r="875">
      <c r="L875" s="217"/>
    </row>
    <row r="876">
      <c r="L876" s="217"/>
    </row>
    <row r="877">
      <c r="L877" s="217"/>
    </row>
    <row r="878">
      <c r="L878" s="217"/>
    </row>
    <row r="879">
      <c r="L879" s="217"/>
    </row>
    <row r="880">
      <c r="L880" s="217"/>
    </row>
    <row r="881">
      <c r="L881" s="217"/>
    </row>
    <row r="882">
      <c r="L882" s="217"/>
    </row>
    <row r="883">
      <c r="L883" s="217"/>
    </row>
    <row r="884">
      <c r="L884" s="217"/>
    </row>
    <row r="885">
      <c r="L885" s="217"/>
    </row>
    <row r="886">
      <c r="L886" s="217"/>
    </row>
    <row r="887">
      <c r="L887" s="217"/>
    </row>
    <row r="888">
      <c r="L888" s="217"/>
    </row>
    <row r="889">
      <c r="L889" s="217"/>
    </row>
    <row r="890">
      <c r="L890" s="217"/>
    </row>
    <row r="891">
      <c r="L891" s="217"/>
    </row>
    <row r="892">
      <c r="L892" s="217"/>
    </row>
    <row r="893">
      <c r="L893" s="217"/>
    </row>
    <row r="894">
      <c r="L894" s="217"/>
    </row>
    <row r="895">
      <c r="L895" s="217"/>
    </row>
    <row r="896">
      <c r="L896" s="217"/>
    </row>
    <row r="897">
      <c r="L897" s="217"/>
    </row>
    <row r="898">
      <c r="L898" s="217"/>
    </row>
    <row r="899">
      <c r="L899" s="217"/>
    </row>
    <row r="900">
      <c r="L900" s="217"/>
    </row>
    <row r="901">
      <c r="L901" s="217"/>
    </row>
    <row r="902">
      <c r="L902" s="217"/>
    </row>
    <row r="903">
      <c r="L903" s="217"/>
    </row>
    <row r="904">
      <c r="L904" s="217"/>
    </row>
    <row r="905">
      <c r="L905" s="217"/>
    </row>
    <row r="906">
      <c r="L906" s="217"/>
    </row>
    <row r="907">
      <c r="L907" s="217"/>
    </row>
    <row r="908">
      <c r="L908" s="217"/>
    </row>
    <row r="909">
      <c r="L909" s="217"/>
    </row>
    <row r="910">
      <c r="L910" s="217"/>
    </row>
    <row r="911">
      <c r="L911" s="217"/>
    </row>
    <row r="912">
      <c r="L912" s="217"/>
    </row>
    <row r="913">
      <c r="L913" s="217"/>
    </row>
    <row r="914">
      <c r="L914" s="217"/>
    </row>
    <row r="915">
      <c r="L915" s="217"/>
    </row>
    <row r="916">
      <c r="L916" s="217"/>
    </row>
    <row r="917">
      <c r="L917" s="217"/>
    </row>
    <row r="918">
      <c r="L918" s="217"/>
    </row>
    <row r="919">
      <c r="L919" s="217"/>
    </row>
    <row r="920">
      <c r="L920" s="217"/>
    </row>
    <row r="921">
      <c r="L921" s="217"/>
    </row>
    <row r="922">
      <c r="L922" s="217"/>
    </row>
    <row r="923">
      <c r="L923" s="217"/>
    </row>
    <row r="924">
      <c r="L924" s="217"/>
    </row>
    <row r="925">
      <c r="L925" s="217"/>
    </row>
    <row r="926">
      <c r="L926" s="217"/>
    </row>
    <row r="927">
      <c r="L927" s="217"/>
    </row>
    <row r="928">
      <c r="L928" s="217"/>
    </row>
    <row r="929">
      <c r="L929" s="217"/>
    </row>
    <row r="930">
      <c r="L930" s="217"/>
    </row>
    <row r="931">
      <c r="L931" s="217"/>
    </row>
    <row r="932">
      <c r="L932" s="217"/>
    </row>
    <row r="933">
      <c r="L933" s="217"/>
    </row>
    <row r="934">
      <c r="L934" s="217"/>
    </row>
    <row r="935">
      <c r="L935" s="217"/>
    </row>
    <row r="936">
      <c r="L936" s="217"/>
    </row>
    <row r="937">
      <c r="L937" s="217"/>
    </row>
    <row r="938">
      <c r="L938" s="217"/>
    </row>
    <row r="939">
      <c r="L939" s="217"/>
    </row>
    <row r="940">
      <c r="L940" s="217"/>
    </row>
    <row r="941">
      <c r="L941" s="217"/>
    </row>
    <row r="942">
      <c r="L942" s="217"/>
    </row>
    <row r="943">
      <c r="L943" s="217"/>
    </row>
    <row r="944">
      <c r="L944" s="217"/>
    </row>
    <row r="945">
      <c r="L945" s="217"/>
    </row>
    <row r="946">
      <c r="L946" s="217"/>
    </row>
    <row r="947">
      <c r="L947" s="217"/>
    </row>
    <row r="948">
      <c r="L948" s="217"/>
    </row>
    <row r="949">
      <c r="L949" s="217"/>
    </row>
    <row r="950">
      <c r="L950" s="217"/>
    </row>
    <row r="951">
      <c r="L951" s="217"/>
    </row>
    <row r="952">
      <c r="L952" s="217"/>
    </row>
    <row r="953">
      <c r="L953" s="217"/>
    </row>
    <row r="954">
      <c r="L954" s="217"/>
    </row>
    <row r="955">
      <c r="L955" s="217"/>
    </row>
    <row r="956">
      <c r="L956" s="217"/>
    </row>
    <row r="957">
      <c r="L957" s="217"/>
    </row>
    <row r="958">
      <c r="L958" s="217"/>
    </row>
    <row r="959">
      <c r="L959" s="217"/>
    </row>
    <row r="960">
      <c r="L960" s="217"/>
    </row>
    <row r="961">
      <c r="L961" s="217"/>
    </row>
    <row r="962">
      <c r="L962" s="217"/>
    </row>
    <row r="963">
      <c r="L963" s="217"/>
    </row>
    <row r="964">
      <c r="L964" s="217"/>
    </row>
    <row r="965">
      <c r="L965" s="217"/>
    </row>
    <row r="966">
      <c r="L966" s="217"/>
    </row>
    <row r="967">
      <c r="L967" s="217"/>
    </row>
    <row r="968">
      <c r="L968" s="217"/>
    </row>
    <row r="969">
      <c r="L969" s="217"/>
    </row>
    <row r="970">
      <c r="L970" s="217"/>
    </row>
    <row r="971">
      <c r="L971" s="217"/>
    </row>
    <row r="972">
      <c r="L972" s="217"/>
    </row>
    <row r="973">
      <c r="L973" s="217"/>
    </row>
    <row r="974">
      <c r="L974" s="217"/>
    </row>
    <row r="975">
      <c r="L975" s="217"/>
    </row>
    <row r="976">
      <c r="L976" s="217"/>
    </row>
    <row r="977">
      <c r="L977" s="217"/>
    </row>
    <row r="978">
      <c r="L978" s="217"/>
    </row>
    <row r="979">
      <c r="L979" s="217"/>
    </row>
    <row r="980">
      <c r="L980" s="217"/>
    </row>
    <row r="981">
      <c r="L981" s="217"/>
    </row>
    <row r="982">
      <c r="L982" s="217"/>
    </row>
    <row r="983">
      <c r="L983" s="217"/>
    </row>
    <row r="984">
      <c r="L984" s="217"/>
    </row>
    <row r="985">
      <c r="L985" s="217"/>
    </row>
    <row r="986">
      <c r="L986" s="217"/>
    </row>
    <row r="987">
      <c r="L987" s="217"/>
    </row>
    <row r="988">
      <c r="L988" s="217"/>
    </row>
    <row r="989">
      <c r="L989" s="217"/>
    </row>
    <row r="990">
      <c r="L990" s="217"/>
    </row>
    <row r="991">
      <c r="L991" s="217"/>
    </row>
    <row r="992">
      <c r="L992" s="217"/>
    </row>
    <row r="993">
      <c r="L993" s="217"/>
    </row>
    <row r="994">
      <c r="L994" s="217"/>
    </row>
    <row r="995">
      <c r="L995" s="217"/>
    </row>
    <row r="996">
      <c r="L996" s="217"/>
    </row>
    <row r="997">
      <c r="L997" s="217"/>
    </row>
    <row r="998">
      <c r="L998" s="217"/>
    </row>
    <row r="999">
      <c r="L999" s="217"/>
    </row>
    <row r="1000">
      <c r="L1000" s="217"/>
    </row>
    <row r="1001">
      <c r="L1001" s="217"/>
    </row>
    <row r="1002">
      <c r="L1002" s="217"/>
    </row>
  </sheetData>
  <mergeCells count="4">
    <mergeCell ref="E32:F32"/>
    <mergeCell ref="G32:H32"/>
    <mergeCell ref="N32:O32"/>
    <mergeCell ref="P32:Q32"/>
  </mergeCells>
  <dataValidations>
    <dataValidation type="list" allowBlank="1" showErrorMessage="1" sqref="I7:I20">
      <formula1>Data!$A$2:$A$11</formula1>
    </dataValidation>
    <dataValidation type="list" allowBlank="1" sqref="J2">
      <formula1>"0%,5%,10%,15%,20%,25%,30%"</formula1>
    </dataValidation>
    <dataValidation type="list" allowBlank="1" showInputMessage="1" showErrorMessage="1" prompt="It indicates that % of task can be achieved using AI" sqref="D7:D30">
      <formula1>"0%,5%,7%,10%,12%,15%,17%,20%"</formula1>
    </dataValidation>
    <dataValidation type="decimal" allowBlank="1" showDropDown="1" showInputMessage="1" showErrorMessage="1" prompt="Enter a number between 1 and 6" sqref="F7:F30 O7:O31">
      <formula1>1.0</formula1>
      <formula2>6.0</formula2>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hidden="1" min="1" max="1" width="20.25"/>
    <col customWidth="1" hidden="1" min="2" max="2" width="19.38"/>
    <col customWidth="1" min="3" max="3" width="32.25"/>
    <col customWidth="1" min="4" max="4" width="8.88"/>
    <col customWidth="1" min="5" max="5" width="13.0"/>
    <col customWidth="1" min="6" max="6" width="13.63"/>
    <col customWidth="1" min="7" max="7" width="15.0"/>
    <col customWidth="1" min="8" max="10" width="11.88"/>
    <col customWidth="1" min="11" max="11" width="14.38"/>
  </cols>
  <sheetData>
    <row r="1" ht="24.0" customHeight="1">
      <c r="A1" s="221"/>
      <c r="B1" s="221"/>
      <c r="C1" s="222" t="s">
        <v>292</v>
      </c>
      <c r="D1" s="223"/>
      <c r="E1" s="223"/>
      <c r="F1" s="223"/>
      <c r="G1" s="223"/>
      <c r="H1" s="224">
        <f>ROUNDUP(sum(F6,F7,F8,F10,F13,F12),0)</f>
        <v>0</v>
      </c>
      <c r="I1" s="224">
        <f>ROUNDUP(sum(G6,G7,G8,G10,G12),0)</f>
        <v>0</v>
      </c>
      <c r="J1" s="224">
        <f>I1/4</f>
        <v>0</v>
      </c>
      <c r="K1" s="224">
        <f>ROUNDUP(Sum(Discovery!H3,Design!H3,Backend!H3,Frontend!H3,'Fixed Cost Items'!J3),0)</f>
        <v>0</v>
      </c>
      <c r="L1" s="43"/>
      <c r="M1" s="43"/>
      <c r="N1" s="43"/>
      <c r="O1" s="43"/>
      <c r="P1" s="217"/>
      <c r="Q1" s="217"/>
      <c r="R1" s="217"/>
      <c r="S1" s="217"/>
      <c r="T1" s="217"/>
      <c r="U1" s="217"/>
      <c r="V1" s="217"/>
      <c r="W1" s="217"/>
      <c r="X1" s="217"/>
      <c r="Y1" s="217"/>
      <c r="Z1" s="217"/>
    </row>
    <row r="2" ht="15.75" customHeight="1">
      <c r="A2" s="225"/>
      <c r="B2" s="225"/>
      <c r="C2" s="226" t="s">
        <v>293</v>
      </c>
      <c r="D2" s="227"/>
      <c r="E2" s="228"/>
      <c r="F2" s="228"/>
      <c r="G2" s="228"/>
      <c r="H2" s="229" t="s">
        <v>294</v>
      </c>
      <c r="I2" s="229" t="s">
        <v>295</v>
      </c>
      <c r="J2" s="229" t="s">
        <v>296</v>
      </c>
      <c r="K2" s="229" t="s">
        <v>297</v>
      </c>
      <c r="L2" s="43"/>
      <c r="M2" s="43"/>
      <c r="N2" s="43"/>
      <c r="O2" s="43"/>
      <c r="P2" s="217"/>
      <c r="Q2" s="217"/>
      <c r="R2" s="217"/>
      <c r="S2" s="217"/>
      <c r="T2" s="217"/>
      <c r="U2" s="217"/>
      <c r="V2" s="217"/>
      <c r="W2" s="217"/>
      <c r="X2" s="217"/>
      <c r="Y2" s="217"/>
      <c r="Z2" s="217"/>
    </row>
    <row r="3" ht="15.75" customHeight="1">
      <c r="A3" s="225"/>
      <c r="B3" s="225"/>
      <c r="C3" s="226" t="s">
        <v>298</v>
      </c>
      <c r="D3" s="230">
        <v>45023.0</v>
      </c>
      <c r="H3" s="217"/>
      <c r="I3" s="217"/>
      <c r="J3" s="43"/>
      <c r="K3" s="43"/>
      <c r="L3" s="43"/>
      <c r="M3" s="43"/>
      <c r="N3" s="43"/>
      <c r="O3" s="43"/>
      <c r="P3" s="217"/>
      <c r="Q3" s="217"/>
      <c r="R3" s="217"/>
      <c r="S3" s="217"/>
      <c r="T3" s="217"/>
      <c r="U3" s="217"/>
      <c r="V3" s="217"/>
      <c r="W3" s="217"/>
      <c r="X3" s="217"/>
      <c r="Y3" s="217"/>
      <c r="Z3" s="217"/>
    </row>
    <row r="4">
      <c r="A4" s="231"/>
      <c r="B4" s="231"/>
      <c r="C4" s="232" t="s">
        <v>299</v>
      </c>
      <c r="D4" s="233"/>
      <c r="E4" s="228"/>
      <c r="F4" s="228"/>
      <c r="G4" s="228"/>
      <c r="H4" s="43"/>
      <c r="I4" s="43"/>
      <c r="J4" s="43"/>
      <c r="K4" s="43"/>
      <c r="L4" s="43"/>
      <c r="M4" s="43"/>
      <c r="N4" s="43"/>
      <c r="O4" s="43"/>
      <c r="P4" s="217"/>
      <c r="Q4" s="217"/>
      <c r="R4" s="217"/>
      <c r="S4" s="217"/>
      <c r="T4" s="217"/>
      <c r="U4" s="217"/>
      <c r="V4" s="217"/>
      <c r="W4" s="217"/>
      <c r="X4" s="217"/>
      <c r="Y4" s="217"/>
      <c r="Z4" s="217"/>
    </row>
    <row r="5">
      <c r="A5" s="234" t="s">
        <v>288</v>
      </c>
      <c r="B5" s="234" t="s">
        <v>287</v>
      </c>
      <c r="C5" s="235" t="s">
        <v>300</v>
      </c>
      <c r="D5" s="234" t="s">
        <v>301</v>
      </c>
      <c r="E5" s="234" t="s">
        <v>61</v>
      </c>
      <c r="F5" s="234" t="s">
        <v>302</v>
      </c>
      <c r="G5" s="234" t="s">
        <v>303</v>
      </c>
      <c r="H5" s="43"/>
      <c r="I5" s="43"/>
      <c r="J5" s="43"/>
      <c r="K5" s="43"/>
      <c r="L5" s="43"/>
      <c r="M5" s="43"/>
      <c r="N5" s="43"/>
      <c r="O5" s="43"/>
      <c r="P5" s="217"/>
      <c r="Q5" s="217"/>
      <c r="R5" s="217"/>
      <c r="S5" s="217"/>
      <c r="T5" s="217"/>
      <c r="U5" s="217"/>
      <c r="V5" s="217"/>
      <c r="W5" s="217"/>
      <c r="X5" s="217"/>
      <c r="Y5" s="217"/>
      <c r="Z5" s="217"/>
    </row>
    <row r="6" ht="15.75" customHeight="1">
      <c r="A6" s="236">
        <f>Sum((F6*Data!E9)*30%,(F6*Data!E10)*70%)</f>
        <v>0</v>
      </c>
      <c r="B6" s="236">
        <f>ROUNDUP(Sum((F6*Data!C9)*30%,(F6*Data!C10)*70%),0)</f>
        <v>0</v>
      </c>
      <c r="C6" s="237" t="s">
        <v>304</v>
      </c>
      <c r="D6" s="238" t="s">
        <v>305</v>
      </c>
      <c r="E6" s="239">
        <f>Discovery!C4</f>
        <v>0</v>
      </c>
      <c r="F6" s="240">
        <f t="shared" ref="F6:F15" si="1">E6/8</f>
        <v>0</v>
      </c>
      <c r="G6" s="240">
        <f t="shared" ref="G6:G15" si="2">F6/5</f>
        <v>0</v>
      </c>
      <c r="H6" s="43"/>
      <c r="I6" s="43"/>
      <c r="J6" s="43"/>
      <c r="K6" s="43"/>
      <c r="L6" s="43"/>
      <c r="M6" s="43"/>
      <c r="N6" s="43"/>
      <c r="O6" s="43"/>
      <c r="P6" s="217"/>
      <c r="Q6" s="217"/>
      <c r="R6" s="217"/>
      <c r="S6" s="217"/>
      <c r="T6" s="217"/>
      <c r="U6" s="217"/>
      <c r="V6" s="217"/>
      <c r="W6" s="217"/>
      <c r="X6" s="217"/>
      <c r="Y6" s="217"/>
      <c r="Z6" s="217"/>
    </row>
    <row r="7" ht="15.75" customHeight="1">
      <c r="A7" s="236">
        <f>Sum((F7*Data!E10)*30%,(F7*Data!E11)*70%)</f>
        <v>0</v>
      </c>
      <c r="B7" s="236">
        <f>ROUNDUP(Sum((F7*Data!C9)*30%,(F7*Data!C10)*70%),0)</f>
        <v>0</v>
      </c>
      <c r="C7" s="237" t="s">
        <v>306</v>
      </c>
      <c r="D7" s="238" t="s">
        <v>305</v>
      </c>
      <c r="E7" s="239">
        <f>Design!C4</f>
        <v>0</v>
      </c>
      <c r="F7" s="240">
        <f t="shared" si="1"/>
        <v>0</v>
      </c>
      <c r="G7" s="240">
        <f t="shared" si="2"/>
        <v>0</v>
      </c>
      <c r="H7" s="43"/>
      <c r="I7" s="43"/>
      <c r="J7" s="43"/>
      <c r="K7" s="43"/>
      <c r="L7" s="43"/>
      <c r="M7" s="43"/>
      <c r="N7" s="43"/>
      <c r="O7" s="43"/>
      <c r="P7" s="217"/>
      <c r="Q7" s="217"/>
      <c r="R7" s="217"/>
      <c r="S7" s="217"/>
      <c r="T7" s="217"/>
      <c r="U7" s="217"/>
      <c r="V7" s="217"/>
      <c r="W7" s="217"/>
      <c r="X7" s="217"/>
      <c r="Y7" s="217"/>
      <c r="Z7" s="217"/>
    </row>
    <row r="8" ht="15.75" customHeight="1">
      <c r="A8" s="236">
        <f>F8*Data!E2</f>
        <v>0</v>
      </c>
      <c r="B8" s="236">
        <f>ROUNDUP(F8*Data!C3,0)</f>
        <v>0</v>
      </c>
      <c r="C8" s="237" t="s">
        <v>307</v>
      </c>
      <c r="D8" s="238" t="s">
        <v>305</v>
      </c>
      <c r="E8" s="239">
        <f>Backend!E3</f>
        <v>0</v>
      </c>
      <c r="F8" s="240">
        <f t="shared" si="1"/>
        <v>0</v>
      </c>
      <c r="G8" s="240">
        <f t="shared" si="2"/>
        <v>0</v>
      </c>
      <c r="H8" s="43"/>
      <c r="I8" s="43"/>
      <c r="J8" s="43"/>
      <c r="K8" s="43"/>
      <c r="L8" s="43"/>
      <c r="M8" s="43"/>
      <c r="N8" s="43"/>
      <c r="O8" s="43"/>
      <c r="P8" s="217"/>
      <c r="Q8" s="217"/>
      <c r="R8" s="217"/>
      <c r="S8" s="217"/>
      <c r="T8" s="217"/>
      <c r="U8" s="217"/>
      <c r="V8" s="217"/>
      <c r="W8" s="217"/>
      <c r="X8" s="217"/>
      <c r="Y8" s="217"/>
      <c r="Z8" s="217"/>
    </row>
    <row r="9" ht="15.75" customHeight="1">
      <c r="A9" s="236">
        <f>F9*Data!E3</f>
        <v>0</v>
      </c>
      <c r="B9" s="236">
        <f>ROUNDUP(F9*Data!C2,0)</f>
        <v>0</v>
      </c>
      <c r="C9" s="237" t="s">
        <v>308</v>
      </c>
      <c r="D9" s="238" t="s">
        <v>305</v>
      </c>
      <c r="E9" s="239">
        <f>Backend!F3</f>
        <v>0</v>
      </c>
      <c r="F9" s="240">
        <f t="shared" si="1"/>
        <v>0</v>
      </c>
      <c r="G9" s="240">
        <f t="shared" si="2"/>
        <v>0</v>
      </c>
      <c r="H9" s="43"/>
      <c r="I9" s="43"/>
      <c r="J9" s="43"/>
      <c r="K9" s="43"/>
      <c r="L9" s="43"/>
      <c r="M9" s="43"/>
      <c r="N9" s="43"/>
      <c r="O9" s="43"/>
      <c r="P9" s="217"/>
      <c r="Q9" s="217"/>
      <c r="R9" s="217"/>
      <c r="S9" s="217"/>
      <c r="T9" s="217"/>
      <c r="U9" s="217"/>
      <c r="V9" s="217"/>
      <c r="W9" s="217"/>
      <c r="X9" s="217"/>
      <c r="Y9" s="217"/>
      <c r="Z9" s="217"/>
    </row>
    <row r="10" ht="15.75" customHeight="1">
      <c r="A10" s="236">
        <f>F10*Data!E4</f>
        <v>0</v>
      </c>
      <c r="B10" s="236">
        <f>ROUNDUP(F10*Data!C4,0)</f>
        <v>0</v>
      </c>
      <c r="C10" s="237" t="s">
        <v>309</v>
      </c>
      <c r="D10" s="238" t="s">
        <v>305</v>
      </c>
      <c r="E10" s="239">
        <f>Frontend!E3</f>
        <v>0</v>
      </c>
      <c r="F10" s="240">
        <f t="shared" si="1"/>
        <v>0</v>
      </c>
      <c r="G10" s="240">
        <f t="shared" si="2"/>
        <v>0</v>
      </c>
      <c r="H10" s="43"/>
      <c r="I10" s="43"/>
      <c r="J10" s="43"/>
      <c r="K10" s="43"/>
      <c r="L10" s="43"/>
      <c r="M10" s="43"/>
      <c r="N10" s="43"/>
      <c r="O10" s="43"/>
      <c r="P10" s="217"/>
      <c r="Q10" s="217"/>
      <c r="R10" s="217"/>
      <c r="S10" s="217"/>
      <c r="T10" s="217"/>
      <c r="U10" s="217"/>
      <c r="V10" s="217"/>
      <c r="W10" s="217"/>
      <c r="X10" s="217"/>
      <c r="Y10" s="217"/>
      <c r="Z10" s="217"/>
    </row>
    <row r="11" ht="15.75" customHeight="1">
      <c r="A11" s="236">
        <f>F11*Data!E5</f>
        <v>0</v>
      </c>
      <c r="B11" s="236">
        <f>ROUNDUP(F11*Data!C5,0)</f>
        <v>0</v>
      </c>
      <c r="C11" s="237" t="s">
        <v>310</v>
      </c>
      <c r="D11" s="238" t="s">
        <v>305</v>
      </c>
      <c r="E11" s="239">
        <f>Frontend!F3</f>
        <v>0</v>
      </c>
      <c r="F11" s="240">
        <f t="shared" si="1"/>
        <v>0</v>
      </c>
      <c r="G11" s="240">
        <f t="shared" si="2"/>
        <v>0</v>
      </c>
      <c r="H11" s="43"/>
      <c r="I11" s="43"/>
      <c r="J11" s="43"/>
      <c r="K11" s="43"/>
      <c r="L11" s="43"/>
      <c r="M11" s="43"/>
      <c r="N11" s="43"/>
      <c r="O11" s="43"/>
      <c r="P11" s="217"/>
      <c r="Q11" s="217"/>
      <c r="R11" s="217"/>
      <c r="S11" s="217"/>
      <c r="T11" s="217"/>
      <c r="U11" s="217"/>
      <c r="V11" s="217"/>
      <c r="W11" s="217"/>
      <c r="X11" s="217"/>
      <c r="Y11" s="217"/>
      <c r="Z11" s="217"/>
    </row>
    <row r="12" ht="15.75" customHeight="1">
      <c r="A12" s="236">
        <f>'Fixed Cost Items'!L31</f>
        <v>0</v>
      </c>
      <c r="B12" s="236">
        <f>ROUNDUP('Fixed Cost Items'!J31,0)</f>
        <v>0</v>
      </c>
      <c r="C12" s="237" t="s">
        <v>311</v>
      </c>
      <c r="D12" s="238" t="s">
        <v>305</v>
      </c>
      <c r="E12" s="239">
        <f>'Fixed Cost Items'!C4</f>
        <v>0</v>
      </c>
      <c r="F12" s="240">
        <f t="shared" si="1"/>
        <v>0</v>
      </c>
      <c r="G12" s="240">
        <f t="shared" si="2"/>
        <v>0</v>
      </c>
      <c r="H12" s="43"/>
      <c r="I12" s="43"/>
      <c r="J12" s="43"/>
      <c r="K12" s="43"/>
      <c r="L12" s="241"/>
      <c r="M12" s="43"/>
      <c r="N12" s="43"/>
      <c r="O12" s="43"/>
      <c r="P12" s="217"/>
      <c r="Q12" s="217"/>
      <c r="R12" s="217"/>
      <c r="S12" s="217"/>
      <c r="T12" s="217"/>
      <c r="U12" s="217"/>
      <c r="V12" s="217"/>
      <c r="W12" s="217"/>
      <c r="X12" s="217"/>
      <c r="Y12" s="217"/>
      <c r="Z12" s="217"/>
    </row>
    <row r="13" ht="15.75" customHeight="1">
      <c r="A13" s="236">
        <f>F13*Data!E6</f>
        <v>0</v>
      </c>
      <c r="B13" s="236">
        <f>ROUNDUP(F13*Data!C6,0)</f>
        <v>0</v>
      </c>
      <c r="C13" s="237" t="s">
        <v>312</v>
      </c>
      <c r="D13" s="242">
        <v>0.3</v>
      </c>
      <c r="E13" s="239">
        <f>ROUNDUP((SUM(E8:E11)*D13)+(SUM(E12)*10%),0)</f>
        <v>0</v>
      </c>
      <c r="F13" s="240">
        <f t="shared" si="1"/>
        <v>0</v>
      </c>
      <c r="G13" s="240">
        <f t="shared" si="2"/>
        <v>0</v>
      </c>
      <c r="H13" s="43"/>
      <c r="I13" s="43"/>
      <c r="J13" s="43"/>
      <c r="K13" s="43"/>
      <c r="L13" s="43"/>
      <c r="M13" s="43"/>
      <c r="N13" s="43"/>
      <c r="O13" s="43"/>
      <c r="P13" s="217"/>
      <c r="Q13" s="217"/>
      <c r="R13" s="217"/>
      <c r="S13" s="217"/>
      <c r="T13" s="217"/>
      <c r="U13" s="217"/>
      <c r="V13" s="217"/>
      <c r="W13" s="217"/>
      <c r="X13" s="217"/>
      <c r="Y13" s="217"/>
      <c r="Z13" s="217"/>
    </row>
    <row r="14" ht="15.75" customHeight="1">
      <c r="A14" s="236">
        <f>F14*Data!E8</f>
        <v>0</v>
      </c>
      <c r="B14" s="236">
        <f>ROUNDUP(F14*Data!C8,0)</f>
        <v>0</v>
      </c>
      <c r="C14" s="237" t="s">
        <v>313</v>
      </c>
      <c r="D14" s="242">
        <v>0.15</v>
      </c>
      <c r="E14" s="239">
        <f>ROUNDUP((SUM(E8:E11)*D14)+(Sum(E6:E7)*5%),0)</f>
        <v>0</v>
      </c>
      <c r="F14" s="240">
        <f t="shared" si="1"/>
        <v>0</v>
      </c>
      <c r="G14" s="240">
        <f t="shared" si="2"/>
        <v>0</v>
      </c>
      <c r="H14" s="43"/>
      <c r="I14" s="43"/>
      <c r="J14" s="43"/>
      <c r="K14" s="43"/>
      <c r="L14" s="43"/>
      <c r="M14" s="43"/>
      <c r="N14" s="43"/>
      <c r="O14" s="43"/>
      <c r="P14" s="217"/>
      <c r="Q14" s="217"/>
      <c r="R14" s="217"/>
      <c r="S14" s="217"/>
      <c r="T14" s="217"/>
      <c r="U14" s="217"/>
      <c r="V14" s="217"/>
      <c r="W14" s="217"/>
      <c r="X14" s="217"/>
      <c r="Y14" s="217"/>
      <c r="Z14" s="217"/>
    </row>
    <row r="15" ht="15.75" customHeight="1">
      <c r="A15" s="236">
        <f>F15*Data!E7</f>
        <v>0</v>
      </c>
      <c r="B15" s="236">
        <f>ROUNDUP(F15*Data!C7,0)</f>
        <v>0</v>
      </c>
      <c r="C15" s="243" t="s">
        <v>314</v>
      </c>
      <c r="D15" s="242">
        <v>0.2</v>
      </c>
      <c r="E15" s="239">
        <f>ROUNDUP((SUM(E8:E11)*D15)+(Sum(E6:E7,E12)*5%)+(Sum(E13)*10%),0)</f>
        <v>0</v>
      </c>
      <c r="F15" s="240">
        <f t="shared" si="1"/>
        <v>0</v>
      </c>
      <c r="G15" s="240">
        <f t="shared" si="2"/>
        <v>0</v>
      </c>
      <c r="H15" s="43"/>
      <c r="I15" s="244"/>
      <c r="J15" s="43"/>
      <c r="K15" s="43"/>
      <c r="L15" s="43"/>
      <c r="M15" s="43"/>
      <c r="N15" s="43"/>
      <c r="O15" s="43"/>
      <c r="P15" s="217"/>
      <c r="Q15" s="217"/>
      <c r="R15" s="217"/>
      <c r="S15" s="217"/>
      <c r="T15" s="217"/>
      <c r="U15" s="217"/>
      <c r="V15" s="217"/>
      <c r="W15" s="217"/>
      <c r="X15" s="217"/>
      <c r="Y15" s="217"/>
      <c r="Z15" s="217"/>
    </row>
    <row r="16" ht="15.75" customHeight="1">
      <c r="A16" s="245">
        <f t="shared" ref="A16:B16" si="3">ROUNDUP(SUM(A6:A15),0)</f>
        <v>0</v>
      </c>
      <c r="B16" s="245">
        <f t="shared" si="3"/>
        <v>0</v>
      </c>
      <c r="C16" s="235" t="s">
        <v>315</v>
      </c>
      <c r="D16" s="246"/>
      <c r="E16" s="247">
        <f t="shared" ref="E16:G16" si="4">ROUNDUP(SUM(E6:E15),0)</f>
        <v>0</v>
      </c>
      <c r="F16" s="247">
        <f t="shared" si="4"/>
        <v>0</v>
      </c>
      <c r="G16" s="247">
        <f t="shared" si="4"/>
        <v>0</v>
      </c>
      <c r="H16" s="43"/>
      <c r="I16" s="43"/>
      <c r="J16" s="43"/>
      <c r="K16" s="43"/>
      <c r="L16" s="43"/>
      <c r="M16" s="43"/>
      <c r="N16" s="43"/>
      <c r="O16" s="43"/>
      <c r="P16" s="217"/>
      <c r="Q16" s="217"/>
      <c r="R16" s="217"/>
      <c r="S16" s="217"/>
      <c r="T16" s="217"/>
      <c r="U16" s="217"/>
      <c r="V16" s="217"/>
      <c r="W16" s="217"/>
      <c r="X16" s="217"/>
      <c r="Y16" s="217"/>
      <c r="Z16" s="217"/>
    </row>
    <row r="17" ht="15.75" customHeight="1">
      <c r="A17" s="43"/>
      <c r="B17" s="43"/>
      <c r="C17" s="43"/>
      <c r="D17" s="117"/>
      <c r="E17" s="43"/>
      <c r="F17" s="134"/>
      <c r="G17" s="134"/>
      <c r="H17" s="248" t="s">
        <v>316</v>
      </c>
      <c r="I17" s="249">
        <v>2.0</v>
      </c>
      <c r="J17" s="249">
        <v>3.0</v>
      </c>
      <c r="K17" s="249">
        <v>4.0</v>
      </c>
      <c r="L17" s="249">
        <v>5.0</v>
      </c>
      <c r="M17" s="249">
        <v>6.0</v>
      </c>
      <c r="N17" s="248" t="s">
        <v>317</v>
      </c>
      <c r="O17" s="250" t="s">
        <v>318</v>
      </c>
      <c r="P17" s="251"/>
      <c r="Q17" s="217"/>
      <c r="R17" s="217"/>
      <c r="S17" s="217"/>
      <c r="T17" s="217"/>
      <c r="U17" s="217"/>
      <c r="V17" s="217"/>
      <c r="W17" s="217"/>
      <c r="X17" s="217"/>
      <c r="Y17" s="217"/>
      <c r="Z17" s="217"/>
    </row>
    <row r="18" ht="15.75" customHeight="1">
      <c r="C18" s="252" t="s">
        <v>319</v>
      </c>
      <c r="D18" s="253">
        <f>ROUNDUP(B16,0)</f>
        <v>0</v>
      </c>
      <c r="E18" s="43"/>
      <c r="F18" s="251" t="s">
        <v>304</v>
      </c>
      <c r="G18" s="254">
        <f>(B6-(B6*$D$19))</f>
        <v>0</v>
      </c>
      <c r="H18" s="255">
        <f t="shared" ref="H18:H23" si="5">G18*25%</f>
        <v>0</v>
      </c>
      <c r="I18" s="255">
        <f>G18-H18</f>
        <v>0</v>
      </c>
      <c r="J18" s="256"/>
      <c r="K18" s="256"/>
      <c r="L18" s="256"/>
      <c r="M18" s="256"/>
      <c r="N18" s="256"/>
      <c r="O18" s="134"/>
      <c r="P18" s="257">
        <f t="shared" ref="P18:P23" si="6">sum(H18:O18)</f>
        <v>0</v>
      </c>
      <c r="Q18" s="217"/>
      <c r="R18" s="217"/>
      <c r="S18" s="217"/>
      <c r="T18" s="217"/>
      <c r="U18" s="217"/>
      <c r="V18" s="217"/>
      <c r="W18" s="217"/>
      <c r="X18" s="217"/>
      <c r="Y18" s="217"/>
      <c r="Z18" s="217"/>
    </row>
    <row r="19">
      <c r="C19" s="258" t="s">
        <v>320</v>
      </c>
      <c r="D19" s="259">
        <v>0.0</v>
      </c>
      <c r="E19" s="43"/>
      <c r="F19" s="52" t="s">
        <v>321</v>
      </c>
      <c r="G19" s="254">
        <f>ROUNDDOWN(B7-($D$19*B7),0)</f>
        <v>0</v>
      </c>
      <c r="H19" s="255">
        <f t="shared" si="5"/>
        <v>0</v>
      </c>
      <c r="I19" s="134"/>
      <c r="J19" s="255">
        <f>G19-H19</f>
        <v>0</v>
      </c>
      <c r="K19" s="256"/>
      <c r="L19" s="256"/>
      <c r="M19" s="256"/>
      <c r="N19" s="256"/>
      <c r="O19" s="134"/>
      <c r="P19" s="257">
        <f t="shared" si="6"/>
        <v>0</v>
      </c>
      <c r="Q19" s="217"/>
      <c r="R19" s="217"/>
      <c r="S19" s="217"/>
      <c r="T19" s="217"/>
      <c r="U19" s="217"/>
      <c r="V19" s="217"/>
      <c r="W19" s="217"/>
      <c r="X19" s="217"/>
      <c r="Y19" s="217"/>
      <c r="Z19" s="217"/>
    </row>
    <row r="20">
      <c r="C20" s="258" t="s">
        <v>322</v>
      </c>
      <c r="D20" s="260">
        <f>ROUNDUP((D18*D19),0)</f>
        <v>0</v>
      </c>
      <c r="E20" s="43"/>
      <c r="F20" s="52" t="s">
        <v>323</v>
      </c>
      <c r="G20" s="254">
        <f>ROUND(sum(B8:B11,B14)-($D$19*sum(B8:B11,B14)),0)</f>
        <v>0</v>
      </c>
      <c r="H20" s="255">
        <f t="shared" si="5"/>
        <v>0</v>
      </c>
      <c r="I20" s="256"/>
      <c r="J20" s="256"/>
      <c r="K20" s="255">
        <f>(G20-H20)/3</f>
        <v>0</v>
      </c>
      <c r="L20" s="255">
        <f>(G20-H20)/3</f>
        <v>0</v>
      </c>
      <c r="M20" s="255">
        <f>(G20-H20)/3</f>
        <v>0</v>
      </c>
      <c r="N20" s="256"/>
      <c r="O20" s="134"/>
      <c r="P20" s="257">
        <f t="shared" si="6"/>
        <v>0</v>
      </c>
      <c r="Q20" s="217"/>
      <c r="R20" s="217"/>
      <c r="S20" s="217"/>
      <c r="T20" s="217"/>
      <c r="U20" s="217"/>
      <c r="V20" s="217"/>
      <c r="W20" s="217"/>
      <c r="X20" s="217"/>
      <c r="Y20" s="217"/>
      <c r="Z20" s="217"/>
    </row>
    <row r="21" ht="15.75" customHeight="1">
      <c r="C21" s="43"/>
      <c r="D21" s="43"/>
      <c r="E21" s="43"/>
      <c r="F21" s="52" t="s">
        <v>324</v>
      </c>
      <c r="G21" s="254">
        <f t="shared" ref="G21:G22" si="7">(B12-($D$19*B12))</f>
        <v>0</v>
      </c>
      <c r="H21" s="255">
        <f t="shared" si="5"/>
        <v>0</v>
      </c>
      <c r="I21" s="256"/>
      <c r="J21" s="256"/>
      <c r="K21" s="256"/>
      <c r="L21" s="256"/>
      <c r="M21" s="256"/>
      <c r="N21" s="255">
        <f>(G21-H21)/2</f>
        <v>0</v>
      </c>
      <c r="O21" s="257">
        <f>(G21-H21)/2</f>
        <v>0</v>
      </c>
      <c r="P21" s="257">
        <f t="shared" si="6"/>
        <v>0</v>
      </c>
      <c r="Q21" s="217"/>
      <c r="R21" s="217"/>
      <c r="S21" s="217"/>
      <c r="T21" s="217"/>
      <c r="U21" s="217"/>
      <c r="V21" s="217"/>
      <c r="W21" s="217"/>
      <c r="X21" s="217"/>
      <c r="Y21" s="217"/>
      <c r="Z21" s="217"/>
    </row>
    <row r="22" ht="15.75" customHeight="1">
      <c r="C22" s="261" t="s">
        <v>325</v>
      </c>
      <c r="D22" s="262">
        <f>ROUNDUP((D18-(D18*D19)),0)</f>
        <v>0</v>
      </c>
      <c r="E22" s="43"/>
      <c r="F22" s="134" t="s">
        <v>326</v>
      </c>
      <c r="G22" s="254">
        <f t="shared" si="7"/>
        <v>0</v>
      </c>
      <c r="H22" s="255">
        <f t="shared" si="5"/>
        <v>0</v>
      </c>
      <c r="I22" s="256"/>
      <c r="J22" s="256"/>
      <c r="K22" s="255">
        <f t="shared" ref="K22:K23" si="8">(G22-H22)/3</f>
        <v>0</v>
      </c>
      <c r="L22" s="255">
        <f t="shared" ref="L22:L23" si="9">(G22-H22)/3</f>
        <v>0</v>
      </c>
      <c r="M22" s="255">
        <f t="shared" ref="M22:M23" si="10">(G22-H22)/3</f>
        <v>0</v>
      </c>
      <c r="N22" s="256"/>
      <c r="O22" s="134"/>
      <c r="P22" s="257">
        <f t="shared" si="6"/>
        <v>0</v>
      </c>
      <c r="Q22" s="217"/>
      <c r="R22" s="217"/>
      <c r="S22" s="217"/>
      <c r="T22" s="217"/>
      <c r="U22" s="217"/>
      <c r="V22" s="217"/>
      <c r="W22" s="217"/>
      <c r="X22" s="217"/>
      <c r="Y22" s="217"/>
      <c r="Z22" s="217"/>
    </row>
    <row r="23" ht="15.75" customHeight="1">
      <c r="A23" s="252" t="s">
        <v>327</v>
      </c>
      <c r="B23" s="263" t="str">
        <f>(D22-A16)/D22</f>
        <v>#DIV/0!</v>
      </c>
      <c r="E23" s="43"/>
      <c r="F23" s="251" t="s">
        <v>291</v>
      </c>
      <c r="G23" s="254">
        <f>(B15-($D$19*B15))</f>
        <v>0</v>
      </c>
      <c r="H23" s="255">
        <f t="shared" si="5"/>
        <v>0</v>
      </c>
      <c r="I23" s="256"/>
      <c r="J23" s="256"/>
      <c r="K23" s="255">
        <f t="shared" si="8"/>
        <v>0</v>
      </c>
      <c r="L23" s="255">
        <f t="shared" si="9"/>
        <v>0</v>
      </c>
      <c r="M23" s="255">
        <f t="shared" si="10"/>
        <v>0</v>
      </c>
      <c r="N23" s="256"/>
      <c r="O23" s="134"/>
      <c r="P23" s="257">
        <f t="shared" si="6"/>
        <v>0</v>
      </c>
      <c r="Q23" s="217"/>
      <c r="R23" s="217"/>
      <c r="S23" s="217"/>
      <c r="T23" s="217"/>
      <c r="U23" s="217"/>
      <c r="V23" s="217"/>
      <c r="W23" s="217"/>
      <c r="X23" s="217"/>
      <c r="Y23" s="217"/>
      <c r="Z23" s="217"/>
    </row>
    <row r="24" ht="15.75" customHeight="1">
      <c r="A24" s="43"/>
      <c r="B24" s="43"/>
      <c r="C24" s="43"/>
      <c r="D24" s="117"/>
      <c r="E24" s="43"/>
      <c r="F24" s="134"/>
      <c r="G24" s="264">
        <f t="shared" ref="G24:M24" si="11">SUM(G18:G23)</f>
        <v>0</v>
      </c>
      <c r="H24" s="265">
        <f t="shared" si="11"/>
        <v>0</v>
      </c>
      <c r="I24" s="265">
        <f t="shared" si="11"/>
        <v>0</v>
      </c>
      <c r="J24" s="265">
        <f t="shared" si="11"/>
        <v>0</v>
      </c>
      <c r="K24" s="266">
        <f t="shared" si="11"/>
        <v>0</v>
      </c>
      <c r="L24" s="266">
        <f t="shared" si="11"/>
        <v>0</v>
      </c>
      <c r="M24" s="266">
        <f t="shared" si="11"/>
        <v>0</v>
      </c>
      <c r="N24" s="266">
        <f t="shared" ref="N24:P24" si="12">sum(N18:N23)</f>
        <v>0</v>
      </c>
      <c r="O24" s="266">
        <f t="shared" si="12"/>
        <v>0</v>
      </c>
      <c r="P24" s="267">
        <f t="shared" si="12"/>
        <v>0</v>
      </c>
      <c r="Q24" s="217"/>
      <c r="R24" s="217"/>
      <c r="S24" s="217"/>
      <c r="T24" s="217"/>
      <c r="U24" s="217"/>
      <c r="V24" s="217"/>
      <c r="W24" s="217"/>
      <c r="X24" s="217"/>
      <c r="Y24" s="217"/>
      <c r="Z24" s="217"/>
    </row>
    <row r="25" ht="15.75" customHeight="1">
      <c r="A25" s="43"/>
      <c r="B25" s="43"/>
      <c r="C25" s="43"/>
      <c r="D25" s="117"/>
      <c r="E25" s="43"/>
      <c r="F25" s="134"/>
      <c r="G25" s="134"/>
      <c r="H25" s="268">
        <f>sum(H24:O24)</f>
        <v>0</v>
      </c>
      <c r="P25" s="251"/>
      <c r="Q25" s="217"/>
      <c r="R25" s="217"/>
      <c r="S25" s="217"/>
      <c r="T25" s="217"/>
      <c r="U25" s="217"/>
      <c r="V25" s="217"/>
      <c r="W25" s="217"/>
      <c r="X25" s="217"/>
      <c r="Y25" s="217"/>
      <c r="Z25" s="217"/>
    </row>
    <row r="26" ht="15.75" customHeight="1">
      <c r="A26" s="43"/>
      <c r="B26" s="43"/>
      <c r="C26" s="43"/>
      <c r="D26" s="117"/>
      <c r="E26" s="43"/>
      <c r="F26" s="43"/>
      <c r="G26" s="43"/>
      <c r="H26" s="43"/>
      <c r="I26" s="43"/>
      <c r="J26" s="43"/>
      <c r="K26" s="43"/>
      <c r="L26" s="43"/>
      <c r="M26" s="43"/>
      <c r="N26" s="43"/>
      <c r="O26" s="43"/>
      <c r="P26" s="217"/>
      <c r="Q26" s="217"/>
      <c r="R26" s="217"/>
      <c r="S26" s="217"/>
      <c r="T26" s="217"/>
      <c r="U26" s="217"/>
      <c r="V26" s="217"/>
      <c r="W26" s="217"/>
      <c r="X26" s="217"/>
      <c r="Y26" s="217"/>
      <c r="Z26" s="217"/>
    </row>
    <row r="27" ht="15.75" customHeight="1">
      <c r="A27" s="43"/>
      <c r="B27" s="43"/>
      <c r="C27" s="43"/>
      <c r="D27" s="117"/>
      <c r="E27" s="43"/>
      <c r="F27" s="43"/>
      <c r="G27" s="43"/>
      <c r="H27" s="43"/>
      <c r="I27" s="43"/>
      <c r="J27" s="43"/>
      <c r="K27" s="43"/>
      <c r="L27" s="43"/>
      <c r="M27" s="43"/>
      <c r="N27" s="43"/>
      <c r="O27" s="43"/>
      <c r="P27" s="217"/>
      <c r="Q27" s="217"/>
      <c r="R27" s="217"/>
      <c r="S27" s="217"/>
      <c r="T27" s="217"/>
      <c r="U27" s="217"/>
      <c r="V27" s="217"/>
      <c r="W27" s="217"/>
      <c r="X27" s="217"/>
      <c r="Y27" s="217"/>
      <c r="Z27" s="217"/>
    </row>
    <row r="28" ht="15.75" customHeight="1">
      <c r="A28" s="43"/>
      <c r="B28" s="43"/>
      <c r="C28" s="43"/>
      <c r="D28" s="117"/>
      <c r="E28" s="43"/>
      <c r="F28" s="43"/>
      <c r="G28" s="43"/>
      <c r="H28" s="43"/>
      <c r="I28" s="43"/>
      <c r="J28" s="43"/>
      <c r="K28" s="43"/>
      <c r="L28" s="43"/>
      <c r="M28" s="43"/>
      <c r="N28" s="43"/>
      <c r="O28" s="43"/>
      <c r="P28" s="217"/>
      <c r="Q28" s="217"/>
      <c r="R28" s="217"/>
      <c r="S28" s="217"/>
      <c r="T28" s="217"/>
      <c r="U28" s="217"/>
      <c r="V28" s="217"/>
      <c r="W28" s="217"/>
      <c r="X28" s="217"/>
      <c r="Y28" s="217"/>
      <c r="Z28" s="217"/>
    </row>
    <row r="29" ht="15.75" customHeight="1">
      <c r="A29" s="43"/>
      <c r="B29" s="43"/>
      <c r="C29" s="43"/>
      <c r="D29" s="117"/>
      <c r="E29" s="43"/>
      <c r="F29" s="43"/>
      <c r="G29" s="43"/>
      <c r="H29" s="43"/>
      <c r="I29" s="43"/>
      <c r="J29" s="43"/>
      <c r="K29" s="43"/>
      <c r="L29" s="43"/>
      <c r="M29" s="43"/>
      <c r="N29" s="43"/>
      <c r="O29" s="43"/>
      <c r="P29" s="217"/>
      <c r="Q29" s="217"/>
      <c r="R29" s="217"/>
      <c r="S29" s="217"/>
      <c r="T29" s="217"/>
      <c r="U29" s="217"/>
      <c r="V29" s="217"/>
      <c r="W29" s="217"/>
      <c r="X29" s="217"/>
      <c r="Y29" s="217"/>
      <c r="Z29" s="217"/>
    </row>
    <row r="30" ht="15.75" customHeight="1">
      <c r="A30" s="43"/>
      <c r="B30" s="43"/>
      <c r="C30" s="43"/>
      <c r="D30" s="117"/>
      <c r="E30" s="43"/>
      <c r="F30" s="43"/>
      <c r="G30" s="43"/>
      <c r="H30" s="43"/>
      <c r="I30" s="43"/>
      <c r="J30" s="43"/>
      <c r="K30" s="43"/>
      <c r="L30" s="43"/>
      <c r="M30" s="43"/>
      <c r="N30" s="43"/>
      <c r="O30" s="43"/>
      <c r="P30" s="217"/>
      <c r="Q30" s="217"/>
      <c r="R30" s="217"/>
      <c r="S30" s="217"/>
      <c r="T30" s="217"/>
      <c r="U30" s="217"/>
      <c r="V30" s="217"/>
      <c r="W30" s="217"/>
      <c r="X30" s="217"/>
      <c r="Y30" s="217"/>
      <c r="Z30" s="217"/>
    </row>
    <row r="31" ht="15.75" customHeight="1">
      <c r="A31" s="43"/>
      <c r="B31" s="43"/>
      <c r="C31" s="43"/>
      <c r="D31" s="117"/>
      <c r="E31" s="43"/>
      <c r="F31" s="43"/>
      <c r="G31" s="43"/>
      <c r="H31" s="43"/>
      <c r="I31" s="43"/>
      <c r="J31" s="43"/>
      <c r="K31" s="43"/>
      <c r="L31" s="43"/>
      <c r="M31" s="43"/>
      <c r="N31" s="43"/>
      <c r="O31" s="43"/>
      <c r="P31" s="217"/>
      <c r="Q31" s="217"/>
      <c r="R31" s="217"/>
      <c r="S31" s="217"/>
      <c r="T31" s="217"/>
      <c r="U31" s="217"/>
      <c r="V31" s="217"/>
      <c r="W31" s="217"/>
      <c r="X31" s="217"/>
      <c r="Y31" s="217"/>
      <c r="Z31" s="217"/>
    </row>
    <row r="32" ht="15.75" customHeight="1">
      <c r="A32" s="43"/>
      <c r="B32" s="43"/>
      <c r="C32" s="43"/>
      <c r="D32" s="117"/>
      <c r="E32" s="43"/>
      <c r="F32" s="43"/>
      <c r="G32" s="43"/>
      <c r="H32" s="43"/>
      <c r="I32" s="43"/>
      <c r="J32" s="43"/>
      <c r="K32" s="43"/>
      <c r="L32" s="43"/>
      <c r="M32" s="43"/>
      <c r="N32" s="43"/>
      <c r="O32" s="43"/>
      <c r="P32" s="217"/>
      <c r="Q32" s="217"/>
      <c r="R32" s="217"/>
      <c r="S32" s="217"/>
      <c r="T32" s="217"/>
      <c r="U32" s="217"/>
      <c r="V32" s="217"/>
      <c r="W32" s="217"/>
      <c r="X32" s="217"/>
      <c r="Y32" s="217"/>
      <c r="Z32" s="217"/>
    </row>
    <row r="33" ht="15.75" customHeight="1">
      <c r="A33" s="43"/>
      <c r="B33" s="43"/>
      <c r="C33" s="43"/>
      <c r="D33" s="117"/>
      <c r="E33" s="43"/>
      <c r="F33" s="43"/>
      <c r="G33" s="43"/>
      <c r="H33" s="43"/>
      <c r="I33" s="43"/>
      <c r="J33" s="43"/>
      <c r="K33" s="43"/>
      <c r="L33" s="43"/>
      <c r="M33" s="43"/>
      <c r="N33" s="43"/>
      <c r="O33" s="43"/>
      <c r="P33" s="217"/>
      <c r="Q33" s="217"/>
      <c r="R33" s="217"/>
      <c r="S33" s="217"/>
      <c r="T33" s="217"/>
      <c r="U33" s="217"/>
      <c r="V33" s="217"/>
      <c r="W33" s="217"/>
      <c r="X33" s="217"/>
      <c r="Y33" s="217"/>
      <c r="Z33" s="217"/>
    </row>
    <row r="34" ht="15.75" customHeight="1">
      <c r="A34" s="43"/>
      <c r="B34" s="43"/>
      <c r="C34" s="43"/>
      <c r="D34" s="117"/>
      <c r="E34" s="43"/>
      <c r="F34" s="43"/>
      <c r="G34" s="43"/>
      <c r="H34" s="43"/>
      <c r="I34" s="43"/>
      <c r="J34" s="43"/>
      <c r="K34" s="43"/>
      <c r="L34" s="43"/>
      <c r="M34" s="43"/>
      <c r="N34" s="43"/>
      <c r="O34" s="43"/>
      <c r="P34" s="217"/>
      <c r="Q34" s="217"/>
      <c r="R34" s="217"/>
      <c r="S34" s="217"/>
      <c r="T34" s="217"/>
      <c r="U34" s="217"/>
      <c r="V34" s="217"/>
      <c r="W34" s="217"/>
      <c r="X34" s="217"/>
      <c r="Y34" s="217"/>
      <c r="Z34" s="217"/>
    </row>
    <row r="35" ht="15.75" customHeight="1">
      <c r="A35" s="43"/>
      <c r="B35" s="43"/>
      <c r="C35" s="43"/>
      <c r="D35" s="117"/>
      <c r="E35" s="43"/>
      <c r="F35" s="43"/>
      <c r="G35" s="43"/>
      <c r="H35" s="43"/>
      <c r="I35" s="43"/>
      <c r="J35" s="43"/>
      <c r="K35" s="43"/>
      <c r="L35" s="43"/>
      <c r="M35" s="43"/>
      <c r="N35" s="43"/>
      <c r="O35" s="43"/>
      <c r="P35" s="217"/>
      <c r="Q35" s="217"/>
      <c r="R35" s="217"/>
      <c r="S35" s="217"/>
      <c r="T35" s="217"/>
      <c r="U35" s="217"/>
      <c r="V35" s="217"/>
      <c r="W35" s="217"/>
      <c r="X35" s="217"/>
      <c r="Y35" s="217"/>
      <c r="Z35" s="217"/>
    </row>
    <row r="36" ht="15.75" customHeight="1">
      <c r="A36" s="43"/>
      <c r="B36" s="43"/>
      <c r="C36" s="43"/>
      <c r="D36" s="117"/>
      <c r="E36" s="43"/>
      <c r="F36" s="43"/>
      <c r="G36" s="43"/>
      <c r="H36" s="43"/>
      <c r="I36" s="43"/>
      <c r="J36" s="43"/>
      <c r="K36" s="43"/>
      <c r="L36" s="43"/>
      <c r="M36" s="43"/>
      <c r="N36" s="43"/>
      <c r="O36" s="43"/>
      <c r="P36" s="217"/>
      <c r="Q36" s="217"/>
      <c r="R36" s="217"/>
      <c r="S36" s="217"/>
      <c r="T36" s="217"/>
      <c r="U36" s="217"/>
      <c r="V36" s="217"/>
      <c r="W36" s="217"/>
      <c r="X36" s="217"/>
      <c r="Y36" s="217"/>
      <c r="Z36" s="217"/>
    </row>
    <row r="37" ht="15.75" customHeight="1">
      <c r="A37" s="43"/>
      <c r="B37" s="43"/>
      <c r="C37" s="43"/>
      <c r="D37" s="117"/>
      <c r="E37" s="43"/>
      <c r="F37" s="43"/>
      <c r="G37" s="43"/>
      <c r="H37" s="43"/>
      <c r="I37" s="43"/>
      <c r="J37" s="43"/>
      <c r="K37" s="43"/>
      <c r="L37" s="43"/>
      <c r="M37" s="43"/>
      <c r="N37" s="43"/>
      <c r="O37" s="43"/>
      <c r="P37" s="217"/>
      <c r="Q37" s="217"/>
      <c r="R37" s="217"/>
      <c r="S37" s="217"/>
      <c r="T37" s="217"/>
      <c r="U37" s="217"/>
      <c r="V37" s="217"/>
      <c r="W37" s="217"/>
      <c r="X37" s="217"/>
      <c r="Y37" s="217"/>
      <c r="Z37" s="217"/>
    </row>
    <row r="38" ht="15.75" customHeight="1">
      <c r="A38" s="43"/>
      <c r="B38" s="43"/>
      <c r="C38" s="43"/>
      <c r="D38" s="117"/>
      <c r="E38" s="43"/>
      <c r="F38" s="43"/>
      <c r="G38" s="43"/>
      <c r="H38" s="43"/>
      <c r="I38" s="43"/>
      <c r="J38" s="43"/>
      <c r="K38" s="43"/>
      <c r="L38" s="43"/>
      <c r="M38" s="43"/>
      <c r="N38" s="43"/>
      <c r="O38" s="43"/>
      <c r="P38" s="217"/>
      <c r="Q38" s="217"/>
      <c r="R38" s="217"/>
      <c r="S38" s="217"/>
      <c r="T38" s="217"/>
      <c r="U38" s="217"/>
      <c r="V38" s="217"/>
      <c r="W38" s="217"/>
      <c r="X38" s="217"/>
      <c r="Y38" s="217"/>
      <c r="Z38" s="217"/>
    </row>
    <row r="39" ht="15.75" customHeight="1">
      <c r="A39" s="43"/>
      <c r="B39" s="43"/>
      <c r="C39" s="43"/>
      <c r="D39" s="117"/>
      <c r="E39" s="43"/>
      <c r="F39" s="43"/>
      <c r="G39" s="43"/>
      <c r="H39" s="43"/>
      <c r="I39" s="43"/>
      <c r="J39" s="43"/>
      <c r="K39" s="43"/>
      <c r="L39" s="43"/>
      <c r="M39" s="43"/>
      <c r="N39" s="43"/>
      <c r="O39" s="43"/>
      <c r="P39" s="217"/>
      <c r="Q39" s="217"/>
      <c r="R39" s="217"/>
      <c r="S39" s="217"/>
      <c r="T39" s="217"/>
      <c r="U39" s="217"/>
      <c r="V39" s="217"/>
      <c r="W39" s="217"/>
      <c r="X39" s="217"/>
      <c r="Y39" s="217"/>
      <c r="Z39" s="217"/>
    </row>
    <row r="40" ht="15.75" customHeight="1">
      <c r="A40" s="43"/>
      <c r="B40" s="43"/>
      <c r="C40" s="43"/>
      <c r="D40" s="117"/>
      <c r="E40" s="43"/>
      <c r="F40" s="43"/>
      <c r="G40" s="43"/>
      <c r="H40" s="43"/>
      <c r="I40" s="43"/>
      <c r="J40" s="43"/>
      <c r="K40" s="43"/>
      <c r="L40" s="43"/>
      <c r="M40" s="43"/>
      <c r="N40" s="43"/>
      <c r="O40" s="43"/>
      <c r="P40" s="217"/>
      <c r="Q40" s="217"/>
      <c r="R40" s="217"/>
      <c r="S40" s="217"/>
      <c r="T40" s="217"/>
      <c r="U40" s="217"/>
      <c r="V40" s="217"/>
      <c r="W40" s="217"/>
      <c r="X40" s="217"/>
      <c r="Y40" s="217"/>
      <c r="Z40" s="217"/>
    </row>
    <row r="41" ht="15.75" customHeight="1">
      <c r="A41" s="43"/>
      <c r="B41" s="43"/>
      <c r="C41" s="43"/>
      <c r="D41" s="117"/>
      <c r="E41" s="43"/>
      <c r="F41" s="43"/>
      <c r="G41" s="43"/>
      <c r="H41" s="43"/>
      <c r="I41" s="43"/>
      <c r="J41" s="43"/>
      <c r="K41" s="43"/>
      <c r="L41" s="43"/>
      <c r="M41" s="43"/>
      <c r="N41" s="43"/>
      <c r="O41" s="43"/>
      <c r="P41" s="217"/>
      <c r="Q41" s="217"/>
      <c r="R41" s="217"/>
      <c r="S41" s="217"/>
      <c r="T41" s="217"/>
      <c r="U41" s="217"/>
      <c r="V41" s="217"/>
      <c r="W41" s="217"/>
      <c r="X41" s="217"/>
      <c r="Y41" s="217"/>
      <c r="Z41" s="217"/>
    </row>
    <row r="42" ht="15.75" customHeight="1">
      <c r="A42" s="43"/>
      <c r="B42" s="43"/>
      <c r="C42" s="43"/>
      <c r="D42" s="117"/>
      <c r="E42" s="43"/>
      <c r="F42" s="43"/>
      <c r="G42" s="43"/>
      <c r="H42" s="43"/>
      <c r="I42" s="43"/>
      <c r="J42" s="43"/>
      <c r="K42" s="43"/>
      <c r="L42" s="43"/>
      <c r="M42" s="43"/>
      <c r="N42" s="43"/>
      <c r="O42" s="43"/>
      <c r="P42" s="217"/>
      <c r="Q42" s="217"/>
      <c r="R42" s="217"/>
      <c r="S42" s="217"/>
      <c r="T42" s="217"/>
      <c r="U42" s="217"/>
      <c r="V42" s="217"/>
      <c r="W42" s="217"/>
      <c r="X42" s="217"/>
      <c r="Y42" s="217"/>
      <c r="Z42" s="217"/>
    </row>
    <row r="43" ht="15.75" customHeight="1">
      <c r="A43" s="43"/>
      <c r="B43" s="43"/>
      <c r="C43" s="43"/>
      <c r="D43" s="117"/>
      <c r="E43" s="43"/>
      <c r="F43" s="43"/>
      <c r="G43" s="43"/>
      <c r="H43" s="43"/>
      <c r="I43" s="43"/>
      <c r="J43" s="43"/>
      <c r="K43" s="43"/>
      <c r="L43" s="43"/>
      <c r="M43" s="43"/>
      <c r="N43" s="43"/>
      <c r="O43" s="43"/>
      <c r="P43" s="217"/>
      <c r="Q43" s="217"/>
      <c r="R43" s="217"/>
      <c r="S43" s="217"/>
      <c r="T43" s="217"/>
      <c r="U43" s="217"/>
      <c r="V43" s="217"/>
      <c r="W43" s="217"/>
      <c r="X43" s="217"/>
      <c r="Y43" s="217"/>
      <c r="Z43" s="217"/>
    </row>
    <row r="44" ht="15.75" customHeight="1">
      <c r="A44" s="43"/>
      <c r="B44" s="43"/>
      <c r="C44" s="43"/>
      <c r="D44" s="117"/>
      <c r="E44" s="43"/>
      <c r="F44" s="43"/>
      <c r="G44" s="43"/>
      <c r="H44" s="43"/>
      <c r="I44" s="43"/>
      <c r="J44" s="43"/>
      <c r="K44" s="43"/>
      <c r="L44" s="43"/>
      <c r="M44" s="43"/>
      <c r="N44" s="43"/>
      <c r="O44" s="43"/>
      <c r="P44" s="217"/>
      <c r="Q44" s="217"/>
      <c r="R44" s="217"/>
      <c r="S44" s="217"/>
      <c r="T44" s="217"/>
      <c r="U44" s="217"/>
      <c r="V44" s="217"/>
      <c r="W44" s="217"/>
      <c r="X44" s="217"/>
      <c r="Y44" s="217"/>
      <c r="Z44" s="217"/>
    </row>
    <row r="45" ht="15.75" customHeight="1">
      <c r="A45" s="43"/>
      <c r="B45" s="43"/>
      <c r="C45" s="43"/>
      <c r="D45" s="117"/>
      <c r="E45" s="43"/>
      <c r="F45" s="43"/>
      <c r="G45" s="43"/>
      <c r="H45" s="43"/>
      <c r="I45" s="43"/>
      <c r="J45" s="43"/>
      <c r="K45" s="43"/>
      <c r="L45" s="43"/>
      <c r="M45" s="43"/>
      <c r="N45" s="43"/>
      <c r="O45" s="43"/>
      <c r="P45" s="217"/>
      <c r="Q45" s="217"/>
      <c r="R45" s="217"/>
      <c r="S45" s="217"/>
      <c r="T45" s="217"/>
      <c r="U45" s="217"/>
      <c r="V45" s="217"/>
      <c r="W45" s="217"/>
      <c r="X45" s="217"/>
      <c r="Y45" s="217"/>
      <c r="Z45" s="217"/>
    </row>
    <row r="46" ht="15.75" customHeight="1">
      <c r="A46" s="43"/>
      <c r="B46" s="43"/>
      <c r="C46" s="43"/>
      <c r="D46" s="117"/>
      <c r="E46" s="43"/>
      <c r="F46" s="43"/>
      <c r="G46" s="43"/>
      <c r="H46" s="43"/>
      <c r="I46" s="43"/>
      <c r="J46" s="43"/>
      <c r="K46" s="43"/>
      <c r="L46" s="43"/>
      <c r="M46" s="43"/>
      <c r="N46" s="43"/>
      <c r="O46" s="43"/>
      <c r="P46" s="217"/>
      <c r="Q46" s="217"/>
      <c r="R46" s="217"/>
      <c r="S46" s="217"/>
      <c r="T46" s="217"/>
      <c r="U46" s="217"/>
      <c r="V46" s="217"/>
      <c r="W46" s="217"/>
      <c r="X46" s="217"/>
      <c r="Y46" s="217"/>
      <c r="Z46" s="217"/>
    </row>
    <row r="47" ht="15.75" customHeight="1">
      <c r="A47" s="43"/>
      <c r="B47" s="43"/>
      <c r="C47" s="43"/>
      <c r="D47" s="117"/>
      <c r="E47" s="43"/>
      <c r="F47" s="43"/>
      <c r="G47" s="43"/>
      <c r="H47" s="43"/>
      <c r="I47" s="43"/>
      <c r="J47" s="43"/>
      <c r="K47" s="43"/>
      <c r="L47" s="43"/>
      <c r="M47" s="43"/>
      <c r="N47" s="43"/>
      <c r="O47" s="43"/>
      <c r="P47" s="217"/>
      <c r="Q47" s="217"/>
      <c r="R47" s="217"/>
      <c r="S47" s="217"/>
      <c r="T47" s="217"/>
      <c r="U47" s="217"/>
      <c r="V47" s="217"/>
      <c r="W47" s="217"/>
      <c r="X47" s="217"/>
      <c r="Y47" s="217"/>
      <c r="Z47" s="217"/>
    </row>
    <row r="48" ht="15.75" customHeight="1">
      <c r="A48" s="43"/>
      <c r="B48" s="43"/>
      <c r="C48" s="43"/>
      <c r="D48" s="117"/>
      <c r="E48" s="43"/>
      <c r="F48" s="43"/>
      <c r="G48" s="43"/>
      <c r="H48" s="43"/>
      <c r="I48" s="43"/>
      <c r="J48" s="43"/>
      <c r="K48" s="43"/>
      <c r="L48" s="43"/>
      <c r="M48" s="43"/>
      <c r="N48" s="43"/>
      <c r="O48" s="43"/>
      <c r="P48" s="217"/>
      <c r="Q48" s="217"/>
      <c r="R48" s="217"/>
      <c r="S48" s="217"/>
      <c r="T48" s="217"/>
      <c r="U48" s="217"/>
      <c r="V48" s="217"/>
      <c r="W48" s="217"/>
      <c r="X48" s="217"/>
      <c r="Y48" s="217"/>
      <c r="Z48" s="217"/>
    </row>
    <row r="49" ht="15.75" customHeight="1">
      <c r="A49" s="43"/>
      <c r="B49" s="43"/>
      <c r="C49" s="43"/>
      <c r="D49" s="117"/>
      <c r="E49" s="43"/>
      <c r="F49" s="43"/>
      <c r="G49" s="43"/>
      <c r="H49" s="43"/>
      <c r="I49" s="43"/>
      <c r="J49" s="43"/>
      <c r="K49" s="43"/>
      <c r="L49" s="43"/>
      <c r="M49" s="43"/>
      <c r="N49" s="43"/>
      <c r="O49" s="43"/>
      <c r="P49" s="217"/>
      <c r="Q49" s="217"/>
      <c r="R49" s="217"/>
      <c r="S49" s="217"/>
      <c r="T49" s="217"/>
      <c r="U49" s="217"/>
      <c r="V49" s="217"/>
      <c r="W49" s="217"/>
      <c r="X49" s="217"/>
      <c r="Y49" s="217"/>
      <c r="Z49" s="217"/>
    </row>
    <row r="50" ht="15.75" customHeight="1">
      <c r="A50" s="43"/>
      <c r="B50" s="43"/>
      <c r="C50" s="43"/>
      <c r="D50" s="117"/>
      <c r="E50" s="43"/>
      <c r="F50" s="43"/>
      <c r="G50" s="43"/>
      <c r="H50" s="43"/>
      <c r="I50" s="43"/>
      <c r="J50" s="43"/>
      <c r="K50" s="43"/>
      <c r="L50" s="43"/>
      <c r="M50" s="43"/>
      <c r="N50" s="43"/>
      <c r="O50" s="43"/>
      <c r="P50" s="217"/>
      <c r="Q50" s="217"/>
      <c r="R50" s="217"/>
      <c r="S50" s="217"/>
      <c r="T50" s="217"/>
      <c r="U50" s="217"/>
      <c r="V50" s="217"/>
      <c r="W50" s="217"/>
      <c r="X50" s="217"/>
      <c r="Y50" s="217"/>
      <c r="Z50" s="217"/>
    </row>
    <row r="51" ht="15.75" customHeight="1">
      <c r="A51" s="43"/>
      <c r="B51" s="43"/>
      <c r="C51" s="43"/>
      <c r="D51" s="117"/>
      <c r="E51" s="43"/>
      <c r="F51" s="43"/>
      <c r="G51" s="43"/>
      <c r="H51" s="43"/>
      <c r="I51" s="43"/>
      <c r="J51" s="43"/>
      <c r="K51" s="43"/>
      <c r="L51" s="43"/>
      <c r="M51" s="43"/>
      <c r="N51" s="43"/>
      <c r="O51" s="43"/>
      <c r="P51" s="217"/>
      <c r="Q51" s="217"/>
      <c r="R51" s="217"/>
      <c r="S51" s="217"/>
      <c r="T51" s="217"/>
      <c r="U51" s="217"/>
      <c r="V51" s="217"/>
      <c r="W51" s="217"/>
      <c r="X51" s="217"/>
      <c r="Y51" s="217"/>
      <c r="Z51" s="217"/>
    </row>
    <row r="52" ht="15.75" customHeight="1">
      <c r="A52" s="43"/>
      <c r="B52" s="43"/>
      <c r="C52" s="43"/>
      <c r="D52" s="117"/>
      <c r="E52" s="43"/>
      <c r="F52" s="43"/>
      <c r="G52" s="43"/>
      <c r="H52" s="43"/>
      <c r="I52" s="43"/>
      <c r="J52" s="43"/>
      <c r="K52" s="43"/>
      <c r="L52" s="43"/>
      <c r="M52" s="43"/>
      <c r="N52" s="43"/>
      <c r="O52" s="43"/>
      <c r="P52" s="217"/>
      <c r="Q52" s="217"/>
      <c r="R52" s="217"/>
      <c r="S52" s="217"/>
      <c r="T52" s="217"/>
      <c r="U52" s="217"/>
      <c r="V52" s="217"/>
      <c r="W52" s="217"/>
      <c r="X52" s="217"/>
      <c r="Y52" s="217"/>
      <c r="Z52" s="217"/>
    </row>
    <row r="53" ht="15.75" customHeight="1">
      <c r="A53" s="43"/>
      <c r="B53" s="43"/>
      <c r="C53" s="43"/>
      <c r="D53" s="117"/>
      <c r="E53" s="43"/>
      <c r="F53" s="43"/>
      <c r="G53" s="43"/>
      <c r="H53" s="43"/>
      <c r="I53" s="43"/>
      <c r="J53" s="43"/>
      <c r="K53" s="43"/>
      <c r="L53" s="43"/>
      <c r="M53" s="43"/>
      <c r="N53" s="43"/>
      <c r="O53" s="43"/>
      <c r="P53" s="217"/>
      <c r="Q53" s="217"/>
      <c r="R53" s="217"/>
      <c r="S53" s="217"/>
      <c r="T53" s="217"/>
      <c r="U53" s="217"/>
      <c r="V53" s="217"/>
      <c r="W53" s="217"/>
      <c r="X53" s="217"/>
      <c r="Y53" s="217"/>
      <c r="Z53" s="217"/>
    </row>
    <row r="54" ht="15.75" customHeight="1">
      <c r="A54" s="43"/>
      <c r="B54" s="43"/>
      <c r="C54" s="43"/>
      <c r="D54" s="117"/>
      <c r="E54" s="43"/>
      <c r="F54" s="43"/>
      <c r="G54" s="43"/>
      <c r="H54" s="43"/>
      <c r="I54" s="43"/>
      <c r="J54" s="43"/>
      <c r="K54" s="43"/>
      <c r="L54" s="43"/>
      <c r="M54" s="43"/>
      <c r="N54" s="43"/>
      <c r="O54" s="43"/>
      <c r="P54" s="217"/>
      <c r="Q54" s="217"/>
      <c r="R54" s="217"/>
      <c r="S54" s="217"/>
      <c r="T54" s="217"/>
      <c r="U54" s="217"/>
      <c r="V54" s="217"/>
      <c r="W54" s="217"/>
      <c r="X54" s="217"/>
      <c r="Y54" s="217"/>
      <c r="Z54" s="217"/>
    </row>
    <row r="55" ht="15.75" customHeight="1">
      <c r="A55" s="43"/>
      <c r="B55" s="43"/>
      <c r="C55" s="43"/>
      <c r="D55" s="117"/>
      <c r="E55" s="43"/>
      <c r="F55" s="43"/>
      <c r="G55" s="43"/>
      <c r="H55" s="43"/>
      <c r="I55" s="43"/>
      <c r="J55" s="43"/>
      <c r="K55" s="43"/>
      <c r="L55" s="43"/>
      <c r="M55" s="43"/>
      <c r="N55" s="43"/>
      <c r="O55" s="43"/>
      <c r="P55" s="217"/>
      <c r="Q55" s="217"/>
      <c r="R55" s="217"/>
      <c r="S55" s="217"/>
      <c r="T55" s="217"/>
      <c r="U55" s="217"/>
      <c r="V55" s="217"/>
      <c r="W55" s="217"/>
      <c r="X55" s="217"/>
      <c r="Y55" s="217"/>
      <c r="Z55" s="217"/>
    </row>
    <row r="56" ht="15.75" customHeight="1">
      <c r="A56" s="43"/>
      <c r="B56" s="43"/>
      <c r="C56" s="43"/>
      <c r="D56" s="117"/>
      <c r="E56" s="43"/>
      <c r="F56" s="43"/>
      <c r="G56" s="43"/>
      <c r="H56" s="43"/>
      <c r="I56" s="43"/>
      <c r="J56" s="43"/>
      <c r="K56" s="43"/>
      <c r="L56" s="43"/>
      <c r="M56" s="43"/>
      <c r="N56" s="43"/>
      <c r="O56" s="43"/>
      <c r="P56" s="217"/>
      <c r="Q56" s="217"/>
      <c r="R56" s="217"/>
      <c r="S56" s="217"/>
      <c r="T56" s="217"/>
      <c r="U56" s="217"/>
      <c r="V56" s="217"/>
      <c r="W56" s="217"/>
      <c r="X56" s="217"/>
      <c r="Y56" s="217"/>
      <c r="Z56" s="217"/>
    </row>
    <row r="57" ht="15.75" customHeight="1">
      <c r="A57" s="43"/>
      <c r="B57" s="43"/>
      <c r="C57" s="43"/>
      <c r="D57" s="117"/>
      <c r="E57" s="43"/>
      <c r="F57" s="43"/>
      <c r="G57" s="43"/>
      <c r="H57" s="43"/>
      <c r="I57" s="43"/>
      <c r="J57" s="43"/>
      <c r="K57" s="43"/>
      <c r="L57" s="43"/>
      <c r="M57" s="43"/>
      <c r="N57" s="43"/>
      <c r="O57" s="43"/>
      <c r="P57" s="217"/>
      <c r="Q57" s="217"/>
      <c r="R57" s="217"/>
      <c r="S57" s="217"/>
      <c r="T57" s="217"/>
      <c r="U57" s="217"/>
      <c r="V57" s="217"/>
      <c r="W57" s="217"/>
      <c r="X57" s="217"/>
      <c r="Y57" s="217"/>
      <c r="Z57" s="217"/>
    </row>
    <row r="58" ht="15.75" customHeight="1">
      <c r="A58" s="43"/>
      <c r="B58" s="43"/>
      <c r="C58" s="43"/>
      <c r="D58" s="117"/>
      <c r="E58" s="43"/>
      <c r="F58" s="43"/>
      <c r="G58" s="43"/>
      <c r="H58" s="43"/>
      <c r="I58" s="43"/>
      <c r="J58" s="43"/>
      <c r="K58" s="43"/>
      <c r="L58" s="43"/>
      <c r="M58" s="43"/>
      <c r="N58" s="43"/>
      <c r="O58" s="43"/>
      <c r="P58" s="217"/>
      <c r="Q58" s="217"/>
      <c r="R58" s="217"/>
      <c r="S58" s="217"/>
      <c r="T58" s="217"/>
      <c r="U58" s="217"/>
      <c r="V58" s="217"/>
      <c r="W58" s="217"/>
      <c r="X58" s="217"/>
      <c r="Y58" s="217"/>
      <c r="Z58" s="217"/>
    </row>
    <row r="59" ht="15.75" customHeight="1">
      <c r="A59" s="43"/>
      <c r="B59" s="43"/>
      <c r="C59" s="43"/>
      <c r="D59" s="117"/>
      <c r="E59" s="43"/>
      <c r="F59" s="43"/>
      <c r="G59" s="43"/>
      <c r="H59" s="43"/>
      <c r="I59" s="43"/>
      <c r="J59" s="43"/>
      <c r="K59" s="43"/>
      <c r="L59" s="43"/>
      <c r="M59" s="43"/>
      <c r="N59" s="43"/>
      <c r="O59" s="43"/>
      <c r="P59" s="217"/>
      <c r="Q59" s="217"/>
      <c r="R59" s="217"/>
      <c r="S59" s="217"/>
      <c r="T59" s="217"/>
      <c r="U59" s="217"/>
      <c r="V59" s="217"/>
      <c r="W59" s="217"/>
      <c r="X59" s="217"/>
      <c r="Y59" s="217"/>
      <c r="Z59" s="217"/>
    </row>
    <row r="60" ht="15.75" customHeight="1">
      <c r="A60" s="43"/>
      <c r="B60" s="43"/>
      <c r="C60" s="43"/>
      <c r="D60" s="117"/>
      <c r="E60" s="43"/>
      <c r="F60" s="43"/>
      <c r="G60" s="43"/>
      <c r="H60" s="43"/>
      <c r="I60" s="43"/>
      <c r="J60" s="43"/>
      <c r="K60" s="43"/>
      <c r="L60" s="43"/>
      <c r="M60" s="43"/>
      <c r="N60" s="43"/>
      <c r="O60" s="43"/>
      <c r="P60" s="217"/>
      <c r="Q60" s="217"/>
      <c r="R60" s="217"/>
      <c r="S60" s="217"/>
      <c r="T60" s="217"/>
      <c r="U60" s="217"/>
      <c r="V60" s="217"/>
      <c r="W60" s="217"/>
      <c r="X60" s="217"/>
      <c r="Y60" s="217"/>
      <c r="Z60" s="217"/>
    </row>
    <row r="61" ht="15.75" customHeight="1">
      <c r="A61" s="43"/>
      <c r="B61" s="43"/>
      <c r="C61" s="43"/>
      <c r="D61" s="117"/>
      <c r="E61" s="43"/>
      <c r="F61" s="43"/>
      <c r="G61" s="43"/>
      <c r="H61" s="43"/>
      <c r="I61" s="43"/>
      <c r="J61" s="43"/>
      <c r="K61" s="43"/>
      <c r="L61" s="43"/>
      <c r="M61" s="43"/>
      <c r="N61" s="43"/>
      <c r="O61" s="43"/>
      <c r="P61" s="217"/>
      <c r="Q61" s="217"/>
      <c r="R61" s="217"/>
      <c r="S61" s="217"/>
      <c r="T61" s="217"/>
      <c r="U61" s="217"/>
      <c r="V61" s="217"/>
      <c r="W61" s="217"/>
      <c r="X61" s="217"/>
      <c r="Y61" s="217"/>
      <c r="Z61" s="217"/>
    </row>
    <row r="62" ht="15.75" customHeight="1">
      <c r="A62" s="43"/>
      <c r="B62" s="43"/>
      <c r="C62" s="43"/>
      <c r="D62" s="117"/>
      <c r="E62" s="43"/>
      <c r="F62" s="43"/>
      <c r="G62" s="43"/>
      <c r="H62" s="43"/>
      <c r="I62" s="43"/>
      <c r="J62" s="43"/>
      <c r="K62" s="43"/>
      <c r="L62" s="43"/>
      <c r="M62" s="43"/>
      <c r="N62" s="43"/>
      <c r="O62" s="43"/>
      <c r="P62" s="217"/>
      <c r="Q62" s="217"/>
      <c r="R62" s="217"/>
      <c r="S62" s="217"/>
      <c r="T62" s="217"/>
      <c r="U62" s="217"/>
      <c r="V62" s="217"/>
      <c r="W62" s="217"/>
      <c r="X62" s="217"/>
      <c r="Y62" s="217"/>
      <c r="Z62" s="217"/>
    </row>
    <row r="63" ht="15.75" customHeight="1">
      <c r="A63" s="43"/>
      <c r="B63" s="43"/>
      <c r="C63" s="43"/>
      <c r="D63" s="117"/>
      <c r="E63" s="43"/>
      <c r="F63" s="43"/>
      <c r="G63" s="43"/>
      <c r="H63" s="43"/>
      <c r="I63" s="43"/>
      <c r="J63" s="43"/>
      <c r="K63" s="43"/>
      <c r="L63" s="43"/>
      <c r="M63" s="43"/>
      <c r="N63" s="43"/>
      <c r="O63" s="43"/>
      <c r="P63" s="217"/>
      <c r="Q63" s="217"/>
      <c r="R63" s="217"/>
      <c r="S63" s="217"/>
      <c r="T63" s="217"/>
      <c r="U63" s="217"/>
      <c r="V63" s="217"/>
      <c r="W63" s="217"/>
      <c r="X63" s="217"/>
      <c r="Y63" s="217"/>
      <c r="Z63" s="217"/>
    </row>
    <row r="64" ht="15.75" customHeight="1">
      <c r="A64" s="43"/>
      <c r="B64" s="43"/>
      <c r="C64" s="43"/>
      <c r="D64" s="117"/>
      <c r="E64" s="43"/>
      <c r="F64" s="43"/>
      <c r="G64" s="43"/>
      <c r="H64" s="43"/>
      <c r="I64" s="43"/>
      <c r="J64" s="43"/>
      <c r="K64" s="43"/>
      <c r="L64" s="43"/>
      <c r="M64" s="43"/>
      <c r="N64" s="43"/>
      <c r="O64" s="43"/>
      <c r="P64" s="217"/>
      <c r="Q64" s="217"/>
      <c r="R64" s="217"/>
      <c r="S64" s="217"/>
      <c r="T64" s="217"/>
      <c r="U64" s="217"/>
      <c r="V64" s="217"/>
      <c r="W64" s="217"/>
      <c r="X64" s="217"/>
      <c r="Y64" s="217"/>
      <c r="Z64" s="217"/>
    </row>
    <row r="65" ht="15.75" customHeight="1">
      <c r="A65" s="43"/>
      <c r="B65" s="43"/>
      <c r="C65" s="43"/>
      <c r="D65" s="117"/>
      <c r="E65" s="43"/>
      <c r="F65" s="43"/>
      <c r="G65" s="43"/>
      <c r="H65" s="43"/>
      <c r="I65" s="43"/>
      <c r="J65" s="43"/>
      <c r="K65" s="43"/>
      <c r="L65" s="43"/>
      <c r="M65" s="43"/>
      <c r="N65" s="43"/>
      <c r="O65" s="43"/>
      <c r="P65" s="217"/>
      <c r="Q65" s="217"/>
      <c r="R65" s="217"/>
      <c r="S65" s="217"/>
      <c r="T65" s="217"/>
      <c r="U65" s="217"/>
      <c r="V65" s="217"/>
      <c r="W65" s="217"/>
      <c r="X65" s="217"/>
      <c r="Y65" s="217"/>
      <c r="Z65" s="217"/>
    </row>
    <row r="66" ht="15.75" customHeight="1">
      <c r="A66" s="43"/>
      <c r="B66" s="43"/>
      <c r="C66" s="43"/>
      <c r="D66" s="117"/>
      <c r="E66" s="43"/>
      <c r="F66" s="43"/>
      <c r="G66" s="43"/>
      <c r="H66" s="43"/>
      <c r="I66" s="43"/>
      <c r="J66" s="43"/>
      <c r="K66" s="43"/>
      <c r="L66" s="43"/>
      <c r="M66" s="43"/>
      <c r="N66" s="43"/>
      <c r="O66" s="43"/>
      <c r="P66" s="217"/>
      <c r="Q66" s="217"/>
      <c r="R66" s="217"/>
      <c r="S66" s="217"/>
      <c r="T66" s="217"/>
      <c r="U66" s="217"/>
      <c r="V66" s="217"/>
      <c r="W66" s="217"/>
      <c r="X66" s="217"/>
      <c r="Y66" s="217"/>
      <c r="Z66" s="217"/>
    </row>
    <row r="67" ht="15.75" customHeight="1">
      <c r="A67" s="43"/>
      <c r="B67" s="43"/>
      <c r="C67" s="43"/>
      <c r="D67" s="117"/>
      <c r="E67" s="43"/>
      <c r="F67" s="43"/>
      <c r="G67" s="43"/>
      <c r="H67" s="43"/>
      <c r="I67" s="43"/>
      <c r="J67" s="43"/>
      <c r="K67" s="43"/>
      <c r="L67" s="43"/>
      <c r="M67" s="43"/>
      <c r="N67" s="43"/>
      <c r="O67" s="43"/>
      <c r="P67" s="217"/>
      <c r="Q67" s="217"/>
      <c r="R67" s="217"/>
      <c r="S67" s="217"/>
      <c r="T67" s="217"/>
      <c r="U67" s="217"/>
      <c r="V67" s="217"/>
      <c r="W67" s="217"/>
      <c r="X67" s="217"/>
      <c r="Y67" s="217"/>
      <c r="Z67" s="217"/>
    </row>
    <row r="68" ht="15.75" customHeight="1">
      <c r="A68" s="43"/>
      <c r="B68" s="43"/>
      <c r="C68" s="43"/>
      <c r="D68" s="117"/>
      <c r="E68" s="43"/>
      <c r="F68" s="43"/>
      <c r="G68" s="43"/>
      <c r="H68" s="43"/>
      <c r="I68" s="43"/>
      <c r="J68" s="43"/>
      <c r="K68" s="43"/>
      <c r="L68" s="43"/>
      <c r="M68" s="43"/>
      <c r="N68" s="43"/>
      <c r="O68" s="43"/>
      <c r="P68" s="217"/>
      <c r="Q68" s="217"/>
      <c r="R68" s="217"/>
      <c r="S68" s="217"/>
      <c r="T68" s="217"/>
      <c r="U68" s="217"/>
      <c r="V68" s="217"/>
      <c r="W68" s="217"/>
      <c r="X68" s="217"/>
      <c r="Y68" s="217"/>
      <c r="Z68" s="217"/>
    </row>
    <row r="69" ht="15.75" customHeight="1">
      <c r="A69" s="43"/>
      <c r="B69" s="43"/>
      <c r="C69" s="43"/>
      <c r="D69" s="117"/>
      <c r="E69" s="43"/>
      <c r="F69" s="43"/>
      <c r="G69" s="43"/>
      <c r="H69" s="43"/>
      <c r="I69" s="43"/>
      <c r="J69" s="43"/>
      <c r="K69" s="43"/>
      <c r="L69" s="43"/>
      <c r="M69" s="43"/>
      <c r="N69" s="43"/>
      <c r="O69" s="43"/>
      <c r="P69" s="217"/>
      <c r="Q69" s="217"/>
      <c r="R69" s="217"/>
      <c r="S69" s="217"/>
      <c r="T69" s="217"/>
      <c r="U69" s="217"/>
      <c r="V69" s="217"/>
      <c r="W69" s="217"/>
      <c r="X69" s="217"/>
      <c r="Y69" s="217"/>
      <c r="Z69" s="217"/>
    </row>
    <row r="70" ht="15.75" customHeight="1">
      <c r="A70" s="43"/>
      <c r="B70" s="43"/>
      <c r="C70" s="43"/>
      <c r="D70" s="117"/>
      <c r="E70" s="43"/>
      <c r="F70" s="43"/>
      <c r="G70" s="43"/>
      <c r="H70" s="43"/>
      <c r="I70" s="43"/>
      <c r="J70" s="43"/>
      <c r="K70" s="43"/>
      <c r="L70" s="43"/>
      <c r="M70" s="43"/>
      <c r="N70" s="43"/>
      <c r="O70" s="43"/>
      <c r="P70" s="217"/>
      <c r="Q70" s="217"/>
      <c r="R70" s="217"/>
      <c r="S70" s="217"/>
      <c r="T70" s="217"/>
      <c r="U70" s="217"/>
      <c r="V70" s="217"/>
      <c r="W70" s="217"/>
      <c r="X70" s="217"/>
      <c r="Y70" s="217"/>
      <c r="Z70" s="217"/>
    </row>
    <row r="71" ht="15.75" customHeight="1">
      <c r="A71" s="43"/>
      <c r="B71" s="43"/>
      <c r="C71" s="43"/>
      <c r="D71" s="117"/>
      <c r="E71" s="43"/>
      <c r="F71" s="43"/>
      <c r="G71" s="43"/>
      <c r="H71" s="43"/>
      <c r="I71" s="43"/>
      <c r="J71" s="43"/>
      <c r="K71" s="43"/>
      <c r="L71" s="43"/>
      <c r="M71" s="43"/>
      <c r="N71" s="43"/>
      <c r="O71" s="43"/>
      <c r="P71" s="217"/>
      <c r="Q71" s="217"/>
      <c r="R71" s="217"/>
      <c r="S71" s="217"/>
      <c r="T71" s="217"/>
      <c r="U71" s="217"/>
      <c r="V71" s="217"/>
      <c r="W71" s="217"/>
      <c r="X71" s="217"/>
      <c r="Y71" s="217"/>
      <c r="Z71" s="217"/>
    </row>
    <row r="72" ht="15.75" customHeight="1">
      <c r="A72" s="43"/>
      <c r="B72" s="43"/>
      <c r="C72" s="43"/>
      <c r="D72" s="117"/>
      <c r="E72" s="43"/>
      <c r="F72" s="43"/>
      <c r="G72" s="43"/>
      <c r="H72" s="43"/>
      <c r="I72" s="43"/>
      <c r="J72" s="43"/>
      <c r="K72" s="43"/>
      <c r="L72" s="43"/>
      <c r="M72" s="43"/>
      <c r="N72" s="43"/>
      <c r="O72" s="43"/>
      <c r="P72" s="217"/>
      <c r="Q72" s="217"/>
      <c r="R72" s="217"/>
      <c r="S72" s="217"/>
      <c r="T72" s="217"/>
      <c r="U72" s="217"/>
      <c r="V72" s="217"/>
      <c r="W72" s="217"/>
      <c r="X72" s="217"/>
      <c r="Y72" s="217"/>
      <c r="Z72" s="217"/>
    </row>
    <row r="73" ht="15.75" customHeight="1">
      <c r="A73" s="43"/>
      <c r="B73" s="43"/>
      <c r="C73" s="43"/>
      <c r="D73" s="117"/>
      <c r="E73" s="43"/>
      <c r="F73" s="43"/>
      <c r="G73" s="43"/>
      <c r="H73" s="43"/>
      <c r="I73" s="43"/>
      <c r="J73" s="43"/>
      <c r="K73" s="43"/>
      <c r="L73" s="43"/>
      <c r="M73" s="43"/>
      <c r="N73" s="43"/>
      <c r="O73" s="43"/>
      <c r="P73" s="217"/>
      <c r="Q73" s="217"/>
      <c r="R73" s="217"/>
      <c r="S73" s="217"/>
      <c r="T73" s="217"/>
      <c r="U73" s="217"/>
      <c r="V73" s="217"/>
      <c r="W73" s="217"/>
      <c r="X73" s="217"/>
      <c r="Y73" s="217"/>
      <c r="Z73" s="217"/>
    </row>
    <row r="74" ht="15.75" customHeight="1">
      <c r="A74" s="43"/>
      <c r="B74" s="43"/>
      <c r="C74" s="43"/>
      <c r="D74" s="117"/>
      <c r="E74" s="43"/>
      <c r="F74" s="43"/>
      <c r="G74" s="43"/>
      <c r="H74" s="43"/>
      <c r="I74" s="43"/>
      <c r="J74" s="43"/>
      <c r="K74" s="43"/>
      <c r="L74" s="43"/>
      <c r="M74" s="43"/>
      <c r="N74" s="43"/>
      <c r="O74" s="43"/>
      <c r="P74" s="217"/>
      <c r="Q74" s="217"/>
      <c r="R74" s="217"/>
      <c r="S74" s="217"/>
      <c r="T74" s="217"/>
      <c r="U74" s="217"/>
      <c r="V74" s="217"/>
      <c r="W74" s="217"/>
      <c r="X74" s="217"/>
      <c r="Y74" s="217"/>
      <c r="Z74" s="217"/>
    </row>
    <row r="75" ht="15.75" customHeight="1">
      <c r="A75" s="43"/>
      <c r="B75" s="43"/>
      <c r="C75" s="43"/>
      <c r="D75" s="117"/>
      <c r="E75" s="43"/>
      <c r="F75" s="43"/>
      <c r="G75" s="43"/>
      <c r="H75" s="43"/>
      <c r="I75" s="43"/>
      <c r="J75" s="43"/>
      <c r="K75" s="43"/>
      <c r="L75" s="43"/>
      <c r="M75" s="43"/>
      <c r="N75" s="43"/>
      <c r="O75" s="43"/>
      <c r="P75" s="217"/>
      <c r="Q75" s="217"/>
      <c r="R75" s="217"/>
      <c r="S75" s="217"/>
      <c r="T75" s="217"/>
      <c r="U75" s="217"/>
      <c r="V75" s="217"/>
      <c r="W75" s="217"/>
      <c r="X75" s="217"/>
      <c r="Y75" s="217"/>
      <c r="Z75" s="217"/>
    </row>
    <row r="76" ht="15.75" customHeight="1">
      <c r="A76" s="43"/>
      <c r="B76" s="43"/>
      <c r="C76" s="43"/>
      <c r="D76" s="117"/>
      <c r="E76" s="43"/>
      <c r="F76" s="43"/>
      <c r="G76" s="43"/>
      <c r="H76" s="43"/>
      <c r="I76" s="43"/>
      <c r="J76" s="43"/>
      <c r="K76" s="43"/>
      <c r="L76" s="43"/>
      <c r="M76" s="43"/>
      <c r="N76" s="43"/>
      <c r="O76" s="43"/>
      <c r="P76" s="217"/>
      <c r="Q76" s="217"/>
      <c r="R76" s="217"/>
      <c r="S76" s="217"/>
      <c r="T76" s="217"/>
      <c r="U76" s="217"/>
      <c r="V76" s="217"/>
      <c r="W76" s="217"/>
      <c r="X76" s="217"/>
      <c r="Y76" s="217"/>
      <c r="Z76" s="217"/>
    </row>
    <row r="77" ht="15.75" customHeight="1">
      <c r="A77" s="43"/>
      <c r="B77" s="43"/>
      <c r="C77" s="43"/>
      <c r="D77" s="117"/>
      <c r="E77" s="43"/>
      <c r="F77" s="43"/>
      <c r="G77" s="43"/>
      <c r="H77" s="43"/>
      <c r="I77" s="43"/>
      <c r="J77" s="43"/>
      <c r="K77" s="43"/>
      <c r="L77" s="43"/>
      <c r="M77" s="43"/>
      <c r="N77" s="43"/>
      <c r="O77" s="43"/>
      <c r="P77" s="217"/>
      <c r="Q77" s="217"/>
      <c r="R77" s="217"/>
      <c r="S77" s="217"/>
      <c r="T77" s="217"/>
      <c r="U77" s="217"/>
      <c r="V77" s="217"/>
      <c r="W77" s="217"/>
      <c r="X77" s="217"/>
      <c r="Y77" s="217"/>
      <c r="Z77" s="217"/>
    </row>
    <row r="78" ht="15.75" customHeight="1">
      <c r="A78" s="43"/>
      <c r="B78" s="43"/>
      <c r="C78" s="43"/>
      <c r="D78" s="117"/>
      <c r="E78" s="43"/>
      <c r="F78" s="43"/>
      <c r="G78" s="43"/>
      <c r="H78" s="43"/>
      <c r="I78" s="43"/>
      <c r="J78" s="43"/>
      <c r="K78" s="43"/>
      <c r="L78" s="43"/>
      <c r="M78" s="43"/>
      <c r="N78" s="43"/>
      <c r="O78" s="43"/>
      <c r="P78" s="217"/>
      <c r="Q78" s="217"/>
      <c r="R78" s="217"/>
      <c r="S78" s="217"/>
      <c r="T78" s="217"/>
      <c r="U78" s="217"/>
      <c r="V78" s="217"/>
      <c r="W78" s="217"/>
      <c r="X78" s="217"/>
      <c r="Y78" s="217"/>
      <c r="Z78" s="217"/>
    </row>
    <row r="79" ht="15.75" customHeight="1">
      <c r="A79" s="43"/>
      <c r="B79" s="43"/>
      <c r="C79" s="43"/>
      <c r="D79" s="117"/>
      <c r="E79" s="43"/>
      <c r="F79" s="43"/>
      <c r="G79" s="43"/>
      <c r="H79" s="43"/>
      <c r="I79" s="43"/>
      <c r="J79" s="43"/>
      <c r="K79" s="43"/>
      <c r="L79" s="43"/>
      <c r="M79" s="43"/>
      <c r="N79" s="43"/>
      <c r="O79" s="43"/>
      <c r="P79" s="217"/>
      <c r="Q79" s="217"/>
      <c r="R79" s="217"/>
      <c r="S79" s="217"/>
      <c r="T79" s="217"/>
      <c r="U79" s="217"/>
      <c r="V79" s="217"/>
      <c r="W79" s="217"/>
      <c r="X79" s="217"/>
      <c r="Y79" s="217"/>
      <c r="Z79" s="217"/>
    </row>
    <row r="80" ht="15.75" customHeight="1">
      <c r="A80" s="43"/>
      <c r="B80" s="43"/>
      <c r="C80" s="43"/>
      <c r="D80" s="117"/>
      <c r="E80" s="43"/>
      <c r="F80" s="43"/>
      <c r="G80" s="43"/>
      <c r="H80" s="43"/>
      <c r="I80" s="43"/>
      <c r="J80" s="43"/>
      <c r="K80" s="43"/>
      <c r="L80" s="43"/>
      <c r="M80" s="43"/>
      <c r="N80" s="43"/>
      <c r="O80" s="43"/>
      <c r="P80" s="217"/>
      <c r="Q80" s="217"/>
      <c r="R80" s="217"/>
      <c r="S80" s="217"/>
      <c r="T80" s="217"/>
      <c r="U80" s="217"/>
      <c r="V80" s="217"/>
      <c r="W80" s="217"/>
      <c r="X80" s="217"/>
      <c r="Y80" s="217"/>
      <c r="Z80" s="217"/>
    </row>
    <row r="81" ht="15.75" customHeight="1">
      <c r="A81" s="43"/>
      <c r="B81" s="43"/>
      <c r="C81" s="43"/>
      <c r="D81" s="117"/>
      <c r="E81" s="43"/>
      <c r="F81" s="43"/>
      <c r="G81" s="43"/>
      <c r="H81" s="43"/>
      <c r="I81" s="43"/>
      <c r="J81" s="43"/>
      <c r="K81" s="43"/>
      <c r="L81" s="43"/>
      <c r="M81" s="43"/>
      <c r="N81" s="43"/>
      <c r="O81" s="43"/>
      <c r="P81" s="217"/>
      <c r="Q81" s="217"/>
      <c r="R81" s="217"/>
      <c r="S81" s="217"/>
      <c r="T81" s="217"/>
      <c r="U81" s="217"/>
      <c r="V81" s="217"/>
      <c r="W81" s="217"/>
      <c r="X81" s="217"/>
      <c r="Y81" s="217"/>
      <c r="Z81" s="217"/>
    </row>
    <row r="82" ht="15.75" customHeight="1">
      <c r="A82" s="43"/>
      <c r="B82" s="43"/>
      <c r="C82" s="43"/>
      <c r="D82" s="117"/>
      <c r="E82" s="43"/>
      <c r="F82" s="43"/>
      <c r="G82" s="43"/>
      <c r="H82" s="43"/>
      <c r="I82" s="43"/>
      <c r="J82" s="43"/>
      <c r="K82" s="43"/>
      <c r="L82" s="43"/>
      <c r="M82" s="43"/>
      <c r="N82" s="43"/>
      <c r="O82" s="43"/>
      <c r="P82" s="217"/>
      <c r="Q82" s="217"/>
      <c r="R82" s="217"/>
      <c r="S82" s="217"/>
      <c r="T82" s="217"/>
      <c r="U82" s="217"/>
      <c r="V82" s="217"/>
      <c r="W82" s="217"/>
      <c r="X82" s="217"/>
      <c r="Y82" s="217"/>
      <c r="Z82" s="217"/>
    </row>
    <row r="83" ht="15.75" customHeight="1">
      <c r="A83" s="43"/>
      <c r="B83" s="43"/>
      <c r="C83" s="43"/>
      <c r="D83" s="117"/>
      <c r="E83" s="43"/>
      <c r="F83" s="43"/>
      <c r="G83" s="43"/>
      <c r="H83" s="43"/>
      <c r="I83" s="43"/>
      <c r="J83" s="43"/>
      <c r="K83" s="43"/>
      <c r="L83" s="43"/>
      <c r="M83" s="43"/>
      <c r="N83" s="43"/>
      <c r="O83" s="43"/>
      <c r="P83" s="217"/>
      <c r="Q83" s="217"/>
      <c r="R83" s="217"/>
      <c r="S83" s="217"/>
      <c r="T83" s="217"/>
      <c r="U83" s="217"/>
      <c r="V83" s="217"/>
      <c r="W83" s="217"/>
      <c r="X83" s="217"/>
      <c r="Y83" s="217"/>
      <c r="Z83" s="217"/>
    </row>
    <row r="84" ht="15.75" customHeight="1">
      <c r="A84" s="43"/>
      <c r="B84" s="43"/>
      <c r="C84" s="43"/>
      <c r="D84" s="117"/>
      <c r="E84" s="43"/>
      <c r="F84" s="43"/>
      <c r="G84" s="43"/>
      <c r="H84" s="43"/>
      <c r="I84" s="43"/>
      <c r="J84" s="43"/>
      <c r="K84" s="43"/>
      <c r="L84" s="43"/>
      <c r="M84" s="43"/>
      <c r="N84" s="43"/>
      <c r="O84" s="43"/>
      <c r="P84" s="217"/>
      <c r="Q84" s="217"/>
      <c r="R84" s="217"/>
      <c r="S84" s="217"/>
      <c r="T84" s="217"/>
      <c r="U84" s="217"/>
      <c r="V84" s="217"/>
      <c r="W84" s="217"/>
      <c r="X84" s="217"/>
      <c r="Y84" s="217"/>
      <c r="Z84" s="217"/>
    </row>
    <row r="85" ht="15.75" customHeight="1">
      <c r="A85" s="43"/>
      <c r="B85" s="43"/>
      <c r="C85" s="43"/>
      <c r="D85" s="117"/>
      <c r="E85" s="43"/>
      <c r="F85" s="43"/>
      <c r="G85" s="43"/>
      <c r="H85" s="43"/>
      <c r="I85" s="43"/>
      <c r="J85" s="43"/>
      <c r="K85" s="43"/>
      <c r="L85" s="43"/>
      <c r="M85" s="43"/>
      <c r="N85" s="43"/>
      <c r="O85" s="43"/>
      <c r="P85" s="217"/>
      <c r="Q85" s="217"/>
      <c r="R85" s="217"/>
      <c r="S85" s="217"/>
      <c r="T85" s="217"/>
      <c r="U85" s="217"/>
      <c r="V85" s="217"/>
      <c r="W85" s="217"/>
      <c r="X85" s="217"/>
      <c r="Y85" s="217"/>
      <c r="Z85" s="217"/>
    </row>
    <row r="86" ht="15.75" customHeight="1">
      <c r="A86" s="43"/>
      <c r="B86" s="43"/>
      <c r="C86" s="43"/>
      <c r="D86" s="117"/>
      <c r="E86" s="43"/>
      <c r="F86" s="43"/>
      <c r="G86" s="43"/>
      <c r="H86" s="43"/>
      <c r="I86" s="43"/>
      <c r="J86" s="43"/>
      <c r="K86" s="43"/>
      <c r="L86" s="43"/>
      <c r="M86" s="43"/>
      <c r="N86" s="43"/>
      <c r="O86" s="43"/>
      <c r="P86" s="217"/>
      <c r="Q86" s="217"/>
      <c r="R86" s="217"/>
      <c r="S86" s="217"/>
      <c r="T86" s="217"/>
      <c r="U86" s="217"/>
      <c r="V86" s="217"/>
      <c r="W86" s="217"/>
      <c r="X86" s="217"/>
      <c r="Y86" s="217"/>
      <c r="Z86" s="217"/>
    </row>
    <row r="87" ht="15.75" customHeight="1">
      <c r="A87" s="43"/>
      <c r="B87" s="43"/>
      <c r="C87" s="43"/>
      <c r="D87" s="117"/>
      <c r="E87" s="43"/>
      <c r="F87" s="43"/>
      <c r="G87" s="43"/>
      <c r="H87" s="43"/>
      <c r="I87" s="43"/>
      <c r="J87" s="43"/>
      <c r="K87" s="43"/>
      <c r="L87" s="43"/>
      <c r="M87" s="43"/>
      <c r="N87" s="43"/>
      <c r="O87" s="43"/>
      <c r="P87" s="217"/>
      <c r="Q87" s="217"/>
      <c r="R87" s="217"/>
      <c r="S87" s="217"/>
      <c r="T87" s="217"/>
      <c r="U87" s="217"/>
      <c r="V87" s="217"/>
      <c r="W87" s="217"/>
      <c r="X87" s="217"/>
      <c r="Y87" s="217"/>
      <c r="Z87" s="217"/>
    </row>
    <row r="88" ht="15.75" customHeight="1">
      <c r="A88" s="43"/>
      <c r="B88" s="43"/>
      <c r="C88" s="43"/>
      <c r="D88" s="117"/>
      <c r="E88" s="43"/>
      <c r="F88" s="43"/>
      <c r="G88" s="43"/>
      <c r="H88" s="43"/>
      <c r="I88" s="43"/>
      <c r="J88" s="43"/>
      <c r="K88" s="43"/>
      <c r="L88" s="43"/>
      <c r="M88" s="43"/>
      <c r="N88" s="43"/>
      <c r="O88" s="43"/>
      <c r="P88" s="217"/>
      <c r="Q88" s="217"/>
      <c r="R88" s="217"/>
      <c r="S88" s="217"/>
      <c r="T88" s="217"/>
      <c r="U88" s="217"/>
      <c r="V88" s="217"/>
      <c r="W88" s="217"/>
      <c r="X88" s="217"/>
      <c r="Y88" s="217"/>
      <c r="Z88" s="217"/>
    </row>
    <row r="89" ht="15.75" customHeight="1">
      <c r="A89" s="43"/>
      <c r="B89" s="43"/>
      <c r="C89" s="43"/>
      <c r="D89" s="117"/>
      <c r="E89" s="43"/>
      <c r="F89" s="43"/>
      <c r="G89" s="43"/>
      <c r="H89" s="43"/>
      <c r="I89" s="43"/>
      <c r="J89" s="43"/>
      <c r="K89" s="43"/>
      <c r="L89" s="43"/>
      <c r="M89" s="43"/>
      <c r="N89" s="43"/>
      <c r="O89" s="43"/>
      <c r="P89" s="217"/>
      <c r="Q89" s="217"/>
      <c r="R89" s="217"/>
      <c r="S89" s="217"/>
      <c r="T89" s="217"/>
      <c r="U89" s="217"/>
      <c r="V89" s="217"/>
      <c r="W89" s="217"/>
      <c r="X89" s="217"/>
      <c r="Y89" s="217"/>
      <c r="Z89" s="217"/>
    </row>
    <row r="90" ht="15.75" customHeight="1">
      <c r="A90" s="43"/>
      <c r="B90" s="43"/>
      <c r="C90" s="43"/>
      <c r="D90" s="117"/>
      <c r="E90" s="43"/>
      <c r="F90" s="43"/>
      <c r="G90" s="43"/>
      <c r="H90" s="43"/>
      <c r="I90" s="43"/>
      <c r="J90" s="43"/>
      <c r="K90" s="43"/>
      <c r="L90" s="43"/>
      <c r="M90" s="43"/>
      <c r="N90" s="43"/>
      <c r="O90" s="43"/>
      <c r="P90" s="217"/>
      <c r="Q90" s="217"/>
      <c r="R90" s="217"/>
      <c r="S90" s="217"/>
      <c r="T90" s="217"/>
      <c r="U90" s="217"/>
      <c r="V90" s="217"/>
      <c r="W90" s="217"/>
      <c r="X90" s="217"/>
      <c r="Y90" s="217"/>
      <c r="Z90" s="217"/>
    </row>
    <row r="91" ht="15.75" customHeight="1">
      <c r="A91" s="43"/>
      <c r="B91" s="43"/>
      <c r="C91" s="43"/>
      <c r="D91" s="117"/>
      <c r="E91" s="43"/>
      <c r="F91" s="43"/>
      <c r="G91" s="43"/>
      <c r="H91" s="43"/>
      <c r="I91" s="43"/>
      <c r="J91" s="43"/>
      <c r="K91" s="43"/>
      <c r="L91" s="43"/>
      <c r="M91" s="43"/>
      <c r="N91" s="43"/>
      <c r="O91" s="43"/>
      <c r="P91" s="217"/>
      <c r="Q91" s="217"/>
      <c r="R91" s="217"/>
      <c r="S91" s="217"/>
      <c r="T91" s="217"/>
      <c r="U91" s="217"/>
      <c r="V91" s="217"/>
      <c r="W91" s="217"/>
      <c r="X91" s="217"/>
      <c r="Y91" s="217"/>
      <c r="Z91" s="217"/>
    </row>
    <row r="92" ht="15.75" customHeight="1">
      <c r="A92" s="43"/>
      <c r="B92" s="43"/>
      <c r="C92" s="43"/>
      <c r="D92" s="117"/>
      <c r="E92" s="43"/>
      <c r="F92" s="43"/>
      <c r="G92" s="43"/>
      <c r="H92" s="43"/>
      <c r="I92" s="43"/>
      <c r="J92" s="43"/>
      <c r="K92" s="43"/>
      <c r="L92" s="43"/>
      <c r="M92" s="43"/>
      <c r="N92" s="43"/>
      <c r="O92" s="43"/>
      <c r="P92" s="217"/>
      <c r="Q92" s="217"/>
      <c r="R92" s="217"/>
      <c r="S92" s="217"/>
      <c r="T92" s="217"/>
      <c r="U92" s="217"/>
      <c r="V92" s="217"/>
      <c r="W92" s="217"/>
      <c r="X92" s="217"/>
      <c r="Y92" s="217"/>
      <c r="Z92" s="217"/>
    </row>
    <row r="93" ht="15.75" customHeight="1">
      <c r="A93" s="43"/>
      <c r="B93" s="43"/>
      <c r="C93" s="43"/>
      <c r="D93" s="117"/>
      <c r="E93" s="43"/>
      <c r="F93" s="43"/>
      <c r="G93" s="43"/>
      <c r="H93" s="43"/>
      <c r="I93" s="43"/>
      <c r="J93" s="43"/>
      <c r="K93" s="43"/>
      <c r="L93" s="43"/>
      <c r="M93" s="43"/>
      <c r="N93" s="43"/>
      <c r="O93" s="43"/>
      <c r="P93" s="217"/>
      <c r="Q93" s="217"/>
      <c r="R93" s="217"/>
      <c r="S93" s="217"/>
      <c r="T93" s="217"/>
      <c r="U93" s="217"/>
      <c r="V93" s="217"/>
      <c r="W93" s="217"/>
      <c r="X93" s="217"/>
      <c r="Y93" s="217"/>
      <c r="Z93" s="217"/>
    </row>
    <row r="94" ht="15.75" customHeight="1">
      <c r="A94" s="43"/>
      <c r="B94" s="43"/>
      <c r="C94" s="43"/>
      <c r="D94" s="117"/>
      <c r="E94" s="43"/>
      <c r="F94" s="43"/>
      <c r="G94" s="43"/>
      <c r="H94" s="43"/>
      <c r="I94" s="43"/>
      <c r="J94" s="43"/>
      <c r="K94" s="43"/>
      <c r="L94" s="43"/>
      <c r="M94" s="43"/>
      <c r="N94" s="43"/>
      <c r="O94" s="43"/>
      <c r="P94" s="217"/>
      <c r="Q94" s="217"/>
      <c r="R94" s="217"/>
      <c r="S94" s="217"/>
      <c r="T94" s="217"/>
      <c r="U94" s="217"/>
      <c r="V94" s="217"/>
      <c r="W94" s="217"/>
      <c r="X94" s="217"/>
      <c r="Y94" s="217"/>
      <c r="Z94" s="217"/>
    </row>
    <row r="95" ht="15.75" customHeight="1">
      <c r="A95" s="43"/>
      <c r="B95" s="43"/>
      <c r="C95" s="43"/>
      <c r="D95" s="117"/>
      <c r="E95" s="43"/>
      <c r="F95" s="43"/>
      <c r="G95" s="43"/>
      <c r="H95" s="43"/>
      <c r="I95" s="43"/>
      <c r="J95" s="43"/>
      <c r="K95" s="43"/>
      <c r="L95" s="43"/>
      <c r="M95" s="43"/>
      <c r="N95" s="43"/>
      <c r="O95" s="43"/>
      <c r="P95" s="217"/>
      <c r="Q95" s="217"/>
      <c r="R95" s="217"/>
      <c r="S95" s="217"/>
      <c r="T95" s="217"/>
      <c r="U95" s="217"/>
      <c r="V95" s="217"/>
      <c r="W95" s="217"/>
      <c r="X95" s="217"/>
      <c r="Y95" s="217"/>
      <c r="Z95" s="217"/>
    </row>
    <row r="96" ht="15.75" customHeight="1">
      <c r="A96" s="43"/>
      <c r="B96" s="43"/>
      <c r="C96" s="43"/>
      <c r="D96" s="117"/>
      <c r="E96" s="43"/>
      <c r="F96" s="43"/>
      <c r="G96" s="43"/>
      <c r="H96" s="43"/>
      <c r="I96" s="43"/>
      <c r="J96" s="43"/>
      <c r="K96" s="43"/>
      <c r="L96" s="43"/>
      <c r="M96" s="43"/>
      <c r="N96" s="43"/>
      <c r="O96" s="43"/>
      <c r="P96" s="217"/>
      <c r="Q96" s="217"/>
      <c r="R96" s="217"/>
      <c r="S96" s="217"/>
      <c r="T96" s="217"/>
      <c r="U96" s="217"/>
      <c r="V96" s="217"/>
      <c r="W96" s="217"/>
      <c r="X96" s="217"/>
      <c r="Y96" s="217"/>
      <c r="Z96" s="217"/>
    </row>
    <row r="97" ht="15.75" customHeight="1">
      <c r="A97" s="43"/>
      <c r="B97" s="43"/>
      <c r="C97" s="43"/>
      <c r="D97" s="117"/>
      <c r="E97" s="43"/>
      <c r="F97" s="43"/>
      <c r="G97" s="43"/>
      <c r="H97" s="43"/>
      <c r="I97" s="43"/>
      <c r="J97" s="43"/>
      <c r="K97" s="43"/>
      <c r="L97" s="43"/>
      <c r="M97" s="43"/>
      <c r="N97" s="43"/>
      <c r="O97" s="43"/>
      <c r="P97" s="217"/>
      <c r="Q97" s="217"/>
      <c r="R97" s="217"/>
      <c r="S97" s="217"/>
      <c r="T97" s="217"/>
      <c r="U97" s="217"/>
      <c r="V97" s="217"/>
      <c r="W97" s="217"/>
      <c r="X97" s="217"/>
      <c r="Y97" s="217"/>
      <c r="Z97" s="217"/>
    </row>
    <row r="98" ht="15.75" customHeight="1">
      <c r="A98" s="43"/>
      <c r="B98" s="43"/>
      <c r="C98" s="43"/>
      <c r="D98" s="117"/>
      <c r="E98" s="43"/>
      <c r="F98" s="43"/>
      <c r="G98" s="43"/>
      <c r="H98" s="43"/>
      <c r="I98" s="43"/>
      <c r="J98" s="43"/>
      <c r="K98" s="43"/>
      <c r="L98" s="43"/>
      <c r="M98" s="43"/>
      <c r="N98" s="43"/>
      <c r="O98" s="43"/>
      <c r="P98" s="217"/>
      <c r="Q98" s="217"/>
      <c r="R98" s="217"/>
      <c r="S98" s="217"/>
      <c r="T98" s="217"/>
      <c r="U98" s="217"/>
      <c r="V98" s="217"/>
      <c r="W98" s="217"/>
      <c r="X98" s="217"/>
      <c r="Y98" s="217"/>
      <c r="Z98" s="217"/>
    </row>
    <row r="99" ht="15.75" customHeight="1">
      <c r="A99" s="43"/>
      <c r="B99" s="43"/>
      <c r="C99" s="43"/>
      <c r="D99" s="117"/>
      <c r="E99" s="43"/>
      <c r="F99" s="43"/>
      <c r="G99" s="43"/>
      <c r="H99" s="43"/>
      <c r="I99" s="43"/>
      <c r="J99" s="43"/>
      <c r="K99" s="43"/>
      <c r="L99" s="43"/>
      <c r="M99" s="43"/>
      <c r="N99" s="43"/>
      <c r="O99" s="43"/>
      <c r="P99" s="217"/>
      <c r="Q99" s="217"/>
      <c r="R99" s="217"/>
      <c r="S99" s="217"/>
      <c r="T99" s="217"/>
      <c r="U99" s="217"/>
      <c r="V99" s="217"/>
      <c r="W99" s="217"/>
      <c r="X99" s="217"/>
      <c r="Y99" s="217"/>
      <c r="Z99" s="217"/>
    </row>
    <row r="100" ht="15.75" customHeight="1">
      <c r="A100" s="43"/>
      <c r="B100" s="43"/>
      <c r="C100" s="43"/>
      <c r="D100" s="117"/>
      <c r="E100" s="43"/>
      <c r="F100" s="43"/>
      <c r="G100" s="43"/>
      <c r="H100" s="43"/>
      <c r="I100" s="43"/>
      <c r="J100" s="43"/>
      <c r="K100" s="43"/>
      <c r="L100" s="43"/>
      <c r="M100" s="43"/>
      <c r="N100" s="43"/>
      <c r="O100" s="43"/>
      <c r="P100" s="217"/>
      <c r="Q100" s="217"/>
      <c r="R100" s="217"/>
      <c r="S100" s="217"/>
      <c r="T100" s="217"/>
      <c r="U100" s="217"/>
      <c r="V100" s="217"/>
      <c r="W100" s="217"/>
      <c r="X100" s="217"/>
      <c r="Y100" s="217"/>
      <c r="Z100" s="217"/>
    </row>
    <row r="101" ht="15.75" customHeight="1">
      <c r="A101" s="43"/>
      <c r="B101" s="43"/>
      <c r="C101" s="43"/>
      <c r="D101" s="117"/>
      <c r="E101" s="43"/>
      <c r="F101" s="43"/>
      <c r="G101" s="43"/>
      <c r="H101" s="43"/>
      <c r="I101" s="43"/>
      <c r="J101" s="43"/>
      <c r="K101" s="43"/>
      <c r="L101" s="43"/>
      <c r="M101" s="43"/>
      <c r="N101" s="43"/>
      <c r="O101" s="43"/>
      <c r="P101" s="217"/>
      <c r="Q101" s="217"/>
      <c r="R101" s="217"/>
      <c r="S101" s="217"/>
      <c r="T101" s="217"/>
      <c r="U101" s="217"/>
      <c r="V101" s="217"/>
      <c r="W101" s="217"/>
      <c r="X101" s="217"/>
      <c r="Y101" s="217"/>
      <c r="Z101" s="217"/>
    </row>
    <row r="102" ht="15.75" customHeight="1">
      <c r="A102" s="43"/>
      <c r="B102" s="43"/>
      <c r="C102" s="43"/>
      <c r="D102" s="117"/>
      <c r="E102" s="43"/>
      <c r="F102" s="43"/>
      <c r="G102" s="43"/>
      <c r="H102" s="43"/>
      <c r="I102" s="43"/>
      <c r="J102" s="43"/>
      <c r="K102" s="43"/>
      <c r="L102" s="43"/>
      <c r="M102" s="43"/>
      <c r="N102" s="43"/>
      <c r="O102" s="43"/>
      <c r="P102" s="217"/>
      <c r="Q102" s="217"/>
      <c r="R102" s="217"/>
      <c r="S102" s="217"/>
      <c r="T102" s="217"/>
      <c r="U102" s="217"/>
      <c r="V102" s="217"/>
      <c r="W102" s="217"/>
      <c r="X102" s="217"/>
      <c r="Y102" s="217"/>
      <c r="Z102" s="217"/>
    </row>
    <row r="103" ht="15.75" customHeight="1">
      <c r="A103" s="43"/>
      <c r="B103" s="43"/>
      <c r="C103" s="43"/>
      <c r="D103" s="117"/>
      <c r="E103" s="43"/>
      <c r="F103" s="43"/>
      <c r="G103" s="43"/>
      <c r="H103" s="43"/>
      <c r="I103" s="43"/>
      <c r="J103" s="43"/>
      <c r="K103" s="43"/>
      <c r="L103" s="43"/>
      <c r="M103" s="43"/>
      <c r="N103" s="43"/>
      <c r="O103" s="43"/>
      <c r="P103" s="217"/>
      <c r="Q103" s="217"/>
      <c r="R103" s="217"/>
      <c r="S103" s="217"/>
      <c r="T103" s="217"/>
      <c r="U103" s="217"/>
      <c r="V103" s="217"/>
      <c r="W103" s="217"/>
      <c r="X103" s="217"/>
      <c r="Y103" s="217"/>
      <c r="Z103" s="217"/>
    </row>
    <row r="104" ht="15.75" customHeight="1">
      <c r="A104" s="43"/>
      <c r="B104" s="43"/>
      <c r="C104" s="43"/>
      <c r="D104" s="117"/>
      <c r="E104" s="43"/>
      <c r="F104" s="43"/>
      <c r="G104" s="43"/>
      <c r="H104" s="43"/>
      <c r="I104" s="43"/>
      <c r="J104" s="43"/>
      <c r="K104" s="43"/>
      <c r="L104" s="43"/>
      <c r="M104" s="43"/>
      <c r="N104" s="43"/>
      <c r="O104" s="43"/>
      <c r="P104" s="217"/>
      <c r="Q104" s="217"/>
      <c r="R104" s="217"/>
      <c r="S104" s="217"/>
      <c r="T104" s="217"/>
      <c r="U104" s="217"/>
      <c r="V104" s="217"/>
      <c r="W104" s="217"/>
      <c r="X104" s="217"/>
      <c r="Y104" s="217"/>
      <c r="Z104" s="217"/>
    </row>
    <row r="105" ht="15.75" customHeight="1">
      <c r="A105" s="43"/>
      <c r="B105" s="43"/>
      <c r="C105" s="43"/>
      <c r="D105" s="117"/>
      <c r="E105" s="43"/>
      <c r="F105" s="43"/>
      <c r="G105" s="43"/>
      <c r="H105" s="43"/>
      <c r="I105" s="43"/>
      <c r="J105" s="43"/>
      <c r="K105" s="43"/>
      <c r="L105" s="43"/>
      <c r="M105" s="43"/>
      <c r="N105" s="43"/>
      <c r="O105" s="43"/>
      <c r="P105" s="217"/>
      <c r="Q105" s="217"/>
      <c r="R105" s="217"/>
      <c r="S105" s="217"/>
      <c r="T105" s="217"/>
      <c r="U105" s="217"/>
      <c r="V105" s="217"/>
      <c r="W105" s="217"/>
      <c r="X105" s="217"/>
      <c r="Y105" s="217"/>
      <c r="Z105" s="217"/>
    </row>
    <row r="106" ht="15.75" customHeight="1">
      <c r="A106" s="43"/>
      <c r="B106" s="43"/>
      <c r="C106" s="43"/>
      <c r="D106" s="117"/>
      <c r="E106" s="43"/>
      <c r="F106" s="43"/>
      <c r="G106" s="43"/>
      <c r="H106" s="43"/>
      <c r="I106" s="43"/>
      <c r="J106" s="43"/>
      <c r="K106" s="43"/>
      <c r="L106" s="43"/>
      <c r="M106" s="43"/>
      <c r="N106" s="43"/>
      <c r="O106" s="43"/>
      <c r="P106" s="217"/>
      <c r="Q106" s="217"/>
      <c r="R106" s="217"/>
      <c r="S106" s="217"/>
      <c r="T106" s="217"/>
      <c r="U106" s="217"/>
      <c r="V106" s="217"/>
      <c r="W106" s="217"/>
      <c r="X106" s="217"/>
      <c r="Y106" s="217"/>
      <c r="Z106" s="217"/>
    </row>
    <row r="107" ht="15.75" customHeight="1">
      <c r="A107" s="43"/>
      <c r="B107" s="43"/>
      <c r="C107" s="43"/>
      <c r="D107" s="117"/>
      <c r="E107" s="43"/>
      <c r="F107" s="43"/>
      <c r="G107" s="43"/>
      <c r="H107" s="43"/>
      <c r="I107" s="43"/>
      <c r="J107" s="43"/>
      <c r="K107" s="43"/>
      <c r="L107" s="43"/>
      <c r="M107" s="43"/>
      <c r="N107" s="43"/>
      <c r="O107" s="43"/>
      <c r="P107" s="217"/>
      <c r="Q107" s="217"/>
      <c r="R107" s="217"/>
      <c r="S107" s="217"/>
      <c r="T107" s="217"/>
      <c r="U107" s="217"/>
      <c r="V107" s="217"/>
      <c r="W107" s="217"/>
      <c r="X107" s="217"/>
      <c r="Y107" s="217"/>
      <c r="Z107" s="217"/>
    </row>
    <row r="108" ht="15.75" customHeight="1">
      <c r="A108" s="43"/>
      <c r="B108" s="43"/>
      <c r="C108" s="43"/>
      <c r="D108" s="117"/>
      <c r="E108" s="43"/>
      <c r="F108" s="43"/>
      <c r="G108" s="43"/>
      <c r="H108" s="43"/>
      <c r="I108" s="43"/>
      <c r="J108" s="43"/>
      <c r="K108" s="43"/>
      <c r="L108" s="43"/>
      <c r="M108" s="43"/>
      <c r="N108" s="43"/>
      <c r="O108" s="43"/>
      <c r="P108" s="217"/>
      <c r="Q108" s="217"/>
      <c r="R108" s="217"/>
      <c r="S108" s="217"/>
      <c r="T108" s="217"/>
      <c r="U108" s="217"/>
      <c r="V108" s="217"/>
      <c r="W108" s="217"/>
      <c r="X108" s="217"/>
      <c r="Y108" s="217"/>
      <c r="Z108" s="217"/>
    </row>
    <row r="109" ht="15.75" customHeight="1">
      <c r="A109" s="43"/>
      <c r="B109" s="43"/>
      <c r="C109" s="43"/>
      <c r="D109" s="117"/>
      <c r="E109" s="43"/>
      <c r="F109" s="43"/>
      <c r="G109" s="43"/>
      <c r="H109" s="43"/>
      <c r="I109" s="43"/>
      <c r="J109" s="43"/>
      <c r="K109" s="43"/>
      <c r="L109" s="43"/>
      <c r="M109" s="43"/>
      <c r="N109" s="43"/>
      <c r="O109" s="43"/>
      <c r="P109" s="217"/>
      <c r="Q109" s="217"/>
      <c r="R109" s="217"/>
      <c r="S109" s="217"/>
      <c r="T109" s="217"/>
      <c r="U109" s="217"/>
      <c r="V109" s="217"/>
      <c r="W109" s="217"/>
      <c r="X109" s="217"/>
      <c r="Y109" s="217"/>
      <c r="Z109" s="217"/>
    </row>
    <row r="110" ht="15.75" customHeight="1">
      <c r="A110" s="43"/>
      <c r="B110" s="43"/>
      <c r="C110" s="43"/>
      <c r="D110" s="117"/>
      <c r="E110" s="43"/>
      <c r="F110" s="43"/>
      <c r="G110" s="43"/>
      <c r="H110" s="43"/>
      <c r="I110" s="43"/>
      <c r="J110" s="43"/>
      <c r="K110" s="43"/>
      <c r="L110" s="43"/>
      <c r="M110" s="43"/>
      <c r="N110" s="43"/>
      <c r="O110" s="43"/>
      <c r="P110" s="217"/>
      <c r="Q110" s="217"/>
      <c r="R110" s="217"/>
      <c r="S110" s="217"/>
      <c r="T110" s="217"/>
      <c r="U110" s="217"/>
      <c r="V110" s="217"/>
      <c r="W110" s="217"/>
      <c r="X110" s="217"/>
      <c r="Y110" s="217"/>
      <c r="Z110" s="217"/>
    </row>
    <row r="111" ht="15.75" customHeight="1">
      <c r="A111" s="43"/>
      <c r="B111" s="43"/>
      <c r="C111" s="43"/>
      <c r="D111" s="117"/>
      <c r="E111" s="43"/>
      <c r="F111" s="43"/>
      <c r="G111" s="43"/>
      <c r="H111" s="43"/>
      <c r="I111" s="43"/>
      <c r="J111" s="43"/>
      <c r="K111" s="43"/>
      <c r="L111" s="43"/>
      <c r="M111" s="43"/>
      <c r="N111" s="43"/>
      <c r="O111" s="43"/>
      <c r="P111" s="217"/>
      <c r="Q111" s="217"/>
      <c r="R111" s="217"/>
      <c r="S111" s="217"/>
      <c r="T111" s="217"/>
      <c r="U111" s="217"/>
      <c r="V111" s="217"/>
      <c r="W111" s="217"/>
      <c r="X111" s="217"/>
      <c r="Y111" s="217"/>
      <c r="Z111" s="217"/>
    </row>
    <row r="112" ht="15.75" customHeight="1">
      <c r="A112" s="43"/>
      <c r="B112" s="43"/>
      <c r="C112" s="43"/>
      <c r="D112" s="117"/>
      <c r="E112" s="43"/>
      <c r="F112" s="43"/>
      <c r="G112" s="43"/>
      <c r="H112" s="43"/>
      <c r="I112" s="43"/>
      <c r="J112" s="43"/>
      <c r="K112" s="43"/>
      <c r="L112" s="43"/>
      <c r="M112" s="43"/>
      <c r="N112" s="43"/>
      <c r="O112" s="43"/>
      <c r="P112" s="217"/>
      <c r="Q112" s="217"/>
      <c r="R112" s="217"/>
      <c r="S112" s="217"/>
      <c r="T112" s="217"/>
      <c r="U112" s="217"/>
      <c r="V112" s="217"/>
      <c r="W112" s="217"/>
      <c r="X112" s="217"/>
      <c r="Y112" s="217"/>
      <c r="Z112" s="217"/>
    </row>
    <row r="113" ht="15.75" customHeight="1">
      <c r="A113" s="43"/>
      <c r="B113" s="43"/>
      <c r="C113" s="43"/>
      <c r="D113" s="117"/>
      <c r="E113" s="43"/>
      <c r="F113" s="43"/>
      <c r="G113" s="43"/>
      <c r="H113" s="43"/>
      <c r="I113" s="43"/>
      <c r="J113" s="43"/>
      <c r="K113" s="43"/>
      <c r="L113" s="43"/>
      <c r="M113" s="43"/>
      <c r="N113" s="43"/>
      <c r="O113" s="43"/>
      <c r="P113" s="217"/>
      <c r="Q113" s="217"/>
      <c r="R113" s="217"/>
      <c r="S113" s="217"/>
      <c r="T113" s="217"/>
      <c r="U113" s="217"/>
      <c r="V113" s="217"/>
      <c r="W113" s="217"/>
      <c r="X113" s="217"/>
      <c r="Y113" s="217"/>
      <c r="Z113" s="217"/>
    </row>
    <row r="114" ht="15.75" customHeight="1">
      <c r="A114" s="43"/>
      <c r="B114" s="43"/>
      <c r="C114" s="43"/>
      <c r="D114" s="117"/>
      <c r="E114" s="43"/>
      <c r="F114" s="43"/>
      <c r="G114" s="43"/>
      <c r="H114" s="43"/>
      <c r="I114" s="43"/>
      <c r="J114" s="43"/>
      <c r="K114" s="43"/>
      <c r="L114" s="43"/>
      <c r="M114" s="43"/>
      <c r="N114" s="43"/>
      <c r="O114" s="43"/>
      <c r="P114" s="217"/>
      <c r="Q114" s="217"/>
      <c r="R114" s="217"/>
      <c r="S114" s="217"/>
      <c r="T114" s="217"/>
      <c r="U114" s="217"/>
      <c r="V114" s="217"/>
      <c r="W114" s="217"/>
      <c r="X114" s="217"/>
      <c r="Y114" s="217"/>
      <c r="Z114" s="217"/>
    </row>
    <row r="115" ht="15.75" customHeight="1">
      <c r="A115" s="43"/>
      <c r="B115" s="43"/>
      <c r="C115" s="43"/>
      <c r="D115" s="117"/>
      <c r="E115" s="43"/>
      <c r="F115" s="43"/>
      <c r="G115" s="43"/>
      <c r="H115" s="43"/>
      <c r="I115" s="43"/>
      <c r="J115" s="43"/>
      <c r="K115" s="43"/>
      <c r="L115" s="43"/>
      <c r="M115" s="43"/>
      <c r="N115" s="43"/>
      <c r="O115" s="43"/>
      <c r="P115" s="217"/>
      <c r="Q115" s="217"/>
      <c r="R115" s="217"/>
      <c r="S115" s="217"/>
      <c r="T115" s="217"/>
      <c r="U115" s="217"/>
      <c r="V115" s="217"/>
      <c r="W115" s="217"/>
      <c r="X115" s="217"/>
      <c r="Y115" s="217"/>
      <c r="Z115" s="217"/>
    </row>
    <row r="116" ht="15.75" customHeight="1">
      <c r="A116" s="43"/>
      <c r="B116" s="43"/>
      <c r="C116" s="43"/>
      <c r="D116" s="117"/>
      <c r="E116" s="43"/>
      <c r="F116" s="43"/>
      <c r="G116" s="43"/>
      <c r="H116" s="43"/>
      <c r="I116" s="43"/>
      <c r="J116" s="43"/>
      <c r="K116" s="43"/>
      <c r="L116" s="43"/>
      <c r="M116" s="43"/>
      <c r="N116" s="43"/>
      <c r="O116" s="43"/>
      <c r="P116" s="217"/>
      <c r="Q116" s="217"/>
      <c r="R116" s="217"/>
      <c r="S116" s="217"/>
      <c r="T116" s="217"/>
      <c r="U116" s="217"/>
      <c r="V116" s="217"/>
      <c r="W116" s="217"/>
      <c r="X116" s="217"/>
      <c r="Y116" s="217"/>
      <c r="Z116" s="217"/>
    </row>
    <row r="117" ht="15.75" customHeight="1">
      <c r="A117" s="43"/>
      <c r="B117" s="43"/>
      <c r="C117" s="43"/>
      <c r="D117" s="117"/>
      <c r="E117" s="43"/>
      <c r="F117" s="43"/>
      <c r="G117" s="43"/>
      <c r="H117" s="43"/>
      <c r="I117" s="43"/>
      <c r="J117" s="43"/>
      <c r="K117" s="43"/>
      <c r="L117" s="43"/>
      <c r="M117" s="43"/>
      <c r="N117" s="43"/>
      <c r="O117" s="43"/>
      <c r="P117" s="217"/>
      <c r="Q117" s="217"/>
      <c r="R117" s="217"/>
      <c r="S117" s="217"/>
      <c r="T117" s="217"/>
      <c r="U117" s="217"/>
      <c r="V117" s="217"/>
      <c r="W117" s="217"/>
      <c r="X117" s="217"/>
      <c r="Y117" s="217"/>
      <c r="Z117" s="217"/>
    </row>
    <row r="118" ht="15.75" customHeight="1">
      <c r="A118" s="43"/>
      <c r="B118" s="43"/>
      <c r="C118" s="43"/>
      <c r="D118" s="117"/>
      <c r="E118" s="43"/>
      <c r="F118" s="43"/>
      <c r="G118" s="43"/>
      <c r="H118" s="43"/>
      <c r="I118" s="43"/>
      <c r="J118" s="43"/>
      <c r="K118" s="43"/>
      <c r="L118" s="43"/>
      <c r="M118" s="43"/>
      <c r="N118" s="43"/>
      <c r="O118" s="43"/>
      <c r="P118" s="217"/>
      <c r="Q118" s="217"/>
      <c r="R118" s="217"/>
      <c r="S118" s="217"/>
      <c r="T118" s="217"/>
      <c r="U118" s="217"/>
      <c r="V118" s="217"/>
      <c r="W118" s="217"/>
      <c r="X118" s="217"/>
      <c r="Y118" s="217"/>
      <c r="Z118" s="217"/>
    </row>
    <row r="119" ht="15.75" customHeight="1">
      <c r="A119" s="43"/>
      <c r="B119" s="43"/>
      <c r="C119" s="43"/>
      <c r="D119" s="117"/>
      <c r="E119" s="43"/>
      <c r="F119" s="43"/>
      <c r="G119" s="43"/>
      <c r="H119" s="43"/>
      <c r="I119" s="43"/>
      <c r="J119" s="43"/>
      <c r="K119" s="43"/>
      <c r="L119" s="43"/>
      <c r="M119" s="43"/>
      <c r="N119" s="43"/>
      <c r="O119" s="43"/>
      <c r="P119" s="217"/>
      <c r="Q119" s="217"/>
      <c r="R119" s="217"/>
      <c r="S119" s="217"/>
      <c r="T119" s="217"/>
      <c r="U119" s="217"/>
      <c r="V119" s="217"/>
      <c r="W119" s="217"/>
      <c r="X119" s="217"/>
      <c r="Y119" s="217"/>
      <c r="Z119" s="217"/>
    </row>
    <row r="120" ht="15.75" customHeight="1">
      <c r="A120" s="43"/>
      <c r="B120" s="43"/>
      <c r="C120" s="43"/>
      <c r="D120" s="117"/>
      <c r="E120" s="43"/>
      <c r="F120" s="43"/>
      <c r="G120" s="43"/>
      <c r="H120" s="43"/>
      <c r="I120" s="43"/>
      <c r="J120" s="43"/>
      <c r="K120" s="43"/>
      <c r="L120" s="43"/>
      <c r="M120" s="43"/>
      <c r="N120" s="43"/>
      <c r="O120" s="43"/>
      <c r="P120" s="217"/>
      <c r="Q120" s="217"/>
      <c r="R120" s="217"/>
      <c r="S120" s="217"/>
      <c r="T120" s="217"/>
      <c r="U120" s="217"/>
      <c r="V120" s="217"/>
      <c r="W120" s="217"/>
      <c r="X120" s="217"/>
      <c r="Y120" s="217"/>
      <c r="Z120" s="217"/>
    </row>
    <row r="121" ht="15.75" customHeight="1">
      <c r="A121" s="43"/>
      <c r="B121" s="43"/>
      <c r="C121" s="43"/>
      <c r="D121" s="117"/>
      <c r="E121" s="43"/>
      <c r="F121" s="43"/>
      <c r="G121" s="43"/>
      <c r="H121" s="43"/>
      <c r="I121" s="43"/>
      <c r="J121" s="43"/>
      <c r="K121" s="43"/>
      <c r="L121" s="43"/>
      <c r="M121" s="43"/>
      <c r="N121" s="43"/>
      <c r="O121" s="43"/>
      <c r="P121" s="217"/>
      <c r="Q121" s="217"/>
      <c r="R121" s="217"/>
      <c r="S121" s="217"/>
      <c r="T121" s="217"/>
      <c r="U121" s="217"/>
      <c r="V121" s="217"/>
      <c r="W121" s="217"/>
      <c r="X121" s="217"/>
      <c r="Y121" s="217"/>
      <c r="Z121" s="217"/>
    </row>
    <row r="122" ht="15.75" customHeight="1">
      <c r="A122" s="43"/>
      <c r="B122" s="43"/>
      <c r="C122" s="43"/>
      <c r="D122" s="117"/>
      <c r="E122" s="43"/>
      <c r="F122" s="43"/>
      <c r="G122" s="43"/>
      <c r="H122" s="43"/>
      <c r="I122" s="43"/>
      <c r="J122" s="43"/>
      <c r="K122" s="43"/>
      <c r="L122" s="43"/>
      <c r="M122" s="43"/>
      <c r="N122" s="43"/>
      <c r="O122" s="43"/>
      <c r="P122" s="217"/>
      <c r="Q122" s="217"/>
      <c r="R122" s="217"/>
      <c r="S122" s="217"/>
      <c r="T122" s="217"/>
      <c r="U122" s="217"/>
      <c r="V122" s="217"/>
      <c r="W122" s="217"/>
      <c r="X122" s="217"/>
      <c r="Y122" s="217"/>
      <c r="Z122" s="217"/>
    </row>
    <row r="123" ht="15.75" customHeight="1">
      <c r="A123" s="43"/>
      <c r="B123" s="43"/>
      <c r="C123" s="43"/>
      <c r="D123" s="117"/>
      <c r="E123" s="43"/>
      <c r="F123" s="43"/>
      <c r="G123" s="43"/>
      <c r="H123" s="43"/>
      <c r="I123" s="43"/>
      <c r="J123" s="43"/>
      <c r="K123" s="43"/>
      <c r="L123" s="43"/>
      <c r="M123" s="43"/>
      <c r="N123" s="43"/>
      <c r="O123" s="43"/>
      <c r="P123" s="217"/>
      <c r="Q123" s="217"/>
      <c r="R123" s="217"/>
      <c r="S123" s="217"/>
      <c r="T123" s="217"/>
      <c r="U123" s="217"/>
      <c r="V123" s="217"/>
      <c r="W123" s="217"/>
      <c r="X123" s="217"/>
      <c r="Y123" s="217"/>
      <c r="Z123" s="217"/>
    </row>
    <row r="124" ht="15.75" customHeight="1">
      <c r="A124" s="43"/>
      <c r="B124" s="43"/>
      <c r="C124" s="43"/>
      <c r="D124" s="117"/>
      <c r="E124" s="43"/>
      <c r="F124" s="43"/>
      <c r="G124" s="43"/>
      <c r="H124" s="43"/>
      <c r="I124" s="43"/>
      <c r="J124" s="43"/>
      <c r="K124" s="43"/>
      <c r="L124" s="43"/>
      <c r="M124" s="43"/>
      <c r="N124" s="43"/>
      <c r="O124" s="43"/>
      <c r="P124" s="217"/>
      <c r="Q124" s="217"/>
      <c r="R124" s="217"/>
      <c r="S124" s="217"/>
      <c r="T124" s="217"/>
      <c r="U124" s="217"/>
      <c r="V124" s="217"/>
      <c r="W124" s="217"/>
      <c r="X124" s="217"/>
      <c r="Y124" s="217"/>
      <c r="Z124" s="217"/>
    </row>
    <row r="125" ht="15.75" customHeight="1">
      <c r="A125" s="43"/>
      <c r="B125" s="43"/>
      <c r="C125" s="43"/>
      <c r="D125" s="117"/>
      <c r="E125" s="43"/>
      <c r="F125" s="43"/>
      <c r="G125" s="43"/>
      <c r="H125" s="43"/>
      <c r="I125" s="43"/>
      <c r="J125" s="43"/>
      <c r="K125" s="43"/>
      <c r="L125" s="43"/>
      <c r="M125" s="43"/>
      <c r="N125" s="43"/>
      <c r="O125" s="43"/>
      <c r="P125" s="217"/>
      <c r="Q125" s="217"/>
      <c r="R125" s="217"/>
      <c r="S125" s="217"/>
      <c r="T125" s="217"/>
      <c r="U125" s="217"/>
      <c r="V125" s="217"/>
      <c r="W125" s="217"/>
      <c r="X125" s="217"/>
      <c r="Y125" s="217"/>
      <c r="Z125" s="217"/>
    </row>
    <row r="126" ht="15.75" customHeight="1">
      <c r="A126" s="43"/>
      <c r="B126" s="43"/>
      <c r="C126" s="43"/>
      <c r="D126" s="117"/>
      <c r="E126" s="43"/>
      <c r="F126" s="43"/>
      <c r="G126" s="43"/>
      <c r="H126" s="43"/>
      <c r="I126" s="43"/>
      <c r="J126" s="43"/>
      <c r="K126" s="43"/>
      <c r="L126" s="43"/>
      <c r="M126" s="43"/>
      <c r="N126" s="43"/>
      <c r="O126" s="43"/>
      <c r="P126" s="217"/>
      <c r="Q126" s="217"/>
      <c r="R126" s="217"/>
      <c r="S126" s="217"/>
      <c r="T126" s="217"/>
      <c r="U126" s="217"/>
      <c r="V126" s="217"/>
      <c r="W126" s="217"/>
      <c r="X126" s="217"/>
      <c r="Y126" s="217"/>
      <c r="Z126" s="217"/>
    </row>
    <row r="127" ht="15.75" customHeight="1">
      <c r="A127" s="43"/>
      <c r="B127" s="43"/>
      <c r="C127" s="43"/>
      <c r="D127" s="117"/>
      <c r="E127" s="43"/>
      <c r="F127" s="43"/>
      <c r="G127" s="43"/>
      <c r="H127" s="43"/>
      <c r="I127" s="43"/>
      <c r="J127" s="43"/>
      <c r="K127" s="43"/>
      <c r="L127" s="43"/>
      <c r="M127" s="43"/>
      <c r="N127" s="43"/>
      <c r="O127" s="43"/>
      <c r="P127" s="217"/>
      <c r="Q127" s="217"/>
      <c r="R127" s="217"/>
      <c r="S127" s="217"/>
      <c r="T127" s="217"/>
      <c r="U127" s="217"/>
      <c r="V127" s="217"/>
      <c r="W127" s="217"/>
      <c r="X127" s="217"/>
      <c r="Y127" s="217"/>
      <c r="Z127" s="217"/>
    </row>
    <row r="128" ht="15.75" customHeight="1">
      <c r="A128" s="43"/>
      <c r="B128" s="43"/>
      <c r="C128" s="43"/>
      <c r="D128" s="117"/>
      <c r="E128" s="43"/>
      <c r="F128" s="43"/>
      <c r="G128" s="43"/>
      <c r="H128" s="43"/>
      <c r="I128" s="43"/>
      <c r="J128" s="43"/>
      <c r="K128" s="43"/>
      <c r="L128" s="43"/>
      <c r="M128" s="43"/>
      <c r="N128" s="43"/>
      <c r="O128" s="43"/>
      <c r="P128" s="217"/>
      <c r="Q128" s="217"/>
      <c r="R128" s="217"/>
      <c r="S128" s="217"/>
      <c r="T128" s="217"/>
      <c r="U128" s="217"/>
      <c r="V128" s="217"/>
      <c r="W128" s="217"/>
      <c r="X128" s="217"/>
      <c r="Y128" s="217"/>
      <c r="Z128" s="217"/>
    </row>
    <row r="129" ht="15.75" customHeight="1">
      <c r="A129" s="43"/>
      <c r="B129" s="43"/>
      <c r="C129" s="43"/>
      <c r="D129" s="117"/>
      <c r="E129" s="43"/>
      <c r="F129" s="43"/>
      <c r="G129" s="43"/>
      <c r="H129" s="43"/>
      <c r="I129" s="43"/>
      <c r="J129" s="43"/>
      <c r="K129" s="43"/>
      <c r="L129" s="43"/>
      <c r="M129" s="43"/>
      <c r="N129" s="43"/>
      <c r="O129" s="43"/>
      <c r="P129" s="217"/>
      <c r="Q129" s="217"/>
      <c r="R129" s="217"/>
      <c r="S129" s="217"/>
      <c r="T129" s="217"/>
      <c r="U129" s="217"/>
      <c r="V129" s="217"/>
      <c r="W129" s="217"/>
      <c r="X129" s="217"/>
      <c r="Y129" s="217"/>
      <c r="Z129" s="217"/>
    </row>
    <row r="130" ht="15.75" customHeight="1">
      <c r="A130" s="43"/>
      <c r="B130" s="43"/>
      <c r="C130" s="43"/>
      <c r="D130" s="117"/>
      <c r="E130" s="43"/>
      <c r="F130" s="43"/>
      <c r="G130" s="43"/>
      <c r="H130" s="43"/>
      <c r="I130" s="43"/>
      <c r="J130" s="43"/>
      <c r="K130" s="43"/>
      <c r="L130" s="43"/>
      <c r="M130" s="43"/>
      <c r="N130" s="43"/>
      <c r="O130" s="43"/>
      <c r="P130" s="217"/>
      <c r="Q130" s="217"/>
      <c r="R130" s="217"/>
      <c r="S130" s="217"/>
      <c r="T130" s="217"/>
      <c r="U130" s="217"/>
      <c r="V130" s="217"/>
      <c r="W130" s="217"/>
      <c r="X130" s="217"/>
      <c r="Y130" s="217"/>
      <c r="Z130" s="217"/>
    </row>
    <row r="131" ht="15.75" customHeight="1">
      <c r="A131" s="43"/>
      <c r="B131" s="43"/>
      <c r="C131" s="43"/>
      <c r="D131" s="117"/>
      <c r="E131" s="43"/>
      <c r="F131" s="43"/>
      <c r="G131" s="43"/>
      <c r="H131" s="43"/>
      <c r="I131" s="43"/>
      <c r="J131" s="43"/>
      <c r="K131" s="43"/>
      <c r="L131" s="43"/>
      <c r="M131" s="43"/>
      <c r="N131" s="43"/>
      <c r="O131" s="43"/>
      <c r="P131" s="217"/>
      <c r="Q131" s="217"/>
      <c r="R131" s="217"/>
      <c r="S131" s="217"/>
      <c r="T131" s="217"/>
      <c r="U131" s="217"/>
      <c r="V131" s="217"/>
      <c r="W131" s="217"/>
      <c r="X131" s="217"/>
      <c r="Y131" s="217"/>
      <c r="Z131" s="217"/>
    </row>
    <row r="132" ht="15.75" customHeight="1">
      <c r="A132" s="43"/>
      <c r="B132" s="43"/>
      <c r="C132" s="43"/>
      <c r="D132" s="117"/>
      <c r="E132" s="43"/>
      <c r="F132" s="43"/>
      <c r="G132" s="43"/>
      <c r="H132" s="43"/>
      <c r="I132" s="43"/>
      <c r="J132" s="43"/>
      <c r="K132" s="43"/>
      <c r="L132" s="43"/>
      <c r="M132" s="43"/>
      <c r="N132" s="43"/>
      <c r="O132" s="43"/>
      <c r="P132" s="217"/>
      <c r="Q132" s="217"/>
      <c r="R132" s="217"/>
      <c r="S132" s="217"/>
      <c r="T132" s="217"/>
      <c r="U132" s="217"/>
      <c r="V132" s="217"/>
      <c r="W132" s="217"/>
      <c r="X132" s="217"/>
      <c r="Y132" s="217"/>
      <c r="Z132" s="217"/>
    </row>
    <row r="133" ht="15.75" customHeight="1">
      <c r="A133" s="43"/>
      <c r="B133" s="43"/>
      <c r="C133" s="43"/>
      <c r="D133" s="117"/>
      <c r="E133" s="43"/>
      <c r="F133" s="43"/>
      <c r="G133" s="43"/>
      <c r="H133" s="43"/>
      <c r="I133" s="43"/>
      <c r="J133" s="43"/>
      <c r="K133" s="43"/>
      <c r="L133" s="43"/>
      <c r="M133" s="43"/>
      <c r="N133" s="43"/>
      <c r="O133" s="43"/>
      <c r="P133" s="217"/>
      <c r="Q133" s="217"/>
      <c r="R133" s="217"/>
      <c r="S133" s="217"/>
      <c r="T133" s="217"/>
      <c r="U133" s="217"/>
      <c r="V133" s="217"/>
      <c r="W133" s="217"/>
      <c r="X133" s="217"/>
      <c r="Y133" s="217"/>
      <c r="Z133" s="217"/>
    </row>
    <row r="134" ht="15.75" customHeight="1">
      <c r="A134" s="43"/>
      <c r="B134" s="43"/>
      <c r="C134" s="43"/>
      <c r="D134" s="117"/>
      <c r="E134" s="43"/>
      <c r="F134" s="43"/>
      <c r="G134" s="43"/>
      <c r="H134" s="43"/>
      <c r="I134" s="43"/>
      <c r="J134" s="43"/>
      <c r="K134" s="43"/>
      <c r="L134" s="43"/>
      <c r="M134" s="43"/>
      <c r="N134" s="43"/>
      <c r="O134" s="43"/>
      <c r="P134" s="217"/>
      <c r="Q134" s="217"/>
      <c r="R134" s="217"/>
      <c r="S134" s="217"/>
      <c r="T134" s="217"/>
      <c r="U134" s="217"/>
      <c r="V134" s="217"/>
      <c r="W134" s="217"/>
      <c r="X134" s="217"/>
      <c r="Y134" s="217"/>
      <c r="Z134" s="217"/>
    </row>
    <row r="135" ht="15.75" customHeight="1">
      <c r="A135" s="43"/>
      <c r="B135" s="43"/>
      <c r="C135" s="43"/>
      <c r="D135" s="117"/>
      <c r="E135" s="43"/>
      <c r="F135" s="43"/>
      <c r="G135" s="43"/>
      <c r="H135" s="43"/>
      <c r="I135" s="43"/>
      <c r="J135" s="43"/>
      <c r="K135" s="43"/>
      <c r="L135" s="43"/>
      <c r="M135" s="43"/>
      <c r="N135" s="43"/>
      <c r="O135" s="43"/>
      <c r="P135" s="217"/>
      <c r="Q135" s="217"/>
      <c r="R135" s="217"/>
      <c r="S135" s="217"/>
      <c r="T135" s="217"/>
      <c r="U135" s="217"/>
      <c r="V135" s="217"/>
      <c r="W135" s="217"/>
      <c r="X135" s="217"/>
      <c r="Y135" s="217"/>
      <c r="Z135" s="217"/>
    </row>
    <row r="136" ht="15.75" customHeight="1">
      <c r="A136" s="43"/>
      <c r="B136" s="43"/>
      <c r="C136" s="43"/>
      <c r="D136" s="117"/>
      <c r="E136" s="43"/>
      <c r="F136" s="43"/>
      <c r="G136" s="43"/>
      <c r="H136" s="43"/>
      <c r="I136" s="43"/>
      <c r="J136" s="43"/>
      <c r="K136" s="43"/>
      <c r="L136" s="43"/>
      <c r="M136" s="43"/>
      <c r="N136" s="43"/>
      <c r="O136" s="43"/>
      <c r="P136" s="217"/>
      <c r="Q136" s="217"/>
      <c r="R136" s="217"/>
      <c r="S136" s="217"/>
      <c r="T136" s="217"/>
      <c r="U136" s="217"/>
      <c r="V136" s="217"/>
      <c r="W136" s="217"/>
      <c r="X136" s="217"/>
      <c r="Y136" s="217"/>
      <c r="Z136" s="217"/>
    </row>
    <row r="137" ht="15.75" customHeight="1">
      <c r="A137" s="43"/>
      <c r="B137" s="43"/>
      <c r="C137" s="43"/>
      <c r="D137" s="117"/>
      <c r="E137" s="43"/>
      <c r="F137" s="43"/>
      <c r="G137" s="43"/>
      <c r="H137" s="43"/>
      <c r="I137" s="43"/>
      <c r="J137" s="43"/>
      <c r="K137" s="43"/>
      <c r="L137" s="43"/>
      <c r="M137" s="43"/>
      <c r="N137" s="43"/>
      <c r="O137" s="43"/>
      <c r="P137" s="217"/>
      <c r="Q137" s="217"/>
      <c r="R137" s="217"/>
      <c r="S137" s="217"/>
      <c r="T137" s="217"/>
      <c r="U137" s="217"/>
      <c r="V137" s="217"/>
      <c r="W137" s="217"/>
      <c r="X137" s="217"/>
      <c r="Y137" s="217"/>
      <c r="Z137" s="217"/>
    </row>
    <row r="138" ht="15.75" customHeight="1">
      <c r="A138" s="43"/>
      <c r="B138" s="43"/>
      <c r="C138" s="43"/>
      <c r="D138" s="117"/>
      <c r="E138" s="43"/>
      <c r="F138" s="43"/>
      <c r="G138" s="43"/>
      <c r="H138" s="43"/>
      <c r="I138" s="43"/>
      <c r="J138" s="43"/>
      <c r="K138" s="43"/>
      <c r="L138" s="43"/>
      <c r="M138" s="43"/>
      <c r="N138" s="43"/>
      <c r="O138" s="43"/>
      <c r="P138" s="217"/>
      <c r="Q138" s="217"/>
      <c r="R138" s="217"/>
      <c r="S138" s="217"/>
      <c r="T138" s="217"/>
      <c r="U138" s="217"/>
      <c r="V138" s="217"/>
      <c r="W138" s="217"/>
      <c r="X138" s="217"/>
      <c r="Y138" s="217"/>
      <c r="Z138" s="217"/>
    </row>
    <row r="139" ht="15.75" customHeight="1">
      <c r="A139" s="43"/>
      <c r="B139" s="43"/>
      <c r="C139" s="43"/>
      <c r="D139" s="117"/>
      <c r="E139" s="43"/>
      <c r="F139" s="43"/>
      <c r="G139" s="43"/>
      <c r="H139" s="43"/>
      <c r="I139" s="43"/>
      <c r="J139" s="43"/>
      <c r="K139" s="43"/>
      <c r="L139" s="43"/>
      <c r="M139" s="43"/>
      <c r="N139" s="43"/>
      <c r="O139" s="43"/>
      <c r="P139" s="217"/>
      <c r="Q139" s="217"/>
      <c r="R139" s="217"/>
      <c r="S139" s="217"/>
      <c r="T139" s="217"/>
      <c r="U139" s="217"/>
      <c r="V139" s="217"/>
      <c r="W139" s="217"/>
      <c r="X139" s="217"/>
      <c r="Y139" s="217"/>
      <c r="Z139" s="217"/>
    </row>
    <row r="140" ht="15.75" customHeight="1">
      <c r="A140" s="43"/>
      <c r="B140" s="43"/>
      <c r="C140" s="43"/>
      <c r="D140" s="117"/>
      <c r="E140" s="43"/>
      <c r="F140" s="43"/>
      <c r="G140" s="43"/>
      <c r="H140" s="43"/>
      <c r="I140" s="43"/>
      <c r="J140" s="43"/>
      <c r="K140" s="43"/>
      <c r="L140" s="43"/>
      <c r="M140" s="43"/>
      <c r="N140" s="43"/>
      <c r="O140" s="43"/>
      <c r="P140" s="217"/>
      <c r="Q140" s="217"/>
      <c r="R140" s="217"/>
      <c r="S140" s="217"/>
      <c r="T140" s="217"/>
      <c r="U140" s="217"/>
      <c r="V140" s="217"/>
      <c r="W140" s="217"/>
      <c r="X140" s="217"/>
      <c r="Y140" s="217"/>
      <c r="Z140" s="217"/>
    </row>
    <row r="141" ht="15.75" customHeight="1">
      <c r="A141" s="43"/>
      <c r="B141" s="43"/>
      <c r="C141" s="43"/>
      <c r="D141" s="117"/>
      <c r="E141" s="43"/>
      <c r="F141" s="43"/>
      <c r="G141" s="43"/>
      <c r="H141" s="43"/>
      <c r="I141" s="43"/>
      <c r="J141" s="43"/>
      <c r="K141" s="43"/>
      <c r="L141" s="43"/>
      <c r="M141" s="43"/>
      <c r="N141" s="43"/>
      <c r="O141" s="43"/>
      <c r="P141" s="217"/>
      <c r="Q141" s="217"/>
      <c r="R141" s="217"/>
      <c r="S141" s="217"/>
      <c r="T141" s="217"/>
      <c r="U141" s="217"/>
      <c r="V141" s="217"/>
      <c r="W141" s="217"/>
      <c r="X141" s="217"/>
      <c r="Y141" s="217"/>
      <c r="Z141" s="217"/>
    </row>
    <row r="142" ht="15.75" customHeight="1">
      <c r="A142" s="43"/>
      <c r="B142" s="43"/>
      <c r="C142" s="43"/>
      <c r="D142" s="117"/>
      <c r="E142" s="43"/>
      <c r="F142" s="43"/>
      <c r="G142" s="43"/>
      <c r="H142" s="43"/>
      <c r="I142" s="43"/>
      <c r="J142" s="43"/>
      <c r="K142" s="43"/>
      <c r="L142" s="43"/>
      <c r="M142" s="43"/>
      <c r="N142" s="43"/>
      <c r="O142" s="43"/>
      <c r="P142" s="217"/>
      <c r="Q142" s="217"/>
      <c r="R142" s="217"/>
      <c r="S142" s="217"/>
      <c r="T142" s="217"/>
      <c r="U142" s="217"/>
      <c r="V142" s="217"/>
      <c r="W142" s="217"/>
      <c r="X142" s="217"/>
      <c r="Y142" s="217"/>
      <c r="Z142" s="217"/>
    </row>
    <row r="143" ht="15.75" customHeight="1">
      <c r="A143" s="43"/>
      <c r="B143" s="43"/>
      <c r="C143" s="43"/>
      <c r="D143" s="117"/>
      <c r="E143" s="43"/>
      <c r="F143" s="43"/>
      <c r="G143" s="43"/>
      <c r="H143" s="43"/>
      <c r="I143" s="43"/>
      <c r="J143" s="43"/>
      <c r="K143" s="43"/>
      <c r="L143" s="43"/>
      <c r="M143" s="43"/>
      <c r="N143" s="43"/>
      <c r="O143" s="43"/>
      <c r="P143" s="217"/>
      <c r="Q143" s="217"/>
      <c r="R143" s="217"/>
      <c r="S143" s="217"/>
      <c r="T143" s="217"/>
      <c r="U143" s="217"/>
      <c r="V143" s="217"/>
      <c r="W143" s="217"/>
      <c r="X143" s="217"/>
      <c r="Y143" s="217"/>
      <c r="Z143" s="217"/>
    </row>
    <row r="144" ht="15.75" customHeight="1">
      <c r="A144" s="43"/>
      <c r="B144" s="43"/>
      <c r="C144" s="43"/>
      <c r="D144" s="117"/>
      <c r="E144" s="43"/>
      <c r="F144" s="43"/>
      <c r="G144" s="43"/>
      <c r="H144" s="43"/>
      <c r="I144" s="43"/>
      <c r="J144" s="43"/>
      <c r="K144" s="43"/>
      <c r="L144" s="43"/>
      <c r="M144" s="43"/>
      <c r="N144" s="43"/>
      <c r="O144" s="43"/>
      <c r="P144" s="217"/>
      <c r="Q144" s="217"/>
      <c r="R144" s="217"/>
      <c r="S144" s="217"/>
      <c r="T144" s="217"/>
      <c r="U144" s="217"/>
      <c r="V144" s="217"/>
      <c r="W144" s="217"/>
      <c r="X144" s="217"/>
      <c r="Y144" s="217"/>
      <c r="Z144" s="217"/>
    </row>
    <row r="145" ht="15.75" customHeight="1">
      <c r="A145" s="43"/>
      <c r="B145" s="43"/>
      <c r="C145" s="43"/>
      <c r="D145" s="117"/>
      <c r="E145" s="43"/>
      <c r="F145" s="43"/>
      <c r="G145" s="43"/>
      <c r="H145" s="43"/>
      <c r="I145" s="43"/>
      <c r="J145" s="43"/>
      <c r="K145" s="43"/>
      <c r="L145" s="43"/>
      <c r="M145" s="43"/>
      <c r="N145" s="43"/>
      <c r="O145" s="43"/>
      <c r="P145" s="217"/>
      <c r="Q145" s="217"/>
      <c r="R145" s="217"/>
      <c r="S145" s="217"/>
      <c r="T145" s="217"/>
      <c r="U145" s="217"/>
      <c r="V145" s="217"/>
      <c r="W145" s="217"/>
      <c r="X145" s="217"/>
      <c r="Y145" s="217"/>
      <c r="Z145" s="217"/>
    </row>
    <row r="146" ht="15.75" customHeight="1">
      <c r="A146" s="43"/>
      <c r="B146" s="43"/>
      <c r="C146" s="43"/>
      <c r="D146" s="117"/>
      <c r="E146" s="43"/>
      <c r="F146" s="43"/>
      <c r="G146" s="43"/>
      <c r="H146" s="43"/>
      <c r="I146" s="43"/>
      <c r="J146" s="43"/>
      <c r="K146" s="43"/>
      <c r="L146" s="43"/>
      <c r="M146" s="43"/>
      <c r="N146" s="43"/>
      <c r="O146" s="43"/>
      <c r="P146" s="217"/>
      <c r="Q146" s="217"/>
      <c r="R146" s="217"/>
      <c r="S146" s="217"/>
      <c r="T146" s="217"/>
      <c r="U146" s="217"/>
      <c r="V146" s="217"/>
      <c r="W146" s="217"/>
      <c r="X146" s="217"/>
      <c r="Y146" s="217"/>
      <c r="Z146" s="217"/>
    </row>
    <row r="147" ht="15.75" customHeight="1">
      <c r="A147" s="43"/>
      <c r="B147" s="43"/>
      <c r="C147" s="43"/>
      <c r="D147" s="117"/>
      <c r="E147" s="43"/>
      <c r="F147" s="43"/>
      <c r="G147" s="43"/>
      <c r="H147" s="43"/>
      <c r="I147" s="43"/>
      <c r="J147" s="43"/>
      <c r="K147" s="43"/>
      <c r="L147" s="43"/>
      <c r="M147" s="43"/>
      <c r="N147" s="43"/>
      <c r="O147" s="43"/>
      <c r="P147" s="217"/>
      <c r="Q147" s="217"/>
      <c r="R147" s="217"/>
      <c r="S147" s="217"/>
      <c r="T147" s="217"/>
      <c r="U147" s="217"/>
      <c r="V147" s="217"/>
      <c r="W147" s="217"/>
      <c r="X147" s="217"/>
      <c r="Y147" s="217"/>
      <c r="Z147" s="217"/>
    </row>
    <row r="148" ht="15.75" customHeight="1">
      <c r="A148" s="43"/>
      <c r="B148" s="43"/>
      <c r="C148" s="43"/>
      <c r="D148" s="117"/>
      <c r="E148" s="43"/>
      <c r="F148" s="43"/>
      <c r="G148" s="43"/>
      <c r="H148" s="43"/>
      <c r="I148" s="43"/>
      <c r="J148" s="43"/>
      <c r="K148" s="43"/>
      <c r="L148" s="43"/>
      <c r="M148" s="43"/>
      <c r="N148" s="43"/>
      <c r="O148" s="43"/>
      <c r="P148" s="217"/>
      <c r="Q148" s="217"/>
      <c r="R148" s="217"/>
      <c r="S148" s="217"/>
      <c r="T148" s="217"/>
      <c r="U148" s="217"/>
      <c r="V148" s="217"/>
      <c r="W148" s="217"/>
      <c r="X148" s="217"/>
      <c r="Y148" s="217"/>
      <c r="Z148" s="217"/>
    </row>
    <row r="149" ht="15.75" customHeight="1">
      <c r="A149" s="43"/>
      <c r="B149" s="43"/>
      <c r="C149" s="43"/>
      <c r="D149" s="117"/>
      <c r="E149" s="43"/>
      <c r="F149" s="43"/>
      <c r="G149" s="43"/>
      <c r="H149" s="43"/>
      <c r="I149" s="43"/>
      <c r="J149" s="43"/>
      <c r="K149" s="43"/>
      <c r="L149" s="43"/>
      <c r="M149" s="43"/>
      <c r="N149" s="43"/>
      <c r="O149" s="43"/>
      <c r="P149" s="217"/>
      <c r="Q149" s="217"/>
      <c r="R149" s="217"/>
      <c r="S149" s="217"/>
      <c r="T149" s="217"/>
      <c r="U149" s="217"/>
      <c r="V149" s="217"/>
      <c r="W149" s="217"/>
      <c r="X149" s="217"/>
      <c r="Y149" s="217"/>
      <c r="Z149" s="217"/>
    </row>
    <row r="150" ht="15.75" customHeight="1">
      <c r="A150" s="43"/>
      <c r="B150" s="43"/>
      <c r="C150" s="43"/>
      <c r="D150" s="117"/>
      <c r="E150" s="43"/>
      <c r="F150" s="43"/>
      <c r="G150" s="43"/>
      <c r="H150" s="43"/>
      <c r="I150" s="43"/>
      <c r="J150" s="43"/>
      <c r="K150" s="43"/>
      <c r="L150" s="43"/>
      <c r="M150" s="43"/>
      <c r="N150" s="43"/>
      <c r="O150" s="43"/>
      <c r="P150" s="217"/>
      <c r="Q150" s="217"/>
      <c r="R150" s="217"/>
      <c r="S150" s="217"/>
      <c r="T150" s="217"/>
      <c r="U150" s="217"/>
      <c r="V150" s="217"/>
      <c r="W150" s="217"/>
      <c r="X150" s="217"/>
      <c r="Y150" s="217"/>
      <c r="Z150" s="217"/>
    </row>
    <row r="151" ht="15.75" customHeight="1">
      <c r="A151" s="43"/>
      <c r="B151" s="43"/>
      <c r="C151" s="43"/>
      <c r="D151" s="117"/>
      <c r="E151" s="43"/>
      <c r="F151" s="43"/>
      <c r="G151" s="43"/>
      <c r="H151" s="43"/>
      <c r="I151" s="43"/>
      <c r="J151" s="43"/>
      <c r="K151" s="43"/>
      <c r="L151" s="43"/>
      <c r="M151" s="43"/>
      <c r="N151" s="43"/>
      <c r="O151" s="43"/>
      <c r="P151" s="217"/>
      <c r="Q151" s="217"/>
      <c r="R151" s="217"/>
      <c r="S151" s="217"/>
      <c r="T151" s="217"/>
      <c r="U151" s="217"/>
      <c r="V151" s="217"/>
      <c r="W151" s="217"/>
      <c r="X151" s="217"/>
      <c r="Y151" s="217"/>
      <c r="Z151" s="217"/>
    </row>
    <row r="152" ht="15.75" customHeight="1">
      <c r="A152" s="43"/>
      <c r="B152" s="43"/>
      <c r="C152" s="43"/>
      <c r="D152" s="117"/>
      <c r="E152" s="43"/>
      <c r="F152" s="43"/>
      <c r="G152" s="43"/>
      <c r="H152" s="43"/>
      <c r="I152" s="43"/>
      <c r="J152" s="43"/>
      <c r="K152" s="43"/>
      <c r="L152" s="43"/>
      <c r="M152" s="43"/>
      <c r="N152" s="43"/>
      <c r="O152" s="43"/>
      <c r="P152" s="217"/>
      <c r="Q152" s="217"/>
      <c r="R152" s="217"/>
      <c r="S152" s="217"/>
      <c r="T152" s="217"/>
      <c r="U152" s="217"/>
      <c r="V152" s="217"/>
      <c r="W152" s="217"/>
      <c r="X152" s="217"/>
      <c r="Y152" s="217"/>
      <c r="Z152" s="217"/>
    </row>
    <row r="153" ht="15.75" customHeight="1">
      <c r="A153" s="43"/>
      <c r="B153" s="43"/>
      <c r="C153" s="43"/>
      <c r="D153" s="117"/>
      <c r="E153" s="43"/>
      <c r="F153" s="43"/>
      <c r="G153" s="43"/>
      <c r="H153" s="43"/>
      <c r="I153" s="43"/>
      <c r="J153" s="43"/>
      <c r="K153" s="43"/>
      <c r="L153" s="43"/>
      <c r="M153" s="43"/>
      <c r="N153" s="43"/>
      <c r="O153" s="43"/>
      <c r="P153" s="217"/>
      <c r="Q153" s="217"/>
      <c r="R153" s="217"/>
      <c r="S153" s="217"/>
      <c r="T153" s="217"/>
      <c r="U153" s="217"/>
      <c r="V153" s="217"/>
      <c r="W153" s="217"/>
      <c r="X153" s="217"/>
      <c r="Y153" s="217"/>
      <c r="Z153" s="217"/>
    </row>
    <row r="154" ht="15.75" customHeight="1">
      <c r="A154" s="43"/>
      <c r="B154" s="43"/>
      <c r="C154" s="43"/>
      <c r="D154" s="117"/>
      <c r="E154" s="43"/>
      <c r="F154" s="43"/>
      <c r="G154" s="43"/>
      <c r="H154" s="43"/>
      <c r="I154" s="43"/>
      <c r="J154" s="43"/>
      <c r="K154" s="43"/>
      <c r="L154" s="43"/>
      <c r="M154" s="43"/>
      <c r="N154" s="43"/>
      <c r="O154" s="43"/>
      <c r="P154" s="217"/>
      <c r="Q154" s="217"/>
      <c r="R154" s="217"/>
      <c r="S154" s="217"/>
      <c r="T154" s="217"/>
      <c r="U154" s="217"/>
      <c r="V154" s="217"/>
      <c r="W154" s="217"/>
      <c r="X154" s="217"/>
      <c r="Y154" s="217"/>
      <c r="Z154" s="217"/>
    </row>
    <row r="155" ht="15.75" customHeight="1">
      <c r="A155" s="43"/>
      <c r="B155" s="43"/>
      <c r="C155" s="43"/>
      <c r="D155" s="117"/>
      <c r="E155" s="43"/>
      <c r="F155" s="43"/>
      <c r="G155" s="43"/>
      <c r="H155" s="43"/>
      <c r="I155" s="43"/>
      <c r="J155" s="43"/>
      <c r="K155" s="43"/>
      <c r="L155" s="43"/>
      <c r="M155" s="43"/>
      <c r="N155" s="43"/>
      <c r="O155" s="43"/>
      <c r="P155" s="217"/>
      <c r="Q155" s="217"/>
      <c r="R155" s="217"/>
      <c r="S155" s="217"/>
      <c r="T155" s="217"/>
      <c r="U155" s="217"/>
      <c r="V155" s="217"/>
      <c r="W155" s="217"/>
      <c r="X155" s="217"/>
      <c r="Y155" s="217"/>
      <c r="Z155" s="217"/>
    </row>
    <row r="156" ht="15.75" customHeight="1">
      <c r="A156" s="43"/>
      <c r="B156" s="43"/>
      <c r="C156" s="43"/>
      <c r="D156" s="117"/>
      <c r="E156" s="43"/>
      <c r="F156" s="43"/>
      <c r="G156" s="43"/>
      <c r="H156" s="43"/>
      <c r="I156" s="43"/>
      <c r="J156" s="43"/>
      <c r="K156" s="43"/>
      <c r="L156" s="43"/>
      <c r="M156" s="43"/>
      <c r="N156" s="43"/>
      <c r="O156" s="43"/>
      <c r="P156" s="217"/>
      <c r="Q156" s="217"/>
      <c r="R156" s="217"/>
      <c r="S156" s="217"/>
      <c r="T156" s="217"/>
      <c r="U156" s="217"/>
      <c r="V156" s="217"/>
      <c r="W156" s="217"/>
      <c r="X156" s="217"/>
      <c r="Y156" s="217"/>
      <c r="Z156" s="217"/>
    </row>
    <row r="157" ht="15.75" customHeight="1">
      <c r="A157" s="43"/>
      <c r="B157" s="43"/>
      <c r="C157" s="43"/>
      <c r="D157" s="117"/>
      <c r="E157" s="43"/>
      <c r="F157" s="43"/>
      <c r="G157" s="43"/>
      <c r="H157" s="43"/>
      <c r="I157" s="43"/>
      <c r="J157" s="43"/>
      <c r="K157" s="43"/>
      <c r="L157" s="43"/>
      <c r="M157" s="43"/>
      <c r="N157" s="43"/>
      <c r="O157" s="43"/>
      <c r="P157" s="217"/>
      <c r="Q157" s="217"/>
      <c r="R157" s="217"/>
      <c r="S157" s="217"/>
      <c r="T157" s="217"/>
      <c r="U157" s="217"/>
      <c r="V157" s="217"/>
      <c r="W157" s="217"/>
      <c r="X157" s="217"/>
      <c r="Y157" s="217"/>
      <c r="Z157" s="217"/>
    </row>
    <row r="158" ht="15.75" customHeight="1">
      <c r="A158" s="43"/>
      <c r="B158" s="43"/>
      <c r="C158" s="43"/>
      <c r="D158" s="117"/>
      <c r="E158" s="43"/>
      <c r="F158" s="43"/>
      <c r="G158" s="43"/>
      <c r="H158" s="43"/>
      <c r="I158" s="43"/>
      <c r="J158" s="43"/>
      <c r="K158" s="43"/>
      <c r="L158" s="43"/>
      <c r="M158" s="43"/>
      <c r="N158" s="43"/>
      <c r="O158" s="43"/>
      <c r="P158" s="217"/>
      <c r="Q158" s="217"/>
      <c r="R158" s="217"/>
      <c r="S158" s="217"/>
      <c r="T158" s="217"/>
      <c r="U158" s="217"/>
      <c r="V158" s="217"/>
      <c r="W158" s="217"/>
      <c r="X158" s="217"/>
      <c r="Y158" s="217"/>
      <c r="Z158" s="217"/>
    </row>
    <row r="159" ht="15.75" customHeight="1">
      <c r="A159" s="43"/>
      <c r="B159" s="43"/>
      <c r="C159" s="43"/>
      <c r="D159" s="117"/>
      <c r="E159" s="43"/>
      <c r="F159" s="43"/>
      <c r="G159" s="43"/>
      <c r="H159" s="43"/>
      <c r="I159" s="43"/>
      <c r="J159" s="43"/>
      <c r="K159" s="43"/>
      <c r="L159" s="43"/>
      <c r="M159" s="43"/>
      <c r="N159" s="43"/>
      <c r="O159" s="43"/>
      <c r="P159" s="217"/>
      <c r="Q159" s="217"/>
      <c r="R159" s="217"/>
      <c r="S159" s="217"/>
      <c r="T159" s="217"/>
      <c r="U159" s="217"/>
      <c r="V159" s="217"/>
      <c r="W159" s="217"/>
      <c r="X159" s="217"/>
      <c r="Y159" s="217"/>
      <c r="Z159" s="217"/>
    </row>
    <row r="160" ht="15.75" customHeight="1">
      <c r="A160" s="43"/>
      <c r="B160" s="43"/>
      <c r="C160" s="43"/>
      <c r="D160" s="117"/>
      <c r="E160" s="43"/>
      <c r="F160" s="43"/>
      <c r="G160" s="43"/>
      <c r="H160" s="43"/>
      <c r="I160" s="43"/>
      <c r="J160" s="43"/>
      <c r="K160" s="43"/>
      <c r="L160" s="43"/>
      <c r="M160" s="43"/>
      <c r="N160" s="43"/>
      <c r="O160" s="43"/>
      <c r="P160" s="217"/>
      <c r="Q160" s="217"/>
      <c r="R160" s="217"/>
      <c r="S160" s="217"/>
      <c r="T160" s="217"/>
      <c r="U160" s="217"/>
      <c r="V160" s="217"/>
      <c r="W160" s="217"/>
      <c r="X160" s="217"/>
      <c r="Y160" s="217"/>
      <c r="Z160" s="217"/>
    </row>
    <row r="161" ht="15.75" customHeight="1">
      <c r="A161" s="43"/>
      <c r="B161" s="43"/>
      <c r="C161" s="43"/>
      <c r="D161" s="117"/>
      <c r="E161" s="43"/>
      <c r="F161" s="43"/>
      <c r="G161" s="43"/>
      <c r="H161" s="43"/>
      <c r="I161" s="43"/>
      <c r="J161" s="43"/>
      <c r="K161" s="43"/>
      <c r="L161" s="43"/>
      <c r="M161" s="43"/>
      <c r="N161" s="43"/>
      <c r="O161" s="43"/>
      <c r="P161" s="217"/>
      <c r="Q161" s="217"/>
      <c r="R161" s="217"/>
      <c r="S161" s="217"/>
      <c r="T161" s="217"/>
      <c r="U161" s="217"/>
      <c r="V161" s="217"/>
      <c r="W161" s="217"/>
      <c r="X161" s="217"/>
      <c r="Y161" s="217"/>
      <c r="Z161" s="217"/>
    </row>
    <row r="162" ht="15.75" customHeight="1">
      <c r="A162" s="43"/>
      <c r="B162" s="43"/>
      <c r="C162" s="43"/>
      <c r="D162" s="117"/>
      <c r="E162" s="43"/>
      <c r="F162" s="43"/>
      <c r="G162" s="43"/>
      <c r="H162" s="43"/>
      <c r="I162" s="43"/>
      <c r="J162" s="43"/>
      <c r="K162" s="43"/>
      <c r="L162" s="43"/>
      <c r="M162" s="43"/>
      <c r="N162" s="43"/>
      <c r="O162" s="43"/>
      <c r="P162" s="217"/>
      <c r="Q162" s="217"/>
      <c r="R162" s="217"/>
      <c r="S162" s="217"/>
      <c r="T162" s="217"/>
      <c r="U162" s="217"/>
      <c r="V162" s="217"/>
      <c r="W162" s="217"/>
      <c r="X162" s="217"/>
      <c r="Y162" s="217"/>
      <c r="Z162" s="217"/>
    </row>
    <row r="163" ht="15.75" customHeight="1">
      <c r="A163" s="43"/>
      <c r="B163" s="43"/>
      <c r="C163" s="43"/>
      <c r="D163" s="117"/>
      <c r="E163" s="43"/>
      <c r="F163" s="43"/>
      <c r="G163" s="43"/>
      <c r="H163" s="43"/>
      <c r="I163" s="43"/>
      <c r="J163" s="43"/>
      <c r="K163" s="43"/>
      <c r="L163" s="43"/>
      <c r="M163" s="43"/>
      <c r="N163" s="43"/>
      <c r="O163" s="43"/>
      <c r="P163" s="217"/>
      <c r="Q163" s="217"/>
      <c r="R163" s="217"/>
      <c r="S163" s="217"/>
      <c r="T163" s="217"/>
      <c r="U163" s="217"/>
      <c r="V163" s="217"/>
      <c r="W163" s="217"/>
      <c r="X163" s="217"/>
      <c r="Y163" s="217"/>
      <c r="Z163" s="217"/>
    </row>
    <row r="164" ht="15.75" customHeight="1">
      <c r="A164" s="43"/>
      <c r="B164" s="43"/>
      <c r="C164" s="43"/>
      <c r="D164" s="117"/>
      <c r="E164" s="43"/>
      <c r="F164" s="43"/>
      <c r="G164" s="43"/>
      <c r="H164" s="43"/>
      <c r="I164" s="43"/>
      <c r="J164" s="43"/>
      <c r="K164" s="43"/>
      <c r="L164" s="43"/>
      <c r="M164" s="43"/>
      <c r="N164" s="43"/>
      <c r="O164" s="43"/>
      <c r="P164" s="217"/>
      <c r="Q164" s="217"/>
      <c r="R164" s="217"/>
      <c r="S164" s="217"/>
      <c r="T164" s="217"/>
      <c r="U164" s="217"/>
      <c r="V164" s="217"/>
      <c r="W164" s="217"/>
      <c r="X164" s="217"/>
      <c r="Y164" s="217"/>
      <c r="Z164" s="217"/>
    </row>
    <row r="165" ht="15.75" customHeight="1">
      <c r="A165" s="43"/>
      <c r="B165" s="43"/>
      <c r="C165" s="43"/>
      <c r="D165" s="117"/>
      <c r="E165" s="43"/>
      <c r="F165" s="43"/>
      <c r="G165" s="43"/>
      <c r="H165" s="43"/>
      <c r="I165" s="43"/>
      <c r="J165" s="43"/>
      <c r="K165" s="43"/>
      <c r="L165" s="43"/>
      <c r="M165" s="43"/>
      <c r="N165" s="43"/>
      <c r="O165" s="43"/>
      <c r="P165" s="217"/>
      <c r="Q165" s="217"/>
      <c r="R165" s="217"/>
      <c r="S165" s="217"/>
      <c r="T165" s="217"/>
      <c r="U165" s="217"/>
      <c r="V165" s="217"/>
      <c r="W165" s="217"/>
      <c r="X165" s="217"/>
      <c r="Y165" s="217"/>
      <c r="Z165" s="217"/>
    </row>
    <row r="166" ht="15.75" customHeight="1">
      <c r="A166" s="43"/>
      <c r="B166" s="43"/>
      <c r="C166" s="43"/>
      <c r="D166" s="117"/>
      <c r="E166" s="43"/>
      <c r="F166" s="43"/>
      <c r="G166" s="43"/>
      <c r="H166" s="43"/>
      <c r="I166" s="43"/>
      <c r="J166" s="43"/>
      <c r="K166" s="43"/>
      <c r="L166" s="43"/>
      <c r="M166" s="43"/>
      <c r="N166" s="43"/>
      <c r="O166" s="43"/>
      <c r="P166" s="217"/>
      <c r="Q166" s="217"/>
      <c r="R166" s="217"/>
      <c r="S166" s="217"/>
      <c r="T166" s="217"/>
      <c r="U166" s="217"/>
      <c r="V166" s="217"/>
      <c r="W166" s="217"/>
      <c r="X166" s="217"/>
      <c r="Y166" s="217"/>
      <c r="Z166" s="217"/>
    </row>
    <row r="167" ht="15.75" customHeight="1">
      <c r="A167" s="43"/>
      <c r="B167" s="43"/>
      <c r="C167" s="43"/>
      <c r="D167" s="117"/>
      <c r="E167" s="43"/>
      <c r="F167" s="43"/>
      <c r="G167" s="43"/>
      <c r="H167" s="43"/>
      <c r="I167" s="43"/>
      <c r="J167" s="43"/>
      <c r="K167" s="43"/>
      <c r="L167" s="43"/>
      <c r="M167" s="43"/>
      <c r="N167" s="43"/>
      <c r="O167" s="43"/>
      <c r="P167" s="217"/>
      <c r="Q167" s="217"/>
      <c r="R167" s="217"/>
      <c r="S167" s="217"/>
      <c r="T167" s="217"/>
      <c r="U167" s="217"/>
      <c r="V167" s="217"/>
      <c r="W167" s="217"/>
      <c r="X167" s="217"/>
      <c r="Y167" s="217"/>
      <c r="Z167" s="217"/>
    </row>
    <row r="168" ht="15.75" customHeight="1">
      <c r="A168" s="43"/>
      <c r="B168" s="43"/>
      <c r="C168" s="43"/>
      <c r="D168" s="117"/>
      <c r="E168" s="43"/>
      <c r="F168" s="43"/>
      <c r="G168" s="43"/>
      <c r="H168" s="43"/>
      <c r="I168" s="43"/>
      <c r="J168" s="43"/>
      <c r="K168" s="43"/>
      <c r="L168" s="43"/>
      <c r="M168" s="43"/>
      <c r="N168" s="43"/>
      <c r="O168" s="43"/>
      <c r="P168" s="217"/>
      <c r="Q168" s="217"/>
      <c r="R168" s="217"/>
      <c r="S168" s="217"/>
      <c r="T168" s="217"/>
      <c r="U168" s="217"/>
      <c r="V168" s="217"/>
      <c r="W168" s="217"/>
      <c r="X168" s="217"/>
      <c r="Y168" s="217"/>
      <c r="Z168" s="217"/>
    </row>
    <row r="169" ht="15.75" customHeight="1">
      <c r="A169" s="43"/>
      <c r="B169" s="43"/>
      <c r="C169" s="43"/>
      <c r="D169" s="117"/>
      <c r="E169" s="43"/>
      <c r="F169" s="43"/>
      <c r="G169" s="43"/>
      <c r="H169" s="43"/>
      <c r="I169" s="43"/>
      <c r="J169" s="43"/>
      <c r="K169" s="43"/>
      <c r="L169" s="43"/>
      <c r="M169" s="43"/>
      <c r="N169" s="43"/>
      <c r="O169" s="43"/>
      <c r="P169" s="217"/>
      <c r="Q169" s="217"/>
      <c r="R169" s="217"/>
      <c r="S169" s="217"/>
      <c r="T169" s="217"/>
      <c r="U169" s="217"/>
      <c r="V169" s="217"/>
      <c r="W169" s="217"/>
      <c r="X169" s="217"/>
      <c r="Y169" s="217"/>
      <c r="Z169" s="217"/>
    </row>
    <row r="170" ht="15.75" customHeight="1">
      <c r="A170" s="43"/>
      <c r="B170" s="43"/>
      <c r="C170" s="43"/>
      <c r="D170" s="117"/>
      <c r="E170" s="43"/>
      <c r="F170" s="43"/>
      <c r="G170" s="43"/>
      <c r="H170" s="43"/>
      <c r="I170" s="43"/>
      <c r="J170" s="43"/>
      <c r="K170" s="43"/>
      <c r="L170" s="43"/>
      <c r="M170" s="43"/>
      <c r="N170" s="43"/>
      <c r="O170" s="43"/>
      <c r="P170" s="217"/>
      <c r="Q170" s="217"/>
      <c r="R170" s="217"/>
      <c r="S170" s="217"/>
      <c r="T170" s="217"/>
      <c r="U170" s="217"/>
      <c r="V170" s="217"/>
      <c r="W170" s="217"/>
      <c r="X170" s="217"/>
      <c r="Y170" s="217"/>
      <c r="Z170" s="217"/>
    </row>
    <row r="171" ht="15.75" customHeight="1">
      <c r="A171" s="43"/>
      <c r="B171" s="43"/>
      <c r="C171" s="43"/>
      <c r="D171" s="117"/>
      <c r="E171" s="43"/>
      <c r="F171" s="43"/>
      <c r="G171" s="43"/>
      <c r="H171" s="43"/>
      <c r="I171" s="43"/>
      <c r="J171" s="43"/>
      <c r="K171" s="43"/>
      <c r="L171" s="43"/>
      <c r="M171" s="43"/>
      <c r="N171" s="43"/>
      <c r="O171" s="43"/>
      <c r="P171" s="217"/>
      <c r="Q171" s="217"/>
      <c r="R171" s="217"/>
      <c r="S171" s="217"/>
      <c r="T171" s="217"/>
      <c r="U171" s="217"/>
      <c r="V171" s="217"/>
      <c r="W171" s="217"/>
      <c r="X171" s="217"/>
      <c r="Y171" s="217"/>
      <c r="Z171" s="217"/>
    </row>
    <row r="172" ht="15.75" customHeight="1">
      <c r="A172" s="43"/>
      <c r="B172" s="43"/>
      <c r="C172" s="43"/>
      <c r="D172" s="117"/>
      <c r="E172" s="43"/>
      <c r="F172" s="43"/>
      <c r="G172" s="43"/>
      <c r="H172" s="43"/>
      <c r="I172" s="43"/>
      <c r="J172" s="43"/>
      <c r="K172" s="43"/>
      <c r="L172" s="43"/>
      <c r="M172" s="43"/>
      <c r="N172" s="43"/>
      <c r="O172" s="43"/>
      <c r="P172" s="217"/>
      <c r="Q172" s="217"/>
      <c r="R172" s="217"/>
      <c r="S172" s="217"/>
      <c r="T172" s="217"/>
      <c r="U172" s="217"/>
      <c r="V172" s="217"/>
      <c r="W172" s="217"/>
      <c r="X172" s="217"/>
      <c r="Y172" s="217"/>
      <c r="Z172" s="217"/>
    </row>
    <row r="173" ht="15.75" customHeight="1">
      <c r="A173" s="43"/>
      <c r="B173" s="43"/>
      <c r="C173" s="43"/>
      <c r="D173" s="117"/>
      <c r="E173" s="43"/>
      <c r="F173" s="43"/>
      <c r="G173" s="43"/>
      <c r="H173" s="43"/>
      <c r="I173" s="43"/>
      <c r="J173" s="43"/>
      <c r="K173" s="43"/>
      <c r="L173" s="43"/>
      <c r="M173" s="43"/>
      <c r="N173" s="43"/>
      <c r="O173" s="43"/>
      <c r="P173" s="217"/>
      <c r="Q173" s="217"/>
      <c r="R173" s="217"/>
      <c r="S173" s="217"/>
      <c r="T173" s="217"/>
      <c r="U173" s="217"/>
      <c r="V173" s="217"/>
      <c r="W173" s="217"/>
      <c r="X173" s="217"/>
      <c r="Y173" s="217"/>
      <c r="Z173" s="217"/>
    </row>
    <row r="174" ht="15.75" customHeight="1">
      <c r="A174" s="43"/>
      <c r="B174" s="43"/>
      <c r="C174" s="43"/>
      <c r="D174" s="117"/>
      <c r="E174" s="43"/>
      <c r="F174" s="43"/>
      <c r="G174" s="43"/>
      <c r="H174" s="43"/>
      <c r="I174" s="43"/>
      <c r="J174" s="43"/>
      <c r="K174" s="43"/>
      <c r="L174" s="43"/>
      <c r="M174" s="43"/>
      <c r="N174" s="43"/>
      <c r="O174" s="43"/>
      <c r="P174" s="217"/>
      <c r="Q174" s="217"/>
      <c r="R174" s="217"/>
      <c r="S174" s="217"/>
      <c r="T174" s="217"/>
      <c r="U174" s="217"/>
      <c r="V174" s="217"/>
      <c r="W174" s="217"/>
      <c r="X174" s="217"/>
      <c r="Y174" s="217"/>
      <c r="Z174" s="217"/>
    </row>
    <row r="175" ht="15.75" customHeight="1">
      <c r="A175" s="43"/>
      <c r="B175" s="43"/>
      <c r="C175" s="43"/>
      <c r="D175" s="117"/>
      <c r="E175" s="43"/>
      <c r="F175" s="43"/>
      <c r="G175" s="43"/>
      <c r="H175" s="43"/>
      <c r="I175" s="43"/>
      <c r="J175" s="43"/>
      <c r="K175" s="43"/>
      <c r="L175" s="43"/>
      <c r="M175" s="43"/>
      <c r="N175" s="43"/>
      <c r="O175" s="43"/>
      <c r="P175" s="217"/>
      <c r="Q175" s="217"/>
      <c r="R175" s="217"/>
      <c r="S175" s="217"/>
      <c r="T175" s="217"/>
      <c r="U175" s="217"/>
      <c r="V175" s="217"/>
      <c r="W175" s="217"/>
      <c r="X175" s="217"/>
      <c r="Y175" s="217"/>
      <c r="Z175" s="217"/>
    </row>
    <row r="176" ht="15.75" customHeight="1">
      <c r="A176" s="43"/>
      <c r="B176" s="43"/>
      <c r="C176" s="43"/>
      <c r="D176" s="117"/>
      <c r="E176" s="43"/>
      <c r="F176" s="43"/>
      <c r="G176" s="43"/>
      <c r="H176" s="43"/>
      <c r="I176" s="43"/>
      <c r="J176" s="43"/>
      <c r="K176" s="43"/>
      <c r="L176" s="43"/>
      <c r="M176" s="43"/>
      <c r="N176" s="43"/>
      <c r="O176" s="43"/>
      <c r="P176" s="217"/>
      <c r="Q176" s="217"/>
      <c r="R176" s="217"/>
      <c r="S176" s="217"/>
      <c r="T176" s="217"/>
      <c r="U176" s="217"/>
      <c r="V176" s="217"/>
      <c r="W176" s="217"/>
      <c r="X176" s="217"/>
      <c r="Y176" s="217"/>
      <c r="Z176" s="217"/>
    </row>
    <row r="177" ht="15.75" customHeight="1">
      <c r="A177" s="43"/>
      <c r="B177" s="43"/>
      <c r="C177" s="43"/>
      <c r="D177" s="117"/>
      <c r="E177" s="43"/>
      <c r="F177" s="43"/>
      <c r="G177" s="43"/>
      <c r="H177" s="43"/>
      <c r="I177" s="43"/>
      <c r="J177" s="43"/>
      <c r="K177" s="43"/>
      <c r="L177" s="43"/>
      <c r="M177" s="43"/>
      <c r="N177" s="43"/>
      <c r="O177" s="43"/>
      <c r="P177" s="217"/>
      <c r="Q177" s="217"/>
      <c r="R177" s="217"/>
      <c r="S177" s="217"/>
      <c r="T177" s="217"/>
      <c r="U177" s="217"/>
      <c r="V177" s="217"/>
      <c r="W177" s="217"/>
      <c r="X177" s="217"/>
      <c r="Y177" s="217"/>
      <c r="Z177" s="217"/>
    </row>
    <row r="178" ht="15.75" customHeight="1">
      <c r="A178" s="43"/>
      <c r="B178" s="43"/>
      <c r="C178" s="43"/>
      <c r="D178" s="117"/>
      <c r="E178" s="43"/>
      <c r="F178" s="43"/>
      <c r="G178" s="43"/>
      <c r="H178" s="43"/>
      <c r="I178" s="43"/>
      <c r="J178" s="43"/>
      <c r="K178" s="43"/>
      <c r="L178" s="43"/>
      <c r="M178" s="43"/>
      <c r="N178" s="43"/>
      <c r="O178" s="43"/>
      <c r="P178" s="217"/>
      <c r="Q178" s="217"/>
      <c r="R178" s="217"/>
      <c r="S178" s="217"/>
      <c r="T178" s="217"/>
      <c r="U178" s="217"/>
      <c r="V178" s="217"/>
      <c r="W178" s="217"/>
      <c r="X178" s="217"/>
      <c r="Y178" s="217"/>
      <c r="Z178" s="217"/>
    </row>
    <row r="179" ht="15.75" customHeight="1">
      <c r="A179" s="43"/>
      <c r="B179" s="43"/>
      <c r="C179" s="43"/>
      <c r="D179" s="117"/>
      <c r="E179" s="43"/>
      <c r="F179" s="43"/>
      <c r="G179" s="43"/>
      <c r="H179" s="43"/>
      <c r="I179" s="43"/>
      <c r="J179" s="43"/>
      <c r="K179" s="43"/>
      <c r="L179" s="43"/>
      <c r="M179" s="43"/>
      <c r="N179" s="43"/>
      <c r="O179" s="43"/>
      <c r="P179" s="217"/>
      <c r="Q179" s="217"/>
      <c r="R179" s="217"/>
      <c r="S179" s="217"/>
      <c r="T179" s="217"/>
      <c r="U179" s="217"/>
      <c r="V179" s="217"/>
      <c r="W179" s="217"/>
      <c r="X179" s="217"/>
      <c r="Y179" s="217"/>
      <c r="Z179" s="217"/>
    </row>
    <row r="180" ht="15.75" customHeight="1">
      <c r="A180" s="43"/>
      <c r="B180" s="43"/>
      <c r="C180" s="43"/>
      <c r="D180" s="117"/>
      <c r="E180" s="43"/>
      <c r="F180" s="43"/>
      <c r="G180" s="43"/>
      <c r="H180" s="43"/>
      <c r="I180" s="43"/>
      <c r="J180" s="43"/>
      <c r="K180" s="43"/>
      <c r="L180" s="43"/>
      <c r="M180" s="43"/>
      <c r="N180" s="43"/>
      <c r="O180" s="43"/>
      <c r="P180" s="217"/>
      <c r="Q180" s="217"/>
      <c r="R180" s="217"/>
      <c r="S180" s="217"/>
      <c r="T180" s="217"/>
      <c r="U180" s="217"/>
      <c r="V180" s="217"/>
      <c r="W180" s="217"/>
      <c r="X180" s="217"/>
      <c r="Y180" s="217"/>
      <c r="Z180" s="217"/>
    </row>
    <row r="181" ht="15.75" customHeight="1">
      <c r="A181" s="43"/>
      <c r="B181" s="43"/>
      <c r="C181" s="43"/>
      <c r="D181" s="117"/>
      <c r="E181" s="43"/>
      <c r="F181" s="43"/>
      <c r="G181" s="43"/>
      <c r="H181" s="43"/>
      <c r="I181" s="43"/>
      <c r="J181" s="43"/>
      <c r="K181" s="43"/>
      <c r="L181" s="43"/>
      <c r="M181" s="43"/>
      <c r="N181" s="43"/>
      <c r="O181" s="43"/>
      <c r="P181" s="217"/>
      <c r="Q181" s="217"/>
      <c r="R181" s="217"/>
      <c r="S181" s="217"/>
      <c r="T181" s="217"/>
      <c r="U181" s="217"/>
      <c r="V181" s="217"/>
      <c r="W181" s="217"/>
      <c r="X181" s="217"/>
      <c r="Y181" s="217"/>
      <c r="Z181" s="217"/>
    </row>
    <row r="182" ht="15.75" customHeight="1">
      <c r="A182" s="43"/>
      <c r="B182" s="43"/>
      <c r="C182" s="43"/>
      <c r="D182" s="117"/>
      <c r="E182" s="43"/>
      <c r="F182" s="43"/>
      <c r="G182" s="43"/>
      <c r="H182" s="43"/>
      <c r="I182" s="43"/>
      <c r="J182" s="43"/>
      <c r="K182" s="43"/>
      <c r="L182" s="43"/>
      <c r="M182" s="43"/>
      <c r="N182" s="43"/>
      <c r="O182" s="43"/>
      <c r="P182" s="217"/>
      <c r="Q182" s="217"/>
      <c r="R182" s="217"/>
      <c r="S182" s="217"/>
      <c r="T182" s="217"/>
      <c r="U182" s="217"/>
      <c r="V182" s="217"/>
      <c r="W182" s="217"/>
      <c r="X182" s="217"/>
      <c r="Y182" s="217"/>
      <c r="Z182" s="217"/>
    </row>
    <row r="183" ht="15.75" customHeight="1">
      <c r="A183" s="43"/>
      <c r="B183" s="43"/>
      <c r="C183" s="43"/>
      <c r="D183" s="117"/>
      <c r="E183" s="43"/>
      <c r="F183" s="43"/>
      <c r="G183" s="43"/>
      <c r="H183" s="43"/>
      <c r="I183" s="43"/>
      <c r="J183" s="43"/>
      <c r="K183" s="43"/>
      <c r="L183" s="43"/>
      <c r="M183" s="43"/>
      <c r="N183" s="43"/>
      <c r="O183" s="43"/>
      <c r="P183" s="217"/>
      <c r="Q183" s="217"/>
      <c r="R183" s="217"/>
      <c r="S183" s="217"/>
      <c r="T183" s="217"/>
      <c r="U183" s="217"/>
      <c r="V183" s="217"/>
      <c r="W183" s="217"/>
      <c r="X183" s="217"/>
      <c r="Y183" s="217"/>
      <c r="Z183" s="217"/>
    </row>
    <row r="184" ht="15.75" customHeight="1">
      <c r="A184" s="43"/>
      <c r="B184" s="43"/>
      <c r="C184" s="43"/>
      <c r="D184" s="117"/>
      <c r="E184" s="43"/>
      <c r="F184" s="43"/>
      <c r="G184" s="43"/>
      <c r="H184" s="43"/>
      <c r="I184" s="43"/>
      <c r="J184" s="43"/>
      <c r="K184" s="43"/>
      <c r="L184" s="43"/>
      <c r="M184" s="43"/>
      <c r="N184" s="43"/>
      <c r="O184" s="43"/>
      <c r="P184" s="217"/>
      <c r="Q184" s="217"/>
      <c r="R184" s="217"/>
      <c r="S184" s="217"/>
      <c r="T184" s="217"/>
      <c r="U184" s="217"/>
      <c r="V184" s="217"/>
      <c r="W184" s="217"/>
      <c r="X184" s="217"/>
      <c r="Y184" s="217"/>
      <c r="Z184" s="217"/>
    </row>
    <row r="185" ht="15.75" customHeight="1">
      <c r="A185" s="43"/>
      <c r="B185" s="43"/>
      <c r="C185" s="43"/>
      <c r="D185" s="117"/>
      <c r="E185" s="43"/>
      <c r="F185" s="43"/>
      <c r="G185" s="43"/>
      <c r="H185" s="43"/>
      <c r="I185" s="43"/>
      <c r="J185" s="43"/>
      <c r="K185" s="43"/>
      <c r="L185" s="43"/>
      <c r="M185" s="43"/>
      <c r="N185" s="43"/>
      <c r="O185" s="43"/>
      <c r="P185" s="217"/>
      <c r="Q185" s="217"/>
      <c r="R185" s="217"/>
      <c r="S185" s="217"/>
      <c r="T185" s="217"/>
      <c r="U185" s="217"/>
      <c r="V185" s="217"/>
      <c r="W185" s="217"/>
      <c r="X185" s="217"/>
      <c r="Y185" s="217"/>
      <c r="Z185" s="217"/>
    </row>
    <row r="186" ht="15.75" customHeight="1">
      <c r="A186" s="43"/>
      <c r="B186" s="43"/>
      <c r="C186" s="43"/>
      <c r="D186" s="117"/>
      <c r="E186" s="43"/>
      <c r="F186" s="43"/>
      <c r="G186" s="43"/>
      <c r="H186" s="43"/>
      <c r="I186" s="43"/>
      <c r="J186" s="43"/>
      <c r="K186" s="43"/>
      <c r="L186" s="43"/>
      <c r="M186" s="43"/>
      <c r="N186" s="43"/>
      <c r="O186" s="43"/>
      <c r="P186" s="217"/>
      <c r="Q186" s="217"/>
      <c r="R186" s="217"/>
      <c r="S186" s="217"/>
      <c r="T186" s="217"/>
      <c r="U186" s="217"/>
      <c r="V186" s="217"/>
      <c r="W186" s="217"/>
      <c r="X186" s="217"/>
      <c r="Y186" s="217"/>
      <c r="Z186" s="217"/>
    </row>
    <row r="187" ht="15.75" customHeight="1">
      <c r="A187" s="43"/>
      <c r="B187" s="43"/>
      <c r="C187" s="43"/>
      <c r="D187" s="117"/>
      <c r="E187" s="43"/>
      <c r="F187" s="43"/>
      <c r="G187" s="43"/>
      <c r="H187" s="43"/>
      <c r="I187" s="43"/>
      <c r="J187" s="43"/>
      <c r="K187" s="43"/>
      <c r="L187" s="43"/>
      <c r="M187" s="43"/>
      <c r="N187" s="43"/>
      <c r="O187" s="43"/>
      <c r="P187" s="217"/>
      <c r="Q187" s="217"/>
      <c r="R187" s="217"/>
      <c r="S187" s="217"/>
      <c r="T187" s="217"/>
      <c r="U187" s="217"/>
      <c r="V187" s="217"/>
      <c r="W187" s="217"/>
      <c r="X187" s="217"/>
      <c r="Y187" s="217"/>
      <c r="Z187" s="217"/>
    </row>
    <row r="188" ht="15.75" customHeight="1">
      <c r="A188" s="43"/>
      <c r="B188" s="43"/>
      <c r="C188" s="43"/>
      <c r="D188" s="117"/>
      <c r="E188" s="43"/>
      <c r="F188" s="43"/>
      <c r="G188" s="43"/>
      <c r="H188" s="43"/>
      <c r="I188" s="43"/>
      <c r="J188" s="43"/>
      <c r="K188" s="43"/>
      <c r="L188" s="43"/>
      <c r="M188" s="43"/>
      <c r="N188" s="43"/>
      <c r="O188" s="43"/>
      <c r="P188" s="217"/>
      <c r="Q188" s="217"/>
      <c r="R188" s="217"/>
      <c r="S188" s="217"/>
      <c r="T188" s="217"/>
      <c r="U188" s="217"/>
      <c r="V188" s="217"/>
      <c r="W188" s="217"/>
      <c r="X188" s="217"/>
      <c r="Y188" s="217"/>
      <c r="Z188" s="217"/>
    </row>
    <row r="189" ht="15.75" customHeight="1">
      <c r="A189" s="43"/>
      <c r="B189" s="43"/>
      <c r="C189" s="43"/>
      <c r="D189" s="117"/>
      <c r="E189" s="43"/>
      <c r="F189" s="43"/>
      <c r="G189" s="43"/>
      <c r="H189" s="43"/>
      <c r="I189" s="43"/>
      <c r="J189" s="43"/>
      <c r="K189" s="43"/>
      <c r="L189" s="43"/>
      <c r="M189" s="43"/>
      <c r="N189" s="43"/>
      <c r="O189" s="43"/>
      <c r="P189" s="217"/>
      <c r="Q189" s="217"/>
      <c r="R189" s="217"/>
      <c r="S189" s="217"/>
      <c r="T189" s="217"/>
      <c r="U189" s="217"/>
      <c r="V189" s="217"/>
      <c r="W189" s="217"/>
      <c r="X189" s="217"/>
      <c r="Y189" s="217"/>
      <c r="Z189" s="217"/>
    </row>
    <row r="190" ht="15.75" customHeight="1">
      <c r="A190" s="43"/>
      <c r="B190" s="43"/>
      <c r="C190" s="43"/>
      <c r="D190" s="117"/>
      <c r="E190" s="43"/>
      <c r="F190" s="43"/>
      <c r="G190" s="43"/>
      <c r="H190" s="43"/>
      <c r="I190" s="43"/>
      <c r="J190" s="43"/>
      <c r="K190" s="43"/>
      <c r="L190" s="43"/>
      <c r="M190" s="43"/>
      <c r="N190" s="43"/>
      <c r="O190" s="43"/>
      <c r="P190" s="217"/>
      <c r="Q190" s="217"/>
      <c r="R190" s="217"/>
      <c r="S190" s="217"/>
      <c r="T190" s="217"/>
      <c r="U190" s="217"/>
      <c r="V190" s="217"/>
      <c r="W190" s="217"/>
      <c r="X190" s="217"/>
      <c r="Y190" s="217"/>
      <c r="Z190" s="217"/>
    </row>
    <row r="191" ht="15.75" customHeight="1">
      <c r="A191" s="43"/>
      <c r="B191" s="43"/>
      <c r="C191" s="43"/>
      <c r="D191" s="117"/>
      <c r="E191" s="43"/>
      <c r="F191" s="43"/>
      <c r="G191" s="43"/>
      <c r="H191" s="43"/>
      <c r="I191" s="43"/>
      <c r="J191" s="43"/>
      <c r="K191" s="43"/>
      <c r="L191" s="43"/>
      <c r="M191" s="43"/>
      <c r="N191" s="43"/>
      <c r="O191" s="43"/>
      <c r="P191" s="217"/>
      <c r="Q191" s="217"/>
      <c r="R191" s="217"/>
      <c r="S191" s="217"/>
      <c r="T191" s="217"/>
      <c r="U191" s="217"/>
      <c r="V191" s="217"/>
      <c r="W191" s="217"/>
      <c r="X191" s="217"/>
      <c r="Y191" s="217"/>
      <c r="Z191" s="217"/>
    </row>
    <row r="192" ht="15.75" customHeight="1">
      <c r="A192" s="43"/>
      <c r="B192" s="43"/>
      <c r="C192" s="43"/>
      <c r="D192" s="117"/>
      <c r="E192" s="43"/>
      <c r="F192" s="43"/>
      <c r="G192" s="43"/>
      <c r="H192" s="43"/>
      <c r="I192" s="43"/>
      <c r="J192" s="43"/>
      <c r="K192" s="43"/>
      <c r="L192" s="43"/>
      <c r="M192" s="43"/>
      <c r="N192" s="43"/>
      <c r="O192" s="43"/>
      <c r="P192" s="217"/>
      <c r="Q192" s="217"/>
      <c r="R192" s="217"/>
      <c r="S192" s="217"/>
      <c r="T192" s="217"/>
      <c r="U192" s="217"/>
      <c r="V192" s="217"/>
      <c r="W192" s="217"/>
      <c r="X192" s="217"/>
      <c r="Y192" s="217"/>
      <c r="Z192" s="217"/>
    </row>
    <row r="193" ht="15.75" customHeight="1">
      <c r="A193" s="43"/>
      <c r="B193" s="43"/>
      <c r="C193" s="43"/>
      <c r="D193" s="117"/>
      <c r="E193" s="43"/>
      <c r="F193" s="43"/>
      <c r="G193" s="43"/>
      <c r="H193" s="43"/>
      <c r="I193" s="43"/>
      <c r="J193" s="43"/>
      <c r="K193" s="43"/>
      <c r="L193" s="43"/>
      <c r="M193" s="43"/>
      <c r="N193" s="43"/>
      <c r="O193" s="43"/>
      <c r="P193" s="217"/>
      <c r="Q193" s="217"/>
      <c r="R193" s="217"/>
      <c r="S193" s="217"/>
      <c r="T193" s="217"/>
      <c r="U193" s="217"/>
      <c r="V193" s="217"/>
      <c r="W193" s="217"/>
      <c r="X193" s="217"/>
      <c r="Y193" s="217"/>
      <c r="Z193" s="217"/>
    </row>
    <row r="194" ht="15.75" customHeight="1">
      <c r="A194" s="43"/>
      <c r="B194" s="43"/>
      <c r="C194" s="43"/>
      <c r="D194" s="117"/>
      <c r="E194" s="43"/>
      <c r="F194" s="43"/>
      <c r="G194" s="43"/>
      <c r="H194" s="43"/>
      <c r="I194" s="43"/>
      <c r="J194" s="43"/>
      <c r="K194" s="43"/>
      <c r="L194" s="43"/>
      <c r="M194" s="43"/>
      <c r="N194" s="43"/>
      <c r="O194" s="43"/>
      <c r="P194" s="217"/>
      <c r="Q194" s="217"/>
      <c r="R194" s="217"/>
      <c r="S194" s="217"/>
      <c r="T194" s="217"/>
      <c r="U194" s="217"/>
      <c r="V194" s="217"/>
      <c r="W194" s="217"/>
      <c r="X194" s="217"/>
      <c r="Y194" s="217"/>
      <c r="Z194" s="217"/>
    </row>
    <row r="195" ht="15.75" customHeight="1">
      <c r="A195" s="43"/>
      <c r="B195" s="43"/>
      <c r="C195" s="43"/>
      <c r="D195" s="117"/>
      <c r="E195" s="43"/>
      <c r="F195" s="43"/>
      <c r="G195" s="43"/>
      <c r="H195" s="43"/>
      <c r="I195" s="43"/>
      <c r="J195" s="43"/>
      <c r="K195" s="43"/>
      <c r="L195" s="43"/>
      <c r="M195" s="43"/>
      <c r="N195" s="43"/>
      <c r="O195" s="43"/>
      <c r="P195" s="217"/>
      <c r="Q195" s="217"/>
      <c r="R195" s="217"/>
      <c r="S195" s="217"/>
      <c r="T195" s="217"/>
      <c r="U195" s="217"/>
      <c r="V195" s="217"/>
      <c r="W195" s="217"/>
      <c r="X195" s="217"/>
      <c r="Y195" s="217"/>
      <c r="Z195" s="217"/>
    </row>
    <row r="196" ht="15.75" customHeight="1">
      <c r="A196" s="43"/>
      <c r="B196" s="43"/>
      <c r="C196" s="43"/>
      <c r="D196" s="117"/>
      <c r="E196" s="43"/>
      <c r="F196" s="43"/>
      <c r="G196" s="43"/>
      <c r="H196" s="43"/>
      <c r="I196" s="43"/>
      <c r="J196" s="43"/>
      <c r="K196" s="43"/>
      <c r="L196" s="43"/>
      <c r="M196" s="43"/>
      <c r="N196" s="43"/>
      <c r="O196" s="43"/>
      <c r="P196" s="217"/>
      <c r="Q196" s="217"/>
      <c r="R196" s="217"/>
      <c r="S196" s="217"/>
      <c r="T196" s="217"/>
      <c r="U196" s="217"/>
      <c r="V196" s="217"/>
      <c r="W196" s="217"/>
      <c r="X196" s="217"/>
      <c r="Y196" s="217"/>
      <c r="Z196" s="217"/>
    </row>
    <row r="197" ht="15.75" customHeight="1">
      <c r="A197" s="43"/>
      <c r="B197" s="43"/>
      <c r="C197" s="43"/>
      <c r="D197" s="117"/>
      <c r="E197" s="43"/>
      <c r="F197" s="43"/>
      <c r="G197" s="43"/>
      <c r="H197" s="43"/>
      <c r="I197" s="43"/>
      <c r="J197" s="43"/>
      <c r="K197" s="43"/>
      <c r="L197" s="43"/>
      <c r="M197" s="43"/>
      <c r="N197" s="43"/>
      <c r="O197" s="43"/>
      <c r="P197" s="217"/>
      <c r="Q197" s="217"/>
      <c r="R197" s="217"/>
      <c r="S197" s="217"/>
      <c r="T197" s="217"/>
      <c r="U197" s="217"/>
      <c r="V197" s="217"/>
      <c r="W197" s="217"/>
      <c r="X197" s="217"/>
      <c r="Y197" s="217"/>
      <c r="Z197" s="217"/>
    </row>
    <row r="198" ht="15.75" customHeight="1">
      <c r="A198" s="43"/>
      <c r="B198" s="43"/>
      <c r="C198" s="43"/>
      <c r="D198" s="117"/>
      <c r="E198" s="43"/>
      <c r="F198" s="43"/>
      <c r="G198" s="43"/>
      <c r="H198" s="43"/>
      <c r="I198" s="43"/>
      <c r="J198" s="43"/>
      <c r="K198" s="43"/>
      <c r="L198" s="43"/>
      <c r="M198" s="43"/>
      <c r="N198" s="43"/>
      <c r="O198" s="43"/>
      <c r="P198" s="217"/>
      <c r="Q198" s="217"/>
      <c r="R198" s="217"/>
      <c r="S198" s="217"/>
      <c r="T198" s="217"/>
      <c r="U198" s="217"/>
      <c r="V198" s="217"/>
      <c r="W198" s="217"/>
      <c r="X198" s="217"/>
      <c r="Y198" s="217"/>
      <c r="Z198" s="217"/>
    </row>
    <row r="199" ht="15.75" customHeight="1">
      <c r="A199" s="43"/>
      <c r="B199" s="43"/>
      <c r="C199" s="43"/>
      <c r="D199" s="117"/>
      <c r="E199" s="43"/>
      <c r="F199" s="43"/>
      <c r="G199" s="43"/>
      <c r="H199" s="43"/>
      <c r="I199" s="43"/>
      <c r="J199" s="43"/>
      <c r="K199" s="43"/>
      <c r="L199" s="43"/>
      <c r="M199" s="43"/>
      <c r="N199" s="43"/>
      <c r="O199" s="43"/>
      <c r="P199" s="217"/>
      <c r="Q199" s="217"/>
      <c r="R199" s="217"/>
      <c r="S199" s="217"/>
      <c r="T199" s="217"/>
      <c r="U199" s="217"/>
      <c r="V199" s="217"/>
      <c r="W199" s="217"/>
      <c r="X199" s="217"/>
      <c r="Y199" s="217"/>
      <c r="Z199" s="217"/>
    </row>
    <row r="200" ht="15.75" customHeight="1">
      <c r="A200" s="43"/>
      <c r="B200" s="43"/>
      <c r="C200" s="43"/>
      <c r="D200" s="117"/>
      <c r="E200" s="43"/>
      <c r="F200" s="43"/>
      <c r="G200" s="43"/>
      <c r="H200" s="43"/>
      <c r="I200" s="43"/>
      <c r="J200" s="43"/>
      <c r="K200" s="43"/>
      <c r="L200" s="43"/>
      <c r="M200" s="43"/>
      <c r="N200" s="43"/>
      <c r="O200" s="43"/>
      <c r="P200" s="217"/>
      <c r="Q200" s="217"/>
      <c r="R200" s="217"/>
      <c r="S200" s="217"/>
      <c r="T200" s="217"/>
      <c r="U200" s="217"/>
      <c r="V200" s="217"/>
      <c r="W200" s="217"/>
      <c r="X200" s="217"/>
      <c r="Y200" s="217"/>
      <c r="Z200" s="217"/>
    </row>
    <row r="201" ht="15.75" customHeight="1">
      <c r="A201" s="43"/>
      <c r="B201" s="43"/>
      <c r="C201" s="43"/>
      <c r="D201" s="117"/>
      <c r="E201" s="43"/>
      <c r="F201" s="43"/>
      <c r="G201" s="43"/>
      <c r="H201" s="43"/>
      <c r="I201" s="43"/>
      <c r="J201" s="43"/>
      <c r="K201" s="43"/>
      <c r="L201" s="43"/>
      <c r="M201" s="43"/>
      <c r="N201" s="43"/>
      <c r="O201" s="43"/>
      <c r="P201" s="217"/>
      <c r="Q201" s="217"/>
      <c r="R201" s="217"/>
      <c r="S201" s="217"/>
      <c r="T201" s="217"/>
      <c r="U201" s="217"/>
      <c r="V201" s="217"/>
      <c r="W201" s="217"/>
      <c r="X201" s="217"/>
      <c r="Y201" s="217"/>
      <c r="Z201" s="217"/>
    </row>
    <row r="202" ht="15.75" customHeight="1">
      <c r="A202" s="43"/>
      <c r="B202" s="43"/>
      <c r="C202" s="43"/>
      <c r="D202" s="117"/>
      <c r="E202" s="43"/>
      <c r="F202" s="43"/>
      <c r="G202" s="43"/>
      <c r="H202" s="43"/>
      <c r="I202" s="43"/>
      <c r="J202" s="43"/>
      <c r="K202" s="43"/>
      <c r="L202" s="43"/>
      <c r="M202" s="43"/>
      <c r="N202" s="43"/>
      <c r="O202" s="43"/>
      <c r="P202" s="217"/>
      <c r="Q202" s="217"/>
      <c r="R202" s="217"/>
      <c r="S202" s="217"/>
      <c r="T202" s="217"/>
      <c r="U202" s="217"/>
      <c r="V202" s="217"/>
      <c r="W202" s="217"/>
      <c r="X202" s="217"/>
      <c r="Y202" s="217"/>
      <c r="Z202" s="217"/>
    </row>
    <row r="203" ht="15.75" customHeight="1">
      <c r="A203" s="43"/>
      <c r="B203" s="43"/>
      <c r="C203" s="43"/>
      <c r="D203" s="117"/>
      <c r="E203" s="43"/>
      <c r="F203" s="43"/>
      <c r="G203" s="43"/>
      <c r="H203" s="43"/>
      <c r="I203" s="43"/>
      <c r="J203" s="43"/>
      <c r="K203" s="43"/>
      <c r="L203" s="43"/>
      <c r="M203" s="43"/>
      <c r="N203" s="43"/>
      <c r="O203" s="43"/>
      <c r="P203" s="217"/>
      <c r="Q203" s="217"/>
      <c r="R203" s="217"/>
      <c r="S203" s="217"/>
      <c r="T203" s="217"/>
      <c r="U203" s="217"/>
      <c r="V203" s="217"/>
      <c r="W203" s="217"/>
      <c r="X203" s="217"/>
      <c r="Y203" s="217"/>
      <c r="Z203" s="217"/>
    </row>
    <row r="204" ht="15.75" customHeight="1">
      <c r="A204" s="43"/>
      <c r="B204" s="43"/>
      <c r="C204" s="43"/>
      <c r="D204" s="117"/>
      <c r="E204" s="43"/>
      <c r="F204" s="43"/>
      <c r="G204" s="43"/>
      <c r="H204" s="43"/>
      <c r="I204" s="43"/>
      <c r="J204" s="43"/>
      <c r="K204" s="43"/>
      <c r="L204" s="43"/>
      <c r="M204" s="43"/>
      <c r="N204" s="43"/>
      <c r="O204" s="43"/>
      <c r="P204" s="217"/>
      <c r="Q204" s="217"/>
      <c r="R204" s="217"/>
      <c r="S204" s="217"/>
      <c r="T204" s="217"/>
      <c r="U204" s="217"/>
      <c r="V204" s="217"/>
      <c r="W204" s="217"/>
      <c r="X204" s="217"/>
      <c r="Y204" s="217"/>
      <c r="Z204" s="217"/>
    </row>
    <row r="205" ht="15.75" customHeight="1">
      <c r="A205" s="43"/>
      <c r="B205" s="43"/>
      <c r="C205" s="43"/>
      <c r="D205" s="117"/>
      <c r="E205" s="43"/>
      <c r="F205" s="43"/>
      <c r="G205" s="43"/>
      <c r="H205" s="43"/>
      <c r="I205" s="43"/>
      <c r="J205" s="43"/>
      <c r="K205" s="43"/>
      <c r="L205" s="43"/>
      <c r="M205" s="43"/>
      <c r="N205" s="43"/>
      <c r="O205" s="43"/>
      <c r="P205" s="217"/>
      <c r="Q205" s="217"/>
      <c r="R205" s="217"/>
      <c r="S205" s="217"/>
      <c r="T205" s="217"/>
      <c r="U205" s="217"/>
      <c r="V205" s="217"/>
      <c r="W205" s="217"/>
      <c r="X205" s="217"/>
      <c r="Y205" s="217"/>
      <c r="Z205" s="217"/>
    </row>
    <row r="206" ht="15.75" customHeight="1">
      <c r="A206" s="43"/>
      <c r="B206" s="43"/>
      <c r="C206" s="43"/>
      <c r="D206" s="117"/>
      <c r="E206" s="43"/>
      <c r="F206" s="43"/>
      <c r="G206" s="43"/>
      <c r="H206" s="43"/>
      <c r="I206" s="43"/>
      <c r="J206" s="43"/>
      <c r="K206" s="43"/>
      <c r="L206" s="43"/>
      <c r="M206" s="43"/>
      <c r="N206" s="43"/>
      <c r="O206" s="43"/>
      <c r="P206" s="217"/>
      <c r="Q206" s="217"/>
      <c r="R206" s="217"/>
      <c r="S206" s="217"/>
      <c r="T206" s="217"/>
      <c r="U206" s="217"/>
      <c r="V206" s="217"/>
      <c r="W206" s="217"/>
      <c r="X206" s="217"/>
      <c r="Y206" s="217"/>
      <c r="Z206" s="217"/>
    </row>
    <row r="207" ht="15.75" customHeight="1">
      <c r="A207" s="43"/>
      <c r="B207" s="43"/>
      <c r="C207" s="43"/>
      <c r="D207" s="117"/>
      <c r="E207" s="43"/>
      <c r="F207" s="43"/>
      <c r="G207" s="43"/>
      <c r="H207" s="43"/>
      <c r="I207" s="43"/>
      <c r="J207" s="43"/>
      <c r="K207" s="43"/>
      <c r="L207" s="43"/>
      <c r="M207" s="43"/>
      <c r="N207" s="43"/>
      <c r="O207" s="43"/>
      <c r="P207" s="217"/>
      <c r="Q207" s="217"/>
      <c r="R207" s="217"/>
      <c r="S207" s="217"/>
      <c r="T207" s="217"/>
      <c r="U207" s="217"/>
      <c r="V207" s="217"/>
      <c r="W207" s="217"/>
      <c r="X207" s="217"/>
      <c r="Y207" s="217"/>
      <c r="Z207" s="217"/>
    </row>
    <row r="208" ht="15.75" customHeight="1">
      <c r="A208" s="43"/>
      <c r="B208" s="43"/>
      <c r="C208" s="43"/>
      <c r="D208" s="117"/>
      <c r="E208" s="43"/>
      <c r="F208" s="43"/>
      <c r="G208" s="43"/>
      <c r="H208" s="43"/>
      <c r="I208" s="43"/>
      <c r="J208" s="43"/>
      <c r="K208" s="43"/>
      <c r="L208" s="43"/>
      <c r="M208" s="43"/>
      <c r="N208" s="43"/>
      <c r="O208" s="43"/>
      <c r="P208" s="217"/>
      <c r="Q208" s="217"/>
      <c r="R208" s="217"/>
      <c r="S208" s="217"/>
      <c r="T208" s="217"/>
      <c r="U208" s="217"/>
      <c r="V208" s="217"/>
      <c r="W208" s="217"/>
      <c r="X208" s="217"/>
      <c r="Y208" s="217"/>
      <c r="Z208" s="217"/>
    </row>
    <row r="209" ht="15.75" customHeight="1">
      <c r="A209" s="43"/>
      <c r="B209" s="43"/>
      <c r="C209" s="43"/>
      <c r="D209" s="117"/>
      <c r="E209" s="43"/>
      <c r="F209" s="43"/>
      <c r="G209" s="43"/>
      <c r="H209" s="43"/>
      <c r="I209" s="43"/>
      <c r="J209" s="43"/>
      <c r="K209" s="43"/>
      <c r="L209" s="43"/>
      <c r="M209" s="43"/>
      <c r="N209" s="43"/>
      <c r="O209" s="43"/>
      <c r="P209" s="217"/>
      <c r="Q209" s="217"/>
      <c r="R209" s="217"/>
      <c r="S209" s="217"/>
      <c r="T209" s="217"/>
      <c r="U209" s="217"/>
      <c r="V209" s="217"/>
      <c r="W209" s="217"/>
      <c r="X209" s="217"/>
      <c r="Y209" s="217"/>
      <c r="Z209" s="217"/>
    </row>
    <row r="210" ht="15.75" customHeight="1">
      <c r="A210" s="43"/>
      <c r="B210" s="43"/>
      <c r="C210" s="43"/>
      <c r="D210" s="117"/>
      <c r="E210" s="43"/>
      <c r="F210" s="43"/>
      <c r="G210" s="43"/>
      <c r="H210" s="43"/>
      <c r="I210" s="43"/>
      <c r="J210" s="43"/>
      <c r="K210" s="43"/>
      <c r="L210" s="43"/>
      <c r="M210" s="43"/>
      <c r="N210" s="43"/>
      <c r="O210" s="43"/>
      <c r="P210" s="217"/>
      <c r="Q210" s="217"/>
      <c r="R210" s="217"/>
      <c r="S210" s="217"/>
      <c r="T210" s="217"/>
      <c r="U210" s="217"/>
      <c r="V210" s="217"/>
      <c r="W210" s="217"/>
      <c r="X210" s="217"/>
      <c r="Y210" s="217"/>
      <c r="Z210" s="217"/>
    </row>
    <row r="211" ht="15.75" customHeight="1">
      <c r="A211" s="43"/>
      <c r="B211" s="43"/>
      <c r="C211" s="43"/>
      <c r="D211" s="117"/>
      <c r="E211" s="43"/>
      <c r="F211" s="43"/>
      <c r="G211" s="43"/>
      <c r="H211" s="43"/>
      <c r="I211" s="43"/>
      <c r="J211" s="43"/>
      <c r="K211" s="43"/>
      <c r="L211" s="43"/>
      <c r="M211" s="43"/>
      <c r="N211" s="43"/>
      <c r="O211" s="43"/>
      <c r="P211" s="217"/>
      <c r="Q211" s="217"/>
      <c r="R211" s="217"/>
      <c r="S211" s="217"/>
      <c r="T211" s="217"/>
      <c r="U211" s="217"/>
      <c r="V211" s="217"/>
      <c r="W211" s="217"/>
      <c r="X211" s="217"/>
      <c r="Y211" s="217"/>
      <c r="Z211" s="217"/>
    </row>
    <row r="212" ht="15.75" customHeight="1">
      <c r="A212" s="43"/>
      <c r="B212" s="43"/>
      <c r="C212" s="43"/>
      <c r="D212" s="117"/>
      <c r="E212" s="43"/>
      <c r="F212" s="43"/>
      <c r="G212" s="43"/>
      <c r="H212" s="43"/>
      <c r="I212" s="43"/>
      <c r="J212" s="43"/>
      <c r="K212" s="43"/>
      <c r="L212" s="43"/>
      <c r="M212" s="43"/>
      <c r="N212" s="43"/>
      <c r="O212" s="43"/>
      <c r="P212" s="217"/>
      <c r="Q212" s="217"/>
      <c r="R212" s="217"/>
      <c r="S212" s="217"/>
      <c r="T212" s="217"/>
      <c r="U212" s="217"/>
      <c r="V212" s="217"/>
      <c r="W212" s="217"/>
      <c r="X212" s="217"/>
      <c r="Y212" s="217"/>
      <c r="Z212" s="217"/>
    </row>
    <row r="213" ht="15.75" customHeight="1">
      <c r="A213" s="43"/>
      <c r="B213" s="43"/>
      <c r="C213" s="43"/>
      <c r="D213" s="117"/>
      <c r="E213" s="43"/>
      <c r="F213" s="43"/>
      <c r="G213" s="43"/>
      <c r="H213" s="43"/>
      <c r="I213" s="43"/>
      <c r="J213" s="43"/>
      <c r="K213" s="43"/>
      <c r="L213" s="43"/>
      <c r="M213" s="43"/>
      <c r="N213" s="43"/>
      <c r="O213" s="43"/>
      <c r="P213" s="217"/>
      <c r="Q213" s="217"/>
      <c r="R213" s="217"/>
      <c r="S213" s="217"/>
      <c r="T213" s="217"/>
      <c r="U213" s="217"/>
      <c r="V213" s="217"/>
      <c r="W213" s="217"/>
      <c r="X213" s="217"/>
      <c r="Y213" s="217"/>
      <c r="Z213" s="217"/>
    </row>
    <row r="214" ht="15.75" customHeight="1">
      <c r="A214" s="43"/>
      <c r="B214" s="43"/>
      <c r="C214" s="43"/>
      <c r="D214" s="117"/>
      <c r="E214" s="43"/>
      <c r="F214" s="43"/>
      <c r="G214" s="43"/>
      <c r="H214" s="43"/>
      <c r="I214" s="43"/>
      <c r="J214" s="43"/>
      <c r="K214" s="43"/>
      <c r="L214" s="43"/>
      <c r="M214" s="43"/>
      <c r="N214" s="43"/>
      <c r="O214" s="43"/>
      <c r="P214" s="217"/>
      <c r="Q214" s="217"/>
      <c r="R214" s="217"/>
      <c r="S214" s="217"/>
      <c r="T214" s="217"/>
      <c r="U214" s="217"/>
      <c r="V214" s="217"/>
      <c r="W214" s="217"/>
      <c r="X214" s="217"/>
      <c r="Y214" s="217"/>
      <c r="Z214" s="217"/>
    </row>
    <row r="215" ht="15.75" customHeight="1">
      <c r="A215" s="43"/>
      <c r="B215" s="43"/>
      <c r="C215" s="43"/>
      <c r="D215" s="117"/>
      <c r="E215" s="43"/>
      <c r="F215" s="43"/>
      <c r="G215" s="43"/>
      <c r="H215" s="43"/>
      <c r="I215" s="43"/>
      <c r="J215" s="43"/>
      <c r="K215" s="43"/>
      <c r="L215" s="43"/>
      <c r="M215" s="43"/>
      <c r="N215" s="43"/>
      <c r="O215" s="43"/>
      <c r="P215" s="217"/>
      <c r="Q215" s="217"/>
      <c r="R215" s="217"/>
      <c r="S215" s="217"/>
      <c r="T215" s="217"/>
      <c r="U215" s="217"/>
      <c r="V215" s="217"/>
      <c r="W215" s="217"/>
      <c r="X215" s="217"/>
      <c r="Y215" s="217"/>
      <c r="Z215" s="217"/>
    </row>
    <row r="216" ht="15.75" customHeight="1">
      <c r="A216" s="43"/>
      <c r="B216" s="43"/>
      <c r="C216" s="43"/>
      <c r="D216" s="117"/>
      <c r="E216" s="43"/>
      <c r="F216" s="43"/>
      <c r="G216" s="43"/>
      <c r="H216" s="43"/>
      <c r="I216" s="43"/>
      <c r="J216" s="43"/>
      <c r="K216" s="43"/>
      <c r="L216" s="43"/>
      <c r="M216" s="43"/>
      <c r="N216" s="43"/>
      <c r="O216" s="43"/>
      <c r="P216" s="217"/>
      <c r="Q216" s="217"/>
      <c r="R216" s="217"/>
      <c r="S216" s="217"/>
      <c r="T216" s="217"/>
      <c r="U216" s="217"/>
      <c r="V216" s="217"/>
      <c r="W216" s="217"/>
      <c r="X216" s="217"/>
      <c r="Y216" s="217"/>
      <c r="Z216" s="217"/>
    </row>
    <row r="217" ht="15.75" customHeight="1">
      <c r="A217" s="43"/>
      <c r="B217" s="43"/>
      <c r="C217" s="43"/>
      <c r="D217" s="117"/>
      <c r="E217" s="43"/>
      <c r="F217" s="43"/>
      <c r="G217" s="43"/>
      <c r="H217" s="43"/>
      <c r="I217" s="43"/>
      <c r="J217" s="43"/>
      <c r="K217" s="43"/>
      <c r="L217" s="43"/>
      <c r="M217" s="43"/>
      <c r="N217" s="43"/>
      <c r="O217" s="43"/>
      <c r="P217" s="217"/>
      <c r="Q217" s="217"/>
      <c r="R217" s="217"/>
      <c r="S217" s="217"/>
      <c r="T217" s="217"/>
      <c r="U217" s="217"/>
      <c r="V217" s="217"/>
      <c r="W217" s="217"/>
      <c r="X217" s="217"/>
      <c r="Y217" s="217"/>
      <c r="Z217" s="217"/>
    </row>
    <row r="218" ht="15.75" customHeight="1">
      <c r="A218" s="43"/>
      <c r="B218" s="43"/>
      <c r="C218" s="43"/>
      <c r="D218" s="117"/>
      <c r="E218" s="43"/>
      <c r="F218" s="43"/>
      <c r="G218" s="43"/>
      <c r="H218" s="43"/>
      <c r="I218" s="43"/>
      <c r="J218" s="43"/>
      <c r="K218" s="43"/>
      <c r="L218" s="43"/>
      <c r="M218" s="43"/>
      <c r="N218" s="43"/>
      <c r="O218" s="43"/>
      <c r="P218" s="217"/>
      <c r="Q218" s="217"/>
      <c r="R218" s="217"/>
      <c r="S218" s="217"/>
      <c r="T218" s="217"/>
      <c r="U218" s="217"/>
      <c r="V218" s="217"/>
      <c r="W218" s="217"/>
      <c r="X218" s="217"/>
      <c r="Y218" s="217"/>
      <c r="Z218" s="217"/>
    </row>
    <row r="219" ht="15.75" customHeight="1">
      <c r="A219" s="43"/>
      <c r="B219" s="43"/>
      <c r="C219" s="43"/>
      <c r="D219" s="117"/>
      <c r="E219" s="43"/>
      <c r="F219" s="43"/>
      <c r="G219" s="43"/>
      <c r="H219" s="43"/>
      <c r="I219" s="43"/>
      <c r="J219" s="43"/>
      <c r="K219" s="43"/>
      <c r="L219" s="43"/>
      <c r="M219" s="43"/>
      <c r="N219" s="43"/>
      <c r="O219" s="43"/>
      <c r="P219" s="217"/>
      <c r="Q219" s="217"/>
      <c r="R219" s="217"/>
      <c r="S219" s="217"/>
      <c r="T219" s="217"/>
      <c r="U219" s="217"/>
      <c r="V219" s="217"/>
      <c r="W219" s="217"/>
      <c r="X219" s="217"/>
      <c r="Y219" s="217"/>
      <c r="Z219" s="217"/>
    </row>
    <row r="220" ht="15.75" customHeight="1">
      <c r="A220" s="43"/>
      <c r="B220" s="43"/>
      <c r="C220" s="43"/>
      <c r="D220" s="117"/>
      <c r="E220" s="43"/>
      <c r="F220" s="43"/>
      <c r="G220" s="43"/>
      <c r="H220" s="43"/>
      <c r="I220" s="43"/>
      <c r="J220" s="43"/>
      <c r="K220" s="43"/>
      <c r="L220" s="43"/>
      <c r="M220" s="43"/>
      <c r="N220" s="43"/>
      <c r="O220" s="43"/>
      <c r="P220" s="217"/>
      <c r="Q220" s="217"/>
      <c r="R220" s="217"/>
      <c r="S220" s="217"/>
      <c r="T220" s="217"/>
      <c r="U220" s="217"/>
      <c r="V220" s="217"/>
      <c r="W220" s="217"/>
      <c r="X220" s="217"/>
      <c r="Y220" s="217"/>
      <c r="Z220" s="217"/>
    </row>
    <row r="221" ht="15.75" customHeight="1">
      <c r="A221" s="43"/>
      <c r="B221" s="43"/>
      <c r="C221" s="43"/>
      <c r="D221" s="117"/>
      <c r="E221" s="43"/>
      <c r="F221" s="43"/>
      <c r="G221" s="43"/>
      <c r="H221" s="43"/>
      <c r="I221" s="43"/>
      <c r="J221" s="43"/>
      <c r="K221" s="43"/>
      <c r="L221" s="43"/>
      <c r="M221" s="43"/>
      <c r="N221" s="43"/>
      <c r="O221" s="43"/>
      <c r="P221" s="217"/>
      <c r="Q221" s="217"/>
      <c r="R221" s="217"/>
      <c r="S221" s="217"/>
      <c r="T221" s="217"/>
      <c r="U221" s="217"/>
      <c r="V221" s="217"/>
      <c r="W221" s="217"/>
      <c r="X221" s="217"/>
      <c r="Y221" s="217"/>
      <c r="Z221" s="217"/>
    </row>
    <row r="222" ht="15.75" customHeight="1">
      <c r="A222" s="43"/>
      <c r="B222" s="43"/>
      <c r="C222" s="43"/>
      <c r="D222" s="117"/>
      <c r="E222" s="43"/>
      <c r="F222" s="43"/>
      <c r="G222" s="43"/>
      <c r="H222" s="43"/>
      <c r="I222" s="43"/>
      <c r="J222" s="43"/>
      <c r="K222" s="43"/>
      <c r="L222" s="43"/>
      <c r="M222" s="43"/>
      <c r="N222" s="43"/>
      <c r="O222" s="43"/>
      <c r="P222" s="217"/>
      <c r="Q222" s="217"/>
      <c r="R222" s="217"/>
      <c r="S222" s="217"/>
      <c r="T222" s="217"/>
      <c r="U222" s="217"/>
      <c r="V222" s="217"/>
      <c r="W222" s="217"/>
      <c r="X222" s="217"/>
      <c r="Y222" s="217"/>
      <c r="Z222" s="217"/>
    </row>
    <row r="223" ht="15.75" customHeight="1">
      <c r="A223" s="217"/>
      <c r="B223" s="217"/>
      <c r="C223" s="217"/>
      <c r="D223" s="269"/>
      <c r="E223" s="217"/>
      <c r="F223" s="217"/>
      <c r="G223" s="217"/>
      <c r="H223" s="217"/>
      <c r="I223" s="217"/>
      <c r="J223" s="217"/>
      <c r="K223" s="217"/>
      <c r="L223" s="217"/>
      <c r="M223" s="217"/>
      <c r="N223" s="217"/>
      <c r="O223" s="217"/>
      <c r="P223" s="217"/>
      <c r="Q223" s="217"/>
      <c r="R223" s="217"/>
      <c r="S223" s="217"/>
      <c r="T223" s="217"/>
      <c r="U223" s="217"/>
      <c r="V223" s="217"/>
      <c r="W223" s="217"/>
      <c r="X223" s="217"/>
      <c r="Y223" s="217"/>
      <c r="Z223" s="217"/>
    </row>
    <row r="224" ht="15.75" customHeight="1">
      <c r="A224" s="217"/>
      <c r="B224" s="217"/>
      <c r="C224" s="217"/>
      <c r="D224" s="217"/>
      <c r="E224" s="217"/>
      <c r="F224" s="217"/>
      <c r="G224" s="217"/>
      <c r="H224" s="217"/>
      <c r="I224" s="217"/>
      <c r="J224" s="217"/>
      <c r="K224" s="217"/>
      <c r="L224" s="217"/>
      <c r="M224" s="217"/>
      <c r="N224" s="217"/>
      <c r="O224" s="217"/>
      <c r="P224" s="217"/>
      <c r="Q224" s="217"/>
      <c r="R224" s="217"/>
      <c r="S224" s="217"/>
      <c r="T224" s="217"/>
      <c r="U224" s="217"/>
      <c r="V224" s="217"/>
      <c r="W224" s="217"/>
      <c r="X224" s="217"/>
      <c r="Y224" s="217"/>
      <c r="Z224" s="217"/>
    </row>
    <row r="225" ht="15.75" customHeight="1">
      <c r="A225" s="217"/>
      <c r="B225" s="217"/>
      <c r="C225" s="217"/>
      <c r="D225" s="217"/>
      <c r="E225" s="217"/>
      <c r="F225" s="217"/>
      <c r="G225" s="217"/>
      <c r="H225" s="217"/>
      <c r="I225" s="217"/>
      <c r="J225" s="217"/>
      <c r="K225" s="217"/>
      <c r="L225" s="217"/>
      <c r="M225" s="217"/>
      <c r="N225" s="217"/>
      <c r="O225" s="217"/>
      <c r="P225" s="217"/>
      <c r="Q225" s="217"/>
      <c r="R225" s="217"/>
      <c r="S225" s="217"/>
      <c r="T225" s="217"/>
      <c r="U225" s="217"/>
      <c r="V225" s="217"/>
      <c r="W225" s="217"/>
      <c r="X225" s="217"/>
      <c r="Y225" s="217"/>
      <c r="Z225" s="217"/>
    </row>
    <row r="226" ht="15.75" customHeight="1">
      <c r="A226" s="217"/>
      <c r="B226" s="217"/>
      <c r="C226" s="217"/>
      <c r="D226" s="217"/>
      <c r="E226" s="217"/>
      <c r="F226" s="217"/>
      <c r="G226" s="217"/>
      <c r="H226" s="217"/>
      <c r="I226" s="217"/>
      <c r="J226" s="217"/>
      <c r="K226" s="217"/>
      <c r="L226" s="217"/>
      <c r="M226" s="217"/>
      <c r="N226" s="217"/>
      <c r="O226" s="217"/>
      <c r="P226" s="217"/>
      <c r="Q226" s="217"/>
      <c r="R226" s="217"/>
      <c r="S226" s="217"/>
      <c r="T226" s="217"/>
      <c r="U226" s="217"/>
      <c r="V226" s="217"/>
      <c r="W226" s="217"/>
      <c r="X226" s="217"/>
      <c r="Y226" s="217"/>
      <c r="Z226" s="217"/>
    </row>
    <row r="227" ht="15.75" customHeight="1">
      <c r="A227" s="217"/>
      <c r="B227" s="217"/>
      <c r="C227" s="217"/>
      <c r="D227" s="217"/>
      <c r="E227" s="217"/>
      <c r="F227" s="217"/>
      <c r="G227" s="217"/>
      <c r="H227" s="217"/>
      <c r="I227" s="217"/>
      <c r="J227" s="217"/>
      <c r="K227" s="217"/>
      <c r="L227" s="217"/>
      <c r="M227" s="217"/>
      <c r="N227" s="217"/>
      <c r="O227" s="217"/>
      <c r="P227" s="217"/>
      <c r="Q227" s="217"/>
      <c r="R227" s="217"/>
      <c r="S227" s="217"/>
      <c r="T227" s="217"/>
      <c r="U227" s="217"/>
      <c r="V227" s="217"/>
      <c r="W227" s="217"/>
      <c r="X227" s="217"/>
      <c r="Y227" s="217"/>
      <c r="Z227" s="217"/>
    </row>
    <row r="228" ht="15.75" customHeight="1">
      <c r="A228" s="217"/>
      <c r="B228" s="217"/>
      <c r="C228" s="217"/>
      <c r="D228" s="217"/>
      <c r="E228" s="217"/>
      <c r="F228" s="217"/>
      <c r="G228" s="217"/>
      <c r="H228" s="217"/>
      <c r="I228" s="217"/>
      <c r="J228" s="217"/>
      <c r="K228" s="217"/>
      <c r="L228" s="217"/>
      <c r="M228" s="217"/>
      <c r="N228" s="217"/>
      <c r="O228" s="217"/>
      <c r="P228" s="217"/>
      <c r="Q228" s="217"/>
      <c r="R228" s="217"/>
      <c r="S228" s="217"/>
      <c r="T228" s="217"/>
      <c r="U228" s="217"/>
      <c r="V228" s="217"/>
      <c r="W228" s="217"/>
      <c r="X228" s="217"/>
      <c r="Y228" s="217"/>
      <c r="Z228" s="217"/>
    </row>
    <row r="229" ht="15.75" customHeight="1">
      <c r="A229" s="217"/>
      <c r="B229" s="217"/>
      <c r="C229" s="217"/>
      <c r="D229" s="217"/>
      <c r="E229" s="217"/>
      <c r="F229" s="217"/>
      <c r="G229" s="217"/>
      <c r="H229" s="217"/>
      <c r="I229" s="217"/>
      <c r="J229" s="217"/>
      <c r="K229" s="217"/>
      <c r="L229" s="217"/>
      <c r="M229" s="217"/>
      <c r="N229" s="217"/>
      <c r="O229" s="217"/>
      <c r="P229" s="217"/>
      <c r="Q229" s="217"/>
      <c r="R229" s="217"/>
      <c r="S229" s="217"/>
      <c r="T229" s="217"/>
      <c r="U229" s="217"/>
      <c r="V229" s="217"/>
      <c r="W229" s="217"/>
      <c r="X229" s="217"/>
      <c r="Y229" s="217"/>
      <c r="Z229" s="217"/>
    </row>
    <row r="230" ht="15.75" customHeight="1">
      <c r="A230" s="217"/>
      <c r="B230" s="217"/>
      <c r="C230" s="217"/>
      <c r="D230" s="217"/>
      <c r="E230" s="217"/>
      <c r="F230" s="217"/>
      <c r="G230" s="217"/>
      <c r="H230" s="217"/>
      <c r="I230" s="217"/>
      <c r="J230" s="217"/>
      <c r="K230" s="217"/>
      <c r="L230" s="217"/>
      <c r="M230" s="217"/>
      <c r="N230" s="217"/>
      <c r="O230" s="217"/>
      <c r="P230" s="217"/>
      <c r="Q230" s="217"/>
      <c r="R230" s="217"/>
      <c r="S230" s="217"/>
      <c r="T230" s="217"/>
      <c r="U230" s="217"/>
      <c r="V230" s="217"/>
      <c r="W230" s="217"/>
      <c r="X230" s="217"/>
      <c r="Y230" s="217"/>
      <c r="Z230" s="217"/>
    </row>
    <row r="231" ht="15.75" customHeight="1">
      <c r="A231" s="217"/>
      <c r="B231" s="217"/>
      <c r="C231" s="217"/>
      <c r="D231" s="217"/>
      <c r="E231" s="217"/>
      <c r="F231" s="217"/>
      <c r="G231" s="217"/>
      <c r="H231" s="217"/>
      <c r="I231" s="217"/>
      <c r="J231" s="217"/>
      <c r="K231" s="217"/>
      <c r="L231" s="217"/>
      <c r="M231" s="217"/>
      <c r="N231" s="217"/>
      <c r="O231" s="217"/>
      <c r="P231" s="217"/>
      <c r="Q231" s="217"/>
      <c r="R231" s="217"/>
      <c r="S231" s="217"/>
      <c r="T231" s="217"/>
      <c r="U231" s="217"/>
      <c r="V231" s="217"/>
      <c r="W231" s="217"/>
      <c r="X231" s="217"/>
      <c r="Y231" s="217"/>
      <c r="Z231" s="217"/>
    </row>
    <row r="232" ht="15.75" customHeight="1">
      <c r="A232" s="217"/>
      <c r="B232" s="217"/>
      <c r="C232" s="217"/>
      <c r="D232" s="217"/>
      <c r="E232" s="217"/>
      <c r="F232" s="217"/>
      <c r="G232" s="217"/>
      <c r="H232" s="217"/>
      <c r="I232" s="217"/>
      <c r="J232" s="217"/>
      <c r="K232" s="217"/>
      <c r="L232" s="217"/>
      <c r="M232" s="217"/>
      <c r="N232" s="217"/>
      <c r="O232" s="217"/>
      <c r="P232" s="217"/>
      <c r="Q232" s="217"/>
      <c r="R232" s="217"/>
      <c r="S232" s="217"/>
      <c r="T232" s="217"/>
      <c r="U232" s="217"/>
      <c r="V232" s="217"/>
      <c r="W232" s="217"/>
      <c r="X232" s="217"/>
      <c r="Y232" s="217"/>
      <c r="Z232" s="217"/>
    </row>
    <row r="233" ht="15.75" customHeight="1">
      <c r="A233" s="217"/>
      <c r="B233" s="217"/>
      <c r="C233" s="217"/>
      <c r="D233" s="217"/>
      <c r="E233" s="217"/>
      <c r="F233" s="217"/>
      <c r="G233" s="217"/>
      <c r="H233" s="217"/>
      <c r="I233" s="217"/>
      <c r="J233" s="217"/>
      <c r="K233" s="217"/>
      <c r="L233" s="217"/>
      <c r="M233" s="217"/>
      <c r="N233" s="217"/>
      <c r="O233" s="217"/>
      <c r="P233" s="217"/>
      <c r="Q233" s="217"/>
      <c r="R233" s="217"/>
      <c r="S233" s="217"/>
      <c r="T233" s="217"/>
      <c r="U233" s="217"/>
      <c r="V233" s="217"/>
      <c r="W233" s="217"/>
      <c r="X233" s="217"/>
      <c r="Y233" s="217"/>
      <c r="Z233" s="217"/>
    </row>
    <row r="234" ht="15.75" customHeight="1">
      <c r="A234" s="217"/>
      <c r="B234" s="217"/>
      <c r="C234" s="217"/>
      <c r="D234" s="217"/>
      <c r="E234" s="217"/>
      <c r="F234" s="217"/>
      <c r="G234" s="217"/>
      <c r="H234" s="217"/>
      <c r="I234" s="217"/>
      <c r="J234" s="217"/>
      <c r="K234" s="217"/>
      <c r="L234" s="217"/>
      <c r="M234" s="217"/>
      <c r="N234" s="217"/>
      <c r="O234" s="217"/>
      <c r="P234" s="217"/>
      <c r="Q234" s="217"/>
      <c r="R234" s="217"/>
      <c r="S234" s="217"/>
      <c r="T234" s="217"/>
      <c r="U234" s="217"/>
      <c r="V234" s="217"/>
      <c r="W234" s="217"/>
      <c r="X234" s="217"/>
      <c r="Y234" s="217"/>
      <c r="Z234" s="217"/>
    </row>
    <row r="235" ht="15.75" customHeight="1">
      <c r="A235" s="217"/>
      <c r="B235" s="217"/>
      <c r="C235" s="217"/>
      <c r="D235" s="217"/>
      <c r="E235" s="217"/>
      <c r="F235" s="217"/>
      <c r="G235" s="217"/>
      <c r="H235" s="217"/>
      <c r="I235" s="217"/>
      <c r="J235" s="217"/>
      <c r="K235" s="217"/>
      <c r="L235" s="217"/>
      <c r="M235" s="217"/>
      <c r="N235" s="217"/>
      <c r="O235" s="217"/>
      <c r="P235" s="217"/>
      <c r="Q235" s="217"/>
      <c r="R235" s="217"/>
      <c r="S235" s="217"/>
      <c r="T235" s="217"/>
      <c r="U235" s="217"/>
      <c r="V235" s="217"/>
      <c r="W235" s="217"/>
      <c r="X235" s="217"/>
      <c r="Y235" s="217"/>
      <c r="Z235" s="217"/>
    </row>
    <row r="236" ht="15.75" customHeight="1">
      <c r="A236" s="217"/>
      <c r="B236" s="217"/>
      <c r="C236" s="217"/>
      <c r="D236" s="217"/>
      <c r="E236" s="217"/>
      <c r="F236" s="217"/>
      <c r="G236" s="217"/>
      <c r="H236" s="217"/>
      <c r="I236" s="217"/>
      <c r="J236" s="217"/>
      <c r="K236" s="217"/>
      <c r="L236" s="217"/>
      <c r="M236" s="217"/>
      <c r="N236" s="217"/>
      <c r="O236" s="217"/>
      <c r="P236" s="217"/>
      <c r="Q236" s="217"/>
      <c r="R236" s="217"/>
      <c r="S236" s="217"/>
      <c r="T236" s="217"/>
      <c r="U236" s="217"/>
      <c r="V236" s="217"/>
      <c r="W236" s="217"/>
      <c r="X236" s="217"/>
      <c r="Y236" s="217"/>
      <c r="Z236" s="217"/>
    </row>
    <row r="237" ht="15.75" customHeight="1">
      <c r="A237" s="217"/>
      <c r="B237" s="217"/>
      <c r="C237" s="217"/>
      <c r="D237" s="217"/>
      <c r="E237" s="217"/>
      <c r="F237" s="217"/>
      <c r="G237" s="217"/>
      <c r="H237" s="217"/>
      <c r="I237" s="217"/>
      <c r="J237" s="217"/>
      <c r="K237" s="217"/>
      <c r="L237" s="217"/>
      <c r="M237" s="217"/>
      <c r="N237" s="217"/>
      <c r="O237" s="217"/>
      <c r="P237" s="217"/>
      <c r="Q237" s="217"/>
      <c r="R237" s="217"/>
      <c r="S237" s="217"/>
      <c r="T237" s="217"/>
      <c r="U237" s="217"/>
      <c r="V237" s="217"/>
      <c r="W237" s="217"/>
      <c r="X237" s="217"/>
      <c r="Y237" s="217"/>
      <c r="Z237" s="217"/>
    </row>
    <row r="238" ht="15.75" customHeight="1">
      <c r="A238" s="217"/>
      <c r="B238" s="217"/>
      <c r="C238" s="217"/>
      <c r="D238" s="217"/>
      <c r="E238" s="217"/>
      <c r="F238" s="217"/>
      <c r="G238" s="217"/>
      <c r="H238" s="217"/>
      <c r="I238" s="217"/>
      <c r="J238" s="217"/>
      <c r="K238" s="217"/>
      <c r="L238" s="217"/>
      <c r="M238" s="217"/>
      <c r="N238" s="217"/>
      <c r="O238" s="217"/>
      <c r="P238" s="217"/>
      <c r="Q238" s="217"/>
      <c r="R238" s="217"/>
      <c r="S238" s="217"/>
      <c r="T238" s="217"/>
      <c r="U238" s="217"/>
      <c r="V238" s="217"/>
      <c r="W238" s="217"/>
      <c r="X238" s="217"/>
      <c r="Y238" s="217"/>
      <c r="Z238" s="217"/>
    </row>
    <row r="239" ht="15.75" customHeight="1">
      <c r="A239" s="217"/>
      <c r="B239" s="217"/>
      <c r="C239" s="217"/>
      <c r="D239" s="217"/>
      <c r="E239" s="217"/>
      <c r="F239" s="217"/>
      <c r="G239" s="217"/>
      <c r="H239" s="217"/>
      <c r="I239" s="217"/>
      <c r="J239" s="217"/>
      <c r="K239" s="217"/>
      <c r="L239" s="217"/>
      <c r="M239" s="217"/>
      <c r="N239" s="217"/>
      <c r="O239" s="217"/>
      <c r="P239" s="217"/>
      <c r="Q239" s="217"/>
      <c r="R239" s="217"/>
      <c r="S239" s="217"/>
      <c r="T239" s="217"/>
      <c r="U239" s="217"/>
      <c r="V239" s="217"/>
      <c r="W239" s="217"/>
      <c r="X239" s="217"/>
      <c r="Y239" s="217"/>
      <c r="Z239" s="217"/>
    </row>
    <row r="240" ht="15.75" customHeight="1">
      <c r="A240" s="217"/>
      <c r="B240" s="217"/>
      <c r="C240" s="217"/>
      <c r="D240" s="217"/>
      <c r="E240" s="217"/>
      <c r="F240" s="217"/>
      <c r="G240" s="217"/>
      <c r="H240" s="217"/>
      <c r="I240" s="217"/>
      <c r="J240" s="217"/>
      <c r="K240" s="217"/>
      <c r="L240" s="217"/>
      <c r="M240" s="217"/>
      <c r="N240" s="217"/>
      <c r="O240" s="217"/>
      <c r="P240" s="217"/>
      <c r="Q240" s="217"/>
      <c r="R240" s="217"/>
      <c r="S240" s="217"/>
      <c r="T240" s="217"/>
      <c r="U240" s="217"/>
      <c r="V240" s="217"/>
      <c r="W240" s="217"/>
      <c r="X240" s="217"/>
      <c r="Y240" s="217"/>
      <c r="Z240" s="217"/>
    </row>
    <row r="241" ht="15.75" customHeight="1">
      <c r="A241" s="217"/>
      <c r="B241" s="217"/>
      <c r="C241" s="217"/>
      <c r="D241" s="217"/>
      <c r="E241" s="217"/>
      <c r="F241" s="217"/>
      <c r="G241" s="217"/>
      <c r="H241" s="217"/>
      <c r="I241" s="217"/>
      <c r="J241" s="217"/>
      <c r="K241" s="217"/>
      <c r="L241" s="217"/>
      <c r="M241" s="217"/>
      <c r="N241" s="217"/>
      <c r="O241" s="217"/>
      <c r="P241" s="217"/>
      <c r="Q241" s="217"/>
      <c r="R241" s="217"/>
      <c r="S241" s="217"/>
      <c r="T241" s="217"/>
      <c r="U241" s="217"/>
      <c r="V241" s="217"/>
      <c r="W241" s="217"/>
      <c r="X241" s="217"/>
      <c r="Y241" s="217"/>
      <c r="Z241" s="217"/>
    </row>
    <row r="242" ht="15.75" customHeight="1">
      <c r="A242" s="217"/>
      <c r="B242" s="217"/>
      <c r="C242" s="217"/>
      <c r="D242" s="217"/>
      <c r="E242" s="217"/>
      <c r="F242" s="217"/>
      <c r="G242" s="217"/>
      <c r="H242" s="217"/>
      <c r="I242" s="217"/>
      <c r="J242" s="217"/>
      <c r="K242" s="217"/>
      <c r="L242" s="217"/>
      <c r="M242" s="217"/>
      <c r="N242" s="217"/>
      <c r="O242" s="217"/>
      <c r="P242" s="217"/>
      <c r="Q242" s="217"/>
      <c r="R242" s="217"/>
      <c r="S242" s="217"/>
      <c r="T242" s="217"/>
      <c r="U242" s="217"/>
      <c r="V242" s="217"/>
      <c r="W242" s="217"/>
      <c r="X242" s="217"/>
      <c r="Y242" s="217"/>
      <c r="Z242" s="217"/>
    </row>
    <row r="243" ht="15.75" customHeight="1">
      <c r="A243" s="217"/>
      <c r="B243" s="217"/>
      <c r="C243" s="217"/>
      <c r="D243" s="217"/>
      <c r="E243" s="217"/>
      <c r="F243" s="217"/>
      <c r="G243" s="217"/>
      <c r="H243" s="217"/>
      <c r="I243" s="217"/>
      <c r="J243" s="217"/>
      <c r="K243" s="217"/>
      <c r="L243" s="217"/>
      <c r="M243" s="217"/>
      <c r="N243" s="217"/>
      <c r="O243" s="217"/>
      <c r="P243" s="217"/>
      <c r="Q243" s="217"/>
      <c r="R243" s="217"/>
      <c r="S243" s="217"/>
      <c r="T243" s="217"/>
      <c r="U243" s="217"/>
      <c r="V243" s="217"/>
      <c r="W243" s="217"/>
      <c r="X243" s="217"/>
      <c r="Y243" s="217"/>
      <c r="Z243" s="217"/>
    </row>
    <row r="244" ht="15.75" customHeight="1">
      <c r="A244" s="217"/>
      <c r="B244" s="217"/>
      <c r="C244" s="217"/>
      <c r="D244" s="217"/>
      <c r="E244" s="217"/>
      <c r="F244" s="217"/>
      <c r="G244" s="217"/>
      <c r="H244" s="217"/>
      <c r="I244" s="217"/>
      <c r="J244" s="217"/>
      <c r="K244" s="217"/>
      <c r="L244" s="217"/>
      <c r="M244" s="217"/>
      <c r="N244" s="217"/>
      <c r="O244" s="217"/>
      <c r="P244" s="217"/>
      <c r="Q244" s="217"/>
      <c r="R244" s="217"/>
      <c r="S244" s="217"/>
      <c r="T244" s="217"/>
      <c r="U244" s="217"/>
      <c r="V244" s="217"/>
      <c r="W244" s="217"/>
      <c r="X244" s="217"/>
      <c r="Y244" s="217"/>
      <c r="Z244" s="217"/>
    </row>
    <row r="245" ht="15.75" customHeight="1">
      <c r="A245" s="217"/>
      <c r="B245" s="217"/>
      <c r="C245" s="217"/>
      <c r="D245" s="217"/>
      <c r="E245" s="217"/>
      <c r="F245" s="217"/>
      <c r="G245" s="217"/>
      <c r="H245" s="217"/>
      <c r="I245" s="217"/>
      <c r="J245" s="217"/>
      <c r="K245" s="217"/>
      <c r="L245" s="217"/>
      <c r="M245" s="217"/>
      <c r="N245" s="217"/>
      <c r="O245" s="217"/>
      <c r="P245" s="217"/>
      <c r="Q245" s="217"/>
      <c r="R245" s="217"/>
      <c r="S245" s="217"/>
      <c r="T245" s="217"/>
      <c r="U245" s="217"/>
      <c r="V245" s="217"/>
      <c r="W245" s="217"/>
      <c r="X245" s="217"/>
      <c r="Y245" s="217"/>
      <c r="Z245" s="217"/>
    </row>
    <row r="246" ht="15.75" customHeight="1">
      <c r="A246" s="217"/>
      <c r="B246" s="217"/>
      <c r="C246" s="217"/>
      <c r="D246" s="217"/>
      <c r="E246" s="217"/>
      <c r="F246" s="217"/>
      <c r="G246" s="217"/>
      <c r="H246" s="217"/>
      <c r="I246" s="217"/>
      <c r="J246" s="217"/>
      <c r="K246" s="217"/>
      <c r="L246" s="217"/>
      <c r="M246" s="217"/>
      <c r="N246" s="217"/>
      <c r="O246" s="217"/>
      <c r="P246" s="217"/>
      <c r="Q246" s="217"/>
      <c r="R246" s="217"/>
      <c r="S246" s="217"/>
      <c r="T246" s="217"/>
      <c r="U246" s="217"/>
      <c r="V246" s="217"/>
      <c r="W246" s="217"/>
      <c r="X246" s="217"/>
      <c r="Y246" s="217"/>
      <c r="Z246" s="217"/>
    </row>
    <row r="247" ht="15.75" customHeight="1">
      <c r="A247" s="217"/>
      <c r="B247" s="217"/>
      <c r="C247" s="217"/>
      <c r="D247" s="217"/>
      <c r="E247" s="217"/>
      <c r="F247" s="217"/>
      <c r="G247" s="217"/>
      <c r="H247" s="217"/>
      <c r="I247" s="217"/>
      <c r="J247" s="217"/>
      <c r="K247" s="217"/>
      <c r="L247" s="217"/>
      <c r="M247" s="217"/>
      <c r="N247" s="217"/>
      <c r="O247" s="217"/>
      <c r="P247" s="217"/>
      <c r="Q247" s="217"/>
      <c r="R247" s="217"/>
      <c r="S247" s="217"/>
      <c r="T247" s="217"/>
      <c r="U247" s="217"/>
      <c r="V247" s="217"/>
      <c r="W247" s="217"/>
      <c r="X247" s="217"/>
      <c r="Y247" s="217"/>
      <c r="Z247" s="217"/>
    </row>
    <row r="248" ht="15.75" customHeight="1">
      <c r="A248" s="217"/>
      <c r="B248" s="217"/>
      <c r="C248" s="217"/>
      <c r="D248" s="217"/>
      <c r="E248" s="217"/>
      <c r="F248" s="217"/>
      <c r="G248" s="217"/>
      <c r="H248" s="217"/>
      <c r="I248" s="217"/>
      <c r="J248" s="217"/>
      <c r="K248" s="217"/>
      <c r="L248" s="217"/>
      <c r="M248" s="217"/>
      <c r="N248" s="217"/>
      <c r="O248" s="217"/>
      <c r="P248" s="217"/>
      <c r="Q248" s="217"/>
      <c r="R248" s="217"/>
      <c r="S248" s="217"/>
      <c r="T248" s="217"/>
      <c r="U248" s="217"/>
      <c r="V248" s="217"/>
      <c r="W248" s="217"/>
      <c r="X248" s="217"/>
      <c r="Y248" s="217"/>
      <c r="Z248" s="217"/>
    </row>
    <row r="249" ht="15.75" customHeight="1">
      <c r="A249" s="217"/>
      <c r="B249" s="217"/>
      <c r="C249" s="217"/>
      <c r="D249" s="217"/>
      <c r="E249" s="217"/>
      <c r="F249" s="217"/>
      <c r="G249" s="217"/>
      <c r="H249" s="217"/>
      <c r="I249" s="217"/>
      <c r="J249" s="217"/>
      <c r="K249" s="217"/>
      <c r="L249" s="217"/>
      <c r="M249" s="217"/>
      <c r="N249" s="217"/>
      <c r="O249" s="217"/>
      <c r="P249" s="217"/>
      <c r="Q249" s="217"/>
      <c r="R249" s="217"/>
      <c r="S249" s="217"/>
      <c r="T249" s="217"/>
      <c r="U249" s="217"/>
      <c r="V249" s="217"/>
      <c r="W249" s="217"/>
      <c r="X249" s="217"/>
      <c r="Y249" s="217"/>
      <c r="Z249" s="217"/>
    </row>
    <row r="250" ht="15.75" customHeight="1">
      <c r="A250" s="217"/>
      <c r="B250" s="217"/>
      <c r="C250" s="217"/>
      <c r="D250" s="217"/>
      <c r="E250" s="217"/>
      <c r="F250" s="217"/>
      <c r="G250" s="217"/>
      <c r="H250" s="217"/>
      <c r="I250" s="217"/>
      <c r="J250" s="217"/>
      <c r="K250" s="217"/>
      <c r="L250" s="217"/>
      <c r="M250" s="217"/>
      <c r="N250" s="217"/>
      <c r="O250" s="217"/>
      <c r="P250" s="217"/>
      <c r="Q250" s="217"/>
      <c r="R250" s="217"/>
      <c r="S250" s="217"/>
      <c r="T250" s="217"/>
      <c r="U250" s="217"/>
      <c r="V250" s="217"/>
      <c r="W250" s="217"/>
      <c r="X250" s="217"/>
      <c r="Y250" s="217"/>
      <c r="Z250" s="217"/>
    </row>
    <row r="251" ht="15.75" customHeight="1">
      <c r="A251" s="217"/>
      <c r="B251" s="217"/>
      <c r="C251" s="217"/>
      <c r="D251" s="217"/>
      <c r="E251" s="217"/>
      <c r="F251" s="217"/>
      <c r="G251" s="217"/>
      <c r="H251" s="217"/>
      <c r="I251" s="217"/>
      <c r="J251" s="217"/>
      <c r="K251" s="217"/>
      <c r="L251" s="217"/>
      <c r="M251" s="217"/>
      <c r="N251" s="217"/>
      <c r="O251" s="217"/>
      <c r="P251" s="217"/>
      <c r="Q251" s="217"/>
      <c r="R251" s="217"/>
      <c r="S251" s="217"/>
      <c r="T251" s="217"/>
      <c r="U251" s="217"/>
      <c r="V251" s="217"/>
      <c r="W251" s="217"/>
      <c r="X251" s="217"/>
      <c r="Y251" s="217"/>
      <c r="Z251" s="217"/>
    </row>
    <row r="252" ht="15.75" customHeight="1">
      <c r="A252" s="217"/>
      <c r="B252" s="217"/>
      <c r="C252" s="217"/>
      <c r="D252" s="217"/>
      <c r="E252" s="217"/>
      <c r="F252" s="217"/>
      <c r="G252" s="217"/>
      <c r="H252" s="217"/>
      <c r="I252" s="217"/>
      <c r="J252" s="217"/>
      <c r="K252" s="217"/>
      <c r="L252" s="217"/>
      <c r="M252" s="217"/>
      <c r="N252" s="217"/>
      <c r="O252" s="217"/>
      <c r="P252" s="217"/>
      <c r="Q252" s="217"/>
      <c r="R252" s="217"/>
      <c r="S252" s="217"/>
      <c r="T252" s="217"/>
      <c r="U252" s="217"/>
      <c r="V252" s="217"/>
      <c r="W252" s="217"/>
      <c r="X252" s="217"/>
      <c r="Y252" s="217"/>
      <c r="Z252" s="217"/>
    </row>
    <row r="253" ht="15.75" customHeight="1">
      <c r="A253" s="217"/>
      <c r="B253" s="217"/>
      <c r="C253" s="217"/>
      <c r="D253" s="217"/>
      <c r="E253" s="217"/>
      <c r="F253" s="217"/>
      <c r="G253" s="217"/>
      <c r="H253" s="217"/>
      <c r="I253" s="217"/>
      <c r="J253" s="217"/>
      <c r="K253" s="217"/>
      <c r="L253" s="217"/>
      <c r="M253" s="217"/>
      <c r="N253" s="217"/>
      <c r="O253" s="217"/>
      <c r="P253" s="217"/>
      <c r="Q253" s="217"/>
      <c r="R253" s="217"/>
      <c r="S253" s="217"/>
      <c r="T253" s="217"/>
      <c r="U253" s="217"/>
      <c r="V253" s="217"/>
      <c r="W253" s="217"/>
      <c r="X253" s="217"/>
      <c r="Y253" s="217"/>
      <c r="Z253" s="217"/>
    </row>
    <row r="254" ht="15.75" customHeight="1">
      <c r="A254" s="217"/>
      <c r="B254" s="217"/>
      <c r="C254" s="217"/>
      <c r="D254" s="217"/>
      <c r="E254" s="217"/>
      <c r="F254" s="217"/>
      <c r="G254" s="217"/>
      <c r="H254" s="217"/>
      <c r="I254" s="217"/>
      <c r="J254" s="217"/>
      <c r="K254" s="217"/>
      <c r="L254" s="217"/>
      <c r="M254" s="217"/>
      <c r="N254" s="217"/>
      <c r="O254" s="217"/>
      <c r="P254" s="217"/>
      <c r="Q254" s="217"/>
      <c r="R254" s="217"/>
      <c r="S254" s="217"/>
      <c r="T254" s="217"/>
      <c r="U254" s="217"/>
      <c r="V254" s="217"/>
      <c r="W254" s="217"/>
      <c r="X254" s="217"/>
      <c r="Y254" s="217"/>
      <c r="Z254" s="217"/>
    </row>
    <row r="255" ht="15.75" customHeight="1">
      <c r="A255" s="217"/>
      <c r="B255" s="217"/>
      <c r="C255" s="217"/>
      <c r="D255" s="217"/>
      <c r="E255" s="217"/>
      <c r="F255" s="217"/>
      <c r="G255" s="217"/>
      <c r="H255" s="217"/>
      <c r="I255" s="217"/>
      <c r="J255" s="217"/>
      <c r="K255" s="217"/>
      <c r="L255" s="217"/>
      <c r="M255" s="217"/>
      <c r="N255" s="217"/>
      <c r="O255" s="217"/>
      <c r="P255" s="217"/>
      <c r="Q255" s="217"/>
      <c r="R255" s="217"/>
      <c r="S255" s="217"/>
      <c r="T255" s="217"/>
      <c r="U255" s="217"/>
      <c r="V255" s="217"/>
      <c r="W255" s="217"/>
      <c r="X255" s="217"/>
      <c r="Y255" s="217"/>
      <c r="Z255" s="217"/>
    </row>
    <row r="256" ht="15.75" customHeight="1">
      <c r="A256" s="217"/>
      <c r="B256" s="217"/>
      <c r="C256" s="217"/>
      <c r="D256" s="217"/>
      <c r="E256" s="217"/>
      <c r="F256" s="217"/>
      <c r="G256" s="217"/>
      <c r="H256" s="217"/>
      <c r="I256" s="217"/>
      <c r="J256" s="217"/>
      <c r="K256" s="217"/>
      <c r="L256" s="217"/>
      <c r="M256" s="217"/>
      <c r="N256" s="217"/>
      <c r="O256" s="217"/>
      <c r="P256" s="217"/>
      <c r="Q256" s="217"/>
      <c r="R256" s="217"/>
      <c r="S256" s="217"/>
      <c r="T256" s="217"/>
      <c r="U256" s="217"/>
      <c r="V256" s="217"/>
      <c r="W256" s="217"/>
      <c r="X256" s="217"/>
      <c r="Y256" s="217"/>
      <c r="Z256" s="217"/>
    </row>
    <row r="257" ht="15.75" customHeight="1">
      <c r="A257" s="217"/>
      <c r="B257" s="217"/>
      <c r="C257" s="217"/>
      <c r="D257" s="217"/>
      <c r="E257" s="217"/>
      <c r="F257" s="217"/>
      <c r="G257" s="217"/>
      <c r="H257" s="217"/>
      <c r="I257" s="217"/>
      <c r="J257" s="217"/>
      <c r="K257" s="217"/>
      <c r="L257" s="217"/>
      <c r="M257" s="217"/>
      <c r="N257" s="217"/>
      <c r="O257" s="217"/>
      <c r="P257" s="217"/>
      <c r="Q257" s="217"/>
      <c r="R257" s="217"/>
      <c r="S257" s="217"/>
      <c r="T257" s="217"/>
      <c r="U257" s="217"/>
      <c r="V257" s="217"/>
      <c r="W257" s="217"/>
      <c r="X257" s="217"/>
      <c r="Y257" s="217"/>
      <c r="Z257" s="217"/>
    </row>
    <row r="258" ht="15.75" customHeight="1">
      <c r="A258" s="217"/>
      <c r="B258" s="217"/>
      <c r="C258" s="217"/>
      <c r="D258" s="217"/>
      <c r="E258" s="217"/>
      <c r="F258" s="217"/>
      <c r="G258" s="217"/>
      <c r="H258" s="217"/>
      <c r="I258" s="217"/>
      <c r="J258" s="217"/>
      <c r="K258" s="217"/>
      <c r="L258" s="217"/>
      <c r="M258" s="217"/>
      <c r="N258" s="217"/>
      <c r="O258" s="217"/>
      <c r="P258" s="217"/>
      <c r="Q258" s="217"/>
      <c r="R258" s="217"/>
      <c r="S258" s="217"/>
      <c r="T258" s="217"/>
      <c r="U258" s="217"/>
      <c r="V258" s="217"/>
      <c r="W258" s="217"/>
      <c r="X258" s="217"/>
      <c r="Y258" s="217"/>
      <c r="Z258" s="217"/>
    </row>
    <row r="259" ht="15.75" customHeight="1">
      <c r="A259" s="217"/>
      <c r="B259" s="217"/>
      <c r="C259" s="217"/>
      <c r="D259" s="217"/>
      <c r="E259" s="217"/>
      <c r="F259" s="217"/>
      <c r="G259" s="217"/>
      <c r="H259" s="217"/>
      <c r="I259" s="217"/>
      <c r="J259" s="217"/>
      <c r="K259" s="217"/>
      <c r="L259" s="217"/>
      <c r="M259" s="217"/>
      <c r="N259" s="217"/>
      <c r="O259" s="217"/>
      <c r="P259" s="217"/>
      <c r="Q259" s="217"/>
      <c r="R259" s="217"/>
      <c r="S259" s="217"/>
      <c r="T259" s="217"/>
      <c r="U259" s="217"/>
      <c r="V259" s="217"/>
      <c r="W259" s="217"/>
      <c r="X259" s="217"/>
      <c r="Y259" s="217"/>
      <c r="Z259" s="217"/>
    </row>
    <row r="260" ht="15.75" customHeight="1">
      <c r="A260" s="217"/>
      <c r="B260" s="217"/>
      <c r="C260" s="217"/>
      <c r="D260" s="217"/>
      <c r="E260" s="217"/>
      <c r="F260" s="217"/>
      <c r="G260" s="217"/>
      <c r="H260" s="217"/>
      <c r="I260" s="217"/>
      <c r="J260" s="217"/>
      <c r="K260" s="217"/>
      <c r="L260" s="217"/>
      <c r="M260" s="217"/>
      <c r="N260" s="217"/>
      <c r="O260" s="217"/>
      <c r="P260" s="217"/>
      <c r="Q260" s="217"/>
      <c r="R260" s="217"/>
      <c r="S260" s="217"/>
      <c r="T260" s="217"/>
      <c r="U260" s="217"/>
      <c r="V260" s="217"/>
      <c r="W260" s="217"/>
      <c r="X260" s="217"/>
      <c r="Y260" s="217"/>
      <c r="Z260" s="217"/>
    </row>
    <row r="261" ht="15.75" customHeight="1">
      <c r="A261" s="217"/>
      <c r="B261" s="217"/>
      <c r="C261" s="217"/>
      <c r="D261" s="217"/>
      <c r="E261" s="217"/>
      <c r="F261" s="217"/>
      <c r="G261" s="217"/>
      <c r="H261" s="217"/>
      <c r="I261" s="217"/>
      <c r="J261" s="217"/>
      <c r="K261" s="217"/>
      <c r="L261" s="217"/>
      <c r="M261" s="217"/>
      <c r="N261" s="217"/>
      <c r="O261" s="217"/>
      <c r="P261" s="217"/>
      <c r="Q261" s="217"/>
      <c r="R261" s="217"/>
      <c r="S261" s="217"/>
      <c r="T261" s="217"/>
      <c r="U261" s="217"/>
      <c r="V261" s="217"/>
      <c r="W261" s="217"/>
      <c r="X261" s="217"/>
      <c r="Y261" s="217"/>
      <c r="Z261" s="217"/>
    </row>
    <row r="262" ht="15.75" customHeight="1">
      <c r="A262" s="217"/>
      <c r="B262" s="217"/>
      <c r="C262" s="217"/>
      <c r="D262" s="217"/>
      <c r="E262" s="217"/>
      <c r="F262" s="217"/>
      <c r="G262" s="217"/>
      <c r="H262" s="217"/>
      <c r="I262" s="217"/>
      <c r="J262" s="217"/>
      <c r="K262" s="217"/>
      <c r="L262" s="217"/>
      <c r="M262" s="217"/>
      <c r="N262" s="217"/>
      <c r="O262" s="217"/>
      <c r="P262" s="217"/>
      <c r="Q262" s="217"/>
      <c r="R262" s="217"/>
      <c r="S262" s="217"/>
      <c r="T262" s="217"/>
      <c r="U262" s="217"/>
      <c r="V262" s="217"/>
      <c r="W262" s="217"/>
      <c r="X262" s="217"/>
      <c r="Y262" s="217"/>
      <c r="Z262" s="217"/>
    </row>
    <row r="263" ht="15.75" customHeight="1">
      <c r="A263" s="217"/>
      <c r="B263" s="217"/>
      <c r="C263" s="217"/>
      <c r="D263" s="217"/>
      <c r="E263" s="217"/>
      <c r="F263" s="217"/>
      <c r="G263" s="217"/>
      <c r="H263" s="217"/>
      <c r="I263" s="217"/>
      <c r="J263" s="217"/>
      <c r="K263" s="217"/>
      <c r="L263" s="217"/>
      <c r="M263" s="217"/>
      <c r="N263" s="217"/>
      <c r="O263" s="217"/>
      <c r="P263" s="217"/>
      <c r="Q263" s="217"/>
      <c r="R263" s="217"/>
      <c r="S263" s="217"/>
      <c r="T263" s="217"/>
      <c r="U263" s="217"/>
      <c r="V263" s="217"/>
      <c r="W263" s="217"/>
      <c r="X263" s="217"/>
      <c r="Y263" s="217"/>
      <c r="Z263" s="217"/>
    </row>
    <row r="264" ht="15.75" customHeight="1">
      <c r="A264" s="217"/>
      <c r="B264" s="217"/>
      <c r="C264" s="217"/>
      <c r="D264" s="217"/>
      <c r="E264" s="217"/>
      <c r="F264" s="217"/>
      <c r="G264" s="217"/>
      <c r="H264" s="217"/>
      <c r="I264" s="217"/>
      <c r="J264" s="217"/>
      <c r="K264" s="217"/>
      <c r="L264" s="217"/>
      <c r="M264" s="217"/>
      <c r="N264" s="217"/>
      <c r="O264" s="217"/>
      <c r="P264" s="217"/>
      <c r="Q264" s="217"/>
      <c r="R264" s="217"/>
      <c r="S264" s="217"/>
      <c r="T264" s="217"/>
      <c r="U264" s="217"/>
      <c r="V264" s="217"/>
      <c r="W264" s="217"/>
      <c r="X264" s="217"/>
      <c r="Y264" s="217"/>
      <c r="Z264" s="217"/>
    </row>
    <row r="265" ht="15.75" customHeight="1">
      <c r="A265" s="217"/>
      <c r="B265" s="217"/>
      <c r="C265" s="217"/>
      <c r="D265" s="217"/>
      <c r="E265" s="217"/>
      <c r="F265" s="217"/>
      <c r="G265" s="217"/>
      <c r="H265" s="217"/>
      <c r="I265" s="217"/>
      <c r="J265" s="217"/>
      <c r="K265" s="217"/>
      <c r="L265" s="217"/>
      <c r="M265" s="217"/>
      <c r="N265" s="217"/>
      <c r="O265" s="217"/>
      <c r="P265" s="217"/>
      <c r="Q265" s="217"/>
      <c r="R265" s="217"/>
      <c r="S265" s="217"/>
      <c r="T265" s="217"/>
      <c r="U265" s="217"/>
      <c r="V265" s="217"/>
      <c r="W265" s="217"/>
      <c r="X265" s="217"/>
      <c r="Y265" s="217"/>
      <c r="Z265" s="217"/>
    </row>
    <row r="266" ht="15.75" customHeight="1">
      <c r="A266" s="217"/>
      <c r="B266" s="217"/>
      <c r="C266" s="217"/>
      <c r="D266" s="217"/>
      <c r="E266" s="217"/>
      <c r="F266" s="217"/>
      <c r="G266" s="217"/>
      <c r="H266" s="217"/>
      <c r="I266" s="217"/>
      <c r="J266" s="217"/>
      <c r="K266" s="217"/>
      <c r="L266" s="217"/>
      <c r="M266" s="217"/>
      <c r="N266" s="217"/>
      <c r="O266" s="217"/>
      <c r="P266" s="217"/>
      <c r="Q266" s="217"/>
      <c r="R266" s="217"/>
      <c r="S266" s="217"/>
      <c r="T266" s="217"/>
      <c r="U266" s="217"/>
      <c r="V266" s="217"/>
      <c r="W266" s="217"/>
      <c r="X266" s="217"/>
      <c r="Y266" s="217"/>
      <c r="Z266" s="217"/>
    </row>
    <row r="267" ht="15.75" customHeight="1">
      <c r="A267" s="217"/>
      <c r="B267" s="217"/>
      <c r="C267" s="217"/>
      <c r="D267" s="217"/>
      <c r="E267" s="217"/>
      <c r="F267" s="217"/>
      <c r="G267" s="217"/>
      <c r="H267" s="217"/>
      <c r="I267" s="217"/>
      <c r="J267" s="217"/>
      <c r="K267" s="217"/>
      <c r="L267" s="217"/>
      <c r="M267" s="217"/>
      <c r="N267" s="217"/>
      <c r="O267" s="217"/>
      <c r="P267" s="217"/>
      <c r="Q267" s="217"/>
      <c r="R267" s="217"/>
      <c r="S267" s="217"/>
      <c r="T267" s="217"/>
      <c r="U267" s="217"/>
      <c r="V267" s="217"/>
      <c r="W267" s="217"/>
      <c r="X267" s="217"/>
      <c r="Y267" s="217"/>
      <c r="Z267" s="217"/>
    </row>
    <row r="268" ht="15.75" customHeight="1">
      <c r="A268" s="217"/>
      <c r="B268" s="217"/>
      <c r="C268" s="217"/>
      <c r="D268" s="217"/>
      <c r="E268" s="217"/>
      <c r="F268" s="217"/>
      <c r="G268" s="217"/>
      <c r="H268" s="217"/>
      <c r="I268" s="217"/>
      <c r="J268" s="217"/>
      <c r="K268" s="217"/>
      <c r="L268" s="217"/>
      <c r="M268" s="217"/>
      <c r="N268" s="217"/>
      <c r="O268" s="217"/>
      <c r="P268" s="217"/>
      <c r="Q268" s="217"/>
      <c r="R268" s="217"/>
      <c r="S268" s="217"/>
      <c r="T268" s="217"/>
      <c r="U268" s="217"/>
      <c r="V268" s="217"/>
      <c r="W268" s="217"/>
      <c r="X268" s="217"/>
      <c r="Y268" s="217"/>
      <c r="Z268" s="217"/>
    </row>
    <row r="269" ht="15.75" customHeight="1">
      <c r="A269" s="217"/>
      <c r="B269" s="217"/>
      <c r="C269" s="217"/>
      <c r="D269" s="217"/>
      <c r="E269" s="217"/>
      <c r="F269" s="217"/>
      <c r="G269" s="217"/>
      <c r="H269" s="217"/>
      <c r="I269" s="217"/>
      <c r="J269" s="217"/>
      <c r="K269" s="217"/>
      <c r="L269" s="217"/>
      <c r="M269" s="217"/>
      <c r="N269" s="217"/>
      <c r="O269" s="217"/>
      <c r="P269" s="217"/>
      <c r="Q269" s="217"/>
      <c r="R269" s="217"/>
      <c r="S269" s="217"/>
      <c r="T269" s="217"/>
      <c r="U269" s="217"/>
      <c r="V269" s="217"/>
      <c r="W269" s="217"/>
      <c r="X269" s="217"/>
      <c r="Y269" s="217"/>
      <c r="Z269" s="217"/>
    </row>
    <row r="270" ht="15.75" customHeight="1">
      <c r="A270" s="217"/>
      <c r="B270" s="217"/>
      <c r="C270" s="217"/>
      <c r="D270" s="217"/>
      <c r="E270" s="217"/>
      <c r="F270" s="217"/>
      <c r="G270" s="217"/>
      <c r="H270" s="217"/>
      <c r="I270" s="217"/>
      <c r="J270" s="217"/>
      <c r="K270" s="217"/>
      <c r="L270" s="217"/>
      <c r="M270" s="217"/>
      <c r="N270" s="217"/>
      <c r="O270" s="217"/>
      <c r="P270" s="217"/>
      <c r="Q270" s="217"/>
      <c r="R270" s="217"/>
      <c r="S270" s="217"/>
      <c r="T270" s="217"/>
      <c r="U270" s="217"/>
      <c r="V270" s="217"/>
      <c r="W270" s="217"/>
      <c r="X270" s="217"/>
      <c r="Y270" s="217"/>
      <c r="Z270" s="217"/>
    </row>
    <row r="271" ht="15.75" customHeight="1">
      <c r="A271" s="217"/>
      <c r="B271" s="217"/>
      <c r="C271" s="217"/>
      <c r="D271" s="217"/>
      <c r="E271" s="217"/>
      <c r="F271" s="217"/>
      <c r="G271" s="217"/>
      <c r="H271" s="217"/>
      <c r="I271" s="217"/>
      <c r="J271" s="217"/>
      <c r="K271" s="217"/>
      <c r="L271" s="217"/>
      <c r="M271" s="217"/>
      <c r="N271" s="217"/>
      <c r="O271" s="217"/>
      <c r="P271" s="217"/>
      <c r="Q271" s="217"/>
      <c r="R271" s="217"/>
      <c r="S271" s="217"/>
      <c r="T271" s="217"/>
      <c r="U271" s="217"/>
      <c r="V271" s="217"/>
      <c r="W271" s="217"/>
      <c r="X271" s="217"/>
      <c r="Y271" s="217"/>
      <c r="Z271" s="217"/>
    </row>
    <row r="272" ht="15.75" customHeight="1">
      <c r="A272" s="217"/>
      <c r="B272" s="217"/>
      <c r="C272" s="217"/>
      <c r="D272" s="217"/>
      <c r="E272" s="217"/>
      <c r="F272" s="217"/>
      <c r="G272" s="217"/>
      <c r="H272" s="217"/>
      <c r="I272" s="217"/>
      <c r="J272" s="217"/>
      <c r="K272" s="217"/>
      <c r="L272" s="217"/>
      <c r="M272" s="217"/>
      <c r="N272" s="217"/>
      <c r="O272" s="217"/>
      <c r="P272" s="217"/>
      <c r="Q272" s="217"/>
      <c r="R272" s="217"/>
      <c r="S272" s="217"/>
      <c r="T272" s="217"/>
      <c r="U272" s="217"/>
      <c r="V272" s="217"/>
      <c r="W272" s="217"/>
      <c r="X272" s="217"/>
      <c r="Y272" s="217"/>
      <c r="Z272" s="217"/>
    </row>
    <row r="273" ht="15.75" customHeight="1">
      <c r="A273" s="217"/>
      <c r="B273" s="217"/>
      <c r="C273" s="217"/>
      <c r="D273" s="217"/>
      <c r="E273" s="217"/>
      <c r="F273" s="217"/>
      <c r="G273" s="217"/>
      <c r="H273" s="217"/>
      <c r="I273" s="217"/>
      <c r="J273" s="217"/>
      <c r="K273" s="217"/>
      <c r="L273" s="217"/>
      <c r="M273" s="217"/>
      <c r="N273" s="217"/>
      <c r="O273" s="217"/>
      <c r="P273" s="217"/>
      <c r="Q273" s="217"/>
      <c r="R273" s="217"/>
      <c r="S273" s="217"/>
      <c r="T273" s="217"/>
      <c r="U273" s="217"/>
      <c r="V273" s="217"/>
      <c r="W273" s="217"/>
      <c r="X273" s="217"/>
      <c r="Y273" s="217"/>
      <c r="Z273" s="217"/>
    </row>
    <row r="274" ht="15.75" customHeight="1">
      <c r="A274" s="217"/>
      <c r="B274" s="217"/>
      <c r="C274" s="217"/>
      <c r="D274" s="217"/>
      <c r="E274" s="217"/>
      <c r="F274" s="217"/>
      <c r="G274" s="217"/>
      <c r="H274" s="217"/>
      <c r="I274" s="217"/>
      <c r="J274" s="217"/>
      <c r="K274" s="217"/>
      <c r="L274" s="217"/>
      <c r="M274" s="217"/>
      <c r="N274" s="217"/>
      <c r="O274" s="217"/>
      <c r="P274" s="217"/>
      <c r="Q274" s="217"/>
      <c r="R274" s="217"/>
      <c r="S274" s="217"/>
      <c r="T274" s="217"/>
      <c r="U274" s="217"/>
      <c r="V274" s="217"/>
      <c r="W274" s="217"/>
      <c r="X274" s="217"/>
      <c r="Y274" s="217"/>
      <c r="Z274" s="217"/>
    </row>
    <row r="275" ht="15.75" customHeight="1">
      <c r="A275" s="217"/>
      <c r="B275" s="217"/>
      <c r="C275" s="217"/>
      <c r="D275" s="217"/>
      <c r="E275" s="217"/>
      <c r="F275" s="217"/>
      <c r="G275" s="217"/>
      <c r="H275" s="217"/>
      <c r="I275" s="217"/>
      <c r="J275" s="217"/>
      <c r="K275" s="217"/>
      <c r="L275" s="217"/>
      <c r="M275" s="217"/>
      <c r="N275" s="217"/>
      <c r="O275" s="217"/>
      <c r="P275" s="217"/>
      <c r="Q275" s="217"/>
      <c r="R275" s="217"/>
      <c r="S275" s="217"/>
      <c r="T275" s="217"/>
      <c r="U275" s="217"/>
      <c r="V275" s="217"/>
      <c r="W275" s="217"/>
      <c r="X275" s="217"/>
      <c r="Y275" s="217"/>
      <c r="Z275" s="217"/>
    </row>
    <row r="276" ht="15.75" customHeight="1">
      <c r="A276" s="217"/>
      <c r="B276" s="217"/>
      <c r="C276" s="217"/>
      <c r="D276" s="217"/>
      <c r="E276" s="217"/>
      <c r="F276" s="217"/>
      <c r="G276" s="217"/>
      <c r="H276" s="217"/>
      <c r="I276" s="217"/>
      <c r="J276" s="217"/>
      <c r="K276" s="217"/>
      <c r="L276" s="217"/>
      <c r="M276" s="217"/>
      <c r="N276" s="217"/>
      <c r="O276" s="217"/>
      <c r="P276" s="217"/>
      <c r="Q276" s="217"/>
      <c r="R276" s="217"/>
      <c r="S276" s="217"/>
      <c r="T276" s="217"/>
      <c r="U276" s="217"/>
      <c r="V276" s="217"/>
      <c r="W276" s="217"/>
      <c r="X276" s="217"/>
      <c r="Y276" s="217"/>
      <c r="Z276" s="217"/>
    </row>
    <row r="277" ht="15.75" customHeight="1">
      <c r="A277" s="217"/>
      <c r="B277" s="217"/>
      <c r="C277" s="217"/>
      <c r="D277" s="217"/>
      <c r="E277" s="217"/>
      <c r="F277" s="217"/>
      <c r="G277" s="217"/>
      <c r="H277" s="217"/>
      <c r="I277" s="217"/>
      <c r="J277" s="217"/>
      <c r="K277" s="217"/>
      <c r="L277" s="217"/>
      <c r="M277" s="217"/>
      <c r="N277" s="217"/>
      <c r="O277" s="217"/>
      <c r="P277" s="217"/>
      <c r="Q277" s="217"/>
      <c r="R277" s="217"/>
      <c r="S277" s="217"/>
      <c r="T277" s="217"/>
      <c r="U277" s="217"/>
      <c r="V277" s="217"/>
      <c r="W277" s="217"/>
      <c r="X277" s="217"/>
      <c r="Y277" s="217"/>
      <c r="Z277" s="217"/>
    </row>
    <row r="278" ht="15.75" customHeight="1">
      <c r="A278" s="217"/>
      <c r="B278" s="217"/>
      <c r="C278" s="217"/>
      <c r="D278" s="217"/>
      <c r="E278" s="217"/>
      <c r="F278" s="217"/>
      <c r="G278" s="217"/>
      <c r="H278" s="217"/>
      <c r="I278" s="217"/>
      <c r="J278" s="217"/>
      <c r="K278" s="217"/>
      <c r="L278" s="217"/>
      <c r="M278" s="217"/>
      <c r="N278" s="217"/>
      <c r="O278" s="217"/>
      <c r="P278" s="217"/>
      <c r="Q278" s="217"/>
      <c r="R278" s="217"/>
      <c r="S278" s="217"/>
      <c r="T278" s="217"/>
      <c r="U278" s="217"/>
      <c r="V278" s="217"/>
      <c r="W278" s="217"/>
      <c r="X278" s="217"/>
      <c r="Y278" s="217"/>
      <c r="Z278" s="217"/>
    </row>
    <row r="279" ht="15.75" customHeight="1">
      <c r="A279" s="217"/>
      <c r="B279" s="217"/>
      <c r="C279" s="217"/>
      <c r="D279" s="217"/>
      <c r="E279" s="217"/>
      <c r="F279" s="217"/>
      <c r="G279" s="217"/>
      <c r="H279" s="217"/>
      <c r="I279" s="217"/>
      <c r="J279" s="217"/>
      <c r="K279" s="217"/>
      <c r="L279" s="217"/>
      <c r="M279" s="217"/>
      <c r="N279" s="217"/>
      <c r="O279" s="217"/>
      <c r="P279" s="217"/>
      <c r="Q279" s="217"/>
      <c r="R279" s="217"/>
      <c r="S279" s="217"/>
      <c r="T279" s="217"/>
      <c r="U279" s="217"/>
      <c r="V279" s="217"/>
      <c r="W279" s="217"/>
      <c r="X279" s="217"/>
      <c r="Y279" s="217"/>
      <c r="Z279" s="217"/>
    </row>
    <row r="280" ht="15.75" customHeight="1">
      <c r="A280" s="217"/>
      <c r="B280" s="217"/>
      <c r="C280" s="217"/>
      <c r="D280" s="217"/>
      <c r="E280" s="217"/>
      <c r="F280" s="217"/>
      <c r="G280" s="217"/>
      <c r="H280" s="217"/>
      <c r="I280" s="217"/>
      <c r="J280" s="217"/>
      <c r="K280" s="217"/>
      <c r="L280" s="217"/>
      <c r="M280" s="217"/>
      <c r="N280" s="217"/>
      <c r="O280" s="217"/>
      <c r="P280" s="217"/>
      <c r="Q280" s="217"/>
      <c r="R280" s="217"/>
      <c r="S280" s="217"/>
      <c r="T280" s="217"/>
      <c r="U280" s="217"/>
      <c r="V280" s="217"/>
      <c r="W280" s="217"/>
      <c r="X280" s="217"/>
      <c r="Y280" s="217"/>
      <c r="Z280" s="217"/>
    </row>
    <row r="281" ht="15.75" customHeight="1">
      <c r="A281" s="217"/>
      <c r="B281" s="217"/>
      <c r="C281" s="217"/>
      <c r="D281" s="217"/>
      <c r="E281" s="217"/>
      <c r="F281" s="217"/>
      <c r="G281" s="217"/>
      <c r="H281" s="217"/>
      <c r="I281" s="217"/>
      <c r="J281" s="217"/>
      <c r="K281" s="217"/>
      <c r="L281" s="217"/>
      <c r="M281" s="217"/>
      <c r="N281" s="217"/>
      <c r="O281" s="217"/>
      <c r="P281" s="217"/>
      <c r="Q281" s="217"/>
      <c r="R281" s="217"/>
      <c r="S281" s="217"/>
      <c r="T281" s="217"/>
      <c r="U281" s="217"/>
      <c r="V281" s="217"/>
      <c r="W281" s="217"/>
      <c r="X281" s="217"/>
      <c r="Y281" s="217"/>
      <c r="Z281" s="217"/>
    </row>
    <row r="282" ht="15.75" customHeight="1">
      <c r="A282" s="217"/>
      <c r="B282" s="217"/>
      <c r="C282" s="217"/>
      <c r="D282" s="217"/>
      <c r="E282" s="217"/>
      <c r="F282" s="217"/>
      <c r="G282" s="217"/>
      <c r="H282" s="217"/>
      <c r="I282" s="217"/>
      <c r="J282" s="217"/>
      <c r="K282" s="217"/>
      <c r="L282" s="217"/>
      <c r="M282" s="217"/>
      <c r="N282" s="217"/>
      <c r="O282" s="217"/>
      <c r="P282" s="217"/>
      <c r="Q282" s="217"/>
      <c r="R282" s="217"/>
      <c r="S282" s="217"/>
      <c r="T282" s="217"/>
      <c r="U282" s="217"/>
      <c r="V282" s="217"/>
      <c r="W282" s="217"/>
      <c r="X282" s="217"/>
      <c r="Y282" s="217"/>
      <c r="Z282" s="217"/>
    </row>
    <row r="283" ht="15.75" customHeight="1">
      <c r="A283" s="217"/>
      <c r="B283" s="217"/>
      <c r="C283" s="217"/>
      <c r="D283" s="217"/>
      <c r="E283" s="217"/>
      <c r="F283" s="217"/>
      <c r="G283" s="217"/>
      <c r="H283" s="217"/>
      <c r="I283" s="217"/>
      <c r="J283" s="217"/>
      <c r="K283" s="217"/>
      <c r="L283" s="217"/>
      <c r="M283" s="217"/>
      <c r="N283" s="217"/>
      <c r="O283" s="217"/>
      <c r="P283" s="217"/>
      <c r="Q283" s="217"/>
      <c r="R283" s="217"/>
      <c r="S283" s="217"/>
      <c r="T283" s="217"/>
      <c r="U283" s="217"/>
      <c r="V283" s="217"/>
      <c r="W283" s="217"/>
      <c r="X283" s="217"/>
      <c r="Y283" s="217"/>
      <c r="Z283" s="217"/>
    </row>
    <row r="284" ht="15.75" customHeight="1">
      <c r="A284" s="217"/>
      <c r="B284" s="217"/>
      <c r="C284" s="217"/>
      <c r="D284" s="217"/>
      <c r="E284" s="217"/>
      <c r="F284" s="217"/>
      <c r="G284" s="217"/>
      <c r="H284" s="217"/>
      <c r="I284" s="217"/>
      <c r="J284" s="217"/>
      <c r="K284" s="217"/>
      <c r="L284" s="217"/>
      <c r="M284" s="217"/>
      <c r="N284" s="217"/>
      <c r="O284" s="217"/>
      <c r="P284" s="217"/>
      <c r="Q284" s="217"/>
      <c r="R284" s="217"/>
      <c r="S284" s="217"/>
      <c r="T284" s="217"/>
      <c r="U284" s="217"/>
      <c r="V284" s="217"/>
      <c r="W284" s="217"/>
      <c r="X284" s="217"/>
      <c r="Y284" s="217"/>
      <c r="Z284" s="217"/>
    </row>
    <row r="285" ht="15.75" customHeight="1">
      <c r="A285" s="217"/>
      <c r="B285" s="217"/>
      <c r="C285" s="217"/>
      <c r="D285" s="217"/>
      <c r="E285" s="217"/>
      <c r="F285" s="217"/>
      <c r="G285" s="217"/>
      <c r="H285" s="217"/>
      <c r="I285" s="217"/>
      <c r="J285" s="217"/>
      <c r="K285" s="217"/>
      <c r="L285" s="217"/>
      <c r="M285" s="217"/>
      <c r="N285" s="217"/>
      <c r="O285" s="217"/>
      <c r="P285" s="217"/>
      <c r="Q285" s="217"/>
      <c r="R285" s="217"/>
      <c r="S285" s="217"/>
      <c r="T285" s="217"/>
      <c r="U285" s="217"/>
      <c r="V285" s="217"/>
      <c r="W285" s="217"/>
      <c r="X285" s="217"/>
      <c r="Y285" s="217"/>
      <c r="Z285" s="217"/>
    </row>
    <row r="286" ht="15.75" customHeight="1">
      <c r="A286" s="217"/>
      <c r="B286" s="217"/>
      <c r="C286" s="217"/>
      <c r="D286" s="217"/>
      <c r="E286" s="217"/>
      <c r="F286" s="217"/>
      <c r="G286" s="217"/>
      <c r="H286" s="217"/>
      <c r="I286" s="217"/>
      <c r="J286" s="217"/>
      <c r="K286" s="217"/>
      <c r="L286" s="217"/>
      <c r="M286" s="217"/>
      <c r="N286" s="217"/>
      <c r="O286" s="217"/>
      <c r="P286" s="217"/>
      <c r="Q286" s="217"/>
      <c r="R286" s="217"/>
      <c r="S286" s="217"/>
      <c r="T286" s="217"/>
      <c r="U286" s="217"/>
      <c r="V286" s="217"/>
      <c r="W286" s="217"/>
      <c r="X286" s="217"/>
      <c r="Y286" s="217"/>
      <c r="Z286" s="217"/>
    </row>
    <row r="287" ht="15.75" customHeight="1">
      <c r="A287" s="217"/>
      <c r="B287" s="217"/>
      <c r="C287" s="217"/>
      <c r="D287" s="217"/>
      <c r="E287" s="217"/>
      <c r="F287" s="217"/>
      <c r="G287" s="217"/>
      <c r="H287" s="217"/>
      <c r="I287" s="217"/>
      <c r="J287" s="217"/>
      <c r="K287" s="217"/>
      <c r="L287" s="217"/>
      <c r="M287" s="217"/>
      <c r="N287" s="217"/>
      <c r="O287" s="217"/>
      <c r="P287" s="217"/>
      <c r="Q287" s="217"/>
      <c r="R287" s="217"/>
      <c r="S287" s="217"/>
      <c r="T287" s="217"/>
      <c r="U287" s="217"/>
      <c r="V287" s="217"/>
      <c r="W287" s="217"/>
      <c r="X287" s="217"/>
      <c r="Y287" s="217"/>
      <c r="Z287" s="217"/>
    </row>
    <row r="288" ht="15.75" customHeight="1">
      <c r="A288" s="217"/>
      <c r="B288" s="217"/>
      <c r="C288" s="217"/>
      <c r="D288" s="217"/>
      <c r="E288" s="217"/>
      <c r="F288" s="217"/>
      <c r="G288" s="217"/>
      <c r="H288" s="217"/>
      <c r="I288" s="217"/>
      <c r="J288" s="217"/>
      <c r="K288" s="217"/>
      <c r="L288" s="217"/>
      <c r="M288" s="217"/>
      <c r="N288" s="217"/>
      <c r="O288" s="217"/>
      <c r="P288" s="217"/>
      <c r="Q288" s="217"/>
      <c r="R288" s="217"/>
      <c r="S288" s="217"/>
      <c r="T288" s="217"/>
      <c r="U288" s="217"/>
      <c r="V288" s="217"/>
      <c r="W288" s="217"/>
      <c r="X288" s="217"/>
      <c r="Y288" s="217"/>
      <c r="Z288" s="217"/>
    </row>
    <row r="289" ht="15.75" customHeight="1">
      <c r="A289" s="217"/>
      <c r="B289" s="217"/>
      <c r="C289" s="217"/>
      <c r="D289" s="217"/>
      <c r="E289" s="217"/>
      <c r="F289" s="217"/>
      <c r="G289" s="217"/>
      <c r="H289" s="217"/>
      <c r="I289" s="217"/>
      <c r="J289" s="217"/>
      <c r="K289" s="217"/>
      <c r="L289" s="217"/>
      <c r="M289" s="217"/>
      <c r="N289" s="217"/>
      <c r="O289" s="217"/>
      <c r="P289" s="217"/>
      <c r="Q289" s="217"/>
      <c r="R289" s="217"/>
      <c r="S289" s="217"/>
      <c r="T289" s="217"/>
      <c r="U289" s="217"/>
      <c r="V289" s="217"/>
      <c r="W289" s="217"/>
      <c r="X289" s="217"/>
      <c r="Y289" s="217"/>
      <c r="Z289" s="217"/>
    </row>
    <row r="290" ht="15.75" customHeight="1">
      <c r="A290" s="217"/>
      <c r="B290" s="217"/>
      <c r="C290" s="217"/>
      <c r="D290" s="217"/>
      <c r="E290" s="217"/>
      <c r="F290" s="217"/>
      <c r="G290" s="217"/>
      <c r="H290" s="217"/>
      <c r="I290" s="217"/>
      <c r="J290" s="217"/>
      <c r="K290" s="217"/>
      <c r="L290" s="217"/>
      <c r="M290" s="217"/>
      <c r="N290" s="217"/>
      <c r="O290" s="217"/>
      <c r="P290" s="217"/>
      <c r="Q290" s="217"/>
      <c r="R290" s="217"/>
      <c r="S290" s="217"/>
      <c r="T290" s="217"/>
      <c r="U290" s="217"/>
      <c r="V290" s="217"/>
      <c r="W290" s="217"/>
      <c r="X290" s="217"/>
      <c r="Y290" s="217"/>
      <c r="Z290" s="217"/>
    </row>
    <row r="291" ht="15.75" customHeight="1">
      <c r="A291" s="217"/>
      <c r="B291" s="217"/>
      <c r="C291" s="217"/>
      <c r="D291" s="217"/>
      <c r="E291" s="217"/>
      <c r="F291" s="217"/>
      <c r="G291" s="217"/>
      <c r="H291" s="217"/>
      <c r="I291" s="217"/>
      <c r="J291" s="217"/>
      <c r="K291" s="217"/>
      <c r="L291" s="217"/>
      <c r="M291" s="217"/>
      <c r="N291" s="217"/>
      <c r="O291" s="217"/>
      <c r="P291" s="217"/>
      <c r="Q291" s="217"/>
      <c r="R291" s="217"/>
      <c r="S291" s="217"/>
      <c r="T291" s="217"/>
      <c r="U291" s="217"/>
      <c r="V291" s="217"/>
      <c r="W291" s="217"/>
      <c r="X291" s="217"/>
      <c r="Y291" s="217"/>
      <c r="Z291" s="217"/>
    </row>
    <row r="292" ht="15.75" customHeight="1">
      <c r="A292" s="217"/>
      <c r="B292" s="217"/>
      <c r="C292" s="217"/>
      <c r="D292" s="217"/>
      <c r="E292" s="217"/>
      <c r="F292" s="217"/>
      <c r="G292" s="217"/>
      <c r="H292" s="217"/>
      <c r="I292" s="217"/>
      <c r="J292" s="217"/>
      <c r="K292" s="217"/>
      <c r="L292" s="217"/>
      <c r="M292" s="217"/>
      <c r="N292" s="217"/>
      <c r="O292" s="217"/>
      <c r="P292" s="217"/>
      <c r="Q292" s="217"/>
      <c r="R292" s="217"/>
      <c r="S292" s="217"/>
      <c r="T292" s="217"/>
      <c r="U292" s="217"/>
      <c r="V292" s="217"/>
      <c r="W292" s="217"/>
      <c r="X292" s="217"/>
      <c r="Y292" s="217"/>
      <c r="Z292" s="217"/>
    </row>
    <row r="293" ht="15.75" customHeight="1">
      <c r="A293" s="217"/>
      <c r="B293" s="217"/>
      <c r="C293" s="217"/>
      <c r="D293" s="217"/>
      <c r="E293" s="217"/>
      <c r="F293" s="217"/>
      <c r="G293" s="217"/>
      <c r="H293" s="217"/>
      <c r="I293" s="217"/>
      <c r="J293" s="217"/>
      <c r="K293" s="217"/>
      <c r="L293" s="217"/>
      <c r="M293" s="217"/>
      <c r="N293" s="217"/>
      <c r="O293" s="217"/>
      <c r="P293" s="217"/>
      <c r="Q293" s="217"/>
      <c r="R293" s="217"/>
      <c r="S293" s="217"/>
      <c r="T293" s="217"/>
      <c r="U293" s="217"/>
      <c r="V293" s="217"/>
      <c r="W293" s="217"/>
      <c r="X293" s="217"/>
      <c r="Y293" s="217"/>
      <c r="Z293" s="217"/>
    </row>
    <row r="294" ht="15.75" customHeight="1">
      <c r="A294" s="217"/>
      <c r="B294" s="217"/>
      <c r="C294" s="217"/>
      <c r="D294" s="217"/>
      <c r="E294" s="217"/>
      <c r="F294" s="217"/>
      <c r="G294" s="217"/>
      <c r="H294" s="217"/>
      <c r="I294" s="217"/>
      <c r="J294" s="217"/>
      <c r="K294" s="217"/>
      <c r="L294" s="217"/>
      <c r="M294" s="217"/>
      <c r="N294" s="217"/>
      <c r="O294" s="217"/>
      <c r="P294" s="217"/>
      <c r="Q294" s="217"/>
      <c r="R294" s="217"/>
      <c r="S294" s="217"/>
      <c r="T294" s="217"/>
      <c r="U294" s="217"/>
      <c r="V294" s="217"/>
      <c r="W294" s="217"/>
      <c r="X294" s="217"/>
      <c r="Y294" s="217"/>
      <c r="Z294" s="217"/>
    </row>
    <row r="295" ht="15.75" customHeight="1">
      <c r="A295" s="217"/>
      <c r="B295" s="217"/>
      <c r="C295" s="217"/>
      <c r="D295" s="217"/>
      <c r="E295" s="217"/>
      <c r="F295" s="217"/>
      <c r="G295" s="217"/>
      <c r="H295" s="217"/>
      <c r="I295" s="217"/>
      <c r="J295" s="217"/>
      <c r="K295" s="217"/>
      <c r="L295" s="217"/>
      <c r="M295" s="217"/>
      <c r="N295" s="217"/>
      <c r="O295" s="217"/>
      <c r="P295" s="217"/>
      <c r="Q295" s="217"/>
      <c r="R295" s="217"/>
      <c r="S295" s="217"/>
      <c r="T295" s="217"/>
      <c r="U295" s="217"/>
      <c r="V295" s="217"/>
      <c r="W295" s="217"/>
      <c r="X295" s="217"/>
      <c r="Y295" s="217"/>
      <c r="Z295" s="217"/>
    </row>
    <row r="296" ht="15.75" customHeight="1">
      <c r="A296" s="217"/>
      <c r="B296" s="217"/>
      <c r="C296" s="217"/>
      <c r="D296" s="217"/>
      <c r="E296" s="217"/>
      <c r="F296" s="217"/>
      <c r="G296" s="217"/>
      <c r="H296" s="217"/>
      <c r="I296" s="217"/>
      <c r="J296" s="217"/>
      <c r="K296" s="217"/>
      <c r="L296" s="217"/>
      <c r="M296" s="217"/>
      <c r="N296" s="217"/>
      <c r="O296" s="217"/>
      <c r="P296" s="217"/>
      <c r="Q296" s="217"/>
      <c r="R296" s="217"/>
      <c r="S296" s="217"/>
      <c r="T296" s="217"/>
      <c r="U296" s="217"/>
      <c r="V296" s="217"/>
      <c r="W296" s="217"/>
      <c r="X296" s="217"/>
      <c r="Y296" s="217"/>
      <c r="Z296" s="217"/>
    </row>
    <row r="297" ht="15.75" customHeight="1">
      <c r="A297" s="217"/>
      <c r="B297" s="217"/>
      <c r="C297" s="217"/>
      <c r="D297" s="217"/>
      <c r="E297" s="217"/>
      <c r="F297" s="217"/>
      <c r="G297" s="217"/>
      <c r="H297" s="217"/>
      <c r="I297" s="217"/>
      <c r="J297" s="217"/>
      <c r="K297" s="217"/>
      <c r="L297" s="217"/>
      <c r="M297" s="217"/>
      <c r="N297" s="217"/>
      <c r="O297" s="217"/>
      <c r="P297" s="217"/>
      <c r="Q297" s="217"/>
      <c r="R297" s="217"/>
      <c r="S297" s="217"/>
      <c r="T297" s="217"/>
      <c r="U297" s="217"/>
      <c r="V297" s="217"/>
      <c r="W297" s="217"/>
      <c r="X297" s="217"/>
      <c r="Y297" s="217"/>
      <c r="Z297" s="217"/>
    </row>
    <row r="298" ht="15.75" customHeight="1">
      <c r="A298" s="217"/>
      <c r="B298" s="217"/>
      <c r="C298" s="217"/>
      <c r="D298" s="217"/>
      <c r="E298" s="217"/>
      <c r="F298" s="217"/>
      <c r="G298" s="217"/>
      <c r="H298" s="217"/>
      <c r="I298" s="217"/>
      <c r="J298" s="217"/>
      <c r="K298" s="217"/>
      <c r="L298" s="217"/>
      <c r="M298" s="217"/>
      <c r="N298" s="217"/>
      <c r="O298" s="217"/>
      <c r="P298" s="217"/>
      <c r="Q298" s="217"/>
      <c r="R298" s="217"/>
      <c r="S298" s="217"/>
      <c r="T298" s="217"/>
      <c r="U298" s="217"/>
      <c r="V298" s="217"/>
      <c r="W298" s="217"/>
      <c r="X298" s="217"/>
      <c r="Y298" s="217"/>
      <c r="Z298" s="217"/>
    </row>
    <row r="299" ht="15.75" customHeight="1">
      <c r="A299" s="217"/>
      <c r="B299" s="217"/>
      <c r="C299" s="217"/>
      <c r="D299" s="217"/>
      <c r="E299" s="217"/>
      <c r="F299" s="217"/>
      <c r="G299" s="217"/>
      <c r="H299" s="217"/>
      <c r="I299" s="217"/>
      <c r="J299" s="217"/>
      <c r="K299" s="217"/>
      <c r="L299" s="217"/>
      <c r="M299" s="217"/>
      <c r="N299" s="217"/>
      <c r="O299" s="217"/>
      <c r="P299" s="217"/>
      <c r="Q299" s="217"/>
      <c r="R299" s="217"/>
      <c r="S299" s="217"/>
      <c r="T299" s="217"/>
      <c r="U299" s="217"/>
      <c r="V299" s="217"/>
      <c r="W299" s="217"/>
      <c r="X299" s="217"/>
      <c r="Y299" s="217"/>
      <c r="Z299" s="217"/>
    </row>
    <row r="300" ht="15.75" customHeight="1">
      <c r="A300" s="217"/>
      <c r="B300" s="217"/>
      <c r="C300" s="217"/>
      <c r="D300" s="217"/>
      <c r="E300" s="217"/>
      <c r="F300" s="217"/>
      <c r="G300" s="217"/>
      <c r="H300" s="217"/>
      <c r="I300" s="217"/>
      <c r="J300" s="217"/>
      <c r="K300" s="217"/>
      <c r="L300" s="217"/>
      <c r="M300" s="217"/>
      <c r="N300" s="217"/>
      <c r="O300" s="217"/>
      <c r="P300" s="217"/>
      <c r="Q300" s="217"/>
      <c r="R300" s="217"/>
      <c r="S300" s="217"/>
      <c r="T300" s="217"/>
      <c r="U300" s="217"/>
      <c r="V300" s="217"/>
      <c r="W300" s="217"/>
      <c r="X300" s="217"/>
      <c r="Y300" s="217"/>
      <c r="Z300" s="217"/>
    </row>
    <row r="301" ht="15.75" customHeight="1">
      <c r="A301" s="217"/>
      <c r="B301" s="217"/>
      <c r="C301" s="217"/>
      <c r="D301" s="217"/>
      <c r="E301" s="217"/>
      <c r="F301" s="217"/>
      <c r="G301" s="217"/>
      <c r="H301" s="217"/>
      <c r="I301" s="217"/>
      <c r="J301" s="217"/>
      <c r="K301" s="217"/>
      <c r="L301" s="217"/>
      <c r="M301" s="217"/>
      <c r="N301" s="217"/>
      <c r="O301" s="217"/>
      <c r="P301" s="217"/>
      <c r="Q301" s="217"/>
      <c r="R301" s="217"/>
      <c r="S301" s="217"/>
      <c r="T301" s="217"/>
      <c r="U301" s="217"/>
      <c r="V301" s="217"/>
      <c r="W301" s="217"/>
      <c r="X301" s="217"/>
      <c r="Y301" s="217"/>
      <c r="Z301" s="217"/>
    </row>
    <row r="302" ht="15.75" customHeight="1">
      <c r="A302" s="217"/>
      <c r="B302" s="217"/>
      <c r="C302" s="217"/>
      <c r="D302" s="217"/>
      <c r="E302" s="217"/>
      <c r="F302" s="217"/>
      <c r="G302" s="217"/>
      <c r="H302" s="217"/>
      <c r="I302" s="217"/>
      <c r="J302" s="217"/>
      <c r="K302" s="217"/>
      <c r="L302" s="217"/>
      <c r="M302" s="217"/>
      <c r="N302" s="217"/>
      <c r="O302" s="217"/>
      <c r="P302" s="217"/>
      <c r="Q302" s="217"/>
      <c r="R302" s="217"/>
      <c r="S302" s="217"/>
      <c r="T302" s="217"/>
      <c r="U302" s="217"/>
      <c r="V302" s="217"/>
      <c r="W302" s="217"/>
      <c r="X302" s="217"/>
      <c r="Y302" s="217"/>
      <c r="Z302" s="217"/>
    </row>
    <row r="303" ht="15.75" customHeight="1">
      <c r="A303" s="217"/>
      <c r="B303" s="217"/>
      <c r="C303" s="217"/>
      <c r="D303" s="217"/>
      <c r="E303" s="217"/>
      <c r="F303" s="217"/>
      <c r="G303" s="217"/>
      <c r="H303" s="217"/>
      <c r="I303" s="217"/>
      <c r="J303" s="217"/>
      <c r="K303" s="217"/>
      <c r="L303" s="217"/>
      <c r="M303" s="217"/>
      <c r="N303" s="217"/>
      <c r="O303" s="217"/>
      <c r="P303" s="217"/>
      <c r="Q303" s="217"/>
      <c r="R303" s="217"/>
      <c r="S303" s="217"/>
      <c r="T303" s="217"/>
      <c r="U303" s="217"/>
      <c r="V303" s="217"/>
      <c r="W303" s="217"/>
      <c r="X303" s="217"/>
      <c r="Y303" s="217"/>
      <c r="Z303" s="217"/>
    </row>
    <row r="304" ht="15.75" customHeight="1">
      <c r="A304" s="217"/>
      <c r="B304" s="217"/>
      <c r="C304" s="217"/>
      <c r="D304" s="217"/>
      <c r="E304" s="217"/>
      <c r="F304" s="217"/>
      <c r="G304" s="217"/>
      <c r="H304" s="217"/>
      <c r="I304" s="217"/>
      <c r="J304" s="217"/>
      <c r="K304" s="217"/>
      <c r="L304" s="217"/>
      <c r="M304" s="217"/>
      <c r="N304" s="217"/>
      <c r="O304" s="217"/>
      <c r="P304" s="217"/>
      <c r="Q304" s="217"/>
      <c r="R304" s="217"/>
      <c r="S304" s="217"/>
      <c r="T304" s="217"/>
      <c r="U304" s="217"/>
      <c r="V304" s="217"/>
      <c r="W304" s="217"/>
      <c r="X304" s="217"/>
      <c r="Y304" s="217"/>
      <c r="Z304" s="217"/>
    </row>
    <row r="305" ht="15.75" customHeight="1">
      <c r="A305" s="217"/>
      <c r="B305" s="217"/>
      <c r="C305" s="217"/>
      <c r="D305" s="217"/>
      <c r="E305" s="217"/>
      <c r="F305" s="217"/>
      <c r="G305" s="217"/>
      <c r="H305" s="217"/>
      <c r="I305" s="217"/>
      <c r="J305" s="217"/>
      <c r="K305" s="217"/>
      <c r="L305" s="217"/>
      <c r="M305" s="217"/>
      <c r="N305" s="217"/>
      <c r="O305" s="217"/>
      <c r="P305" s="217"/>
      <c r="Q305" s="217"/>
      <c r="R305" s="217"/>
      <c r="S305" s="217"/>
      <c r="T305" s="217"/>
      <c r="U305" s="217"/>
      <c r="V305" s="217"/>
      <c r="W305" s="217"/>
      <c r="X305" s="217"/>
      <c r="Y305" s="217"/>
      <c r="Z305" s="217"/>
    </row>
    <row r="306" ht="15.75" customHeight="1">
      <c r="A306" s="217"/>
      <c r="B306" s="217"/>
      <c r="C306" s="217"/>
      <c r="D306" s="217"/>
      <c r="E306" s="217"/>
      <c r="F306" s="217"/>
      <c r="G306" s="217"/>
      <c r="H306" s="217"/>
      <c r="I306" s="217"/>
      <c r="J306" s="217"/>
      <c r="K306" s="217"/>
      <c r="L306" s="217"/>
      <c r="M306" s="217"/>
      <c r="N306" s="217"/>
      <c r="O306" s="217"/>
      <c r="P306" s="217"/>
      <c r="Q306" s="217"/>
      <c r="R306" s="217"/>
      <c r="S306" s="217"/>
      <c r="T306" s="217"/>
      <c r="U306" s="217"/>
      <c r="V306" s="217"/>
      <c r="W306" s="217"/>
      <c r="X306" s="217"/>
      <c r="Y306" s="217"/>
      <c r="Z306" s="217"/>
    </row>
    <row r="307" ht="15.75" customHeight="1">
      <c r="A307" s="217"/>
      <c r="B307" s="217"/>
      <c r="C307" s="217"/>
      <c r="D307" s="217"/>
      <c r="E307" s="217"/>
      <c r="F307" s="217"/>
      <c r="G307" s="217"/>
      <c r="H307" s="217"/>
      <c r="I307" s="217"/>
      <c r="J307" s="217"/>
      <c r="K307" s="217"/>
      <c r="L307" s="217"/>
      <c r="M307" s="217"/>
      <c r="N307" s="217"/>
      <c r="O307" s="217"/>
      <c r="P307" s="217"/>
      <c r="Q307" s="217"/>
      <c r="R307" s="217"/>
      <c r="S307" s="217"/>
      <c r="T307" s="217"/>
      <c r="U307" s="217"/>
      <c r="V307" s="217"/>
      <c r="W307" s="217"/>
      <c r="X307" s="217"/>
      <c r="Y307" s="217"/>
      <c r="Z307" s="217"/>
    </row>
    <row r="308" ht="15.75" customHeight="1">
      <c r="A308" s="217"/>
      <c r="B308" s="217"/>
      <c r="C308" s="217"/>
      <c r="D308" s="217"/>
      <c r="E308" s="217"/>
      <c r="F308" s="217"/>
      <c r="G308" s="217"/>
      <c r="H308" s="217"/>
      <c r="I308" s="217"/>
      <c r="J308" s="217"/>
      <c r="K308" s="217"/>
      <c r="L308" s="217"/>
      <c r="M308" s="217"/>
      <c r="N308" s="217"/>
      <c r="O308" s="217"/>
      <c r="P308" s="217"/>
      <c r="Q308" s="217"/>
      <c r="R308" s="217"/>
      <c r="S308" s="217"/>
      <c r="T308" s="217"/>
      <c r="U308" s="217"/>
      <c r="V308" s="217"/>
      <c r="W308" s="217"/>
      <c r="X308" s="217"/>
      <c r="Y308" s="217"/>
      <c r="Z308" s="217"/>
    </row>
    <row r="309" ht="15.75" customHeight="1">
      <c r="A309" s="217"/>
      <c r="B309" s="217"/>
      <c r="C309" s="217"/>
      <c r="D309" s="217"/>
      <c r="E309" s="217"/>
      <c r="F309" s="217"/>
      <c r="G309" s="217"/>
      <c r="H309" s="217"/>
      <c r="I309" s="217"/>
      <c r="J309" s="217"/>
      <c r="K309" s="217"/>
      <c r="L309" s="217"/>
      <c r="M309" s="217"/>
      <c r="N309" s="217"/>
      <c r="O309" s="217"/>
      <c r="P309" s="217"/>
      <c r="Q309" s="217"/>
      <c r="R309" s="217"/>
      <c r="S309" s="217"/>
      <c r="T309" s="217"/>
      <c r="U309" s="217"/>
      <c r="V309" s="217"/>
      <c r="W309" s="217"/>
      <c r="X309" s="217"/>
      <c r="Y309" s="217"/>
      <c r="Z309" s="217"/>
    </row>
    <row r="310" ht="15.75" customHeight="1">
      <c r="A310" s="217"/>
      <c r="B310" s="217"/>
      <c r="C310" s="217"/>
      <c r="D310" s="217"/>
      <c r="E310" s="217"/>
      <c r="F310" s="217"/>
      <c r="G310" s="217"/>
      <c r="H310" s="217"/>
      <c r="I310" s="217"/>
      <c r="J310" s="217"/>
      <c r="K310" s="217"/>
      <c r="L310" s="217"/>
      <c r="M310" s="217"/>
      <c r="N310" s="217"/>
      <c r="O310" s="217"/>
      <c r="P310" s="217"/>
      <c r="Q310" s="217"/>
      <c r="R310" s="217"/>
      <c r="S310" s="217"/>
      <c r="T310" s="217"/>
      <c r="U310" s="217"/>
      <c r="V310" s="217"/>
      <c r="W310" s="217"/>
      <c r="X310" s="217"/>
      <c r="Y310" s="217"/>
      <c r="Z310" s="217"/>
    </row>
    <row r="311" ht="15.75" customHeight="1">
      <c r="A311" s="217"/>
      <c r="B311" s="217"/>
      <c r="C311" s="217"/>
      <c r="D311" s="217"/>
      <c r="E311" s="217"/>
      <c r="F311" s="217"/>
      <c r="G311" s="217"/>
      <c r="H311" s="217"/>
      <c r="I311" s="217"/>
      <c r="J311" s="217"/>
      <c r="K311" s="217"/>
      <c r="L311" s="217"/>
      <c r="M311" s="217"/>
      <c r="N311" s="217"/>
      <c r="O311" s="217"/>
      <c r="P311" s="217"/>
      <c r="Q311" s="217"/>
      <c r="R311" s="217"/>
      <c r="S311" s="217"/>
      <c r="T311" s="217"/>
      <c r="U311" s="217"/>
      <c r="V311" s="217"/>
      <c r="W311" s="217"/>
      <c r="X311" s="217"/>
      <c r="Y311" s="217"/>
      <c r="Z311" s="217"/>
    </row>
    <row r="312" ht="15.75" customHeight="1">
      <c r="A312" s="217"/>
      <c r="B312" s="217"/>
      <c r="C312" s="217"/>
      <c r="D312" s="217"/>
      <c r="E312" s="217"/>
      <c r="F312" s="217"/>
      <c r="G312" s="217"/>
      <c r="H312" s="217"/>
      <c r="I312" s="217"/>
      <c r="J312" s="217"/>
      <c r="K312" s="217"/>
      <c r="L312" s="217"/>
      <c r="M312" s="217"/>
      <c r="N312" s="217"/>
      <c r="O312" s="217"/>
      <c r="P312" s="217"/>
      <c r="Q312" s="217"/>
      <c r="R312" s="217"/>
      <c r="S312" s="217"/>
      <c r="T312" s="217"/>
      <c r="U312" s="217"/>
      <c r="V312" s="217"/>
      <c r="W312" s="217"/>
      <c r="X312" s="217"/>
      <c r="Y312" s="217"/>
      <c r="Z312" s="217"/>
    </row>
    <row r="313" ht="15.75" customHeight="1">
      <c r="A313" s="217"/>
      <c r="B313" s="217"/>
      <c r="C313" s="217"/>
      <c r="D313" s="217"/>
      <c r="E313" s="217"/>
      <c r="F313" s="217"/>
      <c r="G313" s="217"/>
      <c r="H313" s="217"/>
      <c r="I313" s="217"/>
      <c r="J313" s="217"/>
      <c r="K313" s="217"/>
      <c r="L313" s="217"/>
      <c r="M313" s="217"/>
      <c r="N313" s="217"/>
      <c r="O313" s="217"/>
      <c r="P313" s="217"/>
      <c r="Q313" s="217"/>
      <c r="R313" s="217"/>
      <c r="S313" s="217"/>
      <c r="T313" s="217"/>
      <c r="U313" s="217"/>
      <c r="V313" s="217"/>
      <c r="W313" s="217"/>
      <c r="X313" s="217"/>
      <c r="Y313" s="217"/>
      <c r="Z313" s="217"/>
    </row>
    <row r="314" ht="15.75" customHeight="1">
      <c r="A314" s="217"/>
      <c r="B314" s="217"/>
      <c r="C314" s="217"/>
      <c r="D314" s="217"/>
      <c r="E314" s="217"/>
      <c r="F314" s="217"/>
      <c r="G314" s="217"/>
      <c r="H314" s="217"/>
      <c r="I314" s="217"/>
      <c r="J314" s="217"/>
      <c r="K314" s="217"/>
      <c r="L314" s="217"/>
      <c r="M314" s="217"/>
      <c r="N314" s="217"/>
      <c r="O314" s="217"/>
      <c r="P314" s="217"/>
      <c r="Q314" s="217"/>
      <c r="R314" s="217"/>
      <c r="S314" s="217"/>
      <c r="T314" s="217"/>
      <c r="U314" s="217"/>
      <c r="V314" s="217"/>
      <c r="W314" s="217"/>
      <c r="X314" s="217"/>
      <c r="Y314" s="217"/>
      <c r="Z314" s="217"/>
    </row>
    <row r="315" ht="15.75" customHeight="1">
      <c r="A315" s="217"/>
      <c r="B315" s="217"/>
      <c r="C315" s="217"/>
      <c r="D315" s="217"/>
      <c r="E315" s="217"/>
      <c r="F315" s="217"/>
      <c r="G315" s="217"/>
      <c r="H315" s="217"/>
      <c r="I315" s="217"/>
      <c r="J315" s="217"/>
      <c r="K315" s="217"/>
      <c r="L315" s="217"/>
      <c r="M315" s="217"/>
      <c r="N315" s="217"/>
      <c r="O315" s="217"/>
      <c r="P315" s="217"/>
      <c r="Q315" s="217"/>
      <c r="R315" s="217"/>
      <c r="S315" s="217"/>
      <c r="T315" s="217"/>
      <c r="U315" s="217"/>
      <c r="V315" s="217"/>
      <c r="W315" s="217"/>
      <c r="X315" s="217"/>
      <c r="Y315" s="217"/>
      <c r="Z315" s="217"/>
    </row>
    <row r="316" ht="15.75" customHeight="1">
      <c r="A316" s="217"/>
      <c r="B316" s="217"/>
      <c r="C316" s="217"/>
      <c r="D316" s="217"/>
      <c r="E316" s="217"/>
      <c r="F316" s="217"/>
      <c r="G316" s="217"/>
      <c r="H316" s="217"/>
      <c r="I316" s="217"/>
      <c r="J316" s="217"/>
      <c r="K316" s="217"/>
      <c r="L316" s="217"/>
      <c r="M316" s="217"/>
      <c r="N316" s="217"/>
      <c r="O316" s="217"/>
      <c r="P316" s="217"/>
      <c r="Q316" s="217"/>
      <c r="R316" s="217"/>
      <c r="S316" s="217"/>
      <c r="T316" s="217"/>
      <c r="U316" s="217"/>
      <c r="V316" s="217"/>
      <c r="W316" s="217"/>
      <c r="X316" s="217"/>
      <c r="Y316" s="217"/>
      <c r="Z316" s="217"/>
    </row>
    <row r="317" ht="15.75" customHeight="1">
      <c r="A317" s="217"/>
      <c r="B317" s="217"/>
      <c r="C317" s="217"/>
      <c r="D317" s="217"/>
      <c r="E317" s="217"/>
      <c r="F317" s="217"/>
      <c r="G317" s="217"/>
      <c r="H317" s="217"/>
      <c r="I317" s="217"/>
      <c r="J317" s="217"/>
      <c r="K317" s="217"/>
      <c r="L317" s="217"/>
      <c r="M317" s="217"/>
      <c r="N317" s="217"/>
      <c r="O317" s="217"/>
      <c r="P317" s="217"/>
      <c r="Q317" s="217"/>
      <c r="R317" s="217"/>
      <c r="S317" s="217"/>
      <c r="T317" s="217"/>
      <c r="U317" s="217"/>
      <c r="V317" s="217"/>
      <c r="W317" s="217"/>
      <c r="X317" s="217"/>
      <c r="Y317" s="217"/>
      <c r="Z317" s="217"/>
    </row>
    <row r="318" ht="15.75" customHeight="1">
      <c r="A318" s="217"/>
      <c r="B318" s="217"/>
      <c r="C318" s="217"/>
      <c r="D318" s="217"/>
      <c r="E318" s="217"/>
      <c r="F318" s="217"/>
      <c r="G318" s="217"/>
      <c r="H318" s="217"/>
      <c r="I318" s="217"/>
      <c r="J318" s="217"/>
      <c r="K318" s="217"/>
      <c r="L318" s="217"/>
      <c r="M318" s="217"/>
      <c r="N318" s="217"/>
      <c r="O318" s="217"/>
      <c r="P318" s="217"/>
      <c r="Q318" s="217"/>
      <c r="R318" s="217"/>
      <c r="S318" s="217"/>
      <c r="T318" s="217"/>
      <c r="U318" s="217"/>
      <c r="V318" s="217"/>
      <c r="W318" s="217"/>
      <c r="X318" s="217"/>
      <c r="Y318" s="217"/>
      <c r="Z318" s="217"/>
    </row>
    <row r="319" ht="15.75" customHeight="1">
      <c r="A319" s="217"/>
      <c r="B319" s="217"/>
      <c r="C319" s="217"/>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row>
    <row r="320" ht="15.75" customHeight="1">
      <c r="A320" s="217"/>
      <c r="B320" s="217"/>
      <c r="C320" s="217"/>
      <c r="D320" s="217"/>
      <c r="E320" s="217"/>
      <c r="F320" s="217"/>
      <c r="G320" s="217"/>
      <c r="H320" s="217"/>
      <c r="I320" s="217"/>
      <c r="J320" s="217"/>
      <c r="K320" s="217"/>
      <c r="L320" s="217"/>
      <c r="M320" s="217"/>
      <c r="N320" s="217"/>
      <c r="O320" s="217"/>
      <c r="P320" s="217"/>
      <c r="Q320" s="217"/>
      <c r="R320" s="217"/>
      <c r="S320" s="217"/>
      <c r="T320" s="217"/>
      <c r="U320" s="217"/>
      <c r="V320" s="217"/>
      <c r="W320" s="217"/>
      <c r="X320" s="217"/>
      <c r="Y320" s="217"/>
      <c r="Z320" s="217"/>
    </row>
    <row r="321" ht="15.75" customHeight="1">
      <c r="A321" s="217"/>
      <c r="B321" s="217"/>
      <c r="C321" s="217"/>
      <c r="D321" s="217"/>
      <c r="E321" s="217"/>
      <c r="F321" s="217"/>
      <c r="G321" s="217"/>
      <c r="H321" s="217"/>
      <c r="I321" s="217"/>
      <c r="J321" s="217"/>
      <c r="K321" s="217"/>
      <c r="L321" s="217"/>
      <c r="M321" s="217"/>
      <c r="N321" s="217"/>
      <c r="O321" s="217"/>
      <c r="P321" s="217"/>
      <c r="Q321" s="217"/>
      <c r="R321" s="217"/>
      <c r="S321" s="217"/>
      <c r="T321" s="217"/>
      <c r="U321" s="217"/>
      <c r="V321" s="217"/>
      <c r="W321" s="217"/>
      <c r="X321" s="217"/>
      <c r="Y321" s="217"/>
      <c r="Z321" s="217"/>
    </row>
    <row r="322" ht="15.75" customHeight="1">
      <c r="A322" s="217"/>
      <c r="B322" s="217"/>
      <c r="C322" s="217"/>
      <c r="D322" s="217"/>
      <c r="E322" s="217"/>
      <c r="F322" s="217"/>
      <c r="G322" s="217"/>
      <c r="H322" s="217"/>
      <c r="I322" s="217"/>
      <c r="J322" s="217"/>
      <c r="K322" s="217"/>
      <c r="L322" s="217"/>
      <c r="M322" s="217"/>
      <c r="N322" s="217"/>
      <c r="O322" s="217"/>
      <c r="P322" s="217"/>
      <c r="Q322" s="217"/>
      <c r="R322" s="217"/>
      <c r="S322" s="217"/>
      <c r="T322" s="217"/>
      <c r="U322" s="217"/>
      <c r="V322" s="217"/>
      <c r="W322" s="217"/>
      <c r="X322" s="217"/>
      <c r="Y322" s="217"/>
      <c r="Z322" s="217"/>
    </row>
    <row r="323" ht="15.75" customHeight="1">
      <c r="A323" s="217"/>
      <c r="B323" s="217"/>
      <c r="C323" s="217"/>
      <c r="D323" s="217"/>
      <c r="E323" s="217"/>
      <c r="F323" s="217"/>
      <c r="G323" s="217"/>
      <c r="H323" s="217"/>
      <c r="I323" s="217"/>
      <c r="J323" s="217"/>
      <c r="K323" s="217"/>
      <c r="L323" s="217"/>
      <c r="M323" s="217"/>
      <c r="N323" s="217"/>
      <c r="O323" s="217"/>
      <c r="P323" s="217"/>
      <c r="Q323" s="217"/>
      <c r="R323" s="217"/>
      <c r="S323" s="217"/>
      <c r="T323" s="217"/>
      <c r="U323" s="217"/>
      <c r="V323" s="217"/>
      <c r="W323" s="217"/>
      <c r="X323" s="217"/>
      <c r="Y323" s="217"/>
      <c r="Z323" s="217"/>
    </row>
    <row r="324" ht="15.75" customHeight="1">
      <c r="A324" s="217"/>
      <c r="B324" s="217"/>
      <c r="C324" s="217"/>
      <c r="D324" s="217"/>
      <c r="E324" s="217"/>
      <c r="F324" s="217"/>
      <c r="G324" s="217"/>
      <c r="H324" s="217"/>
      <c r="I324" s="217"/>
      <c r="J324" s="217"/>
      <c r="K324" s="217"/>
      <c r="L324" s="217"/>
      <c r="M324" s="217"/>
      <c r="N324" s="217"/>
      <c r="O324" s="217"/>
      <c r="P324" s="217"/>
      <c r="Q324" s="217"/>
      <c r="R324" s="217"/>
      <c r="S324" s="217"/>
      <c r="T324" s="217"/>
      <c r="U324" s="217"/>
      <c r="V324" s="217"/>
      <c r="W324" s="217"/>
      <c r="X324" s="217"/>
      <c r="Y324" s="217"/>
      <c r="Z324" s="217"/>
    </row>
    <row r="325" ht="15.75" customHeight="1">
      <c r="A325" s="217"/>
      <c r="B325" s="217"/>
      <c r="C325" s="217"/>
      <c r="D325" s="217"/>
      <c r="E325" s="217"/>
      <c r="F325" s="217"/>
      <c r="G325" s="217"/>
      <c r="H325" s="217"/>
      <c r="I325" s="217"/>
      <c r="J325" s="217"/>
      <c r="K325" s="217"/>
      <c r="L325" s="217"/>
      <c r="M325" s="217"/>
      <c r="N325" s="217"/>
      <c r="O325" s="217"/>
      <c r="P325" s="217"/>
      <c r="Q325" s="217"/>
      <c r="R325" s="217"/>
      <c r="S325" s="217"/>
      <c r="T325" s="217"/>
      <c r="U325" s="217"/>
      <c r="V325" s="217"/>
      <c r="W325" s="217"/>
      <c r="X325" s="217"/>
      <c r="Y325" s="217"/>
      <c r="Z325" s="217"/>
    </row>
    <row r="326" ht="15.75" customHeight="1">
      <c r="A326" s="217"/>
      <c r="B326" s="217"/>
      <c r="C326" s="217"/>
      <c r="D326" s="217"/>
      <c r="E326" s="217"/>
      <c r="F326" s="217"/>
      <c r="G326" s="217"/>
      <c r="H326" s="217"/>
      <c r="I326" s="217"/>
      <c r="J326" s="217"/>
      <c r="K326" s="217"/>
      <c r="L326" s="217"/>
      <c r="M326" s="217"/>
      <c r="N326" s="217"/>
      <c r="O326" s="217"/>
      <c r="P326" s="217"/>
      <c r="Q326" s="217"/>
      <c r="R326" s="217"/>
      <c r="S326" s="217"/>
      <c r="T326" s="217"/>
      <c r="U326" s="217"/>
      <c r="V326" s="217"/>
      <c r="W326" s="217"/>
      <c r="X326" s="217"/>
      <c r="Y326" s="217"/>
      <c r="Z326" s="217"/>
    </row>
    <row r="327" ht="15.75" customHeight="1">
      <c r="A327" s="217"/>
      <c r="B327" s="217"/>
      <c r="C327" s="217"/>
      <c r="D327" s="217"/>
      <c r="E327" s="217"/>
      <c r="F327" s="217"/>
      <c r="G327" s="217"/>
      <c r="H327" s="217"/>
      <c r="I327" s="217"/>
      <c r="J327" s="217"/>
      <c r="K327" s="217"/>
      <c r="L327" s="217"/>
      <c r="M327" s="217"/>
      <c r="N327" s="217"/>
      <c r="O327" s="217"/>
      <c r="P327" s="217"/>
      <c r="Q327" s="217"/>
      <c r="R327" s="217"/>
      <c r="S327" s="217"/>
      <c r="T327" s="217"/>
      <c r="U327" s="217"/>
      <c r="V327" s="217"/>
      <c r="W327" s="217"/>
      <c r="X327" s="217"/>
      <c r="Y327" s="217"/>
      <c r="Z327" s="217"/>
    </row>
    <row r="328" ht="15.75" customHeight="1">
      <c r="A328" s="217"/>
      <c r="B328" s="217"/>
      <c r="C328" s="217"/>
      <c r="D328" s="217"/>
      <c r="E328" s="217"/>
      <c r="F328" s="217"/>
      <c r="G328" s="217"/>
      <c r="H328" s="217"/>
      <c r="I328" s="217"/>
      <c r="J328" s="217"/>
      <c r="K328" s="217"/>
      <c r="L328" s="217"/>
      <c r="M328" s="217"/>
      <c r="N328" s="217"/>
      <c r="O328" s="217"/>
      <c r="P328" s="217"/>
      <c r="Q328" s="217"/>
      <c r="R328" s="217"/>
      <c r="S328" s="217"/>
      <c r="T328" s="217"/>
      <c r="U328" s="217"/>
      <c r="V328" s="217"/>
      <c r="W328" s="217"/>
      <c r="X328" s="217"/>
      <c r="Y328" s="217"/>
      <c r="Z328" s="217"/>
    </row>
    <row r="329" ht="15.75" customHeight="1">
      <c r="A329" s="217"/>
      <c r="B329" s="217"/>
      <c r="C329" s="217"/>
      <c r="D329" s="217"/>
      <c r="E329" s="217"/>
      <c r="F329" s="217"/>
      <c r="G329" s="217"/>
      <c r="H329" s="217"/>
      <c r="I329" s="217"/>
      <c r="J329" s="217"/>
      <c r="K329" s="217"/>
      <c r="L329" s="217"/>
      <c r="M329" s="217"/>
      <c r="N329" s="217"/>
      <c r="O329" s="217"/>
      <c r="P329" s="217"/>
      <c r="Q329" s="217"/>
      <c r="R329" s="217"/>
      <c r="S329" s="217"/>
      <c r="T329" s="217"/>
      <c r="U329" s="217"/>
      <c r="V329" s="217"/>
      <c r="W329" s="217"/>
      <c r="X329" s="217"/>
      <c r="Y329" s="217"/>
      <c r="Z329" s="217"/>
    </row>
    <row r="330" ht="15.75" customHeight="1">
      <c r="A330" s="217"/>
      <c r="B330" s="217"/>
      <c r="C330" s="217"/>
      <c r="D330" s="217"/>
      <c r="E330" s="217"/>
      <c r="F330" s="217"/>
      <c r="G330" s="217"/>
      <c r="H330" s="217"/>
      <c r="I330" s="217"/>
      <c r="J330" s="217"/>
      <c r="K330" s="217"/>
      <c r="L330" s="217"/>
      <c r="M330" s="217"/>
      <c r="N330" s="217"/>
      <c r="O330" s="217"/>
      <c r="P330" s="217"/>
      <c r="Q330" s="217"/>
      <c r="R330" s="217"/>
      <c r="S330" s="217"/>
      <c r="T330" s="217"/>
      <c r="U330" s="217"/>
      <c r="V330" s="217"/>
      <c r="W330" s="217"/>
      <c r="X330" s="217"/>
      <c r="Y330" s="217"/>
      <c r="Z330" s="217"/>
    </row>
    <row r="331" ht="15.75" customHeight="1">
      <c r="A331" s="217"/>
      <c r="B331" s="217"/>
      <c r="C331" s="217"/>
      <c r="D331" s="217"/>
      <c r="E331" s="217"/>
      <c r="F331" s="217"/>
      <c r="G331" s="217"/>
      <c r="H331" s="217"/>
      <c r="I331" s="217"/>
      <c r="J331" s="217"/>
      <c r="K331" s="217"/>
      <c r="L331" s="217"/>
      <c r="M331" s="217"/>
      <c r="N331" s="217"/>
      <c r="O331" s="217"/>
      <c r="P331" s="217"/>
      <c r="Q331" s="217"/>
      <c r="R331" s="217"/>
      <c r="S331" s="217"/>
      <c r="T331" s="217"/>
      <c r="U331" s="217"/>
      <c r="V331" s="217"/>
      <c r="W331" s="217"/>
      <c r="X331" s="217"/>
      <c r="Y331" s="217"/>
      <c r="Z331" s="217"/>
    </row>
    <row r="332" ht="15.75" customHeight="1">
      <c r="A332" s="217"/>
      <c r="B332" s="217"/>
      <c r="C332" s="217"/>
      <c r="D332" s="217"/>
      <c r="E332" s="217"/>
      <c r="F332" s="217"/>
      <c r="G332" s="217"/>
      <c r="H332" s="217"/>
      <c r="I332" s="217"/>
      <c r="J332" s="217"/>
      <c r="K332" s="217"/>
      <c r="L332" s="217"/>
      <c r="M332" s="217"/>
      <c r="N332" s="217"/>
      <c r="O332" s="217"/>
      <c r="P332" s="217"/>
      <c r="Q332" s="217"/>
      <c r="R332" s="217"/>
      <c r="S332" s="217"/>
      <c r="T332" s="217"/>
      <c r="U332" s="217"/>
      <c r="V332" s="217"/>
      <c r="W332" s="217"/>
      <c r="X332" s="217"/>
      <c r="Y332" s="217"/>
      <c r="Z332" s="217"/>
    </row>
    <row r="333" ht="15.75" customHeight="1">
      <c r="A333" s="217"/>
      <c r="B333" s="217"/>
      <c r="C333" s="217"/>
      <c r="D333" s="217"/>
      <c r="E333" s="217"/>
      <c r="F333" s="217"/>
      <c r="G333" s="217"/>
      <c r="H333" s="217"/>
      <c r="I333" s="217"/>
      <c r="J333" s="217"/>
      <c r="K333" s="217"/>
      <c r="L333" s="217"/>
      <c r="M333" s="217"/>
      <c r="N333" s="217"/>
      <c r="O333" s="217"/>
      <c r="P333" s="217"/>
      <c r="Q333" s="217"/>
      <c r="R333" s="217"/>
      <c r="S333" s="217"/>
      <c r="T333" s="217"/>
      <c r="U333" s="217"/>
      <c r="V333" s="217"/>
      <c r="W333" s="217"/>
      <c r="X333" s="217"/>
      <c r="Y333" s="217"/>
      <c r="Z333" s="217"/>
    </row>
    <row r="334" ht="15.75" customHeight="1">
      <c r="A334" s="217"/>
      <c r="B334" s="217"/>
      <c r="C334" s="217"/>
      <c r="D334" s="217"/>
      <c r="E334" s="217"/>
      <c r="F334" s="217"/>
      <c r="G334" s="217"/>
      <c r="H334" s="217"/>
      <c r="I334" s="217"/>
      <c r="J334" s="217"/>
      <c r="K334" s="217"/>
      <c r="L334" s="217"/>
      <c r="M334" s="217"/>
      <c r="N334" s="217"/>
      <c r="O334" s="217"/>
      <c r="P334" s="217"/>
      <c r="Q334" s="217"/>
      <c r="R334" s="217"/>
      <c r="S334" s="217"/>
      <c r="T334" s="217"/>
      <c r="U334" s="217"/>
      <c r="V334" s="217"/>
      <c r="W334" s="217"/>
      <c r="X334" s="217"/>
      <c r="Y334" s="217"/>
      <c r="Z334" s="217"/>
    </row>
    <row r="335" ht="15.75" customHeight="1">
      <c r="A335" s="217"/>
      <c r="B335" s="217"/>
      <c r="C335" s="217"/>
      <c r="D335" s="217"/>
      <c r="E335" s="217"/>
      <c r="F335" s="217"/>
      <c r="G335" s="217"/>
      <c r="H335" s="217"/>
      <c r="I335" s="217"/>
      <c r="J335" s="217"/>
      <c r="K335" s="217"/>
      <c r="L335" s="217"/>
      <c r="M335" s="217"/>
      <c r="N335" s="217"/>
      <c r="O335" s="217"/>
      <c r="P335" s="217"/>
      <c r="Q335" s="217"/>
      <c r="R335" s="217"/>
      <c r="S335" s="217"/>
      <c r="T335" s="217"/>
      <c r="U335" s="217"/>
      <c r="V335" s="217"/>
      <c r="W335" s="217"/>
      <c r="X335" s="217"/>
      <c r="Y335" s="217"/>
      <c r="Z335" s="217"/>
    </row>
    <row r="336" ht="15.75" customHeight="1">
      <c r="A336" s="217"/>
      <c r="B336" s="217"/>
      <c r="C336" s="217"/>
      <c r="D336" s="217"/>
      <c r="E336" s="217"/>
      <c r="F336" s="217"/>
      <c r="G336" s="217"/>
      <c r="H336" s="217"/>
      <c r="I336" s="217"/>
      <c r="J336" s="217"/>
      <c r="K336" s="217"/>
      <c r="L336" s="217"/>
      <c r="M336" s="217"/>
      <c r="N336" s="217"/>
      <c r="O336" s="217"/>
      <c r="P336" s="217"/>
      <c r="Q336" s="217"/>
      <c r="R336" s="217"/>
      <c r="S336" s="217"/>
      <c r="T336" s="217"/>
      <c r="U336" s="217"/>
      <c r="V336" s="217"/>
      <c r="W336" s="217"/>
      <c r="X336" s="217"/>
      <c r="Y336" s="217"/>
      <c r="Z336" s="217"/>
    </row>
    <row r="337" ht="15.75" customHeight="1">
      <c r="A337" s="217"/>
      <c r="B337" s="217"/>
      <c r="C337" s="217"/>
      <c r="D337" s="217"/>
      <c r="E337" s="217"/>
      <c r="F337" s="217"/>
      <c r="G337" s="217"/>
      <c r="H337" s="217"/>
      <c r="I337" s="217"/>
      <c r="J337" s="217"/>
      <c r="K337" s="217"/>
      <c r="L337" s="217"/>
      <c r="M337" s="217"/>
      <c r="N337" s="217"/>
      <c r="O337" s="217"/>
      <c r="P337" s="217"/>
      <c r="Q337" s="217"/>
      <c r="R337" s="217"/>
      <c r="S337" s="217"/>
      <c r="T337" s="217"/>
      <c r="U337" s="217"/>
      <c r="V337" s="217"/>
      <c r="W337" s="217"/>
      <c r="X337" s="217"/>
      <c r="Y337" s="217"/>
      <c r="Z337" s="217"/>
    </row>
    <row r="338" ht="15.75" customHeight="1">
      <c r="A338" s="217"/>
      <c r="B338" s="217"/>
      <c r="C338" s="217"/>
      <c r="D338" s="217"/>
      <c r="E338" s="217"/>
      <c r="F338" s="217"/>
      <c r="G338" s="217"/>
      <c r="H338" s="217"/>
      <c r="I338" s="217"/>
      <c r="J338" s="217"/>
      <c r="K338" s="217"/>
      <c r="L338" s="217"/>
      <c r="M338" s="217"/>
      <c r="N338" s="217"/>
      <c r="O338" s="217"/>
      <c r="P338" s="217"/>
      <c r="Q338" s="217"/>
      <c r="R338" s="217"/>
      <c r="S338" s="217"/>
      <c r="T338" s="217"/>
      <c r="U338" s="217"/>
      <c r="V338" s="217"/>
      <c r="W338" s="217"/>
      <c r="X338" s="217"/>
      <c r="Y338" s="217"/>
      <c r="Z338" s="217"/>
    </row>
    <row r="339" ht="15.75" customHeight="1">
      <c r="A339" s="217"/>
      <c r="B339" s="217"/>
      <c r="C339" s="217"/>
      <c r="D339" s="217"/>
      <c r="E339" s="217"/>
      <c r="F339" s="217"/>
      <c r="G339" s="217"/>
      <c r="H339" s="217"/>
      <c r="I339" s="217"/>
      <c r="J339" s="217"/>
      <c r="K339" s="217"/>
      <c r="L339" s="217"/>
      <c r="M339" s="217"/>
      <c r="N339" s="217"/>
      <c r="O339" s="217"/>
      <c r="P339" s="217"/>
      <c r="Q339" s="217"/>
      <c r="R339" s="217"/>
      <c r="S339" s="217"/>
      <c r="T339" s="217"/>
      <c r="U339" s="217"/>
      <c r="V339" s="217"/>
      <c r="W339" s="217"/>
      <c r="X339" s="217"/>
      <c r="Y339" s="217"/>
      <c r="Z339" s="217"/>
    </row>
    <row r="340" ht="15.75" customHeight="1">
      <c r="A340" s="217"/>
      <c r="B340" s="217"/>
      <c r="C340" s="217"/>
      <c r="D340" s="217"/>
      <c r="E340" s="217"/>
      <c r="F340" s="217"/>
      <c r="G340" s="217"/>
      <c r="H340" s="217"/>
      <c r="I340" s="217"/>
      <c r="J340" s="217"/>
      <c r="K340" s="217"/>
      <c r="L340" s="217"/>
      <c r="M340" s="217"/>
      <c r="N340" s="217"/>
      <c r="O340" s="217"/>
      <c r="P340" s="217"/>
      <c r="Q340" s="217"/>
      <c r="R340" s="217"/>
      <c r="S340" s="217"/>
      <c r="T340" s="217"/>
      <c r="U340" s="217"/>
      <c r="V340" s="217"/>
      <c r="W340" s="217"/>
      <c r="X340" s="217"/>
      <c r="Y340" s="217"/>
      <c r="Z340" s="217"/>
    </row>
    <row r="341" ht="15.75" customHeight="1">
      <c r="A341" s="217"/>
      <c r="B341" s="217"/>
      <c r="C341" s="217"/>
      <c r="D341" s="217"/>
      <c r="E341" s="217"/>
      <c r="F341" s="217"/>
      <c r="G341" s="217"/>
      <c r="H341" s="217"/>
      <c r="I341" s="217"/>
      <c r="J341" s="217"/>
      <c r="K341" s="217"/>
      <c r="L341" s="217"/>
      <c r="M341" s="217"/>
      <c r="N341" s="217"/>
      <c r="O341" s="217"/>
      <c r="P341" s="217"/>
      <c r="Q341" s="217"/>
      <c r="R341" s="217"/>
      <c r="S341" s="217"/>
      <c r="T341" s="217"/>
      <c r="U341" s="217"/>
      <c r="V341" s="217"/>
      <c r="W341" s="217"/>
      <c r="X341" s="217"/>
      <c r="Y341" s="217"/>
      <c r="Z341" s="217"/>
    </row>
    <row r="342" ht="15.75" customHeight="1">
      <c r="A342" s="217"/>
      <c r="B342" s="217"/>
      <c r="C342" s="217"/>
      <c r="D342" s="217"/>
      <c r="E342" s="217"/>
      <c r="F342" s="217"/>
      <c r="G342" s="217"/>
      <c r="H342" s="217"/>
      <c r="I342" s="217"/>
      <c r="J342" s="217"/>
      <c r="K342" s="217"/>
      <c r="L342" s="217"/>
      <c r="M342" s="217"/>
      <c r="N342" s="217"/>
      <c r="O342" s="217"/>
      <c r="P342" s="217"/>
      <c r="Q342" s="217"/>
      <c r="R342" s="217"/>
      <c r="S342" s="217"/>
      <c r="T342" s="217"/>
      <c r="U342" s="217"/>
      <c r="V342" s="217"/>
      <c r="W342" s="217"/>
      <c r="X342" s="217"/>
      <c r="Y342" s="217"/>
      <c r="Z342" s="217"/>
    </row>
    <row r="343" ht="15.75" customHeight="1">
      <c r="A343" s="217"/>
      <c r="B343" s="217"/>
      <c r="C343" s="217"/>
      <c r="D343" s="217"/>
      <c r="E343" s="217"/>
      <c r="F343" s="217"/>
      <c r="G343" s="217"/>
      <c r="H343" s="217"/>
      <c r="I343" s="217"/>
      <c r="J343" s="217"/>
      <c r="K343" s="217"/>
      <c r="L343" s="217"/>
      <c r="M343" s="217"/>
      <c r="N343" s="217"/>
      <c r="O343" s="217"/>
      <c r="P343" s="217"/>
      <c r="Q343" s="217"/>
      <c r="R343" s="217"/>
      <c r="S343" s="217"/>
      <c r="T343" s="217"/>
      <c r="U343" s="217"/>
      <c r="V343" s="217"/>
      <c r="W343" s="217"/>
      <c r="X343" s="217"/>
      <c r="Y343" s="217"/>
      <c r="Z343" s="217"/>
    </row>
    <row r="344" ht="15.75" customHeight="1">
      <c r="A344" s="217"/>
      <c r="B344" s="217"/>
      <c r="C344" s="217"/>
      <c r="D344" s="217"/>
      <c r="E344" s="217"/>
      <c r="F344" s="217"/>
      <c r="G344" s="217"/>
      <c r="H344" s="217"/>
      <c r="I344" s="217"/>
      <c r="J344" s="217"/>
      <c r="K344" s="217"/>
      <c r="L344" s="217"/>
      <c r="M344" s="217"/>
      <c r="N344" s="217"/>
      <c r="O344" s="217"/>
      <c r="P344" s="217"/>
      <c r="Q344" s="217"/>
      <c r="R344" s="217"/>
      <c r="S344" s="217"/>
      <c r="T344" s="217"/>
      <c r="U344" s="217"/>
      <c r="V344" s="217"/>
      <c r="W344" s="217"/>
      <c r="X344" s="217"/>
      <c r="Y344" s="217"/>
      <c r="Z344" s="217"/>
    </row>
    <row r="345" ht="15.75" customHeight="1">
      <c r="A345" s="217"/>
      <c r="B345" s="217"/>
      <c r="C345" s="217"/>
      <c r="D345" s="217"/>
      <c r="E345" s="217"/>
      <c r="F345" s="217"/>
      <c r="G345" s="217"/>
      <c r="H345" s="217"/>
      <c r="I345" s="217"/>
      <c r="J345" s="217"/>
      <c r="K345" s="217"/>
      <c r="L345" s="217"/>
      <c r="M345" s="217"/>
      <c r="N345" s="217"/>
      <c r="O345" s="217"/>
      <c r="P345" s="217"/>
      <c r="Q345" s="217"/>
      <c r="R345" s="217"/>
      <c r="S345" s="217"/>
      <c r="T345" s="217"/>
      <c r="U345" s="217"/>
      <c r="V345" s="217"/>
      <c r="W345" s="217"/>
      <c r="X345" s="217"/>
      <c r="Y345" s="217"/>
      <c r="Z345" s="217"/>
    </row>
    <row r="346" ht="15.75" customHeight="1">
      <c r="A346" s="217"/>
      <c r="B346" s="217"/>
      <c r="C346" s="217"/>
      <c r="D346" s="217"/>
      <c r="E346" s="217"/>
      <c r="F346" s="217"/>
      <c r="G346" s="217"/>
      <c r="H346" s="217"/>
      <c r="I346" s="217"/>
      <c r="J346" s="217"/>
      <c r="K346" s="217"/>
      <c r="L346" s="217"/>
      <c r="M346" s="217"/>
      <c r="N346" s="217"/>
      <c r="O346" s="217"/>
      <c r="P346" s="217"/>
      <c r="Q346" s="217"/>
      <c r="R346" s="217"/>
      <c r="S346" s="217"/>
      <c r="T346" s="217"/>
      <c r="U346" s="217"/>
      <c r="V346" s="217"/>
      <c r="W346" s="217"/>
      <c r="X346" s="217"/>
      <c r="Y346" s="217"/>
      <c r="Z346" s="217"/>
    </row>
    <row r="347" ht="15.75" customHeight="1">
      <c r="A347" s="217"/>
      <c r="B347" s="217"/>
      <c r="C347" s="217"/>
      <c r="D347" s="217"/>
      <c r="E347" s="217"/>
      <c r="F347" s="217"/>
      <c r="G347" s="217"/>
      <c r="H347" s="217"/>
      <c r="I347" s="217"/>
      <c r="J347" s="217"/>
      <c r="K347" s="217"/>
      <c r="L347" s="217"/>
      <c r="M347" s="217"/>
      <c r="N347" s="217"/>
      <c r="O347" s="217"/>
      <c r="P347" s="217"/>
      <c r="Q347" s="217"/>
      <c r="R347" s="217"/>
      <c r="S347" s="217"/>
      <c r="T347" s="217"/>
      <c r="U347" s="217"/>
      <c r="V347" s="217"/>
      <c r="W347" s="217"/>
      <c r="X347" s="217"/>
      <c r="Y347" s="217"/>
      <c r="Z347" s="217"/>
    </row>
    <row r="348" ht="15.75" customHeight="1">
      <c r="A348" s="217"/>
      <c r="B348" s="217"/>
      <c r="C348" s="217"/>
      <c r="D348" s="217"/>
      <c r="E348" s="217"/>
      <c r="F348" s="217"/>
      <c r="G348" s="217"/>
      <c r="H348" s="217"/>
      <c r="I348" s="217"/>
      <c r="J348" s="217"/>
      <c r="K348" s="217"/>
      <c r="L348" s="217"/>
      <c r="M348" s="217"/>
      <c r="N348" s="217"/>
      <c r="O348" s="217"/>
      <c r="P348" s="217"/>
      <c r="Q348" s="217"/>
      <c r="R348" s="217"/>
      <c r="S348" s="217"/>
      <c r="T348" s="217"/>
      <c r="U348" s="217"/>
      <c r="V348" s="217"/>
      <c r="W348" s="217"/>
      <c r="X348" s="217"/>
      <c r="Y348" s="217"/>
      <c r="Z348" s="217"/>
    </row>
    <row r="349" ht="15.75" customHeight="1">
      <c r="A349" s="217"/>
      <c r="B349" s="217"/>
      <c r="C349" s="217"/>
      <c r="D349" s="217"/>
      <c r="E349" s="217"/>
      <c r="F349" s="217"/>
      <c r="G349" s="217"/>
      <c r="H349" s="217"/>
      <c r="I349" s="217"/>
      <c r="J349" s="217"/>
      <c r="K349" s="217"/>
      <c r="L349" s="217"/>
      <c r="M349" s="217"/>
      <c r="N349" s="217"/>
      <c r="O349" s="217"/>
      <c r="P349" s="217"/>
      <c r="Q349" s="217"/>
      <c r="R349" s="217"/>
      <c r="S349" s="217"/>
      <c r="T349" s="217"/>
      <c r="U349" s="217"/>
      <c r="V349" s="217"/>
      <c r="W349" s="217"/>
      <c r="X349" s="217"/>
      <c r="Y349" s="217"/>
      <c r="Z349" s="217"/>
    </row>
    <row r="350" ht="15.75" customHeight="1">
      <c r="A350" s="217"/>
      <c r="B350" s="217"/>
      <c r="C350" s="217"/>
      <c r="D350" s="217"/>
      <c r="E350" s="217"/>
      <c r="F350" s="217"/>
      <c r="G350" s="217"/>
      <c r="H350" s="217"/>
      <c r="I350" s="217"/>
      <c r="J350" s="217"/>
      <c r="K350" s="217"/>
      <c r="L350" s="217"/>
      <c r="M350" s="217"/>
      <c r="N350" s="217"/>
      <c r="O350" s="217"/>
      <c r="P350" s="217"/>
      <c r="Q350" s="217"/>
      <c r="R350" s="217"/>
      <c r="S350" s="217"/>
      <c r="T350" s="217"/>
      <c r="U350" s="217"/>
      <c r="V350" s="217"/>
      <c r="W350" s="217"/>
      <c r="X350" s="217"/>
      <c r="Y350" s="217"/>
      <c r="Z350" s="217"/>
    </row>
    <row r="351" ht="15.75" customHeight="1">
      <c r="A351" s="217"/>
      <c r="B351" s="217"/>
      <c r="C351" s="217"/>
      <c r="D351" s="217"/>
      <c r="E351" s="217"/>
      <c r="F351" s="217"/>
      <c r="G351" s="217"/>
      <c r="H351" s="217"/>
      <c r="I351" s="217"/>
      <c r="J351" s="217"/>
      <c r="K351" s="217"/>
      <c r="L351" s="217"/>
      <c r="M351" s="217"/>
      <c r="N351" s="217"/>
      <c r="O351" s="217"/>
      <c r="P351" s="217"/>
      <c r="Q351" s="217"/>
      <c r="R351" s="217"/>
      <c r="S351" s="217"/>
      <c r="T351" s="217"/>
      <c r="U351" s="217"/>
      <c r="V351" s="217"/>
      <c r="W351" s="217"/>
      <c r="X351" s="217"/>
      <c r="Y351" s="217"/>
      <c r="Z351" s="217"/>
    </row>
    <row r="352" ht="15.75" customHeight="1">
      <c r="A352" s="217"/>
      <c r="B352" s="217"/>
      <c r="C352" s="217"/>
      <c r="D352" s="217"/>
      <c r="E352" s="217"/>
      <c r="F352" s="217"/>
      <c r="G352" s="217"/>
      <c r="H352" s="217"/>
      <c r="I352" s="217"/>
      <c r="J352" s="217"/>
      <c r="K352" s="217"/>
      <c r="L352" s="217"/>
      <c r="M352" s="217"/>
      <c r="N352" s="217"/>
      <c r="O352" s="217"/>
      <c r="P352" s="217"/>
      <c r="Q352" s="217"/>
      <c r="R352" s="217"/>
      <c r="S352" s="217"/>
      <c r="T352" s="217"/>
      <c r="U352" s="217"/>
      <c r="V352" s="217"/>
      <c r="W352" s="217"/>
      <c r="X352" s="217"/>
      <c r="Y352" s="217"/>
      <c r="Z352" s="217"/>
    </row>
    <row r="353" ht="15.75" customHeight="1">
      <c r="A353" s="217"/>
      <c r="B353" s="217"/>
      <c r="C353" s="217"/>
      <c r="D353" s="217"/>
      <c r="E353" s="217"/>
      <c r="F353" s="217"/>
      <c r="G353" s="217"/>
      <c r="H353" s="217"/>
      <c r="I353" s="217"/>
      <c r="J353" s="217"/>
      <c r="K353" s="217"/>
      <c r="L353" s="217"/>
      <c r="M353" s="217"/>
      <c r="N353" s="217"/>
      <c r="O353" s="217"/>
      <c r="P353" s="217"/>
      <c r="Q353" s="217"/>
      <c r="R353" s="217"/>
      <c r="S353" s="217"/>
      <c r="T353" s="217"/>
      <c r="U353" s="217"/>
      <c r="V353" s="217"/>
      <c r="W353" s="217"/>
      <c r="X353" s="217"/>
      <c r="Y353" s="217"/>
      <c r="Z353" s="217"/>
    </row>
    <row r="354" ht="15.75" customHeight="1">
      <c r="A354" s="217"/>
      <c r="B354" s="217"/>
      <c r="C354" s="217"/>
      <c r="D354" s="217"/>
      <c r="E354" s="217"/>
      <c r="F354" s="217"/>
      <c r="G354" s="217"/>
      <c r="H354" s="217"/>
      <c r="I354" s="217"/>
      <c r="J354" s="217"/>
      <c r="K354" s="217"/>
      <c r="L354" s="217"/>
      <c r="M354" s="217"/>
      <c r="N354" s="217"/>
      <c r="O354" s="217"/>
      <c r="P354" s="217"/>
      <c r="Q354" s="217"/>
      <c r="R354" s="217"/>
      <c r="S354" s="217"/>
      <c r="T354" s="217"/>
      <c r="U354" s="217"/>
      <c r="V354" s="217"/>
      <c r="W354" s="217"/>
      <c r="X354" s="217"/>
      <c r="Y354" s="217"/>
      <c r="Z354" s="217"/>
    </row>
    <row r="355" ht="15.75" customHeight="1">
      <c r="A355" s="217"/>
      <c r="B355" s="217"/>
      <c r="C355" s="217"/>
      <c r="D355" s="217"/>
      <c r="E355" s="217"/>
      <c r="F355" s="217"/>
      <c r="G355" s="217"/>
      <c r="H355" s="217"/>
      <c r="I355" s="217"/>
      <c r="J355" s="217"/>
      <c r="K355" s="217"/>
      <c r="L355" s="217"/>
      <c r="M355" s="217"/>
      <c r="N355" s="217"/>
      <c r="O355" s="217"/>
      <c r="P355" s="217"/>
      <c r="Q355" s="217"/>
      <c r="R355" s="217"/>
      <c r="S355" s="217"/>
      <c r="T355" s="217"/>
      <c r="U355" s="217"/>
      <c r="V355" s="217"/>
      <c r="W355" s="217"/>
      <c r="X355" s="217"/>
      <c r="Y355" s="217"/>
      <c r="Z355" s="217"/>
    </row>
    <row r="356" ht="15.75" customHeight="1">
      <c r="A356" s="217"/>
      <c r="B356" s="217"/>
      <c r="C356" s="217"/>
      <c r="D356" s="217"/>
      <c r="E356" s="217"/>
      <c r="F356" s="217"/>
      <c r="G356" s="217"/>
      <c r="H356" s="217"/>
      <c r="I356" s="217"/>
      <c r="J356" s="217"/>
      <c r="K356" s="217"/>
      <c r="L356" s="217"/>
      <c r="M356" s="217"/>
      <c r="N356" s="217"/>
      <c r="O356" s="217"/>
      <c r="P356" s="217"/>
      <c r="Q356" s="217"/>
      <c r="R356" s="217"/>
      <c r="S356" s="217"/>
      <c r="T356" s="217"/>
      <c r="U356" s="217"/>
      <c r="V356" s="217"/>
      <c r="W356" s="217"/>
      <c r="X356" s="217"/>
      <c r="Y356" s="217"/>
      <c r="Z356" s="217"/>
    </row>
    <row r="357" ht="15.75" customHeight="1">
      <c r="A357" s="217"/>
      <c r="B357" s="217"/>
      <c r="C357" s="217"/>
      <c r="D357" s="217"/>
      <c r="E357" s="217"/>
      <c r="F357" s="217"/>
      <c r="G357" s="217"/>
      <c r="H357" s="217"/>
      <c r="I357" s="217"/>
      <c r="J357" s="217"/>
      <c r="K357" s="217"/>
      <c r="L357" s="217"/>
      <c r="M357" s="217"/>
      <c r="N357" s="217"/>
      <c r="O357" s="217"/>
      <c r="P357" s="217"/>
      <c r="Q357" s="217"/>
      <c r="R357" s="217"/>
      <c r="S357" s="217"/>
      <c r="T357" s="217"/>
      <c r="U357" s="217"/>
      <c r="V357" s="217"/>
      <c r="W357" s="217"/>
      <c r="X357" s="217"/>
      <c r="Y357" s="217"/>
      <c r="Z357" s="217"/>
    </row>
    <row r="358" ht="15.75" customHeight="1">
      <c r="A358" s="217"/>
      <c r="B358" s="217"/>
      <c r="C358" s="217"/>
      <c r="D358" s="217"/>
      <c r="E358" s="217"/>
      <c r="F358" s="217"/>
      <c r="G358" s="217"/>
      <c r="H358" s="217"/>
      <c r="I358" s="217"/>
      <c r="J358" s="217"/>
      <c r="K358" s="217"/>
      <c r="L358" s="217"/>
      <c r="M358" s="217"/>
      <c r="N358" s="217"/>
      <c r="O358" s="217"/>
      <c r="P358" s="217"/>
      <c r="Q358" s="217"/>
      <c r="R358" s="217"/>
      <c r="S358" s="217"/>
      <c r="T358" s="217"/>
      <c r="U358" s="217"/>
      <c r="V358" s="217"/>
      <c r="W358" s="217"/>
      <c r="X358" s="217"/>
      <c r="Y358" s="217"/>
      <c r="Z358" s="217"/>
    </row>
    <row r="359" ht="15.75" customHeight="1">
      <c r="A359" s="217"/>
      <c r="B359" s="217"/>
      <c r="C359" s="217"/>
      <c r="D359" s="217"/>
      <c r="E359" s="217"/>
      <c r="F359" s="217"/>
      <c r="G359" s="217"/>
      <c r="H359" s="217"/>
      <c r="I359" s="217"/>
      <c r="J359" s="217"/>
      <c r="K359" s="217"/>
      <c r="L359" s="217"/>
      <c r="M359" s="217"/>
      <c r="N359" s="217"/>
      <c r="O359" s="217"/>
      <c r="P359" s="217"/>
      <c r="Q359" s="217"/>
      <c r="R359" s="217"/>
      <c r="S359" s="217"/>
      <c r="T359" s="217"/>
      <c r="U359" s="217"/>
      <c r="V359" s="217"/>
      <c r="W359" s="217"/>
      <c r="X359" s="217"/>
      <c r="Y359" s="217"/>
      <c r="Z359" s="217"/>
    </row>
    <row r="360" ht="15.75" customHeight="1">
      <c r="A360" s="217"/>
      <c r="B360" s="217"/>
      <c r="C360" s="217"/>
      <c r="D360" s="217"/>
      <c r="E360" s="217"/>
      <c r="F360" s="217"/>
      <c r="G360" s="217"/>
      <c r="H360" s="217"/>
      <c r="I360" s="217"/>
      <c r="J360" s="217"/>
      <c r="K360" s="217"/>
      <c r="L360" s="217"/>
      <c r="M360" s="217"/>
      <c r="N360" s="217"/>
      <c r="O360" s="217"/>
      <c r="P360" s="217"/>
      <c r="Q360" s="217"/>
      <c r="R360" s="217"/>
      <c r="S360" s="217"/>
      <c r="T360" s="217"/>
      <c r="U360" s="217"/>
      <c r="V360" s="217"/>
      <c r="W360" s="217"/>
      <c r="X360" s="217"/>
      <c r="Y360" s="217"/>
      <c r="Z360" s="217"/>
    </row>
    <row r="361" ht="15.75" customHeight="1">
      <c r="A361" s="217"/>
      <c r="B361" s="217"/>
      <c r="C361" s="217"/>
      <c r="D361" s="217"/>
      <c r="E361" s="217"/>
      <c r="F361" s="217"/>
      <c r="G361" s="217"/>
      <c r="H361" s="217"/>
      <c r="I361" s="217"/>
      <c r="J361" s="217"/>
      <c r="K361" s="217"/>
      <c r="L361" s="217"/>
      <c r="M361" s="217"/>
      <c r="N361" s="217"/>
      <c r="O361" s="217"/>
      <c r="P361" s="217"/>
      <c r="Q361" s="217"/>
      <c r="R361" s="217"/>
      <c r="S361" s="217"/>
      <c r="T361" s="217"/>
      <c r="U361" s="217"/>
      <c r="V361" s="217"/>
      <c r="W361" s="217"/>
      <c r="X361" s="217"/>
      <c r="Y361" s="217"/>
      <c r="Z361" s="217"/>
    </row>
    <row r="362" ht="15.75" customHeight="1">
      <c r="A362" s="217"/>
      <c r="B362" s="217"/>
      <c r="C362" s="217"/>
      <c r="D362" s="217"/>
      <c r="E362" s="217"/>
      <c r="F362" s="217"/>
      <c r="G362" s="217"/>
      <c r="H362" s="217"/>
      <c r="I362" s="217"/>
      <c r="J362" s="217"/>
      <c r="K362" s="217"/>
      <c r="L362" s="217"/>
      <c r="M362" s="217"/>
      <c r="N362" s="217"/>
      <c r="O362" s="217"/>
      <c r="P362" s="217"/>
      <c r="Q362" s="217"/>
      <c r="R362" s="217"/>
      <c r="S362" s="217"/>
      <c r="T362" s="217"/>
      <c r="U362" s="217"/>
      <c r="V362" s="217"/>
      <c r="W362" s="217"/>
      <c r="X362" s="217"/>
      <c r="Y362" s="217"/>
      <c r="Z362" s="217"/>
    </row>
    <row r="363" ht="15.75" customHeight="1">
      <c r="A363" s="217"/>
      <c r="B363" s="217"/>
      <c r="C363" s="217"/>
      <c r="D363" s="217"/>
      <c r="E363" s="217"/>
      <c r="F363" s="217"/>
      <c r="G363" s="217"/>
      <c r="H363" s="217"/>
      <c r="I363" s="217"/>
      <c r="J363" s="217"/>
      <c r="K363" s="217"/>
      <c r="L363" s="217"/>
      <c r="M363" s="217"/>
      <c r="N363" s="217"/>
      <c r="O363" s="217"/>
      <c r="P363" s="217"/>
      <c r="Q363" s="217"/>
      <c r="R363" s="217"/>
      <c r="S363" s="217"/>
      <c r="T363" s="217"/>
      <c r="U363" s="217"/>
      <c r="V363" s="217"/>
      <c r="W363" s="217"/>
      <c r="X363" s="217"/>
      <c r="Y363" s="217"/>
      <c r="Z363" s="217"/>
    </row>
    <row r="364" ht="15.75" customHeight="1">
      <c r="A364" s="217"/>
      <c r="B364" s="217"/>
      <c r="C364" s="217"/>
      <c r="D364" s="217"/>
      <c r="E364" s="217"/>
      <c r="F364" s="217"/>
      <c r="G364" s="217"/>
      <c r="H364" s="217"/>
      <c r="I364" s="217"/>
      <c r="J364" s="217"/>
      <c r="K364" s="217"/>
      <c r="L364" s="217"/>
      <c r="M364" s="217"/>
      <c r="N364" s="217"/>
      <c r="O364" s="217"/>
      <c r="P364" s="217"/>
      <c r="Q364" s="217"/>
      <c r="R364" s="217"/>
      <c r="S364" s="217"/>
      <c r="T364" s="217"/>
      <c r="U364" s="217"/>
      <c r="V364" s="217"/>
      <c r="W364" s="217"/>
      <c r="X364" s="217"/>
      <c r="Y364" s="217"/>
      <c r="Z364" s="217"/>
    </row>
    <row r="365" ht="15.75" customHeight="1">
      <c r="A365" s="217"/>
      <c r="B365" s="217"/>
      <c r="C365" s="217"/>
      <c r="D365" s="217"/>
      <c r="E365" s="217"/>
      <c r="F365" s="217"/>
      <c r="G365" s="217"/>
      <c r="H365" s="217"/>
      <c r="I365" s="217"/>
      <c r="J365" s="217"/>
      <c r="K365" s="217"/>
      <c r="L365" s="217"/>
      <c r="M365" s="217"/>
      <c r="N365" s="217"/>
      <c r="O365" s="217"/>
      <c r="P365" s="217"/>
      <c r="Q365" s="217"/>
      <c r="R365" s="217"/>
      <c r="S365" s="217"/>
      <c r="T365" s="217"/>
      <c r="U365" s="217"/>
      <c r="V365" s="217"/>
      <c r="W365" s="217"/>
      <c r="X365" s="217"/>
      <c r="Y365" s="217"/>
      <c r="Z365" s="217"/>
    </row>
    <row r="366" ht="15.75" customHeight="1">
      <c r="A366" s="217"/>
      <c r="B366" s="217"/>
      <c r="C366" s="217"/>
      <c r="D366" s="217"/>
      <c r="E366" s="217"/>
      <c r="F366" s="217"/>
      <c r="G366" s="217"/>
      <c r="H366" s="217"/>
      <c r="I366" s="217"/>
      <c r="J366" s="217"/>
      <c r="K366" s="217"/>
      <c r="L366" s="217"/>
      <c r="M366" s="217"/>
      <c r="N366" s="217"/>
      <c r="O366" s="217"/>
      <c r="P366" s="217"/>
      <c r="Q366" s="217"/>
      <c r="R366" s="217"/>
      <c r="S366" s="217"/>
      <c r="T366" s="217"/>
      <c r="U366" s="217"/>
      <c r="V366" s="217"/>
      <c r="W366" s="217"/>
      <c r="X366" s="217"/>
      <c r="Y366" s="217"/>
      <c r="Z366" s="217"/>
    </row>
    <row r="367" ht="15.75" customHeight="1">
      <c r="A367" s="217"/>
      <c r="B367" s="217"/>
      <c r="C367" s="217"/>
      <c r="D367" s="217"/>
      <c r="E367" s="217"/>
      <c r="F367" s="217"/>
      <c r="G367" s="217"/>
      <c r="H367" s="217"/>
      <c r="I367" s="217"/>
      <c r="J367" s="217"/>
      <c r="K367" s="217"/>
      <c r="L367" s="217"/>
      <c r="M367" s="217"/>
      <c r="N367" s="217"/>
      <c r="O367" s="217"/>
      <c r="P367" s="217"/>
      <c r="Q367" s="217"/>
      <c r="R367" s="217"/>
      <c r="S367" s="217"/>
      <c r="T367" s="217"/>
      <c r="U367" s="217"/>
      <c r="V367" s="217"/>
      <c r="W367" s="217"/>
      <c r="X367" s="217"/>
      <c r="Y367" s="217"/>
      <c r="Z367" s="217"/>
    </row>
    <row r="368" ht="15.75" customHeight="1">
      <c r="A368" s="217"/>
      <c r="B368" s="217"/>
      <c r="C368" s="217"/>
      <c r="D368" s="217"/>
      <c r="E368" s="217"/>
      <c r="F368" s="217"/>
      <c r="G368" s="217"/>
      <c r="H368" s="217"/>
      <c r="I368" s="217"/>
      <c r="J368" s="217"/>
      <c r="K368" s="217"/>
      <c r="L368" s="217"/>
      <c r="M368" s="217"/>
      <c r="N368" s="217"/>
      <c r="O368" s="217"/>
      <c r="P368" s="217"/>
      <c r="Q368" s="217"/>
      <c r="R368" s="217"/>
      <c r="S368" s="217"/>
      <c r="T368" s="217"/>
      <c r="U368" s="217"/>
      <c r="V368" s="217"/>
      <c r="W368" s="217"/>
      <c r="X368" s="217"/>
      <c r="Y368" s="217"/>
      <c r="Z368" s="217"/>
    </row>
    <row r="369" ht="15.75" customHeight="1">
      <c r="A369" s="217"/>
      <c r="B369" s="217"/>
      <c r="C369" s="217"/>
      <c r="D369" s="217"/>
      <c r="E369" s="217"/>
      <c r="F369" s="217"/>
      <c r="G369" s="217"/>
      <c r="H369" s="217"/>
      <c r="I369" s="217"/>
      <c r="J369" s="217"/>
      <c r="K369" s="217"/>
      <c r="L369" s="217"/>
      <c r="M369" s="217"/>
      <c r="N369" s="217"/>
      <c r="O369" s="217"/>
      <c r="P369" s="217"/>
      <c r="Q369" s="217"/>
      <c r="R369" s="217"/>
      <c r="S369" s="217"/>
      <c r="T369" s="217"/>
      <c r="U369" s="217"/>
      <c r="V369" s="217"/>
      <c r="W369" s="217"/>
      <c r="X369" s="217"/>
      <c r="Y369" s="217"/>
      <c r="Z369" s="217"/>
    </row>
    <row r="370" ht="15.75" customHeight="1">
      <c r="A370" s="217"/>
      <c r="B370" s="217"/>
      <c r="C370" s="217"/>
      <c r="D370" s="217"/>
      <c r="E370" s="217"/>
      <c r="F370" s="217"/>
      <c r="G370" s="217"/>
      <c r="H370" s="217"/>
      <c r="I370" s="217"/>
      <c r="J370" s="217"/>
      <c r="K370" s="217"/>
      <c r="L370" s="217"/>
      <c r="M370" s="217"/>
      <c r="N370" s="217"/>
      <c r="O370" s="217"/>
      <c r="P370" s="217"/>
      <c r="Q370" s="217"/>
      <c r="R370" s="217"/>
      <c r="S370" s="217"/>
      <c r="T370" s="217"/>
      <c r="U370" s="217"/>
      <c r="V370" s="217"/>
      <c r="W370" s="217"/>
      <c r="X370" s="217"/>
      <c r="Y370" s="217"/>
      <c r="Z370" s="217"/>
    </row>
    <row r="371" ht="15.75" customHeight="1">
      <c r="A371" s="217"/>
      <c r="B371" s="217"/>
      <c r="C371" s="217"/>
      <c r="D371" s="217"/>
      <c r="E371" s="217"/>
      <c r="F371" s="217"/>
      <c r="G371" s="217"/>
      <c r="H371" s="217"/>
      <c r="I371" s="217"/>
      <c r="J371" s="217"/>
      <c r="K371" s="217"/>
      <c r="L371" s="217"/>
      <c r="M371" s="217"/>
      <c r="N371" s="217"/>
      <c r="O371" s="217"/>
      <c r="P371" s="217"/>
      <c r="Q371" s="217"/>
      <c r="R371" s="217"/>
      <c r="S371" s="217"/>
      <c r="T371" s="217"/>
      <c r="U371" s="217"/>
      <c r="V371" s="217"/>
      <c r="W371" s="217"/>
      <c r="X371" s="217"/>
      <c r="Y371" s="217"/>
      <c r="Z371" s="217"/>
    </row>
    <row r="372" ht="15.75" customHeight="1">
      <c r="A372" s="217"/>
      <c r="B372" s="217"/>
      <c r="C372" s="217"/>
      <c r="D372" s="217"/>
      <c r="E372" s="217"/>
      <c r="F372" s="217"/>
      <c r="G372" s="217"/>
      <c r="H372" s="217"/>
      <c r="I372" s="217"/>
      <c r="J372" s="217"/>
      <c r="K372" s="217"/>
      <c r="L372" s="217"/>
      <c r="M372" s="217"/>
      <c r="N372" s="217"/>
      <c r="O372" s="217"/>
      <c r="P372" s="217"/>
      <c r="Q372" s="217"/>
      <c r="R372" s="217"/>
      <c r="S372" s="217"/>
      <c r="T372" s="217"/>
      <c r="U372" s="217"/>
      <c r="V372" s="217"/>
      <c r="W372" s="217"/>
      <c r="X372" s="217"/>
      <c r="Y372" s="217"/>
      <c r="Z372" s="217"/>
    </row>
    <row r="373" ht="15.75" customHeight="1">
      <c r="A373" s="217"/>
      <c r="B373" s="217"/>
      <c r="C373" s="217"/>
      <c r="D373" s="217"/>
      <c r="E373" s="217"/>
      <c r="F373" s="217"/>
      <c r="G373" s="217"/>
      <c r="H373" s="217"/>
      <c r="I373" s="217"/>
      <c r="J373" s="217"/>
      <c r="K373" s="217"/>
      <c r="L373" s="217"/>
      <c r="M373" s="217"/>
      <c r="N373" s="217"/>
      <c r="O373" s="217"/>
      <c r="P373" s="217"/>
      <c r="Q373" s="217"/>
      <c r="R373" s="217"/>
      <c r="S373" s="217"/>
      <c r="T373" s="217"/>
      <c r="U373" s="217"/>
      <c r="V373" s="217"/>
      <c r="W373" s="217"/>
      <c r="X373" s="217"/>
      <c r="Y373" s="217"/>
      <c r="Z373" s="217"/>
    </row>
    <row r="374" ht="15.75" customHeight="1">
      <c r="A374" s="217"/>
      <c r="B374" s="217"/>
      <c r="C374" s="217"/>
      <c r="D374" s="217"/>
      <c r="E374" s="217"/>
      <c r="F374" s="217"/>
      <c r="G374" s="217"/>
      <c r="H374" s="217"/>
      <c r="I374" s="217"/>
      <c r="J374" s="217"/>
      <c r="K374" s="217"/>
      <c r="L374" s="217"/>
      <c r="M374" s="217"/>
      <c r="N374" s="217"/>
      <c r="O374" s="217"/>
      <c r="P374" s="217"/>
      <c r="Q374" s="217"/>
      <c r="R374" s="217"/>
      <c r="S374" s="217"/>
      <c r="T374" s="217"/>
      <c r="U374" s="217"/>
      <c r="V374" s="217"/>
      <c r="W374" s="217"/>
      <c r="X374" s="217"/>
      <c r="Y374" s="217"/>
      <c r="Z374" s="217"/>
    </row>
    <row r="375" ht="15.75" customHeight="1">
      <c r="A375" s="217"/>
      <c r="B375" s="217"/>
      <c r="C375" s="217"/>
      <c r="D375" s="217"/>
      <c r="E375" s="217"/>
      <c r="F375" s="217"/>
      <c r="G375" s="217"/>
      <c r="H375" s="217"/>
      <c r="I375" s="217"/>
      <c r="J375" s="217"/>
      <c r="K375" s="217"/>
      <c r="L375" s="217"/>
      <c r="M375" s="217"/>
      <c r="N375" s="217"/>
      <c r="O375" s="217"/>
      <c r="P375" s="217"/>
      <c r="Q375" s="217"/>
      <c r="R375" s="217"/>
      <c r="S375" s="217"/>
      <c r="T375" s="217"/>
      <c r="U375" s="217"/>
      <c r="V375" s="217"/>
      <c r="W375" s="217"/>
      <c r="X375" s="217"/>
      <c r="Y375" s="217"/>
      <c r="Z375" s="217"/>
    </row>
    <row r="376" ht="15.75" customHeight="1">
      <c r="A376" s="217"/>
      <c r="B376" s="217"/>
      <c r="C376" s="217"/>
      <c r="D376" s="217"/>
      <c r="E376" s="217"/>
      <c r="F376" s="217"/>
      <c r="G376" s="217"/>
      <c r="H376" s="217"/>
      <c r="I376" s="217"/>
      <c r="J376" s="217"/>
      <c r="K376" s="217"/>
      <c r="L376" s="217"/>
      <c r="M376" s="217"/>
      <c r="N376" s="217"/>
      <c r="O376" s="217"/>
      <c r="P376" s="217"/>
      <c r="Q376" s="217"/>
      <c r="R376" s="217"/>
      <c r="S376" s="217"/>
      <c r="T376" s="217"/>
      <c r="U376" s="217"/>
      <c r="V376" s="217"/>
      <c r="W376" s="217"/>
      <c r="X376" s="217"/>
      <c r="Y376" s="217"/>
      <c r="Z376" s="217"/>
    </row>
    <row r="377" ht="15.75" customHeight="1">
      <c r="A377" s="217"/>
      <c r="B377" s="217"/>
      <c r="C377" s="217"/>
      <c r="D377" s="217"/>
      <c r="E377" s="217"/>
      <c r="F377" s="217"/>
      <c r="G377" s="217"/>
      <c r="H377" s="217"/>
      <c r="I377" s="217"/>
      <c r="J377" s="217"/>
      <c r="K377" s="217"/>
      <c r="L377" s="217"/>
      <c r="M377" s="217"/>
      <c r="N377" s="217"/>
      <c r="O377" s="217"/>
      <c r="P377" s="217"/>
      <c r="Q377" s="217"/>
      <c r="R377" s="217"/>
      <c r="S377" s="217"/>
      <c r="T377" s="217"/>
      <c r="U377" s="217"/>
      <c r="V377" s="217"/>
      <c r="W377" s="217"/>
      <c r="X377" s="217"/>
      <c r="Y377" s="217"/>
      <c r="Z377" s="217"/>
    </row>
    <row r="378" ht="15.75" customHeight="1">
      <c r="A378" s="217"/>
      <c r="B378" s="217"/>
      <c r="C378" s="217"/>
      <c r="D378" s="217"/>
      <c r="E378" s="217"/>
      <c r="F378" s="217"/>
      <c r="G378" s="217"/>
      <c r="H378" s="217"/>
      <c r="I378" s="217"/>
      <c r="J378" s="217"/>
      <c r="K378" s="217"/>
      <c r="L378" s="217"/>
      <c r="M378" s="217"/>
      <c r="N378" s="217"/>
      <c r="O378" s="217"/>
      <c r="P378" s="217"/>
      <c r="Q378" s="217"/>
      <c r="R378" s="217"/>
      <c r="S378" s="217"/>
      <c r="T378" s="217"/>
      <c r="U378" s="217"/>
      <c r="V378" s="217"/>
      <c r="W378" s="217"/>
      <c r="X378" s="217"/>
      <c r="Y378" s="217"/>
      <c r="Z378" s="217"/>
    </row>
    <row r="379" ht="15.75" customHeight="1">
      <c r="A379" s="217"/>
      <c r="B379" s="217"/>
      <c r="C379" s="217"/>
      <c r="D379" s="217"/>
      <c r="E379" s="217"/>
      <c r="F379" s="217"/>
      <c r="G379" s="217"/>
      <c r="H379" s="217"/>
      <c r="I379" s="217"/>
      <c r="J379" s="217"/>
      <c r="K379" s="217"/>
      <c r="L379" s="217"/>
      <c r="M379" s="217"/>
      <c r="N379" s="217"/>
      <c r="O379" s="217"/>
      <c r="P379" s="217"/>
      <c r="Q379" s="217"/>
      <c r="R379" s="217"/>
      <c r="S379" s="217"/>
      <c r="T379" s="217"/>
      <c r="U379" s="217"/>
      <c r="V379" s="217"/>
      <c r="W379" s="217"/>
      <c r="X379" s="217"/>
      <c r="Y379" s="217"/>
      <c r="Z379" s="217"/>
    </row>
    <row r="380" ht="15.75" customHeight="1">
      <c r="A380" s="217"/>
      <c r="B380" s="217"/>
      <c r="C380" s="217"/>
      <c r="D380" s="217"/>
      <c r="E380" s="217"/>
      <c r="F380" s="217"/>
      <c r="G380" s="217"/>
      <c r="H380" s="217"/>
      <c r="I380" s="217"/>
      <c r="J380" s="217"/>
      <c r="K380" s="217"/>
      <c r="L380" s="217"/>
      <c r="M380" s="217"/>
      <c r="N380" s="217"/>
      <c r="O380" s="217"/>
      <c r="P380" s="217"/>
      <c r="Q380" s="217"/>
      <c r="R380" s="217"/>
      <c r="S380" s="217"/>
      <c r="T380" s="217"/>
      <c r="U380" s="217"/>
      <c r="V380" s="217"/>
      <c r="W380" s="217"/>
      <c r="X380" s="217"/>
      <c r="Y380" s="217"/>
      <c r="Z380" s="217"/>
    </row>
    <row r="381" ht="15.75" customHeight="1">
      <c r="A381" s="217"/>
      <c r="B381" s="217"/>
      <c r="C381" s="217"/>
      <c r="D381" s="217"/>
      <c r="E381" s="217"/>
      <c r="F381" s="217"/>
      <c r="G381" s="217"/>
      <c r="H381" s="217"/>
      <c r="I381" s="217"/>
      <c r="J381" s="217"/>
      <c r="K381" s="217"/>
      <c r="L381" s="217"/>
      <c r="M381" s="217"/>
      <c r="N381" s="217"/>
      <c r="O381" s="217"/>
      <c r="P381" s="217"/>
      <c r="Q381" s="217"/>
      <c r="R381" s="217"/>
      <c r="S381" s="217"/>
      <c r="T381" s="217"/>
      <c r="U381" s="217"/>
      <c r="V381" s="217"/>
      <c r="W381" s="217"/>
      <c r="X381" s="217"/>
      <c r="Y381" s="217"/>
      <c r="Z381" s="217"/>
    </row>
    <row r="382" ht="15.75" customHeight="1">
      <c r="A382" s="217"/>
      <c r="B382" s="217"/>
      <c r="C382" s="217"/>
      <c r="D382" s="217"/>
      <c r="E382" s="217"/>
      <c r="F382" s="217"/>
      <c r="G382" s="217"/>
      <c r="H382" s="217"/>
      <c r="I382" s="217"/>
      <c r="J382" s="217"/>
      <c r="K382" s="217"/>
      <c r="L382" s="217"/>
      <c r="M382" s="217"/>
      <c r="N382" s="217"/>
      <c r="O382" s="217"/>
      <c r="P382" s="217"/>
      <c r="Q382" s="217"/>
      <c r="R382" s="217"/>
      <c r="S382" s="217"/>
      <c r="T382" s="217"/>
      <c r="U382" s="217"/>
      <c r="V382" s="217"/>
      <c r="W382" s="217"/>
      <c r="X382" s="217"/>
      <c r="Y382" s="217"/>
      <c r="Z382" s="217"/>
    </row>
    <row r="383" ht="15.75" customHeight="1">
      <c r="A383" s="217"/>
      <c r="B383" s="217"/>
      <c r="C383" s="217"/>
      <c r="D383" s="217"/>
      <c r="E383" s="217"/>
      <c r="F383" s="217"/>
      <c r="G383" s="217"/>
      <c r="H383" s="217"/>
      <c r="I383" s="217"/>
      <c r="J383" s="217"/>
      <c r="K383" s="217"/>
      <c r="L383" s="217"/>
      <c r="M383" s="217"/>
      <c r="N383" s="217"/>
      <c r="O383" s="217"/>
      <c r="P383" s="217"/>
      <c r="Q383" s="217"/>
      <c r="R383" s="217"/>
      <c r="S383" s="217"/>
      <c r="T383" s="217"/>
      <c r="U383" s="217"/>
      <c r="V383" s="217"/>
      <c r="W383" s="217"/>
      <c r="X383" s="217"/>
      <c r="Y383" s="217"/>
      <c r="Z383" s="217"/>
    </row>
    <row r="384" ht="15.75" customHeight="1">
      <c r="A384" s="217"/>
      <c r="B384" s="217"/>
      <c r="C384" s="217"/>
      <c r="D384" s="217"/>
      <c r="E384" s="217"/>
      <c r="F384" s="217"/>
      <c r="G384" s="217"/>
      <c r="H384" s="217"/>
      <c r="I384" s="217"/>
      <c r="J384" s="217"/>
      <c r="K384" s="217"/>
      <c r="L384" s="217"/>
      <c r="M384" s="217"/>
      <c r="N384" s="217"/>
      <c r="O384" s="217"/>
      <c r="P384" s="217"/>
      <c r="Q384" s="217"/>
      <c r="R384" s="217"/>
      <c r="S384" s="217"/>
      <c r="T384" s="217"/>
      <c r="U384" s="217"/>
      <c r="V384" s="217"/>
      <c r="W384" s="217"/>
      <c r="X384" s="217"/>
      <c r="Y384" s="217"/>
      <c r="Z384" s="217"/>
    </row>
    <row r="385" ht="15.75" customHeight="1">
      <c r="A385" s="217"/>
      <c r="B385" s="217"/>
      <c r="C385" s="217"/>
      <c r="D385" s="217"/>
      <c r="E385" s="217"/>
      <c r="F385" s="217"/>
      <c r="G385" s="217"/>
      <c r="H385" s="217"/>
      <c r="I385" s="217"/>
      <c r="J385" s="217"/>
      <c r="K385" s="217"/>
      <c r="L385" s="217"/>
      <c r="M385" s="217"/>
      <c r="N385" s="217"/>
      <c r="O385" s="217"/>
      <c r="P385" s="217"/>
      <c r="Q385" s="217"/>
      <c r="R385" s="217"/>
      <c r="S385" s="217"/>
      <c r="T385" s="217"/>
      <c r="U385" s="217"/>
      <c r="V385" s="217"/>
      <c r="W385" s="217"/>
      <c r="X385" s="217"/>
      <c r="Y385" s="217"/>
      <c r="Z385" s="217"/>
    </row>
    <row r="386" ht="15.75" customHeight="1">
      <c r="A386" s="217"/>
      <c r="B386" s="217"/>
      <c r="C386" s="217"/>
      <c r="D386" s="217"/>
      <c r="E386" s="217"/>
      <c r="F386" s="217"/>
      <c r="G386" s="217"/>
      <c r="H386" s="217"/>
      <c r="I386" s="217"/>
      <c r="J386" s="217"/>
      <c r="K386" s="217"/>
      <c r="L386" s="217"/>
      <c r="M386" s="217"/>
      <c r="N386" s="217"/>
      <c r="O386" s="217"/>
      <c r="P386" s="217"/>
      <c r="Q386" s="217"/>
      <c r="R386" s="217"/>
      <c r="S386" s="217"/>
      <c r="T386" s="217"/>
      <c r="U386" s="217"/>
      <c r="V386" s="217"/>
      <c r="W386" s="217"/>
      <c r="X386" s="217"/>
      <c r="Y386" s="217"/>
      <c r="Z386" s="217"/>
    </row>
    <row r="387" ht="15.75" customHeight="1">
      <c r="A387" s="217"/>
      <c r="B387" s="217"/>
      <c r="C387" s="217"/>
      <c r="D387" s="217"/>
      <c r="E387" s="217"/>
      <c r="F387" s="217"/>
      <c r="G387" s="217"/>
      <c r="H387" s="217"/>
      <c r="I387" s="217"/>
      <c r="J387" s="217"/>
      <c r="K387" s="217"/>
      <c r="L387" s="217"/>
      <c r="M387" s="217"/>
      <c r="N387" s="217"/>
      <c r="O387" s="217"/>
      <c r="P387" s="217"/>
      <c r="Q387" s="217"/>
      <c r="R387" s="217"/>
      <c r="S387" s="217"/>
      <c r="T387" s="217"/>
      <c r="U387" s="217"/>
      <c r="V387" s="217"/>
      <c r="W387" s="217"/>
      <c r="X387" s="217"/>
      <c r="Y387" s="217"/>
      <c r="Z387" s="217"/>
    </row>
    <row r="388" ht="15.75" customHeight="1">
      <c r="A388" s="217"/>
      <c r="B388" s="217"/>
      <c r="C388" s="217"/>
      <c r="D388" s="217"/>
      <c r="E388" s="217"/>
      <c r="F388" s="217"/>
      <c r="G388" s="217"/>
      <c r="H388" s="217"/>
      <c r="I388" s="217"/>
      <c r="J388" s="217"/>
      <c r="K388" s="217"/>
      <c r="L388" s="217"/>
      <c r="M388" s="217"/>
      <c r="N388" s="217"/>
      <c r="O388" s="217"/>
      <c r="P388" s="217"/>
      <c r="Q388" s="217"/>
      <c r="R388" s="217"/>
      <c r="S388" s="217"/>
      <c r="T388" s="217"/>
      <c r="U388" s="217"/>
      <c r="V388" s="217"/>
      <c r="W388" s="217"/>
      <c r="X388" s="217"/>
      <c r="Y388" s="217"/>
      <c r="Z388" s="217"/>
    </row>
    <row r="389" ht="15.75" customHeight="1">
      <c r="A389" s="217"/>
      <c r="B389" s="217"/>
      <c r="C389" s="217"/>
      <c r="D389" s="217"/>
      <c r="E389" s="217"/>
      <c r="F389" s="217"/>
      <c r="G389" s="217"/>
      <c r="H389" s="217"/>
      <c r="I389" s="217"/>
      <c r="J389" s="217"/>
      <c r="K389" s="217"/>
      <c r="L389" s="217"/>
      <c r="M389" s="217"/>
      <c r="N389" s="217"/>
      <c r="O389" s="217"/>
      <c r="P389" s="217"/>
      <c r="Q389" s="217"/>
      <c r="R389" s="217"/>
      <c r="S389" s="217"/>
      <c r="T389" s="217"/>
      <c r="U389" s="217"/>
      <c r="V389" s="217"/>
      <c r="W389" s="217"/>
      <c r="X389" s="217"/>
      <c r="Y389" s="217"/>
      <c r="Z389" s="217"/>
    </row>
    <row r="390" ht="15.75" customHeight="1">
      <c r="A390" s="217"/>
      <c r="B390" s="217"/>
      <c r="C390" s="217"/>
      <c r="D390" s="217"/>
      <c r="E390" s="217"/>
      <c r="F390" s="217"/>
      <c r="G390" s="217"/>
      <c r="H390" s="217"/>
      <c r="I390" s="217"/>
      <c r="J390" s="217"/>
      <c r="K390" s="217"/>
      <c r="L390" s="217"/>
      <c r="M390" s="217"/>
      <c r="N390" s="217"/>
      <c r="O390" s="217"/>
      <c r="P390" s="217"/>
      <c r="Q390" s="217"/>
      <c r="R390" s="217"/>
      <c r="S390" s="217"/>
      <c r="T390" s="217"/>
      <c r="U390" s="217"/>
      <c r="V390" s="217"/>
      <c r="W390" s="217"/>
      <c r="X390" s="217"/>
      <c r="Y390" s="217"/>
      <c r="Z390" s="217"/>
    </row>
    <row r="391" ht="15.75" customHeight="1">
      <c r="A391" s="217"/>
      <c r="B391" s="217"/>
      <c r="C391" s="217"/>
      <c r="D391" s="217"/>
      <c r="E391" s="217"/>
      <c r="F391" s="217"/>
      <c r="G391" s="217"/>
      <c r="H391" s="217"/>
      <c r="I391" s="217"/>
      <c r="J391" s="217"/>
      <c r="K391" s="217"/>
      <c r="L391" s="217"/>
      <c r="M391" s="217"/>
      <c r="N391" s="217"/>
      <c r="O391" s="217"/>
      <c r="P391" s="217"/>
      <c r="Q391" s="217"/>
      <c r="R391" s="217"/>
      <c r="S391" s="217"/>
      <c r="T391" s="217"/>
      <c r="U391" s="217"/>
      <c r="V391" s="217"/>
      <c r="W391" s="217"/>
      <c r="X391" s="217"/>
      <c r="Y391" s="217"/>
      <c r="Z391" s="217"/>
    </row>
    <row r="392" ht="15.75" customHeight="1">
      <c r="A392" s="217"/>
      <c r="B392" s="217"/>
      <c r="C392" s="217"/>
      <c r="D392" s="217"/>
      <c r="E392" s="217"/>
      <c r="F392" s="217"/>
      <c r="G392" s="217"/>
      <c r="H392" s="217"/>
      <c r="I392" s="217"/>
      <c r="J392" s="217"/>
      <c r="K392" s="217"/>
      <c r="L392" s="217"/>
      <c r="M392" s="217"/>
      <c r="N392" s="217"/>
      <c r="O392" s="217"/>
      <c r="P392" s="217"/>
      <c r="Q392" s="217"/>
      <c r="R392" s="217"/>
      <c r="S392" s="217"/>
      <c r="T392" s="217"/>
      <c r="U392" s="217"/>
      <c r="V392" s="217"/>
      <c r="W392" s="217"/>
      <c r="X392" s="217"/>
      <c r="Y392" s="217"/>
      <c r="Z392" s="217"/>
    </row>
    <row r="393" ht="15.75" customHeight="1">
      <c r="A393" s="217"/>
      <c r="B393" s="217"/>
      <c r="C393" s="217"/>
      <c r="D393" s="217"/>
      <c r="E393" s="217"/>
      <c r="F393" s="217"/>
      <c r="G393" s="217"/>
      <c r="H393" s="217"/>
      <c r="I393" s="217"/>
      <c r="J393" s="217"/>
      <c r="K393" s="217"/>
      <c r="L393" s="217"/>
      <c r="M393" s="217"/>
      <c r="N393" s="217"/>
      <c r="O393" s="217"/>
      <c r="P393" s="217"/>
      <c r="Q393" s="217"/>
      <c r="R393" s="217"/>
      <c r="S393" s="217"/>
      <c r="T393" s="217"/>
      <c r="U393" s="217"/>
      <c r="V393" s="217"/>
      <c r="W393" s="217"/>
      <c r="X393" s="217"/>
      <c r="Y393" s="217"/>
      <c r="Z393" s="217"/>
    </row>
    <row r="394" ht="15.75" customHeight="1">
      <c r="A394" s="217"/>
      <c r="B394" s="217"/>
      <c r="C394" s="217"/>
      <c r="D394" s="217"/>
      <c r="E394" s="217"/>
      <c r="F394" s="217"/>
      <c r="G394" s="217"/>
      <c r="H394" s="217"/>
      <c r="I394" s="217"/>
      <c r="J394" s="217"/>
      <c r="K394" s="217"/>
      <c r="L394" s="217"/>
      <c r="M394" s="217"/>
      <c r="N394" s="217"/>
      <c r="O394" s="217"/>
      <c r="P394" s="217"/>
      <c r="Q394" s="217"/>
      <c r="R394" s="217"/>
      <c r="S394" s="217"/>
      <c r="T394" s="217"/>
      <c r="U394" s="217"/>
      <c r="V394" s="217"/>
      <c r="W394" s="217"/>
      <c r="X394" s="217"/>
      <c r="Y394" s="217"/>
      <c r="Z394" s="217"/>
    </row>
    <row r="395" ht="15.75" customHeight="1">
      <c r="A395" s="217"/>
      <c r="B395" s="217"/>
      <c r="C395" s="217"/>
      <c r="D395" s="217"/>
      <c r="E395" s="217"/>
      <c r="F395" s="217"/>
      <c r="G395" s="217"/>
      <c r="H395" s="217"/>
      <c r="I395" s="217"/>
      <c r="J395" s="217"/>
      <c r="K395" s="217"/>
      <c r="L395" s="217"/>
      <c r="M395" s="217"/>
      <c r="N395" s="217"/>
      <c r="O395" s="217"/>
      <c r="P395" s="217"/>
      <c r="Q395" s="217"/>
      <c r="R395" s="217"/>
      <c r="S395" s="217"/>
      <c r="T395" s="217"/>
      <c r="U395" s="217"/>
      <c r="V395" s="217"/>
      <c r="W395" s="217"/>
      <c r="X395" s="217"/>
      <c r="Y395" s="217"/>
      <c r="Z395" s="217"/>
    </row>
    <row r="396" ht="15.75" customHeight="1">
      <c r="A396" s="217"/>
      <c r="B396" s="217"/>
      <c r="C396" s="217"/>
      <c r="D396" s="217"/>
      <c r="E396" s="217"/>
      <c r="F396" s="217"/>
      <c r="G396" s="217"/>
      <c r="H396" s="217"/>
      <c r="I396" s="217"/>
      <c r="J396" s="217"/>
      <c r="K396" s="217"/>
      <c r="L396" s="217"/>
      <c r="M396" s="217"/>
      <c r="N396" s="217"/>
      <c r="O396" s="217"/>
      <c r="P396" s="217"/>
      <c r="Q396" s="217"/>
      <c r="R396" s="217"/>
      <c r="S396" s="217"/>
      <c r="T396" s="217"/>
      <c r="U396" s="217"/>
      <c r="V396" s="217"/>
      <c r="W396" s="217"/>
      <c r="X396" s="217"/>
      <c r="Y396" s="217"/>
      <c r="Z396" s="217"/>
    </row>
    <row r="397" ht="15.75" customHeight="1">
      <c r="A397" s="217"/>
      <c r="B397" s="217"/>
      <c r="C397" s="217"/>
      <c r="D397" s="217"/>
      <c r="E397" s="217"/>
      <c r="F397" s="217"/>
      <c r="G397" s="217"/>
      <c r="H397" s="217"/>
      <c r="I397" s="217"/>
      <c r="J397" s="217"/>
      <c r="K397" s="217"/>
      <c r="L397" s="217"/>
      <c r="M397" s="217"/>
      <c r="N397" s="217"/>
      <c r="O397" s="217"/>
      <c r="P397" s="217"/>
      <c r="Q397" s="217"/>
      <c r="R397" s="217"/>
      <c r="S397" s="217"/>
      <c r="T397" s="217"/>
      <c r="U397" s="217"/>
      <c r="V397" s="217"/>
      <c r="W397" s="217"/>
      <c r="X397" s="217"/>
      <c r="Y397" s="217"/>
      <c r="Z397" s="217"/>
    </row>
    <row r="398" ht="15.75" customHeight="1">
      <c r="A398" s="217"/>
      <c r="B398" s="217"/>
      <c r="C398" s="217"/>
      <c r="D398" s="217"/>
      <c r="E398" s="217"/>
      <c r="F398" s="217"/>
      <c r="G398" s="217"/>
      <c r="H398" s="217"/>
      <c r="I398" s="217"/>
      <c r="J398" s="217"/>
      <c r="K398" s="217"/>
      <c r="L398" s="217"/>
      <c r="M398" s="217"/>
      <c r="N398" s="217"/>
      <c r="O398" s="217"/>
      <c r="P398" s="217"/>
      <c r="Q398" s="217"/>
      <c r="R398" s="217"/>
      <c r="S398" s="217"/>
      <c r="T398" s="217"/>
      <c r="U398" s="217"/>
      <c r="V398" s="217"/>
      <c r="W398" s="217"/>
      <c r="X398" s="217"/>
      <c r="Y398" s="217"/>
      <c r="Z398" s="217"/>
    </row>
    <row r="399" ht="15.75" customHeight="1">
      <c r="A399" s="217"/>
      <c r="B399" s="217"/>
      <c r="C399" s="217"/>
      <c r="D399" s="217"/>
      <c r="E399" s="217"/>
      <c r="F399" s="217"/>
      <c r="G399" s="217"/>
      <c r="H399" s="217"/>
      <c r="I399" s="217"/>
      <c r="J399" s="217"/>
      <c r="K399" s="217"/>
      <c r="L399" s="217"/>
      <c r="M399" s="217"/>
      <c r="N399" s="217"/>
      <c r="O399" s="217"/>
      <c r="P399" s="217"/>
      <c r="Q399" s="217"/>
      <c r="R399" s="217"/>
      <c r="S399" s="217"/>
      <c r="T399" s="217"/>
      <c r="U399" s="217"/>
      <c r="V399" s="217"/>
      <c r="W399" s="217"/>
      <c r="X399" s="217"/>
      <c r="Y399" s="217"/>
      <c r="Z399" s="217"/>
    </row>
    <row r="400" ht="15.75" customHeight="1">
      <c r="A400" s="217"/>
      <c r="B400" s="217"/>
      <c r="C400" s="217"/>
      <c r="D400" s="217"/>
      <c r="E400" s="217"/>
      <c r="F400" s="217"/>
      <c r="G400" s="217"/>
      <c r="H400" s="217"/>
      <c r="I400" s="217"/>
      <c r="J400" s="217"/>
      <c r="K400" s="217"/>
      <c r="L400" s="217"/>
      <c r="M400" s="217"/>
      <c r="N400" s="217"/>
      <c r="O400" s="217"/>
      <c r="P400" s="217"/>
      <c r="Q400" s="217"/>
      <c r="R400" s="217"/>
      <c r="S400" s="217"/>
      <c r="T400" s="217"/>
      <c r="U400" s="217"/>
      <c r="V400" s="217"/>
      <c r="W400" s="217"/>
      <c r="X400" s="217"/>
      <c r="Y400" s="217"/>
      <c r="Z400" s="217"/>
    </row>
    <row r="401" ht="15.75" customHeight="1">
      <c r="A401" s="217"/>
      <c r="B401" s="217"/>
      <c r="C401" s="217"/>
      <c r="D401" s="217"/>
      <c r="E401" s="217"/>
      <c r="F401" s="217"/>
      <c r="G401" s="217"/>
      <c r="H401" s="217"/>
      <c r="I401" s="217"/>
      <c r="J401" s="217"/>
      <c r="K401" s="217"/>
      <c r="L401" s="217"/>
      <c r="M401" s="217"/>
      <c r="N401" s="217"/>
      <c r="O401" s="217"/>
      <c r="P401" s="217"/>
      <c r="Q401" s="217"/>
      <c r="R401" s="217"/>
      <c r="S401" s="217"/>
      <c r="T401" s="217"/>
      <c r="U401" s="217"/>
      <c r="V401" s="217"/>
      <c r="W401" s="217"/>
      <c r="X401" s="217"/>
      <c r="Y401" s="217"/>
      <c r="Z401" s="217"/>
    </row>
    <row r="402" ht="15.75" customHeight="1">
      <c r="A402" s="217"/>
      <c r="B402" s="217"/>
      <c r="C402" s="217"/>
      <c r="D402" s="217"/>
      <c r="E402" s="217"/>
      <c r="F402" s="217"/>
      <c r="G402" s="217"/>
      <c r="H402" s="217"/>
      <c r="I402" s="217"/>
      <c r="J402" s="217"/>
      <c r="K402" s="217"/>
      <c r="L402" s="217"/>
      <c r="M402" s="217"/>
      <c r="N402" s="217"/>
      <c r="O402" s="217"/>
      <c r="P402" s="217"/>
      <c r="Q402" s="217"/>
      <c r="R402" s="217"/>
      <c r="S402" s="217"/>
      <c r="T402" s="217"/>
      <c r="U402" s="217"/>
      <c r="V402" s="217"/>
      <c r="W402" s="217"/>
      <c r="X402" s="217"/>
      <c r="Y402" s="217"/>
      <c r="Z402" s="217"/>
    </row>
    <row r="403" ht="15.75" customHeight="1">
      <c r="A403" s="217"/>
      <c r="B403" s="217"/>
      <c r="C403" s="217"/>
      <c r="D403" s="217"/>
      <c r="E403" s="217"/>
      <c r="F403" s="217"/>
      <c r="G403" s="217"/>
      <c r="H403" s="217"/>
      <c r="I403" s="217"/>
      <c r="J403" s="217"/>
      <c r="K403" s="217"/>
      <c r="L403" s="217"/>
      <c r="M403" s="217"/>
      <c r="N403" s="217"/>
      <c r="O403" s="217"/>
      <c r="P403" s="217"/>
      <c r="Q403" s="217"/>
      <c r="R403" s="217"/>
      <c r="S403" s="217"/>
      <c r="T403" s="217"/>
      <c r="U403" s="217"/>
      <c r="V403" s="217"/>
      <c r="W403" s="217"/>
      <c r="X403" s="217"/>
      <c r="Y403" s="217"/>
      <c r="Z403" s="217"/>
    </row>
    <row r="404" ht="15.75" customHeight="1">
      <c r="A404" s="217"/>
      <c r="B404" s="217"/>
      <c r="C404" s="217"/>
      <c r="D404" s="217"/>
      <c r="E404" s="217"/>
      <c r="F404" s="217"/>
      <c r="G404" s="217"/>
      <c r="H404" s="217"/>
      <c r="I404" s="217"/>
      <c r="J404" s="217"/>
      <c r="K404" s="217"/>
      <c r="L404" s="217"/>
      <c r="M404" s="217"/>
      <c r="N404" s="217"/>
      <c r="O404" s="217"/>
      <c r="P404" s="217"/>
      <c r="Q404" s="217"/>
      <c r="R404" s="217"/>
      <c r="S404" s="217"/>
      <c r="T404" s="217"/>
      <c r="U404" s="217"/>
      <c r="V404" s="217"/>
      <c r="W404" s="217"/>
      <c r="X404" s="217"/>
      <c r="Y404" s="217"/>
      <c r="Z404" s="217"/>
    </row>
    <row r="405" ht="15.75" customHeight="1">
      <c r="A405" s="217"/>
      <c r="B405" s="217"/>
      <c r="C405" s="217"/>
      <c r="D405" s="217"/>
      <c r="E405" s="217"/>
      <c r="F405" s="217"/>
      <c r="G405" s="217"/>
      <c r="H405" s="217"/>
      <c r="I405" s="217"/>
      <c r="J405" s="217"/>
      <c r="K405" s="217"/>
      <c r="L405" s="217"/>
      <c r="M405" s="217"/>
      <c r="N405" s="217"/>
      <c r="O405" s="217"/>
      <c r="P405" s="217"/>
      <c r="Q405" s="217"/>
      <c r="R405" s="217"/>
      <c r="S405" s="217"/>
      <c r="T405" s="217"/>
      <c r="U405" s="217"/>
      <c r="V405" s="217"/>
      <c r="W405" s="217"/>
      <c r="X405" s="217"/>
      <c r="Y405" s="217"/>
      <c r="Z405" s="217"/>
    </row>
    <row r="406" ht="15.75" customHeight="1">
      <c r="A406" s="21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row>
    <row r="407" ht="15.75" customHeight="1">
      <c r="A407" s="217"/>
      <c r="B407" s="217"/>
      <c r="C407" s="217"/>
      <c r="D407" s="217"/>
      <c r="E407" s="217"/>
      <c r="F407" s="217"/>
      <c r="G407" s="217"/>
      <c r="H407" s="217"/>
      <c r="I407" s="217"/>
      <c r="J407" s="217"/>
      <c r="K407" s="217"/>
      <c r="L407" s="217"/>
      <c r="M407" s="217"/>
      <c r="N407" s="217"/>
      <c r="O407" s="217"/>
      <c r="P407" s="217"/>
      <c r="Q407" s="217"/>
      <c r="R407" s="217"/>
      <c r="S407" s="217"/>
      <c r="T407" s="217"/>
      <c r="U407" s="217"/>
      <c r="V407" s="217"/>
      <c r="W407" s="217"/>
      <c r="X407" s="217"/>
      <c r="Y407" s="217"/>
      <c r="Z407" s="217"/>
    </row>
    <row r="408" ht="15.75" customHeight="1">
      <c r="A408" s="217"/>
      <c r="B408" s="217"/>
      <c r="C408" s="217"/>
      <c r="D408" s="217"/>
      <c r="E408" s="217"/>
      <c r="F408" s="217"/>
      <c r="G408" s="217"/>
      <c r="H408" s="217"/>
      <c r="I408" s="217"/>
      <c r="J408" s="217"/>
      <c r="K408" s="217"/>
      <c r="L408" s="217"/>
      <c r="M408" s="217"/>
      <c r="N408" s="217"/>
      <c r="O408" s="217"/>
      <c r="P408" s="217"/>
      <c r="Q408" s="217"/>
      <c r="R408" s="217"/>
      <c r="S408" s="217"/>
      <c r="T408" s="217"/>
      <c r="U408" s="217"/>
      <c r="V408" s="217"/>
      <c r="W408" s="217"/>
      <c r="X408" s="217"/>
      <c r="Y408" s="217"/>
      <c r="Z408" s="217"/>
    </row>
    <row r="409" ht="15.75" customHeight="1">
      <c r="A409" s="217"/>
      <c r="B409" s="217"/>
      <c r="C409" s="217"/>
      <c r="D409" s="217"/>
      <c r="E409" s="217"/>
      <c r="F409" s="217"/>
      <c r="G409" s="217"/>
      <c r="H409" s="217"/>
      <c r="I409" s="217"/>
      <c r="J409" s="217"/>
      <c r="K409" s="217"/>
      <c r="L409" s="217"/>
      <c r="M409" s="217"/>
      <c r="N409" s="217"/>
      <c r="O409" s="217"/>
      <c r="P409" s="217"/>
      <c r="Q409" s="217"/>
      <c r="R409" s="217"/>
      <c r="S409" s="217"/>
      <c r="T409" s="217"/>
      <c r="U409" s="217"/>
      <c r="V409" s="217"/>
      <c r="W409" s="217"/>
      <c r="X409" s="217"/>
      <c r="Y409" s="217"/>
      <c r="Z409" s="217"/>
    </row>
    <row r="410" ht="15.75" customHeight="1">
      <c r="A410" s="217"/>
      <c r="B410" s="217"/>
      <c r="C410" s="217"/>
      <c r="D410" s="217"/>
      <c r="E410" s="217"/>
      <c r="F410" s="217"/>
      <c r="G410" s="217"/>
      <c r="H410" s="217"/>
      <c r="I410" s="217"/>
      <c r="J410" s="217"/>
      <c r="K410" s="217"/>
      <c r="L410" s="217"/>
      <c r="M410" s="217"/>
      <c r="N410" s="217"/>
      <c r="O410" s="217"/>
      <c r="P410" s="217"/>
      <c r="Q410" s="217"/>
      <c r="R410" s="217"/>
      <c r="S410" s="217"/>
      <c r="T410" s="217"/>
      <c r="U410" s="217"/>
      <c r="V410" s="217"/>
      <c r="W410" s="217"/>
      <c r="X410" s="217"/>
      <c r="Y410" s="217"/>
      <c r="Z410" s="217"/>
    </row>
    <row r="411" ht="15.75" customHeight="1">
      <c r="A411" s="217"/>
      <c r="B411" s="217"/>
      <c r="C411" s="217"/>
      <c r="D411" s="217"/>
      <c r="E411" s="217"/>
      <c r="F411" s="217"/>
      <c r="G411" s="217"/>
      <c r="H411" s="217"/>
      <c r="I411" s="217"/>
      <c r="J411" s="217"/>
      <c r="K411" s="217"/>
      <c r="L411" s="217"/>
      <c r="M411" s="217"/>
      <c r="N411" s="217"/>
      <c r="O411" s="217"/>
      <c r="P411" s="217"/>
      <c r="Q411" s="217"/>
      <c r="R411" s="217"/>
      <c r="S411" s="217"/>
      <c r="T411" s="217"/>
      <c r="U411" s="217"/>
      <c r="V411" s="217"/>
      <c r="W411" s="217"/>
      <c r="X411" s="217"/>
      <c r="Y411" s="217"/>
      <c r="Z411" s="217"/>
    </row>
    <row r="412" ht="15.75" customHeight="1">
      <c r="A412" s="217"/>
      <c r="B412" s="217"/>
      <c r="C412" s="217"/>
      <c r="D412" s="217"/>
      <c r="E412" s="217"/>
      <c r="F412" s="217"/>
      <c r="G412" s="217"/>
      <c r="H412" s="217"/>
      <c r="I412" s="217"/>
      <c r="J412" s="217"/>
      <c r="K412" s="217"/>
      <c r="L412" s="217"/>
      <c r="M412" s="217"/>
      <c r="N412" s="217"/>
      <c r="O412" s="217"/>
      <c r="P412" s="217"/>
      <c r="Q412" s="217"/>
      <c r="R412" s="217"/>
      <c r="S412" s="217"/>
      <c r="T412" s="217"/>
      <c r="U412" s="217"/>
      <c r="V412" s="217"/>
      <c r="W412" s="217"/>
      <c r="X412" s="217"/>
      <c r="Y412" s="217"/>
      <c r="Z412" s="217"/>
    </row>
    <row r="413" ht="15.75" customHeight="1">
      <c r="A413" s="217"/>
      <c r="B413" s="217"/>
      <c r="C413" s="217"/>
      <c r="D413" s="217"/>
      <c r="E413" s="217"/>
      <c r="F413" s="217"/>
      <c r="G413" s="217"/>
      <c r="H413" s="217"/>
      <c r="I413" s="217"/>
      <c r="J413" s="217"/>
      <c r="K413" s="217"/>
      <c r="L413" s="217"/>
      <c r="M413" s="217"/>
      <c r="N413" s="217"/>
      <c r="O413" s="217"/>
      <c r="P413" s="217"/>
      <c r="Q413" s="217"/>
      <c r="R413" s="217"/>
      <c r="S413" s="217"/>
      <c r="T413" s="217"/>
      <c r="U413" s="217"/>
      <c r="V413" s="217"/>
      <c r="W413" s="217"/>
      <c r="X413" s="217"/>
      <c r="Y413" s="217"/>
      <c r="Z413" s="217"/>
    </row>
    <row r="414" ht="15.75" customHeight="1">
      <c r="A414" s="217"/>
      <c r="B414" s="217"/>
      <c r="C414" s="217"/>
      <c r="D414" s="217"/>
      <c r="E414" s="217"/>
      <c r="F414" s="217"/>
      <c r="G414" s="217"/>
      <c r="H414" s="217"/>
      <c r="I414" s="217"/>
      <c r="J414" s="217"/>
      <c r="K414" s="217"/>
      <c r="L414" s="217"/>
      <c r="M414" s="217"/>
      <c r="N414" s="217"/>
      <c r="O414" s="217"/>
      <c r="P414" s="217"/>
      <c r="Q414" s="217"/>
      <c r="R414" s="217"/>
      <c r="S414" s="217"/>
      <c r="T414" s="217"/>
      <c r="U414" s="217"/>
      <c r="V414" s="217"/>
      <c r="W414" s="217"/>
      <c r="X414" s="217"/>
      <c r="Y414" s="217"/>
      <c r="Z414" s="217"/>
    </row>
    <row r="415" ht="15.75" customHeight="1">
      <c r="A415" s="217"/>
      <c r="B415" s="217"/>
      <c r="C415" s="217"/>
      <c r="D415" s="217"/>
      <c r="E415" s="217"/>
      <c r="F415" s="217"/>
      <c r="G415" s="217"/>
      <c r="H415" s="217"/>
      <c r="I415" s="217"/>
      <c r="J415" s="217"/>
      <c r="K415" s="217"/>
      <c r="L415" s="217"/>
      <c r="M415" s="217"/>
      <c r="N415" s="217"/>
      <c r="O415" s="217"/>
      <c r="P415" s="217"/>
      <c r="Q415" s="217"/>
      <c r="R415" s="217"/>
      <c r="S415" s="217"/>
      <c r="T415" s="217"/>
      <c r="U415" s="217"/>
      <c r="V415" s="217"/>
      <c r="W415" s="217"/>
      <c r="X415" s="217"/>
      <c r="Y415" s="217"/>
      <c r="Z415" s="217"/>
    </row>
    <row r="416" ht="15.75" customHeight="1">
      <c r="A416" s="217"/>
      <c r="B416" s="217"/>
      <c r="C416" s="217"/>
      <c r="D416" s="217"/>
      <c r="E416" s="217"/>
      <c r="F416" s="217"/>
      <c r="G416" s="217"/>
      <c r="H416" s="217"/>
      <c r="I416" s="217"/>
      <c r="J416" s="217"/>
      <c r="K416" s="217"/>
      <c r="L416" s="217"/>
      <c r="M416" s="217"/>
      <c r="N416" s="217"/>
      <c r="O416" s="217"/>
      <c r="P416" s="217"/>
      <c r="Q416" s="217"/>
      <c r="R416" s="217"/>
      <c r="S416" s="217"/>
      <c r="T416" s="217"/>
      <c r="U416" s="217"/>
      <c r="V416" s="217"/>
      <c r="W416" s="217"/>
      <c r="X416" s="217"/>
      <c r="Y416" s="217"/>
      <c r="Z416" s="217"/>
    </row>
    <row r="417" ht="15.75" customHeight="1">
      <c r="A417" s="217"/>
      <c r="B417" s="217"/>
      <c r="C417" s="217"/>
      <c r="D417" s="217"/>
      <c r="E417" s="217"/>
      <c r="F417" s="217"/>
      <c r="G417" s="217"/>
      <c r="H417" s="217"/>
      <c r="I417" s="217"/>
      <c r="J417" s="217"/>
      <c r="K417" s="217"/>
      <c r="L417" s="217"/>
      <c r="M417" s="217"/>
      <c r="N417" s="217"/>
      <c r="O417" s="217"/>
      <c r="P417" s="217"/>
      <c r="Q417" s="217"/>
      <c r="R417" s="217"/>
      <c r="S417" s="217"/>
      <c r="T417" s="217"/>
      <c r="U417" s="217"/>
      <c r="V417" s="217"/>
      <c r="W417" s="217"/>
      <c r="X417" s="217"/>
      <c r="Y417" s="217"/>
      <c r="Z417" s="217"/>
    </row>
    <row r="418" ht="15.75" customHeight="1">
      <c r="A418" s="217"/>
      <c r="B418" s="217"/>
      <c r="C418" s="217"/>
      <c r="D418" s="217"/>
      <c r="E418" s="217"/>
      <c r="F418" s="217"/>
      <c r="G418" s="217"/>
      <c r="H418" s="217"/>
      <c r="I418" s="217"/>
      <c r="J418" s="217"/>
      <c r="K418" s="217"/>
      <c r="L418" s="217"/>
      <c r="M418" s="217"/>
      <c r="N418" s="217"/>
      <c r="O418" s="217"/>
      <c r="P418" s="217"/>
      <c r="Q418" s="217"/>
      <c r="R418" s="217"/>
      <c r="S418" s="217"/>
      <c r="T418" s="217"/>
      <c r="U418" s="217"/>
      <c r="V418" s="217"/>
      <c r="W418" s="217"/>
      <c r="X418" s="217"/>
      <c r="Y418" s="217"/>
      <c r="Z418" s="217"/>
    </row>
    <row r="419" ht="15.75" customHeight="1">
      <c r="A419" s="217"/>
      <c r="B419" s="217"/>
      <c r="C419" s="217"/>
      <c r="D419" s="217"/>
      <c r="E419" s="217"/>
      <c r="F419" s="217"/>
      <c r="G419" s="217"/>
      <c r="H419" s="217"/>
      <c r="I419" s="217"/>
      <c r="J419" s="217"/>
      <c r="K419" s="217"/>
      <c r="L419" s="217"/>
      <c r="M419" s="217"/>
      <c r="N419" s="217"/>
      <c r="O419" s="217"/>
      <c r="P419" s="217"/>
      <c r="Q419" s="217"/>
      <c r="R419" s="217"/>
      <c r="S419" s="217"/>
      <c r="T419" s="217"/>
      <c r="U419" s="217"/>
      <c r="V419" s="217"/>
      <c r="W419" s="217"/>
      <c r="X419" s="217"/>
      <c r="Y419" s="217"/>
      <c r="Z419" s="217"/>
    </row>
    <row r="420" ht="15.75" customHeight="1">
      <c r="A420" s="217"/>
      <c r="B420" s="217"/>
      <c r="C420" s="217"/>
      <c r="D420" s="217"/>
      <c r="E420" s="217"/>
      <c r="F420" s="217"/>
      <c r="G420" s="217"/>
      <c r="H420" s="217"/>
      <c r="I420" s="217"/>
      <c r="J420" s="217"/>
      <c r="K420" s="217"/>
      <c r="L420" s="217"/>
      <c r="M420" s="217"/>
      <c r="N420" s="217"/>
      <c r="O420" s="217"/>
      <c r="P420" s="217"/>
      <c r="Q420" s="217"/>
      <c r="R420" s="217"/>
      <c r="S420" s="217"/>
      <c r="T420" s="217"/>
      <c r="U420" s="217"/>
      <c r="V420" s="217"/>
      <c r="W420" s="217"/>
      <c r="X420" s="217"/>
      <c r="Y420" s="217"/>
      <c r="Z420" s="217"/>
    </row>
    <row r="421" ht="15.75" customHeight="1">
      <c r="A421" s="217"/>
      <c r="B421" s="217"/>
      <c r="C421" s="217"/>
      <c r="D421" s="217"/>
      <c r="E421" s="217"/>
      <c r="F421" s="217"/>
      <c r="G421" s="217"/>
      <c r="H421" s="217"/>
      <c r="I421" s="217"/>
      <c r="J421" s="217"/>
      <c r="K421" s="217"/>
      <c r="L421" s="217"/>
      <c r="M421" s="217"/>
      <c r="N421" s="217"/>
      <c r="O421" s="217"/>
      <c r="P421" s="217"/>
      <c r="Q421" s="217"/>
      <c r="R421" s="217"/>
      <c r="S421" s="217"/>
      <c r="T421" s="217"/>
      <c r="U421" s="217"/>
      <c r="V421" s="217"/>
      <c r="W421" s="217"/>
      <c r="X421" s="217"/>
      <c r="Y421" s="217"/>
      <c r="Z421" s="217"/>
    </row>
    <row r="422" ht="15.75" customHeight="1">
      <c r="A422" s="217"/>
      <c r="B422" s="217"/>
      <c r="C422" s="217"/>
      <c r="D422" s="217"/>
      <c r="E422" s="217"/>
      <c r="F422" s="217"/>
      <c r="G422" s="217"/>
      <c r="H422" s="217"/>
      <c r="I422" s="217"/>
      <c r="J422" s="217"/>
      <c r="K422" s="217"/>
      <c r="L422" s="217"/>
      <c r="M422" s="217"/>
      <c r="N422" s="217"/>
      <c r="O422" s="217"/>
      <c r="P422" s="217"/>
      <c r="Q422" s="217"/>
      <c r="R422" s="217"/>
      <c r="S422" s="217"/>
      <c r="T422" s="217"/>
      <c r="U422" s="217"/>
      <c r="V422" s="217"/>
      <c r="W422" s="217"/>
      <c r="X422" s="217"/>
      <c r="Y422" s="217"/>
      <c r="Z422" s="217"/>
    </row>
    <row r="423" ht="15.75" customHeight="1">
      <c r="A423" s="217"/>
      <c r="B423" s="217"/>
      <c r="C423" s="217"/>
      <c r="D423" s="217"/>
      <c r="E423" s="217"/>
      <c r="F423" s="217"/>
      <c r="G423" s="217"/>
      <c r="H423" s="217"/>
      <c r="I423" s="217"/>
      <c r="J423" s="217"/>
      <c r="K423" s="217"/>
      <c r="L423" s="217"/>
      <c r="M423" s="217"/>
      <c r="N423" s="217"/>
      <c r="O423" s="217"/>
      <c r="P423" s="217"/>
      <c r="Q423" s="217"/>
      <c r="R423" s="217"/>
      <c r="S423" s="217"/>
      <c r="T423" s="217"/>
      <c r="U423" s="217"/>
      <c r="V423" s="217"/>
      <c r="W423" s="217"/>
      <c r="X423" s="217"/>
      <c r="Y423" s="217"/>
      <c r="Z423" s="217"/>
    </row>
    <row r="424" ht="15.75" customHeight="1">
      <c r="A424" s="217"/>
      <c r="B424" s="217"/>
      <c r="C424" s="217"/>
      <c r="D424" s="217"/>
      <c r="E424" s="217"/>
      <c r="F424" s="217"/>
      <c r="G424" s="217"/>
      <c r="H424" s="217"/>
      <c r="I424" s="217"/>
      <c r="J424" s="217"/>
      <c r="K424" s="217"/>
      <c r="L424" s="217"/>
      <c r="M424" s="217"/>
      <c r="N424" s="217"/>
      <c r="O424" s="217"/>
      <c r="P424" s="217"/>
      <c r="Q424" s="217"/>
      <c r="R424" s="217"/>
      <c r="S424" s="217"/>
      <c r="T424" s="217"/>
      <c r="U424" s="217"/>
      <c r="V424" s="217"/>
      <c r="W424" s="217"/>
      <c r="X424" s="217"/>
      <c r="Y424" s="217"/>
      <c r="Z424" s="217"/>
    </row>
    <row r="425" ht="15.75" customHeight="1">
      <c r="A425" s="217"/>
      <c r="B425" s="217"/>
      <c r="C425" s="217"/>
      <c r="D425" s="217"/>
      <c r="E425" s="217"/>
      <c r="F425" s="217"/>
      <c r="G425" s="217"/>
      <c r="H425" s="217"/>
      <c r="I425" s="217"/>
      <c r="J425" s="217"/>
      <c r="K425" s="217"/>
      <c r="L425" s="217"/>
      <c r="M425" s="217"/>
      <c r="N425" s="217"/>
      <c r="O425" s="217"/>
      <c r="P425" s="217"/>
      <c r="Q425" s="217"/>
      <c r="R425" s="217"/>
      <c r="S425" s="217"/>
      <c r="T425" s="217"/>
      <c r="U425" s="217"/>
      <c r="V425" s="217"/>
      <c r="W425" s="217"/>
      <c r="X425" s="217"/>
      <c r="Y425" s="217"/>
      <c r="Z425" s="217"/>
    </row>
    <row r="426" ht="15.75" customHeight="1">
      <c r="A426" s="217"/>
      <c r="B426" s="217"/>
      <c r="C426" s="217"/>
      <c r="D426" s="217"/>
      <c r="E426" s="217"/>
      <c r="F426" s="217"/>
      <c r="G426" s="217"/>
      <c r="H426" s="217"/>
      <c r="I426" s="217"/>
      <c r="J426" s="217"/>
      <c r="K426" s="217"/>
      <c r="L426" s="217"/>
      <c r="M426" s="217"/>
      <c r="N426" s="217"/>
      <c r="O426" s="217"/>
      <c r="P426" s="217"/>
      <c r="Q426" s="217"/>
      <c r="R426" s="217"/>
      <c r="S426" s="217"/>
      <c r="T426" s="217"/>
      <c r="U426" s="217"/>
      <c r="V426" s="217"/>
      <c r="W426" s="217"/>
      <c r="X426" s="217"/>
      <c r="Y426" s="217"/>
      <c r="Z426" s="217"/>
    </row>
    <row r="427" ht="15.75" customHeight="1">
      <c r="A427" s="217"/>
      <c r="B427" s="217"/>
      <c r="C427" s="217"/>
      <c r="D427" s="217"/>
      <c r="E427" s="217"/>
      <c r="F427" s="217"/>
      <c r="G427" s="217"/>
      <c r="H427" s="217"/>
      <c r="I427" s="217"/>
      <c r="J427" s="217"/>
      <c r="K427" s="217"/>
      <c r="L427" s="217"/>
      <c r="M427" s="217"/>
      <c r="N427" s="217"/>
      <c r="O427" s="217"/>
      <c r="P427" s="217"/>
      <c r="Q427" s="217"/>
      <c r="R427" s="217"/>
      <c r="S427" s="217"/>
      <c r="T427" s="217"/>
      <c r="U427" s="217"/>
      <c r="V427" s="217"/>
      <c r="W427" s="217"/>
      <c r="X427" s="217"/>
      <c r="Y427" s="217"/>
      <c r="Z427" s="217"/>
    </row>
    <row r="428" ht="15.75" customHeight="1">
      <c r="A428" s="217"/>
      <c r="B428" s="217"/>
      <c r="C428" s="217"/>
      <c r="D428" s="217"/>
      <c r="E428" s="217"/>
      <c r="F428" s="217"/>
      <c r="G428" s="217"/>
      <c r="H428" s="217"/>
      <c r="I428" s="217"/>
      <c r="J428" s="217"/>
      <c r="K428" s="217"/>
      <c r="L428" s="217"/>
      <c r="M428" s="217"/>
      <c r="N428" s="217"/>
      <c r="O428" s="217"/>
      <c r="P428" s="217"/>
      <c r="Q428" s="217"/>
      <c r="R428" s="217"/>
      <c r="S428" s="217"/>
      <c r="T428" s="217"/>
      <c r="U428" s="217"/>
      <c r="V428" s="217"/>
      <c r="W428" s="217"/>
      <c r="X428" s="217"/>
      <c r="Y428" s="217"/>
      <c r="Z428" s="217"/>
    </row>
    <row r="429" ht="15.75" customHeight="1">
      <c r="A429" s="217"/>
      <c r="B429" s="217"/>
      <c r="C429" s="217"/>
      <c r="D429" s="217"/>
      <c r="E429" s="217"/>
      <c r="F429" s="217"/>
      <c r="G429" s="217"/>
      <c r="H429" s="217"/>
      <c r="I429" s="217"/>
      <c r="J429" s="217"/>
      <c r="K429" s="217"/>
      <c r="L429" s="217"/>
      <c r="M429" s="217"/>
      <c r="N429" s="217"/>
      <c r="O429" s="217"/>
      <c r="P429" s="217"/>
      <c r="Q429" s="217"/>
      <c r="R429" s="217"/>
      <c r="S429" s="217"/>
      <c r="T429" s="217"/>
      <c r="U429" s="217"/>
      <c r="V429" s="217"/>
      <c r="W429" s="217"/>
      <c r="X429" s="217"/>
      <c r="Y429" s="217"/>
      <c r="Z429" s="217"/>
    </row>
    <row r="430" ht="15.75" customHeight="1">
      <c r="A430" s="217"/>
      <c r="B430" s="217"/>
      <c r="C430" s="217"/>
      <c r="D430" s="217"/>
      <c r="E430" s="217"/>
      <c r="F430" s="217"/>
      <c r="G430" s="217"/>
      <c r="H430" s="217"/>
      <c r="I430" s="217"/>
      <c r="J430" s="217"/>
      <c r="K430" s="217"/>
      <c r="L430" s="217"/>
      <c r="M430" s="217"/>
      <c r="N430" s="217"/>
      <c r="O430" s="217"/>
      <c r="P430" s="217"/>
      <c r="Q430" s="217"/>
      <c r="R430" s="217"/>
      <c r="S430" s="217"/>
      <c r="T430" s="217"/>
      <c r="U430" s="217"/>
      <c r="V430" s="217"/>
      <c r="W430" s="217"/>
      <c r="X430" s="217"/>
      <c r="Y430" s="217"/>
      <c r="Z430" s="217"/>
    </row>
    <row r="431" ht="15.75" customHeight="1">
      <c r="A431" s="217"/>
      <c r="B431" s="217"/>
      <c r="C431" s="217"/>
      <c r="D431" s="217"/>
      <c r="E431" s="217"/>
      <c r="F431" s="217"/>
      <c r="G431" s="217"/>
      <c r="H431" s="217"/>
      <c r="I431" s="217"/>
      <c r="J431" s="217"/>
      <c r="K431" s="217"/>
      <c r="L431" s="217"/>
      <c r="M431" s="217"/>
      <c r="N431" s="217"/>
      <c r="O431" s="217"/>
      <c r="P431" s="217"/>
      <c r="Q431" s="217"/>
      <c r="R431" s="217"/>
      <c r="S431" s="217"/>
      <c r="T431" s="217"/>
      <c r="U431" s="217"/>
      <c r="V431" s="217"/>
      <c r="W431" s="217"/>
      <c r="X431" s="217"/>
      <c r="Y431" s="217"/>
      <c r="Z431" s="217"/>
    </row>
    <row r="432" ht="15.75" customHeight="1">
      <c r="A432" s="217"/>
      <c r="B432" s="217"/>
      <c r="C432" s="217"/>
      <c r="D432" s="217"/>
      <c r="E432" s="217"/>
      <c r="F432" s="217"/>
      <c r="G432" s="217"/>
      <c r="H432" s="217"/>
      <c r="I432" s="217"/>
      <c r="J432" s="217"/>
      <c r="K432" s="217"/>
      <c r="L432" s="217"/>
      <c r="M432" s="217"/>
      <c r="N432" s="217"/>
      <c r="O432" s="217"/>
      <c r="P432" s="217"/>
      <c r="Q432" s="217"/>
      <c r="R432" s="217"/>
      <c r="S432" s="217"/>
      <c r="T432" s="217"/>
      <c r="U432" s="217"/>
      <c r="V432" s="217"/>
      <c r="W432" s="217"/>
      <c r="X432" s="217"/>
      <c r="Y432" s="217"/>
      <c r="Z432" s="217"/>
    </row>
    <row r="433" ht="15.75" customHeight="1">
      <c r="A433" s="217"/>
      <c r="B433" s="217"/>
      <c r="C433" s="217"/>
      <c r="D433" s="217"/>
      <c r="E433" s="217"/>
      <c r="F433" s="217"/>
      <c r="G433" s="217"/>
      <c r="H433" s="217"/>
      <c r="I433" s="217"/>
      <c r="J433" s="217"/>
      <c r="K433" s="217"/>
      <c r="L433" s="217"/>
      <c r="M433" s="217"/>
      <c r="N433" s="217"/>
      <c r="O433" s="217"/>
      <c r="P433" s="217"/>
      <c r="Q433" s="217"/>
      <c r="R433" s="217"/>
      <c r="S433" s="217"/>
      <c r="T433" s="217"/>
      <c r="U433" s="217"/>
      <c r="V433" s="217"/>
      <c r="W433" s="217"/>
      <c r="X433" s="217"/>
      <c r="Y433" s="217"/>
      <c r="Z433" s="217"/>
    </row>
    <row r="434" ht="15.75" customHeight="1">
      <c r="A434" s="217"/>
      <c r="B434" s="217"/>
      <c r="C434" s="217"/>
      <c r="D434" s="217"/>
      <c r="E434" s="217"/>
      <c r="F434" s="217"/>
      <c r="G434" s="217"/>
      <c r="H434" s="217"/>
      <c r="I434" s="217"/>
      <c r="J434" s="217"/>
      <c r="K434" s="217"/>
      <c r="L434" s="217"/>
      <c r="M434" s="217"/>
      <c r="N434" s="217"/>
      <c r="O434" s="217"/>
      <c r="P434" s="217"/>
      <c r="Q434" s="217"/>
      <c r="R434" s="217"/>
      <c r="S434" s="217"/>
      <c r="T434" s="217"/>
      <c r="U434" s="217"/>
      <c r="V434" s="217"/>
      <c r="W434" s="217"/>
      <c r="X434" s="217"/>
      <c r="Y434" s="217"/>
      <c r="Z434" s="217"/>
    </row>
    <row r="435" ht="15.75" customHeight="1">
      <c r="A435" s="217"/>
      <c r="B435" s="217"/>
      <c r="C435" s="217"/>
      <c r="D435" s="217"/>
      <c r="E435" s="217"/>
      <c r="F435" s="217"/>
      <c r="G435" s="217"/>
      <c r="H435" s="217"/>
      <c r="I435" s="217"/>
      <c r="J435" s="217"/>
      <c r="K435" s="217"/>
      <c r="L435" s="217"/>
      <c r="M435" s="217"/>
      <c r="N435" s="217"/>
      <c r="O435" s="217"/>
      <c r="P435" s="217"/>
      <c r="Q435" s="217"/>
      <c r="R435" s="217"/>
      <c r="S435" s="217"/>
      <c r="T435" s="217"/>
      <c r="U435" s="217"/>
      <c r="V435" s="217"/>
      <c r="W435" s="217"/>
      <c r="X435" s="217"/>
      <c r="Y435" s="217"/>
      <c r="Z435" s="217"/>
    </row>
    <row r="436" ht="15.75" customHeight="1">
      <c r="A436" s="217"/>
      <c r="B436" s="217"/>
      <c r="C436" s="217"/>
      <c r="D436" s="217"/>
      <c r="E436" s="217"/>
      <c r="F436" s="217"/>
      <c r="G436" s="217"/>
      <c r="H436" s="217"/>
      <c r="I436" s="217"/>
      <c r="J436" s="217"/>
      <c r="K436" s="217"/>
      <c r="L436" s="217"/>
      <c r="M436" s="217"/>
      <c r="N436" s="217"/>
      <c r="O436" s="217"/>
      <c r="P436" s="217"/>
      <c r="Q436" s="217"/>
      <c r="R436" s="217"/>
      <c r="S436" s="217"/>
      <c r="T436" s="217"/>
      <c r="U436" s="217"/>
      <c r="V436" s="217"/>
      <c r="W436" s="217"/>
      <c r="X436" s="217"/>
      <c r="Y436" s="217"/>
      <c r="Z436" s="217"/>
    </row>
    <row r="437" ht="15.75" customHeight="1">
      <c r="A437" s="217"/>
      <c r="B437" s="217"/>
      <c r="C437" s="217"/>
      <c r="D437" s="217"/>
      <c r="E437" s="217"/>
      <c r="F437" s="217"/>
      <c r="G437" s="217"/>
      <c r="H437" s="217"/>
      <c r="I437" s="217"/>
      <c r="J437" s="217"/>
      <c r="K437" s="217"/>
      <c r="L437" s="217"/>
      <c r="M437" s="217"/>
      <c r="N437" s="217"/>
      <c r="O437" s="217"/>
      <c r="P437" s="217"/>
      <c r="Q437" s="217"/>
      <c r="R437" s="217"/>
      <c r="S437" s="217"/>
      <c r="T437" s="217"/>
      <c r="U437" s="217"/>
      <c r="V437" s="217"/>
      <c r="W437" s="217"/>
      <c r="X437" s="217"/>
      <c r="Y437" s="217"/>
      <c r="Z437" s="217"/>
    </row>
    <row r="438" ht="15.75" customHeight="1">
      <c r="A438" s="217"/>
      <c r="B438" s="217"/>
      <c r="C438" s="217"/>
      <c r="D438" s="217"/>
      <c r="E438" s="217"/>
      <c r="F438" s="217"/>
      <c r="G438" s="217"/>
      <c r="H438" s="217"/>
      <c r="I438" s="217"/>
      <c r="J438" s="217"/>
      <c r="K438" s="217"/>
      <c r="L438" s="217"/>
      <c r="M438" s="217"/>
      <c r="N438" s="217"/>
      <c r="O438" s="217"/>
      <c r="P438" s="217"/>
      <c r="Q438" s="217"/>
      <c r="R438" s="217"/>
      <c r="S438" s="217"/>
      <c r="T438" s="217"/>
      <c r="U438" s="217"/>
      <c r="V438" s="217"/>
      <c r="W438" s="217"/>
      <c r="X438" s="217"/>
      <c r="Y438" s="217"/>
      <c r="Z438" s="217"/>
    </row>
    <row r="439" ht="15.75" customHeight="1">
      <c r="A439" s="217"/>
      <c r="B439" s="217"/>
      <c r="C439" s="217"/>
      <c r="D439" s="217"/>
      <c r="E439" s="217"/>
      <c r="F439" s="217"/>
      <c r="G439" s="217"/>
      <c r="H439" s="217"/>
      <c r="I439" s="217"/>
      <c r="J439" s="217"/>
      <c r="K439" s="217"/>
      <c r="L439" s="217"/>
      <c r="M439" s="217"/>
      <c r="N439" s="217"/>
      <c r="O439" s="217"/>
      <c r="P439" s="217"/>
      <c r="Q439" s="217"/>
      <c r="R439" s="217"/>
      <c r="S439" s="217"/>
      <c r="T439" s="217"/>
      <c r="U439" s="217"/>
      <c r="V439" s="217"/>
      <c r="W439" s="217"/>
      <c r="X439" s="217"/>
      <c r="Y439" s="217"/>
      <c r="Z439" s="217"/>
    </row>
    <row r="440" ht="15.75" customHeight="1">
      <c r="A440" s="217"/>
      <c r="B440" s="217"/>
      <c r="C440" s="217"/>
      <c r="D440" s="217"/>
      <c r="E440" s="217"/>
      <c r="F440" s="217"/>
      <c r="G440" s="217"/>
      <c r="H440" s="217"/>
      <c r="I440" s="217"/>
      <c r="J440" s="217"/>
      <c r="K440" s="217"/>
      <c r="L440" s="217"/>
      <c r="M440" s="217"/>
      <c r="N440" s="217"/>
      <c r="O440" s="217"/>
      <c r="P440" s="217"/>
      <c r="Q440" s="217"/>
      <c r="R440" s="217"/>
      <c r="S440" s="217"/>
      <c r="T440" s="217"/>
      <c r="U440" s="217"/>
      <c r="V440" s="217"/>
      <c r="W440" s="217"/>
      <c r="X440" s="217"/>
      <c r="Y440" s="217"/>
      <c r="Z440" s="217"/>
    </row>
    <row r="441" ht="15.75" customHeight="1">
      <c r="A441" s="217"/>
      <c r="B441" s="217"/>
      <c r="C441" s="217"/>
      <c r="D441" s="217"/>
      <c r="E441" s="217"/>
      <c r="F441" s="217"/>
      <c r="G441" s="217"/>
      <c r="H441" s="217"/>
      <c r="I441" s="217"/>
      <c r="J441" s="217"/>
      <c r="K441" s="217"/>
      <c r="L441" s="217"/>
      <c r="M441" s="217"/>
      <c r="N441" s="217"/>
      <c r="O441" s="217"/>
      <c r="P441" s="217"/>
      <c r="Q441" s="217"/>
      <c r="R441" s="217"/>
      <c r="S441" s="217"/>
      <c r="T441" s="217"/>
      <c r="U441" s="217"/>
      <c r="V441" s="217"/>
      <c r="W441" s="217"/>
      <c r="X441" s="217"/>
      <c r="Y441" s="217"/>
      <c r="Z441" s="217"/>
    </row>
    <row r="442" ht="15.75" customHeight="1">
      <c r="A442" s="217"/>
      <c r="B442" s="217"/>
      <c r="C442" s="217"/>
      <c r="D442" s="217"/>
      <c r="E442" s="217"/>
      <c r="F442" s="217"/>
      <c r="G442" s="217"/>
      <c r="H442" s="217"/>
      <c r="I442" s="217"/>
      <c r="J442" s="217"/>
      <c r="K442" s="217"/>
      <c r="L442" s="217"/>
      <c r="M442" s="217"/>
      <c r="N442" s="217"/>
      <c r="O442" s="217"/>
      <c r="P442" s="217"/>
      <c r="Q442" s="217"/>
      <c r="R442" s="217"/>
      <c r="S442" s="217"/>
      <c r="T442" s="217"/>
      <c r="U442" s="217"/>
      <c r="V442" s="217"/>
      <c r="W442" s="217"/>
      <c r="X442" s="217"/>
      <c r="Y442" s="217"/>
      <c r="Z442" s="217"/>
    </row>
    <row r="443" ht="15.75" customHeight="1">
      <c r="A443" s="217"/>
      <c r="B443" s="217"/>
      <c r="C443" s="217"/>
      <c r="D443" s="217"/>
      <c r="E443" s="217"/>
      <c r="F443" s="217"/>
      <c r="G443" s="217"/>
      <c r="H443" s="217"/>
      <c r="I443" s="217"/>
      <c r="J443" s="217"/>
      <c r="K443" s="217"/>
      <c r="L443" s="217"/>
      <c r="M443" s="217"/>
      <c r="N443" s="217"/>
      <c r="O443" s="217"/>
      <c r="P443" s="217"/>
      <c r="Q443" s="217"/>
      <c r="R443" s="217"/>
      <c r="S443" s="217"/>
      <c r="T443" s="217"/>
      <c r="U443" s="217"/>
      <c r="V443" s="217"/>
      <c r="W443" s="217"/>
      <c r="X443" s="217"/>
      <c r="Y443" s="217"/>
      <c r="Z443" s="217"/>
    </row>
    <row r="444" ht="15.75" customHeight="1">
      <c r="A444" s="217"/>
      <c r="B444" s="217"/>
      <c r="C444" s="217"/>
      <c r="D444" s="217"/>
      <c r="E444" s="217"/>
      <c r="F444" s="217"/>
      <c r="G444" s="217"/>
      <c r="H444" s="217"/>
      <c r="I444" s="217"/>
      <c r="J444" s="217"/>
      <c r="K444" s="217"/>
      <c r="L444" s="217"/>
      <c r="M444" s="217"/>
      <c r="N444" s="217"/>
      <c r="O444" s="217"/>
      <c r="P444" s="217"/>
      <c r="Q444" s="217"/>
      <c r="R444" s="217"/>
      <c r="S444" s="217"/>
      <c r="T444" s="217"/>
      <c r="U444" s="217"/>
      <c r="V444" s="217"/>
      <c r="W444" s="217"/>
      <c r="X444" s="217"/>
      <c r="Y444" s="217"/>
      <c r="Z444" s="217"/>
    </row>
    <row r="445" ht="15.75" customHeight="1">
      <c r="A445" s="217"/>
      <c r="B445" s="217"/>
      <c r="C445" s="217"/>
      <c r="D445" s="217"/>
      <c r="E445" s="217"/>
      <c r="F445" s="217"/>
      <c r="G445" s="217"/>
      <c r="H445" s="217"/>
      <c r="I445" s="217"/>
      <c r="J445" s="217"/>
      <c r="K445" s="217"/>
      <c r="L445" s="217"/>
      <c r="M445" s="217"/>
      <c r="N445" s="217"/>
      <c r="O445" s="217"/>
      <c r="P445" s="217"/>
      <c r="Q445" s="217"/>
      <c r="R445" s="217"/>
      <c r="S445" s="217"/>
      <c r="T445" s="217"/>
      <c r="U445" s="217"/>
      <c r="V445" s="217"/>
      <c r="W445" s="217"/>
      <c r="X445" s="217"/>
      <c r="Y445" s="217"/>
      <c r="Z445" s="217"/>
    </row>
    <row r="446" ht="15.75" customHeight="1">
      <c r="A446" s="217"/>
      <c r="B446" s="217"/>
      <c r="C446" s="217"/>
      <c r="D446" s="217"/>
      <c r="E446" s="217"/>
      <c r="F446" s="217"/>
      <c r="G446" s="217"/>
      <c r="H446" s="217"/>
      <c r="I446" s="217"/>
      <c r="J446" s="217"/>
      <c r="K446" s="217"/>
      <c r="L446" s="217"/>
      <c r="M446" s="217"/>
      <c r="N446" s="217"/>
      <c r="O446" s="217"/>
      <c r="P446" s="217"/>
      <c r="Q446" s="217"/>
      <c r="R446" s="217"/>
      <c r="S446" s="217"/>
      <c r="T446" s="217"/>
      <c r="U446" s="217"/>
      <c r="V446" s="217"/>
      <c r="W446" s="217"/>
      <c r="X446" s="217"/>
      <c r="Y446" s="217"/>
      <c r="Z446" s="217"/>
    </row>
    <row r="447" ht="15.75" customHeight="1">
      <c r="A447" s="217"/>
      <c r="B447" s="217"/>
      <c r="C447" s="217"/>
      <c r="D447" s="217"/>
      <c r="E447" s="217"/>
      <c r="F447" s="217"/>
      <c r="G447" s="217"/>
      <c r="H447" s="217"/>
      <c r="I447" s="217"/>
      <c r="J447" s="217"/>
      <c r="K447" s="217"/>
      <c r="L447" s="217"/>
      <c r="M447" s="217"/>
      <c r="N447" s="217"/>
      <c r="O447" s="217"/>
      <c r="P447" s="217"/>
      <c r="Q447" s="217"/>
      <c r="R447" s="217"/>
      <c r="S447" s="217"/>
      <c r="T447" s="217"/>
      <c r="U447" s="217"/>
      <c r="V447" s="217"/>
      <c r="W447" s="217"/>
      <c r="X447" s="217"/>
      <c r="Y447" s="217"/>
      <c r="Z447" s="217"/>
    </row>
    <row r="448" ht="15.75" customHeight="1">
      <c r="A448" s="217"/>
      <c r="B448" s="217"/>
      <c r="C448" s="217"/>
      <c r="D448" s="217"/>
      <c r="E448" s="217"/>
      <c r="F448" s="217"/>
      <c r="G448" s="217"/>
      <c r="H448" s="217"/>
      <c r="I448" s="217"/>
      <c r="J448" s="217"/>
      <c r="K448" s="217"/>
      <c r="L448" s="217"/>
      <c r="M448" s="217"/>
      <c r="N448" s="217"/>
      <c r="O448" s="217"/>
      <c r="P448" s="217"/>
      <c r="Q448" s="217"/>
      <c r="R448" s="217"/>
      <c r="S448" s="217"/>
      <c r="T448" s="217"/>
      <c r="U448" s="217"/>
      <c r="V448" s="217"/>
      <c r="W448" s="217"/>
      <c r="X448" s="217"/>
      <c r="Y448" s="217"/>
      <c r="Z448" s="217"/>
    </row>
    <row r="449" ht="15.75" customHeight="1">
      <c r="A449" s="217"/>
      <c r="B449" s="217"/>
      <c r="C449" s="217"/>
      <c r="D449" s="217"/>
      <c r="E449" s="217"/>
      <c r="F449" s="217"/>
      <c r="G449" s="217"/>
      <c r="H449" s="217"/>
      <c r="I449" s="217"/>
      <c r="J449" s="217"/>
      <c r="K449" s="217"/>
      <c r="L449" s="217"/>
      <c r="M449" s="217"/>
      <c r="N449" s="217"/>
      <c r="O449" s="217"/>
      <c r="P449" s="217"/>
      <c r="Q449" s="217"/>
      <c r="R449" s="217"/>
      <c r="S449" s="217"/>
      <c r="T449" s="217"/>
      <c r="U449" s="217"/>
      <c r="V449" s="217"/>
      <c r="W449" s="217"/>
      <c r="X449" s="217"/>
      <c r="Y449" s="217"/>
      <c r="Z449" s="217"/>
    </row>
    <row r="450" ht="15.75" customHeight="1">
      <c r="A450" s="217"/>
      <c r="B450" s="217"/>
      <c r="C450" s="217"/>
      <c r="D450" s="217"/>
      <c r="E450" s="217"/>
      <c r="F450" s="217"/>
      <c r="G450" s="217"/>
      <c r="H450" s="217"/>
      <c r="I450" s="217"/>
      <c r="J450" s="217"/>
      <c r="K450" s="217"/>
      <c r="L450" s="217"/>
      <c r="M450" s="217"/>
      <c r="N450" s="217"/>
      <c r="O450" s="217"/>
      <c r="P450" s="217"/>
      <c r="Q450" s="217"/>
      <c r="R450" s="217"/>
      <c r="S450" s="217"/>
      <c r="T450" s="217"/>
      <c r="U450" s="217"/>
      <c r="V450" s="217"/>
      <c r="W450" s="217"/>
      <c r="X450" s="217"/>
      <c r="Y450" s="217"/>
      <c r="Z450" s="217"/>
    </row>
    <row r="451" ht="15.75" customHeight="1">
      <c r="A451" s="217"/>
      <c r="B451" s="217"/>
      <c r="C451" s="217"/>
      <c r="D451" s="217"/>
      <c r="E451" s="217"/>
      <c r="F451" s="217"/>
      <c r="G451" s="217"/>
      <c r="H451" s="217"/>
      <c r="I451" s="217"/>
      <c r="J451" s="217"/>
      <c r="K451" s="217"/>
      <c r="L451" s="217"/>
      <c r="M451" s="217"/>
      <c r="N451" s="217"/>
      <c r="O451" s="217"/>
      <c r="P451" s="217"/>
      <c r="Q451" s="217"/>
      <c r="R451" s="217"/>
      <c r="S451" s="217"/>
      <c r="T451" s="217"/>
      <c r="U451" s="217"/>
      <c r="V451" s="217"/>
      <c r="W451" s="217"/>
      <c r="X451" s="217"/>
      <c r="Y451" s="217"/>
      <c r="Z451" s="217"/>
    </row>
    <row r="452" ht="15.75" customHeight="1">
      <c r="A452" s="217"/>
      <c r="B452" s="217"/>
      <c r="C452" s="217"/>
      <c r="D452" s="217"/>
      <c r="E452" s="217"/>
      <c r="F452" s="217"/>
      <c r="G452" s="217"/>
      <c r="H452" s="217"/>
      <c r="I452" s="217"/>
      <c r="J452" s="217"/>
      <c r="K452" s="217"/>
      <c r="L452" s="217"/>
      <c r="M452" s="217"/>
      <c r="N452" s="217"/>
      <c r="O452" s="217"/>
      <c r="P452" s="217"/>
      <c r="Q452" s="217"/>
      <c r="R452" s="217"/>
      <c r="S452" s="217"/>
      <c r="T452" s="217"/>
      <c r="U452" s="217"/>
      <c r="V452" s="217"/>
      <c r="W452" s="217"/>
      <c r="X452" s="217"/>
      <c r="Y452" s="217"/>
      <c r="Z452" s="217"/>
    </row>
    <row r="453" ht="15.75" customHeight="1">
      <c r="A453" s="217"/>
      <c r="B453" s="217"/>
      <c r="C453" s="217"/>
      <c r="D453" s="217"/>
      <c r="E453" s="217"/>
      <c r="F453" s="217"/>
      <c r="G453" s="217"/>
      <c r="H453" s="217"/>
      <c r="I453" s="217"/>
      <c r="J453" s="217"/>
      <c r="K453" s="217"/>
      <c r="L453" s="217"/>
      <c r="M453" s="217"/>
      <c r="N453" s="217"/>
      <c r="O453" s="217"/>
      <c r="P453" s="217"/>
      <c r="Q453" s="217"/>
      <c r="R453" s="217"/>
      <c r="S453" s="217"/>
      <c r="T453" s="217"/>
      <c r="U453" s="217"/>
      <c r="V453" s="217"/>
      <c r="W453" s="217"/>
      <c r="X453" s="217"/>
      <c r="Y453" s="217"/>
      <c r="Z453" s="217"/>
    </row>
    <row r="454" ht="15.75" customHeight="1">
      <c r="A454" s="217"/>
      <c r="B454" s="217"/>
      <c r="C454" s="217"/>
      <c r="D454" s="217"/>
      <c r="E454" s="217"/>
      <c r="F454" s="217"/>
      <c r="G454" s="217"/>
      <c r="H454" s="217"/>
      <c r="I454" s="217"/>
      <c r="J454" s="217"/>
      <c r="K454" s="217"/>
      <c r="L454" s="217"/>
      <c r="M454" s="217"/>
      <c r="N454" s="217"/>
      <c r="O454" s="217"/>
      <c r="P454" s="217"/>
      <c r="Q454" s="217"/>
      <c r="R454" s="217"/>
      <c r="S454" s="217"/>
      <c r="T454" s="217"/>
      <c r="U454" s="217"/>
      <c r="V454" s="217"/>
      <c r="W454" s="217"/>
      <c r="X454" s="217"/>
      <c r="Y454" s="217"/>
      <c r="Z454" s="217"/>
    </row>
    <row r="455" ht="15.75" customHeight="1">
      <c r="A455" s="217"/>
      <c r="B455" s="217"/>
      <c r="C455" s="217"/>
      <c r="D455" s="217"/>
      <c r="E455" s="217"/>
      <c r="F455" s="217"/>
      <c r="G455" s="217"/>
      <c r="H455" s="217"/>
      <c r="I455" s="217"/>
      <c r="J455" s="217"/>
      <c r="K455" s="217"/>
      <c r="L455" s="217"/>
      <c r="M455" s="217"/>
      <c r="N455" s="217"/>
      <c r="O455" s="217"/>
      <c r="P455" s="217"/>
      <c r="Q455" s="217"/>
      <c r="R455" s="217"/>
      <c r="S455" s="217"/>
      <c r="T455" s="217"/>
      <c r="U455" s="217"/>
      <c r="V455" s="217"/>
      <c r="W455" s="217"/>
      <c r="X455" s="217"/>
      <c r="Y455" s="217"/>
      <c r="Z455" s="217"/>
    </row>
    <row r="456" ht="15.75" customHeight="1">
      <c r="A456" s="217"/>
      <c r="B456" s="217"/>
      <c r="C456" s="217"/>
      <c r="D456" s="217"/>
      <c r="E456" s="217"/>
      <c r="F456" s="217"/>
      <c r="G456" s="217"/>
      <c r="H456" s="217"/>
      <c r="I456" s="217"/>
      <c r="J456" s="217"/>
      <c r="K456" s="217"/>
      <c r="L456" s="217"/>
      <c r="M456" s="217"/>
      <c r="N456" s="217"/>
      <c r="O456" s="217"/>
      <c r="P456" s="217"/>
      <c r="Q456" s="217"/>
      <c r="R456" s="217"/>
      <c r="S456" s="217"/>
      <c r="T456" s="217"/>
      <c r="U456" s="217"/>
      <c r="V456" s="217"/>
      <c r="W456" s="217"/>
      <c r="X456" s="217"/>
      <c r="Y456" s="217"/>
      <c r="Z456" s="217"/>
    </row>
    <row r="457" ht="15.75" customHeight="1">
      <c r="A457" s="217"/>
      <c r="B457" s="217"/>
      <c r="C457" s="217"/>
      <c r="D457" s="217"/>
      <c r="E457" s="217"/>
      <c r="F457" s="217"/>
      <c r="G457" s="217"/>
      <c r="H457" s="217"/>
      <c r="I457" s="217"/>
      <c r="J457" s="217"/>
      <c r="K457" s="217"/>
      <c r="L457" s="217"/>
      <c r="M457" s="217"/>
      <c r="N457" s="217"/>
      <c r="O457" s="217"/>
      <c r="P457" s="217"/>
      <c r="Q457" s="217"/>
      <c r="R457" s="217"/>
      <c r="S457" s="217"/>
      <c r="T457" s="217"/>
      <c r="U457" s="217"/>
      <c r="V457" s="217"/>
      <c r="W457" s="217"/>
      <c r="X457" s="217"/>
      <c r="Y457" s="217"/>
      <c r="Z457" s="217"/>
    </row>
    <row r="458" ht="15.75" customHeight="1">
      <c r="A458" s="217"/>
      <c r="B458" s="217"/>
      <c r="C458" s="217"/>
      <c r="D458" s="217"/>
      <c r="E458" s="217"/>
      <c r="F458" s="217"/>
      <c r="G458" s="217"/>
      <c r="H458" s="217"/>
      <c r="I458" s="217"/>
      <c r="J458" s="217"/>
      <c r="K458" s="217"/>
      <c r="L458" s="217"/>
      <c r="M458" s="217"/>
      <c r="N458" s="217"/>
      <c r="O458" s="217"/>
      <c r="P458" s="217"/>
      <c r="Q458" s="217"/>
      <c r="R458" s="217"/>
      <c r="S458" s="217"/>
      <c r="T458" s="217"/>
      <c r="U458" s="217"/>
      <c r="V458" s="217"/>
      <c r="W458" s="217"/>
      <c r="X458" s="217"/>
      <c r="Y458" s="217"/>
      <c r="Z458" s="217"/>
    </row>
    <row r="459" ht="15.75" customHeight="1">
      <c r="A459" s="217"/>
      <c r="B459" s="217"/>
      <c r="C459" s="217"/>
      <c r="D459" s="217"/>
      <c r="E459" s="217"/>
      <c r="F459" s="217"/>
      <c r="G459" s="217"/>
      <c r="H459" s="217"/>
      <c r="I459" s="217"/>
      <c r="J459" s="217"/>
      <c r="K459" s="217"/>
      <c r="L459" s="217"/>
      <c r="M459" s="217"/>
      <c r="N459" s="217"/>
      <c r="O459" s="217"/>
      <c r="P459" s="217"/>
      <c r="Q459" s="217"/>
      <c r="R459" s="217"/>
      <c r="S459" s="217"/>
      <c r="T459" s="217"/>
      <c r="U459" s="217"/>
      <c r="V459" s="217"/>
      <c r="W459" s="217"/>
      <c r="X459" s="217"/>
      <c r="Y459" s="217"/>
      <c r="Z459" s="217"/>
    </row>
    <row r="460" ht="15.75" customHeight="1">
      <c r="A460" s="217"/>
      <c r="B460" s="217"/>
      <c r="C460" s="217"/>
      <c r="D460" s="217"/>
      <c r="E460" s="217"/>
      <c r="F460" s="217"/>
      <c r="G460" s="217"/>
      <c r="H460" s="217"/>
      <c r="I460" s="217"/>
      <c r="J460" s="217"/>
      <c r="K460" s="217"/>
      <c r="L460" s="217"/>
      <c r="M460" s="217"/>
      <c r="N460" s="217"/>
      <c r="O460" s="217"/>
      <c r="P460" s="217"/>
      <c r="Q460" s="217"/>
      <c r="R460" s="217"/>
      <c r="S460" s="217"/>
      <c r="T460" s="217"/>
      <c r="U460" s="217"/>
      <c r="V460" s="217"/>
      <c r="W460" s="217"/>
      <c r="X460" s="217"/>
      <c r="Y460" s="217"/>
      <c r="Z460" s="217"/>
    </row>
    <row r="461" ht="15.75" customHeight="1">
      <c r="A461" s="217"/>
      <c r="B461" s="217"/>
      <c r="C461" s="217"/>
      <c r="D461" s="217"/>
      <c r="E461" s="217"/>
      <c r="F461" s="217"/>
      <c r="G461" s="217"/>
      <c r="H461" s="217"/>
      <c r="I461" s="217"/>
      <c r="J461" s="217"/>
      <c r="K461" s="217"/>
      <c r="L461" s="217"/>
      <c r="M461" s="217"/>
      <c r="N461" s="217"/>
      <c r="O461" s="217"/>
      <c r="P461" s="217"/>
      <c r="Q461" s="217"/>
      <c r="R461" s="217"/>
      <c r="S461" s="217"/>
      <c r="T461" s="217"/>
      <c r="U461" s="217"/>
      <c r="V461" s="217"/>
      <c r="W461" s="217"/>
      <c r="X461" s="217"/>
      <c r="Y461" s="217"/>
      <c r="Z461" s="217"/>
    </row>
    <row r="462" ht="15.75" customHeight="1">
      <c r="A462" s="217"/>
      <c r="B462" s="217"/>
      <c r="C462" s="217"/>
      <c r="D462" s="217"/>
      <c r="E462" s="217"/>
      <c r="F462" s="217"/>
      <c r="G462" s="217"/>
      <c r="H462" s="217"/>
      <c r="I462" s="217"/>
      <c r="J462" s="217"/>
      <c r="K462" s="217"/>
      <c r="L462" s="217"/>
      <c r="M462" s="217"/>
      <c r="N462" s="217"/>
      <c r="O462" s="217"/>
      <c r="P462" s="217"/>
      <c r="Q462" s="217"/>
      <c r="R462" s="217"/>
      <c r="S462" s="217"/>
      <c r="T462" s="217"/>
      <c r="U462" s="217"/>
      <c r="V462" s="217"/>
      <c r="W462" s="217"/>
      <c r="X462" s="217"/>
      <c r="Y462" s="217"/>
      <c r="Z462" s="217"/>
    </row>
    <row r="463" ht="15.75" customHeight="1">
      <c r="A463" s="217"/>
      <c r="B463" s="217"/>
      <c r="C463" s="217"/>
      <c r="D463" s="217"/>
      <c r="E463" s="217"/>
      <c r="F463" s="217"/>
      <c r="G463" s="217"/>
      <c r="H463" s="217"/>
      <c r="I463" s="217"/>
      <c r="J463" s="217"/>
      <c r="K463" s="217"/>
      <c r="L463" s="217"/>
      <c r="M463" s="217"/>
      <c r="N463" s="217"/>
      <c r="O463" s="217"/>
      <c r="P463" s="217"/>
      <c r="Q463" s="217"/>
      <c r="R463" s="217"/>
      <c r="S463" s="217"/>
      <c r="T463" s="217"/>
      <c r="U463" s="217"/>
      <c r="V463" s="217"/>
      <c r="W463" s="217"/>
      <c r="X463" s="217"/>
      <c r="Y463" s="217"/>
      <c r="Z463" s="217"/>
    </row>
    <row r="464" ht="15.75" customHeight="1">
      <c r="A464" s="217"/>
      <c r="B464" s="217"/>
      <c r="C464" s="217"/>
      <c r="D464" s="217"/>
      <c r="E464" s="217"/>
      <c r="F464" s="217"/>
      <c r="G464" s="217"/>
      <c r="H464" s="217"/>
      <c r="I464" s="217"/>
      <c r="J464" s="217"/>
      <c r="K464" s="217"/>
      <c r="L464" s="217"/>
      <c r="M464" s="217"/>
      <c r="N464" s="217"/>
      <c r="O464" s="217"/>
      <c r="P464" s="217"/>
      <c r="Q464" s="217"/>
      <c r="R464" s="217"/>
      <c r="S464" s="217"/>
      <c r="T464" s="217"/>
      <c r="U464" s="217"/>
      <c r="V464" s="217"/>
      <c r="W464" s="217"/>
      <c r="X464" s="217"/>
      <c r="Y464" s="217"/>
      <c r="Z464" s="217"/>
    </row>
    <row r="465" ht="15.75" customHeight="1">
      <c r="A465" s="217"/>
      <c r="B465" s="217"/>
      <c r="C465" s="217"/>
      <c r="D465" s="217"/>
      <c r="E465" s="217"/>
      <c r="F465" s="217"/>
      <c r="G465" s="217"/>
      <c r="H465" s="217"/>
      <c r="I465" s="217"/>
      <c r="J465" s="217"/>
      <c r="K465" s="217"/>
      <c r="L465" s="217"/>
      <c r="M465" s="217"/>
      <c r="N465" s="217"/>
      <c r="O465" s="217"/>
      <c r="P465" s="217"/>
      <c r="Q465" s="217"/>
      <c r="R465" s="217"/>
      <c r="S465" s="217"/>
      <c r="T465" s="217"/>
      <c r="U465" s="217"/>
      <c r="V465" s="217"/>
      <c r="W465" s="217"/>
      <c r="X465" s="217"/>
      <c r="Y465" s="217"/>
      <c r="Z465" s="217"/>
    </row>
    <row r="466" ht="15.75" customHeight="1">
      <c r="A466" s="217"/>
      <c r="B466" s="217"/>
      <c r="C466" s="217"/>
      <c r="D466" s="217"/>
      <c r="E466" s="217"/>
      <c r="F466" s="217"/>
      <c r="G466" s="217"/>
      <c r="H466" s="217"/>
      <c r="I466" s="217"/>
      <c r="J466" s="217"/>
      <c r="K466" s="217"/>
      <c r="L466" s="217"/>
      <c r="M466" s="217"/>
      <c r="N466" s="217"/>
      <c r="O466" s="217"/>
      <c r="P466" s="217"/>
      <c r="Q466" s="217"/>
      <c r="R466" s="217"/>
      <c r="S466" s="217"/>
      <c r="T466" s="217"/>
      <c r="U466" s="217"/>
      <c r="V466" s="217"/>
      <c r="W466" s="217"/>
      <c r="X466" s="217"/>
      <c r="Y466" s="217"/>
      <c r="Z466" s="217"/>
    </row>
    <row r="467" ht="15.75" customHeight="1">
      <c r="A467" s="217"/>
      <c r="B467" s="217"/>
      <c r="C467" s="217"/>
      <c r="D467" s="217"/>
      <c r="E467" s="217"/>
      <c r="F467" s="217"/>
      <c r="G467" s="217"/>
      <c r="H467" s="217"/>
      <c r="I467" s="217"/>
      <c r="J467" s="217"/>
      <c r="K467" s="217"/>
      <c r="L467" s="217"/>
      <c r="M467" s="217"/>
      <c r="N467" s="217"/>
      <c r="O467" s="217"/>
      <c r="P467" s="217"/>
      <c r="Q467" s="217"/>
      <c r="R467" s="217"/>
      <c r="S467" s="217"/>
      <c r="T467" s="217"/>
      <c r="U467" s="217"/>
      <c r="V467" s="217"/>
      <c r="W467" s="217"/>
      <c r="X467" s="217"/>
      <c r="Y467" s="217"/>
      <c r="Z467" s="217"/>
    </row>
    <row r="468" ht="15.75" customHeight="1">
      <c r="A468" s="217"/>
      <c r="B468" s="217"/>
      <c r="C468" s="217"/>
      <c r="D468" s="217"/>
      <c r="E468" s="217"/>
      <c r="F468" s="217"/>
      <c r="G468" s="217"/>
      <c r="H468" s="217"/>
      <c r="I468" s="217"/>
      <c r="J468" s="217"/>
      <c r="K468" s="217"/>
      <c r="L468" s="217"/>
      <c r="M468" s="217"/>
      <c r="N468" s="217"/>
      <c r="O468" s="217"/>
      <c r="P468" s="217"/>
      <c r="Q468" s="217"/>
      <c r="R468" s="217"/>
      <c r="S468" s="217"/>
      <c r="T468" s="217"/>
      <c r="U468" s="217"/>
      <c r="V468" s="217"/>
      <c r="W468" s="217"/>
      <c r="X468" s="217"/>
      <c r="Y468" s="217"/>
      <c r="Z468" s="217"/>
    </row>
    <row r="469" ht="15.75" customHeight="1">
      <c r="A469" s="217"/>
      <c r="B469" s="217"/>
      <c r="C469" s="217"/>
      <c r="D469" s="217"/>
      <c r="E469" s="217"/>
      <c r="F469" s="217"/>
      <c r="G469" s="217"/>
      <c r="H469" s="217"/>
      <c r="I469" s="217"/>
      <c r="J469" s="217"/>
      <c r="K469" s="217"/>
      <c r="L469" s="217"/>
      <c r="M469" s="217"/>
      <c r="N469" s="217"/>
      <c r="O469" s="217"/>
      <c r="P469" s="217"/>
      <c r="Q469" s="217"/>
      <c r="R469" s="217"/>
      <c r="S469" s="217"/>
      <c r="T469" s="217"/>
      <c r="U469" s="217"/>
      <c r="V469" s="217"/>
      <c r="W469" s="217"/>
      <c r="X469" s="217"/>
      <c r="Y469" s="217"/>
      <c r="Z469" s="217"/>
    </row>
    <row r="470" ht="15.75" customHeight="1">
      <c r="A470" s="217"/>
      <c r="B470" s="217"/>
      <c r="C470" s="217"/>
      <c r="D470" s="217"/>
      <c r="E470" s="217"/>
      <c r="F470" s="217"/>
      <c r="G470" s="217"/>
      <c r="H470" s="217"/>
      <c r="I470" s="217"/>
      <c r="J470" s="217"/>
      <c r="K470" s="217"/>
      <c r="L470" s="217"/>
      <c r="M470" s="217"/>
      <c r="N470" s="217"/>
      <c r="O470" s="217"/>
      <c r="P470" s="217"/>
      <c r="Q470" s="217"/>
      <c r="R470" s="217"/>
      <c r="S470" s="217"/>
      <c r="T470" s="217"/>
      <c r="U470" s="217"/>
      <c r="V470" s="217"/>
      <c r="W470" s="217"/>
      <c r="X470" s="217"/>
      <c r="Y470" s="217"/>
      <c r="Z470" s="217"/>
    </row>
    <row r="471" ht="15.75" customHeight="1">
      <c r="A471" s="217"/>
      <c r="B471" s="217"/>
      <c r="C471" s="217"/>
      <c r="D471" s="217"/>
      <c r="E471" s="217"/>
      <c r="F471" s="217"/>
      <c r="G471" s="217"/>
      <c r="H471" s="217"/>
      <c r="I471" s="217"/>
      <c r="J471" s="217"/>
      <c r="K471" s="217"/>
      <c r="L471" s="217"/>
      <c r="M471" s="217"/>
      <c r="N471" s="217"/>
      <c r="O471" s="217"/>
      <c r="P471" s="217"/>
      <c r="Q471" s="217"/>
      <c r="R471" s="217"/>
      <c r="S471" s="217"/>
      <c r="T471" s="217"/>
      <c r="U471" s="217"/>
      <c r="V471" s="217"/>
      <c r="W471" s="217"/>
      <c r="X471" s="217"/>
      <c r="Y471" s="217"/>
      <c r="Z471" s="217"/>
    </row>
    <row r="472" ht="15.75" customHeight="1">
      <c r="A472" s="217"/>
      <c r="B472" s="217"/>
      <c r="C472" s="217"/>
      <c r="D472" s="217"/>
      <c r="E472" s="217"/>
      <c r="F472" s="217"/>
      <c r="G472" s="217"/>
      <c r="H472" s="217"/>
      <c r="I472" s="217"/>
      <c r="J472" s="217"/>
      <c r="K472" s="217"/>
      <c r="L472" s="217"/>
      <c r="M472" s="217"/>
      <c r="N472" s="217"/>
      <c r="O472" s="217"/>
      <c r="P472" s="217"/>
      <c r="Q472" s="217"/>
      <c r="R472" s="217"/>
      <c r="S472" s="217"/>
      <c r="T472" s="217"/>
      <c r="U472" s="217"/>
      <c r="V472" s="217"/>
      <c r="W472" s="217"/>
      <c r="X472" s="217"/>
      <c r="Y472" s="217"/>
      <c r="Z472" s="217"/>
    </row>
    <row r="473" ht="15.75" customHeight="1">
      <c r="A473" s="217"/>
      <c r="B473" s="217"/>
      <c r="C473" s="217"/>
      <c r="D473" s="217"/>
      <c r="E473" s="217"/>
      <c r="F473" s="217"/>
      <c r="G473" s="217"/>
      <c r="H473" s="217"/>
      <c r="I473" s="217"/>
      <c r="J473" s="217"/>
      <c r="K473" s="217"/>
      <c r="L473" s="217"/>
      <c r="M473" s="217"/>
      <c r="N473" s="217"/>
      <c r="O473" s="217"/>
      <c r="P473" s="217"/>
      <c r="Q473" s="217"/>
      <c r="R473" s="217"/>
      <c r="S473" s="217"/>
      <c r="T473" s="217"/>
      <c r="U473" s="217"/>
      <c r="V473" s="217"/>
      <c r="W473" s="217"/>
      <c r="X473" s="217"/>
      <c r="Y473" s="217"/>
      <c r="Z473" s="217"/>
    </row>
    <row r="474" ht="15.75" customHeight="1">
      <c r="A474" s="217"/>
      <c r="B474" s="217"/>
      <c r="C474" s="217"/>
      <c r="D474" s="217"/>
      <c r="E474" s="217"/>
      <c r="F474" s="217"/>
      <c r="G474" s="217"/>
      <c r="H474" s="217"/>
      <c r="I474" s="217"/>
      <c r="J474" s="217"/>
      <c r="K474" s="217"/>
      <c r="L474" s="217"/>
      <c r="M474" s="217"/>
      <c r="N474" s="217"/>
      <c r="O474" s="217"/>
      <c r="P474" s="217"/>
      <c r="Q474" s="217"/>
      <c r="R474" s="217"/>
      <c r="S474" s="217"/>
      <c r="T474" s="217"/>
      <c r="U474" s="217"/>
      <c r="V474" s="217"/>
      <c r="W474" s="217"/>
      <c r="X474" s="217"/>
      <c r="Y474" s="217"/>
      <c r="Z474" s="217"/>
    </row>
    <row r="475" ht="15.75" customHeight="1">
      <c r="A475" s="217"/>
      <c r="B475" s="217"/>
      <c r="C475" s="217"/>
      <c r="D475" s="217"/>
      <c r="E475" s="217"/>
      <c r="F475" s="217"/>
      <c r="G475" s="217"/>
      <c r="H475" s="217"/>
      <c r="I475" s="217"/>
      <c r="J475" s="217"/>
      <c r="K475" s="217"/>
      <c r="L475" s="217"/>
      <c r="M475" s="217"/>
      <c r="N475" s="217"/>
      <c r="O475" s="217"/>
      <c r="P475" s="217"/>
      <c r="Q475" s="217"/>
      <c r="R475" s="217"/>
      <c r="S475" s="217"/>
      <c r="T475" s="217"/>
      <c r="U475" s="217"/>
      <c r="V475" s="217"/>
      <c r="W475" s="217"/>
      <c r="X475" s="217"/>
      <c r="Y475" s="217"/>
      <c r="Z475" s="217"/>
    </row>
    <row r="476" ht="15.75" customHeight="1">
      <c r="A476" s="217"/>
      <c r="B476" s="217"/>
      <c r="C476" s="217"/>
      <c r="D476" s="217"/>
      <c r="E476" s="217"/>
      <c r="F476" s="217"/>
      <c r="G476" s="217"/>
      <c r="H476" s="217"/>
      <c r="I476" s="217"/>
      <c r="J476" s="217"/>
      <c r="K476" s="217"/>
      <c r="L476" s="217"/>
      <c r="M476" s="217"/>
      <c r="N476" s="217"/>
      <c r="O476" s="217"/>
      <c r="P476" s="217"/>
      <c r="Q476" s="217"/>
      <c r="R476" s="217"/>
      <c r="S476" s="217"/>
      <c r="T476" s="217"/>
      <c r="U476" s="217"/>
      <c r="V476" s="217"/>
      <c r="W476" s="217"/>
      <c r="X476" s="217"/>
      <c r="Y476" s="217"/>
      <c r="Z476" s="217"/>
    </row>
    <row r="477" ht="15.75" customHeight="1">
      <c r="A477" s="217"/>
      <c r="B477" s="217"/>
      <c r="C477" s="217"/>
      <c r="D477" s="217"/>
      <c r="E477" s="217"/>
      <c r="F477" s="217"/>
      <c r="G477" s="217"/>
      <c r="H477" s="217"/>
      <c r="I477" s="217"/>
      <c r="J477" s="217"/>
      <c r="K477" s="217"/>
      <c r="L477" s="217"/>
      <c r="M477" s="217"/>
      <c r="N477" s="217"/>
      <c r="O477" s="217"/>
      <c r="P477" s="217"/>
      <c r="Q477" s="217"/>
      <c r="R477" s="217"/>
      <c r="S477" s="217"/>
      <c r="T477" s="217"/>
      <c r="U477" s="217"/>
      <c r="V477" s="217"/>
      <c r="W477" s="217"/>
      <c r="X477" s="217"/>
      <c r="Y477" s="217"/>
      <c r="Z477" s="217"/>
    </row>
    <row r="478" ht="15.75" customHeight="1">
      <c r="A478" s="217"/>
      <c r="B478" s="217"/>
      <c r="C478" s="217"/>
      <c r="D478" s="217"/>
      <c r="E478" s="217"/>
      <c r="F478" s="217"/>
      <c r="G478" s="217"/>
      <c r="H478" s="217"/>
      <c r="I478" s="217"/>
      <c r="J478" s="217"/>
      <c r="K478" s="217"/>
      <c r="L478" s="217"/>
      <c r="M478" s="217"/>
      <c r="N478" s="217"/>
      <c r="O478" s="217"/>
      <c r="P478" s="217"/>
      <c r="Q478" s="217"/>
      <c r="R478" s="217"/>
      <c r="S478" s="217"/>
      <c r="T478" s="217"/>
      <c r="U478" s="217"/>
      <c r="V478" s="217"/>
      <c r="W478" s="217"/>
      <c r="X478" s="217"/>
      <c r="Y478" s="217"/>
      <c r="Z478" s="217"/>
    </row>
    <row r="479" ht="15.75" customHeight="1">
      <c r="A479" s="217"/>
      <c r="B479" s="217"/>
      <c r="C479" s="217"/>
      <c r="D479" s="217"/>
      <c r="E479" s="217"/>
      <c r="F479" s="217"/>
      <c r="G479" s="217"/>
      <c r="H479" s="217"/>
      <c r="I479" s="217"/>
      <c r="J479" s="217"/>
      <c r="K479" s="217"/>
      <c r="L479" s="217"/>
      <c r="M479" s="217"/>
      <c r="N479" s="217"/>
      <c r="O479" s="217"/>
      <c r="P479" s="217"/>
      <c r="Q479" s="217"/>
      <c r="R479" s="217"/>
      <c r="S479" s="217"/>
      <c r="T479" s="217"/>
      <c r="U479" s="217"/>
      <c r="V479" s="217"/>
      <c r="W479" s="217"/>
      <c r="X479" s="217"/>
      <c r="Y479" s="217"/>
      <c r="Z479" s="217"/>
    </row>
    <row r="480" ht="15.75" customHeight="1">
      <c r="A480" s="217"/>
      <c r="B480" s="217"/>
      <c r="C480" s="217"/>
      <c r="D480" s="217"/>
      <c r="E480" s="217"/>
      <c r="F480" s="217"/>
      <c r="G480" s="217"/>
      <c r="H480" s="217"/>
      <c r="I480" s="217"/>
      <c r="J480" s="217"/>
      <c r="K480" s="217"/>
      <c r="L480" s="217"/>
      <c r="M480" s="217"/>
      <c r="N480" s="217"/>
      <c r="O480" s="217"/>
      <c r="P480" s="217"/>
      <c r="Q480" s="217"/>
      <c r="R480" s="217"/>
      <c r="S480" s="217"/>
      <c r="T480" s="217"/>
      <c r="U480" s="217"/>
      <c r="V480" s="217"/>
      <c r="W480" s="217"/>
      <c r="X480" s="217"/>
      <c r="Y480" s="217"/>
      <c r="Z480" s="217"/>
    </row>
    <row r="481" ht="15.75" customHeight="1">
      <c r="A481" s="217"/>
      <c r="B481" s="217"/>
      <c r="C481" s="217"/>
      <c r="D481" s="217"/>
      <c r="E481" s="217"/>
      <c r="F481" s="217"/>
      <c r="G481" s="217"/>
      <c r="H481" s="217"/>
      <c r="I481" s="217"/>
      <c r="J481" s="217"/>
      <c r="K481" s="217"/>
      <c r="L481" s="217"/>
      <c r="M481" s="217"/>
      <c r="N481" s="217"/>
      <c r="O481" s="217"/>
      <c r="P481" s="217"/>
      <c r="Q481" s="217"/>
      <c r="R481" s="217"/>
      <c r="S481" s="217"/>
      <c r="T481" s="217"/>
      <c r="U481" s="217"/>
      <c r="V481" s="217"/>
      <c r="W481" s="217"/>
      <c r="X481" s="217"/>
      <c r="Y481" s="217"/>
      <c r="Z481" s="217"/>
    </row>
    <row r="482" ht="15.75" customHeight="1">
      <c r="A482" s="217"/>
      <c r="B482" s="217"/>
      <c r="C482" s="217"/>
      <c r="D482" s="217"/>
      <c r="E482" s="217"/>
      <c r="F482" s="217"/>
      <c r="G482" s="217"/>
      <c r="H482" s="217"/>
      <c r="I482" s="217"/>
      <c r="J482" s="217"/>
      <c r="K482" s="217"/>
      <c r="L482" s="217"/>
      <c r="M482" s="217"/>
      <c r="N482" s="217"/>
      <c r="O482" s="217"/>
      <c r="P482" s="217"/>
      <c r="Q482" s="217"/>
      <c r="R482" s="217"/>
      <c r="S482" s="217"/>
      <c r="T482" s="217"/>
      <c r="U482" s="217"/>
      <c r="V482" s="217"/>
      <c r="W482" s="217"/>
      <c r="X482" s="217"/>
      <c r="Y482" s="217"/>
      <c r="Z482" s="217"/>
    </row>
    <row r="483" ht="15.75" customHeight="1">
      <c r="A483" s="217"/>
      <c r="B483" s="217"/>
      <c r="C483" s="217"/>
      <c r="D483" s="217"/>
      <c r="E483" s="217"/>
      <c r="F483" s="217"/>
      <c r="G483" s="217"/>
      <c r="H483" s="217"/>
      <c r="I483" s="217"/>
      <c r="J483" s="217"/>
      <c r="K483" s="217"/>
      <c r="L483" s="217"/>
      <c r="M483" s="217"/>
      <c r="N483" s="217"/>
      <c r="O483" s="217"/>
      <c r="P483" s="217"/>
      <c r="Q483" s="217"/>
      <c r="R483" s="217"/>
      <c r="S483" s="217"/>
      <c r="T483" s="217"/>
      <c r="U483" s="217"/>
      <c r="V483" s="217"/>
      <c r="W483" s="217"/>
      <c r="X483" s="217"/>
      <c r="Y483" s="217"/>
      <c r="Z483" s="217"/>
    </row>
    <row r="484" ht="15.75" customHeight="1">
      <c r="A484" s="217"/>
      <c r="B484" s="217"/>
      <c r="C484" s="217"/>
      <c r="D484" s="217"/>
      <c r="E484" s="217"/>
      <c r="F484" s="217"/>
      <c r="G484" s="217"/>
      <c r="H484" s="217"/>
      <c r="I484" s="217"/>
      <c r="J484" s="217"/>
      <c r="K484" s="217"/>
      <c r="L484" s="217"/>
      <c r="M484" s="217"/>
      <c r="N484" s="217"/>
      <c r="O484" s="217"/>
      <c r="P484" s="217"/>
      <c r="Q484" s="217"/>
      <c r="R484" s="217"/>
      <c r="S484" s="217"/>
      <c r="T484" s="217"/>
      <c r="U484" s="217"/>
      <c r="V484" s="217"/>
      <c r="W484" s="217"/>
      <c r="X484" s="217"/>
      <c r="Y484" s="217"/>
      <c r="Z484" s="217"/>
    </row>
    <row r="485" ht="15.75" customHeight="1">
      <c r="A485" s="217"/>
      <c r="B485" s="217"/>
      <c r="C485" s="217"/>
      <c r="D485" s="217"/>
      <c r="E485" s="217"/>
      <c r="F485" s="217"/>
      <c r="G485" s="217"/>
      <c r="H485" s="217"/>
      <c r="I485" s="217"/>
      <c r="J485" s="217"/>
      <c r="K485" s="217"/>
      <c r="L485" s="217"/>
      <c r="M485" s="217"/>
      <c r="N485" s="217"/>
      <c r="O485" s="217"/>
      <c r="P485" s="217"/>
      <c r="Q485" s="217"/>
      <c r="R485" s="217"/>
      <c r="S485" s="217"/>
      <c r="T485" s="217"/>
      <c r="U485" s="217"/>
      <c r="V485" s="217"/>
      <c r="W485" s="217"/>
      <c r="X485" s="217"/>
      <c r="Y485" s="217"/>
      <c r="Z485" s="217"/>
    </row>
    <row r="486" ht="15.75" customHeight="1">
      <c r="A486" s="217"/>
      <c r="B486" s="217"/>
      <c r="C486" s="217"/>
      <c r="D486" s="217"/>
      <c r="E486" s="217"/>
      <c r="F486" s="217"/>
      <c r="G486" s="217"/>
      <c r="H486" s="217"/>
      <c r="I486" s="217"/>
      <c r="J486" s="217"/>
      <c r="K486" s="217"/>
      <c r="L486" s="217"/>
      <c r="M486" s="217"/>
      <c r="N486" s="217"/>
      <c r="O486" s="217"/>
      <c r="P486" s="217"/>
      <c r="Q486" s="217"/>
      <c r="R486" s="217"/>
      <c r="S486" s="217"/>
      <c r="T486" s="217"/>
      <c r="U486" s="217"/>
      <c r="V486" s="217"/>
      <c r="W486" s="217"/>
      <c r="X486" s="217"/>
      <c r="Y486" s="217"/>
      <c r="Z486" s="217"/>
    </row>
    <row r="487" ht="15.75" customHeight="1">
      <c r="A487" s="217"/>
      <c r="B487" s="217"/>
      <c r="C487" s="217"/>
      <c r="D487" s="217"/>
      <c r="E487" s="217"/>
      <c r="F487" s="217"/>
      <c r="G487" s="217"/>
      <c r="H487" s="217"/>
      <c r="I487" s="217"/>
      <c r="J487" s="217"/>
      <c r="K487" s="217"/>
      <c r="L487" s="217"/>
      <c r="M487" s="217"/>
      <c r="N487" s="217"/>
      <c r="O487" s="217"/>
      <c r="P487" s="217"/>
      <c r="Q487" s="217"/>
      <c r="R487" s="217"/>
      <c r="S487" s="217"/>
      <c r="T487" s="217"/>
      <c r="U487" s="217"/>
      <c r="V487" s="217"/>
      <c r="W487" s="217"/>
      <c r="X487" s="217"/>
      <c r="Y487" s="217"/>
      <c r="Z487" s="217"/>
    </row>
    <row r="488" ht="15.75" customHeight="1">
      <c r="A488" s="217"/>
      <c r="B488" s="217"/>
      <c r="C488" s="217"/>
      <c r="D488" s="217"/>
      <c r="E488" s="217"/>
      <c r="F488" s="217"/>
      <c r="G488" s="217"/>
      <c r="H488" s="217"/>
      <c r="I488" s="217"/>
      <c r="J488" s="217"/>
      <c r="K488" s="217"/>
      <c r="L488" s="217"/>
      <c r="M488" s="217"/>
      <c r="N488" s="217"/>
      <c r="O488" s="217"/>
      <c r="P488" s="217"/>
      <c r="Q488" s="217"/>
      <c r="R488" s="217"/>
      <c r="S488" s="217"/>
      <c r="T488" s="217"/>
      <c r="U488" s="217"/>
      <c r="V488" s="217"/>
      <c r="W488" s="217"/>
      <c r="X488" s="217"/>
      <c r="Y488" s="217"/>
      <c r="Z488" s="217"/>
    </row>
    <row r="489" ht="15.75" customHeight="1">
      <c r="A489" s="217"/>
      <c r="B489" s="217"/>
      <c r="C489" s="217"/>
      <c r="D489" s="217"/>
      <c r="E489" s="217"/>
      <c r="F489" s="217"/>
      <c r="G489" s="217"/>
      <c r="H489" s="217"/>
      <c r="I489" s="217"/>
      <c r="J489" s="217"/>
      <c r="K489" s="217"/>
      <c r="L489" s="217"/>
      <c r="M489" s="217"/>
      <c r="N489" s="217"/>
      <c r="O489" s="217"/>
      <c r="P489" s="217"/>
      <c r="Q489" s="217"/>
      <c r="R489" s="217"/>
      <c r="S489" s="217"/>
      <c r="T489" s="217"/>
      <c r="U489" s="217"/>
      <c r="V489" s="217"/>
      <c r="W489" s="217"/>
      <c r="X489" s="217"/>
      <c r="Y489" s="217"/>
      <c r="Z489" s="217"/>
    </row>
    <row r="490" ht="15.75" customHeight="1">
      <c r="A490" s="217"/>
      <c r="B490" s="217"/>
      <c r="C490" s="217"/>
      <c r="D490" s="217"/>
      <c r="E490" s="217"/>
      <c r="F490" s="217"/>
      <c r="G490" s="217"/>
      <c r="H490" s="217"/>
      <c r="I490" s="217"/>
      <c r="J490" s="217"/>
      <c r="K490" s="217"/>
      <c r="L490" s="217"/>
      <c r="M490" s="217"/>
      <c r="N490" s="217"/>
      <c r="O490" s="217"/>
      <c r="P490" s="217"/>
      <c r="Q490" s="217"/>
      <c r="R490" s="217"/>
      <c r="S490" s="217"/>
      <c r="T490" s="217"/>
      <c r="U490" s="217"/>
      <c r="V490" s="217"/>
      <c r="W490" s="217"/>
      <c r="X490" s="217"/>
      <c r="Y490" s="217"/>
      <c r="Z490" s="217"/>
    </row>
    <row r="491" ht="15.75" customHeight="1">
      <c r="A491" s="217"/>
      <c r="B491" s="217"/>
      <c r="C491" s="217"/>
      <c r="D491" s="217"/>
      <c r="E491" s="217"/>
      <c r="F491" s="217"/>
      <c r="G491" s="217"/>
      <c r="H491" s="217"/>
      <c r="I491" s="217"/>
      <c r="J491" s="217"/>
      <c r="K491" s="217"/>
      <c r="L491" s="217"/>
      <c r="M491" s="217"/>
      <c r="N491" s="217"/>
      <c r="O491" s="217"/>
      <c r="P491" s="217"/>
      <c r="Q491" s="217"/>
      <c r="R491" s="217"/>
      <c r="S491" s="217"/>
      <c r="T491" s="217"/>
      <c r="U491" s="217"/>
      <c r="V491" s="217"/>
      <c r="W491" s="217"/>
      <c r="X491" s="217"/>
      <c r="Y491" s="217"/>
      <c r="Z491" s="217"/>
    </row>
    <row r="492" ht="15.75" customHeight="1">
      <c r="A492" s="217"/>
      <c r="B492" s="217"/>
      <c r="C492" s="217"/>
      <c r="D492" s="217"/>
      <c r="E492" s="217"/>
      <c r="F492" s="217"/>
      <c r="G492" s="217"/>
      <c r="H492" s="217"/>
      <c r="I492" s="217"/>
      <c r="J492" s="217"/>
      <c r="K492" s="217"/>
      <c r="L492" s="217"/>
      <c r="M492" s="217"/>
      <c r="N492" s="217"/>
      <c r="O492" s="217"/>
      <c r="P492" s="217"/>
      <c r="Q492" s="217"/>
      <c r="R492" s="217"/>
      <c r="S492" s="217"/>
      <c r="T492" s="217"/>
      <c r="U492" s="217"/>
      <c r="V492" s="217"/>
      <c r="W492" s="217"/>
      <c r="X492" s="217"/>
      <c r="Y492" s="217"/>
      <c r="Z492" s="217"/>
    </row>
    <row r="493" ht="15.75" customHeight="1">
      <c r="A493" s="217"/>
      <c r="B493" s="217"/>
      <c r="C493" s="217"/>
      <c r="D493" s="217"/>
      <c r="E493" s="217"/>
      <c r="F493" s="217"/>
      <c r="G493" s="217"/>
      <c r="H493" s="217"/>
      <c r="I493" s="217"/>
      <c r="J493" s="217"/>
      <c r="K493" s="217"/>
      <c r="L493" s="217"/>
      <c r="M493" s="217"/>
      <c r="N493" s="217"/>
      <c r="O493" s="217"/>
      <c r="P493" s="217"/>
      <c r="Q493" s="217"/>
      <c r="R493" s="217"/>
      <c r="S493" s="217"/>
      <c r="T493" s="217"/>
      <c r="U493" s="217"/>
      <c r="V493" s="217"/>
      <c r="W493" s="217"/>
      <c r="X493" s="217"/>
      <c r="Y493" s="217"/>
      <c r="Z493" s="217"/>
    </row>
    <row r="494" ht="15.75" customHeight="1">
      <c r="A494" s="217"/>
      <c r="B494" s="217"/>
      <c r="C494" s="217"/>
      <c r="D494" s="217"/>
      <c r="E494" s="217"/>
      <c r="F494" s="217"/>
      <c r="G494" s="217"/>
      <c r="H494" s="217"/>
      <c r="I494" s="217"/>
      <c r="J494" s="217"/>
      <c r="K494" s="217"/>
      <c r="L494" s="217"/>
      <c r="M494" s="217"/>
      <c r="N494" s="217"/>
      <c r="O494" s="217"/>
      <c r="P494" s="217"/>
      <c r="Q494" s="217"/>
      <c r="R494" s="217"/>
      <c r="S494" s="217"/>
      <c r="T494" s="217"/>
      <c r="U494" s="217"/>
      <c r="V494" s="217"/>
      <c r="W494" s="217"/>
      <c r="X494" s="217"/>
      <c r="Y494" s="217"/>
      <c r="Z494" s="217"/>
    </row>
    <row r="495" ht="15.75" customHeight="1">
      <c r="A495" s="217"/>
      <c r="B495" s="217"/>
      <c r="C495" s="217"/>
      <c r="D495" s="217"/>
      <c r="E495" s="217"/>
      <c r="F495" s="217"/>
      <c r="G495" s="217"/>
      <c r="H495" s="217"/>
      <c r="I495" s="217"/>
      <c r="J495" s="217"/>
      <c r="K495" s="217"/>
      <c r="L495" s="217"/>
      <c r="M495" s="217"/>
      <c r="N495" s="217"/>
      <c r="O495" s="217"/>
      <c r="P495" s="217"/>
      <c r="Q495" s="217"/>
      <c r="R495" s="217"/>
      <c r="S495" s="217"/>
      <c r="T495" s="217"/>
      <c r="U495" s="217"/>
      <c r="V495" s="217"/>
      <c r="W495" s="217"/>
      <c r="X495" s="217"/>
      <c r="Y495" s="217"/>
      <c r="Z495" s="217"/>
    </row>
    <row r="496" ht="15.75" customHeight="1">
      <c r="A496" s="217"/>
      <c r="B496" s="217"/>
      <c r="C496" s="217"/>
      <c r="D496" s="217"/>
      <c r="E496" s="217"/>
      <c r="F496" s="217"/>
      <c r="G496" s="217"/>
      <c r="H496" s="217"/>
      <c r="I496" s="217"/>
      <c r="J496" s="217"/>
      <c r="K496" s="217"/>
      <c r="L496" s="217"/>
      <c r="M496" s="217"/>
      <c r="N496" s="217"/>
      <c r="O496" s="217"/>
      <c r="P496" s="217"/>
      <c r="Q496" s="217"/>
      <c r="R496" s="217"/>
      <c r="S496" s="217"/>
      <c r="T496" s="217"/>
      <c r="U496" s="217"/>
      <c r="V496" s="217"/>
      <c r="W496" s="217"/>
      <c r="X496" s="217"/>
      <c r="Y496" s="217"/>
      <c r="Z496" s="217"/>
    </row>
    <row r="497" ht="15.75" customHeight="1">
      <c r="A497" s="217"/>
      <c r="B497" s="217"/>
      <c r="C497" s="217"/>
      <c r="D497" s="217"/>
      <c r="E497" s="217"/>
      <c r="F497" s="217"/>
      <c r="G497" s="217"/>
      <c r="H497" s="217"/>
      <c r="I497" s="217"/>
      <c r="J497" s="217"/>
      <c r="K497" s="217"/>
      <c r="L497" s="217"/>
      <c r="M497" s="217"/>
      <c r="N497" s="217"/>
      <c r="O497" s="217"/>
      <c r="P497" s="217"/>
      <c r="Q497" s="217"/>
      <c r="R497" s="217"/>
      <c r="S497" s="217"/>
      <c r="T497" s="217"/>
      <c r="U497" s="217"/>
      <c r="V497" s="217"/>
      <c r="W497" s="217"/>
      <c r="X497" s="217"/>
      <c r="Y497" s="217"/>
      <c r="Z497" s="217"/>
    </row>
    <row r="498" ht="15.75" customHeight="1">
      <c r="A498" s="217"/>
      <c r="B498" s="217"/>
      <c r="C498" s="217"/>
      <c r="D498" s="217"/>
      <c r="E498" s="217"/>
      <c r="F498" s="217"/>
      <c r="G498" s="217"/>
      <c r="H498" s="217"/>
      <c r="I498" s="217"/>
      <c r="J498" s="217"/>
      <c r="K498" s="217"/>
      <c r="L498" s="217"/>
      <c r="M498" s="217"/>
      <c r="N498" s="217"/>
      <c r="O498" s="217"/>
      <c r="P498" s="217"/>
      <c r="Q498" s="217"/>
      <c r="R498" s="217"/>
      <c r="S498" s="217"/>
      <c r="T498" s="217"/>
      <c r="U498" s="217"/>
      <c r="V498" s="217"/>
      <c r="W498" s="217"/>
      <c r="X498" s="217"/>
      <c r="Y498" s="217"/>
      <c r="Z498" s="217"/>
    </row>
    <row r="499" ht="15.75" customHeight="1">
      <c r="A499" s="217"/>
      <c r="B499" s="217"/>
      <c r="C499" s="217"/>
      <c r="D499" s="217"/>
      <c r="E499" s="217"/>
      <c r="F499" s="217"/>
      <c r="G499" s="217"/>
      <c r="H499" s="217"/>
      <c r="I499" s="217"/>
      <c r="J499" s="217"/>
      <c r="K499" s="217"/>
      <c r="L499" s="217"/>
      <c r="M499" s="217"/>
      <c r="N499" s="217"/>
      <c r="O499" s="217"/>
      <c r="P499" s="217"/>
      <c r="Q499" s="217"/>
      <c r="R499" s="217"/>
      <c r="S499" s="217"/>
      <c r="T499" s="217"/>
      <c r="U499" s="217"/>
      <c r="V499" s="217"/>
      <c r="W499" s="217"/>
      <c r="X499" s="217"/>
      <c r="Y499" s="217"/>
      <c r="Z499" s="217"/>
    </row>
    <row r="500" ht="15.75" customHeight="1">
      <c r="A500" s="217"/>
      <c r="B500" s="217"/>
      <c r="C500" s="217"/>
      <c r="D500" s="217"/>
      <c r="E500" s="217"/>
      <c r="F500" s="217"/>
      <c r="G500" s="217"/>
      <c r="H500" s="217"/>
      <c r="I500" s="217"/>
      <c r="J500" s="217"/>
      <c r="K500" s="217"/>
      <c r="L500" s="217"/>
      <c r="M500" s="217"/>
      <c r="N500" s="217"/>
      <c r="O500" s="217"/>
      <c r="P500" s="217"/>
      <c r="Q500" s="217"/>
      <c r="R500" s="217"/>
      <c r="S500" s="217"/>
      <c r="T500" s="217"/>
      <c r="U500" s="217"/>
      <c r="V500" s="217"/>
      <c r="W500" s="217"/>
      <c r="X500" s="217"/>
      <c r="Y500" s="217"/>
      <c r="Z500" s="217"/>
    </row>
    <row r="501" ht="15.75" customHeight="1">
      <c r="A501" s="217"/>
      <c r="B501" s="217"/>
      <c r="C501" s="217"/>
      <c r="D501" s="217"/>
      <c r="E501" s="217"/>
      <c r="F501" s="217"/>
      <c r="G501" s="217"/>
      <c r="H501" s="217"/>
      <c r="I501" s="217"/>
      <c r="J501" s="217"/>
      <c r="K501" s="217"/>
      <c r="L501" s="217"/>
      <c r="M501" s="217"/>
      <c r="N501" s="217"/>
      <c r="O501" s="217"/>
      <c r="P501" s="217"/>
      <c r="Q501" s="217"/>
      <c r="R501" s="217"/>
      <c r="S501" s="217"/>
      <c r="T501" s="217"/>
      <c r="U501" s="217"/>
      <c r="V501" s="217"/>
      <c r="W501" s="217"/>
      <c r="X501" s="217"/>
      <c r="Y501" s="217"/>
      <c r="Z501" s="217"/>
    </row>
    <row r="502" ht="15.75" customHeight="1">
      <c r="A502" s="217"/>
      <c r="B502" s="217"/>
      <c r="C502" s="217"/>
      <c r="D502" s="217"/>
      <c r="E502" s="217"/>
      <c r="F502" s="217"/>
      <c r="G502" s="217"/>
      <c r="H502" s="217"/>
      <c r="I502" s="217"/>
      <c r="J502" s="217"/>
      <c r="K502" s="217"/>
      <c r="L502" s="217"/>
      <c r="M502" s="217"/>
      <c r="N502" s="217"/>
      <c r="O502" s="217"/>
      <c r="P502" s="217"/>
      <c r="Q502" s="217"/>
      <c r="R502" s="217"/>
      <c r="S502" s="217"/>
      <c r="T502" s="217"/>
      <c r="U502" s="217"/>
      <c r="V502" s="217"/>
      <c r="W502" s="217"/>
      <c r="X502" s="217"/>
      <c r="Y502" s="217"/>
      <c r="Z502" s="217"/>
    </row>
    <row r="503" ht="15.75" customHeight="1">
      <c r="A503" s="217"/>
      <c r="B503" s="217"/>
      <c r="C503" s="217"/>
      <c r="D503" s="217"/>
      <c r="E503" s="217"/>
      <c r="F503" s="217"/>
      <c r="G503" s="217"/>
      <c r="H503" s="217"/>
      <c r="I503" s="217"/>
      <c r="J503" s="217"/>
      <c r="K503" s="217"/>
      <c r="L503" s="217"/>
      <c r="M503" s="217"/>
      <c r="N503" s="217"/>
      <c r="O503" s="217"/>
      <c r="P503" s="217"/>
      <c r="Q503" s="217"/>
      <c r="R503" s="217"/>
      <c r="S503" s="217"/>
      <c r="T503" s="217"/>
      <c r="U503" s="217"/>
      <c r="V503" s="217"/>
      <c r="W503" s="217"/>
      <c r="X503" s="217"/>
      <c r="Y503" s="217"/>
      <c r="Z503" s="217"/>
    </row>
    <row r="504" ht="15.75" customHeight="1">
      <c r="A504" s="217"/>
      <c r="B504" s="217"/>
      <c r="C504" s="217"/>
      <c r="D504" s="217"/>
      <c r="E504" s="217"/>
      <c r="F504" s="217"/>
      <c r="G504" s="217"/>
      <c r="H504" s="217"/>
      <c r="I504" s="217"/>
      <c r="J504" s="217"/>
      <c r="K504" s="217"/>
      <c r="L504" s="217"/>
      <c r="M504" s="217"/>
      <c r="N504" s="217"/>
      <c r="O504" s="217"/>
      <c r="P504" s="217"/>
      <c r="Q504" s="217"/>
      <c r="R504" s="217"/>
      <c r="S504" s="217"/>
      <c r="T504" s="217"/>
      <c r="U504" s="217"/>
      <c r="V504" s="217"/>
      <c r="W504" s="217"/>
      <c r="X504" s="217"/>
      <c r="Y504" s="217"/>
      <c r="Z504" s="217"/>
    </row>
    <row r="505" ht="15.75" customHeight="1">
      <c r="A505" s="217"/>
      <c r="B505" s="217"/>
      <c r="C505" s="217"/>
      <c r="D505" s="217"/>
      <c r="E505" s="217"/>
      <c r="F505" s="217"/>
      <c r="G505" s="217"/>
      <c r="H505" s="217"/>
      <c r="I505" s="217"/>
      <c r="J505" s="217"/>
      <c r="K505" s="217"/>
      <c r="L505" s="217"/>
      <c r="M505" s="217"/>
      <c r="N505" s="217"/>
      <c r="O505" s="217"/>
      <c r="P505" s="217"/>
      <c r="Q505" s="217"/>
      <c r="R505" s="217"/>
      <c r="S505" s="217"/>
      <c r="T505" s="217"/>
      <c r="U505" s="217"/>
      <c r="V505" s="217"/>
      <c r="W505" s="217"/>
      <c r="X505" s="217"/>
      <c r="Y505" s="217"/>
      <c r="Z505" s="217"/>
    </row>
    <row r="506" ht="15.75" customHeight="1">
      <c r="A506" s="217"/>
      <c r="B506" s="217"/>
      <c r="C506" s="217"/>
      <c r="D506" s="217"/>
      <c r="E506" s="217"/>
      <c r="F506" s="217"/>
      <c r="G506" s="217"/>
      <c r="H506" s="217"/>
      <c r="I506" s="217"/>
      <c r="J506" s="217"/>
      <c r="K506" s="217"/>
      <c r="L506" s="217"/>
      <c r="M506" s="217"/>
      <c r="N506" s="217"/>
      <c r="O506" s="217"/>
      <c r="P506" s="217"/>
      <c r="Q506" s="217"/>
      <c r="R506" s="217"/>
      <c r="S506" s="217"/>
      <c r="T506" s="217"/>
      <c r="U506" s="217"/>
      <c r="V506" s="217"/>
      <c r="W506" s="217"/>
      <c r="X506" s="217"/>
      <c r="Y506" s="217"/>
      <c r="Z506" s="217"/>
    </row>
    <row r="507" ht="15.75" customHeight="1">
      <c r="A507" s="217"/>
      <c r="B507" s="217"/>
      <c r="C507" s="217"/>
      <c r="D507" s="217"/>
      <c r="E507" s="217"/>
      <c r="F507" s="217"/>
      <c r="G507" s="217"/>
      <c r="H507" s="217"/>
      <c r="I507" s="217"/>
      <c r="J507" s="217"/>
      <c r="K507" s="217"/>
      <c r="L507" s="217"/>
      <c r="M507" s="217"/>
      <c r="N507" s="217"/>
      <c r="O507" s="217"/>
      <c r="P507" s="217"/>
      <c r="Q507" s="217"/>
      <c r="R507" s="217"/>
      <c r="S507" s="217"/>
      <c r="T507" s="217"/>
      <c r="U507" s="217"/>
      <c r="V507" s="217"/>
      <c r="W507" s="217"/>
      <c r="X507" s="217"/>
      <c r="Y507" s="217"/>
      <c r="Z507" s="217"/>
    </row>
    <row r="508" ht="15.75" customHeight="1">
      <c r="A508" s="217"/>
      <c r="B508" s="217"/>
      <c r="C508" s="217"/>
      <c r="D508" s="217"/>
      <c r="E508" s="217"/>
      <c r="F508" s="217"/>
      <c r="G508" s="217"/>
      <c r="H508" s="217"/>
      <c r="I508" s="217"/>
      <c r="J508" s="217"/>
      <c r="K508" s="217"/>
      <c r="L508" s="217"/>
      <c r="M508" s="217"/>
      <c r="N508" s="217"/>
      <c r="O508" s="217"/>
      <c r="P508" s="217"/>
      <c r="Q508" s="217"/>
      <c r="R508" s="217"/>
      <c r="S508" s="217"/>
      <c r="T508" s="217"/>
      <c r="U508" s="217"/>
      <c r="V508" s="217"/>
      <c r="W508" s="217"/>
      <c r="X508" s="217"/>
      <c r="Y508" s="217"/>
      <c r="Z508" s="217"/>
    </row>
    <row r="509" ht="15.75" customHeight="1">
      <c r="A509" s="217"/>
      <c r="B509" s="217"/>
      <c r="C509" s="217"/>
      <c r="D509" s="217"/>
      <c r="E509" s="217"/>
      <c r="F509" s="217"/>
      <c r="G509" s="217"/>
      <c r="H509" s="217"/>
      <c r="I509" s="217"/>
      <c r="J509" s="217"/>
      <c r="K509" s="217"/>
      <c r="L509" s="217"/>
      <c r="M509" s="217"/>
      <c r="N509" s="217"/>
      <c r="O509" s="217"/>
      <c r="P509" s="217"/>
      <c r="Q509" s="217"/>
      <c r="R509" s="217"/>
      <c r="S509" s="217"/>
      <c r="T509" s="217"/>
      <c r="U509" s="217"/>
      <c r="V509" s="217"/>
      <c r="W509" s="217"/>
      <c r="X509" s="217"/>
      <c r="Y509" s="217"/>
      <c r="Z509" s="217"/>
    </row>
    <row r="510" ht="15.75" customHeight="1">
      <c r="A510" s="217"/>
      <c r="B510" s="217"/>
      <c r="C510" s="217"/>
      <c r="D510" s="217"/>
      <c r="E510" s="217"/>
      <c r="F510" s="217"/>
      <c r="G510" s="217"/>
      <c r="H510" s="217"/>
      <c r="I510" s="217"/>
      <c r="J510" s="217"/>
      <c r="K510" s="217"/>
      <c r="L510" s="217"/>
      <c r="M510" s="217"/>
      <c r="N510" s="217"/>
      <c r="O510" s="217"/>
      <c r="P510" s="217"/>
      <c r="Q510" s="217"/>
      <c r="R510" s="217"/>
      <c r="S510" s="217"/>
      <c r="T510" s="217"/>
      <c r="U510" s="217"/>
      <c r="V510" s="217"/>
      <c r="W510" s="217"/>
      <c r="X510" s="217"/>
      <c r="Y510" s="217"/>
      <c r="Z510" s="217"/>
    </row>
    <row r="511" ht="15.75" customHeight="1">
      <c r="A511" s="217"/>
      <c r="B511" s="217"/>
      <c r="C511" s="217"/>
      <c r="D511" s="217"/>
      <c r="E511" s="217"/>
      <c r="F511" s="217"/>
      <c r="G511" s="217"/>
      <c r="H511" s="217"/>
      <c r="I511" s="217"/>
      <c r="J511" s="217"/>
      <c r="K511" s="217"/>
      <c r="L511" s="217"/>
      <c r="M511" s="217"/>
      <c r="N511" s="217"/>
      <c r="O511" s="217"/>
      <c r="P511" s="217"/>
      <c r="Q511" s="217"/>
      <c r="R511" s="217"/>
      <c r="S511" s="217"/>
      <c r="T511" s="217"/>
      <c r="U511" s="217"/>
      <c r="V511" s="217"/>
      <c r="W511" s="217"/>
      <c r="X511" s="217"/>
      <c r="Y511" s="217"/>
      <c r="Z511" s="217"/>
    </row>
    <row r="512" ht="15.75" customHeight="1">
      <c r="A512" s="217"/>
      <c r="B512" s="217"/>
      <c r="C512" s="217"/>
      <c r="D512" s="217"/>
      <c r="E512" s="217"/>
      <c r="F512" s="217"/>
      <c r="G512" s="217"/>
      <c r="H512" s="217"/>
      <c r="I512" s="217"/>
      <c r="J512" s="217"/>
      <c r="K512" s="217"/>
      <c r="L512" s="217"/>
      <c r="M512" s="217"/>
      <c r="N512" s="217"/>
      <c r="O512" s="217"/>
      <c r="P512" s="217"/>
      <c r="Q512" s="217"/>
      <c r="R512" s="217"/>
      <c r="S512" s="217"/>
      <c r="T512" s="217"/>
      <c r="U512" s="217"/>
      <c r="V512" s="217"/>
      <c r="W512" s="217"/>
      <c r="X512" s="217"/>
      <c r="Y512" s="217"/>
      <c r="Z512" s="217"/>
    </row>
    <row r="513" ht="15.75" customHeight="1">
      <c r="A513" s="217"/>
      <c r="B513" s="217"/>
      <c r="C513" s="217"/>
      <c r="D513" s="217"/>
      <c r="E513" s="217"/>
      <c r="F513" s="217"/>
      <c r="G513" s="217"/>
      <c r="H513" s="217"/>
      <c r="I513" s="217"/>
      <c r="J513" s="217"/>
      <c r="K513" s="217"/>
      <c r="L513" s="217"/>
      <c r="M513" s="217"/>
      <c r="N513" s="217"/>
      <c r="O513" s="217"/>
      <c r="P513" s="217"/>
      <c r="Q513" s="217"/>
      <c r="R513" s="217"/>
      <c r="S513" s="217"/>
      <c r="T513" s="217"/>
      <c r="U513" s="217"/>
      <c r="V513" s="217"/>
      <c r="W513" s="217"/>
      <c r="X513" s="217"/>
      <c r="Y513" s="217"/>
      <c r="Z513" s="217"/>
    </row>
    <row r="514" ht="15.75" customHeight="1">
      <c r="A514" s="217"/>
      <c r="B514" s="217"/>
      <c r="C514" s="217"/>
      <c r="D514" s="217"/>
      <c r="E514" s="217"/>
      <c r="F514" s="217"/>
      <c r="G514" s="217"/>
      <c r="H514" s="217"/>
      <c r="I514" s="217"/>
      <c r="J514" s="217"/>
      <c r="K514" s="217"/>
      <c r="L514" s="217"/>
      <c r="M514" s="217"/>
      <c r="N514" s="217"/>
      <c r="O514" s="217"/>
      <c r="P514" s="217"/>
      <c r="Q514" s="217"/>
      <c r="R514" s="217"/>
      <c r="S514" s="217"/>
      <c r="T514" s="217"/>
      <c r="U514" s="217"/>
      <c r="V514" s="217"/>
      <c r="W514" s="217"/>
      <c r="X514" s="217"/>
      <c r="Y514" s="217"/>
      <c r="Z514" s="217"/>
    </row>
    <row r="515" ht="15.75" customHeight="1">
      <c r="A515" s="217"/>
      <c r="B515" s="217"/>
      <c r="C515" s="217"/>
      <c r="D515" s="217"/>
      <c r="E515" s="217"/>
      <c r="F515" s="217"/>
      <c r="G515" s="217"/>
      <c r="H515" s="217"/>
      <c r="I515" s="217"/>
      <c r="J515" s="217"/>
      <c r="K515" s="217"/>
      <c r="L515" s="217"/>
      <c r="M515" s="217"/>
      <c r="N515" s="217"/>
      <c r="O515" s="217"/>
      <c r="P515" s="217"/>
      <c r="Q515" s="217"/>
      <c r="R515" s="217"/>
      <c r="S515" s="217"/>
      <c r="T515" s="217"/>
      <c r="U515" s="217"/>
      <c r="V515" s="217"/>
      <c r="W515" s="217"/>
      <c r="X515" s="217"/>
      <c r="Y515" s="217"/>
      <c r="Z515" s="217"/>
    </row>
    <row r="516" ht="15.75" customHeight="1">
      <c r="A516" s="217"/>
      <c r="B516" s="217"/>
      <c r="C516" s="217"/>
      <c r="D516" s="217"/>
      <c r="E516" s="217"/>
      <c r="F516" s="217"/>
      <c r="G516" s="217"/>
      <c r="H516" s="217"/>
      <c r="I516" s="217"/>
      <c r="J516" s="217"/>
      <c r="K516" s="217"/>
      <c r="L516" s="217"/>
      <c r="M516" s="217"/>
      <c r="N516" s="217"/>
      <c r="O516" s="217"/>
      <c r="P516" s="217"/>
      <c r="Q516" s="217"/>
      <c r="R516" s="217"/>
      <c r="S516" s="217"/>
      <c r="T516" s="217"/>
      <c r="U516" s="217"/>
      <c r="V516" s="217"/>
      <c r="W516" s="217"/>
      <c r="X516" s="217"/>
      <c r="Y516" s="217"/>
      <c r="Z516" s="217"/>
    </row>
    <row r="517" ht="15.75" customHeight="1">
      <c r="A517" s="217"/>
      <c r="B517" s="217"/>
      <c r="C517" s="217"/>
      <c r="D517" s="217"/>
      <c r="E517" s="217"/>
      <c r="F517" s="217"/>
      <c r="G517" s="217"/>
      <c r="H517" s="217"/>
      <c r="I517" s="217"/>
      <c r="J517" s="217"/>
      <c r="K517" s="217"/>
      <c r="L517" s="217"/>
      <c r="M517" s="217"/>
      <c r="N517" s="217"/>
      <c r="O517" s="217"/>
      <c r="P517" s="217"/>
      <c r="Q517" s="217"/>
      <c r="R517" s="217"/>
      <c r="S517" s="217"/>
      <c r="T517" s="217"/>
      <c r="U517" s="217"/>
      <c r="V517" s="217"/>
      <c r="W517" s="217"/>
      <c r="X517" s="217"/>
      <c r="Y517" s="217"/>
      <c r="Z517" s="217"/>
    </row>
    <row r="518" ht="15.75" customHeight="1">
      <c r="A518" s="217"/>
      <c r="B518" s="217"/>
      <c r="C518" s="217"/>
      <c r="D518" s="217"/>
      <c r="E518" s="217"/>
      <c r="F518" s="217"/>
      <c r="G518" s="217"/>
      <c r="H518" s="217"/>
      <c r="I518" s="217"/>
      <c r="J518" s="217"/>
      <c r="K518" s="217"/>
      <c r="L518" s="217"/>
      <c r="M518" s="217"/>
      <c r="N518" s="217"/>
      <c r="O518" s="217"/>
      <c r="P518" s="217"/>
      <c r="Q518" s="217"/>
      <c r="R518" s="217"/>
      <c r="S518" s="217"/>
      <c r="T518" s="217"/>
      <c r="U518" s="217"/>
      <c r="V518" s="217"/>
      <c r="W518" s="217"/>
      <c r="X518" s="217"/>
      <c r="Y518" s="217"/>
      <c r="Z518" s="217"/>
    </row>
    <row r="519" ht="15.75" customHeight="1">
      <c r="A519" s="217"/>
      <c r="B519" s="217"/>
      <c r="C519" s="217"/>
      <c r="D519" s="217"/>
      <c r="E519" s="217"/>
      <c r="F519" s="217"/>
      <c r="G519" s="217"/>
      <c r="H519" s="217"/>
      <c r="I519" s="217"/>
      <c r="J519" s="217"/>
      <c r="K519" s="217"/>
      <c r="L519" s="217"/>
      <c r="M519" s="217"/>
      <c r="N519" s="217"/>
      <c r="O519" s="217"/>
      <c r="P519" s="217"/>
      <c r="Q519" s="217"/>
      <c r="R519" s="217"/>
      <c r="S519" s="217"/>
      <c r="T519" s="217"/>
      <c r="U519" s="217"/>
      <c r="V519" s="217"/>
      <c r="W519" s="217"/>
      <c r="X519" s="217"/>
      <c r="Y519" s="217"/>
      <c r="Z519" s="217"/>
    </row>
    <row r="520" ht="15.75" customHeight="1">
      <c r="A520" s="217"/>
      <c r="B520" s="217"/>
      <c r="C520" s="217"/>
      <c r="D520" s="217"/>
      <c r="E520" s="217"/>
      <c r="F520" s="217"/>
      <c r="G520" s="217"/>
      <c r="H520" s="217"/>
      <c r="I520" s="217"/>
      <c r="J520" s="217"/>
      <c r="K520" s="217"/>
      <c r="L520" s="217"/>
      <c r="M520" s="217"/>
      <c r="N520" s="217"/>
      <c r="O520" s="217"/>
      <c r="P520" s="217"/>
      <c r="Q520" s="217"/>
      <c r="R520" s="217"/>
      <c r="S520" s="217"/>
      <c r="T520" s="217"/>
      <c r="U520" s="217"/>
      <c r="V520" s="217"/>
      <c r="W520" s="217"/>
      <c r="X520" s="217"/>
      <c r="Y520" s="217"/>
      <c r="Z520" s="217"/>
    </row>
    <row r="521" ht="15.75" customHeight="1">
      <c r="A521" s="217"/>
      <c r="B521" s="217"/>
      <c r="C521" s="217"/>
      <c r="D521" s="217"/>
      <c r="E521" s="217"/>
      <c r="F521" s="217"/>
      <c r="G521" s="217"/>
      <c r="H521" s="217"/>
      <c r="I521" s="217"/>
      <c r="J521" s="217"/>
      <c r="K521" s="217"/>
      <c r="L521" s="217"/>
      <c r="M521" s="217"/>
      <c r="N521" s="217"/>
      <c r="O521" s="217"/>
      <c r="P521" s="217"/>
      <c r="Q521" s="217"/>
      <c r="R521" s="217"/>
      <c r="S521" s="217"/>
      <c r="T521" s="217"/>
      <c r="U521" s="217"/>
      <c r="V521" s="217"/>
      <c r="W521" s="217"/>
      <c r="X521" s="217"/>
      <c r="Y521" s="217"/>
      <c r="Z521" s="217"/>
    </row>
    <row r="522" ht="15.75" customHeight="1">
      <c r="A522" s="217"/>
      <c r="B522" s="217"/>
      <c r="C522" s="217"/>
      <c r="D522" s="217"/>
      <c r="E522" s="217"/>
      <c r="F522" s="217"/>
      <c r="G522" s="217"/>
      <c r="H522" s="217"/>
      <c r="I522" s="217"/>
      <c r="J522" s="217"/>
      <c r="K522" s="217"/>
      <c r="L522" s="217"/>
      <c r="M522" s="217"/>
      <c r="N522" s="217"/>
      <c r="O522" s="217"/>
      <c r="P522" s="217"/>
      <c r="Q522" s="217"/>
      <c r="R522" s="217"/>
      <c r="S522" s="217"/>
      <c r="T522" s="217"/>
      <c r="U522" s="217"/>
      <c r="V522" s="217"/>
      <c r="W522" s="217"/>
      <c r="X522" s="217"/>
      <c r="Y522" s="217"/>
      <c r="Z522" s="217"/>
    </row>
    <row r="523" ht="15.75" customHeight="1">
      <c r="A523" s="217"/>
      <c r="B523" s="217"/>
      <c r="C523" s="217"/>
      <c r="D523" s="217"/>
      <c r="E523" s="217"/>
      <c r="F523" s="217"/>
      <c r="G523" s="217"/>
      <c r="H523" s="217"/>
      <c r="I523" s="217"/>
      <c r="J523" s="217"/>
      <c r="K523" s="217"/>
      <c r="L523" s="217"/>
      <c r="M523" s="217"/>
      <c r="N523" s="217"/>
      <c r="O523" s="217"/>
      <c r="P523" s="217"/>
      <c r="Q523" s="217"/>
      <c r="R523" s="217"/>
      <c r="S523" s="217"/>
      <c r="T523" s="217"/>
      <c r="U523" s="217"/>
      <c r="V523" s="217"/>
      <c r="W523" s="217"/>
      <c r="X523" s="217"/>
      <c r="Y523" s="217"/>
      <c r="Z523" s="217"/>
    </row>
    <row r="524" ht="15.75" customHeight="1">
      <c r="A524" s="217"/>
      <c r="B524" s="217"/>
      <c r="C524" s="217"/>
      <c r="D524" s="217"/>
      <c r="E524" s="217"/>
      <c r="F524" s="217"/>
      <c r="G524" s="217"/>
      <c r="H524" s="217"/>
      <c r="I524" s="217"/>
      <c r="J524" s="217"/>
      <c r="K524" s="217"/>
      <c r="L524" s="217"/>
      <c r="M524" s="217"/>
      <c r="N524" s="217"/>
      <c r="O524" s="217"/>
      <c r="P524" s="217"/>
      <c r="Q524" s="217"/>
      <c r="R524" s="217"/>
      <c r="S524" s="217"/>
      <c r="T524" s="217"/>
      <c r="U524" s="217"/>
      <c r="V524" s="217"/>
      <c r="W524" s="217"/>
      <c r="X524" s="217"/>
      <c r="Y524" s="217"/>
      <c r="Z524" s="217"/>
    </row>
    <row r="525" ht="15.75" customHeight="1">
      <c r="A525" s="217"/>
      <c r="B525" s="217"/>
      <c r="C525" s="217"/>
      <c r="D525" s="217"/>
      <c r="E525" s="217"/>
      <c r="F525" s="217"/>
      <c r="G525" s="217"/>
      <c r="H525" s="217"/>
      <c r="I525" s="217"/>
      <c r="J525" s="217"/>
      <c r="K525" s="217"/>
      <c r="L525" s="217"/>
      <c r="M525" s="217"/>
      <c r="N525" s="217"/>
      <c r="O525" s="217"/>
      <c r="P525" s="217"/>
      <c r="Q525" s="217"/>
      <c r="R525" s="217"/>
      <c r="S525" s="217"/>
      <c r="T525" s="217"/>
      <c r="U525" s="217"/>
      <c r="V525" s="217"/>
      <c r="W525" s="217"/>
      <c r="X525" s="217"/>
      <c r="Y525" s="217"/>
      <c r="Z525" s="217"/>
    </row>
    <row r="526" ht="15.75" customHeight="1">
      <c r="A526" s="217"/>
      <c r="B526" s="217"/>
      <c r="C526" s="217"/>
      <c r="D526" s="217"/>
      <c r="E526" s="217"/>
      <c r="F526" s="217"/>
      <c r="G526" s="217"/>
      <c r="H526" s="217"/>
      <c r="I526" s="217"/>
      <c r="J526" s="217"/>
      <c r="K526" s="217"/>
      <c r="L526" s="217"/>
      <c r="M526" s="217"/>
      <c r="N526" s="217"/>
      <c r="O526" s="217"/>
      <c r="P526" s="217"/>
      <c r="Q526" s="217"/>
      <c r="R526" s="217"/>
      <c r="S526" s="217"/>
      <c r="T526" s="217"/>
      <c r="U526" s="217"/>
      <c r="V526" s="217"/>
      <c r="W526" s="217"/>
      <c r="X526" s="217"/>
      <c r="Y526" s="217"/>
      <c r="Z526" s="217"/>
    </row>
    <row r="527" ht="15.75" customHeight="1">
      <c r="A527" s="217"/>
      <c r="B527" s="217"/>
      <c r="C527" s="217"/>
      <c r="D527" s="217"/>
      <c r="E527" s="217"/>
      <c r="F527" s="217"/>
      <c r="G527" s="217"/>
      <c r="H527" s="217"/>
      <c r="I527" s="217"/>
      <c r="J527" s="217"/>
      <c r="K527" s="217"/>
      <c r="L527" s="217"/>
      <c r="M527" s="217"/>
      <c r="N527" s="217"/>
      <c r="O527" s="217"/>
      <c r="P527" s="217"/>
      <c r="Q527" s="217"/>
      <c r="R527" s="217"/>
      <c r="S527" s="217"/>
      <c r="T527" s="217"/>
      <c r="U527" s="217"/>
      <c r="V527" s="217"/>
      <c r="W527" s="217"/>
      <c r="X527" s="217"/>
      <c r="Y527" s="217"/>
      <c r="Z527" s="217"/>
    </row>
    <row r="528" ht="15.75" customHeight="1">
      <c r="A528" s="217"/>
      <c r="B528" s="217"/>
      <c r="C528" s="217"/>
      <c r="D528" s="217"/>
      <c r="E528" s="217"/>
      <c r="F528" s="217"/>
      <c r="G528" s="217"/>
      <c r="H528" s="217"/>
      <c r="I528" s="217"/>
      <c r="J528" s="217"/>
      <c r="K528" s="217"/>
      <c r="L528" s="217"/>
      <c r="M528" s="217"/>
      <c r="N528" s="217"/>
      <c r="O528" s="217"/>
      <c r="P528" s="217"/>
      <c r="Q528" s="217"/>
      <c r="R528" s="217"/>
      <c r="S528" s="217"/>
      <c r="T528" s="217"/>
      <c r="U528" s="217"/>
      <c r="V528" s="217"/>
      <c r="W528" s="217"/>
      <c r="X528" s="217"/>
      <c r="Y528" s="217"/>
      <c r="Z528" s="217"/>
    </row>
    <row r="529" ht="15.75" customHeight="1">
      <c r="A529" s="217"/>
      <c r="B529" s="217"/>
      <c r="C529" s="217"/>
      <c r="D529" s="217"/>
      <c r="E529" s="217"/>
      <c r="F529" s="217"/>
      <c r="G529" s="217"/>
      <c r="H529" s="217"/>
      <c r="I529" s="217"/>
      <c r="J529" s="217"/>
      <c r="K529" s="217"/>
      <c r="L529" s="217"/>
      <c r="M529" s="217"/>
      <c r="N529" s="217"/>
      <c r="O529" s="217"/>
      <c r="P529" s="217"/>
      <c r="Q529" s="217"/>
      <c r="R529" s="217"/>
      <c r="S529" s="217"/>
      <c r="T529" s="217"/>
      <c r="U529" s="217"/>
      <c r="V529" s="217"/>
      <c r="W529" s="217"/>
      <c r="X529" s="217"/>
      <c r="Y529" s="217"/>
      <c r="Z529" s="217"/>
    </row>
    <row r="530" ht="15.75" customHeight="1">
      <c r="A530" s="217"/>
      <c r="B530" s="217"/>
      <c r="C530" s="217"/>
      <c r="D530" s="217"/>
      <c r="E530" s="217"/>
      <c r="F530" s="217"/>
      <c r="G530" s="217"/>
      <c r="H530" s="217"/>
      <c r="I530" s="217"/>
      <c r="J530" s="217"/>
      <c r="K530" s="217"/>
      <c r="L530" s="217"/>
      <c r="M530" s="217"/>
      <c r="N530" s="217"/>
      <c r="O530" s="217"/>
      <c r="P530" s="217"/>
      <c r="Q530" s="217"/>
      <c r="R530" s="217"/>
      <c r="S530" s="217"/>
      <c r="T530" s="217"/>
      <c r="U530" s="217"/>
      <c r="V530" s="217"/>
      <c r="W530" s="217"/>
      <c r="X530" s="217"/>
      <c r="Y530" s="217"/>
      <c r="Z530" s="217"/>
    </row>
    <row r="531" ht="15.75" customHeight="1">
      <c r="A531" s="217"/>
      <c r="B531" s="217"/>
      <c r="C531" s="217"/>
      <c r="D531" s="217"/>
      <c r="E531" s="217"/>
      <c r="F531" s="217"/>
      <c r="G531" s="217"/>
      <c r="H531" s="217"/>
      <c r="I531" s="217"/>
      <c r="J531" s="217"/>
      <c r="K531" s="217"/>
      <c r="L531" s="217"/>
      <c r="M531" s="217"/>
      <c r="N531" s="217"/>
      <c r="O531" s="217"/>
      <c r="P531" s="217"/>
      <c r="Q531" s="217"/>
      <c r="R531" s="217"/>
      <c r="S531" s="217"/>
      <c r="T531" s="217"/>
      <c r="U531" s="217"/>
      <c r="V531" s="217"/>
      <c r="W531" s="217"/>
      <c r="X531" s="217"/>
      <c r="Y531" s="217"/>
      <c r="Z531" s="217"/>
    </row>
    <row r="532" ht="15.75" customHeight="1">
      <c r="A532" s="217"/>
      <c r="B532" s="217"/>
      <c r="C532" s="217"/>
      <c r="D532" s="217"/>
      <c r="E532" s="217"/>
      <c r="F532" s="217"/>
      <c r="G532" s="217"/>
      <c r="H532" s="217"/>
      <c r="I532" s="217"/>
      <c r="J532" s="217"/>
      <c r="K532" s="217"/>
      <c r="L532" s="217"/>
      <c r="M532" s="217"/>
      <c r="N532" s="217"/>
      <c r="O532" s="217"/>
      <c r="P532" s="217"/>
      <c r="Q532" s="217"/>
      <c r="R532" s="217"/>
      <c r="S532" s="217"/>
      <c r="T532" s="217"/>
      <c r="U532" s="217"/>
      <c r="V532" s="217"/>
      <c r="W532" s="217"/>
      <c r="X532" s="217"/>
      <c r="Y532" s="217"/>
      <c r="Z532" s="217"/>
    </row>
    <row r="533" ht="15.75" customHeight="1">
      <c r="A533" s="217"/>
      <c r="B533" s="217"/>
      <c r="C533" s="217"/>
      <c r="D533" s="217"/>
      <c r="E533" s="217"/>
      <c r="F533" s="217"/>
      <c r="G533" s="217"/>
      <c r="H533" s="217"/>
      <c r="I533" s="217"/>
      <c r="J533" s="217"/>
      <c r="K533" s="217"/>
      <c r="L533" s="217"/>
      <c r="M533" s="217"/>
      <c r="N533" s="217"/>
      <c r="O533" s="217"/>
      <c r="P533" s="217"/>
      <c r="Q533" s="217"/>
      <c r="R533" s="217"/>
      <c r="S533" s="217"/>
      <c r="T533" s="217"/>
      <c r="U533" s="217"/>
      <c r="V533" s="217"/>
      <c r="W533" s="217"/>
      <c r="X533" s="217"/>
      <c r="Y533" s="217"/>
      <c r="Z533" s="217"/>
    </row>
    <row r="534" ht="15.75" customHeight="1">
      <c r="A534" s="217"/>
      <c r="B534" s="217"/>
      <c r="C534" s="217"/>
      <c r="D534" s="217"/>
      <c r="E534" s="217"/>
      <c r="F534" s="217"/>
      <c r="G534" s="217"/>
      <c r="H534" s="217"/>
      <c r="I534" s="217"/>
      <c r="J534" s="217"/>
      <c r="K534" s="217"/>
      <c r="L534" s="217"/>
      <c r="M534" s="217"/>
      <c r="N534" s="217"/>
      <c r="O534" s="217"/>
      <c r="P534" s="217"/>
      <c r="Q534" s="217"/>
      <c r="R534" s="217"/>
      <c r="S534" s="217"/>
      <c r="T534" s="217"/>
      <c r="U534" s="217"/>
      <c r="V534" s="217"/>
      <c r="W534" s="217"/>
      <c r="X534" s="217"/>
      <c r="Y534" s="217"/>
      <c r="Z534" s="217"/>
    </row>
    <row r="535" ht="15.75" customHeight="1">
      <c r="A535" s="217"/>
      <c r="B535" s="217"/>
      <c r="C535" s="217"/>
      <c r="D535" s="217"/>
      <c r="E535" s="217"/>
      <c r="F535" s="217"/>
      <c r="G535" s="217"/>
      <c r="H535" s="217"/>
      <c r="I535" s="217"/>
      <c r="J535" s="217"/>
      <c r="K535" s="217"/>
      <c r="L535" s="217"/>
      <c r="M535" s="217"/>
      <c r="N535" s="217"/>
      <c r="O535" s="217"/>
      <c r="P535" s="217"/>
      <c r="Q535" s="217"/>
      <c r="R535" s="217"/>
      <c r="S535" s="217"/>
      <c r="T535" s="217"/>
      <c r="U535" s="217"/>
      <c r="V535" s="217"/>
      <c r="W535" s="217"/>
      <c r="X535" s="217"/>
      <c r="Y535" s="217"/>
      <c r="Z535" s="217"/>
    </row>
    <row r="536" ht="15.75" customHeight="1">
      <c r="A536" s="217"/>
      <c r="B536" s="217"/>
      <c r="C536" s="217"/>
      <c r="D536" s="217"/>
      <c r="E536" s="217"/>
      <c r="F536" s="217"/>
      <c r="G536" s="217"/>
      <c r="H536" s="217"/>
      <c r="I536" s="217"/>
      <c r="J536" s="217"/>
      <c r="K536" s="217"/>
      <c r="L536" s="217"/>
      <c r="M536" s="217"/>
      <c r="N536" s="217"/>
      <c r="O536" s="217"/>
      <c r="P536" s="217"/>
      <c r="Q536" s="217"/>
      <c r="R536" s="217"/>
      <c r="S536" s="217"/>
      <c r="T536" s="217"/>
      <c r="U536" s="217"/>
      <c r="V536" s="217"/>
      <c r="W536" s="217"/>
      <c r="X536" s="217"/>
      <c r="Y536" s="217"/>
      <c r="Z536" s="217"/>
    </row>
    <row r="537" ht="15.75" customHeight="1">
      <c r="A537" s="217"/>
      <c r="B537" s="217"/>
      <c r="C537" s="217"/>
      <c r="D537" s="217"/>
      <c r="E537" s="217"/>
      <c r="F537" s="217"/>
      <c r="G537" s="217"/>
      <c r="H537" s="217"/>
      <c r="I537" s="217"/>
      <c r="J537" s="217"/>
      <c r="K537" s="217"/>
      <c r="L537" s="217"/>
      <c r="M537" s="217"/>
      <c r="N537" s="217"/>
      <c r="O537" s="217"/>
      <c r="P537" s="217"/>
      <c r="Q537" s="217"/>
      <c r="R537" s="217"/>
      <c r="S537" s="217"/>
      <c r="T537" s="217"/>
      <c r="U537" s="217"/>
      <c r="V537" s="217"/>
      <c r="W537" s="217"/>
      <c r="X537" s="217"/>
      <c r="Y537" s="217"/>
      <c r="Z537" s="217"/>
    </row>
    <row r="538" ht="15.75" customHeight="1">
      <c r="A538" s="217"/>
      <c r="B538" s="217"/>
      <c r="C538" s="217"/>
      <c r="D538" s="217"/>
      <c r="E538" s="217"/>
      <c r="F538" s="217"/>
      <c r="G538" s="217"/>
      <c r="H538" s="217"/>
      <c r="I538" s="217"/>
      <c r="J538" s="217"/>
      <c r="K538" s="217"/>
      <c r="L538" s="217"/>
      <c r="M538" s="217"/>
      <c r="N538" s="217"/>
      <c r="O538" s="217"/>
      <c r="P538" s="217"/>
      <c r="Q538" s="217"/>
      <c r="R538" s="217"/>
      <c r="S538" s="217"/>
      <c r="T538" s="217"/>
      <c r="U538" s="217"/>
      <c r="V538" s="217"/>
      <c r="W538" s="217"/>
      <c r="X538" s="217"/>
      <c r="Y538" s="217"/>
      <c r="Z538" s="217"/>
    </row>
    <row r="539" ht="15.75" customHeight="1">
      <c r="A539" s="217"/>
      <c r="B539" s="217"/>
      <c r="C539" s="217"/>
      <c r="D539" s="217"/>
      <c r="E539" s="217"/>
      <c r="F539" s="217"/>
      <c r="G539" s="217"/>
      <c r="H539" s="217"/>
      <c r="I539" s="217"/>
      <c r="J539" s="217"/>
      <c r="K539" s="217"/>
      <c r="L539" s="217"/>
      <c r="M539" s="217"/>
      <c r="N539" s="217"/>
      <c r="O539" s="217"/>
      <c r="P539" s="217"/>
      <c r="Q539" s="217"/>
      <c r="R539" s="217"/>
      <c r="S539" s="217"/>
      <c r="T539" s="217"/>
      <c r="U539" s="217"/>
      <c r="V539" s="217"/>
      <c r="W539" s="217"/>
      <c r="X539" s="217"/>
      <c r="Y539" s="217"/>
      <c r="Z539" s="217"/>
    </row>
    <row r="540" ht="15.75" customHeight="1">
      <c r="A540" s="217"/>
      <c r="B540" s="217"/>
      <c r="C540" s="217"/>
      <c r="D540" s="217"/>
      <c r="E540" s="217"/>
      <c r="F540" s="217"/>
      <c r="G540" s="217"/>
      <c r="H540" s="217"/>
      <c r="I540" s="217"/>
      <c r="J540" s="217"/>
      <c r="K540" s="217"/>
      <c r="L540" s="217"/>
      <c r="M540" s="217"/>
      <c r="N540" s="217"/>
      <c r="O540" s="217"/>
      <c r="P540" s="217"/>
      <c r="Q540" s="217"/>
      <c r="R540" s="217"/>
      <c r="S540" s="217"/>
      <c r="T540" s="217"/>
      <c r="U540" s="217"/>
      <c r="V540" s="217"/>
      <c r="W540" s="217"/>
      <c r="X540" s="217"/>
      <c r="Y540" s="217"/>
      <c r="Z540" s="217"/>
    </row>
    <row r="541" ht="15.75" customHeight="1">
      <c r="A541" s="217"/>
      <c r="B541" s="217"/>
      <c r="C541" s="217"/>
      <c r="D541" s="217"/>
      <c r="E541" s="217"/>
      <c r="F541" s="217"/>
      <c r="G541" s="217"/>
      <c r="H541" s="217"/>
      <c r="I541" s="217"/>
      <c r="J541" s="217"/>
      <c r="K541" s="217"/>
      <c r="L541" s="217"/>
      <c r="M541" s="217"/>
      <c r="N541" s="217"/>
      <c r="O541" s="217"/>
      <c r="P541" s="217"/>
      <c r="Q541" s="217"/>
      <c r="R541" s="217"/>
      <c r="S541" s="217"/>
      <c r="T541" s="217"/>
      <c r="U541" s="217"/>
      <c r="V541" s="217"/>
      <c r="W541" s="217"/>
      <c r="X541" s="217"/>
      <c r="Y541" s="217"/>
      <c r="Z541" s="217"/>
    </row>
    <row r="542" ht="15.75" customHeight="1">
      <c r="A542" s="217"/>
      <c r="B542" s="217"/>
      <c r="C542" s="217"/>
      <c r="D542" s="217"/>
      <c r="E542" s="217"/>
      <c r="F542" s="217"/>
      <c r="G542" s="217"/>
      <c r="H542" s="217"/>
      <c r="I542" s="217"/>
      <c r="J542" s="217"/>
      <c r="K542" s="217"/>
      <c r="L542" s="217"/>
      <c r="M542" s="217"/>
      <c r="N542" s="217"/>
      <c r="O542" s="217"/>
      <c r="P542" s="217"/>
      <c r="Q542" s="217"/>
      <c r="R542" s="217"/>
      <c r="S542" s="217"/>
      <c r="T542" s="217"/>
      <c r="U542" s="217"/>
      <c r="V542" s="217"/>
      <c r="W542" s="217"/>
      <c r="X542" s="217"/>
      <c r="Y542" s="217"/>
      <c r="Z542" s="217"/>
    </row>
    <row r="543" ht="15.75" customHeight="1">
      <c r="A543" s="217"/>
      <c r="B543" s="217"/>
      <c r="C543" s="217"/>
      <c r="D543" s="217"/>
      <c r="E543" s="217"/>
      <c r="F543" s="217"/>
      <c r="G543" s="217"/>
      <c r="H543" s="217"/>
      <c r="I543" s="217"/>
      <c r="J543" s="217"/>
      <c r="K543" s="217"/>
      <c r="L543" s="217"/>
      <c r="M543" s="217"/>
      <c r="N543" s="217"/>
      <c r="O543" s="217"/>
      <c r="P543" s="217"/>
      <c r="Q543" s="217"/>
      <c r="R543" s="217"/>
      <c r="S543" s="217"/>
      <c r="T543" s="217"/>
      <c r="U543" s="217"/>
      <c r="V543" s="217"/>
      <c r="W543" s="217"/>
      <c r="X543" s="217"/>
      <c r="Y543" s="217"/>
      <c r="Z543" s="217"/>
    </row>
    <row r="544" ht="15.75" customHeight="1">
      <c r="A544" s="217"/>
      <c r="B544" s="217"/>
      <c r="C544" s="217"/>
      <c r="D544" s="217"/>
      <c r="E544" s="217"/>
      <c r="F544" s="217"/>
      <c r="G544" s="217"/>
      <c r="H544" s="217"/>
      <c r="I544" s="217"/>
      <c r="J544" s="217"/>
      <c r="K544" s="217"/>
      <c r="L544" s="217"/>
      <c r="M544" s="217"/>
      <c r="N544" s="217"/>
      <c r="O544" s="217"/>
      <c r="P544" s="217"/>
      <c r="Q544" s="217"/>
      <c r="R544" s="217"/>
      <c r="S544" s="217"/>
      <c r="T544" s="217"/>
      <c r="U544" s="217"/>
      <c r="V544" s="217"/>
      <c r="W544" s="217"/>
      <c r="X544" s="217"/>
      <c r="Y544" s="217"/>
      <c r="Z544" s="217"/>
    </row>
    <row r="545" ht="15.75" customHeight="1">
      <c r="A545" s="217"/>
      <c r="B545" s="217"/>
      <c r="C545" s="217"/>
      <c r="D545" s="217"/>
      <c r="E545" s="217"/>
      <c r="F545" s="217"/>
      <c r="G545" s="217"/>
      <c r="H545" s="217"/>
      <c r="I545" s="217"/>
      <c r="J545" s="217"/>
      <c r="K545" s="217"/>
      <c r="L545" s="217"/>
      <c r="M545" s="217"/>
      <c r="N545" s="217"/>
      <c r="O545" s="217"/>
      <c r="P545" s="217"/>
      <c r="Q545" s="217"/>
      <c r="R545" s="217"/>
      <c r="S545" s="217"/>
      <c r="T545" s="217"/>
      <c r="U545" s="217"/>
      <c r="V545" s="217"/>
      <c r="W545" s="217"/>
      <c r="X545" s="217"/>
      <c r="Y545" s="217"/>
      <c r="Z545" s="217"/>
    </row>
    <row r="546" ht="15.75" customHeight="1">
      <c r="A546" s="217"/>
      <c r="B546" s="217"/>
      <c r="C546" s="217"/>
      <c r="D546" s="217"/>
      <c r="E546" s="217"/>
      <c r="F546" s="217"/>
      <c r="G546" s="217"/>
      <c r="H546" s="217"/>
      <c r="I546" s="217"/>
      <c r="J546" s="217"/>
      <c r="K546" s="217"/>
      <c r="L546" s="217"/>
      <c r="M546" s="217"/>
      <c r="N546" s="217"/>
      <c r="O546" s="217"/>
      <c r="P546" s="217"/>
      <c r="Q546" s="217"/>
      <c r="R546" s="217"/>
      <c r="S546" s="217"/>
      <c r="T546" s="217"/>
      <c r="U546" s="217"/>
      <c r="V546" s="217"/>
      <c r="W546" s="217"/>
      <c r="X546" s="217"/>
      <c r="Y546" s="217"/>
      <c r="Z546" s="217"/>
    </row>
    <row r="547" ht="15.75" customHeight="1">
      <c r="A547" s="217"/>
      <c r="B547" s="217"/>
      <c r="C547" s="217"/>
      <c r="D547" s="217"/>
      <c r="E547" s="217"/>
      <c r="F547" s="217"/>
      <c r="G547" s="217"/>
      <c r="H547" s="217"/>
      <c r="I547" s="217"/>
      <c r="J547" s="217"/>
      <c r="K547" s="217"/>
      <c r="L547" s="217"/>
      <c r="M547" s="217"/>
      <c r="N547" s="217"/>
      <c r="O547" s="217"/>
      <c r="P547" s="217"/>
      <c r="Q547" s="217"/>
      <c r="R547" s="217"/>
      <c r="S547" s="217"/>
      <c r="T547" s="217"/>
      <c r="U547" s="217"/>
      <c r="V547" s="217"/>
      <c r="W547" s="217"/>
      <c r="X547" s="217"/>
      <c r="Y547" s="217"/>
      <c r="Z547" s="217"/>
    </row>
    <row r="548" ht="15.75" customHeight="1">
      <c r="A548" s="217"/>
      <c r="B548" s="217"/>
      <c r="C548" s="217"/>
      <c r="D548" s="217"/>
      <c r="E548" s="217"/>
      <c r="F548" s="217"/>
      <c r="G548" s="217"/>
      <c r="H548" s="217"/>
      <c r="I548" s="217"/>
      <c r="J548" s="217"/>
      <c r="K548" s="217"/>
      <c r="L548" s="217"/>
      <c r="M548" s="217"/>
      <c r="N548" s="217"/>
      <c r="O548" s="217"/>
      <c r="P548" s="217"/>
      <c r="Q548" s="217"/>
      <c r="R548" s="217"/>
      <c r="S548" s="217"/>
      <c r="T548" s="217"/>
      <c r="U548" s="217"/>
      <c r="V548" s="217"/>
      <c r="W548" s="217"/>
      <c r="X548" s="217"/>
      <c r="Y548" s="217"/>
      <c r="Z548" s="217"/>
    </row>
    <row r="549" ht="15.75" customHeight="1">
      <c r="A549" s="217"/>
      <c r="B549" s="217"/>
      <c r="C549" s="217"/>
      <c r="D549" s="217"/>
      <c r="E549" s="217"/>
      <c r="F549" s="217"/>
      <c r="G549" s="217"/>
      <c r="H549" s="217"/>
      <c r="I549" s="217"/>
      <c r="J549" s="217"/>
      <c r="K549" s="217"/>
      <c r="L549" s="217"/>
      <c r="M549" s="217"/>
      <c r="N549" s="217"/>
      <c r="O549" s="217"/>
      <c r="P549" s="217"/>
      <c r="Q549" s="217"/>
      <c r="R549" s="217"/>
      <c r="S549" s="217"/>
      <c r="T549" s="217"/>
      <c r="U549" s="217"/>
      <c r="V549" s="217"/>
      <c r="W549" s="217"/>
      <c r="X549" s="217"/>
      <c r="Y549" s="217"/>
      <c r="Z549" s="217"/>
    </row>
    <row r="550" ht="15.75" customHeight="1">
      <c r="A550" s="217"/>
      <c r="B550" s="217"/>
      <c r="C550" s="217"/>
      <c r="D550" s="217"/>
      <c r="E550" s="217"/>
      <c r="F550" s="217"/>
      <c r="G550" s="217"/>
      <c r="H550" s="217"/>
      <c r="I550" s="217"/>
      <c r="J550" s="217"/>
      <c r="K550" s="217"/>
      <c r="L550" s="217"/>
      <c r="M550" s="217"/>
      <c r="N550" s="217"/>
      <c r="O550" s="217"/>
      <c r="P550" s="217"/>
      <c r="Q550" s="217"/>
      <c r="R550" s="217"/>
      <c r="S550" s="217"/>
      <c r="T550" s="217"/>
      <c r="U550" s="217"/>
      <c r="V550" s="217"/>
      <c r="W550" s="217"/>
      <c r="X550" s="217"/>
      <c r="Y550" s="217"/>
      <c r="Z550" s="217"/>
    </row>
    <row r="551" ht="15.75" customHeight="1">
      <c r="A551" s="217"/>
      <c r="B551" s="217"/>
      <c r="C551" s="217"/>
      <c r="D551" s="217"/>
      <c r="E551" s="217"/>
      <c r="F551" s="217"/>
      <c r="G551" s="217"/>
      <c r="H551" s="217"/>
      <c r="I551" s="217"/>
      <c r="J551" s="217"/>
      <c r="K551" s="217"/>
      <c r="L551" s="217"/>
      <c r="M551" s="217"/>
      <c r="N551" s="217"/>
      <c r="O551" s="217"/>
      <c r="P551" s="217"/>
      <c r="Q551" s="217"/>
      <c r="R551" s="217"/>
      <c r="S551" s="217"/>
      <c r="T551" s="217"/>
      <c r="U551" s="217"/>
      <c r="V551" s="217"/>
      <c r="W551" s="217"/>
      <c r="X551" s="217"/>
      <c r="Y551" s="217"/>
      <c r="Z551" s="217"/>
    </row>
    <row r="552" ht="15.75" customHeight="1">
      <c r="A552" s="217"/>
      <c r="B552" s="217"/>
      <c r="C552" s="217"/>
      <c r="D552" s="217"/>
      <c r="E552" s="217"/>
      <c r="F552" s="217"/>
      <c r="G552" s="217"/>
      <c r="H552" s="217"/>
      <c r="I552" s="217"/>
      <c r="J552" s="217"/>
      <c r="K552" s="217"/>
      <c r="L552" s="217"/>
      <c r="M552" s="217"/>
      <c r="N552" s="217"/>
      <c r="O552" s="217"/>
      <c r="P552" s="217"/>
      <c r="Q552" s="217"/>
      <c r="R552" s="217"/>
      <c r="S552" s="217"/>
      <c r="T552" s="217"/>
      <c r="U552" s="217"/>
      <c r="V552" s="217"/>
      <c r="W552" s="217"/>
      <c r="X552" s="217"/>
      <c r="Y552" s="217"/>
      <c r="Z552" s="217"/>
    </row>
    <row r="553" ht="15.75" customHeight="1">
      <c r="A553" s="217"/>
      <c r="B553" s="217"/>
      <c r="C553" s="217"/>
      <c r="D553" s="217"/>
      <c r="E553" s="217"/>
      <c r="F553" s="217"/>
      <c r="G553" s="217"/>
      <c r="H553" s="217"/>
      <c r="I553" s="217"/>
      <c r="J553" s="217"/>
      <c r="K553" s="217"/>
      <c r="L553" s="217"/>
      <c r="M553" s="217"/>
      <c r="N553" s="217"/>
      <c r="O553" s="217"/>
      <c r="P553" s="217"/>
      <c r="Q553" s="217"/>
      <c r="R553" s="217"/>
      <c r="S553" s="217"/>
      <c r="T553" s="217"/>
      <c r="U553" s="217"/>
      <c r="V553" s="217"/>
      <c r="W553" s="217"/>
      <c r="X553" s="217"/>
      <c r="Y553" s="217"/>
      <c r="Z553" s="217"/>
    </row>
    <row r="554" ht="15.75" customHeight="1">
      <c r="A554" s="217"/>
      <c r="B554" s="217"/>
      <c r="C554" s="217"/>
      <c r="D554" s="217"/>
      <c r="E554" s="217"/>
      <c r="F554" s="217"/>
      <c r="G554" s="217"/>
      <c r="H554" s="217"/>
      <c r="I554" s="217"/>
      <c r="J554" s="217"/>
      <c r="K554" s="217"/>
      <c r="L554" s="217"/>
      <c r="M554" s="217"/>
      <c r="N554" s="217"/>
      <c r="O554" s="217"/>
      <c r="P554" s="217"/>
      <c r="Q554" s="217"/>
      <c r="R554" s="217"/>
      <c r="S554" s="217"/>
      <c r="T554" s="217"/>
      <c r="U554" s="217"/>
      <c r="V554" s="217"/>
      <c r="W554" s="217"/>
      <c r="X554" s="217"/>
      <c r="Y554" s="217"/>
      <c r="Z554" s="217"/>
    </row>
    <row r="555" ht="15.75" customHeight="1">
      <c r="A555" s="217"/>
      <c r="B555" s="217"/>
      <c r="C555" s="217"/>
      <c r="D555" s="217"/>
      <c r="E555" s="217"/>
      <c r="F555" s="217"/>
      <c r="G555" s="217"/>
      <c r="H555" s="217"/>
      <c r="I555" s="217"/>
      <c r="J555" s="217"/>
      <c r="K555" s="217"/>
      <c r="L555" s="217"/>
      <c r="M555" s="217"/>
      <c r="N555" s="217"/>
      <c r="O555" s="217"/>
      <c r="P555" s="217"/>
      <c r="Q555" s="217"/>
      <c r="R555" s="217"/>
      <c r="S555" s="217"/>
      <c r="T555" s="217"/>
      <c r="U555" s="217"/>
      <c r="V555" s="217"/>
      <c r="W555" s="217"/>
      <c r="X555" s="217"/>
      <c r="Y555" s="217"/>
      <c r="Z555" s="217"/>
    </row>
    <row r="556" ht="15.75" customHeight="1">
      <c r="A556" s="217"/>
      <c r="B556" s="217"/>
      <c r="C556" s="217"/>
      <c r="D556" s="217"/>
      <c r="E556" s="217"/>
      <c r="F556" s="217"/>
      <c r="G556" s="217"/>
      <c r="H556" s="217"/>
      <c r="I556" s="217"/>
      <c r="J556" s="217"/>
      <c r="K556" s="217"/>
      <c r="L556" s="217"/>
      <c r="M556" s="217"/>
      <c r="N556" s="217"/>
      <c r="O556" s="217"/>
      <c r="P556" s="217"/>
      <c r="Q556" s="217"/>
      <c r="R556" s="217"/>
      <c r="S556" s="217"/>
      <c r="T556" s="217"/>
      <c r="U556" s="217"/>
      <c r="V556" s="217"/>
      <c r="W556" s="217"/>
      <c r="X556" s="217"/>
      <c r="Y556" s="217"/>
      <c r="Z556" s="217"/>
    </row>
    <row r="557" ht="15.75" customHeight="1">
      <c r="A557" s="217"/>
      <c r="B557" s="217"/>
      <c r="C557" s="217"/>
      <c r="D557" s="217"/>
      <c r="E557" s="217"/>
      <c r="F557" s="217"/>
      <c r="G557" s="217"/>
      <c r="H557" s="217"/>
      <c r="I557" s="217"/>
      <c r="J557" s="217"/>
      <c r="K557" s="217"/>
      <c r="L557" s="217"/>
      <c r="M557" s="217"/>
      <c r="N557" s="217"/>
      <c r="O557" s="217"/>
      <c r="P557" s="217"/>
      <c r="Q557" s="217"/>
      <c r="R557" s="217"/>
      <c r="S557" s="217"/>
      <c r="T557" s="217"/>
      <c r="U557" s="217"/>
      <c r="V557" s="217"/>
      <c r="W557" s="217"/>
      <c r="X557" s="217"/>
      <c r="Y557" s="217"/>
      <c r="Z557" s="217"/>
    </row>
    <row r="558" ht="15.75" customHeight="1">
      <c r="A558" s="217"/>
      <c r="B558" s="217"/>
      <c r="C558" s="217"/>
      <c r="D558" s="217"/>
      <c r="E558" s="217"/>
      <c r="F558" s="217"/>
      <c r="G558" s="217"/>
      <c r="H558" s="217"/>
      <c r="I558" s="217"/>
      <c r="J558" s="217"/>
      <c r="K558" s="217"/>
      <c r="L558" s="217"/>
      <c r="M558" s="217"/>
      <c r="N558" s="217"/>
      <c r="O558" s="217"/>
      <c r="P558" s="217"/>
      <c r="Q558" s="217"/>
      <c r="R558" s="217"/>
      <c r="S558" s="217"/>
      <c r="T558" s="217"/>
      <c r="U558" s="217"/>
      <c r="V558" s="217"/>
      <c r="W558" s="217"/>
      <c r="X558" s="217"/>
      <c r="Y558" s="217"/>
      <c r="Z558" s="217"/>
    </row>
    <row r="559" ht="15.75" customHeight="1">
      <c r="A559" s="217"/>
      <c r="B559" s="217"/>
      <c r="C559" s="217"/>
      <c r="D559" s="217"/>
      <c r="E559" s="217"/>
      <c r="F559" s="217"/>
      <c r="G559" s="217"/>
      <c r="H559" s="217"/>
      <c r="I559" s="217"/>
      <c r="J559" s="217"/>
      <c r="K559" s="217"/>
      <c r="L559" s="217"/>
      <c r="M559" s="217"/>
      <c r="N559" s="217"/>
      <c r="O559" s="217"/>
      <c r="P559" s="217"/>
      <c r="Q559" s="217"/>
      <c r="R559" s="217"/>
      <c r="S559" s="217"/>
      <c r="T559" s="217"/>
      <c r="U559" s="217"/>
      <c r="V559" s="217"/>
      <c r="W559" s="217"/>
      <c r="X559" s="217"/>
      <c r="Y559" s="217"/>
      <c r="Z559" s="217"/>
    </row>
    <row r="560" ht="15.75" customHeight="1">
      <c r="A560" s="217"/>
      <c r="B560" s="217"/>
      <c r="C560" s="217"/>
      <c r="D560" s="217"/>
      <c r="E560" s="217"/>
      <c r="F560" s="217"/>
      <c r="G560" s="217"/>
      <c r="H560" s="217"/>
      <c r="I560" s="217"/>
      <c r="J560" s="217"/>
      <c r="K560" s="217"/>
      <c r="L560" s="217"/>
      <c r="M560" s="217"/>
      <c r="N560" s="217"/>
      <c r="O560" s="217"/>
      <c r="P560" s="217"/>
      <c r="Q560" s="217"/>
      <c r="R560" s="217"/>
      <c r="S560" s="217"/>
      <c r="T560" s="217"/>
      <c r="U560" s="217"/>
      <c r="V560" s="217"/>
      <c r="W560" s="217"/>
      <c r="X560" s="217"/>
      <c r="Y560" s="217"/>
      <c r="Z560" s="217"/>
    </row>
    <row r="561" ht="15.75" customHeight="1">
      <c r="A561" s="217"/>
      <c r="B561" s="217"/>
      <c r="C561" s="217"/>
      <c r="D561" s="217"/>
      <c r="E561" s="217"/>
      <c r="F561" s="217"/>
      <c r="G561" s="217"/>
      <c r="H561" s="217"/>
      <c r="I561" s="217"/>
      <c r="J561" s="217"/>
      <c r="K561" s="217"/>
      <c r="L561" s="217"/>
      <c r="M561" s="217"/>
      <c r="N561" s="217"/>
      <c r="O561" s="217"/>
      <c r="P561" s="217"/>
      <c r="Q561" s="217"/>
      <c r="R561" s="217"/>
      <c r="S561" s="217"/>
      <c r="T561" s="217"/>
      <c r="U561" s="217"/>
      <c r="V561" s="217"/>
      <c r="W561" s="217"/>
      <c r="X561" s="217"/>
      <c r="Y561" s="217"/>
      <c r="Z561" s="217"/>
    </row>
    <row r="562" ht="15.75" customHeight="1">
      <c r="A562" s="217"/>
      <c r="B562" s="217"/>
      <c r="C562" s="217"/>
      <c r="D562" s="217"/>
      <c r="E562" s="217"/>
      <c r="F562" s="217"/>
      <c r="G562" s="217"/>
      <c r="H562" s="217"/>
      <c r="I562" s="217"/>
      <c r="J562" s="217"/>
      <c r="K562" s="217"/>
      <c r="L562" s="217"/>
      <c r="M562" s="217"/>
      <c r="N562" s="217"/>
      <c r="O562" s="217"/>
      <c r="P562" s="217"/>
      <c r="Q562" s="217"/>
      <c r="R562" s="217"/>
      <c r="S562" s="217"/>
      <c r="T562" s="217"/>
      <c r="U562" s="217"/>
      <c r="V562" s="217"/>
      <c r="W562" s="217"/>
      <c r="X562" s="217"/>
      <c r="Y562" s="217"/>
      <c r="Z562" s="217"/>
    </row>
    <row r="563" ht="15.75" customHeight="1">
      <c r="A563" s="217"/>
      <c r="B563" s="217"/>
      <c r="C563" s="217"/>
      <c r="D563" s="217"/>
      <c r="E563" s="217"/>
      <c r="F563" s="217"/>
      <c r="G563" s="217"/>
      <c r="H563" s="217"/>
      <c r="I563" s="217"/>
      <c r="J563" s="217"/>
      <c r="K563" s="217"/>
      <c r="L563" s="217"/>
      <c r="M563" s="217"/>
      <c r="N563" s="217"/>
      <c r="O563" s="217"/>
      <c r="P563" s="217"/>
      <c r="Q563" s="217"/>
      <c r="R563" s="217"/>
      <c r="S563" s="217"/>
      <c r="T563" s="217"/>
      <c r="U563" s="217"/>
      <c r="V563" s="217"/>
      <c r="W563" s="217"/>
      <c r="X563" s="217"/>
      <c r="Y563" s="217"/>
      <c r="Z563" s="217"/>
    </row>
    <row r="564" ht="15.75" customHeight="1">
      <c r="A564" s="217"/>
      <c r="B564" s="217"/>
      <c r="C564" s="217"/>
      <c r="D564" s="217"/>
      <c r="E564" s="217"/>
      <c r="F564" s="217"/>
      <c r="G564" s="217"/>
      <c r="H564" s="217"/>
      <c r="I564" s="217"/>
      <c r="J564" s="217"/>
      <c r="K564" s="217"/>
      <c r="L564" s="217"/>
      <c r="M564" s="217"/>
      <c r="N564" s="217"/>
      <c r="O564" s="217"/>
      <c r="P564" s="217"/>
      <c r="Q564" s="217"/>
      <c r="R564" s="217"/>
      <c r="S564" s="217"/>
      <c r="T564" s="217"/>
      <c r="U564" s="217"/>
      <c r="V564" s="217"/>
      <c r="W564" s="217"/>
      <c r="X564" s="217"/>
      <c r="Y564" s="217"/>
      <c r="Z564" s="217"/>
    </row>
    <row r="565" ht="15.75" customHeight="1">
      <c r="A565" s="217"/>
      <c r="B565" s="217"/>
      <c r="C565" s="217"/>
      <c r="D565" s="217"/>
      <c r="E565" s="217"/>
      <c r="F565" s="217"/>
      <c r="G565" s="217"/>
      <c r="H565" s="217"/>
      <c r="I565" s="217"/>
      <c r="J565" s="217"/>
      <c r="K565" s="217"/>
      <c r="L565" s="217"/>
      <c r="M565" s="217"/>
      <c r="N565" s="217"/>
      <c r="O565" s="217"/>
      <c r="P565" s="217"/>
      <c r="Q565" s="217"/>
      <c r="R565" s="217"/>
      <c r="S565" s="217"/>
      <c r="T565" s="217"/>
      <c r="U565" s="217"/>
      <c r="V565" s="217"/>
      <c r="W565" s="217"/>
      <c r="X565" s="217"/>
      <c r="Y565" s="217"/>
      <c r="Z565" s="217"/>
    </row>
    <row r="566" ht="15.75" customHeight="1">
      <c r="A566" s="217"/>
      <c r="B566" s="217"/>
      <c r="C566" s="217"/>
      <c r="D566" s="217"/>
      <c r="E566" s="217"/>
      <c r="F566" s="217"/>
      <c r="G566" s="217"/>
      <c r="H566" s="217"/>
      <c r="I566" s="217"/>
      <c r="J566" s="217"/>
      <c r="K566" s="217"/>
      <c r="L566" s="217"/>
      <c r="M566" s="217"/>
      <c r="N566" s="217"/>
      <c r="O566" s="217"/>
      <c r="P566" s="217"/>
      <c r="Q566" s="217"/>
      <c r="R566" s="217"/>
      <c r="S566" s="217"/>
      <c r="T566" s="217"/>
      <c r="U566" s="217"/>
      <c r="V566" s="217"/>
      <c r="W566" s="217"/>
      <c r="X566" s="217"/>
      <c r="Y566" s="217"/>
      <c r="Z566" s="217"/>
    </row>
    <row r="567" ht="15.75" customHeight="1">
      <c r="A567" s="217"/>
      <c r="B567" s="217"/>
      <c r="C567" s="217"/>
      <c r="D567" s="217"/>
      <c r="E567" s="217"/>
      <c r="F567" s="217"/>
      <c r="G567" s="217"/>
      <c r="H567" s="217"/>
      <c r="I567" s="217"/>
      <c r="J567" s="217"/>
      <c r="K567" s="217"/>
      <c r="L567" s="217"/>
      <c r="M567" s="217"/>
      <c r="N567" s="217"/>
      <c r="O567" s="217"/>
      <c r="P567" s="217"/>
      <c r="Q567" s="217"/>
      <c r="R567" s="217"/>
      <c r="S567" s="217"/>
      <c r="T567" s="217"/>
      <c r="U567" s="217"/>
      <c r="V567" s="217"/>
      <c r="W567" s="217"/>
      <c r="X567" s="217"/>
      <c r="Y567" s="217"/>
      <c r="Z567" s="217"/>
    </row>
    <row r="568" ht="15.75" customHeight="1">
      <c r="A568" s="217"/>
      <c r="B568" s="217"/>
      <c r="C568" s="217"/>
      <c r="D568" s="217"/>
      <c r="E568" s="217"/>
      <c r="F568" s="217"/>
      <c r="G568" s="217"/>
      <c r="H568" s="217"/>
      <c r="I568" s="217"/>
      <c r="J568" s="217"/>
      <c r="K568" s="217"/>
      <c r="L568" s="217"/>
      <c r="M568" s="217"/>
      <c r="N568" s="217"/>
      <c r="O568" s="217"/>
      <c r="P568" s="217"/>
      <c r="Q568" s="217"/>
      <c r="R568" s="217"/>
      <c r="S568" s="217"/>
      <c r="T568" s="217"/>
      <c r="U568" s="217"/>
      <c r="V568" s="217"/>
      <c r="W568" s="217"/>
      <c r="X568" s="217"/>
      <c r="Y568" s="217"/>
      <c r="Z568" s="217"/>
    </row>
    <row r="569" ht="15.75" customHeight="1">
      <c r="A569" s="217"/>
      <c r="B569" s="217"/>
      <c r="C569" s="217"/>
      <c r="D569" s="217"/>
      <c r="E569" s="217"/>
      <c r="F569" s="217"/>
      <c r="G569" s="217"/>
      <c r="H569" s="217"/>
      <c r="I569" s="217"/>
      <c r="J569" s="217"/>
      <c r="K569" s="217"/>
      <c r="L569" s="217"/>
      <c r="M569" s="217"/>
      <c r="N569" s="217"/>
      <c r="O569" s="217"/>
      <c r="P569" s="217"/>
      <c r="Q569" s="217"/>
      <c r="R569" s="217"/>
      <c r="S569" s="217"/>
      <c r="T569" s="217"/>
      <c r="U569" s="217"/>
      <c r="V569" s="217"/>
      <c r="W569" s="217"/>
      <c r="X569" s="217"/>
      <c r="Y569" s="217"/>
      <c r="Z569" s="217"/>
    </row>
    <row r="570" ht="15.75" customHeight="1">
      <c r="A570" s="217"/>
      <c r="B570" s="217"/>
      <c r="C570" s="217"/>
      <c r="D570" s="217"/>
      <c r="E570" s="217"/>
      <c r="F570" s="217"/>
      <c r="G570" s="217"/>
      <c r="H570" s="217"/>
      <c r="I570" s="217"/>
      <c r="J570" s="217"/>
      <c r="K570" s="217"/>
      <c r="L570" s="217"/>
      <c r="M570" s="217"/>
      <c r="N570" s="217"/>
      <c r="O570" s="217"/>
      <c r="P570" s="217"/>
      <c r="Q570" s="217"/>
      <c r="R570" s="217"/>
      <c r="S570" s="217"/>
      <c r="T570" s="217"/>
      <c r="U570" s="217"/>
      <c r="V570" s="217"/>
      <c r="W570" s="217"/>
      <c r="X570" s="217"/>
      <c r="Y570" s="217"/>
      <c r="Z570" s="217"/>
    </row>
    <row r="571" ht="15.75" customHeight="1">
      <c r="A571" s="217"/>
      <c r="B571" s="217"/>
      <c r="C571" s="217"/>
      <c r="D571" s="217"/>
      <c r="E571" s="217"/>
      <c r="F571" s="217"/>
      <c r="G571" s="217"/>
      <c r="H571" s="217"/>
      <c r="I571" s="217"/>
      <c r="J571" s="217"/>
      <c r="K571" s="217"/>
      <c r="L571" s="217"/>
      <c r="M571" s="217"/>
      <c r="N571" s="217"/>
      <c r="O571" s="217"/>
      <c r="P571" s="217"/>
      <c r="Q571" s="217"/>
      <c r="R571" s="217"/>
      <c r="S571" s="217"/>
      <c r="T571" s="217"/>
      <c r="U571" s="217"/>
      <c r="V571" s="217"/>
      <c r="W571" s="217"/>
      <c r="X571" s="217"/>
      <c r="Y571" s="217"/>
      <c r="Z571" s="217"/>
    </row>
    <row r="572" ht="15.75" customHeight="1">
      <c r="A572" s="217"/>
      <c r="B572" s="217"/>
      <c r="C572" s="217"/>
      <c r="D572" s="217"/>
      <c r="E572" s="217"/>
      <c r="F572" s="217"/>
      <c r="G572" s="217"/>
      <c r="H572" s="217"/>
      <c r="I572" s="217"/>
      <c r="J572" s="217"/>
      <c r="K572" s="217"/>
      <c r="L572" s="217"/>
      <c r="M572" s="217"/>
      <c r="N572" s="217"/>
      <c r="O572" s="217"/>
      <c r="P572" s="217"/>
      <c r="Q572" s="217"/>
      <c r="R572" s="217"/>
      <c r="S572" s="217"/>
      <c r="T572" s="217"/>
      <c r="U572" s="217"/>
      <c r="V572" s="217"/>
      <c r="W572" s="217"/>
      <c r="X572" s="217"/>
      <c r="Y572" s="217"/>
      <c r="Z572" s="217"/>
    </row>
    <row r="573" ht="15.75" customHeight="1">
      <c r="A573" s="217"/>
      <c r="B573" s="217"/>
      <c r="C573" s="217"/>
      <c r="D573" s="217"/>
      <c r="E573" s="217"/>
      <c r="F573" s="217"/>
      <c r="G573" s="217"/>
      <c r="H573" s="217"/>
      <c r="I573" s="217"/>
      <c r="J573" s="217"/>
      <c r="K573" s="217"/>
      <c r="L573" s="217"/>
      <c r="M573" s="217"/>
      <c r="N573" s="217"/>
      <c r="O573" s="217"/>
      <c r="P573" s="217"/>
      <c r="Q573" s="217"/>
      <c r="R573" s="217"/>
      <c r="S573" s="217"/>
      <c r="T573" s="217"/>
      <c r="U573" s="217"/>
      <c r="V573" s="217"/>
      <c r="W573" s="217"/>
      <c r="X573" s="217"/>
      <c r="Y573" s="217"/>
      <c r="Z573" s="217"/>
    </row>
    <row r="574" ht="15.75" customHeight="1">
      <c r="A574" s="217"/>
      <c r="B574" s="217"/>
      <c r="C574" s="217"/>
      <c r="D574" s="217"/>
      <c r="E574" s="217"/>
      <c r="F574" s="217"/>
      <c r="G574" s="217"/>
      <c r="H574" s="217"/>
      <c r="I574" s="217"/>
      <c r="J574" s="217"/>
      <c r="K574" s="217"/>
      <c r="L574" s="217"/>
      <c r="M574" s="217"/>
      <c r="N574" s="217"/>
      <c r="O574" s="217"/>
      <c r="P574" s="217"/>
      <c r="Q574" s="217"/>
      <c r="R574" s="217"/>
      <c r="S574" s="217"/>
      <c r="T574" s="217"/>
      <c r="U574" s="217"/>
      <c r="V574" s="217"/>
      <c r="W574" s="217"/>
      <c r="X574" s="217"/>
      <c r="Y574" s="217"/>
      <c r="Z574" s="217"/>
    </row>
    <row r="575" ht="15.75" customHeight="1">
      <c r="A575" s="217"/>
      <c r="B575" s="217"/>
      <c r="C575" s="217"/>
      <c r="D575" s="217"/>
      <c r="E575" s="217"/>
      <c r="F575" s="217"/>
      <c r="G575" s="217"/>
      <c r="H575" s="217"/>
      <c r="I575" s="217"/>
      <c r="J575" s="217"/>
      <c r="K575" s="217"/>
      <c r="L575" s="217"/>
      <c r="M575" s="217"/>
      <c r="N575" s="217"/>
      <c r="O575" s="217"/>
      <c r="P575" s="217"/>
      <c r="Q575" s="217"/>
      <c r="R575" s="217"/>
      <c r="S575" s="217"/>
      <c r="T575" s="217"/>
      <c r="U575" s="217"/>
      <c r="V575" s="217"/>
      <c r="W575" s="217"/>
      <c r="X575" s="217"/>
      <c r="Y575" s="217"/>
      <c r="Z575" s="217"/>
    </row>
    <row r="576" ht="15.75" customHeight="1">
      <c r="A576" s="217"/>
      <c r="B576" s="217"/>
      <c r="C576" s="217"/>
      <c r="D576" s="217"/>
      <c r="E576" s="217"/>
      <c r="F576" s="217"/>
      <c r="G576" s="217"/>
      <c r="H576" s="217"/>
      <c r="I576" s="217"/>
      <c r="J576" s="217"/>
      <c r="K576" s="217"/>
      <c r="L576" s="217"/>
      <c r="M576" s="217"/>
      <c r="N576" s="217"/>
      <c r="O576" s="217"/>
      <c r="P576" s="217"/>
      <c r="Q576" s="217"/>
      <c r="R576" s="217"/>
      <c r="S576" s="217"/>
      <c r="T576" s="217"/>
      <c r="U576" s="217"/>
      <c r="V576" s="217"/>
      <c r="W576" s="217"/>
      <c r="X576" s="217"/>
      <c r="Y576" s="217"/>
      <c r="Z576" s="217"/>
    </row>
    <row r="577" ht="15.75" customHeight="1">
      <c r="A577" s="217"/>
      <c r="B577" s="217"/>
      <c r="C577" s="217"/>
      <c r="D577" s="217"/>
      <c r="E577" s="217"/>
      <c r="F577" s="217"/>
      <c r="G577" s="217"/>
      <c r="H577" s="217"/>
      <c r="I577" s="217"/>
      <c r="J577" s="217"/>
      <c r="K577" s="217"/>
      <c r="L577" s="217"/>
      <c r="M577" s="217"/>
      <c r="N577" s="217"/>
      <c r="O577" s="217"/>
      <c r="P577" s="217"/>
      <c r="Q577" s="217"/>
      <c r="R577" s="217"/>
      <c r="S577" s="217"/>
      <c r="T577" s="217"/>
      <c r="U577" s="217"/>
      <c r="V577" s="217"/>
      <c r="W577" s="217"/>
      <c r="X577" s="217"/>
      <c r="Y577" s="217"/>
      <c r="Z577" s="217"/>
    </row>
    <row r="578" ht="15.75" customHeight="1">
      <c r="A578" s="217"/>
      <c r="B578" s="217"/>
      <c r="C578" s="217"/>
      <c r="D578" s="217"/>
      <c r="E578" s="217"/>
      <c r="F578" s="217"/>
      <c r="G578" s="217"/>
      <c r="H578" s="217"/>
      <c r="I578" s="217"/>
      <c r="J578" s="217"/>
      <c r="K578" s="217"/>
      <c r="L578" s="217"/>
      <c r="M578" s="217"/>
      <c r="N578" s="217"/>
      <c r="O578" s="217"/>
      <c r="P578" s="217"/>
      <c r="Q578" s="217"/>
      <c r="R578" s="217"/>
      <c r="S578" s="217"/>
      <c r="T578" s="217"/>
      <c r="U578" s="217"/>
      <c r="V578" s="217"/>
      <c r="W578" s="217"/>
      <c r="X578" s="217"/>
      <c r="Y578" s="217"/>
      <c r="Z578" s="217"/>
    </row>
    <row r="579" ht="15.75" customHeight="1">
      <c r="A579" s="217"/>
      <c r="B579" s="217"/>
      <c r="C579" s="217"/>
      <c r="D579" s="217"/>
      <c r="E579" s="217"/>
      <c r="F579" s="217"/>
      <c r="G579" s="217"/>
      <c r="H579" s="217"/>
      <c r="I579" s="217"/>
      <c r="J579" s="217"/>
      <c r="K579" s="217"/>
      <c r="L579" s="217"/>
      <c r="M579" s="217"/>
      <c r="N579" s="217"/>
      <c r="O579" s="217"/>
      <c r="P579" s="217"/>
      <c r="Q579" s="217"/>
      <c r="R579" s="217"/>
      <c r="S579" s="217"/>
      <c r="T579" s="217"/>
      <c r="U579" s="217"/>
      <c r="V579" s="217"/>
      <c r="W579" s="217"/>
      <c r="X579" s="217"/>
      <c r="Y579" s="217"/>
      <c r="Z579" s="217"/>
    </row>
    <row r="580" ht="15.75" customHeight="1">
      <c r="A580" s="217"/>
      <c r="B580" s="217"/>
      <c r="C580" s="217"/>
      <c r="D580" s="217"/>
      <c r="E580" s="217"/>
      <c r="F580" s="217"/>
      <c r="G580" s="217"/>
      <c r="H580" s="217"/>
      <c r="I580" s="217"/>
      <c r="J580" s="217"/>
      <c r="K580" s="217"/>
      <c r="L580" s="217"/>
      <c r="M580" s="217"/>
      <c r="N580" s="217"/>
      <c r="O580" s="217"/>
      <c r="P580" s="217"/>
      <c r="Q580" s="217"/>
      <c r="R580" s="217"/>
      <c r="S580" s="217"/>
      <c r="T580" s="217"/>
      <c r="U580" s="217"/>
      <c r="V580" s="217"/>
      <c r="W580" s="217"/>
      <c r="X580" s="217"/>
      <c r="Y580" s="217"/>
      <c r="Z580" s="217"/>
    </row>
    <row r="581" ht="15.75" customHeight="1">
      <c r="A581" s="217"/>
      <c r="B581" s="217"/>
      <c r="C581" s="217"/>
      <c r="D581" s="217"/>
      <c r="E581" s="217"/>
      <c r="F581" s="217"/>
      <c r="G581" s="217"/>
      <c r="H581" s="217"/>
      <c r="I581" s="217"/>
      <c r="J581" s="217"/>
      <c r="K581" s="217"/>
      <c r="L581" s="217"/>
      <c r="M581" s="217"/>
      <c r="N581" s="217"/>
      <c r="O581" s="217"/>
      <c r="P581" s="217"/>
      <c r="Q581" s="217"/>
      <c r="R581" s="217"/>
      <c r="S581" s="217"/>
      <c r="T581" s="217"/>
      <c r="U581" s="217"/>
      <c r="V581" s="217"/>
      <c r="W581" s="217"/>
      <c r="X581" s="217"/>
      <c r="Y581" s="217"/>
      <c r="Z581" s="217"/>
    </row>
    <row r="582" ht="15.75" customHeight="1">
      <c r="A582" s="217"/>
      <c r="B582" s="217"/>
      <c r="C582" s="217"/>
      <c r="D582" s="217"/>
      <c r="E582" s="217"/>
      <c r="F582" s="217"/>
      <c r="G582" s="217"/>
      <c r="H582" s="217"/>
      <c r="I582" s="217"/>
      <c r="J582" s="217"/>
      <c r="K582" s="217"/>
      <c r="L582" s="217"/>
      <c r="M582" s="217"/>
      <c r="N582" s="217"/>
      <c r="O582" s="217"/>
      <c r="P582" s="217"/>
      <c r="Q582" s="217"/>
      <c r="R582" s="217"/>
      <c r="S582" s="217"/>
      <c r="T582" s="217"/>
      <c r="U582" s="217"/>
      <c r="V582" s="217"/>
      <c r="W582" s="217"/>
      <c r="X582" s="217"/>
      <c r="Y582" s="217"/>
      <c r="Z582" s="217"/>
    </row>
    <row r="583" ht="15.75" customHeight="1">
      <c r="A583" s="217"/>
      <c r="B583" s="217"/>
      <c r="C583" s="217"/>
      <c r="D583" s="217"/>
      <c r="E583" s="217"/>
      <c r="F583" s="217"/>
      <c r="G583" s="217"/>
      <c r="H583" s="217"/>
      <c r="I583" s="217"/>
      <c r="J583" s="217"/>
      <c r="K583" s="217"/>
      <c r="L583" s="217"/>
      <c r="M583" s="217"/>
      <c r="N583" s="217"/>
      <c r="O583" s="217"/>
      <c r="P583" s="217"/>
      <c r="Q583" s="217"/>
      <c r="R583" s="217"/>
      <c r="S583" s="217"/>
      <c r="T583" s="217"/>
      <c r="U583" s="217"/>
      <c r="V583" s="217"/>
      <c r="W583" s="217"/>
      <c r="X583" s="217"/>
      <c r="Y583" s="217"/>
      <c r="Z583" s="217"/>
    </row>
    <row r="584" ht="15.75" customHeight="1">
      <c r="A584" s="217"/>
      <c r="B584" s="217"/>
      <c r="C584" s="217"/>
      <c r="D584" s="217"/>
      <c r="E584" s="217"/>
      <c r="F584" s="217"/>
      <c r="G584" s="217"/>
      <c r="H584" s="217"/>
      <c r="I584" s="217"/>
      <c r="J584" s="217"/>
      <c r="K584" s="217"/>
      <c r="L584" s="217"/>
      <c r="M584" s="217"/>
      <c r="N584" s="217"/>
      <c r="O584" s="217"/>
      <c r="P584" s="217"/>
      <c r="Q584" s="217"/>
      <c r="R584" s="217"/>
      <c r="S584" s="217"/>
      <c r="T584" s="217"/>
      <c r="U584" s="217"/>
      <c r="V584" s="217"/>
      <c r="W584" s="217"/>
      <c r="X584" s="217"/>
      <c r="Y584" s="217"/>
      <c r="Z584" s="217"/>
    </row>
    <row r="585" ht="15.75" customHeight="1">
      <c r="A585" s="217"/>
      <c r="B585" s="217"/>
      <c r="C585" s="217"/>
      <c r="D585" s="217"/>
      <c r="E585" s="217"/>
      <c r="F585" s="217"/>
      <c r="G585" s="217"/>
      <c r="H585" s="217"/>
      <c r="I585" s="217"/>
      <c r="J585" s="217"/>
      <c r="K585" s="217"/>
      <c r="L585" s="217"/>
      <c r="M585" s="217"/>
      <c r="N585" s="217"/>
      <c r="O585" s="217"/>
      <c r="P585" s="217"/>
      <c r="Q585" s="217"/>
      <c r="R585" s="217"/>
      <c r="S585" s="217"/>
      <c r="T585" s="217"/>
      <c r="U585" s="217"/>
      <c r="V585" s="217"/>
      <c r="W585" s="217"/>
      <c r="X585" s="217"/>
      <c r="Y585" s="217"/>
      <c r="Z585" s="217"/>
    </row>
    <row r="586" ht="15.75" customHeight="1">
      <c r="A586" s="217"/>
      <c r="B586" s="217"/>
      <c r="C586" s="217"/>
      <c r="D586" s="217"/>
      <c r="E586" s="217"/>
      <c r="F586" s="217"/>
      <c r="G586" s="217"/>
      <c r="H586" s="217"/>
      <c r="I586" s="217"/>
      <c r="J586" s="217"/>
      <c r="K586" s="217"/>
      <c r="L586" s="217"/>
      <c r="M586" s="217"/>
      <c r="N586" s="217"/>
      <c r="O586" s="217"/>
      <c r="P586" s="217"/>
      <c r="Q586" s="217"/>
      <c r="R586" s="217"/>
      <c r="S586" s="217"/>
      <c r="T586" s="217"/>
      <c r="U586" s="217"/>
      <c r="V586" s="217"/>
      <c r="W586" s="217"/>
      <c r="X586" s="217"/>
      <c r="Y586" s="217"/>
      <c r="Z586" s="217"/>
    </row>
    <row r="587" ht="15.75" customHeight="1">
      <c r="A587" s="217"/>
      <c r="B587" s="217"/>
      <c r="C587" s="217"/>
      <c r="D587" s="217"/>
      <c r="E587" s="217"/>
      <c r="F587" s="217"/>
      <c r="G587" s="217"/>
      <c r="H587" s="217"/>
      <c r="I587" s="217"/>
      <c r="J587" s="217"/>
      <c r="K587" s="217"/>
      <c r="L587" s="217"/>
      <c r="M587" s="217"/>
      <c r="N587" s="217"/>
      <c r="O587" s="217"/>
      <c r="P587" s="217"/>
      <c r="Q587" s="217"/>
      <c r="R587" s="217"/>
      <c r="S587" s="217"/>
      <c r="T587" s="217"/>
      <c r="U587" s="217"/>
      <c r="V587" s="217"/>
      <c r="W587" s="217"/>
      <c r="X587" s="217"/>
      <c r="Y587" s="217"/>
      <c r="Z587" s="217"/>
    </row>
    <row r="588" ht="15.75" customHeight="1">
      <c r="A588" s="217"/>
      <c r="B588" s="217"/>
      <c r="C588" s="217"/>
      <c r="D588" s="217"/>
      <c r="E588" s="217"/>
      <c r="F588" s="217"/>
      <c r="G588" s="217"/>
      <c r="H588" s="217"/>
      <c r="I588" s="217"/>
      <c r="J588" s="217"/>
      <c r="K588" s="217"/>
      <c r="L588" s="217"/>
      <c r="M588" s="217"/>
      <c r="N588" s="217"/>
      <c r="O588" s="217"/>
      <c r="P588" s="217"/>
      <c r="Q588" s="217"/>
      <c r="R588" s="217"/>
      <c r="S588" s="217"/>
      <c r="T588" s="217"/>
      <c r="U588" s="217"/>
      <c r="V588" s="217"/>
      <c r="W588" s="217"/>
      <c r="X588" s="217"/>
      <c r="Y588" s="217"/>
      <c r="Z588" s="217"/>
    </row>
    <row r="589" ht="15.75" customHeight="1">
      <c r="A589" s="217"/>
      <c r="B589" s="217"/>
      <c r="C589" s="217"/>
      <c r="D589" s="217"/>
      <c r="E589" s="217"/>
      <c r="F589" s="217"/>
      <c r="G589" s="217"/>
      <c r="H589" s="217"/>
      <c r="I589" s="217"/>
      <c r="J589" s="217"/>
      <c r="K589" s="217"/>
      <c r="L589" s="217"/>
      <c r="M589" s="217"/>
      <c r="N589" s="217"/>
      <c r="O589" s="217"/>
      <c r="P589" s="217"/>
      <c r="Q589" s="217"/>
      <c r="R589" s="217"/>
      <c r="S589" s="217"/>
      <c r="T589" s="217"/>
      <c r="U589" s="217"/>
      <c r="V589" s="217"/>
      <c r="W589" s="217"/>
      <c r="X589" s="217"/>
      <c r="Y589" s="217"/>
      <c r="Z589" s="217"/>
    </row>
    <row r="590" ht="15.75" customHeight="1">
      <c r="A590" s="217"/>
      <c r="B590" s="217"/>
      <c r="C590" s="217"/>
      <c r="D590" s="217"/>
      <c r="E590" s="217"/>
      <c r="F590" s="217"/>
      <c r="G590" s="217"/>
      <c r="H590" s="217"/>
      <c r="I590" s="217"/>
      <c r="J590" s="217"/>
      <c r="K590" s="217"/>
      <c r="L590" s="217"/>
      <c r="M590" s="217"/>
      <c r="N590" s="217"/>
      <c r="O590" s="217"/>
      <c r="P590" s="217"/>
      <c r="Q590" s="217"/>
      <c r="R590" s="217"/>
      <c r="S590" s="217"/>
      <c r="T590" s="217"/>
      <c r="U590" s="217"/>
      <c r="V590" s="217"/>
      <c r="W590" s="217"/>
      <c r="X590" s="217"/>
      <c r="Y590" s="217"/>
      <c r="Z590" s="217"/>
    </row>
    <row r="591" ht="15.75" customHeight="1">
      <c r="A591" s="217"/>
      <c r="B591" s="217"/>
      <c r="C591" s="217"/>
      <c r="D591" s="217"/>
      <c r="E591" s="217"/>
      <c r="F591" s="217"/>
      <c r="G591" s="217"/>
      <c r="H591" s="217"/>
      <c r="I591" s="217"/>
      <c r="J591" s="217"/>
      <c r="K591" s="217"/>
      <c r="L591" s="217"/>
      <c r="M591" s="217"/>
      <c r="N591" s="217"/>
      <c r="O591" s="217"/>
      <c r="P591" s="217"/>
      <c r="Q591" s="217"/>
      <c r="R591" s="217"/>
      <c r="S591" s="217"/>
      <c r="T591" s="217"/>
      <c r="U591" s="217"/>
      <c r="V591" s="217"/>
      <c r="W591" s="217"/>
      <c r="X591" s="217"/>
      <c r="Y591" s="217"/>
      <c r="Z591" s="217"/>
    </row>
    <row r="592" ht="15.75" customHeight="1">
      <c r="A592" s="217"/>
      <c r="B592" s="217"/>
      <c r="C592" s="217"/>
      <c r="D592" s="217"/>
      <c r="E592" s="217"/>
      <c r="F592" s="217"/>
      <c r="G592" s="217"/>
      <c r="H592" s="217"/>
      <c r="I592" s="217"/>
      <c r="J592" s="217"/>
      <c r="K592" s="217"/>
      <c r="L592" s="217"/>
      <c r="M592" s="217"/>
      <c r="N592" s="217"/>
      <c r="O592" s="217"/>
      <c r="P592" s="217"/>
      <c r="Q592" s="217"/>
      <c r="R592" s="217"/>
      <c r="S592" s="217"/>
      <c r="T592" s="217"/>
      <c r="U592" s="217"/>
      <c r="V592" s="217"/>
      <c r="W592" s="217"/>
      <c r="X592" s="217"/>
      <c r="Y592" s="217"/>
      <c r="Z592" s="217"/>
    </row>
    <row r="593" ht="15.75" customHeight="1">
      <c r="A593" s="217"/>
      <c r="B593" s="217"/>
      <c r="C593" s="217"/>
      <c r="D593" s="217"/>
      <c r="E593" s="217"/>
      <c r="F593" s="217"/>
      <c r="G593" s="217"/>
      <c r="H593" s="217"/>
      <c r="I593" s="217"/>
      <c r="J593" s="217"/>
      <c r="K593" s="217"/>
      <c r="L593" s="217"/>
      <c r="M593" s="217"/>
      <c r="N593" s="217"/>
      <c r="O593" s="217"/>
      <c r="P593" s="217"/>
      <c r="Q593" s="217"/>
      <c r="R593" s="217"/>
      <c r="S593" s="217"/>
      <c r="T593" s="217"/>
      <c r="U593" s="217"/>
      <c r="V593" s="217"/>
      <c r="W593" s="217"/>
      <c r="X593" s="217"/>
      <c r="Y593" s="217"/>
      <c r="Z593" s="217"/>
    </row>
    <row r="594" ht="15.75" customHeight="1">
      <c r="A594" s="217"/>
      <c r="B594" s="217"/>
      <c r="C594" s="217"/>
      <c r="D594" s="217"/>
      <c r="E594" s="217"/>
      <c r="F594" s="217"/>
      <c r="G594" s="217"/>
      <c r="H594" s="217"/>
      <c r="I594" s="217"/>
      <c r="J594" s="217"/>
      <c r="K594" s="217"/>
      <c r="L594" s="217"/>
      <c r="M594" s="217"/>
      <c r="N594" s="217"/>
      <c r="O594" s="217"/>
      <c r="P594" s="217"/>
      <c r="Q594" s="217"/>
      <c r="R594" s="217"/>
      <c r="S594" s="217"/>
      <c r="T594" s="217"/>
      <c r="U594" s="217"/>
      <c r="V594" s="217"/>
      <c r="W594" s="217"/>
      <c r="X594" s="217"/>
      <c r="Y594" s="217"/>
      <c r="Z594" s="217"/>
    </row>
    <row r="595" ht="15.75" customHeight="1">
      <c r="A595" s="217"/>
      <c r="B595" s="217"/>
      <c r="C595" s="217"/>
      <c r="D595" s="217"/>
      <c r="E595" s="217"/>
      <c r="F595" s="217"/>
      <c r="G595" s="217"/>
      <c r="H595" s="217"/>
      <c r="I595" s="217"/>
      <c r="J595" s="217"/>
      <c r="K595" s="217"/>
      <c r="L595" s="217"/>
      <c r="M595" s="217"/>
      <c r="N595" s="217"/>
      <c r="O595" s="217"/>
      <c r="P595" s="217"/>
      <c r="Q595" s="217"/>
      <c r="R595" s="217"/>
      <c r="S595" s="217"/>
      <c r="T595" s="217"/>
      <c r="U595" s="217"/>
      <c r="V595" s="217"/>
      <c r="W595" s="217"/>
      <c r="X595" s="217"/>
      <c r="Y595" s="217"/>
      <c r="Z595" s="217"/>
    </row>
    <row r="596" ht="15.75" customHeight="1">
      <c r="A596" s="217"/>
      <c r="B596" s="217"/>
      <c r="C596" s="217"/>
      <c r="D596" s="217"/>
      <c r="E596" s="217"/>
      <c r="F596" s="217"/>
      <c r="G596" s="217"/>
      <c r="H596" s="217"/>
      <c r="I596" s="217"/>
      <c r="J596" s="217"/>
      <c r="K596" s="217"/>
      <c r="L596" s="217"/>
      <c r="M596" s="217"/>
      <c r="N596" s="217"/>
      <c r="O596" s="217"/>
      <c r="P596" s="217"/>
      <c r="Q596" s="217"/>
      <c r="R596" s="217"/>
      <c r="S596" s="217"/>
      <c r="T596" s="217"/>
      <c r="U596" s="217"/>
      <c r="V596" s="217"/>
      <c r="W596" s="217"/>
      <c r="X596" s="217"/>
      <c r="Y596" s="217"/>
      <c r="Z596" s="217"/>
    </row>
    <row r="597" ht="15.75" customHeight="1">
      <c r="A597" s="217"/>
      <c r="B597" s="217"/>
      <c r="C597" s="217"/>
      <c r="D597" s="217"/>
      <c r="E597" s="217"/>
      <c r="F597" s="217"/>
      <c r="G597" s="217"/>
      <c r="H597" s="217"/>
      <c r="I597" s="217"/>
      <c r="J597" s="217"/>
      <c r="K597" s="217"/>
      <c r="L597" s="217"/>
      <c r="M597" s="217"/>
      <c r="N597" s="217"/>
      <c r="O597" s="217"/>
      <c r="P597" s="217"/>
      <c r="Q597" s="217"/>
      <c r="R597" s="217"/>
      <c r="S597" s="217"/>
      <c r="T597" s="217"/>
      <c r="U597" s="217"/>
      <c r="V597" s="217"/>
      <c r="W597" s="217"/>
      <c r="X597" s="217"/>
      <c r="Y597" s="217"/>
      <c r="Z597" s="217"/>
    </row>
    <row r="598" ht="15.75" customHeight="1">
      <c r="A598" s="217"/>
      <c r="B598" s="217"/>
      <c r="C598" s="217"/>
      <c r="D598" s="217"/>
      <c r="E598" s="217"/>
      <c r="F598" s="217"/>
      <c r="G598" s="217"/>
      <c r="H598" s="217"/>
      <c r="I598" s="217"/>
      <c r="J598" s="217"/>
      <c r="K598" s="217"/>
      <c r="L598" s="217"/>
      <c r="M598" s="217"/>
      <c r="N598" s="217"/>
      <c r="O598" s="217"/>
      <c r="P598" s="217"/>
      <c r="Q598" s="217"/>
      <c r="R598" s="217"/>
      <c r="S598" s="217"/>
      <c r="T598" s="217"/>
      <c r="U598" s="217"/>
      <c r="V598" s="217"/>
      <c r="W598" s="217"/>
      <c r="X598" s="217"/>
      <c r="Y598" s="217"/>
      <c r="Z598" s="217"/>
    </row>
    <row r="599" ht="15.75" customHeight="1">
      <c r="A599" s="217"/>
      <c r="B599" s="217"/>
      <c r="C599" s="217"/>
      <c r="D599" s="217"/>
      <c r="E599" s="217"/>
      <c r="F599" s="217"/>
      <c r="G599" s="217"/>
      <c r="H599" s="217"/>
      <c r="I599" s="217"/>
      <c r="J599" s="217"/>
      <c r="K599" s="217"/>
      <c r="L599" s="217"/>
      <c r="M599" s="217"/>
      <c r="N599" s="217"/>
      <c r="O599" s="217"/>
      <c r="P599" s="217"/>
      <c r="Q599" s="217"/>
      <c r="R599" s="217"/>
      <c r="S599" s="217"/>
      <c r="T599" s="217"/>
      <c r="U599" s="217"/>
      <c r="V599" s="217"/>
      <c r="W599" s="217"/>
      <c r="X599" s="217"/>
      <c r="Y599" s="217"/>
      <c r="Z599" s="217"/>
    </row>
    <row r="600" ht="15.75" customHeight="1">
      <c r="A600" s="217"/>
      <c r="B600" s="217"/>
      <c r="C600" s="217"/>
      <c r="D600" s="217"/>
      <c r="E600" s="217"/>
      <c r="F600" s="217"/>
      <c r="G600" s="217"/>
      <c r="H600" s="217"/>
      <c r="I600" s="217"/>
      <c r="J600" s="217"/>
      <c r="K600" s="217"/>
      <c r="L600" s="217"/>
      <c r="M600" s="217"/>
      <c r="N600" s="217"/>
      <c r="O600" s="217"/>
      <c r="P600" s="217"/>
      <c r="Q600" s="217"/>
      <c r="R600" s="217"/>
      <c r="S600" s="217"/>
      <c r="T600" s="217"/>
      <c r="U600" s="217"/>
      <c r="V600" s="217"/>
      <c r="W600" s="217"/>
      <c r="X600" s="217"/>
      <c r="Y600" s="217"/>
      <c r="Z600" s="217"/>
    </row>
    <row r="601" ht="15.75" customHeight="1">
      <c r="A601" s="217"/>
      <c r="B601" s="217"/>
      <c r="C601" s="217"/>
      <c r="D601" s="217"/>
      <c r="E601" s="217"/>
      <c r="F601" s="217"/>
      <c r="G601" s="217"/>
      <c r="H601" s="217"/>
      <c r="I601" s="217"/>
      <c r="J601" s="217"/>
      <c r="K601" s="217"/>
      <c r="L601" s="217"/>
      <c r="M601" s="217"/>
      <c r="N601" s="217"/>
      <c r="O601" s="217"/>
      <c r="P601" s="217"/>
      <c r="Q601" s="217"/>
      <c r="R601" s="217"/>
      <c r="S601" s="217"/>
      <c r="T601" s="217"/>
      <c r="U601" s="217"/>
      <c r="V601" s="217"/>
      <c r="W601" s="217"/>
      <c r="X601" s="217"/>
      <c r="Y601" s="217"/>
      <c r="Z601" s="217"/>
    </row>
    <row r="602" ht="15.75" customHeight="1">
      <c r="A602" s="217"/>
      <c r="B602" s="217"/>
      <c r="C602" s="217"/>
      <c r="D602" s="217"/>
      <c r="E602" s="217"/>
      <c r="F602" s="217"/>
      <c r="G602" s="217"/>
      <c r="H602" s="217"/>
      <c r="I602" s="217"/>
      <c r="J602" s="217"/>
      <c r="K602" s="217"/>
      <c r="L602" s="217"/>
      <c r="M602" s="217"/>
      <c r="N602" s="217"/>
      <c r="O602" s="217"/>
      <c r="P602" s="217"/>
      <c r="Q602" s="217"/>
      <c r="R602" s="217"/>
      <c r="S602" s="217"/>
      <c r="T602" s="217"/>
      <c r="U602" s="217"/>
      <c r="V602" s="217"/>
      <c r="W602" s="217"/>
      <c r="X602" s="217"/>
      <c r="Y602" s="217"/>
      <c r="Z602" s="217"/>
    </row>
    <row r="603" ht="15.75" customHeight="1">
      <c r="A603" s="217"/>
      <c r="B603" s="217"/>
      <c r="C603" s="217"/>
      <c r="D603" s="217"/>
      <c r="E603" s="217"/>
      <c r="F603" s="217"/>
      <c r="G603" s="217"/>
      <c r="H603" s="217"/>
      <c r="I603" s="217"/>
      <c r="J603" s="217"/>
      <c r="K603" s="217"/>
      <c r="L603" s="217"/>
      <c r="M603" s="217"/>
      <c r="N603" s="217"/>
      <c r="O603" s="217"/>
      <c r="P603" s="217"/>
      <c r="Q603" s="217"/>
      <c r="R603" s="217"/>
      <c r="S603" s="217"/>
      <c r="T603" s="217"/>
      <c r="U603" s="217"/>
      <c r="V603" s="217"/>
      <c r="W603" s="217"/>
      <c r="X603" s="217"/>
      <c r="Y603" s="217"/>
      <c r="Z603" s="217"/>
    </row>
    <row r="604" ht="15.75" customHeight="1">
      <c r="A604" s="217"/>
      <c r="B604" s="217"/>
      <c r="C604" s="217"/>
      <c r="D604" s="217"/>
      <c r="E604" s="217"/>
      <c r="F604" s="217"/>
      <c r="G604" s="217"/>
      <c r="H604" s="217"/>
      <c r="I604" s="217"/>
      <c r="J604" s="217"/>
      <c r="K604" s="217"/>
      <c r="L604" s="217"/>
      <c r="M604" s="217"/>
      <c r="N604" s="217"/>
      <c r="O604" s="217"/>
      <c r="P604" s="217"/>
      <c r="Q604" s="217"/>
      <c r="R604" s="217"/>
      <c r="S604" s="217"/>
      <c r="T604" s="217"/>
      <c r="U604" s="217"/>
      <c r="V604" s="217"/>
      <c r="W604" s="217"/>
      <c r="X604" s="217"/>
      <c r="Y604" s="217"/>
      <c r="Z604" s="217"/>
    </row>
    <row r="605" ht="15.75" customHeight="1">
      <c r="A605" s="217"/>
      <c r="B605" s="217"/>
      <c r="C605" s="217"/>
      <c r="D605" s="217"/>
      <c r="E605" s="217"/>
      <c r="F605" s="217"/>
      <c r="G605" s="217"/>
      <c r="H605" s="217"/>
      <c r="I605" s="217"/>
      <c r="J605" s="217"/>
      <c r="K605" s="217"/>
      <c r="L605" s="217"/>
      <c r="M605" s="217"/>
      <c r="N605" s="217"/>
      <c r="O605" s="217"/>
      <c r="P605" s="217"/>
      <c r="Q605" s="217"/>
      <c r="R605" s="217"/>
      <c r="S605" s="217"/>
      <c r="T605" s="217"/>
      <c r="U605" s="217"/>
      <c r="V605" s="217"/>
      <c r="W605" s="217"/>
      <c r="X605" s="217"/>
      <c r="Y605" s="217"/>
      <c r="Z605" s="217"/>
    </row>
    <row r="606" ht="15.75" customHeight="1">
      <c r="A606" s="217"/>
      <c r="B606" s="217"/>
      <c r="C606" s="217"/>
      <c r="D606" s="217"/>
      <c r="E606" s="217"/>
      <c r="F606" s="217"/>
      <c r="G606" s="217"/>
      <c r="H606" s="217"/>
      <c r="I606" s="217"/>
      <c r="J606" s="217"/>
      <c r="K606" s="217"/>
      <c r="L606" s="217"/>
      <c r="M606" s="217"/>
      <c r="N606" s="217"/>
      <c r="O606" s="217"/>
      <c r="P606" s="217"/>
      <c r="Q606" s="217"/>
      <c r="R606" s="217"/>
      <c r="S606" s="217"/>
      <c r="T606" s="217"/>
      <c r="U606" s="217"/>
      <c r="V606" s="217"/>
      <c r="W606" s="217"/>
      <c r="X606" s="217"/>
      <c r="Y606" s="217"/>
      <c r="Z606" s="217"/>
    </row>
    <row r="607" ht="15.75" customHeight="1">
      <c r="A607" s="217"/>
      <c r="B607" s="217"/>
      <c r="C607" s="217"/>
      <c r="D607" s="217"/>
      <c r="E607" s="217"/>
      <c r="F607" s="217"/>
      <c r="G607" s="217"/>
      <c r="H607" s="217"/>
      <c r="I607" s="217"/>
      <c r="J607" s="217"/>
      <c r="K607" s="217"/>
      <c r="L607" s="217"/>
      <c r="M607" s="217"/>
      <c r="N607" s="217"/>
      <c r="O607" s="217"/>
      <c r="P607" s="217"/>
      <c r="Q607" s="217"/>
      <c r="R607" s="217"/>
      <c r="S607" s="217"/>
      <c r="T607" s="217"/>
      <c r="U607" s="217"/>
      <c r="V607" s="217"/>
      <c r="W607" s="217"/>
      <c r="X607" s="217"/>
      <c r="Y607" s="217"/>
      <c r="Z607" s="217"/>
    </row>
    <row r="608" ht="15.75" customHeight="1">
      <c r="A608" s="217"/>
      <c r="B608" s="217"/>
      <c r="C608" s="217"/>
      <c r="D608" s="217"/>
      <c r="E608" s="217"/>
      <c r="F608" s="217"/>
      <c r="G608" s="217"/>
      <c r="H608" s="217"/>
      <c r="I608" s="217"/>
      <c r="J608" s="217"/>
      <c r="K608" s="217"/>
      <c r="L608" s="217"/>
      <c r="M608" s="217"/>
      <c r="N608" s="217"/>
      <c r="O608" s="217"/>
      <c r="P608" s="217"/>
      <c r="Q608" s="217"/>
      <c r="R608" s="217"/>
      <c r="S608" s="217"/>
      <c r="T608" s="217"/>
      <c r="U608" s="217"/>
      <c r="V608" s="217"/>
      <c r="W608" s="217"/>
      <c r="X608" s="217"/>
      <c r="Y608" s="217"/>
      <c r="Z608" s="217"/>
    </row>
    <row r="609" ht="15.75" customHeight="1">
      <c r="A609" s="217"/>
      <c r="B609" s="217"/>
      <c r="C609" s="217"/>
      <c r="D609" s="217"/>
      <c r="E609" s="217"/>
      <c r="F609" s="217"/>
      <c r="G609" s="217"/>
      <c r="H609" s="217"/>
      <c r="I609" s="217"/>
      <c r="J609" s="217"/>
      <c r="K609" s="217"/>
      <c r="L609" s="217"/>
      <c r="M609" s="217"/>
      <c r="N609" s="217"/>
      <c r="O609" s="217"/>
      <c r="P609" s="217"/>
      <c r="Q609" s="217"/>
      <c r="R609" s="217"/>
      <c r="S609" s="217"/>
      <c r="T609" s="217"/>
      <c r="U609" s="217"/>
      <c r="V609" s="217"/>
      <c r="W609" s="217"/>
      <c r="X609" s="217"/>
      <c r="Y609" s="217"/>
      <c r="Z609" s="217"/>
    </row>
    <row r="610" ht="15.75" customHeight="1">
      <c r="A610" s="217"/>
      <c r="B610" s="217"/>
      <c r="C610" s="217"/>
      <c r="D610" s="217"/>
      <c r="E610" s="217"/>
      <c r="F610" s="217"/>
      <c r="G610" s="217"/>
      <c r="H610" s="217"/>
      <c r="I610" s="217"/>
      <c r="J610" s="217"/>
      <c r="K610" s="217"/>
      <c r="L610" s="217"/>
      <c r="M610" s="217"/>
      <c r="N610" s="217"/>
      <c r="O610" s="217"/>
      <c r="P610" s="217"/>
      <c r="Q610" s="217"/>
      <c r="R610" s="217"/>
      <c r="S610" s="217"/>
      <c r="T610" s="217"/>
      <c r="U610" s="217"/>
      <c r="V610" s="217"/>
      <c r="W610" s="217"/>
      <c r="X610" s="217"/>
      <c r="Y610" s="217"/>
      <c r="Z610" s="217"/>
    </row>
    <row r="611" ht="15.75" customHeight="1">
      <c r="A611" s="217"/>
      <c r="B611" s="217"/>
      <c r="C611" s="217"/>
      <c r="D611" s="217"/>
      <c r="E611" s="217"/>
      <c r="F611" s="217"/>
      <c r="G611" s="217"/>
      <c r="H611" s="217"/>
      <c r="I611" s="217"/>
      <c r="J611" s="217"/>
      <c r="K611" s="217"/>
      <c r="L611" s="217"/>
      <c r="M611" s="217"/>
      <c r="N611" s="217"/>
      <c r="O611" s="217"/>
      <c r="P611" s="217"/>
      <c r="Q611" s="217"/>
      <c r="R611" s="217"/>
      <c r="S611" s="217"/>
      <c r="T611" s="217"/>
      <c r="U611" s="217"/>
      <c r="V611" s="217"/>
      <c r="W611" s="217"/>
      <c r="X611" s="217"/>
      <c r="Y611" s="217"/>
      <c r="Z611" s="217"/>
    </row>
    <row r="612" ht="15.75" customHeight="1">
      <c r="A612" s="217"/>
      <c r="B612" s="217"/>
      <c r="C612" s="217"/>
      <c r="D612" s="217"/>
      <c r="E612" s="217"/>
      <c r="F612" s="217"/>
      <c r="G612" s="217"/>
      <c r="H612" s="217"/>
      <c r="I612" s="217"/>
      <c r="J612" s="217"/>
      <c r="K612" s="217"/>
      <c r="L612" s="217"/>
      <c r="M612" s="217"/>
      <c r="N612" s="217"/>
      <c r="O612" s="217"/>
      <c r="P612" s="217"/>
      <c r="Q612" s="217"/>
      <c r="R612" s="217"/>
      <c r="S612" s="217"/>
      <c r="T612" s="217"/>
      <c r="U612" s="217"/>
      <c r="V612" s="217"/>
      <c r="W612" s="217"/>
      <c r="X612" s="217"/>
      <c r="Y612" s="217"/>
      <c r="Z612" s="217"/>
    </row>
    <row r="613" ht="15.75" customHeight="1">
      <c r="A613" s="217"/>
      <c r="B613" s="217"/>
      <c r="C613" s="217"/>
      <c r="D613" s="217"/>
      <c r="E613" s="217"/>
      <c r="F613" s="217"/>
      <c r="G613" s="217"/>
      <c r="H613" s="217"/>
      <c r="I613" s="217"/>
      <c r="J613" s="217"/>
      <c r="K613" s="217"/>
      <c r="L613" s="217"/>
      <c r="M613" s="217"/>
      <c r="N613" s="217"/>
      <c r="O613" s="217"/>
      <c r="P613" s="217"/>
      <c r="Q613" s="217"/>
      <c r="R613" s="217"/>
      <c r="S613" s="217"/>
      <c r="T613" s="217"/>
      <c r="U613" s="217"/>
      <c r="V613" s="217"/>
      <c r="W613" s="217"/>
      <c r="X613" s="217"/>
      <c r="Y613" s="217"/>
      <c r="Z613" s="217"/>
    </row>
    <row r="614" ht="15.75" customHeight="1">
      <c r="A614" s="217"/>
      <c r="B614" s="217"/>
      <c r="C614" s="217"/>
      <c r="D614" s="217"/>
      <c r="E614" s="217"/>
      <c r="F614" s="217"/>
      <c r="G614" s="217"/>
      <c r="H614" s="217"/>
      <c r="I614" s="217"/>
      <c r="J614" s="217"/>
      <c r="K614" s="217"/>
      <c r="L614" s="217"/>
      <c r="M614" s="217"/>
      <c r="N614" s="217"/>
      <c r="O614" s="217"/>
      <c r="P614" s="217"/>
      <c r="Q614" s="217"/>
      <c r="R614" s="217"/>
      <c r="S614" s="217"/>
      <c r="T614" s="217"/>
      <c r="U614" s="217"/>
      <c r="V614" s="217"/>
      <c r="W614" s="217"/>
      <c r="X614" s="217"/>
      <c r="Y614" s="217"/>
      <c r="Z614" s="217"/>
    </row>
    <row r="615" ht="15.75" customHeight="1">
      <c r="A615" s="217"/>
      <c r="B615" s="217"/>
      <c r="C615" s="217"/>
      <c r="D615" s="217"/>
      <c r="E615" s="217"/>
      <c r="F615" s="217"/>
      <c r="G615" s="217"/>
      <c r="H615" s="217"/>
      <c r="I615" s="217"/>
      <c r="J615" s="217"/>
      <c r="K615" s="217"/>
      <c r="L615" s="217"/>
      <c r="M615" s="217"/>
      <c r="N615" s="217"/>
      <c r="O615" s="217"/>
      <c r="P615" s="217"/>
      <c r="Q615" s="217"/>
      <c r="R615" s="217"/>
      <c r="S615" s="217"/>
      <c r="T615" s="217"/>
      <c r="U615" s="217"/>
      <c r="V615" s="217"/>
      <c r="W615" s="217"/>
      <c r="X615" s="217"/>
      <c r="Y615" s="217"/>
      <c r="Z615" s="217"/>
    </row>
    <row r="616" ht="15.75" customHeight="1">
      <c r="A616" s="217"/>
      <c r="B616" s="217"/>
      <c r="C616" s="217"/>
      <c r="D616" s="217"/>
      <c r="E616" s="217"/>
      <c r="F616" s="217"/>
      <c r="G616" s="217"/>
      <c r="H616" s="217"/>
      <c r="I616" s="217"/>
      <c r="J616" s="217"/>
      <c r="K616" s="217"/>
      <c r="L616" s="217"/>
      <c r="M616" s="217"/>
      <c r="N616" s="217"/>
      <c r="O616" s="217"/>
      <c r="P616" s="217"/>
      <c r="Q616" s="217"/>
      <c r="R616" s="217"/>
      <c r="S616" s="217"/>
      <c r="T616" s="217"/>
      <c r="U616" s="217"/>
      <c r="V616" s="217"/>
      <c r="W616" s="217"/>
      <c r="X616" s="217"/>
      <c r="Y616" s="217"/>
      <c r="Z616" s="217"/>
    </row>
    <row r="617" ht="15.75" customHeight="1">
      <c r="A617" s="217"/>
      <c r="B617" s="217"/>
      <c r="C617" s="217"/>
      <c r="D617" s="217"/>
      <c r="E617" s="217"/>
      <c r="F617" s="217"/>
      <c r="G617" s="217"/>
      <c r="H617" s="217"/>
      <c r="I617" s="217"/>
      <c r="J617" s="217"/>
      <c r="K617" s="217"/>
      <c r="L617" s="217"/>
      <c r="M617" s="217"/>
      <c r="N617" s="217"/>
      <c r="O617" s="217"/>
      <c r="P617" s="217"/>
      <c r="Q617" s="217"/>
      <c r="R617" s="217"/>
      <c r="S617" s="217"/>
      <c r="T617" s="217"/>
      <c r="U617" s="217"/>
      <c r="V617" s="217"/>
      <c r="W617" s="217"/>
      <c r="X617" s="217"/>
      <c r="Y617" s="217"/>
      <c r="Z617" s="217"/>
    </row>
    <row r="618" ht="15.75" customHeight="1">
      <c r="A618" s="217"/>
      <c r="B618" s="217"/>
      <c r="C618" s="217"/>
      <c r="D618" s="217"/>
      <c r="E618" s="217"/>
      <c r="F618" s="217"/>
      <c r="G618" s="217"/>
      <c r="H618" s="217"/>
      <c r="I618" s="217"/>
      <c r="J618" s="217"/>
      <c r="K618" s="217"/>
      <c r="L618" s="217"/>
      <c r="M618" s="217"/>
      <c r="N618" s="217"/>
      <c r="O618" s="217"/>
      <c r="P618" s="217"/>
      <c r="Q618" s="217"/>
      <c r="R618" s="217"/>
      <c r="S618" s="217"/>
      <c r="T618" s="217"/>
      <c r="U618" s="217"/>
      <c r="V618" s="217"/>
      <c r="W618" s="217"/>
      <c r="X618" s="217"/>
      <c r="Y618" s="217"/>
      <c r="Z618" s="217"/>
    </row>
    <row r="619" ht="15.75" customHeight="1">
      <c r="A619" s="217"/>
      <c r="B619" s="217"/>
      <c r="C619" s="217"/>
      <c r="D619" s="217"/>
      <c r="E619" s="217"/>
      <c r="F619" s="217"/>
      <c r="G619" s="217"/>
      <c r="H619" s="217"/>
      <c r="I619" s="217"/>
      <c r="J619" s="217"/>
      <c r="K619" s="217"/>
      <c r="L619" s="217"/>
      <c r="M619" s="217"/>
      <c r="N619" s="217"/>
      <c r="O619" s="217"/>
      <c r="P619" s="217"/>
      <c r="Q619" s="217"/>
      <c r="R619" s="217"/>
      <c r="S619" s="217"/>
      <c r="T619" s="217"/>
      <c r="U619" s="217"/>
      <c r="V619" s="217"/>
      <c r="W619" s="217"/>
      <c r="X619" s="217"/>
      <c r="Y619" s="217"/>
      <c r="Z619" s="217"/>
    </row>
    <row r="620" ht="15.75" customHeight="1">
      <c r="A620" s="217"/>
      <c r="B620" s="217"/>
      <c r="C620" s="217"/>
      <c r="D620" s="217"/>
      <c r="E620" s="217"/>
      <c r="F620" s="217"/>
      <c r="G620" s="217"/>
      <c r="H620" s="217"/>
      <c r="I620" s="217"/>
      <c r="J620" s="217"/>
      <c r="K620" s="217"/>
      <c r="L620" s="217"/>
      <c r="M620" s="217"/>
      <c r="N620" s="217"/>
      <c r="O620" s="217"/>
      <c r="P620" s="217"/>
      <c r="Q620" s="217"/>
      <c r="R620" s="217"/>
      <c r="S620" s="217"/>
      <c r="T620" s="217"/>
      <c r="U620" s="217"/>
      <c r="V620" s="217"/>
      <c r="W620" s="217"/>
      <c r="X620" s="217"/>
      <c r="Y620" s="217"/>
      <c r="Z620" s="217"/>
    </row>
    <row r="621" ht="15.75" customHeight="1">
      <c r="A621" s="217"/>
      <c r="B621" s="217"/>
      <c r="C621" s="217"/>
      <c r="D621" s="217"/>
      <c r="E621" s="217"/>
      <c r="F621" s="217"/>
      <c r="G621" s="217"/>
      <c r="H621" s="217"/>
      <c r="I621" s="217"/>
      <c r="J621" s="217"/>
      <c r="K621" s="217"/>
      <c r="L621" s="217"/>
      <c r="M621" s="217"/>
      <c r="N621" s="217"/>
      <c r="O621" s="217"/>
      <c r="P621" s="217"/>
      <c r="Q621" s="217"/>
      <c r="R621" s="217"/>
      <c r="S621" s="217"/>
      <c r="T621" s="217"/>
      <c r="U621" s="217"/>
      <c r="V621" s="217"/>
      <c r="W621" s="217"/>
      <c r="X621" s="217"/>
      <c r="Y621" s="217"/>
      <c r="Z621" s="217"/>
    </row>
    <row r="622" ht="15.75" customHeight="1">
      <c r="A622" s="217"/>
      <c r="B622" s="217"/>
      <c r="C622" s="217"/>
      <c r="D622" s="217"/>
      <c r="E622" s="217"/>
      <c r="F622" s="217"/>
      <c r="G622" s="217"/>
      <c r="H622" s="217"/>
      <c r="I622" s="217"/>
      <c r="J622" s="217"/>
      <c r="K622" s="217"/>
      <c r="L622" s="217"/>
      <c r="M622" s="217"/>
      <c r="N622" s="217"/>
      <c r="O622" s="217"/>
      <c r="P622" s="217"/>
      <c r="Q622" s="217"/>
      <c r="R622" s="217"/>
      <c r="S622" s="217"/>
      <c r="T622" s="217"/>
      <c r="U622" s="217"/>
      <c r="V622" s="217"/>
      <c r="W622" s="217"/>
      <c r="X622" s="217"/>
      <c r="Y622" s="217"/>
      <c r="Z622" s="217"/>
    </row>
    <row r="623" ht="15.75" customHeight="1">
      <c r="A623" s="217"/>
      <c r="B623" s="217"/>
      <c r="C623" s="217"/>
      <c r="D623" s="217"/>
      <c r="E623" s="217"/>
      <c r="F623" s="217"/>
      <c r="G623" s="217"/>
      <c r="H623" s="217"/>
      <c r="I623" s="217"/>
      <c r="J623" s="217"/>
      <c r="K623" s="217"/>
      <c r="L623" s="217"/>
      <c r="M623" s="217"/>
      <c r="N623" s="217"/>
      <c r="O623" s="217"/>
      <c r="P623" s="217"/>
      <c r="Q623" s="217"/>
      <c r="R623" s="217"/>
      <c r="S623" s="217"/>
      <c r="T623" s="217"/>
      <c r="U623" s="217"/>
      <c r="V623" s="217"/>
      <c r="W623" s="217"/>
      <c r="X623" s="217"/>
      <c r="Y623" s="217"/>
      <c r="Z623" s="217"/>
    </row>
    <row r="624" ht="15.75" customHeight="1">
      <c r="A624" s="217"/>
      <c r="B624" s="217"/>
      <c r="C624" s="217"/>
      <c r="D624" s="217"/>
      <c r="E624" s="217"/>
      <c r="F624" s="217"/>
      <c r="G624" s="217"/>
      <c r="H624" s="217"/>
      <c r="I624" s="217"/>
      <c r="J624" s="217"/>
      <c r="K624" s="217"/>
      <c r="L624" s="217"/>
      <c r="M624" s="217"/>
      <c r="N624" s="217"/>
      <c r="O624" s="217"/>
      <c r="P624" s="217"/>
      <c r="Q624" s="217"/>
      <c r="R624" s="217"/>
      <c r="S624" s="217"/>
      <c r="T624" s="217"/>
      <c r="U624" s="217"/>
      <c r="V624" s="217"/>
      <c r="W624" s="217"/>
      <c r="X624" s="217"/>
      <c r="Y624" s="217"/>
      <c r="Z624" s="217"/>
    </row>
    <row r="625" ht="15.75" customHeight="1">
      <c r="A625" s="217"/>
      <c r="B625" s="217"/>
      <c r="C625" s="217"/>
      <c r="D625" s="217"/>
      <c r="E625" s="217"/>
      <c r="F625" s="217"/>
      <c r="G625" s="217"/>
      <c r="H625" s="217"/>
      <c r="I625" s="217"/>
      <c r="J625" s="217"/>
      <c r="K625" s="217"/>
      <c r="L625" s="217"/>
      <c r="M625" s="217"/>
      <c r="N625" s="217"/>
      <c r="O625" s="217"/>
      <c r="P625" s="217"/>
      <c r="Q625" s="217"/>
      <c r="R625" s="217"/>
      <c r="S625" s="217"/>
      <c r="T625" s="217"/>
      <c r="U625" s="217"/>
      <c r="V625" s="217"/>
      <c r="W625" s="217"/>
      <c r="X625" s="217"/>
      <c r="Y625" s="217"/>
      <c r="Z625" s="217"/>
    </row>
    <row r="626" ht="15.75" customHeight="1">
      <c r="A626" s="217"/>
      <c r="B626" s="217"/>
      <c r="C626" s="217"/>
      <c r="D626" s="217"/>
      <c r="E626" s="217"/>
      <c r="F626" s="217"/>
      <c r="G626" s="217"/>
      <c r="H626" s="217"/>
      <c r="I626" s="217"/>
      <c r="J626" s="217"/>
      <c r="K626" s="217"/>
      <c r="L626" s="217"/>
      <c r="M626" s="217"/>
      <c r="N626" s="217"/>
      <c r="O626" s="217"/>
      <c r="P626" s="217"/>
      <c r="Q626" s="217"/>
      <c r="R626" s="217"/>
      <c r="S626" s="217"/>
      <c r="T626" s="217"/>
      <c r="U626" s="217"/>
      <c r="V626" s="217"/>
      <c r="W626" s="217"/>
      <c r="X626" s="217"/>
      <c r="Y626" s="217"/>
      <c r="Z626" s="217"/>
    </row>
    <row r="627" ht="15.75" customHeight="1">
      <c r="A627" s="217"/>
      <c r="B627" s="217"/>
      <c r="C627" s="217"/>
      <c r="D627" s="217"/>
      <c r="E627" s="217"/>
      <c r="F627" s="217"/>
      <c r="G627" s="217"/>
      <c r="H627" s="217"/>
      <c r="I627" s="217"/>
      <c r="J627" s="217"/>
      <c r="K627" s="217"/>
      <c r="L627" s="217"/>
      <c r="M627" s="217"/>
      <c r="N627" s="217"/>
      <c r="O627" s="217"/>
      <c r="P627" s="217"/>
      <c r="Q627" s="217"/>
      <c r="R627" s="217"/>
      <c r="S627" s="217"/>
      <c r="T627" s="217"/>
      <c r="U627" s="217"/>
      <c r="V627" s="217"/>
      <c r="W627" s="217"/>
      <c r="X627" s="217"/>
      <c r="Y627" s="217"/>
      <c r="Z627" s="217"/>
    </row>
    <row r="628" ht="15.75" customHeight="1">
      <c r="A628" s="217"/>
      <c r="B628" s="217"/>
      <c r="C628" s="217"/>
      <c r="D628" s="217"/>
      <c r="E628" s="217"/>
      <c r="F628" s="217"/>
      <c r="G628" s="217"/>
      <c r="H628" s="217"/>
      <c r="I628" s="217"/>
      <c r="J628" s="217"/>
      <c r="K628" s="217"/>
      <c r="L628" s="217"/>
      <c r="M628" s="217"/>
      <c r="N628" s="217"/>
      <c r="O628" s="217"/>
      <c r="P628" s="217"/>
      <c r="Q628" s="217"/>
      <c r="R628" s="217"/>
      <c r="S628" s="217"/>
      <c r="T628" s="217"/>
      <c r="U628" s="217"/>
      <c r="V628" s="217"/>
      <c r="W628" s="217"/>
      <c r="X628" s="217"/>
      <c r="Y628" s="217"/>
      <c r="Z628" s="217"/>
    </row>
    <row r="629" ht="15.75" customHeight="1">
      <c r="A629" s="217"/>
      <c r="B629" s="217"/>
      <c r="C629" s="217"/>
      <c r="D629" s="217"/>
      <c r="E629" s="217"/>
      <c r="F629" s="217"/>
      <c r="G629" s="217"/>
      <c r="H629" s="217"/>
      <c r="I629" s="217"/>
      <c r="J629" s="217"/>
      <c r="K629" s="217"/>
      <c r="L629" s="217"/>
      <c r="M629" s="217"/>
      <c r="N629" s="217"/>
      <c r="O629" s="217"/>
      <c r="P629" s="217"/>
      <c r="Q629" s="217"/>
      <c r="R629" s="217"/>
      <c r="S629" s="217"/>
      <c r="T629" s="217"/>
      <c r="U629" s="217"/>
      <c r="V629" s="217"/>
      <c r="W629" s="217"/>
      <c r="X629" s="217"/>
      <c r="Y629" s="217"/>
      <c r="Z629" s="217"/>
    </row>
    <row r="630" ht="15.75" customHeight="1">
      <c r="A630" s="217"/>
      <c r="B630" s="217"/>
      <c r="C630" s="217"/>
      <c r="D630" s="217"/>
      <c r="E630" s="217"/>
      <c r="F630" s="217"/>
      <c r="G630" s="217"/>
      <c r="H630" s="217"/>
      <c r="I630" s="217"/>
      <c r="J630" s="217"/>
      <c r="K630" s="217"/>
      <c r="L630" s="217"/>
      <c r="M630" s="217"/>
      <c r="N630" s="217"/>
      <c r="O630" s="217"/>
      <c r="P630" s="217"/>
      <c r="Q630" s="217"/>
      <c r="R630" s="217"/>
      <c r="S630" s="217"/>
      <c r="T630" s="217"/>
      <c r="U630" s="217"/>
      <c r="V630" s="217"/>
      <c r="W630" s="217"/>
      <c r="X630" s="217"/>
      <c r="Y630" s="217"/>
      <c r="Z630" s="217"/>
    </row>
    <row r="631" ht="15.75" customHeight="1">
      <c r="A631" s="217"/>
      <c r="B631" s="217"/>
      <c r="C631" s="217"/>
      <c r="D631" s="217"/>
      <c r="E631" s="217"/>
      <c r="F631" s="217"/>
      <c r="G631" s="217"/>
      <c r="H631" s="217"/>
      <c r="I631" s="217"/>
      <c r="J631" s="217"/>
      <c r="K631" s="217"/>
      <c r="L631" s="217"/>
      <c r="M631" s="217"/>
      <c r="N631" s="217"/>
      <c r="O631" s="217"/>
      <c r="P631" s="217"/>
      <c r="Q631" s="217"/>
      <c r="R631" s="217"/>
      <c r="S631" s="217"/>
      <c r="T631" s="217"/>
      <c r="U631" s="217"/>
      <c r="V631" s="217"/>
      <c r="W631" s="217"/>
      <c r="X631" s="217"/>
      <c r="Y631" s="217"/>
      <c r="Z631" s="217"/>
    </row>
    <row r="632" ht="15.75" customHeight="1">
      <c r="A632" s="217"/>
      <c r="B632" s="217"/>
      <c r="C632" s="217"/>
      <c r="D632" s="217"/>
      <c r="E632" s="217"/>
      <c r="F632" s="217"/>
      <c r="G632" s="217"/>
      <c r="H632" s="217"/>
      <c r="I632" s="217"/>
      <c r="J632" s="217"/>
      <c r="K632" s="217"/>
      <c r="L632" s="217"/>
      <c r="M632" s="217"/>
      <c r="N632" s="217"/>
      <c r="O632" s="217"/>
      <c r="P632" s="217"/>
      <c r="Q632" s="217"/>
      <c r="R632" s="217"/>
      <c r="S632" s="217"/>
      <c r="T632" s="217"/>
      <c r="U632" s="217"/>
      <c r="V632" s="217"/>
      <c r="W632" s="217"/>
      <c r="X632" s="217"/>
      <c r="Y632" s="217"/>
      <c r="Z632" s="217"/>
    </row>
    <row r="633" ht="15.75" customHeight="1">
      <c r="A633" s="217"/>
      <c r="B633" s="217"/>
      <c r="C633" s="217"/>
      <c r="D633" s="217"/>
      <c r="E633" s="217"/>
      <c r="F633" s="217"/>
      <c r="G633" s="217"/>
      <c r="H633" s="217"/>
      <c r="I633" s="217"/>
      <c r="J633" s="217"/>
      <c r="K633" s="217"/>
      <c r="L633" s="217"/>
      <c r="M633" s="217"/>
      <c r="N633" s="217"/>
      <c r="O633" s="217"/>
      <c r="P633" s="217"/>
      <c r="Q633" s="217"/>
      <c r="R633" s="217"/>
      <c r="S633" s="217"/>
      <c r="T633" s="217"/>
      <c r="U633" s="217"/>
      <c r="V633" s="217"/>
      <c r="W633" s="217"/>
      <c r="X633" s="217"/>
      <c r="Y633" s="217"/>
      <c r="Z633" s="217"/>
    </row>
    <row r="634" ht="15.75" customHeight="1">
      <c r="A634" s="217"/>
      <c r="B634" s="217"/>
      <c r="C634" s="217"/>
      <c r="D634" s="217"/>
      <c r="E634" s="217"/>
      <c r="F634" s="217"/>
      <c r="G634" s="217"/>
      <c r="H634" s="217"/>
      <c r="I634" s="217"/>
      <c r="J634" s="217"/>
      <c r="K634" s="217"/>
      <c r="L634" s="217"/>
      <c r="M634" s="217"/>
      <c r="N634" s="217"/>
      <c r="O634" s="217"/>
      <c r="P634" s="217"/>
      <c r="Q634" s="217"/>
      <c r="R634" s="217"/>
      <c r="S634" s="217"/>
      <c r="T634" s="217"/>
      <c r="U634" s="217"/>
      <c r="V634" s="217"/>
      <c r="W634" s="217"/>
      <c r="X634" s="217"/>
      <c r="Y634" s="217"/>
      <c r="Z634" s="217"/>
    </row>
    <row r="635" ht="15.75" customHeight="1">
      <c r="A635" s="217"/>
      <c r="B635" s="217"/>
      <c r="C635" s="217"/>
      <c r="D635" s="217"/>
      <c r="E635" s="217"/>
      <c r="F635" s="217"/>
      <c r="G635" s="217"/>
      <c r="H635" s="217"/>
      <c r="I635" s="217"/>
      <c r="J635" s="217"/>
      <c r="K635" s="217"/>
      <c r="L635" s="217"/>
      <c r="M635" s="217"/>
      <c r="N635" s="217"/>
      <c r="O635" s="217"/>
      <c r="P635" s="217"/>
      <c r="Q635" s="217"/>
      <c r="R635" s="217"/>
      <c r="S635" s="217"/>
      <c r="T635" s="217"/>
      <c r="U635" s="217"/>
      <c r="V635" s="217"/>
      <c r="W635" s="217"/>
      <c r="X635" s="217"/>
      <c r="Y635" s="217"/>
      <c r="Z635" s="217"/>
    </row>
    <row r="636" ht="15.75" customHeight="1">
      <c r="A636" s="217"/>
      <c r="B636" s="217"/>
      <c r="C636" s="217"/>
      <c r="D636" s="217"/>
      <c r="E636" s="217"/>
      <c r="F636" s="217"/>
      <c r="G636" s="217"/>
      <c r="H636" s="217"/>
      <c r="I636" s="217"/>
      <c r="J636" s="217"/>
      <c r="K636" s="217"/>
      <c r="L636" s="217"/>
      <c r="M636" s="217"/>
      <c r="N636" s="217"/>
      <c r="O636" s="217"/>
      <c r="P636" s="217"/>
      <c r="Q636" s="217"/>
      <c r="R636" s="217"/>
      <c r="S636" s="217"/>
      <c r="T636" s="217"/>
      <c r="U636" s="217"/>
      <c r="V636" s="217"/>
      <c r="W636" s="217"/>
      <c r="X636" s="217"/>
      <c r="Y636" s="217"/>
      <c r="Z636" s="217"/>
    </row>
    <row r="637" ht="15.75" customHeight="1">
      <c r="A637" s="217"/>
      <c r="B637" s="217"/>
      <c r="C637" s="217"/>
      <c r="D637" s="217"/>
      <c r="E637" s="217"/>
      <c r="F637" s="217"/>
      <c r="G637" s="217"/>
      <c r="H637" s="217"/>
      <c r="I637" s="217"/>
      <c r="J637" s="217"/>
      <c r="K637" s="217"/>
      <c r="L637" s="217"/>
      <c r="M637" s="217"/>
      <c r="N637" s="217"/>
      <c r="O637" s="217"/>
      <c r="P637" s="217"/>
      <c r="Q637" s="217"/>
      <c r="R637" s="217"/>
      <c r="S637" s="217"/>
      <c r="T637" s="217"/>
      <c r="U637" s="217"/>
      <c r="V637" s="217"/>
      <c r="W637" s="217"/>
      <c r="X637" s="217"/>
      <c r="Y637" s="217"/>
      <c r="Z637" s="217"/>
    </row>
    <row r="638" ht="15.75" customHeight="1">
      <c r="A638" s="217"/>
      <c r="B638" s="217"/>
      <c r="C638" s="217"/>
      <c r="D638" s="217"/>
      <c r="E638" s="217"/>
      <c r="F638" s="217"/>
      <c r="G638" s="217"/>
      <c r="H638" s="217"/>
      <c r="I638" s="217"/>
      <c r="J638" s="217"/>
      <c r="K638" s="217"/>
      <c r="L638" s="217"/>
      <c r="M638" s="217"/>
      <c r="N638" s="217"/>
      <c r="O638" s="217"/>
      <c r="P638" s="217"/>
      <c r="Q638" s="217"/>
      <c r="R638" s="217"/>
      <c r="S638" s="217"/>
      <c r="T638" s="217"/>
      <c r="U638" s="217"/>
      <c r="V638" s="217"/>
      <c r="W638" s="217"/>
      <c r="X638" s="217"/>
      <c r="Y638" s="217"/>
      <c r="Z638" s="217"/>
    </row>
    <row r="639" ht="15.75" customHeight="1">
      <c r="A639" s="217"/>
      <c r="B639" s="217"/>
      <c r="C639" s="217"/>
      <c r="D639" s="217"/>
      <c r="E639" s="217"/>
      <c r="F639" s="217"/>
      <c r="G639" s="217"/>
      <c r="H639" s="217"/>
      <c r="I639" s="217"/>
      <c r="J639" s="217"/>
      <c r="K639" s="217"/>
      <c r="L639" s="217"/>
      <c r="M639" s="217"/>
      <c r="N639" s="217"/>
      <c r="O639" s="217"/>
      <c r="P639" s="217"/>
      <c r="Q639" s="217"/>
      <c r="R639" s="217"/>
      <c r="S639" s="217"/>
      <c r="T639" s="217"/>
      <c r="U639" s="217"/>
      <c r="V639" s="217"/>
      <c r="W639" s="217"/>
      <c r="X639" s="217"/>
      <c r="Y639" s="217"/>
      <c r="Z639" s="217"/>
    </row>
    <row r="640" ht="15.75" customHeight="1">
      <c r="A640" s="217"/>
      <c r="B640" s="217"/>
      <c r="C640" s="217"/>
      <c r="D640" s="217"/>
      <c r="E640" s="217"/>
      <c r="F640" s="217"/>
      <c r="G640" s="217"/>
      <c r="H640" s="217"/>
      <c r="I640" s="217"/>
      <c r="J640" s="217"/>
      <c r="K640" s="217"/>
      <c r="L640" s="217"/>
      <c r="M640" s="217"/>
      <c r="N640" s="217"/>
      <c r="O640" s="217"/>
      <c r="P640" s="217"/>
      <c r="Q640" s="217"/>
      <c r="R640" s="217"/>
      <c r="S640" s="217"/>
      <c r="T640" s="217"/>
      <c r="U640" s="217"/>
      <c r="V640" s="217"/>
      <c r="W640" s="217"/>
      <c r="X640" s="217"/>
      <c r="Y640" s="217"/>
      <c r="Z640" s="217"/>
    </row>
    <row r="641" ht="15.75" customHeight="1">
      <c r="A641" s="217"/>
      <c r="B641" s="217"/>
      <c r="C641" s="217"/>
      <c r="D641" s="217"/>
      <c r="E641" s="217"/>
      <c r="F641" s="217"/>
      <c r="G641" s="217"/>
      <c r="H641" s="217"/>
      <c r="I641" s="217"/>
      <c r="J641" s="217"/>
      <c r="K641" s="217"/>
      <c r="L641" s="217"/>
      <c r="M641" s="217"/>
      <c r="N641" s="217"/>
      <c r="O641" s="217"/>
      <c r="P641" s="217"/>
      <c r="Q641" s="217"/>
      <c r="R641" s="217"/>
      <c r="S641" s="217"/>
      <c r="T641" s="217"/>
      <c r="U641" s="217"/>
      <c r="V641" s="217"/>
      <c r="W641" s="217"/>
      <c r="X641" s="217"/>
      <c r="Y641" s="217"/>
      <c r="Z641" s="217"/>
    </row>
    <row r="642" ht="15.75" customHeight="1">
      <c r="A642" s="217"/>
      <c r="B642" s="217"/>
      <c r="C642" s="217"/>
      <c r="D642" s="217"/>
      <c r="E642" s="217"/>
      <c r="F642" s="217"/>
      <c r="G642" s="217"/>
      <c r="H642" s="217"/>
      <c r="I642" s="217"/>
      <c r="J642" s="217"/>
      <c r="K642" s="217"/>
      <c r="L642" s="217"/>
      <c r="M642" s="217"/>
      <c r="N642" s="217"/>
      <c r="O642" s="217"/>
      <c r="P642" s="217"/>
      <c r="Q642" s="217"/>
      <c r="R642" s="217"/>
      <c r="S642" s="217"/>
      <c r="T642" s="217"/>
      <c r="U642" s="217"/>
      <c r="V642" s="217"/>
      <c r="W642" s="217"/>
      <c r="X642" s="217"/>
      <c r="Y642" s="217"/>
      <c r="Z642" s="217"/>
    </row>
    <row r="643" ht="15.75" customHeight="1">
      <c r="A643" s="217"/>
      <c r="B643" s="217"/>
      <c r="C643" s="217"/>
      <c r="D643" s="217"/>
      <c r="E643" s="217"/>
      <c r="F643" s="217"/>
      <c r="G643" s="217"/>
      <c r="H643" s="217"/>
      <c r="I643" s="217"/>
      <c r="J643" s="217"/>
      <c r="K643" s="217"/>
      <c r="L643" s="217"/>
      <c r="M643" s="217"/>
      <c r="N643" s="217"/>
      <c r="O643" s="217"/>
      <c r="P643" s="217"/>
      <c r="Q643" s="217"/>
      <c r="R643" s="217"/>
      <c r="S643" s="217"/>
      <c r="T643" s="217"/>
      <c r="U643" s="217"/>
      <c r="V643" s="217"/>
      <c r="W643" s="217"/>
      <c r="X643" s="217"/>
      <c r="Y643" s="217"/>
      <c r="Z643" s="217"/>
    </row>
    <row r="644" ht="15.75" customHeight="1">
      <c r="A644" s="217"/>
      <c r="B644" s="217"/>
      <c r="C644" s="217"/>
      <c r="D644" s="217"/>
      <c r="E644" s="217"/>
      <c r="F644" s="217"/>
      <c r="G644" s="217"/>
      <c r="H644" s="217"/>
      <c r="I644" s="217"/>
      <c r="J644" s="217"/>
      <c r="K644" s="217"/>
      <c r="L644" s="217"/>
      <c r="M644" s="217"/>
      <c r="N644" s="217"/>
      <c r="O644" s="217"/>
      <c r="P644" s="217"/>
      <c r="Q644" s="217"/>
      <c r="R644" s="217"/>
      <c r="S644" s="217"/>
      <c r="T644" s="217"/>
      <c r="U644" s="217"/>
      <c r="V644" s="217"/>
      <c r="W644" s="217"/>
      <c r="X644" s="217"/>
      <c r="Y644" s="217"/>
      <c r="Z644" s="217"/>
    </row>
    <row r="645" ht="15.75" customHeight="1">
      <c r="A645" s="217"/>
      <c r="B645" s="217"/>
      <c r="C645" s="217"/>
      <c r="D645" s="217"/>
      <c r="E645" s="217"/>
      <c r="F645" s="217"/>
      <c r="G645" s="217"/>
      <c r="H645" s="217"/>
      <c r="I645" s="217"/>
      <c r="J645" s="217"/>
      <c r="K645" s="217"/>
      <c r="L645" s="217"/>
      <c r="M645" s="217"/>
      <c r="N645" s="217"/>
      <c r="O645" s="217"/>
      <c r="P645" s="217"/>
      <c r="Q645" s="217"/>
      <c r="R645" s="217"/>
      <c r="S645" s="217"/>
      <c r="T645" s="217"/>
      <c r="U645" s="217"/>
      <c r="V645" s="217"/>
      <c r="W645" s="217"/>
      <c r="X645" s="217"/>
      <c r="Y645" s="217"/>
      <c r="Z645" s="217"/>
    </row>
    <row r="646" ht="15.75" customHeight="1">
      <c r="A646" s="217"/>
      <c r="B646" s="217"/>
      <c r="C646" s="217"/>
      <c r="D646" s="217"/>
      <c r="E646" s="217"/>
      <c r="F646" s="217"/>
      <c r="G646" s="217"/>
      <c r="H646" s="217"/>
      <c r="I646" s="217"/>
      <c r="J646" s="217"/>
      <c r="K646" s="217"/>
      <c r="L646" s="217"/>
      <c r="M646" s="217"/>
      <c r="N646" s="217"/>
      <c r="O646" s="217"/>
      <c r="P646" s="217"/>
      <c r="Q646" s="217"/>
      <c r="R646" s="217"/>
      <c r="S646" s="217"/>
      <c r="T646" s="217"/>
      <c r="U646" s="217"/>
      <c r="V646" s="217"/>
      <c r="W646" s="217"/>
      <c r="X646" s="217"/>
      <c r="Y646" s="217"/>
      <c r="Z646" s="217"/>
    </row>
    <row r="647" ht="15.75" customHeight="1">
      <c r="A647" s="217"/>
      <c r="B647" s="217"/>
      <c r="C647" s="217"/>
      <c r="D647" s="217"/>
      <c r="E647" s="217"/>
      <c r="F647" s="217"/>
      <c r="G647" s="217"/>
      <c r="H647" s="217"/>
      <c r="I647" s="217"/>
      <c r="J647" s="217"/>
      <c r="K647" s="217"/>
      <c r="L647" s="217"/>
      <c r="M647" s="217"/>
      <c r="N647" s="217"/>
      <c r="O647" s="217"/>
      <c r="P647" s="217"/>
      <c r="Q647" s="217"/>
      <c r="R647" s="217"/>
      <c r="S647" s="217"/>
      <c r="T647" s="217"/>
      <c r="U647" s="217"/>
      <c r="V647" s="217"/>
      <c r="W647" s="217"/>
      <c r="X647" s="217"/>
      <c r="Y647" s="217"/>
      <c r="Z647" s="217"/>
    </row>
    <row r="648" ht="15.75" customHeight="1">
      <c r="A648" s="217"/>
      <c r="B648" s="217"/>
      <c r="C648" s="217"/>
      <c r="D648" s="217"/>
      <c r="E648" s="217"/>
      <c r="F648" s="217"/>
      <c r="G648" s="217"/>
      <c r="H648" s="217"/>
      <c r="I648" s="217"/>
      <c r="J648" s="217"/>
      <c r="K648" s="217"/>
      <c r="L648" s="217"/>
      <c r="M648" s="217"/>
      <c r="N648" s="217"/>
      <c r="O648" s="217"/>
      <c r="P648" s="217"/>
      <c r="Q648" s="217"/>
      <c r="R648" s="217"/>
      <c r="S648" s="217"/>
      <c r="T648" s="217"/>
      <c r="U648" s="217"/>
      <c r="V648" s="217"/>
      <c r="W648" s="217"/>
      <c r="X648" s="217"/>
      <c r="Y648" s="217"/>
      <c r="Z648" s="217"/>
    </row>
    <row r="649" ht="15.75" customHeight="1">
      <c r="A649" s="217"/>
      <c r="B649" s="217"/>
      <c r="C649" s="217"/>
      <c r="D649" s="217"/>
      <c r="E649" s="217"/>
      <c r="F649" s="217"/>
      <c r="G649" s="217"/>
      <c r="H649" s="217"/>
      <c r="I649" s="217"/>
      <c r="J649" s="217"/>
      <c r="K649" s="217"/>
      <c r="L649" s="217"/>
      <c r="M649" s="217"/>
      <c r="N649" s="217"/>
      <c r="O649" s="217"/>
      <c r="P649" s="217"/>
      <c r="Q649" s="217"/>
      <c r="R649" s="217"/>
      <c r="S649" s="217"/>
      <c r="T649" s="217"/>
      <c r="U649" s="217"/>
      <c r="V649" s="217"/>
      <c r="W649" s="217"/>
      <c r="X649" s="217"/>
      <c r="Y649" s="217"/>
      <c r="Z649" s="217"/>
    </row>
    <row r="650" ht="15.75" customHeight="1">
      <c r="A650" s="217"/>
      <c r="B650" s="217"/>
      <c r="C650" s="217"/>
      <c r="D650" s="217"/>
      <c r="E650" s="217"/>
      <c r="F650" s="217"/>
      <c r="G650" s="217"/>
      <c r="H650" s="217"/>
      <c r="I650" s="217"/>
      <c r="J650" s="217"/>
      <c r="K650" s="217"/>
      <c r="L650" s="217"/>
      <c r="M650" s="217"/>
      <c r="N650" s="217"/>
      <c r="O650" s="217"/>
      <c r="P650" s="217"/>
      <c r="Q650" s="217"/>
      <c r="R650" s="217"/>
      <c r="S650" s="217"/>
      <c r="T650" s="217"/>
      <c r="U650" s="217"/>
      <c r="V650" s="217"/>
      <c r="W650" s="217"/>
      <c r="X650" s="217"/>
      <c r="Y650" s="217"/>
      <c r="Z650" s="217"/>
    </row>
    <row r="651" ht="15.75" customHeight="1">
      <c r="A651" s="217"/>
      <c r="B651" s="217"/>
      <c r="C651" s="217"/>
      <c r="D651" s="217"/>
      <c r="E651" s="217"/>
      <c r="F651" s="217"/>
      <c r="G651" s="217"/>
      <c r="H651" s="217"/>
      <c r="I651" s="217"/>
      <c r="J651" s="217"/>
      <c r="K651" s="217"/>
      <c r="L651" s="217"/>
      <c r="M651" s="217"/>
      <c r="N651" s="217"/>
      <c r="O651" s="217"/>
      <c r="P651" s="217"/>
      <c r="Q651" s="217"/>
      <c r="R651" s="217"/>
      <c r="S651" s="217"/>
      <c r="T651" s="217"/>
      <c r="U651" s="217"/>
      <c r="V651" s="217"/>
      <c r="W651" s="217"/>
      <c r="X651" s="217"/>
      <c r="Y651" s="217"/>
      <c r="Z651" s="217"/>
    </row>
    <row r="652" ht="15.75" customHeight="1">
      <c r="A652" s="217"/>
      <c r="B652" s="217"/>
      <c r="C652" s="217"/>
      <c r="D652" s="217"/>
      <c r="E652" s="217"/>
      <c r="F652" s="217"/>
      <c r="G652" s="217"/>
      <c r="H652" s="217"/>
      <c r="I652" s="217"/>
      <c r="J652" s="217"/>
      <c r="K652" s="217"/>
      <c r="L652" s="217"/>
      <c r="M652" s="217"/>
      <c r="N652" s="217"/>
      <c r="O652" s="217"/>
      <c r="P652" s="217"/>
      <c r="Q652" s="217"/>
      <c r="R652" s="217"/>
      <c r="S652" s="217"/>
      <c r="T652" s="217"/>
      <c r="U652" s="217"/>
      <c r="V652" s="217"/>
      <c r="W652" s="217"/>
      <c r="X652" s="217"/>
      <c r="Y652" s="217"/>
      <c r="Z652" s="217"/>
    </row>
    <row r="653" ht="15.75" customHeight="1">
      <c r="A653" s="217"/>
      <c r="B653" s="217"/>
      <c r="C653" s="217"/>
      <c r="D653" s="217"/>
      <c r="E653" s="217"/>
      <c r="F653" s="217"/>
      <c r="G653" s="217"/>
      <c r="H653" s="217"/>
      <c r="I653" s="217"/>
      <c r="J653" s="217"/>
      <c r="K653" s="217"/>
      <c r="L653" s="217"/>
      <c r="M653" s="217"/>
      <c r="N653" s="217"/>
      <c r="O653" s="217"/>
      <c r="P653" s="217"/>
      <c r="Q653" s="217"/>
      <c r="R653" s="217"/>
      <c r="S653" s="217"/>
      <c r="T653" s="217"/>
      <c r="U653" s="217"/>
      <c r="V653" s="217"/>
      <c r="W653" s="217"/>
      <c r="X653" s="217"/>
      <c r="Y653" s="217"/>
      <c r="Z653" s="217"/>
    </row>
    <row r="654" ht="15.75" customHeight="1">
      <c r="A654" s="217"/>
      <c r="B654" s="217"/>
      <c r="C654" s="217"/>
      <c r="D654" s="217"/>
      <c r="E654" s="217"/>
      <c r="F654" s="217"/>
      <c r="G654" s="217"/>
      <c r="H654" s="217"/>
      <c r="I654" s="217"/>
      <c r="J654" s="217"/>
      <c r="K654" s="217"/>
      <c r="L654" s="217"/>
      <c r="M654" s="217"/>
      <c r="N654" s="217"/>
      <c r="O654" s="217"/>
      <c r="P654" s="217"/>
      <c r="Q654" s="217"/>
      <c r="R654" s="217"/>
      <c r="S654" s="217"/>
      <c r="T654" s="217"/>
      <c r="U654" s="217"/>
      <c r="V654" s="217"/>
      <c r="W654" s="217"/>
      <c r="X654" s="217"/>
      <c r="Y654" s="217"/>
      <c r="Z654" s="217"/>
    </row>
    <row r="655" ht="15.75" customHeight="1">
      <c r="A655" s="217"/>
      <c r="B655" s="217"/>
      <c r="C655" s="217"/>
      <c r="D655" s="217"/>
      <c r="E655" s="217"/>
      <c r="F655" s="217"/>
      <c r="G655" s="217"/>
      <c r="H655" s="217"/>
      <c r="I655" s="217"/>
      <c r="J655" s="217"/>
      <c r="K655" s="217"/>
      <c r="L655" s="217"/>
      <c r="M655" s="217"/>
      <c r="N655" s="217"/>
      <c r="O655" s="217"/>
      <c r="P655" s="217"/>
      <c r="Q655" s="217"/>
      <c r="R655" s="217"/>
      <c r="S655" s="217"/>
      <c r="T655" s="217"/>
      <c r="U655" s="217"/>
      <c r="V655" s="217"/>
      <c r="W655" s="217"/>
      <c r="X655" s="217"/>
      <c r="Y655" s="217"/>
      <c r="Z655" s="217"/>
    </row>
    <row r="656" ht="15.75" customHeight="1">
      <c r="A656" s="217"/>
      <c r="B656" s="217"/>
      <c r="C656" s="217"/>
      <c r="D656" s="217"/>
      <c r="E656" s="217"/>
      <c r="F656" s="217"/>
      <c r="G656" s="217"/>
      <c r="H656" s="217"/>
      <c r="I656" s="217"/>
      <c r="J656" s="217"/>
      <c r="K656" s="217"/>
      <c r="L656" s="217"/>
      <c r="M656" s="217"/>
      <c r="N656" s="217"/>
      <c r="O656" s="217"/>
      <c r="P656" s="217"/>
      <c r="Q656" s="217"/>
      <c r="R656" s="217"/>
      <c r="S656" s="217"/>
      <c r="T656" s="217"/>
      <c r="U656" s="217"/>
      <c r="V656" s="217"/>
      <c r="W656" s="217"/>
      <c r="X656" s="217"/>
      <c r="Y656" s="217"/>
      <c r="Z656" s="217"/>
    </row>
    <row r="657" ht="15.75" customHeight="1">
      <c r="A657" s="217"/>
      <c r="B657" s="217"/>
      <c r="C657" s="217"/>
      <c r="D657" s="217"/>
      <c r="E657" s="217"/>
      <c r="F657" s="217"/>
      <c r="G657" s="217"/>
      <c r="H657" s="217"/>
      <c r="I657" s="217"/>
      <c r="J657" s="217"/>
      <c r="K657" s="217"/>
      <c r="L657" s="217"/>
      <c r="M657" s="217"/>
      <c r="N657" s="217"/>
      <c r="O657" s="217"/>
      <c r="P657" s="217"/>
      <c r="Q657" s="217"/>
      <c r="R657" s="217"/>
      <c r="S657" s="217"/>
      <c r="T657" s="217"/>
      <c r="U657" s="217"/>
      <c r="V657" s="217"/>
      <c r="W657" s="217"/>
      <c r="X657" s="217"/>
      <c r="Y657" s="217"/>
      <c r="Z657" s="217"/>
    </row>
    <row r="658" ht="15.75" customHeight="1">
      <c r="A658" s="217"/>
      <c r="B658" s="217"/>
      <c r="C658" s="217"/>
      <c r="D658" s="217"/>
      <c r="E658" s="217"/>
      <c r="F658" s="217"/>
      <c r="G658" s="217"/>
      <c r="H658" s="217"/>
      <c r="I658" s="217"/>
      <c r="J658" s="217"/>
      <c r="K658" s="217"/>
      <c r="L658" s="217"/>
      <c r="M658" s="217"/>
      <c r="N658" s="217"/>
      <c r="O658" s="217"/>
      <c r="P658" s="217"/>
      <c r="Q658" s="217"/>
      <c r="R658" s="217"/>
      <c r="S658" s="217"/>
      <c r="T658" s="217"/>
      <c r="U658" s="217"/>
      <c r="V658" s="217"/>
      <c r="W658" s="217"/>
      <c r="X658" s="217"/>
      <c r="Y658" s="217"/>
      <c r="Z658" s="217"/>
    </row>
    <row r="659" ht="15.75" customHeight="1">
      <c r="A659" s="217"/>
      <c r="B659" s="217"/>
      <c r="C659" s="217"/>
      <c r="D659" s="217"/>
      <c r="E659" s="217"/>
      <c r="F659" s="217"/>
      <c r="G659" s="217"/>
      <c r="H659" s="217"/>
      <c r="I659" s="217"/>
      <c r="J659" s="217"/>
      <c r="K659" s="217"/>
      <c r="L659" s="217"/>
      <c r="M659" s="217"/>
      <c r="N659" s="217"/>
      <c r="O659" s="217"/>
      <c r="P659" s="217"/>
      <c r="Q659" s="217"/>
      <c r="R659" s="217"/>
      <c r="S659" s="217"/>
      <c r="T659" s="217"/>
      <c r="U659" s="217"/>
      <c r="V659" s="217"/>
      <c r="W659" s="217"/>
      <c r="X659" s="217"/>
      <c r="Y659" s="217"/>
      <c r="Z659" s="217"/>
    </row>
    <row r="660" ht="15.75" customHeight="1">
      <c r="A660" s="217"/>
      <c r="B660" s="217"/>
      <c r="C660" s="217"/>
      <c r="D660" s="217"/>
      <c r="E660" s="217"/>
      <c r="F660" s="217"/>
      <c r="G660" s="217"/>
      <c r="H660" s="217"/>
      <c r="I660" s="217"/>
      <c r="J660" s="217"/>
      <c r="K660" s="217"/>
      <c r="L660" s="217"/>
      <c r="M660" s="217"/>
      <c r="N660" s="217"/>
      <c r="O660" s="217"/>
      <c r="P660" s="217"/>
      <c r="Q660" s="217"/>
      <c r="R660" s="217"/>
      <c r="S660" s="217"/>
      <c r="T660" s="217"/>
      <c r="U660" s="217"/>
      <c r="V660" s="217"/>
      <c r="W660" s="217"/>
      <c r="X660" s="217"/>
      <c r="Y660" s="217"/>
      <c r="Z660" s="217"/>
    </row>
    <row r="661" ht="15.75" customHeight="1">
      <c r="A661" s="217"/>
      <c r="B661" s="217"/>
      <c r="C661" s="217"/>
      <c r="D661" s="217"/>
      <c r="E661" s="217"/>
      <c r="F661" s="217"/>
      <c r="G661" s="217"/>
      <c r="H661" s="217"/>
      <c r="I661" s="217"/>
      <c r="J661" s="217"/>
      <c r="K661" s="217"/>
      <c r="L661" s="217"/>
      <c r="M661" s="217"/>
      <c r="N661" s="217"/>
      <c r="O661" s="217"/>
      <c r="P661" s="217"/>
      <c r="Q661" s="217"/>
      <c r="R661" s="217"/>
      <c r="S661" s="217"/>
      <c r="T661" s="217"/>
      <c r="U661" s="217"/>
      <c r="V661" s="217"/>
      <c r="W661" s="217"/>
      <c r="X661" s="217"/>
      <c r="Y661" s="217"/>
      <c r="Z661" s="217"/>
    </row>
    <row r="662" ht="15.75" customHeight="1">
      <c r="A662" s="217"/>
      <c r="B662" s="217"/>
      <c r="C662" s="217"/>
      <c r="D662" s="217"/>
      <c r="E662" s="217"/>
      <c r="F662" s="217"/>
      <c r="G662" s="217"/>
      <c r="H662" s="217"/>
      <c r="I662" s="217"/>
      <c r="J662" s="217"/>
      <c r="K662" s="217"/>
      <c r="L662" s="217"/>
      <c r="M662" s="217"/>
      <c r="N662" s="217"/>
      <c r="O662" s="217"/>
      <c r="P662" s="217"/>
      <c r="Q662" s="217"/>
      <c r="R662" s="217"/>
      <c r="S662" s="217"/>
      <c r="T662" s="217"/>
      <c r="U662" s="217"/>
      <c r="V662" s="217"/>
      <c r="W662" s="217"/>
      <c r="X662" s="217"/>
      <c r="Y662" s="217"/>
      <c r="Z662" s="217"/>
    </row>
    <row r="663" ht="15.75" customHeight="1">
      <c r="A663" s="217"/>
      <c r="B663" s="217"/>
      <c r="C663" s="217"/>
      <c r="D663" s="217"/>
      <c r="E663" s="217"/>
      <c r="F663" s="217"/>
      <c r="G663" s="217"/>
      <c r="H663" s="217"/>
      <c r="I663" s="217"/>
      <c r="J663" s="217"/>
      <c r="K663" s="217"/>
      <c r="L663" s="217"/>
      <c r="M663" s="217"/>
      <c r="N663" s="217"/>
      <c r="O663" s="217"/>
      <c r="P663" s="217"/>
      <c r="Q663" s="217"/>
      <c r="R663" s="217"/>
      <c r="S663" s="217"/>
      <c r="T663" s="217"/>
      <c r="U663" s="217"/>
      <c r="V663" s="217"/>
      <c r="W663" s="217"/>
      <c r="X663" s="217"/>
      <c r="Y663" s="217"/>
      <c r="Z663" s="217"/>
    </row>
    <row r="664" ht="15.75" customHeight="1">
      <c r="A664" s="217"/>
      <c r="B664" s="217"/>
      <c r="C664" s="217"/>
      <c r="D664" s="217"/>
      <c r="E664" s="217"/>
      <c r="F664" s="217"/>
      <c r="G664" s="217"/>
      <c r="H664" s="217"/>
      <c r="I664" s="217"/>
      <c r="J664" s="217"/>
      <c r="K664" s="217"/>
      <c r="L664" s="217"/>
      <c r="M664" s="217"/>
      <c r="N664" s="217"/>
      <c r="O664" s="217"/>
      <c r="P664" s="217"/>
      <c r="Q664" s="217"/>
      <c r="R664" s="217"/>
      <c r="S664" s="217"/>
      <c r="T664" s="217"/>
      <c r="U664" s="217"/>
      <c r="V664" s="217"/>
      <c r="W664" s="217"/>
      <c r="X664" s="217"/>
      <c r="Y664" s="217"/>
      <c r="Z664" s="217"/>
    </row>
    <row r="665" ht="15.75" customHeight="1">
      <c r="A665" s="217"/>
      <c r="B665" s="217"/>
      <c r="C665" s="217"/>
      <c r="D665" s="217"/>
      <c r="E665" s="217"/>
      <c r="F665" s="217"/>
      <c r="G665" s="217"/>
      <c r="H665" s="217"/>
      <c r="I665" s="217"/>
      <c r="J665" s="217"/>
      <c r="K665" s="217"/>
      <c r="L665" s="217"/>
      <c r="M665" s="217"/>
      <c r="N665" s="217"/>
      <c r="O665" s="217"/>
      <c r="P665" s="217"/>
      <c r="Q665" s="217"/>
      <c r="R665" s="217"/>
      <c r="S665" s="217"/>
      <c r="T665" s="217"/>
      <c r="U665" s="217"/>
      <c r="V665" s="217"/>
      <c r="W665" s="217"/>
      <c r="X665" s="217"/>
      <c r="Y665" s="217"/>
      <c r="Z665" s="217"/>
    </row>
    <row r="666" ht="15.75" customHeight="1">
      <c r="A666" s="217"/>
      <c r="B666" s="217"/>
      <c r="C666" s="217"/>
      <c r="D666" s="217"/>
      <c r="E666" s="217"/>
      <c r="F666" s="217"/>
      <c r="G666" s="217"/>
      <c r="H666" s="217"/>
      <c r="I666" s="217"/>
      <c r="J666" s="217"/>
      <c r="K666" s="217"/>
      <c r="L666" s="217"/>
      <c r="M666" s="217"/>
      <c r="N666" s="217"/>
      <c r="O666" s="217"/>
      <c r="P666" s="217"/>
      <c r="Q666" s="217"/>
      <c r="R666" s="217"/>
      <c r="S666" s="217"/>
      <c r="T666" s="217"/>
      <c r="U666" s="217"/>
      <c r="V666" s="217"/>
      <c r="W666" s="217"/>
      <c r="X666" s="217"/>
      <c r="Y666" s="217"/>
      <c r="Z666" s="217"/>
    </row>
    <row r="667" ht="15.75" customHeight="1">
      <c r="A667" s="217"/>
      <c r="B667" s="217"/>
      <c r="C667" s="217"/>
      <c r="D667" s="217"/>
      <c r="E667" s="217"/>
      <c r="F667" s="217"/>
      <c r="G667" s="217"/>
      <c r="H667" s="217"/>
      <c r="I667" s="217"/>
      <c r="J667" s="217"/>
      <c r="K667" s="217"/>
      <c r="L667" s="217"/>
      <c r="M667" s="217"/>
      <c r="N667" s="217"/>
      <c r="O667" s="217"/>
      <c r="P667" s="217"/>
      <c r="Q667" s="217"/>
      <c r="R667" s="217"/>
      <c r="S667" s="217"/>
      <c r="T667" s="217"/>
      <c r="U667" s="217"/>
      <c r="V667" s="217"/>
      <c r="W667" s="217"/>
      <c r="X667" s="217"/>
      <c r="Y667" s="217"/>
      <c r="Z667" s="217"/>
    </row>
    <row r="668" ht="15.75" customHeight="1">
      <c r="A668" s="217"/>
      <c r="B668" s="217"/>
      <c r="C668" s="217"/>
      <c r="D668" s="217"/>
      <c r="E668" s="217"/>
      <c r="F668" s="217"/>
      <c r="G668" s="217"/>
      <c r="H668" s="217"/>
      <c r="I668" s="217"/>
      <c r="J668" s="217"/>
      <c r="K668" s="217"/>
      <c r="L668" s="217"/>
      <c r="M668" s="217"/>
      <c r="N668" s="217"/>
      <c r="O668" s="217"/>
      <c r="P668" s="217"/>
      <c r="Q668" s="217"/>
      <c r="R668" s="217"/>
      <c r="S668" s="217"/>
      <c r="T668" s="217"/>
      <c r="U668" s="217"/>
      <c r="V668" s="217"/>
      <c r="W668" s="217"/>
      <c r="X668" s="217"/>
      <c r="Y668" s="217"/>
      <c r="Z668" s="217"/>
    </row>
    <row r="669" ht="15.75" customHeight="1">
      <c r="A669" s="217"/>
      <c r="B669" s="217"/>
      <c r="C669" s="217"/>
      <c r="D669" s="217"/>
      <c r="E669" s="217"/>
      <c r="F669" s="217"/>
      <c r="G669" s="217"/>
      <c r="H669" s="217"/>
      <c r="I669" s="217"/>
      <c r="J669" s="217"/>
      <c r="K669" s="217"/>
      <c r="L669" s="217"/>
      <c r="M669" s="217"/>
      <c r="N669" s="217"/>
      <c r="O669" s="217"/>
      <c r="P669" s="217"/>
      <c r="Q669" s="217"/>
      <c r="R669" s="217"/>
      <c r="S669" s="217"/>
      <c r="T669" s="217"/>
      <c r="U669" s="217"/>
      <c r="V669" s="217"/>
      <c r="W669" s="217"/>
      <c r="X669" s="217"/>
      <c r="Y669" s="217"/>
      <c r="Z669" s="217"/>
    </row>
    <row r="670" ht="15.75" customHeight="1">
      <c r="A670" s="217"/>
      <c r="B670" s="217"/>
      <c r="C670" s="217"/>
      <c r="D670" s="217"/>
      <c r="E670" s="217"/>
      <c r="F670" s="217"/>
      <c r="G670" s="217"/>
      <c r="H670" s="217"/>
      <c r="I670" s="217"/>
      <c r="J670" s="217"/>
      <c r="K670" s="217"/>
      <c r="L670" s="217"/>
      <c r="M670" s="217"/>
      <c r="N670" s="217"/>
      <c r="O670" s="217"/>
      <c r="P670" s="217"/>
      <c r="Q670" s="217"/>
      <c r="R670" s="217"/>
      <c r="S670" s="217"/>
      <c r="T670" s="217"/>
      <c r="U670" s="217"/>
      <c r="V670" s="217"/>
      <c r="W670" s="217"/>
      <c r="X670" s="217"/>
      <c r="Y670" s="217"/>
      <c r="Z670" s="217"/>
    </row>
    <row r="671" ht="15.75" customHeight="1">
      <c r="A671" s="217"/>
      <c r="B671" s="217"/>
      <c r="C671" s="217"/>
      <c r="D671" s="217"/>
      <c r="E671" s="217"/>
      <c r="F671" s="217"/>
      <c r="G671" s="217"/>
      <c r="H671" s="217"/>
      <c r="I671" s="217"/>
      <c r="J671" s="217"/>
      <c r="K671" s="217"/>
      <c r="L671" s="217"/>
      <c r="M671" s="217"/>
      <c r="N671" s="217"/>
      <c r="O671" s="217"/>
      <c r="P671" s="217"/>
      <c r="Q671" s="217"/>
      <c r="R671" s="217"/>
      <c r="S671" s="217"/>
      <c r="T671" s="217"/>
      <c r="U671" s="217"/>
      <c r="V671" s="217"/>
      <c r="W671" s="217"/>
      <c r="X671" s="217"/>
      <c r="Y671" s="217"/>
      <c r="Z671" s="217"/>
    </row>
    <row r="672" ht="15.75" customHeight="1">
      <c r="A672" s="217"/>
      <c r="B672" s="217"/>
      <c r="C672" s="217"/>
      <c r="D672" s="217"/>
      <c r="E672" s="217"/>
      <c r="F672" s="217"/>
      <c r="G672" s="217"/>
      <c r="H672" s="217"/>
      <c r="I672" s="217"/>
      <c r="J672" s="217"/>
      <c r="K672" s="217"/>
      <c r="L672" s="217"/>
      <c r="M672" s="217"/>
      <c r="N672" s="217"/>
      <c r="O672" s="217"/>
      <c r="P672" s="217"/>
      <c r="Q672" s="217"/>
      <c r="R672" s="217"/>
      <c r="S672" s="217"/>
      <c r="T672" s="217"/>
      <c r="U672" s="217"/>
      <c r="V672" s="217"/>
      <c r="W672" s="217"/>
      <c r="X672" s="217"/>
      <c r="Y672" s="217"/>
      <c r="Z672" s="217"/>
    </row>
    <row r="673" ht="15.75" customHeight="1">
      <c r="A673" s="217"/>
      <c r="B673" s="217"/>
      <c r="C673" s="217"/>
      <c r="D673" s="217"/>
      <c r="E673" s="217"/>
      <c r="F673" s="217"/>
      <c r="G673" s="217"/>
      <c r="H673" s="217"/>
      <c r="I673" s="217"/>
      <c r="J673" s="217"/>
      <c r="K673" s="217"/>
      <c r="L673" s="217"/>
      <c r="M673" s="217"/>
      <c r="N673" s="217"/>
      <c r="O673" s="217"/>
      <c r="P673" s="217"/>
      <c r="Q673" s="217"/>
      <c r="R673" s="217"/>
      <c r="S673" s="217"/>
      <c r="T673" s="217"/>
      <c r="U673" s="217"/>
      <c r="V673" s="217"/>
      <c r="W673" s="217"/>
      <c r="X673" s="217"/>
      <c r="Y673" s="217"/>
      <c r="Z673" s="217"/>
    </row>
    <row r="674" ht="15.75" customHeight="1">
      <c r="A674" s="217"/>
      <c r="B674" s="217"/>
      <c r="C674" s="217"/>
      <c r="D674" s="217"/>
      <c r="E674" s="217"/>
      <c r="F674" s="217"/>
      <c r="G674" s="217"/>
      <c r="H674" s="217"/>
      <c r="I674" s="217"/>
      <c r="J674" s="217"/>
      <c r="K674" s="217"/>
      <c r="L674" s="217"/>
      <c r="M674" s="217"/>
      <c r="N674" s="217"/>
      <c r="O674" s="217"/>
      <c r="P674" s="217"/>
      <c r="Q674" s="217"/>
      <c r="R674" s="217"/>
      <c r="S674" s="217"/>
      <c r="T674" s="217"/>
      <c r="U674" s="217"/>
      <c r="V674" s="217"/>
      <c r="W674" s="217"/>
      <c r="X674" s="217"/>
      <c r="Y674" s="217"/>
      <c r="Z674" s="217"/>
    </row>
    <row r="675" ht="15.75" customHeight="1">
      <c r="A675" s="217"/>
      <c r="B675" s="217"/>
      <c r="C675" s="217"/>
      <c r="D675" s="217"/>
      <c r="E675" s="217"/>
      <c r="F675" s="217"/>
      <c r="G675" s="217"/>
      <c r="H675" s="217"/>
      <c r="I675" s="217"/>
      <c r="J675" s="217"/>
      <c r="K675" s="217"/>
      <c r="L675" s="217"/>
      <c r="M675" s="217"/>
      <c r="N675" s="217"/>
      <c r="O675" s="217"/>
      <c r="P675" s="217"/>
      <c r="Q675" s="217"/>
      <c r="R675" s="217"/>
      <c r="S675" s="217"/>
      <c r="T675" s="217"/>
      <c r="U675" s="217"/>
      <c r="V675" s="217"/>
      <c r="W675" s="217"/>
      <c r="X675" s="217"/>
      <c r="Y675" s="217"/>
      <c r="Z675" s="217"/>
    </row>
    <row r="676" ht="15.75" customHeight="1">
      <c r="A676" s="217"/>
      <c r="B676" s="217"/>
      <c r="C676" s="217"/>
      <c r="D676" s="217"/>
      <c r="E676" s="217"/>
      <c r="F676" s="217"/>
      <c r="G676" s="217"/>
      <c r="H676" s="217"/>
      <c r="I676" s="217"/>
      <c r="J676" s="217"/>
      <c r="K676" s="217"/>
      <c r="L676" s="217"/>
      <c r="M676" s="217"/>
      <c r="N676" s="217"/>
      <c r="O676" s="217"/>
      <c r="P676" s="217"/>
      <c r="Q676" s="217"/>
      <c r="R676" s="217"/>
      <c r="S676" s="217"/>
      <c r="T676" s="217"/>
      <c r="U676" s="217"/>
      <c r="V676" s="217"/>
      <c r="W676" s="217"/>
      <c r="X676" s="217"/>
      <c r="Y676" s="217"/>
      <c r="Z676" s="217"/>
    </row>
    <row r="677" ht="15.75" customHeight="1">
      <c r="A677" s="217"/>
      <c r="B677" s="217"/>
      <c r="C677" s="217"/>
      <c r="D677" s="217"/>
      <c r="E677" s="217"/>
      <c r="F677" s="217"/>
      <c r="G677" s="217"/>
      <c r="H677" s="217"/>
      <c r="I677" s="217"/>
      <c r="J677" s="217"/>
      <c r="K677" s="217"/>
      <c r="L677" s="217"/>
      <c r="M677" s="217"/>
      <c r="N677" s="217"/>
      <c r="O677" s="217"/>
      <c r="P677" s="217"/>
      <c r="Q677" s="217"/>
      <c r="R677" s="217"/>
      <c r="S677" s="217"/>
      <c r="T677" s="217"/>
      <c r="U677" s="217"/>
      <c r="V677" s="217"/>
      <c r="W677" s="217"/>
      <c r="X677" s="217"/>
      <c r="Y677" s="217"/>
      <c r="Z677" s="217"/>
    </row>
    <row r="678" ht="15.75" customHeight="1">
      <c r="A678" s="217"/>
      <c r="B678" s="217"/>
      <c r="C678" s="217"/>
      <c r="D678" s="217"/>
      <c r="E678" s="217"/>
      <c r="F678" s="217"/>
      <c r="G678" s="217"/>
      <c r="H678" s="217"/>
      <c r="I678" s="217"/>
      <c r="J678" s="217"/>
      <c r="K678" s="217"/>
      <c r="L678" s="217"/>
      <c r="M678" s="217"/>
      <c r="N678" s="217"/>
      <c r="O678" s="217"/>
      <c r="P678" s="217"/>
      <c r="Q678" s="217"/>
      <c r="R678" s="217"/>
      <c r="S678" s="217"/>
      <c r="T678" s="217"/>
      <c r="U678" s="217"/>
      <c r="V678" s="217"/>
      <c r="W678" s="217"/>
      <c r="X678" s="217"/>
      <c r="Y678" s="217"/>
      <c r="Z678" s="217"/>
    </row>
    <row r="679" ht="15.75" customHeight="1">
      <c r="A679" s="217"/>
      <c r="B679" s="217"/>
      <c r="C679" s="217"/>
      <c r="D679" s="217"/>
      <c r="E679" s="217"/>
      <c r="F679" s="217"/>
      <c r="G679" s="217"/>
      <c r="H679" s="217"/>
      <c r="I679" s="217"/>
      <c r="J679" s="217"/>
      <c r="K679" s="217"/>
      <c r="L679" s="217"/>
      <c r="M679" s="217"/>
      <c r="N679" s="217"/>
      <c r="O679" s="217"/>
      <c r="P679" s="217"/>
      <c r="Q679" s="217"/>
      <c r="R679" s="217"/>
      <c r="S679" s="217"/>
      <c r="T679" s="217"/>
      <c r="U679" s="217"/>
      <c r="V679" s="217"/>
      <c r="W679" s="217"/>
      <c r="X679" s="217"/>
      <c r="Y679" s="217"/>
      <c r="Z679" s="217"/>
    </row>
    <row r="680" ht="15.75" customHeight="1">
      <c r="A680" s="217"/>
      <c r="B680" s="217"/>
      <c r="C680" s="217"/>
      <c r="D680" s="217"/>
      <c r="E680" s="217"/>
      <c r="F680" s="217"/>
      <c r="G680" s="217"/>
      <c r="H680" s="217"/>
      <c r="I680" s="217"/>
      <c r="J680" s="217"/>
      <c r="K680" s="217"/>
      <c r="L680" s="217"/>
      <c r="M680" s="217"/>
      <c r="N680" s="217"/>
      <c r="O680" s="217"/>
      <c r="P680" s="217"/>
      <c r="Q680" s="217"/>
      <c r="R680" s="217"/>
      <c r="S680" s="217"/>
      <c r="T680" s="217"/>
      <c r="U680" s="217"/>
      <c r="V680" s="217"/>
      <c r="W680" s="217"/>
      <c r="X680" s="217"/>
      <c r="Y680" s="217"/>
      <c r="Z680" s="217"/>
    </row>
    <row r="681" ht="15.75" customHeight="1">
      <c r="A681" s="217"/>
      <c r="B681" s="217"/>
      <c r="C681" s="217"/>
      <c r="D681" s="217"/>
      <c r="E681" s="217"/>
      <c r="F681" s="217"/>
      <c r="G681" s="217"/>
      <c r="H681" s="217"/>
      <c r="I681" s="217"/>
      <c r="J681" s="217"/>
      <c r="K681" s="217"/>
      <c r="L681" s="217"/>
      <c r="M681" s="217"/>
      <c r="N681" s="217"/>
      <c r="O681" s="217"/>
      <c r="P681" s="217"/>
      <c r="Q681" s="217"/>
      <c r="R681" s="217"/>
      <c r="S681" s="217"/>
      <c r="T681" s="217"/>
      <c r="U681" s="217"/>
      <c r="V681" s="217"/>
      <c r="W681" s="217"/>
      <c r="X681" s="217"/>
      <c r="Y681" s="217"/>
      <c r="Z681" s="217"/>
    </row>
    <row r="682" ht="15.75" customHeight="1">
      <c r="A682" s="217"/>
      <c r="B682" s="217"/>
      <c r="C682" s="217"/>
      <c r="D682" s="217"/>
      <c r="E682" s="217"/>
      <c r="F682" s="217"/>
      <c r="G682" s="217"/>
      <c r="H682" s="217"/>
      <c r="I682" s="217"/>
      <c r="J682" s="217"/>
      <c r="K682" s="217"/>
      <c r="L682" s="217"/>
      <c r="M682" s="217"/>
      <c r="N682" s="217"/>
      <c r="O682" s="217"/>
      <c r="P682" s="217"/>
      <c r="Q682" s="217"/>
      <c r="R682" s="217"/>
      <c r="S682" s="217"/>
      <c r="T682" s="217"/>
      <c r="U682" s="217"/>
      <c r="V682" s="217"/>
      <c r="W682" s="217"/>
      <c r="X682" s="217"/>
      <c r="Y682" s="217"/>
      <c r="Z682" s="217"/>
    </row>
    <row r="683" ht="15.75" customHeight="1">
      <c r="A683" s="217"/>
      <c r="B683" s="217"/>
      <c r="C683" s="217"/>
      <c r="D683" s="217"/>
      <c r="E683" s="217"/>
      <c r="F683" s="217"/>
      <c r="G683" s="217"/>
      <c r="H683" s="217"/>
      <c r="I683" s="217"/>
      <c r="J683" s="217"/>
      <c r="K683" s="217"/>
      <c r="L683" s="217"/>
      <c r="M683" s="217"/>
      <c r="N683" s="217"/>
      <c r="O683" s="217"/>
      <c r="P683" s="217"/>
      <c r="Q683" s="217"/>
      <c r="R683" s="217"/>
      <c r="S683" s="217"/>
      <c r="T683" s="217"/>
      <c r="U683" s="217"/>
      <c r="V683" s="217"/>
      <c r="W683" s="217"/>
      <c r="X683" s="217"/>
      <c r="Y683" s="217"/>
      <c r="Z683" s="217"/>
    </row>
    <row r="684" ht="15.75" customHeight="1">
      <c r="A684" s="217"/>
      <c r="B684" s="217"/>
      <c r="C684" s="217"/>
      <c r="D684" s="217"/>
      <c r="E684" s="217"/>
      <c r="F684" s="217"/>
      <c r="G684" s="217"/>
      <c r="H684" s="217"/>
      <c r="I684" s="217"/>
      <c r="J684" s="217"/>
      <c r="K684" s="217"/>
      <c r="L684" s="217"/>
      <c r="M684" s="217"/>
      <c r="N684" s="217"/>
      <c r="O684" s="217"/>
      <c r="P684" s="217"/>
      <c r="Q684" s="217"/>
      <c r="R684" s="217"/>
      <c r="S684" s="217"/>
      <c r="T684" s="217"/>
      <c r="U684" s="217"/>
      <c r="V684" s="217"/>
      <c r="W684" s="217"/>
      <c r="X684" s="217"/>
      <c r="Y684" s="217"/>
      <c r="Z684" s="217"/>
    </row>
    <row r="685" ht="15.75" customHeight="1">
      <c r="A685" s="217"/>
      <c r="B685" s="217"/>
      <c r="C685" s="217"/>
      <c r="D685" s="217"/>
      <c r="E685" s="217"/>
      <c r="F685" s="217"/>
      <c r="G685" s="217"/>
      <c r="H685" s="217"/>
      <c r="I685" s="217"/>
      <c r="J685" s="217"/>
      <c r="K685" s="217"/>
      <c r="L685" s="217"/>
      <c r="M685" s="217"/>
      <c r="N685" s="217"/>
      <c r="O685" s="217"/>
      <c r="P685" s="217"/>
      <c r="Q685" s="217"/>
      <c r="R685" s="217"/>
      <c r="S685" s="217"/>
      <c r="T685" s="217"/>
      <c r="U685" s="217"/>
      <c r="V685" s="217"/>
      <c r="W685" s="217"/>
      <c r="X685" s="217"/>
      <c r="Y685" s="217"/>
      <c r="Z685" s="217"/>
    </row>
    <row r="686" ht="15.75" customHeight="1">
      <c r="A686" s="217"/>
      <c r="B686" s="217"/>
      <c r="C686" s="217"/>
      <c r="D686" s="217"/>
      <c r="E686" s="217"/>
      <c r="F686" s="217"/>
      <c r="G686" s="217"/>
      <c r="H686" s="217"/>
      <c r="I686" s="217"/>
      <c r="J686" s="217"/>
      <c r="K686" s="217"/>
      <c r="L686" s="217"/>
      <c r="M686" s="217"/>
      <c r="N686" s="217"/>
      <c r="O686" s="217"/>
      <c r="P686" s="217"/>
      <c r="Q686" s="217"/>
      <c r="R686" s="217"/>
      <c r="S686" s="217"/>
      <c r="T686" s="217"/>
      <c r="U686" s="217"/>
      <c r="V686" s="217"/>
      <c r="W686" s="217"/>
      <c r="X686" s="217"/>
      <c r="Y686" s="217"/>
      <c r="Z686" s="217"/>
    </row>
    <row r="687" ht="15.75" customHeight="1">
      <c r="A687" s="217"/>
      <c r="B687" s="217"/>
      <c r="C687" s="217"/>
      <c r="D687" s="217"/>
      <c r="E687" s="217"/>
      <c r="F687" s="217"/>
      <c r="G687" s="217"/>
      <c r="H687" s="217"/>
      <c r="I687" s="217"/>
      <c r="J687" s="217"/>
      <c r="K687" s="217"/>
      <c r="L687" s="217"/>
      <c r="M687" s="217"/>
      <c r="N687" s="217"/>
      <c r="O687" s="217"/>
      <c r="P687" s="217"/>
      <c r="Q687" s="217"/>
      <c r="R687" s="217"/>
      <c r="S687" s="217"/>
      <c r="T687" s="217"/>
      <c r="U687" s="217"/>
      <c r="V687" s="217"/>
      <c r="W687" s="217"/>
      <c r="X687" s="217"/>
      <c r="Y687" s="217"/>
      <c r="Z687" s="217"/>
    </row>
    <row r="688" ht="15.75" customHeight="1">
      <c r="A688" s="217"/>
      <c r="B688" s="217"/>
      <c r="C688" s="217"/>
      <c r="D688" s="217"/>
      <c r="E688" s="217"/>
      <c r="F688" s="217"/>
      <c r="G688" s="217"/>
      <c r="H688" s="217"/>
      <c r="I688" s="217"/>
      <c r="J688" s="217"/>
      <c r="K688" s="217"/>
      <c r="L688" s="217"/>
      <c r="M688" s="217"/>
      <c r="N688" s="217"/>
      <c r="O688" s="217"/>
      <c r="P688" s="217"/>
      <c r="Q688" s="217"/>
      <c r="R688" s="217"/>
      <c r="S688" s="217"/>
      <c r="T688" s="217"/>
      <c r="U688" s="217"/>
      <c r="V688" s="217"/>
      <c r="W688" s="217"/>
      <c r="X688" s="217"/>
      <c r="Y688" s="217"/>
      <c r="Z688" s="217"/>
    </row>
    <row r="689" ht="15.75" customHeight="1">
      <c r="A689" s="217"/>
      <c r="B689" s="217"/>
      <c r="C689" s="217"/>
      <c r="D689" s="217"/>
      <c r="E689" s="217"/>
      <c r="F689" s="217"/>
      <c r="G689" s="217"/>
      <c r="H689" s="217"/>
      <c r="I689" s="217"/>
      <c r="J689" s="217"/>
      <c r="K689" s="217"/>
      <c r="L689" s="217"/>
      <c r="M689" s="217"/>
      <c r="N689" s="217"/>
      <c r="O689" s="217"/>
      <c r="P689" s="217"/>
      <c r="Q689" s="217"/>
      <c r="R689" s="217"/>
      <c r="S689" s="217"/>
      <c r="T689" s="217"/>
      <c r="U689" s="217"/>
      <c r="V689" s="217"/>
      <c r="W689" s="217"/>
      <c r="X689" s="217"/>
      <c r="Y689" s="217"/>
      <c r="Z689" s="217"/>
    </row>
    <row r="690" ht="15.75" customHeight="1">
      <c r="A690" s="217"/>
      <c r="B690" s="217"/>
      <c r="C690" s="217"/>
      <c r="D690" s="217"/>
      <c r="E690" s="217"/>
      <c r="F690" s="217"/>
      <c r="G690" s="217"/>
      <c r="H690" s="217"/>
      <c r="I690" s="217"/>
      <c r="J690" s="217"/>
      <c r="K690" s="217"/>
      <c r="L690" s="217"/>
      <c r="M690" s="217"/>
      <c r="N690" s="217"/>
      <c r="O690" s="217"/>
      <c r="P690" s="217"/>
      <c r="Q690" s="217"/>
      <c r="R690" s="217"/>
      <c r="S690" s="217"/>
      <c r="T690" s="217"/>
      <c r="U690" s="217"/>
      <c r="V690" s="217"/>
      <c r="W690" s="217"/>
      <c r="X690" s="217"/>
      <c r="Y690" s="217"/>
      <c r="Z690" s="217"/>
    </row>
    <row r="691" ht="15.75" customHeight="1">
      <c r="A691" s="217"/>
      <c r="B691" s="217"/>
      <c r="C691" s="217"/>
      <c r="D691" s="217"/>
      <c r="E691" s="217"/>
      <c r="F691" s="217"/>
      <c r="G691" s="217"/>
      <c r="H691" s="217"/>
      <c r="I691" s="217"/>
      <c r="J691" s="217"/>
      <c r="K691" s="217"/>
      <c r="L691" s="217"/>
      <c r="M691" s="217"/>
      <c r="N691" s="217"/>
      <c r="O691" s="217"/>
      <c r="P691" s="217"/>
      <c r="Q691" s="217"/>
      <c r="R691" s="217"/>
      <c r="S691" s="217"/>
      <c r="T691" s="217"/>
      <c r="U691" s="217"/>
      <c r="V691" s="217"/>
      <c r="W691" s="217"/>
      <c r="X691" s="217"/>
      <c r="Y691" s="217"/>
      <c r="Z691" s="217"/>
    </row>
    <row r="692" ht="15.75" customHeight="1">
      <c r="A692" s="217"/>
      <c r="B692" s="217"/>
      <c r="C692" s="217"/>
      <c r="D692" s="217"/>
      <c r="E692" s="217"/>
      <c r="F692" s="217"/>
      <c r="G692" s="217"/>
      <c r="H692" s="217"/>
      <c r="I692" s="217"/>
      <c r="J692" s="217"/>
      <c r="K692" s="217"/>
      <c r="L692" s="217"/>
      <c r="M692" s="217"/>
      <c r="N692" s="217"/>
      <c r="O692" s="217"/>
      <c r="P692" s="217"/>
      <c r="Q692" s="217"/>
      <c r="R692" s="217"/>
      <c r="S692" s="217"/>
      <c r="T692" s="217"/>
      <c r="U692" s="217"/>
      <c r="V692" s="217"/>
      <c r="W692" s="217"/>
      <c r="X692" s="217"/>
      <c r="Y692" s="217"/>
      <c r="Z692" s="217"/>
    </row>
    <row r="693" ht="15.75" customHeight="1">
      <c r="A693" s="217"/>
      <c r="B693" s="217"/>
      <c r="C693" s="217"/>
      <c r="D693" s="217"/>
      <c r="E693" s="217"/>
      <c r="F693" s="217"/>
      <c r="G693" s="217"/>
      <c r="H693" s="217"/>
      <c r="I693" s="217"/>
      <c r="J693" s="217"/>
      <c r="K693" s="217"/>
      <c r="L693" s="217"/>
      <c r="M693" s="217"/>
      <c r="N693" s="217"/>
      <c r="O693" s="217"/>
      <c r="P693" s="217"/>
      <c r="Q693" s="217"/>
      <c r="R693" s="217"/>
      <c r="S693" s="217"/>
      <c r="T693" s="217"/>
      <c r="U693" s="217"/>
      <c r="V693" s="217"/>
      <c r="W693" s="217"/>
      <c r="X693" s="217"/>
      <c r="Y693" s="217"/>
      <c r="Z693" s="217"/>
    </row>
    <row r="694" ht="15.75" customHeight="1">
      <c r="A694" s="217"/>
      <c r="B694" s="217"/>
      <c r="C694" s="217"/>
      <c r="D694" s="217"/>
      <c r="E694" s="217"/>
      <c r="F694" s="217"/>
      <c r="G694" s="217"/>
      <c r="H694" s="217"/>
      <c r="I694" s="217"/>
      <c r="J694" s="217"/>
      <c r="K694" s="217"/>
      <c r="L694" s="217"/>
      <c r="M694" s="217"/>
      <c r="N694" s="217"/>
      <c r="O694" s="217"/>
      <c r="P694" s="217"/>
      <c r="Q694" s="217"/>
      <c r="R694" s="217"/>
      <c r="S694" s="217"/>
      <c r="T694" s="217"/>
      <c r="U694" s="217"/>
      <c r="V694" s="217"/>
      <c r="W694" s="217"/>
      <c r="X694" s="217"/>
      <c r="Y694" s="217"/>
      <c r="Z694" s="217"/>
    </row>
    <row r="695" ht="15.75" customHeight="1">
      <c r="A695" s="217"/>
      <c r="B695" s="217"/>
      <c r="C695" s="217"/>
      <c r="D695" s="217"/>
      <c r="E695" s="217"/>
      <c r="F695" s="217"/>
      <c r="G695" s="217"/>
      <c r="H695" s="217"/>
      <c r="I695" s="217"/>
      <c r="J695" s="217"/>
      <c r="K695" s="217"/>
      <c r="L695" s="217"/>
      <c r="M695" s="217"/>
      <c r="N695" s="217"/>
      <c r="O695" s="217"/>
      <c r="P695" s="217"/>
      <c r="Q695" s="217"/>
      <c r="R695" s="217"/>
      <c r="S695" s="217"/>
      <c r="T695" s="217"/>
      <c r="U695" s="217"/>
      <c r="V695" s="217"/>
      <c r="W695" s="217"/>
      <c r="X695" s="217"/>
      <c r="Y695" s="217"/>
      <c r="Z695" s="217"/>
    </row>
    <row r="696" ht="15.75" customHeight="1">
      <c r="A696" s="217"/>
      <c r="B696" s="217"/>
      <c r="C696" s="217"/>
      <c r="D696" s="217"/>
      <c r="E696" s="217"/>
      <c r="F696" s="217"/>
      <c r="G696" s="217"/>
      <c r="H696" s="217"/>
      <c r="I696" s="217"/>
      <c r="J696" s="217"/>
      <c r="K696" s="217"/>
      <c r="L696" s="217"/>
      <c r="M696" s="217"/>
      <c r="N696" s="217"/>
      <c r="O696" s="217"/>
      <c r="P696" s="217"/>
      <c r="Q696" s="217"/>
      <c r="R696" s="217"/>
      <c r="S696" s="217"/>
      <c r="T696" s="217"/>
      <c r="U696" s="217"/>
      <c r="V696" s="217"/>
      <c r="W696" s="217"/>
      <c r="X696" s="217"/>
      <c r="Y696" s="217"/>
      <c r="Z696" s="217"/>
    </row>
    <row r="697" ht="15.75" customHeight="1">
      <c r="A697" s="217"/>
      <c r="B697" s="217"/>
      <c r="C697" s="217"/>
      <c r="D697" s="217"/>
      <c r="E697" s="217"/>
      <c r="F697" s="217"/>
      <c r="G697" s="217"/>
      <c r="H697" s="217"/>
      <c r="I697" s="217"/>
      <c r="J697" s="217"/>
      <c r="K697" s="217"/>
      <c r="L697" s="217"/>
      <c r="M697" s="217"/>
      <c r="N697" s="217"/>
      <c r="O697" s="217"/>
      <c r="P697" s="217"/>
      <c r="Q697" s="217"/>
      <c r="R697" s="217"/>
      <c r="S697" s="217"/>
      <c r="T697" s="217"/>
      <c r="U697" s="217"/>
      <c r="V697" s="217"/>
      <c r="W697" s="217"/>
      <c r="X697" s="217"/>
      <c r="Y697" s="217"/>
      <c r="Z697" s="217"/>
    </row>
    <row r="698" ht="15.75" customHeight="1">
      <c r="A698" s="217"/>
      <c r="B698" s="217"/>
      <c r="C698" s="217"/>
      <c r="D698" s="217"/>
      <c r="E698" s="217"/>
      <c r="F698" s="217"/>
      <c r="G698" s="217"/>
      <c r="H698" s="217"/>
      <c r="I698" s="217"/>
      <c r="J698" s="217"/>
      <c r="K698" s="217"/>
      <c r="L698" s="217"/>
      <c r="M698" s="217"/>
      <c r="N698" s="217"/>
      <c r="O698" s="217"/>
      <c r="P698" s="217"/>
      <c r="Q698" s="217"/>
      <c r="R698" s="217"/>
      <c r="S698" s="217"/>
      <c r="T698" s="217"/>
      <c r="U698" s="217"/>
      <c r="V698" s="217"/>
      <c r="W698" s="217"/>
      <c r="X698" s="217"/>
      <c r="Y698" s="217"/>
      <c r="Z698" s="217"/>
    </row>
    <row r="699" ht="15.75" customHeight="1">
      <c r="A699" s="217"/>
      <c r="B699" s="217"/>
      <c r="C699" s="217"/>
      <c r="D699" s="217"/>
      <c r="E699" s="217"/>
      <c r="F699" s="217"/>
      <c r="G699" s="217"/>
      <c r="H699" s="217"/>
      <c r="I699" s="217"/>
      <c r="J699" s="217"/>
      <c r="K699" s="217"/>
      <c r="L699" s="217"/>
      <c r="M699" s="217"/>
      <c r="N699" s="217"/>
      <c r="O699" s="217"/>
      <c r="P699" s="217"/>
      <c r="Q699" s="217"/>
      <c r="R699" s="217"/>
      <c r="S699" s="217"/>
      <c r="T699" s="217"/>
      <c r="U699" s="217"/>
      <c r="V699" s="217"/>
      <c r="W699" s="217"/>
      <c r="X699" s="217"/>
      <c r="Y699" s="217"/>
      <c r="Z699" s="217"/>
    </row>
    <row r="700" ht="15.75" customHeight="1">
      <c r="A700" s="217"/>
      <c r="B700" s="217"/>
      <c r="C700" s="217"/>
      <c r="D700" s="217"/>
      <c r="E700" s="217"/>
      <c r="F700" s="217"/>
      <c r="G700" s="217"/>
      <c r="H700" s="217"/>
      <c r="I700" s="217"/>
      <c r="J700" s="217"/>
      <c r="K700" s="217"/>
      <c r="L700" s="217"/>
      <c r="M700" s="217"/>
      <c r="N700" s="217"/>
      <c r="O700" s="217"/>
      <c r="P700" s="217"/>
      <c r="Q700" s="217"/>
      <c r="R700" s="217"/>
      <c r="S700" s="217"/>
      <c r="T700" s="217"/>
      <c r="U700" s="217"/>
      <c r="V700" s="217"/>
      <c r="W700" s="217"/>
      <c r="X700" s="217"/>
      <c r="Y700" s="217"/>
      <c r="Z700" s="217"/>
    </row>
    <row r="701" ht="15.75" customHeight="1">
      <c r="A701" s="217"/>
      <c r="B701" s="217"/>
      <c r="C701" s="217"/>
      <c r="D701" s="217"/>
      <c r="E701" s="217"/>
      <c r="F701" s="217"/>
      <c r="G701" s="217"/>
      <c r="H701" s="217"/>
      <c r="I701" s="217"/>
      <c r="J701" s="217"/>
      <c r="K701" s="217"/>
      <c r="L701" s="217"/>
      <c r="M701" s="217"/>
      <c r="N701" s="217"/>
      <c r="O701" s="217"/>
      <c r="P701" s="217"/>
      <c r="Q701" s="217"/>
      <c r="R701" s="217"/>
      <c r="S701" s="217"/>
      <c r="T701" s="217"/>
      <c r="U701" s="217"/>
      <c r="V701" s="217"/>
      <c r="W701" s="217"/>
      <c r="X701" s="217"/>
      <c r="Y701" s="217"/>
      <c r="Z701" s="217"/>
    </row>
    <row r="702" ht="15.75" customHeight="1">
      <c r="A702" s="217"/>
      <c r="B702" s="217"/>
      <c r="C702" s="217"/>
      <c r="D702" s="217"/>
      <c r="E702" s="217"/>
      <c r="F702" s="217"/>
      <c r="G702" s="217"/>
      <c r="H702" s="217"/>
      <c r="I702" s="217"/>
      <c r="J702" s="217"/>
      <c r="K702" s="217"/>
      <c r="L702" s="217"/>
      <c r="M702" s="217"/>
      <c r="N702" s="217"/>
      <c r="O702" s="217"/>
      <c r="P702" s="217"/>
      <c r="Q702" s="217"/>
      <c r="R702" s="217"/>
      <c r="S702" s="217"/>
      <c r="T702" s="217"/>
      <c r="U702" s="217"/>
      <c r="V702" s="217"/>
      <c r="W702" s="217"/>
      <c r="X702" s="217"/>
      <c r="Y702" s="217"/>
      <c r="Z702" s="217"/>
    </row>
    <row r="703" ht="15.75" customHeight="1">
      <c r="A703" s="217"/>
      <c r="B703" s="217"/>
      <c r="C703" s="217"/>
      <c r="D703" s="217"/>
      <c r="E703" s="217"/>
      <c r="F703" s="217"/>
      <c r="G703" s="217"/>
      <c r="H703" s="217"/>
      <c r="I703" s="217"/>
      <c r="J703" s="217"/>
      <c r="K703" s="217"/>
      <c r="L703" s="217"/>
      <c r="M703" s="217"/>
      <c r="N703" s="217"/>
      <c r="O703" s="217"/>
      <c r="P703" s="217"/>
      <c r="Q703" s="217"/>
      <c r="R703" s="217"/>
      <c r="S703" s="217"/>
      <c r="T703" s="217"/>
      <c r="U703" s="217"/>
      <c r="V703" s="217"/>
      <c r="W703" s="217"/>
      <c r="X703" s="217"/>
      <c r="Y703" s="217"/>
      <c r="Z703" s="217"/>
    </row>
    <row r="704" ht="15.75" customHeight="1">
      <c r="A704" s="217"/>
      <c r="B704" s="217"/>
      <c r="C704" s="217"/>
      <c r="D704" s="217"/>
      <c r="E704" s="217"/>
      <c r="F704" s="217"/>
      <c r="G704" s="217"/>
      <c r="H704" s="217"/>
      <c r="I704" s="217"/>
      <c r="J704" s="217"/>
      <c r="K704" s="217"/>
      <c r="L704" s="217"/>
      <c r="M704" s="217"/>
      <c r="N704" s="217"/>
      <c r="O704" s="217"/>
      <c r="P704" s="217"/>
      <c r="Q704" s="217"/>
      <c r="R704" s="217"/>
      <c r="S704" s="217"/>
      <c r="T704" s="217"/>
      <c r="U704" s="217"/>
      <c r="V704" s="217"/>
      <c r="W704" s="217"/>
      <c r="X704" s="217"/>
      <c r="Y704" s="217"/>
      <c r="Z704" s="217"/>
    </row>
    <row r="705" ht="15.75" customHeight="1">
      <c r="A705" s="217"/>
      <c r="B705" s="217"/>
      <c r="C705" s="217"/>
      <c r="D705" s="217"/>
      <c r="E705" s="217"/>
      <c r="F705" s="217"/>
      <c r="G705" s="217"/>
      <c r="H705" s="217"/>
      <c r="I705" s="217"/>
      <c r="J705" s="217"/>
      <c r="K705" s="217"/>
      <c r="L705" s="217"/>
      <c r="M705" s="217"/>
      <c r="N705" s="217"/>
      <c r="O705" s="217"/>
      <c r="P705" s="217"/>
      <c r="Q705" s="217"/>
      <c r="R705" s="217"/>
      <c r="S705" s="217"/>
      <c r="T705" s="217"/>
      <c r="U705" s="217"/>
      <c r="V705" s="217"/>
      <c r="W705" s="217"/>
      <c r="X705" s="217"/>
      <c r="Y705" s="217"/>
      <c r="Z705" s="217"/>
    </row>
    <row r="706" ht="15.75" customHeight="1">
      <c r="A706" s="217"/>
      <c r="B706" s="217"/>
      <c r="C706" s="217"/>
      <c r="D706" s="217"/>
      <c r="E706" s="217"/>
      <c r="F706" s="217"/>
      <c r="G706" s="217"/>
      <c r="H706" s="217"/>
      <c r="I706" s="217"/>
      <c r="J706" s="217"/>
      <c r="K706" s="217"/>
      <c r="L706" s="217"/>
      <c r="M706" s="217"/>
      <c r="N706" s="217"/>
      <c r="O706" s="217"/>
      <c r="P706" s="217"/>
      <c r="Q706" s="217"/>
      <c r="R706" s="217"/>
      <c r="S706" s="217"/>
      <c r="T706" s="217"/>
      <c r="U706" s="217"/>
      <c r="V706" s="217"/>
      <c r="W706" s="217"/>
      <c r="X706" s="217"/>
      <c r="Y706" s="217"/>
      <c r="Z706" s="217"/>
    </row>
    <row r="707" ht="15.75" customHeight="1">
      <c r="A707" s="217"/>
      <c r="B707" s="217"/>
      <c r="C707" s="217"/>
      <c r="D707" s="217"/>
      <c r="E707" s="217"/>
      <c r="F707" s="217"/>
      <c r="G707" s="217"/>
      <c r="H707" s="217"/>
      <c r="I707" s="217"/>
      <c r="J707" s="217"/>
      <c r="K707" s="217"/>
      <c r="L707" s="217"/>
      <c r="M707" s="217"/>
      <c r="N707" s="217"/>
      <c r="O707" s="217"/>
      <c r="P707" s="217"/>
      <c r="Q707" s="217"/>
      <c r="R707" s="217"/>
      <c r="S707" s="217"/>
      <c r="T707" s="217"/>
      <c r="U707" s="217"/>
      <c r="V707" s="217"/>
      <c r="W707" s="217"/>
      <c r="X707" s="217"/>
      <c r="Y707" s="217"/>
      <c r="Z707" s="217"/>
    </row>
    <row r="708" ht="15.75" customHeight="1">
      <c r="A708" s="217"/>
      <c r="B708" s="217"/>
      <c r="C708" s="217"/>
      <c r="D708" s="217"/>
      <c r="E708" s="217"/>
      <c r="F708" s="217"/>
      <c r="G708" s="217"/>
      <c r="H708" s="217"/>
      <c r="I708" s="217"/>
      <c r="J708" s="217"/>
      <c r="K708" s="217"/>
      <c r="L708" s="217"/>
      <c r="M708" s="217"/>
      <c r="N708" s="217"/>
      <c r="O708" s="217"/>
      <c r="P708" s="217"/>
      <c r="Q708" s="217"/>
      <c r="R708" s="217"/>
      <c r="S708" s="217"/>
      <c r="T708" s="217"/>
      <c r="U708" s="217"/>
      <c r="V708" s="217"/>
      <c r="W708" s="217"/>
      <c r="X708" s="217"/>
      <c r="Y708" s="217"/>
      <c r="Z708" s="217"/>
    </row>
    <row r="709" ht="15.75" customHeight="1">
      <c r="A709" s="217"/>
      <c r="B709" s="217"/>
      <c r="C709" s="217"/>
      <c r="D709" s="217"/>
      <c r="E709" s="217"/>
      <c r="F709" s="217"/>
      <c r="G709" s="217"/>
      <c r="H709" s="217"/>
      <c r="I709" s="217"/>
      <c r="J709" s="217"/>
      <c r="K709" s="217"/>
      <c r="L709" s="217"/>
      <c r="M709" s="217"/>
      <c r="N709" s="217"/>
      <c r="O709" s="217"/>
      <c r="P709" s="217"/>
      <c r="Q709" s="217"/>
      <c r="R709" s="217"/>
      <c r="S709" s="217"/>
      <c r="T709" s="217"/>
      <c r="U709" s="217"/>
      <c r="V709" s="217"/>
      <c r="W709" s="217"/>
      <c r="X709" s="217"/>
      <c r="Y709" s="217"/>
      <c r="Z709" s="217"/>
    </row>
    <row r="710" ht="15.75" customHeight="1">
      <c r="A710" s="217"/>
      <c r="B710" s="217"/>
      <c r="C710" s="217"/>
      <c r="D710" s="217"/>
      <c r="E710" s="217"/>
      <c r="F710" s="217"/>
      <c r="G710" s="217"/>
      <c r="H710" s="217"/>
      <c r="I710" s="217"/>
      <c r="J710" s="217"/>
      <c r="K710" s="217"/>
      <c r="L710" s="217"/>
      <c r="M710" s="217"/>
      <c r="N710" s="217"/>
      <c r="O710" s="217"/>
      <c r="P710" s="217"/>
      <c r="Q710" s="217"/>
      <c r="R710" s="217"/>
      <c r="S710" s="217"/>
      <c r="T710" s="217"/>
      <c r="U710" s="217"/>
      <c r="V710" s="217"/>
      <c r="W710" s="217"/>
      <c r="X710" s="217"/>
      <c r="Y710" s="217"/>
      <c r="Z710" s="217"/>
    </row>
    <row r="711" ht="15.75" customHeight="1">
      <c r="A711" s="217"/>
      <c r="B711" s="217"/>
      <c r="C711" s="217"/>
      <c r="D711" s="217"/>
      <c r="E711" s="217"/>
      <c r="F711" s="217"/>
      <c r="G711" s="217"/>
      <c r="H711" s="217"/>
      <c r="I711" s="217"/>
      <c r="J711" s="217"/>
      <c r="K711" s="217"/>
      <c r="L711" s="217"/>
      <c r="M711" s="217"/>
      <c r="N711" s="217"/>
      <c r="O711" s="217"/>
      <c r="P711" s="217"/>
      <c r="Q711" s="217"/>
      <c r="R711" s="217"/>
      <c r="S711" s="217"/>
      <c r="T711" s="217"/>
      <c r="U711" s="217"/>
      <c r="V711" s="217"/>
      <c r="W711" s="217"/>
      <c r="X711" s="217"/>
      <c r="Y711" s="217"/>
      <c r="Z711" s="217"/>
    </row>
    <row r="712" ht="15.75" customHeight="1">
      <c r="A712" s="217"/>
      <c r="B712" s="217"/>
      <c r="C712" s="217"/>
      <c r="D712" s="217"/>
      <c r="E712" s="217"/>
      <c r="F712" s="217"/>
      <c r="G712" s="217"/>
      <c r="H712" s="217"/>
      <c r="I712" s="217"/>
      <c r="J712" s="217"/>
      <c r="K712" s="217"/>
      <c r="L712" s="217"/>
      <c r="M712" s="217"/>
      <c r="N712" s="217"/>
      <c r="O712" s="217"/>
      <c r="P712" s="217"/>
      <c r="Q712" s="217"/>
      <c r="R712" s="217"/>
      <c r="S712" s="217"/>
      <c r="T712" s="217"/>
      <c r="U712" s="217"/>
      <c r="V712" s="217"/>
      <c r="W712" s="217"/>
      <c r="X712" s="217"/>
      <c r="Y712" s="217"/>
      <c r="Z712" s="217"/>
    </row>
    <row r="713" ht="15.75" customHeight="1">
      <c r="A713" s="217"/>
      <c r="B713" s="217"/>
      <c r="C713" s="217"/>
      <c r="D713" s="217"/>
      <c r="E713" s="217"/>
      <c r="F713" s="217"/>
      <c r="G713" s="217"/>
      <c r="H713" s="217"/>
      <c r="I713" s="217"/>
      <c r="J713" s="217"/>
      <c r="K713" s="217"/>
      <c r="L713" s="217"/>
      <c r="M713" s="217"/>
      <c r="N713" s="217"/>
      <c r="O713" s="217"/>
      <c r="P713" s="217"/>
      <c r="Q713" s="217"/>
      <c r="R713" s="217"/>
      <c r="S713" s="217"/>
      <c r="T713" s="217"/>
      <c r="U713" s="217"/>
      <c r="V713" s="217"/>
      <c r="W713" s="217"/>
      <c r="X713" s="217"/>
      <c r="Y713" s="217"/>
      <c r="Z713" s="217"/>
    </row>
    <row r="714" ht="15.75" customHeight="1">
      <c r="A714" s="217"/>
      <c r="B714" s="217"/>
      <c r="C714" s="217"/>
      <c r="D714" s="217"/>
      <c r="E714" s="217"/>
      <c r="F714" s="217"/>
      <c r="G714" s="217"/>
      <c r="H714" s="217"/>
      <c r="I714" s="217"/>
      <c r="J714" s="217"/>
      <c r="K714" s="217"/>
      <c r="L714" s="217"/>
      <c r="M714" s="217"/>
      <c r="N714" s="217"/>
      <c r="O714" s="217"/>
      <c r="P714" s="217"/>
      <c r="Q714" s="217"/>
      <c r="R714" s="217"/>
      <c r="S714" s="217"/>
      <c r="T714" s="217"/>
      <c r="U714" s="217"/>
      <c r="V714" s="217"/>
      <c r="W714" s="217"/>
      <c r="X714" s="217"/>
      <c r="Y714" s="217"/>
      <c r="Z714" s="217"/>
    </row>
    <row r="715" ht="15.75" customHeight="1">
      <c r="A715" s="217"/>
      <c r="B715" s="217"/>
      <c r="C715" s="217"/>
      <c r="D715" s="217"/>
      <c r="E715" s="217"/>
      <c r="F715" s="217"/>
      <c r="G715" s="217"/>
      <c r="H715" s="217"/>
      <c r="I715" s="217"/>
      <c r="J715" s="217"/>
      <c r="K715" s="217"/>
      <c r="L715" s="217"/>
      <c r="M715" s="217"/>
      <c r="N715" s="217"/>
      <c r="O715" s="217"/>
      <c r="P715" s="217"/>
      <c r="Q715" s="217"/>
      <c r="R715" s="217"/>
      <c r="S715" s="217"/>
      <c r="T715" s="217"/>
      <c r="U715" s="217"/>
      <c r="V715" s="217"/>
      <c r="W715" s="217"/>
      <c r="X715" s="217"/>
      <c r="Y715" s="217"/>
      <c r="Z715" s="217"/>
    </row>
    <row r="716" ht="15.75" customHeight="1">
      <c r="A716" s="217"/>
      <c r="B716" s="217"/>
      <c r="C716" s="217"/>
      <c r="D716" s="217"/>
      <c r="E716" s="217"/>
      <c r="F716" s="217"/>
      <c r="G716" s="217"/>
      <c r="H716" s="217"/>
      <c r="I716" s="217"/>
      <c r="J716" s="217"/>
      <c r="K716" s="217"/>
      <c r="L716" s="217"/>
      <c r="M716" s="217"/>
      <c r="N716" s="217"/>
      <c r="O716" s="217"/>
      <c r="P716" s="217"/>
      <c r="Q716" s="217"/>
      <c r="R716" s="217"/>
      <c r="S716" s="217"/>
      <c r="T716" s="217"/>
      <c r="U716" s="217"/>
      <c r="V716" s="217"/>
      <c r="W716" s="217"/>
      <c r="X716" s="217"/>
      <c r="Y716" s="217"/>
      <c r="Z716" s="217"/>
    </row>
    <row r="717" ht="15.75" customHeight="1">
      <c r="A717" s="217"/>
      <c r="B717" s="217"/>
      <c r="C717" s="217"/>
      <c r="D717" s="217"/>
      <c r="E717" s="217"/>
      <c r="F717" s="217"/>
      <c r="G717" s="217"/>
      <c r="H717" s="217"/>
      <c r="I717" s="217"/>
      <c r="J717" s="217"/>
      <c r="K717" s="217"/>
      <c r="L717" s="217"/>
      <c r="M717" s="217"/>
      <c r="N717" s="217"/>
      <c r="O717" s="217"/>
      <c r="P717" s="217"/>
      <c r="Q717" s="217"/>
      <c r="R717" s="217"/>
      <c r="S717" s="217"/>
      <c r="T717" s="217"/>
      <c r="U717" s="217"/>
      <c r="V717" s="217"/>
      <c r="W717" s="217"/>
      <c r="X717" s="217"/>
      <c r="Y717" s="217"/>
      <c r="Z717" s="217"/>
    </row>
    <row r="718" ht="15.75" customHeight="1">
      <c r="A718" s="217"/>
      <c r="B718" s="217"/>
      <c r="C718" s="217"/>
      <c r="D718" s="217"/>
      <c r="E718" s="217"/>
      <c r="F718" s="217"/>
      <c r="G718" s="217"/>
      <c r="H718" s="217"/>
      <c r="I718" s="217"/>
      <c r="J718" s="217"/>
      <c r="K718" s="217"/>
      <c r="L718" s="217"/>
      <c r="M718" s="217"/>
      <c r="N718" s="217"/>
      <c r="O718" s="217"/>
      <c r="P718" s="217"/>
      <c r="Q718" s="217"/>
      <c r="R718" s="217"/>
      <c r="S718" s="217"/>
      <c r="T718" s="217"/>
      <c r="U718" s="217"/>
      <c r="V718" s="217"/>
      <c r="W718" s="217"/>
      <c r="X718" s="217"/>
      <c r="Y718" s="217"/>
      <c r="Z718" s="217"/>
    </row>
    <row r="719" ht="15.75" customHeight="1">
      <c r="A719" s="217"/>
      <c r="B719" s="217"/>
      <c r="C719" s="217"/>
      <c r="D719" s="217"/>
      <c r="E719" s="217"/>
      <c r="F719" s="217"/>
      <c r="G719" s="217"/>
      <c r="H719" s="217"/>
      <c r="I719" s="217"/>
      <c r="J719" s="217"/>
      <c r="K719" s="217"/>
      <c r="L719" s="217"/>
      <c r="M719" s="217"/>
      <c r="N719" s="217"/>
      <c r="O719" s="217"/>
      <c r="P719" s="217"/>
      <c r="Q719" s="217"/>
      <c r="R719" s="217"/>
      <c r="S719" s="217"/>
      <c r="T719" s="217"/>
      <c r="U719" s="217"/>
      <c r="V719" s="217"/>
      <c r="W719" s="217"/>
      <c r="X719" s="217"/>
      <c r="Y719" s="217"/>
      <c r="Z719" s="217"/>
    </row>
    <row r="720" ht="15.75" customHeight="1">
      <c r="A720" s="217"/>
      <c r="B720" s="217"/>
      <c r="C720" s="217"/>
      <c r="D720" s="217"/>
      <c r="E720" s="217"/>
      <c r="F720" s="217"/>
      <c r="G720" s="217"/>
      <c r="H720" s="217"/>
      <c r="I720" s="217"/>
      <c r="J720" s="217"/>
      <c r="K720" s="217"/>
      <c r="L720" s="217"/>
      <c r="M720" s="217"/>
      <c r="N720" s="217"/>
      <c r="O720" s="217"/>
      <c r="P720" s="217"/>
      <c r="Q720" s="217"/>
      <c r="R720" s="217"/>
      <c r="S720" s="217"/>
      <c r="T720" s="217"/>
      <c r="U720" s="217"/>
      <c r="V720" s="217"/>
      <c r="W720" s="217"/>
      <c r="X720" s="217"/>
      <c r="Y720" s="217"/>
      <c r="Z720" s="217"/>
    </row>
    <row r="721" ht="15.75" customHeight="1">
      <c r="A721" s="217"/>
      <c r="B721" s="217"/>
      <c r="C721" s="217"/>
      <c r="D721" s="217"/>
      <c r="E721" s="217"/>
      <c r="F721" s="217"/>
      <c r="G721" s="217"/>
      <c r="H721" s="217"/>
      <c r="I721" s="217"/>
      <c r="J721" s="217"/>
      <c r="K721" s="217"/>
      <c r="L721" s="217"/>
      <c r="M721" s="217"/>
      <c r="N721" s="217"/>
      <c r="O721" s="217"/>
      <c r="P721" s="217"/>
      <c r="Q721" s="217"/>
      <c r="R721" s="217"/>
      <c r="S721" s="217"/>
      <c r="T721" s="217"/>
      <c r="U721" s="217"/>
      <c r="V721" s="217"/>
      <c r="W721" s="217"/>
      <c r="X721" s="217"/>
      <c r="Y721" s="217"/>
      <c r="Z721" s="217"/>
    </row>
    <row r="722" ht="15.75" customHeight="1">
      <c r="A722" s="217"/>
      <c r="B722" s="217"/>
      <c r="C722" s="217"/>
      <c r="D722" s="217"/>
      <c r="E722" s="217"/>
      <c r="F722" s="217"/>
      <c r="G722" s="217"/>
      <c r="H722" s="217"/>
      <c r="I722" s="217"/>
      <c r="J722" s="217"/>
      <c r="K722" s="217"/>
      <c r="L722" s="217"/>
      <c r="M722" s="217"/>
      <c r="N722" s="217"/>
      <c r="O722" s="217"/>
      <c r="P722" s="217"/>
      <c r="Q722" s="217"/>
      <c r="R722" s="217"/>
      <c r="S722" s="217"/>
      <c r="T722" s="217"/>
      <c r="U722" s="217"/>
      <c r="V722" s="217"/>
      <c r="W722" s="217"/>
      <c r="X722" s="217"/>
      <c r="Y722" s="217"/>
      <c r="Z722" s="217"/>
    </row>
    <row r="723" ht="15.75" customHeight="1">
      <c r="A723" s="217"/>
      <c r="B723" s="217"/>
      <c r="C723" s="217"/>
      <c r="D723" s="217"/>
      <c r="E723" s="217"/>
      <c r="F723" s="217"/>
      <c r="G723" s="217"/>
      <c r="H723" s="217"/>
      <c r="I723" s="217"/>
      <c r="J723" s="217"/>
      <c r="K723" s="217"/>
      <c r="L723" s="217"/>
      <c r="M723" s="217"/>
      <c r="N723" s="217"/>
      <c r="O723" s="217"/>
      <c r="P723" s="217"/>
      <c r="Q723" s="217"/>
      <c r="R723" s="217"/>
      <c r="S723" s="217"/>
      <c r="T723" s="217"/>
      <c r="U723" s="217"/>
      <c r="V723" s="217"/>
      <c r="W723" s="217"/>
      <c r="X723" s="217"/>
      <c r="Y723" s="217"/>
      <c r="Z723" s="217"/>
    </row>
    <row r="724" ht="15.75" customHeight="1">
      <c r="A724" s="217"/>
      <c r="B724" s="217"/>
      <c r="C724" s="217"/>
      <c r="D724" s="217"/>
      <c r="E724" s="217"/>
      <c r="F724" s="217"/>
      <c r="G724" s="217"/>
      <c r="H724" s="217"/>
      <c r="I724" s="217"/>
      <c r="J724" s="217"/>
      <c r="K724" s="217"/>
      <c r="L724" s="217"/>
      <c r="M724" s="217"/>
      <c r="N724" s="217"/>
      <c r="O724" s="217"/>
      <c r="P724" s="217"/>
      <c r="Q724" s="217"/>
      <c r="R724" s="217"/>
      <c r="S724" s="217"/>
      <c r="T724" s="217"/>
      <c r="U724" s="217"/>
      <c r="V724" s="217"/>
      <c r="W724" s="217"/>
      <c r="X724" s="217"/>
      <c r="Y724" s="217"/>
      <c r="Z724" s="217"/>
    </row>
    <row r="725" ht="15.75" customHeight="1">
      <c r="A725" s="217"/>
      <c r="B725" s="217"/>
      <c r="C725" s="217"/>
      <c r="D725" s="217"/>
      <c r="E725" s="217"/>
      <c r="F725" s="217"/>
      <c r="G725" s="217"/>
      <c r="H725" s="217"/>
      <c r="I725" s="217"/>
      <c r="J725" s="217"/>
      <c r="K725" s="217"/>
      <c r="L725" s="217"/>
      <c r="M725" s="217"/>
      <c r="N725" s="217"/>
      <c r="O725" s="217"/>
      <c r="P725" s="217"/>
      <c r="Q725" s="217"/>
      <c r="R725" s="217"/>
      <c r="S725" s="217"/>
      <c r="T725" s="217"/>
      <c r="U725" s="217"/>
      <c r="V725" s="217"/>
      <c r="W725" s="217"/>
      <c r="X725" s="217"/>
      <c r="Y725" s="217"/>
      <c r="Z725" s="217"/>
    </row>
    <row r="726" ht="15.75" customHeight="1">
      <c r="A726" s="217"/>
      <c r="B726" s="217"/>
      <c r="C726" s="217"/>
      <c r="D726" s="217"/>
      <c r="E726" s="217"/>
      <c r="F726" s="217"/>
      <c r="G726" s="217"/>
      <c r="H726" s="217"/>
      <c r="I726" s="217"/>
      <c r="J726" s="217"/>
      <c r="K726" s="217"/>
      <c r="L726" s="217"/>
      <c r="M726" s="217"/>
      <c r="N726" s="217"/>
      <c r="O726" s="217"/>
      <c r="P726" s="217"/>
      <c r="Q726" s="217"/>
      <c r="R726" s="217"/>
      <c r="S726" s="217"/>
      <c r="T726" s="217"/>
      <c r="U726" s="217"/>
      <c r="V726" s="217"/>
      <c r="W726" s="217"/>
      <c r="X726" s="217"/>
      <c r="Y726" s="217"/>
      <c r="Z726" s="217"/>
    </row>
    <row r="727" ht="15.75" customHeight="1">
      <c r="A727" s="217"/>
      <c r="B727" s="217"/>
      <c r="C727" s="217"/>
      <c r="D727" s="217"/>
      <c r="E727" s="217"/>
      <c r="F727" s="217"/>
      <c r="G727" s="217"/>
      <c r="H727" s="217"/>
      <c r="I727" s="217"/>
      <c r="J727" s="217"/>
      <c r="K727" s="217"/>
      <c r="L727" s="217"/>
      <c r="M727" s="217"/>
      <c r="N727" s="217"/>
      <c r="O727" s="217"/>
      <c r="P727" s="217"/>
      <c r="Q727" s="217"/>
      <c r="R727" s="217"/>
      <c r="S727" s="217"/>
      <c r="T727" s="217"/>
      <c r="U727" s="217"/>
      <c r="V727" s="217"/>
      <c r="W727" s="217"/>
      <c r="X727" s="217"/>
      <c r="Y727" s="217"/>
      <c r="Z727" s="217"/>
    </row>
    <row r="728" ht="15.75" customHeight="1">
      <c r="A728" s="217"/>
      <c r="B728" s="217"/>
      <c r="C728" s="217"/>
      <c r="D728" s="217"/>
      <c r="E728" s="217"/>
      <c r="F728" s="217"/>
      <c r="G728" s="217"/>
      <c r="H728" s="217"/>
      <c r="I728" s="217"/>
      <c r="J728" s="217"/>
      <c r="K728" s="217"/>
      <c r="L728" s="217"/>
      <c r="M728" s="217"/>
      <c r="N728" s="217"/>
      <c r="O728" s="217"/>
      <c r="P728" s="217"/>
      <c r="Q728" s="217"/>
      <c r="R728" s="217"/>
      <c r="S728" s="217"/>
      <c r="T728" s="217"/>
      <c r="U728" s="217"/>
      <c r="V728" s="217"/>
      <c r="W728" s="217"/>
      <c r="X728" s="217"/>
      <c r="Y728" s="217"/>
      <c r="Z728" s="217"/>
    </row>
    <row r="729" ht="15.75" customHeight="1">
      <c r="A729" s="217"/>
      <c r="B729" s="217"/>
      <c r="C729" s="217"/>
      <c r="D729" s="217"/>
      <c r="E729" s="217"/>
      <c r="F729" s="217"/>
      <c r="G729" s="217"/>
      <c r="H729" s="217"/>
      <c r="I729" s="217"/>
      <c r="J729" s="217"/>
      <c r="K729" s="217"/>
      <c r="L729" s="217"/>
      <c r="M729" s="217"/>
      <c r="N729" s="217"/>
      <c r="O729" s="217"/>
      <c r="P729" s="217"/>
      <c r="Q729" s="217"/>
      <c r="R729" s="217"/>
      <c r="S729" s="217"/>
      <c r="T729" s="217"/>
      <c r="U729" s="217"/>
      <c r="V729" s="217"/>
      <c r="W729" s="217"/>
      <c r="X729" s="217"/>
      <c r="Y729" s="217"/>
      <c r="Z729" s="217"/>
    </row>
    <row r="730" ht="15.75" customHeight="1">
      <c r="A730" s="217"/>
      <c r="B730" s="217"/>
      <c r="C730" s="217"/>
      <c r="D730" s="217"/>
      <c r="E730" s="217"/>
      <c r="F730" s="217"/>
      <c r="G730" s="217"/>
      <c r="H730" s="217"/>
      <c r="I730" s="217"/>
      <c r="J730" s="217"/>
      <c r="K730" s="217"/>
      <c r="L730" s="217"/>
      <c r="M730" s="217"/>
      <c r="N730" s="217"/>
      <c r="O730" s="217"/>
      <c r="P730" s="217"/>
      <c r="Q730" s="217"/>
      <c r="R730" s="217"/>
      <c r="S730" s="217"/>
      <c r="T730" s="217"/>
      <c r="U730" s="217"/>
      <c r="V730" s="217"/>
      <c r="W730" s="217"/>
      <c r="X730" s="217"/>
      <c r="Y730" s="217"/>
      <c r="Z730" s="217"/>
    </row>
    <row r="731" ht="15.75" customHeight="1">
      <c r="A731" s="217"/>
      <c r="B731" s="217"/>
      <c r="C731" s="217"/>
      <c r="D731" s="217"/>
      <c r="E731" s="217"/>
      <c r="F731" s="217"/>
      <c r="G731" s="217"/>
      <c r="H731" s="217"/>
      <c r="I731" s="217"/>
      <c r="J731" s="217"/>
      <c r="K731" s="217"/>
      <c r="L731" s="217"/>
      <c r="M731" s="217"/>
      <c r="N731" s="217"/>
      <c r="O731" s="217"/>
      <c r="P731" s="217"/>
      <c r="Q731" s="217"/>
      <c r="R731" s="217"/>
      <c r="S731" s="217"/>
      <c r="T731" s="217"/>
      <c r="U731" s="217"/>
      <c r="V731" s="217"/>
      <c r="W731" s="217"/>
      <c r="X731" s="217"/>
      <c r="Y731" s="217"/>
      <c r="Z731" s="217"/>
    </row>
    <row r="732" ht="15.75" customHeight="1">
      <c r="A732" s="217"/>
      <c r="B732" s="217"/>
      <c r="C732" s="217"/>
      <c r="D732" s="217"/>
      <c r="E732" s="217"/>
      <c r="F732" s="217"/>
      <c r="G732" s="217"/>
      <c r="H732" s="217"/>
      <c r="I732" s="217"/>
      <c r="J732" s="217"/>
      <c r="K732" s="217"/>
      <c r="L732" s="217"/>
      <c r="M732" s="217"/>
      <c r="N732" s="217"/>
      <c r="O732" s="217"/>
      <c r="P732" s="217"/>
      <c r="Q732" s="217"/>
      <c r="R732" s="217"/>
      <c r="S732" s="217"/>
      <c r="T732" s="217"/>
      <c r="U732" s="217"/>
      <c r="V732" s="217"/>
      <c r="W732" s="217"/>
      <c r="X732" s="217"/>
      <c r="Y732" s="217"/>
      <c r="Z732" s="217"/>
    </row>
    <row r="733" ht="15.75" customHeight="1">
      <c r="A733" s="217"/>
      <c r="B733" s="217"/>
      <c r="C733" s="217"/>
      <c r="D733" s="217"/>
      <c r="E733" s="217"/>
      <c r="F733" s="217"/>
      <c r="G733" s="217"/>
      <c r="H733" s="217"/>
      <c r="I733" s="217"/>
      <c r="J733" s="217"/>
      <c r="K733" s="217"/>
      <c r="L733" s="217"/>
      <c r="M733" s="217"/>
      <c r="N733" s="217"/>
      <c r="O733" s="217"/>
      <c r="P733" s="217"/>
      <c r="Q733" s="217"/>
      <c r="R733" s="217"/>
      <c r="S733" s="217"/>
      <c r="T733" s="217"/>
      <c r="U733" s="217"/>
      <c r="V733" s="217"/>
      <c r="W733" s="217"/>
      <c r="X733" s="217"/>
      <c r="Y733" s="217"/>
      <c r="Z733" s="217"/>
    </row>
    <row r="734" ht="15.75" customHeight="1">
      <c r="A734" s="217"/>
      <c r="B734" s="217"/>
      <c r="C734" s="217"/>
      <c r="D734" s="217"/>
      <c r="E734" s="217"/>
      <c r="F734" s="217"/>
      <c r="G734" s="217"/>
      <c r="H734" s="217"/>
      <c r="I734" s="217"/>
      <c r="J734" s="217"/>
      <c r="K734" s="217"/>
      <c r="L734" s="217"/>
      <c r="M734" s="217"/>
      <c r="N734" s="217"/>
      <c r="O734" s="217"/>
      <c r="P734" s="217"/>
      <c r="Q734" s="217"/>
      <c r="R734" s="217"/>
      <c r="S734" s="217"/>
      <c r="T734" s="217"/>
      <c r="U734" s="217"/>
      <c r="V734" s="217"/>
      <c r="W734" s="217"/>
      <c r="X734" s="217"/>
      <c r="Y734" s="217"/>
      <c r="Z734" s="217"/>
    </row>
    <row r="735" ht="15.75" customHeight="1">
      <c r="A735" s="217"/>
      <c r="B735" s="217"/>
      <c r="C735" s="217"/>
      <c r="D735" s="217"/>
      <c r="E735" s="217"/>
      <c r="F735" s="217"/>
      <c r="G735" s="217"/>
      <c r="H735" s="217"/>
      <c r="I735" s="217"/>
      <c r="J735" s="217"/>
      <c r="K735" s="217"/>
      <c r="L735" s="217"/>
      <c r="M735" s="217"/>
      <c r="N735" s="217"/>
      <c r="O735" s="217"/>
      <c r="P735" s="217"/>
      <c r="Q735" s="217"/>
      <c r="R735" s="217"/>
      <c r="S735" s="217"/>
      <c r="T735" s="217"/>
      <c r="U735" s="217"/>
      <c r="V735" s="217"/>
      <c r="W735" s="217"/>
      <c r="X735" s="217"/>
      <c r="Y735" s="217"/>
      <c r="Z735" s="217"/>
    </row>
    <row r="736" ht="15.75" customHeight="1">
      <c r="A736" s="217"/>
      <c r="B736" s="217"/>
      <c r="C736" s="217"/>
      <c r="D736" s="217"/>
      <c r="E736" s="217"/>
      <c r="F736" s="217"/>
      <c r="G736" s="217"/>
      <c r="H736" s="217"/>
      <c r="I736" s="217"/>
      <c r="J736" s="217"/>
      <c r="K736" s="217"/>
      <c r="L736" s="217"/>
      <c r="M736" s="217"/>
      <c r="N736" s="217"/>
      <c r="O736" s="217"/>
      <c r="P736" s="217"/>
      <c r="Q736" s="217"/>
      <c r="R736" s="217"/>
      <c r="S736" s="217"/>
      <c r="T736" s="217"/>
      <c r="U736" s="217"/>
      <c r="V736" s="217"/>
      <c r="W736" s="217"/>
      <c r="X736" s="217"/>
      <c r="Y736" s="217"/>
      <c r="Z736" s="217"/>
    </row>
    <row r="737" ht="15.75" customHeight="1">
      <c r="A737" s="217"/>
      <c r="B737" s="217"/>
      <c r="C737" s="217"/>
      <c r="D737" s="217"/>
      <c r="E737" s="217"/>
      <c r="F737" s="217"/>
      <c r="G737" s="217"/>
      <c r="H737" s="217"/>
      <c r="I737" s="217"/>
      <c r="J737" s="217"/>
      <c r="K737" s="217"/>
      <c r="L737" s="217"/>
      <c r="M737" s="217"/>
      <c r="N737" s="217"/>
      <c r="O737" s="217"/>
      <c r="P737" s="217"/>
      <c r="Q737" s="217"/>
      <c r="R737" s="217"/>
      <c r="S737" s="217"/>
      <c r="T737" s="217"/>
      <c r="U737" s="217"/>
      <c r="V737" s="217"/>
      <c r="W737" s="217"/>
      <c r="X737" s="217"/>
      <c r="Y737" s="217"/>
      <c r="Z737" s="217"/>
    </row>
    <row r="738" ht="15.75" customHeight="1">
      <c r="A738" s="217"/>
      <c r="B738" s="217"/>
      <c r="C738" s="217"/>
      <c r="D738" s="217"/>
      <c r="E738" s="217"/>
      <c r="F738" s="217"/>
      <c r="G738" s="217"/>
      <c r="H738" s="217"/>
      <c r="I738" s="217"/>
      <c r="J738" s="217"/>
      <c r="K738" s="217"/>
      <c r="L738" s="217"/>
      <c r="M738" s="217"/>
      <c r="N738" s="217"/>
      <c r="O738" s="217"/>
      <c r="P738" s="217"/>
      <c r="Q738" s="217"/>
      <c r="R738" s="217"/>
      <c r="S738" s="217"/>
      <c r="T738" s="217"/>
      <c r="U738" s="217"/>
      <c r="V738" s="217"/>
      <c r="W738" s="217"/>
      <c r="X738" s="217"/>
      <c r="Y738" s="217"/>
      <c r="Z738" s="217"/>
    </row>
    <row r="739" ht="15.75" customHeight="1">
      <c r="A739" s="217"/>
      <c r="B739" s="217"/>
      <c r="C739" s="217"/>
      <c r="D739" s="217"/>
      <c r="E739" s="217"/>
      <c r="F739" s="217"/>
      <c r="G739" s="217"/>
      <c r="H739" s="217"/>
      <c r="I739" s="217"/>
      <c r="J739" s="217"/>
      <c r="K739" s="217"/>
      <c r="L739" s="217"/>
      <c r="M739" s="217"/>
      <c r="N739" s="217"/>
      <c r="O739" s="217"/>
      <c r="P739" s="217"/>
      <c r="Q739" s="217"/>
      <c r="R739" s="217"/>
      <c r="S739" s="217"/>
      <c r="T739" s="217"/>
      <c r="U739" s="217"/>
      <c r="V739" s="217"/>
      <c r="W739" s="217"/>
      <c r="X739" s="217"/>
      <c r="Y739" s="217"/>
      <c r="Z739" s="217"/>
    </row>
    <row r="740" ht="15.75" customHeight="1">
      <c r="A740" s="217"/>
      <c r="B740" s="217"/>
      <c r="C740" s="217"/>
      <c r="D740" s="217"/>
      <c r="E740" s="217"/>
      <c r="F740" s="217"/>
      <c r="G740" s="217"/>
      <c r="H740" s="217"/>
      <c r="I740" s="217"/>
      <c r="J740" s="217"/>
      <c r="K740" s="217"/>
      <c r="L740" s="217"/>
      <c r="M740" s="217"/>
      <c r="N740" s="217"/>
      <c r="O740" s="217"/>
      <c r="P740" s="217"/>
      <c r="Q740" s="217"/>
      <c r="R740" s="217"/>
      <c r="S740" s="217"/>
      <c r="T740" s="217"/>
      <c r="U740" s="217"/>
      <c r="V740" s="217"/>
      <c r="W740" s="217"/>
      <c r="X740" s="217"/>
      <c r="Y740" s="217"/>
      <c r="Z740" s="217"/>
    </row>
    <row r="741" ht="15.75" customHeight="1">
      <c r="A741" s="217"/>
      <c r="B741" s="217"/>
      <c r="C741" s="217"/>
      <c r="D741" s="217"/>
      <c r="E741" s="217"/>
      <c r="F741" s="217"/>
      <c r="G741" s="217"/>
      <c r="H741" s="217"/>
      <c r="I741" s="217"/>
      <c r="J741" s="217"/>
      <c r="K741" s="217"/>
      <c r="L741" s="217"/>
      <c r="M741" s="217"/>
      <c r="N741" s="217"/>
      <c r="O741" s="217"/>
      <c r="P741" s="217"/>
      <c r="Q741" s="217"/>
      <c r="R741" s="217"/>
      <c r="S741" s="217"/>
      <c r="T741" s="217"/>
      <c r="U741" s="217"/>
      <c r="V741" s="217"/>
      <c r="W741" s="217"/>
      <c r="X741" s="217"/>
      <c r="Y741" s="217"/>
      <c r="Z741" s="217"/>
    </row>
    <row r="742" ht="15.75" customHeight="1">
      <c r="A742" s="217"/>
      <c r="B742" s="217"/>
      <c r="C742" s="217"/>
      <c r="D742" s="217"/>
      <c r="E742" s="217"/>
      <c r="F742" s="217"/>
      <c r="G742" s="217"/>
      <c r="H742" s="217"/>
      <c r="I742" s="217"/>
      <c r="J742" s="217"/>
      <c r="K742" s="217"/>
      <c r="L742" s="217"/>
      <c r="M742" s="217"/>
      <c r="N742" s="217"/>
      <c r="O742" s="217"/>
      <c r="P742" s="217"/>
      <c r="Q742" s="217"/>
      <c r="R742" s="217"/>
      <c r="S742" s="217"/>
      <c r="T742" s="217"/>
      <c r="U742" s="217"/>
      <c r="V742" s="217"/>
      <c r="W742" s="217"/>
      <c r="X742" s="217"/>
      <c r="Y742" s="217"/>
      <c r="Z742" s="217"/>
    </row>
    <row r="743" ht="15.75" customHeight="1">
      <c r="A743" s="217"/>
      <c r="B743" s="217"/>
      <c r="C743" s="217"/>
      <c r="D743" s="217"/>
      <c r="E743" s="217"/>
      <c r="F743" s="217"/>
      <c r="G743" s="217"/>
      <c r="H743" s="217"/>
      <c r="I743" s="217"/>
      <c r="J743" s="217"/>
      <c r="K743" s="217"/>
      <c r="L743" s="217"/>
      <c r="M743" s="217"/>
      <c r="N743" s="217"/>
      <c r="O743" s="217"/>
      <c r="P743" s="217"/>
      <c r="Q743" s="217"/>
      <c r="R743" s="217"/>
      <c r="S743" s="217"/>
      <c r="T743" s="217"/>
      <c r="U743" s="217"/>
      <c r="V743" s="217"/>
      <c r="W743" s="217"/>
      <c r="X743" s="217"/>
      <c r="Y743" s="217"/>
      <c r="Z743" s="217"/>
    </row>
    <row r="744" ht="15.75" customHeight="1">
      <c r="A744" s="217"/>
      <c r="B744" s="217"/>
      <c r="C744" s="217"/>
      <c r="D744" s="217"/>
      <c r="E744" s="217"/>
      <c r="F744" s="217"/>
      <c r="G744" s="217"/>
      <c r="H744" s="217"/>
      <c r="I744" s="217"/>
      <c r="J744" s="217"/>
      <c r="K744" s="217"/>
      <c r="L744" s="217"/>
      <c r="M744" s="217"/>
      <c r="N744" s="217"/>
      <c r="O744" s="217"/>
      <c r="P744" s="217"/>
      <c r="Q744" s="217"/>
      <c r="R744" s="217"/>
      <c r="S744" s="217"/>
      <c r="T744" s="217"/>
      <c r="U744" s="217"/>
      <c r="V744" s="217"/>
      <c r="W744" s="217"/>
      <c r="X744" s="217"/>
      <c r="Y744" s="217"/>
      <c r="Z744" s="217"/>
    </row>
    <row r="745" ht="15.75" customHeight="1">
      <c r="A745" s="217"/>
      <c r="B745" s="217"/>
      <c r="C745" s="217"/>
      <c r="D745" s="217"/>
      <c r="E745" s="217"/>
      <c r="F745" s="217"/>
      <c r="G745" s="217"/>
      <c r="H745" s="217"/>
      <c r="I745" s="217"/>
      <c r="J745" s="217"/>
      <c r="K745" s="217"/>
      <c r="L745" s="217"/>
      <c r="M745" s="217"/>
      <c r="N745" s="217"/>
      <c r="O745" s="217"/>
      <c r="P745" s="217"/>
      <c r="Q745" s="217"/>
      <c r="R745" s="217"/>
      <c r="S745" s="217"/>
      <c r="T745" s="217"/>
      <c r="U745" s="217"/>
      <c r="V745" s="217"/>
      <c r="W745" s="217"/>
      <c r="X745" s="217"/>
      <c r="Y745" s="217"/>
      <c r="Z745" s="217"/>
    </row>
    <row r="746" ht="15.75" customHeight="1">
      <c r="A746" s="217"/>
      <c r="B746" s="217"/>
      <c r="C746" s="217"/>
      <c r="D746" s="217"/>
      <c r="E746" s="217"/>
      <c r="F746" s="217"/>
      <c r="G746" s="217"/>
      <c r="H746" s="217"/>
      <c r="I746" s="217"/>
      <c r="J746" s="217"/>
      <c r="K746" s="217"/>
      <c r="L746" s="217"/>
      <c r="M746" s="217"/>
      <c r="N746" s="217"/>
      <c r="O746" s="217"/>
      <c r="P746" s="217"/>
      <c r="Q746" s="217"/>
      <c r="R746" s="217"/>
      <c r="S746" s="217"/>
      <c r="T746" s="217"/>
      <c r="U746" s="217"/>
      <c r="V746" s="217"/>
      <c r="W746" s="217"/>
      <c r="X746" s="217"/>
      <c r="Y746" s="217"/>
      <c r="Z746" s="217"/>
    </row>
    <row r="747" ht="15.75" customHeight="1">
      <c r="A747" s="217"/>
      <c r="B747" s="217"/>
      <c r="C747" s="217"/>
      <c r="D747" s="217"/>
      <c r="E747" s="217"/>
      <c r="F747" s="217"/>
      <c r="G747" s="217"/>
      <c r="H747" s="217"/>
      <c r="I747" s="217"/>
      <c r="J747" s="217"/>
      <c r="K747" s="217"/>
      <c r="L747" s="217"/>
      <c r="M747" s="217"/>
      <c r="N747" s="217"/>
      <c r="O747" s="217"/>
      <c r="P747" s="217"/>
      <c r="Q747" s="217"/>
      <c r="R747" s="217"/>
      <c r="S747" s="217"/>
      <c r="T747" s="217"/>
      <c r="U747" s="217"/>
      <c r="V747" s="217"/>
      <c r="W747" s="217"/>
      <c r="X747" s="217"/>
      <c r="Y747" s="217"/>
      <c r="Z747" s="217"/>
    </row>
    <row r="748" ht="15.75" customHeight="1">
      <c r="A748" s="217"/>
      <c r="B748" s="217"/>
      <c r="C748" s="217"/>
      <c r="D748" s="217"/>
      <c r="E748" s="217"/>
      <c r="F748" s="217"/>
      <c r="G748" s="217"/>
      <c r="H748" s="217"/>
      <c r="I748" s="217"/>
      <c r="J748" s="217"/>
      <c r="K748" s="217"/>
      <c r="L748" s="217"/>
      <c r="M748" s="217"/>
      <c r="N748" s="217"/>
      <c r="O748" s="217"/>
      <c r="P748" s="217"/>
      <c r="Q748" s="217"/>
      <c r="R748" s="217"/>
      <c r="S748" s="217"/>
      <c r="T748" s="217"/>
      <c r="U748" s="217"/>
      <c r="V748" s="217"/>
      <c r="W748" s="217"/>
      <c r="X748" s="217"/>
      <c r="Y748" s="217"/>
      <c r="Z748" s="217"/>
    </row>
    <row r="749" ht="15.75" customHeight="1">
      <c r="A749" s="217"/>
      <c r="B749" s="217"/>
      <c r="C749" s="217"/>
      <c r="D749" s="217"/>
      <c r="E749" s="217"/>
      <c r="F749" s="217"/>
      <c r="G749" s="217"/>
      <c r="H749" s="217"/>
      <c r="I749" s="217"/>
      <c r="J749" s="217"/>
      <c r="K749" s="217"/>
      <c r="L749" s="217"/>
      <c r="M749" s="217"/>
      <c r="N749" s="217"/>
      <c r="O749" s="217"/>
      <c r="P749" s="217"/>
      <c r="Q749" s="217"/>
      <c r="R749" s="217"/>
      <c r="S749" s="217"/>
      <c r="T749" s="217"/>
      <c r="U749" s="217"/>
      <c r="V749" s="217"/>
      <c r="W749" s="217"/>
      <c r="X749" s="217"/>
      <c r="Y749" s="217"/>
      <c r="Z749" s="217"/>
    </row>
    <row r="750" ht="15.75" customHeight="1">
      <c r="A750" s="217"/>
      <c r="B750" s="217"/>
      <c r="C750" s="217"/>
      <c r="D750" s="217"/>
      <c r="E750" s="217"/>
      <c r="F750" s="217"/>
      <c r="G750" s="217"/>
      <c r="H750" s="217"/>
      <c r="I750" s="217"/>
      <c r="J750" s="217"/>
      <c r="K750" s="217"/>
      <c r="L750" s="217"/>
      <c r="M750" s="217"/>
      <c r="N750" s="217"/>
      <c r="O750" s="217"/>
      <c r="P750" s="217"/>
      <c r="Q750" s="217"/>
      <c r="R750" s="217"/>
      <c r="S750" s="217"/>
      <c r="T750" s="217"/>
      <c r="U750" s="217"/>
      <c r="V750" s="217"/>
      <c r="W750" s="217"/>
      <c r="X750" s="217"/>
      <c r="Y750" s="217"/>
      <c r="Z750" s="217"/>
    </row>
    <row r="751" ht="15.75" customHeight="1">
      <c r="A751" s="217"/>
      <c r="B751" s="217"/>
      <c r="C751" s="217"/>
      <c r="D751" s="217"/>
      <c r="E751" s="217"/>
      <c r="F751" s="217"/>
      <c r="G751" s="217"/>
      <c r="H751" s="217"/>
      <c r="I751" s="217"/>
      <c r="J751" s="217"/>
      <c r="K751" s="217"/>
      <c r="L751" s="217"/>
      <c r="M751" s="217"/>
      <c r="N751" s="217"/>
      <c r="O751" s="217"/>
      <c r="P751" s="217"/>
      <c r="Q751" s="217"/>
      <c r="R751" s="217"/>
      <c r="S751" s="217"/>
      <c r="T751" s="217"/>
      <c r="U751" s="217"/>
      <c r="V751" s="217"/>
      <c r="W751" s="217"/>
      <c r="X751" s="217"/>
      <c r="Y751" s="217"/>
      <c r="Z751" s="217"/>
    </row>
    <row r="752" ht="15.75" customHeight="1">
      <c r="A752" s="217"/>
      <c r="B752" s="217"/>
      <c r="C752" s="217"/>
      <c r="D752" s="217"/>
      <c r="E752" s="217"/>
      <c r="F752" s="217"/>
      <c r="G752" s="217"/>
      <c r="H752" s="217"/>
      <c r="I752" s="217"/>
      <c r="J752" s="217"/>
      <c r="K752" s="217"/>
      <c r="L752" s="217"/>
      <c r="M752" s="217"/>
      <c r="N752" s="217"/>
      <c r="O752" s="217"/>
      <c r="P752" s="217"/>
      <c r="Q752" s="217"/>
      <c r="R752" s="217"/>
      <c r="S752" s="217"/>
      <c r="T752" s="217"/>
      <c r="U752" s="217"/>
      <c r="V752" s="217"/>
      <c r="W752" s="217"/>
      <c r="X752" s="217"/>
      <c r="Y752" s="217"/>
      <c r="Z752" s="217"/>
    </row>
    <row r="753" ht="15.75" customHeight="1">
      <c r="A753" s="217"/>
      <c r="B753" s="217"/>
      <c r="C753" s="217"/>
      <c r="D753" s="217"/>
      <c r="E753" s="217"/>
      <c r="F753" s="217"/>
      <c r="G753" s="217"/>
      <c r="H753" s="217"/>
      <c r="I753" s="217"/>
      <c r="J753" s="217"/>
      <c r="K753" s="217"/>
      <c r="L753" s="217"/>
      <c r="M753" s="217"/>
      <c r="N753" s="217"/>
      <c r="O753" s="217"/>
      <c r="P753" s="217"/>
      <c r="Q753" s="217"/>
      <c r="R753" s="217"/>
      <c r="S753" s="217"/>
      <c r="T753" s="217"/>
      <c r="U753" s="217"/>
      <c r="V753" s="217"/>
      <c r="W753" s="217"/>
      <c r="X753" s="217"/>
      <c r="Y753" s="217"/>
      <c r="Z753" s="217"/>
    </row>
    <row r="754" ht="15.75" customHeight="1">
      <c r="A754" s="217"/>
      <c r="B754" s="217"/>
      <c r="C754" s="217"/>
      <c r="D754" s="217"/>
      <c r="E754" s="217"/>
      <c r="F754" s="217"/>
      <c r="G754" s="217"/>
      <c r="H754" s="217"/>
      <c r="I754" s="217"/>
      <c r="J754" s="217"/>
      <c r="K754" s="217"/>
      <c r="L754" s="217"/>
      <c r="M754" s="217"/>
      <c r="N754" s="217"/>
      <c r="O754" s="217"/>
      <c r="P754" s="217"/>
      <c r="Q754" s="217"/>
      <c r="R754" s="217"/>
      <c r="S754" s="217"/>
      <c r="T754" s="217"/>
      <c r="U754" s="217"/>
      <c r="V754" s="217"/>
      <c r="W754" s="217"/>
      <c r="X754" s="217"/>
      <c r="Y754" s="217"/>
      <c r="Z754" s="217"/>
    </row>
    <row r="755" ht="15.75" customHeight="1">
      <c r="A755" s="217"/>
      <c r="B755" s="217"/>
      <c r="C755" s="217"/>
      <c r="D755" s="217"/>
      <c r="E755" s="217"/>
      <c r="F755" s="217"/>
      <c r="G755" s="217"/>
      <c r="H755" s="217"/>
      <c r="I755" s="217"/>
      <c r="J755" s="217"/>
      <c r="K755" s="217"/>
      <c r="L755" s="217"/>
      <c r="M755" s="217"/>
      <c r="N755" s="217"/>
      <c r="O755" s="217"/>
      <c r="P755" s="217"/>
      <c r="Q755" s="217"/>
      <c r="R755" s="217"/>
      <c r="S755" s="217"/>
      <c r="T755" s="217"/>
      <c r="U755" s="217"/>
      <c r="V755" s="217"/>
      <c r="W755" s="217"/>
      <c r="X755" s="217"/>
      <c r="Y755" s="217"/>
      <c r="Z755" s="217"/>
    </row>
    <row r="756" ht="15.75" customHeight="1">
      <c r="A756" s="217"/>
      <c r="B756" s="217"/>
      <c r="C756" s="217"/>
      <c r="D756" s="217"/>
      <c r="E756" s="217"/>
      <c r="F756" s="217"/>
      <c r="G756" s="217"/>
      <c r="H756" s="217"/>
      <c r="I756" s="217"/>
      <c r="J756" s="217"/>
      <c r="K756" s="217"/>
      <c r="L756" s="217"/>
      <c r="M756" s="217"/>
      <c r="N756" s="217"/>
      <c r="O756" s="217"/>
      <c r="P756" s="217"/>
      <c r="Q756" s="217"/>
      <c r="R756" s="217"/>
      <c r="S756" s="217"/>
      <c r="T756" s="217"/>
      <c r="U756" s="217"/>
      <c r="V756" s="217"/>
      <c r="W756" s="217"/>
      <c r="X756" s="217"/>
      <c r="Y756" s="217"/>
      <c r="Z756" s="217"/>
    </row>
    <row r="757" ht="15.75" customHeight="1">
      <c r="A757" s="217"/>
      <c r="B757" s="217"/>
      <c r="C757" s="217"/>
      <c r="D757" s="217"/>
      <c r="E757" s="217"/>
      <c r="F757" s="217"/>
      <c r="G757" s="217"/>
      <c r="H757" s="217"/>
      <c r="I757" s="217"/>
      <c r="J757" s="217"/>
      <c r="K757" s="217"/>
      <c r="L757" s="217"/>
      <c r="M757" s="217"/>
      <c r="N757" s="217"/>
      <c r="O757" s="217"/>
      <c r="P757" s="217"/>
      <c r="Q757" s="217"/>
      <c r="R757" s="217"/>
      <c r="S757" s="217"/>
      <c r="T757" s="217"/>
      <c r="U757" s="217"/>
      <c r="V757" s="217"/>
      <c r="W757" s="217"/>
      <c r="X757" s="217"/>
      <c r="Y757" s="217"/>
      <c r="Z757" s="217"/>
    </row>
    <row r="758" ht="15.75" customHeight="1">
      <c r="A758" s="217"/>
      <c r="B758" s="217"/>
      <c r="C758" s="217"/>
      <c r="D758" s="217"/>
      <c r="E758" s="217"/>
      <c r="F758" s="217"/>
      <c r="G758" s="217"/>
      <c r="H758" s="217"/>
      <c r="I758" s="217"/>
      <c r="J758" s="217"/>
      <c r="K758" s="217"/>
      <c r="L758" s="217"/>
      <c r="M758" s="217"/>
      <c r="N758" s="217"/>
      <c r="O758" s="217"/>
      <c r="P758" s="217"/>
      <c r="Q758" s="217"/>
      <c r="R758" s="217"/>
      <c r="S758" s="217"/>
      <c r="T758" s="217"/>
      <c r="U758" s="217"/>
      <c r="V758" s="217"/>
      <c r="W758" s="217"/>
      <c r="X758" s="217"/>
      <c r="Y758" s="217"/>
      <c r="Z758" s="217"/>
    </row>
    <row r="759" ht="15.75" customHeight="1">
      <c r="A759" s="217"/>
      <c r="B759" s="217"/>
      <c r="C759" s="217"/>
      <c r="D759" s="217"/>
      <c r="E759" s="217"/>
      <c r="F759" s="217"/>
      <c r="G759" s="217"/>
      <c r="H759" s="217"/>
      <c r="I759" s="217"/>
      <c r="J759" s="217"/>
      <c r="K759" s="217"/>
      <c r="L759" s="217"/>
      <c r="M759" s="217"/>
      <c r="N759" s="217"/>
      <c r="O759" s="217"/>
      <c r="P759" s="217"/>
      <c r="Q759" s="217"/>
      <c r="R759" s="217"/>
      <c r="S759" s="217"/>
      <c r="T759" s="217"/>
      <c r="U759" s="217"/>
      <c r="V759" s="217"/>
      <c r="W759" s="217"/>
      <c r="X759" s="217"/>
      <c r="Y759" s="217"/>
      <c r="Z759" s="217"/>
    </row>
    <row r="760" ht="15.75" customHeight="1">
      <c r="A760" s="217"/>
      <c r="B760" s="217"/>
      <c r="C760" s="217"/>
      <c r="D760" s="217"/>
      <c r="E760" s="217"/>
      <c r="F760" s="217"/>
      <c r="G760" s="217"/>
      <c r="H760" s="217"/>
      <c r="I760" s="217"/>
      <c r="J760" s="217"/>
      <c r="K760" s="217"/>
      <c r="L760" s="217"/>
      <c r="M760" s="217"/>
      <c r="N760" s="217"/>
      <c r="O760" s="217"/>
      <c r="P760" s="217"/>
      <c r="Q760" s="217"/>
      <c r="R760" s="217"/>
      <c r="S760" s="217"/>
      <c r="T760" s="217"/>
      <c r="U760" s="217"/>
      <c r="V760" s="217"/>
      <c r="W760" s="217"/>
      <c r="X760" s="217"/>
      <c r="Y760" s="217"/>
      <c r="Z760" s="217"/>
    </row>
    <row r="761" ht="15.75" customHeight="1">
      <c r="A761" s="217"/>
      <c r="B761" s="217"/>
      <c r="C761" s="217"/>
      <c r="D761" s="217"/>
      <c r="E761" s="217"/>
      <c r="F761" s="217"/>
      <c r="G761" s="217"/>
      <c r="H761" s="217"/>
      <c r="I761" s="217"/>
      <c r="J761" s="217"/>
      <c r="K761" s="217"/>
      <c r="L761" s="217"/>
      <c r="M761" s="217"/>
      <c r="N761" s="217"/>
      <c r="O761" s="217"/>
      <c r="P761" s="217"/>
      <c r="Q761" s="217"/>
      <c r="R761" s="217"/>
      <c r="S761" s="217"/>
      <c r="T761" s="217"/>
      <c r="U761" s="217"/>
      <c r="V761" s="217"/>
      <c r="W761" s="217"/>
      <c r="X761" s="217"/>
      <c r="Y761" s="217"/>
      <c r="Z761" s="217"/>
    </row>
    <row r="762" ht="15.75" customHeight="1">
      <c r="A762" s="217"/>
      <c r="B762" s="217"/>
      <c r="C762" s="217"/>
      <c r="D762" s="217"/>
      <c r="E762" s="217"/>
      <c r="F762" s="217"/>
      <c r="G762" s="217"/>
      <c r="H762" s="217"/>
      <c r="I762" s="217"/>
      <c r="J762" s="217"/>
      <c r="K762" s="217"/>
      <c r="L762" s="217"/>
      <c r="M762" s="217"/>
      <c r="N762" s="217"/>
      <c r="O762" s="217"/>
      <c r="P762" s="217"/>
      <c r="Q762" s="217"/>
      <c r="R762" s="217"/>
      <c r="S762" s="217"/>
      <c r="T762" s="217"/>
      <c r="U762" s="217"/>
      <c r="V762" s="217"/>
      <c r="W762" s="217"/>
      <c r="X762" s="217"/>
      <c r="Y762" s="217"/>
      <c r="Z762" s="217"/>
    </row>
    <row r="763" ht="15.75" customHeight="1">
      <c r="A763" s="217"/>
      <c r="B763" s="217"/>
      <c r="C763" s="217"/>
      <c r="D763" s="217"/>
      <c r="E763" s="217"/>
      <c r="F763" s="217"/>
      <c r="G763" s="217"/>
      <c r="H763" s="217"/>
      <c r="I763" s="217"/>
      <c r="J763" s="217"/>
      <c r="K763" s="217"/>
      <c r="L763" s="217"/>
      <c r="M763" s="217"/>
      <c r="N763" s="217"/>
      <c r="O763" s="217"/>
      <c r="P763" s="217"/>
      <c r="Q763" s="217"/>
      <c r="R763" s="217"/>
      <c r="S763" s="217"/>
      <c r="T763" s="217"/>
      <c r="U763" s="217"/>
      <c r="V763" s="217"/>
      <c r="W763" s="217"/>
      <c r="X763" s="217"/>
      <c r="Y763" s="217"/>
      <c r="Z763" s="217"/>
    </row>
    <row r="764" ht="15.75" customHeight="1">
      <c r="A764" s="217"/>
      <c r="B764" s="217"/>
      <c r="C764" s="217"/>
      <c r="D764" s="217"/>
      <c r="E764" s="217"/>
      <c r="F764" s="217"/>
      <c r="G764" s="217"/>
      <c r="H764" s="217"/>
      <c r="I764" s="217"/>
      <c r="J764" s="217"/>
      <c r="K764" s="217"/>
      <c r="L764" s="217"/>
      <c r="M764" s="217"/>
      <c r="N764" s="217"/>
      <c r="O764" s="217"/>
      <c r="P764" s="217"/>
      <c r="Q764" s="217"/>
      <c r="R764" s="217"/>
      <c r="S764" s="217"/>
      <c r="T764" s="217"/>
      <c r="U764" s="217"/>
      <c r="V764" s="217"/>
      <c r="W764" s="217"/>
      <c r="X764" s="217"/>
      <c r="Y764" s="217"/>
      <c r="Z764" s="217"/>
    </row>
    <row r="765" ht="15.75" customHeight="1">
      <c r="A765" s="217"/>
      <c r="B765" s="217"/>
      <c r="C765" s="217"/>
      <c r="D765" s="217"/>
      <c r="E765" s="217"/>
      <c r="F765" s="217"/>
      <c r="G765" s="217"/>
      <c r="H765" s="217"/>
      <c r="I765" s="217"/>
      <c r="J765" s="217"/>
      <c r="K765" s="217"/>
      <c r="L765" s="217"/>
      <c r="M765" s="217"/>
      <c r="N765" s="217"/>
      <c r="O765" s="217"/>
      <c r="P765" s="217"/>
      <c r="Q765" s="217"/>
      <c r="R765" s="217"/>
      <c r="S765" s="217"/>
      <c r="T765" s="217"/>
      <c r="U765" s="217"/>
      <c r="V765" s="217"/>
      <c r="W765" s="217"/>
      <c r="X765" s="217"/>
      <c r="Y765" s="217"/>
      <c r="Z765" s="217"/>
    </row>
    <row r="766" ht="15.75" customHeight="1">
      <c r="A766" s="217"/>
      <c r="B766" s="217"/>
      <c r="C766" s="217"/>
      <c r="D766" s="217"/>
      <c r="E766" s="217"/>
      <c r="F766" s="217"/>
      <c r="G766" s="217"/>
      <c r="H766" s="217"/>
      <c r="I766" s="217"/>
      <c r="J766" s="217"/>
      <c r="K766" s="217"/>
      <c r="L766" s="217"/>
      <c r="M766" s="217"/>
      <c r="N766" s="217"/>
      <c r="O766" s="217"/>
      <c r="P766" s="217"/>
      <c r="Q766" s="217"/>
      <c r="R766" s="217"/>
      <c r="S766" s="217"/>
      <c r="T766" s="217"/>
      <c r="U766" s="217"/>
      <c r="V766" s="217"/>
      <c r="W766" s="217"/>
      <c r="X766" s="217"/>
      <c r="Y766" s="217"/>
      <c r="Z766" s="217"/>
    </row>
    <row r="767" ht="15.75" customHeight="1">
      <c r="A767" s="217"/>
      <c r="B767" s="217"/>
      <c r="C767" s="217"/>
      <c r="D767" s="217"/>
      <c r="E767" s="217"/>
      <c r="F767" s="217"/>
      <c r="G767" s="217"/>
      <c r="H767" s="217"/>
      <c r="I767" s="217"/>
      <c r="J767" s="217"/>
      <c r="K767" s="217"/>
      <c r="L767" s="217"/>
      <c r="M767" s="217"/>
      <c r="N767" s="217"/>
      <c r="O767" s="217"/>
      <c r="P767" s="217"/>
      <c r="Q767" s="217"/>
      <c r="R767" s="217"/>
      <c r="S767" s="217"/>
      <c r="T767" s="217"/>
      <c r="U767" s="217"/>
      <c r="V767" s="217"/>
      <c r="W767" s="217"/>
      <c r="X767" s="217"/>
      <c r="Y767" s="217"/>
      <c r="Z767" s="217"/>
    </row>
    <row r="768" ht="15.75" customHeight="1">
      <c r="A768" s="217"/>
      <c r="B768" s="217"/>
      <c r="C768" s="217"/>
      <c r="D768" s="217"/>
      <c r="E768" s="217"/>
      <c r="F768" s="217"/>
      <c r="G768" s="217"/>
      <c r="H768" s="217"/>
      <c r="I768" s="217"/>
      <c r="J768" s="217"/>
      <c r="K768" s="217"/>
      <c r="L768" s="217"/>
      <c r="M768" s="217"/>
      <c r="N768" s="217"/>
      <c r="O768" s="217"/>
      <c r="P768" s="217"/>
      <c r="Q768" s="217"/>
      <c r="R768" s="217"/>
      <c r="S768" s="217"/>
      <c r="T768" s="217"/>
      <c r="U768" s="217"/>
      <c r="V768" s="217"/>
      <c r="W768" s="217"/>
      <c r="X768" s="217"/>
      <c r="Y768" s="217"/>
      <c r="Z768" s="217"/>
    </row>
    <row r="769" ht="15.75" customHeight="1">
      <c r="A769" s="217"/>
      <c r="B769" s="217"/>
      <c r="C769" s="217"/>
      <c r="D769" s="217"/>
      <c r="E769" s="217"/>
      <c r="F769" s="217"/>
      <c r="G769" s="217"/>
      <c r="H769" s="217"/>
      <c r="I769" s="217"/>
      <c r="J769" s="217"/>
      <c r="K769" s="217"/>
      <c r="L769" s="217"/>
      <c r="M769" s="217"/>
      <c r="N769" s="217"/>
      <c r="O769" s="217"/>
      <c r="P769" s="217"/>
      <c r="Q769" s="217"/>
      <c r="R769" s="217"/>
      <c r="S769" s="217"/>
      <c r="T769" s="217"/>
      <c r="U769" s="217"/>
      <c r="V769" s="217"/>
      <c r="W769" s="217"/>
      <c r="X769" s="217"/>
      <c r="Y769" s="217"/>
      <c r="Z769" s="217"/>
    </row>
    <row r="770" ht="15.75" customHeight="1">
      <c r="A770" s="217"/>
      <c r="B770" s="217"/>
      <c r="C770" s="217"/>
      <c r="D770" s="217"/>
      <c r="E770" s="217"/>
      <c r="F770" s="217"/>
      <c r="G770" s="217"/>
      <c r="H770" s="217"/>
      <c r="I770" s="217"/>
      <c r="J770" s="217"/>
      <c r="K770" s="217"/>
      <c r="L770" s="217"/>
      <c r="M770" s="217"/>
      <c r="N770" s="217"/>
      <c r="O770" s="217"/>
      <c r="P770" s="217"/>
      <c r="Q770" s="217"/>
      <c r="R770" s="217"/>
      <c r="S770" s="217"/>
      <c r="T770" s="217"/>
      <c r="U770" s="217"/>
      <c r="V770" s="217"/>
      <c r="W770" s="217"/>
      <c r="X770" s="217"/>
      <c r="Y770" s="217"/>
      <c r="Z770" s="217"/>
    </row>
    <row r="771" ht="15.75" customHeight="1">
      <c r="A771" s="217"/>
      <c r="B771" s="217"/>
      <c r="C771" s="217"/>
      <c r="D771" s="217"/>
      <c r="E771" s="217"/>
      <c r="F771" s="217"/>
      <c r="G771" s="217"/>
      <c r="H771" s="217"/>
      <c r="I771" s="217"/>
      <c r="J771" s="217"/>
      <c r="K771" s="217"/>
      <c r="L771" s="217"/>
      <c r="M771" s="217"/>
      <c r="N771" s="217"/>
      <c r="O771" s="217"/>
      <c r="P771" s="217"/>
      <c r="Q771" s="217"/>
      <c r="R771" s="217"/>
      <c r="S771" s="217"/>
      <c r="T771" s="217"/>
      <c r="U771" s="217"/>
      <c r="V771" s="217"/>
      <c r="W771" s="217"/>
      <c r="X771" s="217"/>
      <c r="Y771" s="217"/>
      <c r="Z771" s="217"/>
    </row>
    <row r="772" ht="15.75" customHeight="1">
      <c r="A772" s="217"/>
      <c r="B772" s="217"/>
      <c r="C772" s="217"/>
      <c r="D772" s="217"/>
      <c r="E772" s="217"/>
      <c r="F772" s="217"/>
      <c r="G772" s="217"/>
      <c r="H772" s="217"/>
      <c r="I772" s="217"/>
      <c r="J772" s="217"/>
      <c r="K772" s="217"/>
      <c r="L772" s="217"/>
      <c r="M772" s="217"/>
      <c r="N772" s="217"/>
      <c r="O772" s="217"/>
      <c r="P772" s="217"/>
      <c r="Q772" s="217"/>
      <c r="R772" s="217"/>
      <c r="S772" s="217"/>
      <c r="T772" s="217"/>
      <c r="U772" s="217"/>
      <c r="V772" s="217"/>
      <c r="W772" s="217"/>
      <c r="X772" s="217"/>
      <c r="Y772" s="217"/>
      <c r="Z772" s="217"/>
    </row>
    <row r="773" ht="15.75" customHeight="1">
      <c r="A773" s="217"/>
      <c r="B773" s="217"/>
      <c r="C773" s="217"/>
      <c r="D773" s="217"/>
      <c r="E773" s="217"/>
      <c r="F773" s="217"/>
      <c r="G773" s="217"/>
      <c r="H773" s="217"/>
      <c r="I773" s="217"/>
      <c r="J773" s="217"/>
      <c r="K773" s="217"/>
      <c r="L773" s="217"/>
      <c r="M773" s="217"/>
      <c r="N773" s="217"/>
      <c r="O773" s="217"/>
      <c r="P773" s="217"/>
      <c r="Q773" s="217"/>
      <c r="R773" s="217"/>
      <c r="S773" s="217"/>
      <c r="T773" s="217"/>
      <c r="U773" s="217"/>
      <c r="V773" s="217"/>
      <c r="W773" s="217"/>
      <c r="X773" s="217"/>
      <c r="Y773" s="217"/>
      <c r="Z773" s="217"/>
    </row>
    <row r="774" ht="15.75" customHeight="1">
      <c r="A774" s="217"/>
      <c r="B774" s="217"/>
      <c r="C774" s="217"/>
      <c r="D774" s="217"/>
      <c r="E774" s="217"/>
      <c r="F774" s="217"/>
      <c r="G774" s="217"/>
      <c r="H774" s="217"/>
      <c r="I774" s="217"/>
      <c r="J774" s="217"/>
      <c r="K774" s="217"/>
      <c r="L774" s="217"/>
      <c r="M774" s="217"/>
      <c r="N774" s="217"/>
      <c r="O774" s="217"/>
      <c r="P774" s="217"/>
      <c r="Q774" s="217"/>
      <c r="R774" s="217"/>
      <c r="S774" s="217"/>
      <c r="T774" s="217"/>
      <c r="U774" s="217"/>
      <c r="V774" s="217"/>
      <c r="W774" s="217"/>
      <c r="X774" s="217"/>
      <c r="Y774" s="217"/>
      <c r="Z774" s="217"/>
    </row>
    <row r="775" ht="15.75" customHeight="1">
      <c r="A775" s="217"/>
      <c r="B775" s="217"/>
      <c r="C775" s="217"/>
      <c r="D775" s="217"/>
      <c r="E775" s="217"/>
      <c r="F775" s="217"/>
      <c r="G775" s="217"/>
      <c r="H775" s="217"/>
      <c r="I775" s="217"/>
      <c r="J775" s="217"/>
      <c r="K775" s="217"/>
      <c r="L775" s="217"/>
      <c r="M775" s="217"/>
      <c r="N775" s="217"/>
      <c r="O775" s="217"/>
      <c r="P775" s="217"/>
      <c r="Q775" s="217"/>
      <c r="R775" s="217"/>
      <c r="S775" s="217"/>
      <c r="T775" s="217"/>
      <c r="U775" s="217"/>
      <c r="V775" s="217"/>
      <c r="W775" s="217"/>
      <c r="X775" s="217"/>
      <c r="Y775" s="217"/>
      <c r="Z775" s="217"/>
    </row>
    <row r="776" ht="15.75" customHeight="1">
      <c r="A776" s="217"/>
      <c r="B776" s="217"/>
      <c r="C776" s="217"/>
      <c r="D776" s="217"/>
      <c r="E776" s="217"/>
      <c r="F776" s="217"/>
      <c r="G776" s="217"/>
      <c r="H776" s="217"/>
      <c r="I776" s="217"/>
      <c r="J776" s="217"/>
      <c r="K776" s="217"/>
      <c r="L776" s="217"/>
      <c r="M776" s="217"/>
      <c r="N776" s="217"/>
      <c r="O776" s="217"/>
      <c r="P776" s="217"/>
      <c r="Q776" s="217"/>
      <c r="R776" s="217"/>
      <c r="S776" s="217"/>
      <c r="T776" s="217"/>
      <c r="U776" s="217"/>
      <c r="V776" s="217"/>
      <c r="W776" s="217"/>
      <c r="X776" s="217"/>
      <c r="Y776" s="217"/>
      <c r="Z776" s="217"/>
    </row>
    <row r="777" ht="15.75" customHeight="1">
      <c r="A777" s="217"/>
      <c r="B777" s="217"/>
      <c r="C777" s="217"/>
      <c r="D777" s="217"/>
      <c r="E777" s="217"/>
      <c r="F777" s="217"/>
      <c r="G777" s="217"/>
      <c r="H777" s="217"/>
      <c r="I777" s="217"/>
      <c r="J777" s="217"/>
      <c r="K777" s="217"/>
      <c r="L777" s="217"/>
      <c r="M777" s="217"/>
      <c r="N777" s="217"/>
      <c r="O777" s="217"/>
      <c r="P777" s="217"/>
      <c r="Q777" s="217"/>
      <c r="R777" s="217"/>
      <c r="S777" s="217"/>
      <c r="T777" s="217"/>
      <c r="U777" s="217"/>
      <c r="V777" s="217"/>
      <c r="W777" s="217"/>
      <c r="X777" s="217"/>
      <c r="Y777" s="217"/>
      <c r="Z777" s="217"/>
    </row>
    <row r="778" ht="15.75" customHeight="1">
      <c r="A778" s="217"/>
      <c r="B778" s="217"/>
      <c r="C778" s="217"/>
      <c r="D778" s="217"/>
      <c r="E778" s="217"/>
      <c r="F778" s="217"/>
      <c r="G778" s="217"/>
      <c r="H778" s="217"/>
      <c r="I778" s="217"/>
      <c r="J778" s="217"/>
      <c r="K778" s="217"/>
      <c r="L778" s="217"/>
      <c r="M778" s="217"/>
      <c r="N778" s="217"/>
      <c r="O778" s="217"/>
      <c r="P778" s="217"/>
      <c r="Q778" s="217"/>
      <c r="R778" s="217"/>
      <c r="S778" s="217"/>
      <c r="T778" s="217"/>
      <c r="U778" s="217"/>
      <c r="V778" s="217"/>
      <c r="W778" s="217"/>
      <c r="X778" s="217"/>
      <c r="Y778" s="217"/>
      <c r="Z778" s="217"/>
    </row>
    <row r="779" ht="15.75" customHeight="1">
      <c r="A779" s="217"/>
      <c r="B779" s="217"/>
      <c r="C779" s="217"/>
      <c r="D779" s="217"/>
      <c r="E779" s="217"/>
      <c r="F779" s="217"/>
      <c r="G779" s="217"/>
      <c r="H779" s="217"/>
      <c r="I779" s="217"/>
      <c r="J779" s="217"/>
      <c r="K779" s="217"/>
      <c r="L779" s="217"/>
      <c r="M779" s="217"/>
      <c r="N779" s="217"/>
      <c r="O779" s="217"/>
      <c r="P779" s="217"/>
      <c r="Q779" s="217"/>
      <c r="R779" s="217"/>
      <c r="S779" s="217"/>
      <c r="T779" s="217"/>
      <c r="U779" s="217"/>
      <c r="V779" s="217"/>
      <c r="W779" s="217"/>
      <c r="X779" s="217"/>
      <c r="Y779" s="217"/>
      <c r="Z779" s="217"/>
    </row>
    <row r="780" ht="15.75" customHeight="1">
      <c r="A780" s="217"/>
      <c r="B780" s="217"/>
      <c r="C780" s="217"/>
      <c r="D780" s="217"/>
      <c r="E780" s="217"/>
      <c r="F780" s="217"/>
      <c r="G780" s="217"/>
      <c r="H780" s="217"/>
      <c r="I780" s="217"/>
      <c r="J780" s="217"/>
      <c r="K780" s="217"/>
      <c r="L780" s="217"/>
      <c r="M780" s="217"/>
      <c r="N780" s="217"/>
      <c r="O780" s="217"/>
      <c r="P780" s="217"/>
      <c r="Q780" s="217"/>
      <c r="R780" s="217"/>
      <c r="S780" s="217"/>
      <c r="T780" s="217"/>
      <c r="U780" s="217"/>
      <c r="V780" s="217"/>
      <c r="W780" s="217"/>
      <c r="X780" s="217"/>
      <c r="Y780" s="217"/>
      <c r="Z780" s="217"/>
    </row>
    <row r="781" ht="15.75" customHeight="1">
      <c r="A781" s="217"/>
      <c r="B781" s="217"/>
      <c r="C781" s="217"/>
      <c r="D781" s="217"/>
      <c r="E781" s="217"/>
      <c r="F781" s="217"/>
      <c r="G781" s="217"/>
      <c r="H781" s="217"/>
      <c r="I781" s="217"/>
      <c r="J781" s="217"/>
      <c r="K781" s="217"/>
      <c r="L781" s="217"/>
      <c r="M781" s="217"/>
      <c r="N781" s="217"/>
      <c r="O781" s="217"/>
      <c r="P781" s="217"/>
      <c r="Q781" s="217"/>
      <c r="R781" s="217"/>
      <c r="S781" s="217"/>
      <c r="T781" s="217"/>
      <c r="U781" s="217"/>
      <c r="V781" s="217"/>
      <c r="W781" s="217"/>
      <c r="X781" s="217"/>
      <c r="Y781" s="217"/>
      <c r="Z781" s="217"/>
    </row>
    <row r="782" ht="15.75" customHeight="1">
      <c r="A782" s="217"/>
      <c r="B782" s="217"/>
      <c r="C782" s="217"/>
      <c r="D782" s="217"/>
      <c r="E782" s="217"/>
      <c r="F782" s="217"/>
      <c r="G782" s="217"/>
      <c r="H782" s="217"/>
      <c r="I782" s="217"/>
      <c r="J782" s="217"/>
      <c r="K782" s="217"/>
      <c r="L782" s="217"/>
      <c r="M782" s="217"/>
      <c r="N782" s="217"/>
      <c r="O782" s="217"/>
      <c r="P782" s="217"/>
      <c r="Q782" s="217"/>
      <c r="R782" s="217"/>
      <c r="S782" s="217"/>
      <c r="T782" s="217"/>
      <c r="U782" s="217"/>
      <c r="V782" s="217"/>
      <c r="W782" s="217"/>
      <c r="X782" s="217"/>
      <c r="Y782" s="217"/>
      <c r="Z782" s="217"/>
    </row>
    <row r="783" ht="15.75" customHeight="1">
      <c r="A783" s="217"/>
      <c r="B783" s="217"/>
      <c r="C783" s="217"/>
      <c r="D783" s="217"/>
      <c r="E783" s="217"/>
      <c r="F783" s="217"/>
      <c r="G783" s="217"/>
      <c r="H783" s="217"/>
      <c r="I783" s="217"/>
      <c r="J783" s="217"/>
      <c r="K783" s="217"/>
      <c r="L783" s="217"/>
      <c r="M783" s="217"/>
      <c r="N783" s="217"/>
      <c r="O783" s="217"/>
      <c r="P783" s="217"/>
      <c r="Q783" s="217"/>
      <c r="R783" s="217"/>
      <c r="S783" s="217"/>
      <c r="T783" s="217"/>
      <c r="U783" s="217"/>
      <c r="V783" s="217"/>
      <c r="W783" s="217"/>
      <c r="X783" s="217"/>
      <c r="Y783" s="217"/>
      <c r="Z783" s="217"/>
    </row>
    <row r="784" ht="15.75" customHeight="1">
      <c r="A784" s="217"/>
      <c r="B784" s="217"/>
      <c r="C784" s="217"/>
      <c r="D784" s="217"/>
      <c r="E784" s="217"/>
      <c r="F784" s="217"/>
      <c r="G784" s="217"/>
      <c r="H784" s="217"/>
      <c r="I784" s="217"/>
      <c r="J784" s="217"/>
      <c r="K784" s="217"/>
      <c r="L784" s="217"/>
      <c r="M784" s="217"/>
      <c r="N784" s="217"/>
      <c r="O784" s="217"/>
      <c r="P784" s="217"/>
      <c r="Q784" s="217"/>
      <c r="R784" s="217"/>
      <c r="S784" s="217"/>
      <c r="T784" s="217"/>
      <c r="U784" s="217"/>
      <c r="V784" s="217"/>
      <c r="W784" s="217"/>
      <c r="X784" s="217"/>
      <c r="Y784" s="217"/>
      <c r="Z784" s="217"/>
    </row>
    <row r="785" ht="15.75" customHeight="1">
      <c r="A785" s="217"/>
      <c r="B785" s="217"/>
      <c r="C785" s="217"/>
      <c r="D785" s="217"/>
      <c r="E785" s="217"/>
      <c r="F785" s="217"/>
      <c r="G785" s="217"/>
      <c r="H785" s="217"/>
      <c r="I785" s="217"/>
      <c r="J785" s="217"/>
      <c r="K785" s="217"/>
      <c r="L785" s="217"/>
      <c r="M785" s="217"/>
      <c r="N785" s="217"/>
      <c r="O785" s="217"/>
      <c r="P785" s="217"/>
      <c r="Q785" s="217"/>
      <c r="R785" s="217"/>
      <c r="S785" s="217"/>
      <c r="T785" s="217"/>
      <c r="U785" s="217"/>
      <c r="V785" s="217"/>
      <c r="W785" s="217"/>
      <c r="X785" s="217"/>
      <c r="Y785" s="217"/>
      <c r="Z785" s="217"/>
    </row>
    <row r="786" ht="15.75" customHeight="1">
      <c r="A786" s="217"/>
      <c r="B786" s="217"/>
      <c r="C786" s="217"/>
      <c r="D786" s="217"/>
      <c r="E786" s="217"/>
      <c r="F786" s="217"/>
      <c r="G786" s="217"/>
      <c r="H786" s="217"/>
      <c r="I786" s="217"/>
      <c r="J786" s="217"/>
      <c r="K786" s="217"/>
      <c r="L786" s="217"/>
      <c r="M786" s="217"/>
      <c r="N786" s="217"/>
      <c r="O786" s="217"/>
      <c r="P786" s="217"/>
      <c r="Q786" s="217"/>
      <c r="R786" s="217"/>
      <c r="S786" s="217"/>
      <c r="T786" s="217"/>
      <c r="U786" s="217"/>
      <c r="V786" s="217"/>
      <c r="W786" s="217"/>
      <c r="X786" s="217"/>
      <c r="Y786" s="217"/>
      <c r="Z786" s="217"/>
    </row>
    <row r="787" ht="15.75" customHeight="1">
      <c r="A787" s="217"/>
      <c r="B787" s="217"/>
      <c r="C787" s="217"/>
      <c r="D787" s="217"/>
      <c r="E787" s="217"/>
      <c r="F787" s="217"/>
      <c r="G787" s="217"/>
      <c r="H787" s="217"/>
      <c r="I787" s="217"/>
      <c r="J787" s="217"/>
      <c r="K787" s="217"/>
      <c r="L787" s="217"/>
      <c r="M787" s="217"/>
      <c r="N787" s="217"/>
      <c r="O787" s="217"/>
      <c r="P787" s="217"/>
      <c r="Q787" s="217"/>
      <c r="R787" s="217"/>
      <c r="S787" s="217"/>
      <c r="T787" s="217"/>
      <c r="U787" s="217"/>
      <c r="V787" s="217"/>
      <c r="W787" s="217"/>
      <c r="X787" s="217"/>
      <c r="Y787" s="217"/>
      <c r="Z787" s="217"/>
    </row>
    <row r="788" ht="15.75" customHeight="1">
      <c r="A788" s="217"/>
      <c r="B788" s="217"/>
      <c r="C788" s="217"/>
      <c r="D788" s="217"/>
      <c r="E788" s="217"/>
      <c r="F788" s="217"/>
      <c r="G788" s="217"/>
      <c r="H788" s="217"/>
      <c r="I788" s="217"/>
      <c r="J788" s="217"/>
      <c r="K788" s="217"/>
      <c r="L788" s="217"/>
      <c r="M788" s="217"/>
      <c r="N788" s="217"/>
      <c r="O788" s="217"/>
      <c r="P788" s="217"/>
      <c r="Q788" s="217"/>
      <c r="R788" s="217"/>
      <c r="S788" s="217"/>
      <c r="T788" s="217"/>
      <c r="U788" s="217"/>
      <c r="V788" s="217"/>
      <c r="W788" s="217"/>
      <c r="X788" s="217"/>
      <c r="Y788" s="217"/>
      <c r="Z788" s="217"/>
    </row>
    <row r="789" ht="15.75" customHeight="1">
      <c r="A789" s="217"/>
      <c r="B789" s="217"/>
      <c r="C789" s="217"/>
      <c r="D789" s="217"/>
      <c r="E789" s="217"/>
      <c r="F789" s="217"/>
      <c r="G789" s="217"/>
      <c r="H789" s="217"/>
      <c r="I789" s="217"/>
      <c r="J789" s="217"/>
      <c r="K789" s="217"/>
      <c r="L789" s="217"/>
      <c r="M789" s="217"/>
      <c r="N789" s="217"/>
      <c r="O789" s="217"/>
      <c r="P789" s="217"/>
      <c r="Q789" s="217"/>
      <c r="R789" s="217"/>
      <c r="S789" s="217"/>
      <c r="T789" s="217"/>
      <c r="U789" s="217"/>
      <c r="V789" s="217"/>
      <c r="W789" s="217"/>
      <c r="X789" s="217"/>
      <c r="Y789" s="217"/>
      <c r="Z789" s="217"/>
    </row>
    <row r="790" ht="15.75" customHeight="1">
      <c r="A790" s="217"/>
      <c r="B790" s="217"/>
      <c r="C790" s="217"/>
      <c r="D790" s="217"/>
      <c r="E790" s="217"/>
      <c r="F790" s="217"/>
      <c r="G790" s="217"/>
      <c r="H790" s="217"/>
      <c r="I790" s="217"/>
      <c r="J790" s="217"/>
      <c r="K790" s="217"/>
      <c r="L790" s="217"/>
      <c r="M790" s="217"/>
      <c r="N790" s="217"/>
      <c r="O790" s="217"/>
      <c r="P790" s="217"/>
      <c r="Q790" s="217"/>
      <c r="R790" s="217"/>
      <c r="S790" s="217"/>
      <c r="T790" s="217"/>
      <c r="U790" s="217"/>
      <c r="V790" s="217"/>
      <c r="W790" s="217"/>
      <c r="X790" s="217"/>
      <c r="Y790" s="217"/>
      <c r="Z790" s="217"/>
    </row>
    <row r="791" ht="15.75" customHeight="1">
      <c r="A791" s="217"/>
      <c r="B791" s="217"/>
      <c r="C791" s="217"/>
      <c r="D791" s="217"/>
      <c r="E791" s="217"/>
      <c r="F791" s="217"/>
      <c r="G791" s="217"/>
      <c r="H791" s="217"/>
      <c r="I791" s="217"/>
      <c r="J791" s="217"/>
      <c r="K791" s="217"/>
      <c r="L791" s="217"/>
      <c r="M791" s="217"/>
      <c r="N791" s="217"/>
      <c r="O791" s="217"/>
      <c r="P791" s="217"/>
      <c r="Q791" s="217"/>
      <c r="R791" s="217"/>
      <c r="S791" s="217"/>
      <c r="T791" s="217"/>
      <c r="U791" s="217"/>
      <c r="V791" s="217"/>
      <c r="W791" s="217"/>
      <c r="X791" s="217"/>
      <c r="Y791" s="217"/>
      <c r="Z791" s="217"/>
    </row>
    <row r="792" ht="15.75" customHeight="1">
      <c r="A792" s="217"/>
      <c r="B792" s="217"/>
      <c r="C792" s="217"/>
      <c r="D792" s="217"/>
      <c r="E792" s="217"/>
      <c r="F792" s="217"/>
      <c r="G792" s="217"/>
      <c r="H792" s="217"/>
      <c r="I792" s="217"/>
      <c r="J792" s="217"/>
      <c r="K792" s="217"/>
      <c r="L792" s="217"/>
      <c r="M792" s="217"/>
      <c r="N792" s="217"/>
      <c r="O792" s="217"/>
      <c r="P792" s="217"/>
      <c r="Q792" s="217"/>
      <c r="R792" s="217"/>
      <c r="S792" s="217"/>
      <c r="T792" s="217"/>
      <c r="U792" s="217"/>
      <c r="V792" s="217"/>
      <c r="W792" s="217"/>
      <c r="X792" s="217"/>
      <c r="Y792" s="217"/>
      <c r="Z792" s="217"/>
    </row>
    <row r="793" ht="15.75" customHeight="1">
      <c r="A793" s="217"/>
      <c r="B793" s="217"/>
      <c r="C793" s="217"/>
      <c r="D793" s="217"/>
      <c r="E793" s="217"/>
      <c r="F793" s="217"/>
      <c r="G793" s="217"/>
      <c r="H793" s="217"/>
      <c r="I793" s="217"/>
      <c r="J793" s="217"/>
      <c r="K793" s="217"/>
      <c r="L793" s="217"/>
      <c r="M793" s="217"/>
      <c r="N793" s="217"/>
      <c r="O793" s="217"/>
      <c r="P793" s="217"/>
      <c r="Q793" s="217"/>
      <c r="R793" s="217"/>
      <c r="S793" s="217"/>
      <c r="T793" s="217"/>
      <c r="U793" s="217"/>
      <c r="V793" s="217"/>
      <c r="W793" s="217"/>
      <c r="X793" s="217"/>
      <c r="Y793" s="217"/>
      <c r="Z793" s="217"/>
    </row>
    <row r="794" ht="15.75" customHeight="1">
      <c r="A794" s="217"/>
      <c r="B794" s="217"/>
      <c r="C794" s="217"/>
      <c r="D794" s="217"/>
      <c r="E794" s="217"/>
      <c r="F794" s="217"/>
      <c r="G794" s="217"/>
      <c r="H794" s="217"/>
      <c r="I794" s="217"/>
      <c r="J794" s="217"/>
      <c r="K794" s="217"/>
      <c r="L794" s="217"/>
      <c r="M794" s="217"/>
      <c r="N794" s="217"/>
      <c r="O794" s="217"/>
      <c r="P794" s="217"/>
      <c r="Q794" s="217"/>
      <c r="R794" s="217"/>
      <c r="S794" s="217"/>
      <c r="T794" s="217"/>
      <c r="U794" s="217"/>
      <c r="V794" s="217"/>
      <c r="W794" s="217"/>
      <c r="X794" s="217"/>
      <c r="Y794" s="217"/>
      <c r="Z794" s="217"/>
    </row>
    <row r="795" ht="15.75" customHeight="1">
      <c r="A795" s="217"/>
      <c r="B795" s="217"/>
      <c r="C795" s="217"/>
      <c r="D795" s="217"/>
      <c r="E795" s="217"/>
      <c r="F795" s="217"/>
      <c r="G795" s="217"/>
      <c r="H795" s="217"/>
      <c r="I795" s="217"/>
      <c r="J795" s="217"/>
      <c r="K795" s="217"/>
      <c r="L795" s="217"/>
      <c r="M795" s="217"/>
      <c r="N795" s="217"/>
      <c r="O795" s="217"/>
      <c r="P795" s="217"/>
      <c r="Q795" s="217"/>
      <c r="R795" s="217"/>
      <c r="S795" s="217"/>
      <c r="T795" s="217"/>
      <c r="U795" s="217"/>
      <c r="V795" s="217"/>
      <c r="W795" s="217"/>
      <c r="X795" s="217"/>
      <c r="Y795" s="217"/>
      <c r="Z795" s="217"/>
    </row>
    <row r="796" ht="15.75" customHeight="1">
      <c r="A796" s="217"/>
      <c r="B796" s="217"/>
      <c r="C796" s="217"/>
      <c r="D796" s="217"/>
      <c r="E796" s="217"/>
      <c r="F796" s="217"/>
      <c r="G796" s="217"/>
      <c r="H796" s="217"/>
      <c r="I796" s="217"/>
      <c r="J796" s="217"/>
      <c r="K796" s="217"/>
      <c r="L796" s="217"/>
      <c r="M796" s="217"/>
      <c r="N796" s="217"/>
      <c r="O796" s="217"/>
      <c r="P796" s="217"/>
      <c r="Q796" s="217"/>
      <c r="R796" s="217"/>
      <c r="S796" s="217"/>
      <c r="T796" s="217"/>
      <c r="U796" s="217"/>
      <c r="V796" s="217"/>
      <c r="W796" s="217"/>
      <c r="X796" s="217"/>
      <c r="Y796" s="217"/>
      <c r="Z796" s="217"/>
    </row>
    <row r="797" ht="15.75" customHeight="1">
      <c r="A797" s="217"/>
      <c r="B797" s="217"/>
      <c r="C797" s="217"/>
      <c r="D797" s="217"/>
      <c r="E797" s="217"/>
      <c r="F797" s="217"/>
      <c r="G797" s="217"/>
      <c r="H797" s="217"/>
      <c r="I797" s="217"/>
      <c r="J797" s="217"/>
      <c r="K797" s="217"/>
      <c r="L797" s="217"/>
      <c r="M797" s="217"/>
      <c r="N797" s="217"/>
      <c r="O797" s="217"/>
      <c r="P797" s="217"/>
      <c r="Q797" s="217"/>
      <c r="R797" s="217"/>
      <c r="S797" s="217"/>
      <c r="T797" s="217"/>
      <c r="U797" s="217"/>
      <c r="V797" s="217"/>
      <c r="W797" s="217"/>
      <c r="X797" s="217"/>
      <c r="Y797" s="217"/>
      <c r="Z797" s="217"/>
    </row>
    <row r="798" ht="15.75" customHeight="1">
      <c r="A798" s="217"/>
      <c r="B798" s="217"/>
      <c r="C798" s="217"/>
      <c r="D798" s="217"/>
      <c r="E798" s="217"/>
      <c r="F798" s="217"/>
      <c r="G798" s="217"/>
      <c r="H798" s="217"/>
      <c r="I798" s="217"/>
      <c r="J798" s="217"/>
      <c r="K798" s="217"/>
      <c r="L798" s="217"/>
      <c r="M798" s="217"/>
      <c r="N798" s="217"/>
      <c r="O798" s="217"/>
      <c r="P798" s="217"/>
      <c r="Q798" s="217"/>
      <c r="R798" s="217"/>
      <c r="S798" s="217"/>
      <c r="T798" s="217"/>
      <c r="U798" s="217"/>
      <c r="V798" s="217"/>
      <c r="W798" s="217"/>
      <c r="X798" s="217"/>
      <c r="Y798" s="217"/>
      <c r="Z798" s="217"/>
    </row>
    <row r="799" ht="15.75" customHeight="1">
      <c r="A799" s="217"/>
      <c r="B799" s="217"/>
      <c r="C799" s="217"/>
      <c r="D799" s="217"/>
      <c r="E799" s="217"/>
      <c r="F799" s="217"/>
      <c r="G799" s="217"/>
      <c r="H799" s="217"/>
      <c r="I799" s="217"/>
      <c r="J799" s="217"/>
      <c r="K799" s="217"/>
      <c r="L799" s="217"/>
      <c r="M799" s="217"/>
      <c r="N799" s="217"/>
      <c r="O799" s="217"/>
      <c r="P799" s="217"/>
      <c r="Q799" s="217"/>
      <c r="R799" s="217"/>
      <c r="S799" s="217"/>
      <c r="T799" s="217"/>
      <c r="U799" s="217"/>
      <c r="V799" s="217"/>
      <c r="W799" s="217"/>
      <c r="X799" s="217"/>
      <c r="Y799" s="217"/>
      <c r="Z799" s="217"/>
    </row>
    <row r="800" ht="15.75" customHeight="1">
      <c r="A800" s="217"/>
      <c r="B800" s="217"/>
      <c r="C800" s="217"/>
      <c r="D800" s="217"/>
      <c r="E800" s="217"/>
      <c r="F800" s="217"/>
      <c r="G800" s="217"/>
      <c r="H800" s="217"/>
      <c r="I800" s="217"/>
      <c r="J800" s="217"/>
      <c r="K800" s="217"/>
      <c r="L800" s="217"/>
      <c r="M800" s="217"/>
      <c r="N800" s="217"/>
      <c r="O800" s="217"/>
      <c r="P800" s="217"/>
      <c r="Q800" s="217"/>
      <c r="R800" s="217"/>
      <c r="S800" s="217"/>
      <c r="T800" s="217"/>
      <c r="U800" s="217"/>
      <c r="V800" s="217"/>
      <c r="W800" s="217"/>
      <c r="X800" s="217"/>
      <c r="Y800" s="217"/>
      <c r="Z800" s="217"/>
    </row>
    <row r="801" ht="15.75" customHeight="1">
      <c r="A801" s="217"/>
      <c r="B801" s="217"/>
      <c r="C801" s="217"/>
      <c r="D801" s="217"/>
      <c r="E801" s="217"/>
      <c r="F801" s="217"/>
      <c r="G801" s="217"/>
      <c r="H801" s="217"/>
      <c r="I801" s="217"/>
      <c r="J801" s="217"/>
      <c r="K801" s="217"/>
      <c r="L801" s="217"/>
      <c r="M801" s="217"/>
      <c r="N801" s="217"/>
      <c r="O801" s="217"/>
      <c r="P801" s="217"/>
      <c r="Q801" s="217"/>
      <c r="R801" s="217"/>
      <c r="S801" s="217"/>
      <c r="T801" s="217"/>
      <c r="U801" s="217"/>
      <c r="V801" s="217"/>
      <c r="W801" s="217"/>
      <c r="X801" s="217"/>
      <c r="Y801" s="217"/>
      <c r="Z801" s="217"/>
    </row>
    <row r="802" ht="15.75" customHeight="1">
      <c r="A802" s="217"/>
      <c r="B802" s="217"/>
      <c r="C802" s="217"/>
      <c r="D802" s="217"/>
      <c r="E802" s="217"/>
      <c r="F802" s="217"/>
      <c r="G802" s="217"/>
      <c r="H802" s="217"/>
      <c r="I802" s="217"/>
      <c r="J802" s="217"/>
      <c r="K802" s="217"/>
      <c r="L802" s="217"/>
      <c r="M802" s="217"/>
      <c r="N802" s="217"/>
      <c r="O802" s="217"/>
      <c r="P802" s="217"/>
      <c r="Q802" s="217"/>
      <c r="R802" s="217"/>
      <c r="S802" s="217"/>
      <c r="T802" s="217"/>
      <c r="U802" s="217"/>
      <c r="V802" s="217"/>
      <c r="W802" s="217"/>
      <c r="X802" s="217"/>
      <c r="Y802" s="217"/>
      <c r="Z802" s="217"/>
    </row>
    <row r="803" ht="15.75" customHeight="1">
      <c r="A803" s="217"/>
      <c r="B803" s="217"/>
      <c r="C803" s="217"/>
      <c r="D803" s="217"/>
      <c r="E803" s="217"/>
      <c r="F803" s="217"/>
      <c r="G803" s="217"/>
      <c r="H803" s="217"/>
      <c r="I803" s="217"/>
      <c r="J803" s="217"/>
      <c r="K803" s="217"/>
      <c r="L803" s="217"/>
      <c r="M803" s="217"/>
      <c r="N803" s="217"/>
      <c r="O803" s="217"/>
      <c r="P803" s="217"/>
      <c r="Q803" s="217"/>
      <c r="R803" s="217"/>
      <c r="S803" s="217"/>
      <c r="T803" s="217"/>
      <c r="U803" s="217"/>
      <c r="V803" s="217"/>
      <c r="W803" s="217"/>
      <c r="X803" s="217"/>
      <c r="Y803" s="217"/>
      <c r="Z803" s="217"/>
    </row>
    <row r="804" ht="15.75" customHeight="1">
      <c r="A804" s="217"/>
      <c r="B804" s="217"/>
      <c r="C804" s="217"/>
      <c r="D804" s="217"/>
      <c r="E804" s="217"/>
      <c r="F804" s="217"/>
      <c r="G804" s="217"/>
      <c r="H804" s="217"/>
      <c r="I804" s="217"/>
      <c r="J804" s="217"/>
      <c r="K804" s="217"/>
      <c r="L804" s="217"/>
      <c r="M804" s="217"/>
      <c r="N804" s="217"/>
      <c r="O804" s="217"/>
      <c r="P804" s="217"/>
      <c r="Q804" s="217"/>
      <c r="R804" s="217"/>
      <c r="S804" s="217"/>
      <c r="T804" s="217"/>
      <c r="U804" s="217"/>
      <c r="V804" s="217"/>
      <c r="W804" s="217"/>
      <c r="X804" s="217"/>
      <c r="Y804" s="217"/>
      <c r="Z804" s="217"/>
    </row>
    <row r="805" ht="15.75" customHeight="1">
      <c r="A805" s="217"/>
      <c r="B805" s="217"/>
      <c r="C805" s="217"/>
      <c r="D805" s="217"/>
      <c r="E805" s="217"/>
      <c r="F805" s="217"/>
      <c r="G805" s="217"/>
      <c r="H805" s="217"/>
      <c r="I805" s="217"/>
      <c r="J805" s="217"/>
      <c r="K805" s="217"/>
      <c r="L805" s="217"/>
      <c r="M805" s="217"/>
      <c r="N805" s="217"/>
      <c r="O805" s="217"/>
      <c r="P805" s="217"/>
      <c r="Q805" s="217"/>
      <c r="R805" s="217"/>
      <c r="S805" s="217"/>
      <c r="T805" s="217"/>
      <c r="U805" s="217"/>
      <c r="V805" s="217"/>
      <c r="W805" s="217"/>
      <c r="X805" s="217"/>
      <c r="Y805" s="217"/>
      <c r="Z805" s="217"/>
    </row>
    <row r="806" ht="15.75" customHeight="1">
      <c r="A806" s="217"/>
      <c r="B806" s="217"/>
      <c r="C806" s="217"/>
      <c r="D806" s="217"/>
      <c r="E806" s="217"/>
      <c r="F806" s="217"/>
      <c r="G806" s="217"/>
      <c r="H806" s="217"/>
      <c r="I806" s="217"/>
      <c r="J806" s="217"/>
      <c r="K806" s="217"/>
      <c r="L806" s="217"/>
      <c r="M806" s="217"/>
      <c r="N806" s="217"/>
      <c r="O806" s="217"/>
      <c r="P806" s="217"/>
      <c r="Q806" s="217"/>
      <c r="R806" s="217"/>
      <c r="S806" s="217"/>
      <c r="T806" s="217"/>
      <c r="U806" s="217"/>
      <c r="V806" s="217"/>
      <c r="W806" s="217"/>
      <c r="X806" s="217"/>
      <c r="Y806" s="217"/>
      <c r="Z806" s="217"/>
    </row>
    <row r="807" ht="15.75" customHeight="1">
      <c r="A807" s="217"/>
      <c r="B807" s="217"/>
      <c r="C807" s="217"/>
      <c r="D807" s="217"/>
      <c r="E807" s="217"/>
      <c r="F807" s="217"/>
      <c r="G807" s="217"/>
      <c r="H807" s="217"/>
      <c r="I807" s="217"/>
      <c r="J807" s="217"/>
      <c r="K807" s="217"/>
      <c r="L807" s="217"/>
      <c r="M807" s="217"/>
      <c r="N807" s="217"/>
      <c r="O807" s="217"/>
      <c r="P807" s="217"/>
      <c r="Q807" s="217"/>
      <c r="R807" s="217"/>
      <c r="S807" s="217"/>
      <c r="T807" s="217"/>
      <c r="U807" s="217"/>
      <c r="V807" s="217"/>
      <c r="W807" s="217"/>
      <c r="X807" s="217"/>
      <c r="Y807" s="217"/>
      <c r="Z807" s="217"/>
    </row>
    <row r="808" ht="15.75" customHeight="1">
      <c r="A808" s="217"/>
      <c r="B808" s="217"/>
      <c r="C808" s="217"/>
      <c r="D808" s="217"/>
      <c r="E808" s="217"/>
      <c r="F808" s="217"/>
      <c r="G808" s="217"/>
      <c r="H808" s="217"/>
      <c r="I808" s="217"/>
      <c r="J808" s="217"/>
      <c r="K808" s="217"/>
      <c r="L808" s="217"/>
      <c r="M808" s="217"/>
      <c r="N808" s="217"/>
      <c r="O808" s="217"/>
      <c r="P808" s="217"/>
      <c r="Q808" s="217"/>
      <c r="R808" s="217"/>
      <c r="S808" s="217"/>
      <c r="T808" s="217"/>
      <c r="U808" s="217"/>
      <c r="V808" s="217"/>
      <c r="W808" s="217"/>
      <c r="X808" s="217"/>
      <c r="Y808" s="217"/>
      <c r="Z808" s="217"/>
    </row>
    <row r="809" ht="15.75" customHeight="1">
      <c r="A809" s="217"/>
      <c r="B809" s="217"/>
      <c r="C809" s="217"/>
      <c r="D809" s="217"/>
      <c r="E809" s="217"/>
      <c r="F809" s="217"/>
      <c r="G809" s="217"/>
      <c r="H809" s="217"/>
      <c r="I809" s="217"/>
      <c r="J809" s="217"/>
      <c r="K809" s="217"/>
      <c r="L809" s="217"/>
      <c r="M809" s="217"/>
      <c r="N809" s="217"/>
      <c r="O809" s="217"/>
      <c r="P809" s="217"/>
      <c r="Q809" s="217"/>
      <c r="R809" s="217"/>
      <c r="S809" s="217"/>
      <c r="T809" s="217"/>
      <c r="U809" s="217"/>
      <c r="V809" s="217"/>
      <c r="W809" s="217"/>
      <c r="X809" s="217"/>
      <c r="Y809" s="217"/>
      <c r="Z809" s="217"/>
    </row>
    <row r="810" ht="15.75" customHeight="1">
      <c r="A810" s="217"/>
      <c r="B810" s="217"/>
      <c r="C810" s="217"/>
      <c r="D810" s="217"/>
      <c r="E810" s="217"/>
      <c r="F810" s="217"/>
      <c r="G810" s="217"/>
      <c r="H810" s="217"/>
      <c r="I810" s="217"/>
      <c r="J810" s="217"/>
      <c r="K810" s="217"/>
      <c r="L810" s="217"/>
      <c r="M810" s="217"/>
      <c r="N810" s="217"/>
      <c r="O810" s="217"/>
      <c r="P810" s="217"/>
      <c r="Q810" s="217"/>
      <c r="R810" s="217"/>
      <c r="S810" s="217"/>
      <c r="T810" s="217"/>
      <c r="U810" s="217"/>
      <c r="V810" s="217"/>
      <c r="W810" s="217"/>
      <c r="X810" s="217"/>
      <c r="Y810" s="217"/>
      <c r="Z810" s="217"/>
    </row>
    <row r="811" ht="15.75" customHeight="1">
      <c r="A811" s="217"/>
      <c r="B811" s="217"/>
      <c r="C811" s="217"/>
      <c r="D811" s="217"/>
      <c r="E811" s="217"/>
      <c r="F811" s="217"/>
      <c r="G811" s="217"/>
      <c r="H811" s="217"/>
      <c r="I811" s="217"/>
      <c r="J811" s="217"/>
      <c r="K811" s="217"/>
      <c r="L811" s="217"/>
      <c r="M811" s="217"/>
      <c r="N811" s="217"/>
      <c r="O811" s="217"/>
      <c r="P811" s="217"/>
      <c r="Q811" s="217"/>
      <c r="R811" s="217"/>
      <c r="S811" s="217"/>
      <c r="T811" s="217"/>
      <c r="U811" s="217"/>
      <c r="V811" s="217"/>
      <c r="W811" s="217"/>
      <c r="X811" s="217"/>
      <c r="Y811" s="217"/>
      <c r="Z811" s="217"/>
    </row>
    <row r="812" ht="15.75" customHeight="1">
      <c r="A812" s="217"/>
      <c r="B812" s="217"/>
      <c r="C812" s="217"/>
      <c r="D812" s="217"/>
      <c r="E812" s="217"/>
      <c r="F812" s="217"/>
      <c r="G812" s="217"/>
      <c r="H812" s="217"/>
      <c r="I812" s="217"/>
      <c r="J812" s="217"/>
      <c r="K812" s="217"/>
      <c r="L812" s="217"/>
      <c r="M812" s="217"/>
      <c r="N812" s="217"/>
      <c r="O812" s="217"/>
      <c r="P812" s="217"/>
      <c r="Q812" s="217"/>
      <c r="R812" s="217"/>
      <c r="S812" s="217"/>
      <c r="T812" s="217"/>
      <c r="U812" s="217"/>
      <c r="V812" s="217"/>
      <c r="W812" s="217"/>
      <c r="X812" s="217"/>
      <c r="Y812" s="217"/>
      <c r="Z812" s="217"/>
    </row>
    <row r="813" ht="15.75" customHeight="1">
      <c r="A813" s="217"/>
      <c r="B813" s="217"/>
      <c r="C813" s="217"/>
      <c r="D813" s="217"/>
      <c r="E813" s="217"/>
      <c r="F813" s="217"/>
      <c r="G813" s="217"/>
      <c r="H813" s="217"/>
      <c r="I813" s="217"/>
      <c r="J813" s="217"/>
      <c r="K813" s="217"/>
      <c r="L813" s="217"/>
      <c r="M813" s="217"/>
      <c r="N813" s="217"/>
      <c r="O813" s="217"/>
      <c r="P813" s="217"/>
      <c r="Q813" s="217"/>
      <c r="R813" s="217"/>
      <c r="S813" s="217"/>
      <c r="T813" s="217"/>
      <c r="U813" s="217"/>
      <c r="V813" s="217"/>
      <c r="W813" s="217"/>
      <c r="X813" s="217"/>
      <c r="Y813" s="217"/>
      <c r="Z813" s="217"/>
    </row>
    <row r="814" ht="15.75" customHeight="1">
      <c r="A814" s="217"/>
      <c r="B814" s="217"/>
      <c r="C814" s="217"/>
      <c r="D814" s="217"/>
      <c r="E814" s="217"/>
      <c r="F814" s="217"/>
      <c r="G814" s="217"/>
      <c r="H814" s="217"/>
      <c r="I814" s="217"/>
      <c r="J814" s="217"/>
      <c r="K814" s="217"/>
      <c r="L814" s="217"/>
      <c r="M814" s="217"/>
      <c r="N814" s="217"/>
      <c r="O814" s="217"/>
      <c r="P814" s="217"/>
      <c r="Q814" s="217"/>
      <c r="R814" s="217"/>
      <c r="S814" s="217"/>
      <c r="T814" s="217"/>
      <c r="U814" s="217"/>
      <c r="V814" s="217"/>
      <c r="W814" s="217"/>
      <c r="X814" s="217"/>
      <c r="Y814" s="217"/>
      <c r="Z814" s="217"/>
    </row>
    <row r="815" ht="15.75" customHeight="1">
      <c r="A815" s="217"/>
      <c r="B815" s="217"/>
      <c r="C815" s="217"/>
      <c r="D815" s="217"/>
      <c r="E815" s="217"/>
      <c r="F815" s="217"/>
      <c r="G815" s="217"/>
      <c r="H815" s="217"/>
      <c r="I815" s="217"/>
      <c r="J815" s="217"/>
      <c r="K815" s="217"/>
      <c r="L815" s="217"/>
      <c r="M815" s="217"/>
      <c r="N815" s="217"/>
      <c r="O815" s="217"/>
      <c r="P815" s="217"/>
      <c r="Q815" s="217"/>
      <c r="R815" s="217"/>
      <c r="S815" s="217"/>
      <c r="T815" s="217"/>
      <c r="U815" s="217"/>
      <c r="V815" s="217"/>
      <c r="W815" s="217"/>
      <c r="X815" s="217"/>
      <c r="Y815" s="217"/>
      <c r="Z815" s="217"/>
    </row>
    <row r="816" ht="15.75" customHeight="1">
      <c r="A816" s="217"/>
      <c r="B816" s="217"/>
      <c r="C816" s="217"/>
      <c r="D816" s="217"/>
      <c r="E816" s="217"/>
      <c r="F816" s="217"/>
      <c r="G816" s="217"/>
      <c r="H816" s="217"/>
      <c r="I816" s="217"/>
      <c r="J816" s="217"/>
      <c r="K816" s="217"/>
      <c r="L816" s="217"/>
      <c r="M816" s="217"/>
      <c r="N816" s="217"/>
      <c r="O816" s="217"/>
      <c r="P816" s="217"/>
      <c r="Q816" s="217"/>
      <c r="R816" s="217"/>
      <c r="S816" s="217"/>
      <c r="T816" s="217"/>
      <c r="U816" s="217"/>
      <c r="V816" s="217"/>
      <c r="W816" s="217"/>
      <c r="X816" s="217"/>
      <c r="Y816" s="217"/>
      <c r="Z816" s="217"/>
    </row>
    <row r="817" ht="15.75" customHeight="1">
      <c r="A817" s="217"/>
      <c r="B817" s="217"/>
      <c r="C817" s="217"/>
      <c r="D817" s="217"/>
      <c r="E817" s="217"/>
      <c r="F817" s="217"/>
      <c r="G817" s="217"/>
      <c r="H817" s="217"/>
      <c r="I817" s="217"/>
      <c r="J817" s="217"/>
      <c r="K817" s="217"/>
      <c r="L817" s="217"/>
      <c r="M817" s="217"/>
      <c r="N817" s="217"/>
      <c r="O817" s="217"/>
      <c r="P817" s="217"/>
      <c r="Q817" s="217"/>
      <c r="R817" s="217"/>
      <c r="S817" s="217"/>
      <c r="T817" s="217"/>
      <c r="U817" s="217"/>
      <c r="V817" s="217"/>
      <c r="W817" s="217"/>
      <c r="X817" s="217"/>
      <c r="Y817" s="217"/>
      <c r="Z817" s="217"/>
    </row>
    <row r="818" ht="15.75" customHeight="1">
      <c r="A818" s="217"/>
      <c r="B818" s="217"/>
      <c r="C818" s="217"/>
      <c r="D818" s="217"/>
      <c r="E818" s="217"/>
      <c r="F818" s="217"/>
      <c r="G818" s="217"/>
      <c r="H818" s="217"/>
      <c r="I818" s="217"/>
      <c r="J818" s="217"/>
      <c r="K818" s="217"/>
      <c r="L818" s="217"/>
      <c r="M818" s="217"/>
      <c r="N818" s="217"/>
      <c r="O818" s="217"/>
      <c r="P818" s="217"/>
      <c r="Q818" s="217"/>
      <c r="R818" s="217"/>
      <c r="S818" s="217"/>
      <c r="T818" s="217"/>
      <c r="U818" s="217"/>
      <c r="V818" s="217"/>
      <c r="W818" s="217"/>
      <c r="X818" s="217"/>
      <c r="Y818" s="217"/>
      <c r="Z818" s="217"/>
    </row>
    <row r="819" ht="15.75" customHeight="1">
      <c r="A819" s="217"/>
      <c r="B819" s="217"/>
      <c r="C819" s="217"/>
      <c r="D819" s="217"/>
      <c r="E819" s="217"/>
      <c r="F819" s="217"/>
      <c r="G819" s="217"/>
      <c r="H819" s="217"/>
      <c r="I819" s="217"/>
      <c r="J819" s="217"/>
      <c r="K819" s="217"/>
      <c r="L819" s="217"/>
      <c r="M819" s="217"/>
      <c r="N819" s="217"/>
      <c r="O819" s="217"/>
      <c r="P819" s="217"/>
      <c r="Q819" s="217"/>
      <c r="R819" s="217"/>
      <c r="S819" s="217"/>
      <c r="T819" s="217"/>
      <c r="U819" s="217"/>
      <c r="V819" s="217"/>
      <c r="W819" s="217"/>
      <c r="X819" s="217"/>
      <c r="Y819" s="217"/>
      <c r="Z819" s="217"/>
    </row>
    <row r="820" ht="15.75" customHeight="1">
      <c r="A820" s="217"/>
      <c r="B820" s="217"/>
      <c r="C820" s="217"/>
      <c r="D820" s="217"/>
      <c r="E820" s="217"/>
      <c r="F820" s="217"/>
      <c r="G820" s="217"/>
      <c r="H820" s="217"/>
      <c r="I820" s="217"/>
      <c r="J820" s="217"/>
      <c r="K820" s="217"/>
      <c r="L820" s="217"/>
      <c r="M820" s="217"/>
      <c r="N820" s="217"/>
      <c r="O820" s="217"/>
      <c r="P820" s="217"/>
      <c r="Q820" s="217"/>
      <c r="R820" s="217"/>
      <c r="S820" s="217"/>
      <c r="T820" s="217"/>
      <c r="U820" s="217"/>
      <c r="V820" s="217"/>
      <c r="W820" s="217"/>
      <c r="X820" s="217"/>
      <c r="Y820" s="217"/>
      <c r="Z820" s="217"/>
    </row>
    <row r="821" ht="15.75" customHeight="1">
      <c r="A821" s="217"/>
      <c r="B821" s="217"/>
      <c r="C821" s="217"/>
      <c r="D821" s="217"/>
      <c r="E821" s="217"/>
      <c r="F821" s="217"/>
      <c r="G821" s="217"/>
      <c r="H821" s="217"/>
      <c r="I821" s="217"/>
      <c r="J821" s="217"/>
      <c r="K821" s="217"/>
      <c r="L821" s="217"/>
      <c r="M821" s="217"/>
      <c r="N821" s="217"/>
      <c r="O821" s="217"/>
      <c r="P821" s="217"/>
      <c r="Q821" s="217"/>
      <c r="R821" s="217"/>
      <c r="S821" s="217"/>
      <c r="T821" s="217"/>
      <c r="U821" s="217"/>
      <c r="V821" s="217"/>
      <c r="W821" s="217"/>
      <c r="X821" s="217"/>
      <c r="Y821" s="217"/>
      <c r="Z821" s="217"/>
    </row>
    <row r="822" ht="15.75" customHeight="1">
      <c r="A822" s="217"/>
      <c r="B822" s="217"/>
      <c r="C822" s="217"/>
      <c r="D822" s="217"/>
      <c r="E822" s="217"/>
      <c r="F822" s="217"/>
      <c r="G822" s="217"/>
      <c r="H822" s="217"/>
      <c r="I822" s="217"/>
      <c r="J822" s="217"/>
      <c r="K822" s="217"/>
      <c r="L822" s="217"/>
      <c r="M822" s="217"/>
      <c r="N822" s="217"/>
      <c r="O822" s="217"/>
      <c r="P822" s="217"/>
      <c r="Q822" s="217"/>
      <c r="R822" s="217"/>
      <c r="S822" s="217"/>
      <c r="T822" s="217"/>
      <c r="U822" s="217"/>
      <c r="V822" s="217"/>
      <c r="W822" s="217"/>
      <c r="X822" s="217"/>
      <c r="Y822" s="217"/>
      <c r="Z822" s="217"/>
    </row>
    <row r="823" ht="15.75" customHeight="1">
      <c r="A823" s="217"/>
      <c r="B823" s="217"/>
      <c r="C823" s="217"/>
      <c r="D823" s="217"/>
      <c r="E823" s="217"/>
      <c r="F823" s="217"/>
      <c r="G823" s="217"/>
      <c r="H823" s="217"/>
      <c r="I823" s="217"/>
      <c r="J823" s="217"/>
      <c r="K823" s="217"/>
      <c r="L823" s="217"/>
      <c r="M823" s="217"/>
      <c r="N823" s="217"/>
      <c r="O823" s="217"/>
      <c r="P823" s="217"/>
      <c r="Q823" s="217"/>
      <c r="R823" s="217"/>
      <c r="S823" s="217"/>
      <c r="T823" s="217"/>
      <c r="U823" s="217"/>
      <c r="V823" s="217"/>
      <c r="W823" s="217"/>
      <c r="X823" s="217"/>
      <c r="Y823" s="217"/>
      <c r="Z823" s="217"/>
    </row>
    <row r="824" ht="15.75" customHeight="1">
      <c r="A824" s="217"/>
      <c r="B824" s="217"/>
      <c r="C824" s="217"/>
      <c r="D824" s="217"/>
      <c r="E824" s="217"/>
      <c r="F824" s="217"/>
      <c r="G824" s="217"/>
      <c r="H824" s="217"/>
      <c r="I824" s="217"/>
      <c r="J824" s="217"/>
      <c r="K824" s="217"/>
      <c r="L824" s="217"/>
      <c r="M824" s="217"/>
      <c r="N824" s="217"/>
      <c r="O824" s="217"/>
      <c r="P824" s="217"/>
      <c r="Q824" s="217"/>
      <c r="R824" s="217"/>
      <c r="S824" s="217"/>
      <c r="T824" s="217"/>
      <c r="U824" s="217"/>
      <c r="V824" s="217"/>
      <c r="W824" s="217"/>
      <c r="X824" s="217"/>
      <c r="Y824" s="217"/>
      <c r="Z824" s="217"/>
    </row>
    <row r="825" ht="15.75" customHeight="1">
      <c r="A825" s="217"/>
      <c r="B825" s="217"/>
      <c r="C825" s="217"/>
      <c r="D825" s="217"/>
      <c r="E825" s="217"/>
      <c r="F825" s="217"/>
      <c r="G825" s="217"/>
      <c r="H825" s="217"/>
      <c r="I825" s="217"/>
      <c r="J825" s="217"/>
      <c r="K825" s="217"/>
      <c r="L825" s="217"/>
      <c r="M825" s="217"/>
      <c r="N825" s="217"/>
      <c r="O825" s="217"/>
      <c r="P825" s="217"/>
      <c r="Q825" s="217"/>
      <c r="R825" s="217"/>
      <c r="S825" s="217"/>
      <c r="T825" s="217"/>
      <c r="U825" s="217"/>
      <c r="V825" s="217"/>
      <c r="W825" s="217"/>
      <c r="X825" s="217"/>
      <c r="Y825" s="217"/>
      <c r="Z825" s="217"/>
    </row>
    <row r="826" ht="15.75" customHeight="1">
      <c r="A826" s="217"/>
      <c r="B826" s="217"/>
      <c r="C826" s="217"/>
      <c r="D826" s="217"/>
      <c r="E826" s="217"/>
      <c r="F826" s="217"/>
      <c r="G826" s="217"/>
      <c r="H826" s="217"/>
      <c r="I826" s="217"/>
      <c r="J826" s="217"/>
      <c r="K826" s="217"/>
      <c r="L826" s="217"/>
      <c r="M826" s="217"/>
      <c r="N826" s="217"/>
      <c r="O826" s="217"/>
      <c r="P826" s="217"/>
      <c r="Q826" s="217"/>
      <c r="R826" s="217"/>
      <c r="S826" s="217"/>
      <c r="T826" s="217"/>
      <c r="U826" s="217"/>
      <c r="V826" s="217"/>
      <c r="W826" s="217"/>
      <c r="X826" s="217"/>
      <c r="Y826" s="217"/>
      <c r="Z826" s="217"/>
    </row>
    <row r="827" ht="15.75" customHeight="1">
      <c r="A827" s="217"/>
      <c r="B827" s="217"/>
      <c r="C827" s="217"/>
      <c r="D827" s="217"/>
      <c r="E827" s="217"/>
      <c r="F827" s="217"/>
      <c r="G827" s="217"/>
      <c r="H827" s="217"/>
      <c r="I827" s="217"/>
      <c r="J827" s="217"/>
      <c r="K827" s="217"/>
      <c r="L827" s="217"/>
      <c r="M827" s="217"/>
      <c r="N827" s="217"/>
      <c r="O827" s="217"/>
      <c r="P827" s="217"/>
      <c r="Q827" s="217"/>
      <c r="R827" s="217"/>
      <c r="S827" s="217"/>
      <c r="T827" s="217"/>
      <c r="U827" s="217"/>
      <c r="V827" s="217"/>
      <c r="W827" s="217"/>
      <c r="X827" s="217"/>
      <c r="Y827" s="217"/>
      <c r="Z827" s="217"/>
    </row>
    <row r="828" ht="15.75" customHeight="1">
      <c r="A828" s="217"/>
      <c r="B828" s="217"/>
      <c r="C828" s="217"/>
      <c r="D828" s="217"/>
      <c r="E828" s="217"/>
      <c r="F828" s="217"/>
      <c r="G828" s="217"/>
      <c r="H828" s="217"/>
      <c r="I828" s="217"/>
      <c r="J828" s="217"/>
      <c r="K828" s="217"/>
      <c r="L828" s="217"/>
      <c r="M828" s="217"/>
      <c r="N828" s="217"/>
      <c r="O828" s="217"/>
      <c r="P828" s="217"/>
      <c r="Q828" s="217"/>
      <c r="R828" s="217"/>
      <c r="S828" s="217"/>
      <c r="T828" s="217"/>
      <c r="U828" s="217"/>
      <c r="V828" s="217"/>
      <c r="W828" s="217"/>
      <c r="X828" s="217"/>
      <c r="Y828" s="217"/>
      <c r="Z828" s="217"/>
    </row>
    <row r="829" ht="15.75" customHeight="1">
      <c r="A829" s="217"/>
      <c r="B829" s="217"/>
      <c r="C829" s="217"/>
      <c r="D829" s="217"/>
      <c r="E829" s="217"/>
      <c r="F829" s="217"/>
      <c r="G829" s="217"/>
      <c r="H829" s="217"/>
      <c r="I829" s="217"/>
      <c r="J829" s="217"/>
      <c r="K829" s="217"/>
      <c r="L829" s="217"/>
      <c r="M829" s="217"/>
      <c r="N829" s="217"/>
      <c r="O829" s="217"/>
      <c r="P829" s="217"/>
      <c r="Q829" s="217"/>
      <c r="R829" s="217"/>
      <c r="S829" s="217"/>
      <c r="T829" s="217"/>
      <c r="U829" s="217"/>
      <c r="V829" s="217"/>
      <c r="W829" s="217"/>
      <c r="X829" s="217"/>
      <c r="Y829" s="217"/>
      <c r="Z829" s="217"/>
    </row>
    <row r="830" ht="15.75" customHeight="1">
      <c r="A830" s="217"/>
      <c r="B830" s="217"/>
      <c r="C830" s="217"/>
      <c r="D830" s="217"/>
      <c r="E830" s="217"/>
      <c r="F830" s="217"/>
      <c r="G830" s="217"/>
      <c r="H830" s="217"/>
      <c r="I830" s="217"/>
      <c r="J830" s="217"/>
      <c r="K830" s="217"/>
      <c r="L830" s="217"/>
      <c r="M830" s="217"/>
      <c r="N830" s="217"/>
      <c r="O830" s="217"/>
      <c r="P830" s="217"/>
      <c r="Q830" s="217"/>
      <c r="R830" s="217"/>
      <c r="S830" s="217"/>
      <c r="T830" s="217"/>
      <c r="U830" s="217"/>
      <c r="V830" s="217"/>
      <c r="W830" s="217"/>
      <c r="X830" s="217"/>
      <c r="Y830" s="217"/>
      <c r="Z830" s="217"/>
    </row>
    <row r="831" ht="15.75" customHeight="1">
      <c r="A831" s="217"/>
      <c r="B831" s="217"/>
      <c r="C831" s="217"/>
      <c r="D831" s="217"/>
      <c r="E831" s="217"/>
      <c r="F831" s="217"/>
      <c r="G831" s="217"/>
      <c r="H831" s="217"/>
      <c r="I831" s="217"/>
      <c r="J831" s="217"/>
      <c r="K831" s="217"/>
      <c r="L831" s="217"/>
      <c r="M831" s="217"/>
      <c r="N831" s="217"/>
      <c r="O831" s="217"/>
      <c r="P831" s="217"/>
      <c r="Q831" s="217"/>
      <c r="R831" s="217"/>
      <c r="S831" s="217"/>
      <c r="T831" s="217"/>
      <c r="U831" s="217"/>
      <c r="V831" s="217"/>
      <c r="W831" s="217"/>
      <c r="X831" s="217"/>
      <c r="Y831" s="217"/>
      <c r="Z831" s="217"/>
    </row>
    <row r="832" ht="15.75" customHeight="1">
      <c r="A832" s="217"/>
      <c r="B832" s="217"/>
      <c r="C832" s="217"/>
      <c r="D832" s="217"/>
      <c r="E832" s="217"/>
      <c r="F832" s="217"/>
      <c r="G832" s="217"/>
      <c r="H832" s="217"/>
      <c r="I832" s="217"/>
      <c r="J832" s="217"/>
      <c r="K832" s="217"/>
      <c r="L832" s="217"/>
      <c r="M832" s="217"/>
      <c r="N832" s="217"/>
      <c r="O832" s="217"/>
      <c r="P832" s="217"/>
      <c r="Q832" s="217"/>
      <c r="R832" s="217"/>
      <c r="S832" s="217"/>
      <c r="T832" s="217"/>
      <c r="U832" s="217"/>
      <c r="V832" s="217"/>
      <c r="W832" s="217"/>
      <c r="X832" s="217"/>
      <c r="Y832" s="217"/>
      <c r="Z832" s="217"/>
    </row>
    <row r="833" ht="15.75" customHeight="1">
      <c r="A833" s="217"/>
      <c r="B833" s="217"/>
      <c r="C833" s="217"/>
      <c r="D833" s="217"/>
      <c r="E833" s="217"/>
      <c r="F833" s="217"/>
      <c r="G833" s="217"/>
      <c r="H833" s="217"/>
      <c r="I833" s="217"/>
      <c r="J833" s="217"/>
      <c r="K833" s="217"/>
      <c r="L833" s="217"/>
      <c r="M833" s="217"/>
      <c r="N833" s="217"/>
      <c r="O833" s="217"/>
      <c r="P833" s="217"/>
      <c r="Q833" s="217"/>
      <c r="R833" s="217"/>
      <c r="S833" s="217"/>
      <c r="T833" s="217"/>
      <c r="U833" s="217"/>
      <c r="V833" s="217"/>
      <c r="W833" s="217"/>
      <c r="X833" s="217"/>
      <c r="Y833" s="217"/>
      <c r="Z833" s="217"/>
    </row>
    <row r="834" ht="15.75" customHeight="1">
      <c r="A834" s="217"/>
      <c r="B834" s="217"/>
      <c r="C834" s="217"/>
      <c r="D834" s="217"/>
      <c r="E834" s="217"/>
      <c r="F834" s="217"/>
      <c r="G834" s="217"/>
      <c r="H834" s="217"/>
      <c r="I834" s="217"/>
      <c r="J834" s="217"/>
      <c r="K834" s="217"/>
      <c r="L834" s="217"/>
      <c r="M834" s="217"/>
      <c r="N834" s="217"/>
      <c r="O834" s="217"/>
      <c r="P834" s="217"/>
      <c r="Q834" s="217"/>
      <c r="R834" s="217"/>
      <c r="S834" s="217"/>
      <c r="T834" s="217"/>
      <c r="U834" s="217"/>
      <c r="V834" s="217"/>
      <c r="W834" s="217"/>
      <c r="X834" s="217"/>
      <c r="Y834" s="217"/>
      <c r="Z834" s="217"/>
    </row>
    <row r="835" ht="15.75" customHeight="1">
      <c r="A835" s="217"/>
      <c r="B835" s="217"/>
      <c r="C835" s="217"/>
      <c r="D835" s="217"/>
      <c r="E835" s="217"/>
      <c r="F835" s="217"/>
      <c r="G835" s="217"/>
      <c r="H835" s="217"/>
      <c r="I835" s="217"/>
      <c r="J835" s="217"/>
      <c r="K835" s="217"/>
      <c r="L835" s="217"/>
      <c r="M835" s="217"/>
      <c r="N835" s="217"/>
      <c r="O835" s="217"/>
      <c r="P835" s="217"/>
      <c r="Q835" s="217"/>
      <c r="R835" s="217"/>
      <c r="S835" s="217"/>
      <c r="T835" s="217"/>
      <c r="U835" s="217"/>
      <c r="V835" s="217"/>
      <c r="W835" s="217"/>
      <c r="X835" s="217"/>
      <c r="Y835" s="217"/>
      <c r="Z835" s="217"/>
    </row>
    <row r="836" ht="15.75" customHeight="1">
      <c r="A836" s="217"/>
      <c r="B836" s="217"/>
      <c r="C836" s="217"/>
      <c r="D836" s="217"/>
      <c r="E836" s="217"/>
      <c r="F836" s="217"/>
      <c r="G836" s="217"/>
      <c r="H836" s="217"/>
      <c r="I836" s="217"/>
      <c r="J836" s="217"/>
      <c r="K836" s="217"/>
      <c r="L836" s="217"/>
      <c r="M836" s="217"/>
      <c r="N836" s="217"/>
      <c r="O836" s="217"/>
      <c r="P836" s="217"/>
      <c r="Q836" s="217"/>
      <c r="R836" s="217"/>
      <c r="S836" s="217"/>
      <c r="T836" s="217"/>
      <c r="U836" s="217"/>
      <c r="V836" s="217"/>
      <c r="W836" s="217"/>
      <c r="X836" s="217"/>
      <c r="Y836" s="217"/>
      <c r="Z836" s="217"/>
    </row>
    <row r="837" ht="15.75" customHeight="1">
      <c r="A837" s="217"/>
      <c r="B837" s="217"/>
      <c r="C837" s="217"/>
      <c r="D837" s="217"/>
      <c r="E837" s="217"/>
      <c r="F837" s="217"/>
      <c r="G837" s="217"/>
      <c r="H837" s="217"/>
      <c r="I837" s="217"/>
      <c r="J837" s="217"/>
      <c r="K837" s="217"/>
      <c r="L837" s="217"/>
      <c r="M837" s="217"/>
      <c r="N837" s="217"/>
      <c r="O837" s="217"/>
      <c r="P837" s="217"/>
      <c r="Q837" s="217"/>
      <c r="R837" s="217"/>
      <c r="S837" s="217"/>
      <c r="T837" s="217"/>
      <c r="U837" s="217"/>
      <c r="V837" s="217"/>
      <c r="W837" s="217"/>
      <c r="X837" s="217"/>
      <c r="Y837" s="217"/>
      <c r="Z837" s="217"/>
    </row>
    <row r="838" ht="15.75" customHeight="1">
      <c r="A838" s="217"/>
      <c r="B838" s="217"/>
      <c r="C838" s="217"/>
      <c r="D838" s="217"/>
      <c r="E838" s="217"/>
      <c r="F838" s="217"/>
      <c r="G838" s="217"/>
      <c r="H838" s="217"/>
      <c r="I838" s="217"/>
      <c r="J838" s="217"/>
      <c r="K838" s="217"/>
      <c r="L838" s="217"/>
      <c r="M838" s="217"/>
      <c r="N838" s="217"/>
      <c r="O838" s="217"/>
      <c r="P838" s="217"/>
      <c r="Q838" s="217"/>
      <c r="R838" s="217"/>
      <c r="S838" s="217"/>
      <c r="T838" s="217"/>
      <c r="U838" s="217"/>
      <c r="V838" s="217"/>
      <c r="W838" s="217"/>
      <c r="X838" s="217"/>
      <c r="Y838" s="217"/>
      <c r="Z838" s="217"/>
    </row>
    <row r="839" ht="15.75" customHeight="1">
      <c r="A839" s="217"/>
      <c r="B839" s="217"/>
      <c r="C839" s="217"/>
      <c r="D839" s="217"/>
      <c r="E839" s="217"/>
      <c r="F839" s="217"/>
      <c r="G839" s="217"/>
      <c r="H839" s="217"/>
      <c r="I839" s="217"/>
      <c r="J839" s="217"/>
      <c r="K839" s="217"/>
      <c r="L839" s="217"/>
      <c r="M839" s="217"/>
      <c r="N839" s="217"/>
      <c r="O839" s="217"/>
      <c r="P839" s="217"/>
      <c r="Q839" s="217"/>
      <c r="R839" s="217"/>
      <c r="S839" s="217"/>
      <c r="T839" s="217"/>
      <c r="U839" s="217"/>
      <c r="V839" s="217"/>
      <c r="W839" s="217"/>
      <c r="X839" s="217"/>
      <c r="Y839" s="217"/>
      <c r="Z839" s="217"/>
    </row>
    <row r="840" ht="15.75" customHeight="1">
      <c r="A840" s="217"/>
      <c r="B840" s="217"/>
      <c r="C840" s="217"/>
      <c r="D840" s="217"/>
      <c r="E840" s="217"/>
      <c r="F840" s="217"/>
      <c r="G840" s="217"/>
      <c r="H840" s="217"/>
      <c r="I840" s="217"/>
      <c r="J840" s="217"/>
      <c r="K840" s="217"/>
      <c r="L840" s="217"/>
      <c r="M840" s="217"/>
      <c r="N840" s="217"/>
      <c r="O840" s="217"/>
      <c r="P840" s="217"/>
      <c r="Q840" s="217"/>
      <c r="R840" s="217"/>
      <c r="S840" s="217"/>
      <c r="T840" s="217"/>
      <c r="U840" s="217"/>
      <c r="V840" s="217"/>
      <c r="W840" s="217"/>
      <c r="X840" s="217"/>
      <c r="Y840" s="217"/>
      <c r="Z840" s="217"/>
    </row>
    <row r="841" ht="15.75" customHeight="1">
      <c r="A841" s="217"/>
      <c r="B841" s="217"/>
      <c r="C841" s="217"/>
      <c r="D841" s="217"/>
      <c r="E841" s="217"/>
      <c r="F841" s="217"/>
      <c r="G841" s="217"/>
      <c r="H841" s="217"/>
      <c r="I841" s="217"/>
      <c r="J841" s="217"/>
      <c r="K841" s="217"/>
      <c r="L841" s="217"/>
      <c r="M841" s="217"/>
      <c r="N841" s="217"/>
      <c r="O841" s="217"/>
      <c r="P841" s="217"/>
      <c r="Q841" s="217"/>
      <c r="R841" s="217"/>
      <c r="S841" s="217"/>
      <c r="T841" s="217"/>
      <c r="U841" s="217"/>
      <c r="V841" s="217"/>
      <c r="W841" s="217"/>
      <c r="X841" s="217"/>
      <c r="Y841" s="217"/>
      <c r="Z841" s="217"/>
    </row>
    <row r="842" ht="15.75" customHeight="1">
      <c r="A842" s="217"/>
      <c r="B842" s="217"/>
      <c r="C842" s="217"/>
      <c r="D842" s="217"/>
      <c r="E842" s="217"/>
      <c r="F842" s="217"/>
      <c r="G842" s="217"/>
      <c r="H842" s="217"/>
      <c r="I842" s="217"/>
      <c r="J842" s="217"/>
      <c r="K842" s="217"/>
      <c r="L842" s="217"/>
      <c r="M842" s="217"/>
      <c r="N842" s="217"/>
      <c r="O842" s="217"/>
      <c r="P842" s="217"/>
      <c r="Q842" s="217"/>
      <c r="R842" s="217"/>
      <c r="S842" s="217"/>
      <c r="T842" s="217"/>
      <c r="U842" s="217"/>
      <c r="V842" s="217"/>
      <c r="W842" s="217"/>
      <c r="X842" s="217"/>
      <c r="Y842" s="217"/>
      <c r="Z842" s="217"/>
    </row>
    <row r="843" ht="15.75" customHeight="1">
      <c r="A843" s="217"/>
      <c r="B843" s="217"/>
      <c r="C843" s="217"/>
      <c r="D843" s="217"/>
      <c r="E843" s="217"/>
      <c r="F843" s="217"/>
      <c r="G843" s="217"/>
      <c r="H843" s="217"/>
      <c r="I843" s="217"/>
      <c r="J843" s="217"/>
      <c r="K843" s="217"/>
      <c r="L843" s="217"/>
      <c r="M843" s="217"/>
      <c r="N843" s="217"/>
      <c r="O843" s="217"/>
      <c r="P843" s="217"/>
      <c r="Q843" s="217"/>
      <c r="R843" s="217"/>
      <c r="S843" s="217"/>
      <c r="T843" s="217"/>
      <c r="U843" s="217"/>
      <c r="V843" s="217"/>
      <c r="W843" s="217"/>
      <c r="X843" s="217"/>
      <c r="Y843" s="217"/>
      <c r="Z843" s="217"/>
    </row>
    <row r="844" ht="15.75" customHeight="1">
      <c r="A844" s="217"/>
      <c r="B844" s="217"/>
      <c r="C844" s="217"/>
      <c r="D844" s="217"/>
      <c r="E844" s="217"/>
      <c r="F844" s="217"/>
      <c r="G844" s="217"/>
      <c r="H844" s="217"/>
      <c r="I844" s="217"/>
      <c r="J844" s="217"/>
      <c r="K844" s="217"/>
      <c r="L844" s="217"/>
      <c r="M844" s="217"/>
      <c r="N844" s="217"/>
      <c r="O844" s="217"/>
      <c r="P844" s="217"/>
      <c r="Q844" s="217"/>
      <c r="R844" s="217"/>
      <c r="S844" s="217"/>
      <c r="T844" s="217"/>
      <c r="U844" s="217"/>
      <c r="V844" s="217"/>
      <c r="W844" s="217"/>
      <c r="X844" s="217"/>
      <c r="Y844" s="217"/>
      <c r="Z844" s="217"/>
    </row>
    <row r="845" ht="15.75" customHeight="1">
      <c r="A845" s="217"/>
      <c r="B845" s="217"/>
      <c r="C845" s="217"/>
      <c r="D845" s="217"/>
      <c r="E845" s="217"/>
      <c r="F845" s="217"/>
      <c r="G845" s="217"/>
      <c r="H845" s="217"/>
      <c r="I845" s="217"/>
      <c r="J845" s="217"/>
      <c r="K845" s="217"/>
      <c r="L845" s="217"/>
      <c r="M845" s="217"/>
      <c r="N845" s="217"/>
      <c r="O845" s="217"/>
      <c r="P845" s="217"/>
      <c r="Q845" s="217"/>
      <c r="R845" s="217"/>
      <c r="S845" s="217"/>
      <c r="T845" s="217"/>
      <c r="U845" s="217"/>
      <c r="V845" s="217"/>
      <c r="W845" s="217"/>
      <c r="X845" s="217"/>
      <c r="Y845" s="217"/>
      <c r="Z845" s="217"/>
    </row>
    <row r="846" ht="15.75" customHeight="1">
      <c r="A846" s="217"/>
      <c r="B846" s="217"/>
      <c r="C846" s="217"/>
      <c r="D846" s="217"/>
      <c r="E846" s="217"/>
      <c r="F846" s="217"/>
      <c r="G846" s="217"/>
      <c r="H846" s="217"/>
      <c r="I846" s="217"/>
      <c r="J846" s="217"/>
      <c r="K846" s="217"/>
      <c r="L846" s="217"/>
      <c r="M846" s="217"/>
      <c r="N846" s="217"/>
      <c r="O846" s="217"/>
      <c r="P846" s="217"/>
      <c r="Q846" s="217"/>
      <c r="R846" s="217"/>
      <c r="S846" s="217"/>
      <c r="T846" s="217"/>
      <c r="U846" s="217"/>
      <c r="V846" s="217"/>
      <c r="W846" s="217"/>
      <c r="X846" s="217"/>
      <c r="Y846" s="217"/>
      <c r="Z846" s="217"/>
    </row>
    <row r="847" ht="15.75" customHeight="1">
      <c r="A847" s="217"/>
      <c r="B847" s="217"/>
      <c r="C847" s="217"/>
      <c r="D847" s="217"/>
      <c r="E847" s="217"/>
      <c r="F847" s="217"/>
      <c r="G847" s="217"/>
      <c r="H847" s="217"/>
      <c r="I847" s="217"/>
      <c r="J847" s="217"/>
      <c r="K847" s="217"/>
      <c r="L847" s="217"/>
      <c r="M847" s="217"/>
      <c r="N847" s="217"/>
      <c r="O847" s="217"/>
      <c r="P847" s="217"/>
      <c r="Q847" s="217"/>
      <c r="R847" s="217"/>
      <c r="S847" s="217"/>
      <c r="T847" s="217"/>
      <c r="U847" s="217"/>
      <c r="V847" s="217"/>
      <c r="W847" s="217"/>
      <c r="X847" s="217"/>
      <c r="Y847" s="217"/>
      <c r="Z847" s="217"/>
    </row>
    <row r="848" ht="15.75" customHeight="1">
      <c r="A848" s="217"/>
      <c r="B848" s="217"/>
      <c r="C848" s="217"/>
      <c r="D848" s="217"/>
      <c r="E848" s="217"/>
      <c r="F848" s="217"/>
      <c r="G848" s="217"/>
      <c r="H848" s="217"/>
      <c r="I848" s="217"/>
      <c r="J848" s="217"/>
      <c r="K848" s="217"/>
      <c r="L848" s="217"/>
      <c r="M848" s="217"/>
      <c r="N848" s="217"/>
      <c r="O848" s="217"/>
      <c r="P848" s="217"/>
      <c r="Q848" s="217"/>
      <c r="R848" s="217"/>
      <c r="S848" s="217"/>
      <c r="T848" s="217"/>
      <c r="U848" s="217"/>
      <c r="V848" s="217"/>
      <c r="W848" s="217"/>
      <c r="X848" s="217"/>
      <c r="Y848" s="217"/>
      <c r="Z848" s="217"/>
    </row>
    <row r="849" ht="15.75" customHeight="1">
      <c r="A849" s="217"/>
      <c r="B849" s="217"/>
      <c r="C849" s="217"/>
      <c r="D849" s="217"/>
      <c r="E849" s="217"/>
      <c r="F849" s="217"/>
      <c r="G849" s="217"/>
      <c r="H849" s="217"/>
      <c r="I849" s="217"/>
      <c r="J849" s="217"/>
      <c r="K849" s="217"/>
      <c r="L849" s="217"/>
      <c r="M849" s="217"/>
      <c r="N849" s="217"/>
      <c r="O849" s="217"/>
      <c r="P849" s="217"/>
      <c r="Q849" s="217"/>
      <c r="R849" s="217"/>
      <c r="S849" s="217"/>
      <c r="T849" s="217"/>
      <c r="U849" s="217"/>
      <c r="V849" s="217"/>
      <c r="W849" s="217"/>
      <c r="X849" s="217"/>
      <c r="Y849" s="217"/>
      <c r="Z849" s="217"/>
    </row>
    <row r="850" ht="15.75" customHeight="1">
      <c r="A850" s="217"/>
      <c r="B850" s="217"/>
      <c r="C850" s="217"/>
      <c r="D850" s="217"/>
      <c r="E850" s="217"/>
      <c r="F850" s="217"/>
      <c r="G850" s="217"/>
      <c r="H850" s="217"/>
      <c r="I850" s="217"/>
      <c r="J850" s="217"/>
      <c r="K850" s="217"/>
      <c r="L850" s="217"/>
      <c r="M850" s="217"/>
      <c r="N850" s="217"/>
      <c r="O850" s="217"/>
      <c r="P850" s="217"/>
      <c r="Q850" s="217"/>
      <c r="R850" s="217"/>
      <c r="S850" s="217"/>
      <c r="T850" s="217"/>
      <c r="U850" s="217"/>
      <c r="V850" s="217"/>
      <c r="W850" s="217"/>
      <c r="X850" s="217"/>
      <c r="Y850" s="217"/>
      <c r="Z850" s="217"/>
    </row>
    <row r="851" ht="15.75" customHeight="1">
      <c r="A851" s="217"/>
      <c r="B851" s="217"/>
      <c r="C851" s="217"/>
      <c r="D851" s="217"/>
      <c r="E851" s="217"/>
      <c r="F851" s="217"/>
      <c r="G851" s="217"/>
      <c r="H851" s="217"/>
      <c r="I851" s="217"/>
      <c r="J851" s="217"/>
      <c r="K851" s="217"/>
      <c r="L851" s="217"/>
      <c r="M851" s="217"/>
      <c r="N851" s="217"/>
      <c r="O851" s="217"/>
      <c r="P851" s="217"/>
      <c r="Q851" s="217"/>
      <c r="R851" s="217"/>
      <c r="S851" s="217"/>
      <c r="T851" s="217"/>
      <c r="U851" s="217"/>
      <c r="V851" s="217"/>
      <c r="W851" s="217"/>
      <c r="X851" s="217"/>
      <c r="Y851" s="217"/>
      <c r="Z851" s="217"/>
    </row>
    <row r="852" ht="15.75" customHeight="1">
      <c r="A852" s="217"/>
      <c r="B852" s="217"/>
      <c r="C852" s="217"/>
      <c r="D852" s="217"/>
      <c r="E852" s="217"/>
      <c r="F852" s="217"/>
      <c r="G852" s="217"/>
      <c r="H852" s="217"/>
      <c r="I852" s="217"/>
      <c r="J852" s="217"/>
      <c r="K852" s="217"/>
      <c r="L852" s="217"/>
      <c r="M852" s="217"/>
      <c r="N852" s="217"/>
      <c r="O852" s="217"/>
      <c r="P852" s="217"/>
      <c r="Q852" s="217"/>
      <c r="R852" s="217"/>
      <c r="S852" s="217"/>
      <c r="T852" s="217"/>
      <c r="U852" s="217"/>
      <c r="V852" s="217"/>
      <c r="W852" s="217"/>
      <c r="X852" s="217"/>
      <c r="Y852" s="217"/>
      <c r="Z852" s="217"/>
    </row>
    <row r="853" ht="15.75" customHeight="1">
      <c r="A853" s="217"/>
      <c r="B853" s="217"/>
      <c r="C853" s="217"/>
      <c r="D853" s="217"/>
      <c r="E853" s="217"/>
      <c r="F853" s="217"/>
      <c r="G853" s="217"/>
      <c r="H853" s="217"/>
      <c r="I853" s="217"/>
      <c r="J853" s="217"/>
      <c r="K853" s="217"/>
      <c r="L853" s="217"/>
      <c r="M853" s="217"/>
      <c r="N853" s="217"/>
      <c r="O853" s="217"/>
      <c r="P853" s="217"/>
      <c r="Q853" s="217"/>
      <c r="R853" s="217"/>
      <c r="S853" s="217"/>
      <c r="T853" s="217"/>
      <c r="U853" s="217"/>
      <c r="V853" s="217"/>
      <c r="W853" s="217"/>
      <c r="X853" s="217"/>
      <c r="Y853" s="217"/>
      <c r="Z853" s="217"/>
    </row>
    <row r="854" ht="15.75" customHeight="1">
      <c r="A854" s="217"/>
      <c r="B854" s="217"/>
      <c r="C854" s="217"/>
      <c r="D854" s="217"/>
      <c r="E854" s="217"/>
      <c r="F854" s="217"/>
      <c r="G854" s="217"/>
      <c r="H854" s="217"/>
      <c r="I854" s="217"/>
      <c r="J854" s="217"/>
      <c r="K854" s="217"/>
      <c r="L854" s="217"/>
      <c r="M854" s="217"/>
      <c r="N854" s="217"/>
      <c r="O854" s="217"/>
      <c r="P854" s="217"/>
      <c r="Q854" s="217"/>
      <c r="R854" s="217"/>
      <c r="S854" s="217"/>
      <c r="T854" s="217"/>
      <c r="U854" s="217"/>
      <c r="V854" s="217"/>
      <c r="W854" s="217"/>
      <c r="X854" s="217"/>
      <c r="Y854" s="217"/>
      <c r="Z854" s="217"/>
    </row>
    <row r="855" ht="15.75" customHeight="1">
      <c r="A855" s="217"/>
      <c r="B855" s="217"/>
      <c r="C855" s="217"/>
      <c r="D855" s="217"/>
      <c r="E855" s="217"/>
      <c r="F855" s="217"/>
      <c r="G855" s="217"/>
      <c r="H855" s="217"/>
      <c r="I855" s="217"/>
      <c r="J855" s="217"/>
      <c r="K855" s="217"/>
      <c r="L855" s="217"/>
      <c r="M855" s="217"/>
      <c r="N855" s="217"/>
      <c r="O855" s="217"/>
      <c r="P855" s="217"/>
      <c r="Q855" s="217"/>
      <c r="R855" s="217"/>
      <c r="S855" s="217"/>
      <c r="T855" s="217"/>
      <c r="U855" s="217"/>
      <c r="V855" s="217"/>
      <c r="W855" s="217"/>
      <c r="X855" s="217"/>
      <c r="Y855" s="217"/>
      <c r="Z855" s="217"/>
    </row>
    <row r="856" ht="15.75" customHeight="1">
      <c r="A856" s="217"/>
      <c r="B856" s="217"/>
      <c r="C856" s="217"/>
      <c r="D856" s="217"/>
      <c r="E856" s="217"/>
      <c r="F856" s="217"/>
      <c r="G856" s="217"/>
      <c r="H856" s="217"/>
      <c r="I856" s="217"/>
      <c r="J856" s="217"/>
      <c r="K856" s="217"/>
      <c r="L856" s="217"/>
      <c r="M856" s="217"/>
      <c r="N856" s="217"/>
      <c r="O856" s="217"/>
      <c r="P856" s="217"/>
      <c r="Q856" s="217"/>
      <c r="R856" s="217"/>
      <c r="S856" s="217"/>
      <c r="T856" s="217"/>
      <c r="U856" s="217"/>
      <c r="V856" s="217"/>
      <c r="W856" s="217"/>
      <c r="X856" s="217"/>
      <c r="Y856" s="217"/>
      <c r="Z856" s="217"/>
    </row>
    <row r="857" ht="15.75" customHeight="1">
      <c r="A857" s="217"/>
      <c r="B857" s="217"/>
      <c r="C857" s="217"/>
      <c r="D857" s="217"/>
      <c r="E857" s="217"/>
      <c r="F857" s="217"/>
      <c r="G857" s="217"/>
      <c r="H857" s="217"/>
      <c r="I857" s="217"/>
      <c r="J857" s="217"/>
      <c r="K857" s="217"/>
      <c r="L857" s="217"/>
      <c r="M857" s="217"/>
      <c r="N857" s="217"/>
      <c r="O857" s="217"/>
      <c r="P857" s="217"/>
      <c r="Q857" s="217"/>
      <c r="R857" s="217"/>
      <c r="S857" s="217"/>
      <c r="T857" s="217"/>
      <c r="U857" s="217"/>
      <c r="V857" s="217"/>
      <c r="W857" s="217"/>
      <c r="X857" s="217"/>
      <c r="Y857" s="217"/>
      <c r="Z857" s="217"/>
    </row>
    <row r="858" ht="15.75" customHeight="1">
      <c r="A858" s="217"/>
      <c r="B858" s="217"/>
      <c r="C858" s="217"/>
      <c r="D858" s="217"/>
      <c r="E858" s="217"/>
      <c r="F858" s="217"/>
      <c r="G858" s="217"/>
      <c r="H858" s="217"/>
      <c r="I858" s="217"/>
      <c r="J858" s="217"/>
      <c r="K858" s="217"/>
      <c r="L858" s="217"/>
      <c r="M858" s="217"/>
      <c r="N858" s="217"/>
      <c r="O858" s="217"/>
      <c r="P858" s="217"/>
      <c r="Q858" s="217"/>
      <c r="R858" s="217"/>
      <c r="S858" s="217"/>
      <c r="T858" s="217"/>
      <c r="U858" s="217"/>
      <c r="V858" s="217"/>
      <c r="W858" s="217"/>
      <c r="X858" s="217"/>
      <c r="Y858" s="217"/>
      <c r="Z858" s="217"/>
    </row>
    <row r="859" ht="15.75" customHeight="1">
      <c r="A859" s="217"/>
      <c r="B859" s="217"/>
      <c r="C859" s="217"/>
      <c r="D859" s="217"/>
      <c r="E859" s="217"/>
      <c r="F859" s="217"/>
      <c r="G859" s="217"/>
      <c r="H859" s="217"/>
      <c r="I859" s="217"/>
      <c r="J859" s="217"/>
      <c r="K859" s="217"/>
      <c r="L859" s="217"/>
      <c r="M859" s="217"/>
      <c r="N859" s="217"/>
      <c r="O859" s="217"/>
      <c r="P859" s="217"/>
      <c r="Q859" s="217"/>
      <c r="R859" s="217"/>
      <c r="S859" s="217"/>
      <c r="T859" s="217"/>
      <c r="U859" s="217"/>
      <c r="V859" s="217"/>
      <c r="W859" s="217"/>
      <c r="X859" s="217"/>
      <c r="Y859" s="217"/>
      <c r="Z859" s="217"/>
    </row>
    <row r="860" ht="15.75" customHeight="1">
      <c r="A860" s="217"/>
      <c r="B860" s="217"/>
      <c r="C860" s="217"/>
      <c r="D860" s="217"/>
      <c r="E860" s="217"/>
      <c r="F860" s="217"/>
      <c r="G860" s="217"/>
      <c r="H860" s="217"/>
      <c r="I860" s="217"/>
      <c r="J860" s="217"/>
      <c r="K860" s="217"/>
      <c r="L860" s="217"/>
      <c r="M860" s="217"/>
      <c r="N860" s="217"/>
      <c r="O860" s="217"/>
      <c r="P860" s="217"/>
      <c r="Q860" s="217"/>
      <c r="R860" s="217"/>
      <c r="S860" s="217"/>
      <c r="T860" s="217"/>
      <c r="U860" s="217"/>
      <c r="V860" s="217"/>
      <c r="W860" s="217"/>
      <c r="X860" s="217"/>
      <c r="Y860" s="217"/>
      <c r="Z860" s="217"/>
    </row>
    <row r="861" ht="15.75" customHeight="1">
      <c r="A861" s="217"/>
      <c r="B861" s="217"/>
      <c r="C861" s="217"/>
      <c r="D861" s="217"/>
      <c r="E861" s="217"/>
      <c r="F861" s="217"/>
      <c r="G861" s="217"/>
      <c r="H861" s="217"/>
      <c r="I861" s="217"/>
      <c r="J861" s="217"/>
      <c r="K861" s="217"/>
      <c r="L861" s="217"/>
      <c r="M861" s="217"/>
      <c r="N861" s="217"/>
      <c r="O861" s="217"/>
      <c r="P861" s="217"/>
      <c r="Q861" s="217"/>
      <c r="R861" s="217"/>
      <c r="S861" s="217"/>
      <c r="T861" s="217"/>
      <c r="U861" s="217"/>
      <c r="V861" s="217"/>
      <c r="W861" s="217"/>
      <c r="X861" s="217"/>
      <c r="Y861" s="217"/>
      <c r="Z861" s="217"/>
    </row>
    <row r="862" ht="15.75" customHeight="1">
      <c r="A862" s="217"/>
      <c r="B862" s="217"/>
      <c r="C862" s="217"/>
      <c r="D862" s="217"/>
      <c r="E862" s="217"/>
      <c r="F862" s="217"/>
      <c r="G862" s="217"/>
      <c r="H862" s="217"/>
      <c r="I862" s="217"/>
      <c r="J862" s="217"/>
      <c r="K862" s="217"/>
      <c r="L862" s="217"/>
      <c r="M862" s="217"/>
      <c r="N862" s="217"/>
      <c r="O862" s="217"/>
      <c r="P862" s="217"/>
      <c r="Q862" s="217"/>
      <c r="R862" s="217"/>
      <c r="S862" s="217"/>
      <c r="T862" s="217"/>
      <c r="U862" s="217"/>
      <c r="V862" s="217"/>
      <c r="W862" s="217"/>
      <c r="X862" s="217"/>
      <c r="Y862" s="217"/>
      <c r="Z862" s="217"/>
    </row>
    <row r="863" ht="15.75" customHeight="1">
      <c r="A863" s="217"/>
      <c r="B863" s="217"/>
      <c r="C863" s="217"/>
      <c r="D863" s="217"/>
      <c r="E863" s="217"/>
      <c r="F863" s="217"/>
      <c r="G863" s="217"/>
      <c r="H863" s="217"/>
      <c r="I863" s="217"/>
      <c r="J863" s="217"/>
      <c r="K863" s="217"/>
      <c r="L863" s="217"/>
      <c r="M863" s="217"/>
      <c r="N863" s="217"/>
      <c r="O863" s="217"/>
      <c r="P863" s="217"/>
      <c r="Q863" s="217"/>
      <c r="R863" s="217"/>
      <c r="S863" s="217"/>
      <c r="T863" s="217"/>
      <c r="U863" s="217"/>
      <c r="V863" s="217"/>
      <c r="W863" s="217"/>
      <c r="X863" s="217"/>
      <c r="Y863" s="217"/>
      <c r="Z863" s="217"/>
    </row>
    <row r="864" ht="15.75" customHeight="1">
      <c r="A864" s="217"/>
      <c r="B864" s="217"/>
      <c r="C864" s="217"/>
      <c r="D864" s="217"/>
      <c r="E864" s="217"/>
      <c r="F864" s="217"/>
      <c r="G864" s="217"/>
      <c r="H864" s="217"/>
      <c r="I864" s="217"/>
      <c r="J864" s="217"/>
      <c r="K864" s="217"/>
      <c r="L864" s="217"/>
      <c r="M864" s="217"/>
      <c r="N864" s="217"/>
      <c r="O864" s="217"/>
      <c r="P864" s="217"/>
      <c r="Q864" s="217"/>
      <c r="R864" s="217"/>
      <c r="S864" s="217"/>
      <c r="T864" s="217"/>
      <c r="U864" s="217"/>
      <c r="V864" s="217"/>
      <c r="W864" s="217"/>
      <c r="X864" s="217"/>
      <c r="Y864" s="217"/>
      <c r="Z864" s="217"/>
    </row>
    <row r="865" ht="15.75" customHeight="1">
      <c r="A865" s="217"/>
      <c r="B865" s="217"/>
      <c r="C865" s="217"/>
      <c r="D865" s="217"/>
      <c r="E865" s="217"/>
      <c r="F865" s="217"/>
      <c r="G865" s="217"/>
      <c r="H865" s="217"/>
      <c r="I865" s="217"/>
      <c r="J865" s="217"/>
      <c r="K865" s="217"/>
      <c r="L865" s="217"/>
      <c r="M865" s="217"/>
      <c r="N865" s="217"/>
      <c r="O865" s="217"/>
      <c r="P865" s="217"/>
      <c r="Q865" s="217"/>
      <c r="R865" s="217"/>
      <c r="S865" s="217"/>
      <c r="T865" s="217"/>
      <c r="U865" s="217"/>
      <c r="V865" s="217"/>
      <c r="W865" s="217"/>
      <c r="X865" s="217"/>
      <c r="Y865" s="217"/>
      <c r="Z865" s="217"/>
    </row>
    <row r="866" ht="15.75" customHeight="1">
      <c r="A866" s="217"/>
      <c r="B866" s="217"/>
      <c r="C866" s="217"/>
      <c r="D866" s="217"/>
      <c r="E866" s="217"/>
      <c r="F866" s="217"/>
      <c r="G866" s="217"/>
      <c r="H866" s="217"/>
      <c r="I866" s="217"/>
      <c r="J866" s="217"/>
      <c r="K866" s="217"/>
      <c r="L866" s="217"/>
      <c r="M866" s="217"/>
      <c r="N866" s="217"/>
      <c r="O866" s="217"/>
      <c r="P866" s="217"/>
      <c r="Q866" s="217"/>
      <c r="R866" s="217"/>
      <c r="S866" s="217"/>
      <c r="T866" s="217"/>
      <c r="U866" s="217"/>
      <c r="V866" s="217"/>
      <c r="W866" s="217"/>
      <c r="X866" s="217"/>
      <c r="Y866" s="217"/>
      <c r="Z866" s="217"/>
    </row>
    <row r="867" ht="15.75" customHeight="1">
      <c r="A867" s="217"/>
      <c r="B867" s="217"/>
      <c r="C867" s="217"/>
      <c r="D867" s="217"/>
      <c r="E867" s="217"/>
      <c r="F867" s="217"/>
      <c r="G867" s="217"/>
      <c r="H867" s="217"/>
      <c r="I867" s="217"/>
      <c r="J867" s="217"/>
      <c r="K867" s="217"/>
      <c r="L867" s="217"/>
      <c r="M867" s="217"/>
      <c r="N867" s="217"/>
      <c r="O867" s="217"/>
      <c r="P867" s="217"/>
      <c r="Q867" s="217"/>
      <c r="R867" s="217"/>
      <c r="S867" s="217"/>
      <c r="T867" s="217"/>
      <c r="U867" s="217"/>
      <c r="V867" s="217"/>
      <c r="W867" s="217"/>
      <c r="X867" s="217"/>
      <c r="Y867" s="217"/>
      <c r="Z867" s="217"/>
    </row>
    <row r="868" ht="15.75" customHeight="1">
      <c r="A868" s="217"/>
      <c r="B868" s="217"/>
      <c r="C868" s="217"/>
      <c r="D868" s="217"/>
      <c r="E868" s="217"/>
      <c r="F868" s="217"/>
      <c r="G868" s="217"/>
      <c r="H868" s="217"/>
      <c r="I868" s="217"/>
      <c r="J868" s="217"/>
      <c r="K868" s="217"/>
      <c r="L868" s="217"/>
      <c r="M868" s="217"/>
      <c r="N868" s="217"/>
      <c r="O868" s="217"/>
      <c r="P868" s="217"/>
      <c r="Q868" s="217"/>
      <c r="R868" s="217"/>
      <c r="S868" s="217"/>
      <c r="T868" s="217"/>
      <c r="U868" s="217"/>
      <c r="V868" s="217"/>
      <c r="W868" s="217"/>
      <c r="X868" s="217"/>
      <c r="Y868" s="217"/>
      <c r="Z868" s="217"/>
    </row>
    <row r="869" ht="15.75" customHeight="1">
      <c r="A869" s="217"/>
      <c r="B869" s="217"/>
      <c r="C869" s="217"/>
      <c r="D869" s="217"/>
      <c r="E869" s="217"/>
      <c r="F869" s="217"/>
      <c r="G869" s="217"/>
      <c r="H869" s="217"/>
      <c r="I869" s="217"/>
      <c r="J869" s="217"/>
      <c r="K869" s="217"/>
      <c r="L869" s="217"/>
      <c r="M869" s="217"/>
      <c r="N869" s="217"/>
      <c r="O869" s="217"/>
      <c r="P869" s="217"/>
      <c r="Q869" s="217"/>
      <c r="R869" s="217"/>
      <c r="S869" s="217"/>
      <c r="T869" s="217"/>
      <c r="U869" s="217"/>
      <c r="V869" s="217"/>
      <c r="W869" s="217"/>
      <c r="X869" s="217"/>
      <c r="Y869" s="217"/>
      <c r="Z869" s="217"/>
    </row>
    <row r="870" ht="15.75" customHeight="1">
      <c r="A870" s="217"/>
      <c r="B870" s="217"/>
      <c r="C870" s="217"/>
      <c r="D870" s="217"/>
      <c r="E870" s="217"/>
      <c r="F870" s="217"/>
      <c r="G870" s="217"/>
      <c r="H870" s="217"/>
      <c r="I870" s="217"/>
      <c r="J870" s="217"/>
      <c r="K870" s="217"/>
      <c r="L870" s="217"/>
      <c r="M870" s="217"/>
      <c r="N870" s="217"/>
      <c r="O870" s="217"/>
      <c r="P870" s="217"/>
      <c r="Q870" s="217"/>
      <c r="R870" s="217"/>
      <c r="S870" s="217"/>
      <c r="T870" s="217"/>
      <c r="U870" s="217"/>
      <c r="V870" s="217"/>
      <c r="W870" s="217"/>
      <c r="X870" s="217"/>
      <c r="Y870" s="217"/>
      <c r="Z870" s="217"/>
    </row>
    <row r="871" ht="15.75" customHeight="1">
      <c r="A871" s="217"/>
      <c r="B871" s="217"/>
      <c r="C871" s="217"/>
      <c r="D871" s="217"/>
      <c r="E871" s="217"/>
      <c r="F871" s="217"/>
      <c r="G871" s="217"/>
      <c r="H871" s="217"/>
      <c r="I871" s="217"/>
      <c r="J871" s="217"/>
      <c r="K871" s="217"/>
      <c r="L871" s="217"/>
      <c r="M871" s="217"/>
      <c r="N871" s="217"/>
      <c r="O871" s="217"/>
      <c r="P871" s="217"/>
      <c r="Q871" s="217"/>
      <c r="R871" s="217"/>
      <c r="S871" s="217"/>
      <c r="T871" s="217"/>
      <c r="U871" s="217"/>
      <c r="V871" s="217"/>
      <c r="W871" s="217"/>
      <c r="X871" s="217"/>
      <c r="Y871" s="217"/>
      <c r="Z871" s="217"/>
    </row>
    <row r="872" ht="15.75" customHeight="1">
      <c r="A872" s="217"/>
      <c r="B872" s="217"/>
      <c r="C872" s="217"/>
      <c r="D872" s="217"/>
      <c r="E872" s="217"/>
      <c r="F872" s="217"/>
      <c r="G872" s="217"/>
      <c r="H872" s="217"/>
      <c r="I872" s="217"/>
      <c r="J872" s="217"/>
      <c r="K872" s="217"/>
      <c r="L872" s="217"/>
      <c r="M872" s="217"/>
      <c r="N872" s="217"/>
      <c r="O872" s="217"/>
      <c r="P872" s="217"/>
      <c r="Q872" s="217"/>
      <c r="R872" s="217"/>
      <c r="S872" s="217"/>
      <c r="T872" s="217"/>
      <c r="U872" s="217"/>
      <c r="V872" s="217"/>
      <c r="W872" s="217"/>
      <c r="X872" s="217"/>
      <c r="Y872" s="217"/>
      <c r="Z872" s="217"/>
    </row>
    <row r="873" ht="15.75" customHeight="1">
      <c r="A873" s="217"/>
      <c r="B873" s="217"/>
      <c r="C873" s="217"/>
      <c r="D873" s="217"/>
      <c r="E873" s="217"/>
      <c r="F873" s="217"/>
      <c r="G873" s="217"/>
      <c r="H873" s="217"/>
      <c r="I873" s="217"/>
      <c r="J873" s="217"/>
      <c r="K873" s="217"/>
      <c r="L873" s="217"/>
      <c r="M873" s="217"/>
      <c r="N873" s="217"/>
      <c r="O873" s="217"/>
      <c r="P873" s="217"/>
      <c r="Q873" s="217"/>
      <c r="R873" s="217"/>
      <c r="S873" s="217"/>
      <c r="T873" s="217"/>
      <c r="U873" s="217"/>
      <c r="V873" s="217"/>
      <c r="W873" s="217"/>
      <c r="X873" s="217"/>
      <c r="Y873" s="217"/>
      <c r="Z873" s="217"/>
    </row>
    <row r="874" ht="15.75" customHeight="1">
      <c r="A874" s="217"/>
      <c r="B874" s="217"/>
      <c r="C874" s="217"/>
      <c r="D874" s="217"/>
      <c r="E874" s="217"/>
      <c r="F874" s="217"/>
      <c r="G874" s="217"/>
      <c r="H874" s="217"/>
      <c r="I874" s="217"/>
      <c r="J874" s="217"/>
      <c r="K874" s="217"/>
      <c r="L874" s="217"/>
      <c r="M874" s="217"/>
      <c r="N874" s="217"/>
      <c r="O874" s="217"/>
      <c r="P874" s="217"/>
      <c r="Q874" s="217"/>
      <c r="R874" s="217"/>
      <c r="S874" s="217"/>
      <c r="T874" s="217"/>
      <c r="U874" s="217"/>
      <c r="V874" s="217"/>
      <c r="W874" s="217"/>
      <c r="X874" s="217"/>
      <c r="Y874" s="217"/>
      <c r="Z874" s="217"/>
    </row>
    <row r="875" ht="15.75" customHeight="1">
      <c r="A875" s="217"/>
      <c r="B875" s="217"/>
      <c r="C875" s="217"/>
      <c r="D875" s="217"/>
      <c r="E875" s="217"/>
      <c r="F875" s="217"/>
      <c r="G875" s="217"/>
      <c r="H875" s="217"/>
      <c r="I875" s="217"/>
      <c r="J875" s="217"/>
      <c r="K875" s="217"/>
      <c r="L875" s="217"/>
      <c r="M875" s="217"/>
      <c r="N875" s="217"/>
      <c r="O875" s="217"/>
      <c r="P875" s="217"/>
      <c r="Q875" s="217"/>
      <c r="R875" s="217"/>
      <c r="S875" s="217"/>
      <c r="T875" s="217"/>
      <c r="U875" s="217"/>
      <c r="V875" s="217"/>
      <c r="W875" s="217"/>
      <c r="X875" s="217"/>
      <c r="Y875" s="217"/>
      <c r="Z875" s="217"/>
    </row>
    <row r="876" ht="15.75" customHeight="1">
      <c r="A876" s="217"/>
      <c r="B876" s="217"/>
      <c r="C876" s="217"/>
      <c r="D876" s="217"/>
      <c r="E876" s="217"/>
      <c r="F876" s="217"/>
      <c r="G876" s="217"/>
      <c r="H876" s="217"/>
      <c r="I876" s="217"/>
      <c r="J876" s="217"/>
      <c r="K876" s="217"/>
      <c r="L876" s="217"/>
      <c r="M876" s="217"/>
      <c r="N876" s="217"/>
      <c r="O876" s="217"/>
      <c r="P876" s="217"/>
      <c r="Q876" s="217"/>
      <c r="R876" s="217"/>
      <c r="S876" s="217"/>
      <c r="T876" s="217"/>
      <c r="U876" s="217"/>
      <c r="V876" s="217"/>
      <c r="W876" s="217"/>
      <c r="X876" s="217"/>
      <c r="Y876" s="217"/>
      <c r="Z876" s="217"/>
    </row>
    <row r="877" ht="15.75" customHeight="1">
      <c r="A877" s="217"/>
      <c r="B877" s="217"/>
      <c r="C877" s="217"/>
      <c r="D877" s="217"/>
      <c r="E877" s="217"/>
      <c r="F877" s="217"/>
      <c r="G877" s="217"/>
      <c r="H877" s="217"/>
      <c r="I877" s="217"/>
      <c r="J877" s="217"/>
      <c r="K877" s="217"/>
      <c r="L877" s="217"/>
      <c r="M877" s="217"/>
      <c r="N877" s="217"/>
      <c r="O877" s="217"/>
      <c r="P877" s="217"/>
      <c r="Q877" s="217"/>
      <c r="R877" s="217"/>
      <c r="S877" s="217"/>
      <c r="T877" s="217"/>
      <c r="U877" s="217"/>
      <c r="V877" s="217"/>
      <c r="W877" s="217"/>
      <c r="X877" s="217"/>
      <c r="Y877" s="217"/>
      <c r="Z877" s="217"/>
    </row>
    <row r="878" ht="15.75" customHeight="1">
      <c r="A878" s="217"/>
      <c r="B878" s="217"/>
      <c r="C878" s="217"/>
      <c r="D878" s="217"/>
      <c r="E878" s="217"/>
      <c r="F878" s="217"/>
      <c r="G878" s="217"/>
      <c r="H878" s="217"/>
      <c r="I878" s="217"/>
      <c r="J878" s="217"/>
      <c r="K878" s="217"/>
      <c r="L878" s="217"/>
      <c r="M878" s="217"/>
      <c r="N878" s="217"/>
      <c r="O878" s="217"/>
      <c r="P878" s="217"/>
      <c r="Q878" s="217"/>
      <c r="R878" s="217"/>
      <c r="S878" s="217"/>
      <c r="T878" s="217"/>
      <c r="U878" s="217"/>
      <c r="V878" s="217"/>
      <c r="W878" s="217"/>
      <c r="X878" s="217"/>
      <c r="Y878" s="217"/>
      <c r="Z878" s="217"/>
    </row>
    <row r="879" ht="15.75" customHeight="1">
      <c r="A879" s="217"/>
      <c r="B879" s="217"/>
      <c r="C879" s="217"/>
      <c r="D879" s="217"/>
      <c r="E879" s="217"/>
      <c r="F879" s="217"/>
      <c r="G879" s="217"/>
      <c r="H879" s="217"/>
      <c r="I879" s="217"/>
      <c r="J879" s="217"/>
      <c r="K879" s="217"/>
      <c r="L879" s="217"/>
      <c r="M879" s="217"/>
      <c r="N879" s="217"/>
      <c r="O879" s="217"/>
      <c r="P879" s="217"/>
      <c r="Q879" s="217"/>
      <c r="R879" s="217"/>
      <c r="S879" s="217"/>
      <c r="T879" s="217"/>
      <c r="U879" s="217"/>
      <c r="V879" s="217"/>
      <c r="W879" s="217"/>
      <c r="X879" s="217"/>
      <c r="Y879" s="217"/>
      <c r="Z879" s="217"/>
    </row>
    <row r="880" ht="15.75" customHeight="1">
      <c r="A880" s="217"/>
      <c r="B880" s="217"/>
      <c r="C880" s="217"/>
      <c r="D880" s="217"/>
      <c r="E880" s="217"/>
      <c r="F880" s="217"/>
      <c r="G880" s="217"/>
      <c r="H880" s="217"/>
      <c r="I880" s="217"/>
      <c r="J880" s="217"/>
      <c r="K880" s="217"/>
      <c r="L880" s="217"/>
      <c r="M880" s="217"/>
      <c r="N880" s="217"/>
      <c r="O880" s="217"/>
      <c r="P880" s="217"/>
      <c r="Q880" s="217"/>
      <c r="R880" s="217"/>
      <c r="S880" s="217"/>
      <c r="T880" s="217"/>
      <c r="U880" s="217"/>
      <c r="V880" s="217"/>
      <c r="W880" s="217"/>
      <c r="X880" s="217"/>
      <c r="Y880" s="217"/>
      <c r="Z880" s="217"/>
    </row>
    <row r="881" ht="15.75" customHeight="1">
      <c r="A881" s="217"/>
      <c r="B881" s="217"/>
      <c r="C881" s="217"/>
      <c r="D881" s="217"/>
      <c r="E881" s="217"/>
      <c r="F881" s="217"/>
      <c r="G881" s="217"/>
      <c r="H881" s="217"/>
      <c r="I881" s="217"/>
      <c r="J881" s="217"/>
      <c r="K881" s="217"/>
      <c r="L881" s="217"/>
      <c r="M881" s="217"/>
      <c r="N881" s="217"/>
      <c r="O881" s="217"/>
      <c r="P881" s="217"/>
      <c r="Q881" s="217"/>
      <c r="R881" s="217"/>
      <c r="S881" s="217"/>
      <c r="T881" s="217"/>
      <c r="U881" s="217"/>
      <c r="V881" s="217"/>
      <c r="W881" s="217"/>
      <c r="X881" s="217"/>
      <c r="Y881" s="217"/>
      <c r="Z881" s="217"/>
    </row>
    <row r="882" ht="15.75" customHeight="1">
      <c r="A882" s="217"/>
      <c r="B882" s="217"/>
      <c r="C882" s="217"/>
      <c r="D882" s="217"/>
      <c r="E882" s="217"/>
      <c r="F882" s="217"/>
      <c r="G882" s="217"/>
      <c r="H882" s="217"/>
      <c r="I882" s="217"/>
      <c r="J882" s="217"/>
      <c r="K882" s="217"/>
      <c r="L882" s="217"/>
      <c r="M882" s="217"/>
      <c r="N882" s="217"/>
      <c r="O882" s="217"/>
      <c r="P882" s="217"/>
      <c r="Q882" s="217"/>
      <c r="R882" s="217"/>
      <c r="S882" s="217"/>
      <c r="T882" s="217"/>
      <c r="U882" s="217"/>
      <c r="V882" s="217"/>
      <c r="W882" s="217"/>
      <c r="X882" s="217"/>
      <c r="Y882" s="217"/>
      <c r="Z882" s="217"/>
    </row>
    <row r="883" ht="15.75" customHeight="1">
      <c r="A883" s="217"/>
      <c r="B883" s="217"/>
      <c r="C883" s="217"/>
      <c r="D883" s="217"/>
      <c r="E883" s="217"/>
      <c r="F883" s="217"/>
      <c r="G883" s="217"/>
      <c r="H883" s="217"/>
      <c r="I883" s="217"/>
      <c r="J883" s="217"/>
      <c r="K883" s="217"/>
      <c r="L883" s="217"/>
      <c r="M883" s="217"/>
      <c r="N883" s="217"/>
      <c r="O883" s="217"/>
      <c r="P883" s="217"/>
      <c r="Q883" s="217"/>
      <c r="R883" s="217"/>
      <c r="S883" s="217"/>
      <c r="T883" s="217"/>
      <c r="U883" s="217"/>
      <c r="V883" s="217"/>
      <c r="W883" s="217"/>
      <c r="X883" s="217"/>
      <c r="Y883" s="217"/>
      <c r="Z883" s="217"/>
    </row>
    <row r="884" ht="15.75" customHeight="1">
      <c r="A884" s="217"/>
      <c r="B884" s="217"/>
      <c r="C884" s="217"/>
      <c r="D884" s="217"/>
      <c r="E884" s="217"/>
      <c r="F884" s="217"/>
      <c r="G884" s="217"/>
      <c r="H884" s="217"/>
      <c r="I884" s="217"/>
      <c r="J884" s="217"/>
      <c r="K884" s="217"/>
      <c r="L884" s="217"/>
      <c r="M884" s="217"/>
      <c r="N884" s="217"/>
      <c r="O884" s="217"/>
      <c r="P884" s="217"/>
      <c r="Q884" s="217"/>
      <c r="R884" s="217"/>
      <c r="S884" s="217"/>
      <c r="T884" s="217"/>
      <c r="U884" s="217"/>
      <c r="V884" s="217"/>
      <c r="W884" s="217"/>
      <c r="X884" s="217"/>
      <c r="Y884" s="217"/>
      <c r="Z884" s="217"/>
    </row>
    <row r="885" ht="15.75" customHeight="1">
      <c r="A885" s="217"/>
      <c r="B885" s="217"/>
      <c r="C885" s="217"/>
      <c r="D885" s="217"/>
      <c r="E885" s="217"/>
      <c r="F885" s="217"/>
      <c r="G885" s="217"/>
      <c r="H885" s="217"/>
      <c r="I885" s="217"/>
      <c r="J885" s="217"/>
      <c r="K885" s="217"/>
      <c r="L885" s="217"/>
      <c r="M885" s="217"/>
      <c r="N885" s="217"/>
      <c r="O885" s="217"/>
      <c r="P885" s="217"/>
      <c r="Q885" s="217"/>
      <c r="R885" s="217"/>
      <c r="S885" s="217"/>
      <c r="T885" s="217"/>
      <c r="U885" s="217"/>
      <c r="V885" s="217"/>
      <c r="W885" s="217"/>
      <c r="X885" s="217"/>
      <c r="Y885" s="217"/>
      <c r="Z885" s="217"/>
    </row>
    <row r="886" ht="15.75" customHeight="1">
      <c r="A886" s="217"/>
      <c r="B886" s="217"/>
      <c r="C886" s="217"/>
      <c r="D886" s="217"/>
      <c r="E886" s="217"/>
      <c r="F886" s="217"/>
      <c r="G886" s="217"/>
      <c r="H886" s="217"/>
      <c r="I886" s="217"/>
      <c r="J886" s="217"/>
      <c r="K886" s="217"/>
      <c r="L886" s="217"/>
      <c r="M886" s="217"/>
      <c r="N886" s="217"/>
      <c r="O886" s="217"/>
      <c r="P886" s="217"/>
      <c r="Q886" s="217"/>
      <c r="R886" s="217"/>
      <c r="S886" s="217"/>
      <c r="T886" s="217"/>
      <c r="U886" s="217"/>
      <c r="V886" s="217"/>
      <c r="W886" s="217"/>
      <c r="X886" s="217"/>
      <c r="Y886" s="217"/>
      <c r="Z886" s="217"/>
    </row>
    <row r="887" ht="15.75" customHeight="1">
      <c r="A887" s="217"/>
      <c r="B887" s="217"/>
      <c r="C887" s="217"/>
      <c r="D887" s="217"/>
      <c r="E887" s="217"/>
      <c r="F887" s="217"/>
      <c r="G887" s="217"/>
      <c r="H887" s="217"/>
      <c r="I887" s="217"/>
      <c r="J887" s="217"/>
      <c r="K887" s="217"/>
      <c r="L887" s="217"/>
      <c r="M887" s="217"/>
      <c r="N887" s="217"/>
      <c r="O887" s="217"/>
      <c r="P887" s="217"/>
      <c r="Q887" s="217"/>
      <c r="R887" s="217"/>
      <c r="S887" s="217"/>
      <c r="T887" s="217"/>
      <c r="U887" s="217"/>
      <c r="V887" s="217"/>
      <c r="W887" s="217"/>
      <c r="X887" s="217"/>
      <c r="Y887" s="217"/>
      <c r="Z887" s="217"/>
    </row>
    <row r="888" ht="15.75" customHeight="1">
      <c r="A888" s="217"/>
      <c r="B888" s="217"/>
      <c r="C888" s="217"/>
      <c r="D888" s="217"/>
      <c r="E888" s="217"/>
      <c r="F888" s="217"/>
      <c r="G888" s="217"/>
      <c r="H888" s="217"/>
      <c r="I888" s="217"/>
      <c r="J888" s="217"/>
      <c r="K888" s="217"/>
      <c r="L888" s="217"/>
      <c r="M888" s="217"/>
      <c r="N888" s="217"/>
      <c r="O888" s="217"/>
      <c r="P888" s="217"/>
      <c r="Q888" s="217"/>
      <c r="R888" s="217"/>
      <c r="S888" s="217"/>
      <c r="T888" s="217"/>
      <c r="U888" s="217"/>
      <c r="V888" s="217"/>
      <c r="W888" s="217"/>
      <c r="X888" s="217"/>
      <c r="Y888" s="217"/>
      <c r="Z888" s="217"/>
    </row>
    <row r="889" ht="15.75" customHeight="1">
      <c r="A889" s="217"/>
      <c r="B889" s="217"/>
      <c r="C889" s="217"/>
      <c r="D889" s="217"/>
      <c r="E889" s="217"/>
      <c r="F889" s="217"/>
      <c r="G889" s="217"/>
      <c r="H889" s="217"/>
      <c r="I889" s="217"/>
      <c r="J889" s="217"/>
      <c r="K889" s="217"/>
      <c r="L889" s="217"/>
      <c r="M889" s="217"/>
      <c r="N889" s="217"/>
      <c r="O889" s="217"/>
      <c r="P889" s="217"/>
      <c r="Q889" s="217"/>
      <c r="R889" s="217"/>
      <c r="S889" s="217"/>
      <c r="T889" s="217"/>
      <c r="U889" s="217"/>
      <c r="V889" s="217"/>
      <c r="W889" s="217"/>
      <c r="X889" s="217"/>
      <c r="Y889" s="217"/>
      <c r="Z889" s="217"/>
    </row>
    <row r="890" ht="15.75" customHeight="1">
      <c r="A890" s="217"/>
      <c r="B890" s="217"/>
      <c r="C890" s="217"/>
      <c r="D890" s="217"/>
      <c r="E890" s="217"/>
      <c r="F890" s="217"/>
      <c r="G890" s="217"/>
      <c r="H890" s="217"/>
      <c r="I890" s="217"/>
      <c r="J890" s="217"/>
      <c r="K890" s="217"/>
      <c r="L890" s="217"/>
      <c r="M890" s="217"/>
      <c r="N890" s="217"/>
      <c r="O890" s="217"/>
      <c r="P890" s="217"/>
      <c r="Q890" s="217"/>
      <c r="R890" s="217"/>
      <c r="S890" s="217"/>
      <c r="T890" s="217"/>
      <c r="U890" s="217"/>
      <c r="V890" s="217"/>
      <c r="W890" s="217"/>
      <c r="X890" s="217"/>
      <c r="Y890" s="217"/>
      <c r="Z890" s="217"/>
    </row>
    <row r="891" ht="15.75" customHeight="1">
      <c r="A891" s="217"/>
      <c r="B891" s="217"/>
      <c r="C891" s="217"/>
      <c r="D891" s="217"/>
      <c r="E891" s="217"/>
      <c r="F891" s="217"/>
      <c r="G891" s="217"/>
      <c r="H891" s="217"/>
      <c r="I891" s="217"/>
      <c r="J891" s="217"/>
      <c r="K891" s="217"/>
      <c r="L891" s="217"/>
      <c r="M891" s="217"/>
      <c r="N891" s="217"/>
      <c r="O891" s="217"/>
      <c r="P891" s="217"/>
      <c r="Q891" s="217"/>
      <c r="R891" s="217"/>
      <c r="S891" s="217"/>
      <c r="T891" s="217"/>
      <c r="U891" s="217"/>
      <c r="V891" s="217"/>
      <c r="W891" s="217"/>
      <c r="X891" s="217"/>
      <c r="Y891" s="217"/>
      <c r="Z891" s="217"/>
    </row>
    <row r="892" ht="15.75" customHeight="1">
      <c r="A892" s="217"/>
      <c r="B892" s="217"/>
      <c r="C892" s="217"/>
      <c r="D892" s="217"/>
      <c r="E892" s="217"/>
      <c r="F892" s="217"/>
      <c r="G892" s="217"/>
      <c r="H892" s="217"/>
      <c r="I892" s="217"/>
      <c r="J892" s="217"/>
      <c r="K892" s="217"/>
      <c r="L892" s="217"/>
      <c r="M892" s="217"/>
      <c r="N892" s="217"/>
      <c r="O892" s="217"/>
      <c r="P892" s="217"/>
      <c r="Q892" s="217"/>
      <c r="R892" s="217"/>
      <c r="S892" s="217"/>
      <c r="T892" s="217"/>
      <c r="U892" s="217"/>
      <c r="V892" s="217"/>
      <c r="W892" s="217"/>
      <c r="X892" s="217"/>
      <c r="Y892" s="217"/>
      <c r="Z892" s="217"/>
    </row>
    <row r="893" ht="15.75" customHeight="1">
      <c r="A893" s="217"/>
      <c r="B893" s="217"/>
      <c r="C893" s="217"/>
      <c r="D893" s="217"/>
      <c r="E893" s="217"/>
      <c r="F893" s="217"/>
      <c r="G893" s="217"/>
      <c r="H893" s="217"/>
      <c r="I893" s="217"/>
      <c r="J893" s="217"/>
      <c r="K893" s="217"/>
      <c r="L893" s="217"/>
      <c r="M893" s="217"/>
      <c r="N893" s="217"/>
      <c r="O893" s="217"/>
      <c r="P893" s="217"/>
      <c r="Q893" s="217"/>
      <c r="R893" s="217"/>
      <c r="S893" s="217"/>
      <c r="T893" s="217"/>
      <c r="U893" s="217"/>
      <c r="V893" s="217"/>
      <c r="W893" s="217"/>
      <c r="X893" s="217"/>
      <c r="Y893" s="217"/>
      <c r="Z893" s="217"/>
    </row>
    <row r="894" ht="15.75" customHeight="1">
      <c r="A894" s="217"/>
      <c r="B894" s="217"/>
      <c r="C894" s="217"/>
      <c r="D894" s="217"/>
      <c r="E894" s="217"/>
      <c r="F894" s="217"/>
      <c r="G894" s="217"/>
      <c r="H894" s="217"/>
      <c r="I894" s="217"/>
      <c r="J894" s="217"/>
      <c r="K894" s="217"/>
      <c r="L894" s="217"/>
      <c r="M894" s="217"/>
      <c r="N894" s="217"/>
      <c r="O894" s="217"/>
      <c r="P894" s="217"/>
      <c r="Q894" s="217"/>
      <c r="R894" s="217"/>
      <c r="S894" s="217"/>
      <c r="T894" s="217"/>
      <c r="U894" s="217"/>
      <c r="V894" s="217"/>
      <c r="W894" s="217"/>
      <c r="X894" s="217"/>
      <c r="Y894" s="217"/>
      <c r="Z894" s="217"/>
    </row>
    <row r="895" ht="15.75" customHeight="1">
      <c r="A895" s="217"/>
      <c r="B895" s="217"/>
      <c r="C895" s="217"/>
      <c r="D895" s="217"/>
      <c r="E895" s="217"/>
      <c r="F895" s="217"/>
      <c r="G895" s="217"/>
      <c r="H895" s="217"/>
      <c r="I895" s="217"/>
      <c r="J895" s="217"/>
      <c r="K895" s="217"/>
      <c r="L895" s="217"/>
      <c r="M895" s="217"/>
      <c r="N895" s="217"/>
      <c r="O895" s="217"/>
      <c r="P895" s="217"/>
      <c r="Q895" s="217"/>
      <c r="R895" s="217"/>
      <c r="S895" s="217"/>
      <c r="T895" s="217"/>
      <c r="U895" s="217"/>
      <c r="V895" s="217"/>
      <c r="W895" s="217"/>
      <c r="X895" s="217"/>
      <c r="Y895" s="217"/>
      <c r="Z895" s="217"/>
    </row>
    <row r="896" ht="15.75" customHeight="1">
      <c r="A896" s="217"/>
      <c r="B896" s="217"/>
      <c r="C896" s="217"/>
      <c r="D896" s="217"/>
      <c r="E896" s="217"/>
      <c r="F896" s="217"/>
      <c r="G896" s="217"/>
      <c r="H896" s="217"/>
      <c r="I896" s="217"/>
      <c r="J896" s="217"/>
      <c r="K896" s="217"/>
      <c r="L896" s="217"/>
      <c r="M896" s="217"/>
      <c r="N896" s="217"/>
      <c r="O896" s="217"/>
      <c r="P896" s="217"/>
      <c r="Q896" s="217"/>
      <c r="R896" s="217"/>
      <c r="S896" s="217"/>
      <c r="T896" s="217"/>
      <c r="U896" s="217"/>
      <c r="V896" s="217"/>
      <c r="W896" s="217"/>
      <c r="X896" s="217"/>
      <c r="Y896" s="217"/>
      <c r="Z896" s="217"/>
    </row>
    <row r="897" ht="15.75" customHeight="1">
      <c r="A897" s="217"/>
      <c r="B897" s="217"/>
      <c r="C897" s="217"/>
      <c r="D897" s="217"/>
      <c r="E897" s="217"/>
      <c r="F897" s="217"/>
      <c r="G897" s="217"/>
      <c r="H897" s="217"/>
      <c r="I897" s="217"/>
      <c r="J897" s="217"/>
      <c r="K897" s="217"/>
      <c r="L897" s="217"/>
      <c r="M897" s="217"/>
      <c r="N897" s="217"/>
      <c r="O897" s="217"/>
      <c r="P897" s="217"/>
      <c r="Q897" s="217"/>
      <c r="R897" s="217"/>
      <c r="S897" s="217"/>
      <c r="T897" s="217"/>
      <c r="U897" s="217"/>
      <c r="V897" s="217"/>
      <c r="W897" s="217"/>
      <c r="X897" s="217"/>
      <c r="Y897" s="217"/>
      <c r="Z897" s="217"/>
    </row>
    <row r="898" ht="15.75" customHeight="1">
      <c r="A898" s="217"/>
      <c r="B898" s="217"/>
      <c r="C898" s="217"/>
      <c r="D898" s="217"/>
      <c r="E898" s="217"/>
      <c r="F898" s="217"/>
      <c r="G898" s="217"/>
      <c r="H898" s="217"/>
      <c r="I898" s="217"/>
      <c r="J898" s="217"/>
      <c r="K898" s="217"/>
      <c r="L898" s="217"/>
      <c r="M898" s="217"/>
      <c r="N898" s="217"/>
      <c r="O898" s="217"/>
      <c r="P898" s="217"/>
      <c r="Q898" s="217"/>
      <c r="R898" s="217"/>
      <c r="S898" s="217"/>
      <c r="T898" s="217"/>
      <c r="U898" s="217"/>
      <c r="V898" s="217"/>
      <c r="W898" s="217"/>
      <c r="X898" s="217"/>
      <c r="Y898" s="217"/>
      <c r="Z898" s="217"/>
    </row>
    <row r="899" ht="15.75" customHeight="1">
      <c r="A899" s="217"/>
      <c r="B899" s="217"/>
      <c r="C899" s="217"/>
      <c r="D899" s="217"/>
      <c r="E899" s="217"/>
      <c r="F899" s="217"/>
      <c r="G899" s="217"/>
      <c r="H899" s="217"/>
      <c r="I899" s="217"/>
      <c r="J899" s="217"/>
      <c r="K899" s="217"/>
      <c r="L899" s="217"/>
      <c r="M899" s="217"/>
      <c r="N899" s="217"/>
      <c r="O899" s="217"/>
      <c r="P899" s="217"/>
      <c r="Q899" s="217"/>
      <c r="R899" s="217"/>
      <c r="S899" s="217"/>
      <c r="T899" s="217"/>
      <c r="U899" s="217"/>
      <c r="V899" s="217"/>
      <c r="W899" s="217"/>
      <c r="X899" s="217"/>
      <c r="Y899" s="217"/>
      <c r="Z899" s="217"/>
    </row>
    <row r="900" ht="15.75" customHeight="1">
      <c r="A900" s="217"/>
      <c r="B900" s="217"/>
      <c r="C900" s="217"/>
      <c r="D900" s="217"/>
      <c r="E900" s="217"/>
      <c r="F900" s="217"/>
      <c r="G900" s="217"/>
      <c r="H900" s="217"/>
      <c r="I900" s="217"/>
      <c r="J900" s="217"/>
      <c r="K900" s="217"/>
      <c r="L900" s="217"/>
      <c r="M900" s="217"/>
      <c r="N900" s="217"/>
      <c r="O900" s="217"/>
      <c r="P900" s="217"/>
      <c r="Q900" s="217"/>
      <c r="R900" s="217"/>
      <c r="S900" s="217"/>
      <c r="T900" s="217"/>
      <c r="U900" s="217"/>
      <c r="V900" s="217"/>
      <c r="W900" s="217"/>
      <c r="X900" s="217"/>
      <c r="Y900" s="217"/>
      <c r="Z900" s="217"/>
    </row>
    <row r="901" ht="15.75" customHeight="1">
      <c r="A901" s="217"/>
      <c r="B901" s="217"/>
      <c r="C901" s="217"/>
      <c r="D901" s="217"/>
      <c r="E901" s="217"/>
      <c r="F901" s="217"/>
      <c r="G901" s="217"/>
      <c r="H901" s="217"/>
      <c r="I901" s="217"/>
      <c r="J901" s="217"/>
      <c r="K901" s="217"/>
      <c r="L901" s="217"/>
      <c r="M901" s="217"/>
      <c r="N901" s="217"/>
      <c r="O901" s="217"/>
      <c r="P901" s="217"/>
      <c r="Q901" s="217"/>
      <c r="R901" s="217"/>
      <c r="S901" s="217"/>
      <c r="T901" s="217"/>
      <c r="U901" s="217"/>
      <c r="V901" s="217"/>
      <c r="W901" s="217"/>
      <c r="X901" s="217"/>
      <c r="Y901" s="217"/>
      <c r="Z901" s="217"/>
    </row>
    <row r="902" ht="15.75" customHeight="1">
      <c r="A902" s="217"/>
      <c r="B902" s="217"/>
      <c r="C902" s="217"/>
      <c r="D902" s="217"/>
      <c r="E902" s="217"/>
      <c r="F902" s="217"/>
      <c r="G902" s="217"/>
      <c r="H902" s="217"/>
      <c r="I902" s="217"/>
      <c r="J902" s="217"/>
      <c r="K902" s="217"/>
      <c r="L902" s="217"/>
      <c r="M902" s="217"/>
      <c r="N902" s="217"/>
      <c r="O902" s="217"/>
      <c r="P902" s="217"/>
      <c r="Q902" s="217"/>
      <c r="R902" s="217"/>
      <c r="S902" s="217"/>
      <c r="T902" s="217"/>
      <c r="U902" s="217"/>
      <c r="V902" s="217"/>
      <c r="W902" s="217"/>
      <c r="X902" s="217"/>
      <c r="Y902" s="217"/>
      <c r="Z902" s="217"/>
    </row>
    <row r="903" ht="15.75" customHeight="1">
      <c r="A903" s="217"/>
      <c r="B903" s="217"/>
      <c r="C903" s="217"/>
      <c r="D903" s="217"/>
      <c r="E903" s="217"/>
      <c r="F903" s="217"/>
      <c r="G903" s="217"/>
      <c r="H903" s="217"/>
      <c r="I903" s="217"/>
      <c r="J903" s="217"/>
      <c r="K903" s="217"/>
      <c r="L903" s="217"/>
      <c r="M903" s="217"/>
      <c r="N903" s="217"/>
      <c r="O903" s="217"/>
      <c r="P903" s="217"/>
      <c r="Q903" s="217"/>
      <c r="R903" s="217"/>
      <c r="S903" s="217"/>
      <c r="T903" s="217"/>
      <c r="U903" s="217"/>
      <c r="V903" s="217"/>
      <c r="W903" s="217"/>
      <c r="X903" s="217"/>
      <c r="Y903" s="217"/>
      <c r="Z903" s="217"/>
    </row>
    <row r="904" ht="15.75" customHeight="1">
      <c r="A904" s="217"/>
      <c r="B904" s="217"/>
      <c r="C904" s="217"/>
      <c r="D904" s="217"/>
      <c r="E904" s="217"/>
      <c r="F904" s="217"/>
      <c r="G904" s="217"/>
      <c r="H904" s="217"/>
      <c r="I904" s="217"/>
      <c r="J904" s="217"/>
      <c r="K904" s="217"/>
      <c r="L904" s="217"/>
      <c r="M904" s="217"/>
      <c r="N904" s="217"/>
      <c r="O904" s="217"/>
      <c r="P904" s="217"/>
      <c r="Q904" s="217"/>
      <c r="R904" s="217"/>
      <c r="S904" s="217"/>
      <c r="T904" s="217"/>
      <c r="U904" s="217"/>
      <c r="V904" s="217"/>
      <c r="W904" s="217"/>
      <c r="X904" s="217"/>
      <c r="Y904" s="217"/>
      <c r="Z904" s="217"/>
    </row>
    <row r="905" ht="15.75" customHeight="1">
      <c r="A905" s="217"/>
      <c r="B905" s="217"/>
      <c r="C905" s="217"/>
      <c r="D905" s="217"/>
      <c r="E905" s="217"/>
      <c r="F905" s="217"/>
      <c r="G905" s="217"/>
      <c r="H905" s="217"/>
      <c r="I905" s="217"/>
      <c r="J905" s="217"/>
      <c r="K905" s="217"/>
      <c r="L905" s="217"/>
      <c r="M905" s="217"/>
      <c r="N905" s="217"/>
      <c r="O905" s="217"/>
      <c r="P905" s="217"/>
      <c r="Q905" s="217"/>
      <c r="R905" s="217"/>
      <c r="S905" s="217"/>
      <c r="T905" s="217"/>
      <c r="U905" s="217"/>
      <c r="V905" s="217"/>
      <c r="W905" s="217"/>
      <c r="X905" s="217"/>
      <c r="Y905" s="217"/>
      <c r="Z905" s="217"/>
    </row>
    <row r="906" ht="15.75" customHeight="1">
      <c r="A906" s="217"/>
      <c r="B906" s="217"/>
      <c r="C906" s="217"/>
      <c r="D906" s="217"/>
      <c r="E906" s="217"/>
      <c r="F906" s="217"/>
      <c r="G906" s="217"/>
      <c r="H906" s="217"/>
      <c r="I906" s="217"/>
      <c r="J906" s="217"/>
      <c r="K906" s="217"/>
      <c r="L906" s="217"/>
      <c r="M906" s="217"/>
      <c r="N906" s="217"/>
      <c r="O906" s="217"/>
      <c r="P906" s="217"/>
      <c r="Q906" s="217"/>
      <c r="R906" s="217"/>
      <c r="S906" s="217"/>
      <c r="T906" s="217"/>
      <c r="U906" s="217"/>
      <c r="V906" s="217"/>
      <c r="W906" s="217"/>
      <c r="X906" s="217"/>
      <c r="Y906" s="217"/>
      <c r="Z906" s="217"/>
    </row>
    <row r="907" ht="15.75" customHeight="1">
      <c r="A907" s="217"/>
      <c r="B907" s="217"/>
      <c r="C907" s="217"/>
      <c r="D907" s="217"/>
      <c r="E907" s="217"/>
      <c r="F907" s="217"/>
      <c r="G907" s="217"/>
      <c r="H907" s="217"/>
      <c r="I907" s="217"/>
      <c r="J907" s="217"/>
      <c r="K907" s="217"/>
      <c r="L907" s="217"/>
      <c r="M907" s="217"/>
      <c r="N907" s="217"/>
      <c r="O907" s="217"/>
      <c r="P907" s="217"/>
      <c r="Q907" s="217"/>
      <c r="R907" s="217"/>
      <c r="S907" s="217"/>
      <c r="T907" s="217"/>
      <c r="U907" s="217"/>
      <c r="V907" s="217"/>
      <c r="W907" s="217"/>
      <c r="X907" s="217"/>
      <c r="Y907" s="217"/>
      <c r="Z907" s="217"/>
    </row>
    <row r="908" ht="15.75" customHeight="1">
      <c r="A908" s="217"/>
      <c r="B908" s="217"/>
      <c r="C908" s="217"/>
      <c r="D908" s="217"/>
      <c r="E908" s="217"/>
      <c r="F908" s="217"/>
      <c r="G908" s="217"/>
      <c r="H908" s="217"/>
      <c r="I908" s="217"/>
      <c r="J908" s="217"/>
      <c r="K908" s="217"/>
      <c r="L908" s="217"/>
      <c r="M908" s="217"/>
      <c r="N908" s="217"/>
      <c r="O908" s="217"/>
      <c r="P908" s="217"/>
      <c r="Q908" s="217"/>
      <c r="R908" s="217"/>
      <c r="S908" s="217"/>
      <c r="T908" s="217"/>
      <c r="U908" s="217"/>
      <c r="V908" s="217"/>
      <c r="W908" s="217"/>
      <c r="X908" s="217"/>
      <c r="Y908" s="217"/>
      <c r="Z908" s="217"/>
    </row>
    <row r="909" ht="15.75" customHeight="1">
      <c r="A909" s="217"/>
      <c r="B909" s="217"/>
      <c r="C909" s="217"/>
      <c r="D909" s="217"/>
      <c r="E909" s="217"/>
      <c r="F909" s="217"/>
      <c r="G909" s="217"/>
      <c r="H909" s="217"/>
      <c r="I909" s="217"/>
      <c r="J909" s="217"/>
      <c r="K909" s="217"/>
      <c r="L909" s="217"/>
      <c r="M909" s="217"/>
      <c r="N909" s="217"/>
      <c r="O909" s="217"/>
      <c r="P909" s="217"/>
      <c r="Q909" s="217"/>
      <c r="R909" s="217"/>
      <c r="S909" s="217"/>
      <c r="T909" s="217"/>
      <c r="U909" s="217"/>
      <c r="V909" s="217"/>
      <c r="W909" s="217"/>
      <c r="X909" s="217"/>
      <c r="Y909" s="217"/>
      <c r="Z909" s="217"/>
    </row>
    <row r="910" ht="15.75" customHeight="1">
      <c r="A910" s="217"/>
      <c r="B910" s="217"/>
      <c r="C910" s="217"/>
      <c r="D910" s="217"/>
      <c r="E910" s="217"/>
      <c r="F910" s="217"/>
      <c r="G910" s="217"/>
      <c r="H910" s="217"/>
      <c r="I910" s="217"/>
      <c r="J910" s="217"/>
      <c r="K910" s="217"/>
      <c r="L910" s="217"/>
      <c r="M910" s="217"/>
      <c r="N910" s="217"/>
      <c r="O910" s="217"/>
      <c r="P910" s="217"/>
      <c r="Q910" s="217"/>
      <c r="R910" s="217"/>
      <c r="S910" s="217"/>
      <c r="T910" s="217"/>
      <c r="U910" s="217"/>
      <c r="V910" s="217"/>
      <c r="W910" s="217"/>
      <c r="X910" s="217"/>
      <c r="Y910" s="217"/>
      <c r="Z910" s="217"/>
    </row>
    <row r="911" ht="15.75" customHeight="1">
      <c r="A911" s="217"/>
      <c r="B911" s="217"/>
      <c r="C911" s="217"/>
      <c r="D911" s="217"/>
      <c r="E911" s="217"/>
      <c r="F911" s="217"/>
      <c r="G911" s="217"/>
      <c r="H911" s="217"/>
      <c r="I911" s="217"/>
      <c r="J911" s="217"/>
      <c r="K911" s="217"/>
      <c r="L911" s="217"/>
      <c r="M911" s="217"/>
      <c r="N911" s="217"/>
      <c r="O911" s="217"/>
      <c r="P911" s="217"/>
      <c r="Q911" s="217"/>
      <c r="R911" s="217"/>
      <c r="S911" s="217"/>
      <c r="T911" s="217"/>
      <c r="U911" s="217"/>
      <c r="V911" s="217"/>
      <c r="W911" s="217"/>
      <c r="X911" s="217"/>
      <c r="Y911" s="217"/>
      <c r="Z911" s="217"/>
    </row>
    <row r="912" ht="15.75" customHeight="1">
      <c r="A912" s="217"/>
      <c r="B912" s="217"/>
      <c r="C912" s="217"/>
      <c r="D912" s="217"/>
      <c r="E912" s="217"/>
      <c r="F912" s="217"/>
      <c r="G912" s="217"/>
      <c r="H912" s="217"/>
      <c r="I912" s="217"/>
      <c r="J912" s="217"/>
      <c r="K912" s="217"/>
      <c r="L912" s="217"/>
      <c r="M912" s="217"/>
      <c r="N912" s="217"/>
      <c r="O912" s="217"/>
      <c r="P912" s="217"/>
      <c r="Q912" s="217"/>
      <c r="R912" s="217"/>
      <c r="S912" s="217"/>
      <c r="T912" s="217"/>
      <c r="U912" s="217"/>
      <c r="V912" s="217"/>
      <c r="W912" s="217"/>
      <c r="X912" s="217"/>
      <c r="Y912" s="217"/>
      <c r="Z912" s="217"/>
    </row>
    <row r="913" ht="15.75" customHeight="1">
      <c r="A913" s="217"/>
      <c r="B913" s="217"/>
      <c r="C913" s="217"/>
      <c r="D913" s="217"/>
      <c r="E913" s="217"/>
      <c r="F913" s="217"/>
      <c r="G913" s="217"/>
      <c r="H913" s="217"/>
      <c r="I913" s="217"/>
      <c r="J913" s="217"/>
      <c r="K913" s="217"/>
      <c r="L913" s="217"/>
      <c r="M913" s="217"/>
      <c r="N913" s="217"/>
      <c r="O913" s="217"/>
      <c r="P913" s="217"/>
      <c r="Q913" s="217"/>
      <c r="R913" s="217"/>
      <c r="S913" s="217"/>
      <c r="T913" s="217"/>
      <c r="U913" s="217"/>
      <c r="V913" s="217"/>
      <c r="W913" s="217"/>
      <c r="X913" s="217"/>
      <c r="Y913" s="217"/>
      <c r="Z913" s="217"/>
    </row>
    <row r="914" ht="15.75" customHeight="1">
      <c r="A914" s="217"/>
      <c r="B914" s="217"/>
      <c r="C914" s="217"/>
      <c r="D914" s="217"/>
      <c r="E914" s="217"/>
      <c r="F914" s="217"/>
      <c r="G914" s="217"/>
      <c r="H914" s="217"/>
      <c r="I914" s="217"/>
      <c r="J914" s="217"/>
      <c r="K914" s="217"/>
      <c r="L914" s="217"/>
      <c r="M914" s="217"/>
      <c r="N914" s="217"/>
      <c r="O914" s="217"/>
      <c r="P914" s="217"/>
      <c r="Q914" s="217"/>
      <c r="R914" s="217"/>
      <c r="S914" s="217"/>
      <c r="T914" s="217"/>
      <c r="U914" s="217"/>
      <c r="V914" s="217"/>
      <c r="W914" s="217"/>
      <c r="X914" s="217"/>
      <c r="Y914" s="217"/>
      <c r="Z914" s="217"/>
    </row>
    <row r="915" ht="15.75" customHeight="1">
      <c r="A915" s="217"/>
      <c r="B915" s="217"/>
      <c r="C915" s="217"/>
      <c r="D915" s="217"/>
      <c r="E915" s="217"/>
      <c r="F915" s="217"/>
      <c r="G915" s="217"/>
      <c r="H915" s="217"/>
      <c r="I915" s="217"/>
      <c r="J915" s="217"/>
      <c r="K915" s="217"/>
      <c r="L915" s="217"/>
      <c r="M915" s="217"/>
      <c r="N915" s="217"/>
      <c r="O915" s="217"/>
      <c r="P915" s="217"/>
      <c r="Q915" s="217"/>
      <c r="R915" s="217"/>
      <c r="S915" s="217"/>
      <c r="T915" s="217"/>
      <c r="U915" s="217"/>
      <c r="V915" s="217"/>
      <c r="W915" s="217"/>
      <c r="X915" s="217"/>
      <c r="Y915" s="217"/>
      <c r="Z915" s="217"/>
    </row>
    <row r="916" ht="15.75" customHeight="1">
      <c r="A916" s="217"/>
      <c r="B916" s="217"/>
      <c r="C916" s="217"/>
      <c r="D916" s="217"/>
      <c r="E916" s="217"/>
      <c r="F916" s="217"/>
      <c r="G916" s="217"/>
      <c r="H916" s="217"/>
      <c r="I916" s="217"/>
      <c r="J916" s="217"/>
      <c r="K916" s="217"/>
      <c r="L916" s="217"/>
      <c r="M916" s="217"/>
      <c r="N916" s="217"/>
      <c r="O916" s="217"/>
      <c r="P916" s="217"/>
      <c r="Q916" s="217"/>
      <c r="R916" s="217"/>
      <c r="S916" s="217"/>
      <c r="T916" s="217"/>
      <c r="U916" s="217"/>
      <c r="V916" s="217"/>
      <c r="W916" s="217"/>
      <c r="X916" s="217"/>
      <c r="Y916" s="217"/>
      <c r="Z916" s="217"/>
    </row>
    <row r="917" ht="15.75" customHeight="1">
      <c r="A917" s="217"/>
      <c r="B917" s="217"/>
      <c r="C917" s="217"/>
      <c r="D917" s="217"/>
      <c r="E917" s="217"/>
      <c r="F917" s="217"/>
      <c r="G917" s="217"/>
      <c r="H917" s="217"/>
      <c r="I917" s="217"/>
      <c r="J917" s="217"/>
      <c r="K917" s="217"/>
      <c r="L917" s="217"/>
      <c r="M917" s="217"/>
      <c r="N917" s="217"/>
      <c r="O917" s="217"/>
      <c r="P917" s="217"/>
      <c r="Q917" s="217"/>
      <c r="R917" s="217"/>
      <c r="S917" s="217"/>
      <c r="T917" s="217"/>
      <c r="U917" s="217"/>
      <c r="V917" s="217"/>
      <c r="W917" s="217"/>
      <c r="X917" s="217"/>
      <c r="Y917" s="217"/>
      <c r="Z917" s="217"/>
    </row>
    <row r="918" ht="15.75" customHeight="1">
      <c r="A918" s="217"/>
      <c r="B918" s="217"/>
      <c r="C918" s="217"/>
      <c r="D918" s="217"/>
      <c r="E918" s="217"/>
      <c r="F918" s="217"/>
      <c r="G918" s="217"/>
      <c r="H918" s="217"/>
      <c r="I918" s="217"/>
      <c r="J918" s="217"/>
      <c r="K918" s="217"/>
      <c r="L918" s="217"/>
      <c r="M918" s="217"/>
      <c r="N918" s="217"/>
      <c r="O918" s="217"/>
      <c r="P918" s="217"/>
      <c r="Q918" s="217"/>
      <c r="R918" s="217"/>
      <c r="S918" s="217"/>
      <c r="T918" s="217"/>
      <c r="U918" s="217"/>
      <c r="V918" s="217"/>
      <c r="W918" s="217"/>
      <c r="X918" s="217"/>
      <c r="Y918" s="217"/>
      <c r="Z918" s="217"/>
    </row>
    <row r="919" ht="15.75" customHeight="1">
      <c r="A919" s="217"/>
      <c r="B919" s="217"/>
      <c r="C919" s="217"/>
      <c r="D919" s="217"/>
      <c r="E919" s="217"/>
      <c r="F919" s="217"/>
      <c r="G919" s="217"/>
      <c r="H919" s="217"/>
      <c r="I919" s="217"/>
      <c r="J919" s="217"/>
      <c r="K919" s="217"/>
      <c r="L919" s="217"/>
      <c r="M919" s="217"/>
      <c r="N919" s="217"/>
      <c r="O919" s="217"/>
      <c r="P919" s="217"/>
      <c r="Q919" s="217"/>
      <c r="R919" s="217"/>
      <c r="S919" s="217"/>
      <c r="T919" s="217"/>
      <c r="U919" s="217"/>
      <c r="V919" s="217"/>
      <c r="W919" s="217"/>
      <c r="X919" s="217"/>
      <c r="Y919" s="217"/>
      <c r="Z919" s="217"/>
    </row>
    <row r="920" ht="15.75" customHeight="1">
      <c r="A920" s="217"/>
      <c r="B920" s="217"/>
      <c r="C920" s="217"/>
      <c r="D920" s="217"/>
      <c r="E920" s="217"/>
      <c r="F920" s="217"/>
      <c r="G920" s="217"/>
      <c r="H920" s="217"/>
      <c r="I920" s="217"/>
      <c r="J920" s="217"/>
      <c r="K920" s="217"/>
      <c r="L920" s="217"/>
      <c r="M920" s="217"/>
      <c r="N920" s="217"/>
      <c r="O920" s="217"/>
      <c r="P920" s="217"/>
      <c r="Q920" s="217"/>
      <c r="R920" s="217"/>
      <c r="S920" s="217"/>
      <c r="T920" s="217"/>
      <c r="U920" s="217"/>
      <c r="V920" s="217"/>
      <c r="W920" s="217"/>
      <c r="X920" s="217"/>
      <c r="Y920" s="217"/>
      <c r="Z920" s="217"/>
    </row>
    <row r="921" ht="15.75" customHeight="1">
      <c r="A921" s="217"/>
      <c r="B921" s="217"/>
      <c r="C921" s="217"/>
      <c r="D921" s="217"/>
      <c r="E921" s="217"/>
      <c r="F921" s="217"/>
      <c r="G921" s="217"/>
      <c r="H921" s="217"/>
      <c r="I921" s="217"/>
      <c r="J921" s="217"/>
      <c r="K921" s="217"/>
      <c r="L921" s="217"/>
      <c r="M921" s="217"/>
      <c r="N921" s="217"/>
      <c r="O921" s="217"/>
      <c r="P921" s="217"/>
      <c r="Q921" s="217"/>
      <c r="R921" s="217"/>
      <c r="S921" s="217"/>
      <c r="T921" s="217"/>
      <c r="U921" s="217"/>
      <c r="V921" s="217"/>
      <c r="W921" s="217"/>
      <c r="X921" s="217"/>
      <c r="Y921" s="217"/>
      <c r="Z921" s="217"/>
    </row>
    <row r="922" ht="15.75" customHeight="1">
      <c r="A922" s="217"/>
      <c r="B922" s="217"/>
      <c r="C922" s="217"/>
      <c r="D922" s="217"/>
      <c r="E922" s="217"/>
      <c r="F922" s="217"/>
      <c r="G922" s="217"/>
      <c r="H922" s="217"/>
      <c r="I922" s="217"/>
      <c r="J922" s="217"/>
      <c r="K922" s="217"/>
      <c r="L922" s="217"/>
      <c r="M922" s="217"/>
      <c r="N922" s="217"/>
      <c r="O922" s="217"/>
      <c r="P922" s="217"/>
      <c r="Q922" s="217"/>
      <c r="R922" s="217"/>
      <c r="S922" s="217"/>
      <c r="T922" s="217"/>
      <c r="U922" s="217"/>
      <c r="V922" s="217"/>
      <c r="W922" s="217"/>
      <c r="X922" s="217"/>
      <c r="Y922" s="217"/>
      <c r="Z922" s="217"/>
    </row>
    <row r="923" ht="15.75" customHeight="1">
      <c r="A923" s="217"/>
      <c r="B923" s="217"/>
      <c r="C923" s="217"/>
      <c r="D923" s="217"/>
      <c r="E923" s="217"/>
      <c r="F923" s="217"/>
      <c r="G923" s="217"/>
      <c r="H923" s="217"/>
      <c r="I923" s="217"/>
      <c r="J923" s="217"/>
      <c r="K923" s="217"/>
      <c r="L923" s="217"/>
      <c r="M923" s="217"/>
      <c r="N923" s="217"/>
      <c r="O923" s="217"/>
      <c r="P923" s="217"/>
      <c r="Q923" s="217"/>
      <c r="R923" s="217"/>
      <c r="S923" s="217"/>
      <c r="T923" s="217"/>
      <c r="U923" s="217"/>
      <c r="V923" s="217"/>
      <c r="W923" s="217"/>
      <c r="X923" s="217"/>
      <c r="Y923" s="217"/>
      <c r="Z923" s="217"/>
    </row>
    <row r="924" ht="15.75" customHeight="1">
      <c r="A924" s="217"/>
      <c r="B924" s="217"/>
      <c r="C924" s="217"/>
      <c r="D924" s="217"/>
      <c r="E924" s="217"/>
      <c r="F924" s="217"/>
      <c r="G924" s="217"/>
      <c r="H924" s="217"/>
      <c r="I924" s="217"/>
      <c r="J924" s="217"/>
      <c r="K924" s="217"/>
      <c r="L924" s="217"/>
      <c r="M924" s="217"/>
      <c r="N924" s="217"/>
      <c r="O924" s="217"/>
      <c r="P924" s="217"/>
      <c r="Q924" s="217"/>
      <c r="R924" s="217"/>
      <c r="S924" s="217"/>
      <c r="T924" s="217"/>
      <c r="U924" s="217"/>
      <c r="V924" s="217"/>
      <c r="W924" s="217"/>
      <c r="X924" s="217"/>
      <c r="Y924" s="217"/>
      <c r="Z924" s="217"/>
    </row>
    <row r="925" ht="15.75" customHeight="1">
      <c r="A925" s="217"/>
      <c r="B925" s="217"/>
      <c r="C925" s="217"/>
      <c r="D925" s="217"/>
      <c r="E925" s="217"/>
      <c r="F925" s="217"/>
      <c r="G925" s="217"/>
      <c r="H925" s="217"/>
      <c r="I925" s="217"/>
      <c r="J925" s="217"/>
      <c r="K925" s="217"/>
      <c r="L925" s="217"/>
      <c r="M925" s="217"/>
      <c r="N925" s="217"/>
      <c r="O925" s="217"/>
      <c r="P925" s="217"/>
      <c r="Q925" s="217"/>
      <c r="R925" s="217"/>
      <c r="S925" s="217"/>
      <c r="T925" s="217"/>
      <c r="U925" s="217"/>
      <c r="V925" s="217"/>
      <c r="W925" s="217"/>
      <c r="X925" s="217"/>
      <c r="Y925" s="217"/>
      <c r="Z925" s="217"/>
    </row>
    <row r="926" ht="15.75" customHeight="1">
      <c r="A926" s="217"/>
      <c r="B926" s="217"/>
      <c r="C926" s="217"/>
      <c r="D926" s="217"/>
      <c r="E926" s="217"/>
      <c r="F926" s="217"/>
      <c r="G926" s="217"/>
      <c r="H926" s="217"/>
      <c r="I926" s="217"/>
      <c r="J926" s="217"/>
      <c r="K926" s="217"/>
      <c r="L926" s="217"/>
      <c r="M926" s="217"/>
      <c r="N926" s="217"/>
      <c r="O926" s="217"/>
      <c r="P926" s="217"/>
      <c r="Q926" s="217"/>
      <c r="R926" s="217"/>
      <c r="S926" s="217"/>
      <c r="T926" s="217"/>
      <c r="U926" s="217"/>
      <c r="V926" s="217"/>
      <c r="W926" s="217"/>
      <c r="X926" s="217"/>
      <c r="Y926" s="217"/>
      <c r="Z926" s="217"/>
    </row>
    <row r="927" ht="15.75" customHeight="1">
      <c r="A927" s="217"/>
      <c r="B927" s="217"/>
      <c r="C927" s="217"/>
      <c r="D927" s="217"/>
      <c r="E927" s="217"/>
      <c r="F927" s="217"/>
      <c r="G927" s="217"/>
      <c r="H927" s="217"/>
      <c r="I927" s="217"/>
      <c r="J927" s="217"/>
      <c r="K927" s="217"/>
      <c r="L927" s="217"/>
      <c r="M927" s="217"/>
      <c r="N927" s="217"/>
      <c r="O927" s="217"/>
      <c r="P927" s="217"/>
      <c r="Q927" s="217"/>
      <c r="R927" s="217"/>
      <c r="S927" s="217"/>
      <c r="T927" s="217"/>
      <c r="U927" s="217"/>
      <c r="V927" s="217"/>
      <c r="W927" s="217"/>
      <c r="X927" s="217"/>
      <c r="Y927" s="217"/>
      <c r="Z927" s="217"/>
    </row>
    <row r="928" ht="15.75" customHeight="1">
      <c r="A928" s="217"/>
      <c r="B928" s="217"/>
      <c r="C928" s="217"/>
      <c r="D928" s="217"/>
      <c r="E928" s="217"/>
      <c r="F928" s="217"/>
      <c r="G928" s="217"/>
      <c r="H928" s="217"/>
      <c r="I928" s="217"/>
      <c r="J928" s="217"/>
      <c r="K928" s="217"/>
      <c r="L928" s="217"/>
      <c r="M928" s="217"/>
      <c r="N928" s="217"/>
      <c r="O928" s="217"/>
      <c r="P928" s="217"/>
      <c r="Q928" s="217"/>
      <c r="R928" s="217"/>
      <c r="S928" s="217"/>
      <c r="T928" s="217"/>
      <c r="U928" s="217"/>
      <c r="V928" s="217"/>
      <c r="W928" s="217"/>
      <c r="X928" s="217"/>
      <c r="Y928" s="217"/>
      <c r="Z928" s="217"/>
    </row>
    <row r="929" ht="15.75" customHeight="1">
      <c r="A929" s="217"/>
      <c r="B929" s="217"/>
      <c r="C929" s="217"/>
      <c r="D929" s="217"/>
      <c r="E929" s="217"/>
      <c r="F929" s="217"/>
      <c r="G929" s="217"/>
      <c r="H929" s="217"/>
      <c r="I929" s="217"/>
      <c r="J929" s="217"/>
      <c r="K929" s="217"/>
      <c r="L929" s="217"/>
      <c r="M929" s="217"/>
      <c r="N929" s="217"/>
      <c r="O929" s="217"/>
      <c r="P929" s="217"/>
      <c r="Q929" s="217"/>
      <c r="R929" s="217"/>
      <c r="S929" s="217"/>
      <c r="T929" s="217"/>
      <c r="U929" s="217"/>
      <c r="V929" s="217"/>
      <c r="W929" s="217"/>
      <c r="X929" s="217"/>
      <c r="Y929" s="217"/>
      <c r="Z929" s="217"/>
    </row>
    <row r="930" ht="15.75" customHeight="1">
      <c r="A930" s="217"/>
      <c r="B930" s="217"/>
      <c r="C930" s="217"/>
      <c r="D930" s="217"/>
      <c r="E930" s="217"/>
      <c r="F930" s="217"/>
      <c r="G930" s="217"/>
      <c r="H930" s="217"/>
      <c r="I930" s="217"/>
      <c r="J930" s="217"/>
      <c r="K930" s="217"/>
      <c r="L930" s="217"/>
      <c r="M930" s="217"/>
      <c r="N930" s="217"/>
      <c r="O930" s="217"/>
      <c r="P930" s="217"/>
      <c r="Q930" s="217"/>
      <c r="R930" s="217"/>
      <c r="S930" s="217"/>
      <c r="T930" s="217"/>
      <c r="U930" s="217"/>
      <c r="V930" s="217"/>
      <c r="W930" s="217"/>
      <c r="X930" s="217"/>
      <c r="Y930" s="217"/>
      <c r="Z930" s="217"/>
    </row>
    <row r="931" ht="15.75" customHeight="1">
      <c r="A931" s="217"/>
      <c r="B931" s="217"/>
      <c r="C931" s="217"/>
      <c r="D931" s="217"/>
      <c r="E931" s="217"/>
      <c r="F931" s="217"/>
      <c r="G931" s="217"/>
      <c r="H931" s="217"/>
      <c r="I931" s="217"/>
      <c r="J931" s="217"/>
      <c r="K931" s="217"/>
      <c r="L931" s="217"/>
      <c r="M931" s="217"/>
      <c r="N931" s="217"/>
      <c r="O931" s="217"/>
      <c r="P931" s="217"/>
      <c r="Q931" s="217"/>
      <c r="R931" s="217"/>
      <c r="S931" s="217"/>
      <c r="T931" s="217"/>
      <c r="U931" s="217"/>
      <c r="V931" s="217"/>
      <c r="W931" s="217"/>
      <c r="X931" s="217"/>
      <c r="Y931" s="217"/>
      <c r="Z931" s="217"/>
    </row>
    <row r="932" ht="15.75" customHeight="1">
      <c r="A932" s="217"/>
      <c r="B932" s="217"/>
      <c r="C932" s="217"/>
      <c r="D932" s="217"/>
      <c r="E932" s="217"/>
      <c r="F932" s="217"/>
      <c r="G932" s="217"/>
      <c r="H932" s="217"/>
      <c r="I932" s="217"/>
      <c r="J932" s="217"/>
      <c r="K932" s="217"/>
      <c r="L932" s="217"/>
      <c r="M932" s="217"/>
      <c r="N932" s="217"/>
      <c r="O932" s="217"/>
      <c r="P932" s="217"/>
      <c r="Q932" s="217"/>
      <c r="R932" s="217"/>
      <c r="S932" s="217"/>
      <c r="T932" s="217"/>
      <c r="U932" s="217"/>
      <c r="V932" s="217"/>
      <c r="W932" s="217"/>
      <c r="X932" s="217"/>
      <c r="Y932" s="217"/>
      <c r="Z932" s="217"/>
    </row>
    <row r="933" ht="15.75" customHeight="1">
      <c r="A933" s="217"/>
      <c r="B933" s="217"/>
      <c r="C933" s="217"/>
      <c r="D933" s="217"/>
      <c r="E933" s="217"/>
      <c r="F933" s="217"/>
      <c r="G933" s="217"/>
      <c r="H933" s="217"/>
      <c r="I933" s="217"/>
      <c r="J933" s="217"/>
      <c r="K933" s="217"/>
      <c r="L933" s="217"/>
      <c r="M933" s="217"/>
      <c r="N933" s="217"/>
      <c r="O933" s="217"/>
      <c r="P933" s="217"/>
      <c r="Q933" s="217"/>
      <c r="R933" s="217"/>
      <c r="S933" s="217"/>
      <c r="T933" s="217"/>
      <c r="U933" s="217"/>
      <c r="V933" s="217"/>
      <c r="W933" s="217"/>
      <c r="X933" s="217"/>
      <c r="Y933" s="217"/>
      <c r="Z933" s="217"/>
    </row>
    <row r="934" ht="15.75" customHeight="1">
      <c r="A934" s="217"/>
      <c r="B934" s="217"/>
      <c r="C934" s="217"/>
      <c r="D934" s="217"/>
      <c r="E934" s="217"/>
      <c r="F934" s="217"/>
      <c r="G934" s="217"/>
      <c r="H934" s="217"/>
      <c r="I934" s="217"/>
      <c r="J934" s="217"/>
      <c r="K934" s="217"/>
      <c r="L934" s="217"/>
      <c r="M934" s="217"/>
      <c r="N934" s="217"/>
      <c r="O934" s="217"/>
      <c r="P934" s="217"/>
      <c r="Q934" s="217"/>
      <c r="R934" s="217"/>
      <c r="S934" s="217"/>
      <c r="T934" s="217"/>
      <c r="U934" s="217"/>
      <c r="V934" s="217"/>
      <c r="W934" s="217"/>
      <c r="X934" s="217"/>
      <c r="Y934" s="217"/>
      <c r="Z934" s="217"/>
    </row>
    <row r="935" ht="15.75" customHeight="1">
      <c r="A935" s="217"/>
      <c r="B935" s="217"/>
      <c r="C935" s="217"/>
      <c r="D935" s="217"/>
      <c r="E935" s="217"/>
      <c r="F935" s="217"/>
      <c r="G935" s="217"/>
      <c r="H935" s="217"/>
      <c r="I935" s="217"/>
      <c r="J935" s="217"/>
      <c r="K935" s="217"/>
      <c r="L935" s="217"/>
      <c r="M935" s="217"/>
      <c r="N935" s="217"/>
      <c r="O935" s="217"/>
      <c r="P935" s="217"/>
      <c r="Q935" s="217"/>
      <c r="R935" s="217"/>
      <c r="S935" s="217"/>
      <c r="T935" s="217"/>
      <c r="U935" s="217"/>
      <c r="V935" s="217"/>
      <c r="W935" s="217"/>
      <c r="X935" s="217"/>
      <c r="Y935" s="217"/>
      <c r="Z935" s="217"/>
    </row>
    <row r="936" ht="15.75" customHeight="1">
      <c r="A936" s="217"/>
      <c r="B936" s="217"/>
      <c r="C936" s="217"/>
      <c r="D936" s="217"/>
      <c r="E936" s="217"/>
      <c r="F936" s="217"/>
      <c r="G936" s="217"/>
      <c r="H936" s="217"/>
      <c r="I936" s="217"/>
      <c r="J936" s="217"/>
      <c r="K936" s="217"/>
      <c r="L936" s="217"/>
      <c r="M936" s="217"/>
      <c r="N936" s="217"/>
      <c r="O936" s="217"/>
      <c r="P936" s="217"/>
      <c r="Q936" s="217"/>
      <c r="R936" s="217"/>
      <c r="S936" s="217"/>
      <c r="T936" s="217"/>
      <c r="U936" s="217"/>
      <c r="V936" s="217"/>
      <c r="W936" s="217"/>
      <c r="X936" s="217"/>
      <c r="Y936" s="217"/>
      <c r="Z936" s="217"/>
    </row>
    <row r="937" ht="15.75" customHeight="1">
      <c r="A937" s="217"/>
      <c r="B937" s="217"/>
      <c r="C937" s="217"/>
      <c r="D937" s="217"/>
      <c r="E937" s="217"/>
      <c r="F937" s="217"/>
      <c r="G937" s="217"/>
      <c r="H937" s="217"/>
      <c r="I937" s="217"/>
      <c r="J937" s="217"/>
      <c r="K937" s="217"/>
      <c r="L937" s="217"/>
      <c r="M937" s="217"/>
      <c r="N937" s="217"/>
      <c r="O937" s="217"/>
      <c r="P937" s="217"/>
      <c r="Q937" s="217"/>
      <c r="R937" s="217"/>
      <c r="S937" s="217"/>
      <c r="T937" s="217"/>
      <c r="U937" s="217"/>
      <c r="V937" s="217"/>
      <c r="W937" s="217"/>
      <c r="X937" s="217"/>
      <c r="Y937" s="217"/>
      <c r="Z937" s="217"/>
    </row>
    <row r="938" ht="15.75" customHeight="1">
      <c r="A938" s="217"/>
      <c r="B938" s="217"/>
      <c r="C938" s="217"/>
      <c r="D938" s="217"/>
      <c r="E938" s="217"/>
      <c r="F938" s="217"/>
      <c r="G938" s="217"/>
      <c r="H938" s="217"/>
      <c r="I938" s="217"/>
      <c r="J938" s="217"/>
      <c r="K938" s="217"/>
      <c r="L938" s="217"/>
      <c r="M938" s="217"/>
      <c r="N938" s="217"/>
      <c r="O938" s="217"/>
      <c r="P938" s="217"/>
      <c r="Q938" s="217"/>
      <c r="R938" s="217"/>
      <c r="S938" s="217"/>
      <c r="T938" s="217"/>
      <c r="U938" s="217"/>
      <c r="V938" s="217"/>
      <c r="W938" s="217"/>
      <c r="X938" s="217"/>
      <c r="Y938" s="217"/>
      <c r="Z938" s="217"/>
    </row>
    <row r="939" ht="15.75" customHeight="1">
      <c r="A939" s="217"/>
      <c r="B939" s="217"/>
      <c r="C939" s="217"/>
      <c r="D939" s="217"/>
      <c r="E939" s="217"/>
      <c r="F939" s="217"/>
      <c r="G939" s="217"/>
      <c r="H939" s="217"/>
      <c r="I939" s="217"/>
      <c r="J939" s="217"/>
      <c r="K939" s="217"/>
      <c r="L939" s="217"/>
      <c r="M939" s="217"/>
      <c r="N939" s="217"/>
      <c r="O939" s="217"/>
      <c r="P939" s="217"/>
      <c r="Q939" s="217"/>
      <c r="R939" s="217"/>
      <c r="S939" s="217"/>
      <c r="T939" s="217"/>
      <c r="U939" s="217"/>
      <c r="V939" s="217"/>
      <c r="W939" s="217"/>
      <c r="X939" s="217"/>
      <c r="Y939" s="217"/>
      <c r="Z939" s="217"/>
    </row>
    <row r="940" ht="15.75" customHeight="1">
      <c r="A940" s="217"/>
      <c r="B940" s="217"/>
      <c r="C940" s="217"/>
      <c r="D940" s="217"/>
      <c r="E940" s="217"/>
      <c r="F940" s="217"/>
      <c r="G940" s="217"/>
      <c r="H940" s="217"/>
      <c r="I940" s="217"/>
      <c r="J940" s="217"/>
      <c r="K940" s="217"/>
      <c r="L940" s="217"/>
      <c r="M940" s="217"/>
      <c r="N940" s="217"/>
      <c r="O940" s="217"/>
      <c r="P940" s="217"/>
      <c r="Q940" s="217"/>
      <c r="R940" s="217"/>
      <c r="S940" s="217"/>
      <c r="T940" s="217"/>
      <c r="U940" s="217"/>
      <c r="V940" s="217"/>
      <c r="W940" s="217"/>
      <c r="X940" s="217"/>
      <c r="Y940" s="217"/>
      <c r="Z940" s="217"/>
    </row>
    <row r="941" ht="15.75" customHeight="1">
      <c r="A941" s="217"/>
      <c r="B941" s="217"/>
      <c r="C941" s="217"/>
      <c r="D941" s="217"/>
      <c r="E941" s="217"/>
      <c r="F941" s="217"/>
      <c r="G941" s="217"/>
      <c r="H941" s="217"/>
      <c r="I941" s="217"/>
      <c r="J941" s="217"/>
      <c r="K941" s="217"/>
      <c r="L941" s="217"/>
      <c r="M941" s="217"/>
      <c r="N941" s="217"/>
      <c r="O941" s="217"/>
      <c r="P941" s="217"/>
      <c r="Q941" s="217"/>
      <c r="R941" s="217"/>
      <c r="S941" s="217"/>
      <c r="T941" s="217"/>
      <c r="U941" s="217"/>
      <c r="V941" s="217"/>
      <c r="W941" s="217"/>
      <c r="X941" s="217"/>
      <c r="Y941" s="217"/>
      <c r="Z941" s="217"/>
    </row>
    <row r="942" ht="15.75" customHeight="1">
      <c r="A942" s="217"/>
      <c r="B942" s="217"/>
      <c r="C942" s="217"/>
      <c r="D942" s="217"/>
      <c r="E942" s="217"/>
      <c r="F942" s="217"/>
      <c r="G942" s="217"/>
      <c r="H942" s="217"/>
      <c r="I942" s="217"/>
      <c r="J942" s="217"/>
      <c r="K942" s="217"/>
      <c r="L942" s="217"/>
      <c r="M942" s="217"/>
      <c r="N942" s="217"/>
      <c r="O942" s="217"/>
      <c r="P942" s="217"/>
      <c r="Q942" s="217"/>
      <c r="R942" s="217"/>
      <c r="S942" s="217"/>
      <c r="T942" s="217"/>
      <c r="U942" s="217"/>
      <c r="V942" s="217"/>
      <c r="W942" s="217"/>
      <c r="X942" s="217"/>
      <c r="Y942" s="217"/>
      <c r="Z942" s="217"/>
    </row>
    <row r="943" ht="15.75" customHeight="1">
      <c r="A943" s="217"/>
      <c r="B943" s="217"/>
      <c r="C943" s="217"/>
      <c r="D943" s="217"/>
      <c r="E943" s="217"/>
      <c r="F943" s="217"/>
      <c r="G943" s="217"/>
      <c r="H943" s="217"/>
      <c r="I943" s="217"/>
      <c r="J943" s="217"/>
      <c r="K943" s="217"/>
      <c r="L943" s="217"/>
      <c r="M943" s="217"/>
      <c r="N943" s="217"/>
      <c r="O943" s="217"/>
      <c r="P943" s="217"/>
      <c r="Q943" s="217"/>
      <c r="R943" s="217"/>
      <c r="S943" s="217"/>
      <c r="T943" s="217"/>
      <c r="U943" s="217"/>
      <c r="V943" s="217"/>
      <c r="W943" s="217"/>
      <c r="X943" s="217"/>
      <c r="Y943" s="217"/>
      <c r="Z943" s="217"/>
    </row>
    <row r="944" ht="15.75" customHeight="1">
      <c r="A944" s="217"/>
      <c r="B944" s="217"/>
      <c r="C944" s="217"/>
      <c r="D944" s="217"/>
      <c r="E944" s="217"/>
      <c r="F944" s="217"/>
      <c r="G944" s="217"/>
      <c r="H944" s="217"/>
      <c r="I944" s="217"/>
      <c r="J944" s="217"/>
      <c r="K944" s="217"/>
      <c r="L944" s="217"/>
      <c r="M944" s="217"/>
      <c r="N944" s="217"/>
      <c r="O944" s="217"/>
      <c r="P944" s="217"/>
      <c r="Q944" s="217"/>
      <c r="R944" s="217"/>
      <c r="S944" s="217"/>
      <c r="T944" s="217"/>
      <c r="U944" s="217"/>
      <c r="V944" s="217"/>
      <c r="W944" s="217"/>
      <c r="X944" s="217"/>
      <c r="Y944" s="217"/>
      <c r="Z944" s="217"/>
    </row>
    <row r="945" ht="15.75" customHeight="1">
      <c r="A945" s="217"/>
      <c r="B945" s="217"/>
      <c r="C945" s="217"/>
      <c r="D945" s="217"/>
      <c r="E945" s="217"/>
      <c r="F945" s="217"/>
      <c r="G945" s="217"/>
      <c r="H945" s="217"/>
      <c r="I945" s="217"/>
      <c r="J945" s="217"/>
      <c r="K945" s="217"/>
      <c r="L945" s="217"/>
      <c r="M945" s="217"/>
      <c r="N945" s="217"/>
      <c r="O945" s="217"/>
      <c r="P945" s="217"/>
      <c r="Q945" s="217"/>
      <c r="R945" s="217"/>
      <c r="S945" s="217"/>
      <c r="T945" s="217"/>
      <c r="U945" s="217"/>
      <c r="V945" s="217"/>
      <c r="W945" s="217"/>
      <c r="X945" s="217"/>
      <c r="Y945" s="217"/>
      <c r="Z945" s="217"/>
    </row>
    <row r="946" ht="15.75" customHeight="1">
      <c r="A946" s="217"/>
      <c r="B946" s="217"/>
      <c r="C946" s="217"/>
      <c r="D946" s="217"/>
      <c r="E946" s="217"/>
      <c r="F946" s="217"/>
      <c r="G946" s="217"/>
      <c r="H946" s="217"/>
      <c r="I946" s="217"/>
      <c r="J946" s="217"/>
      <c r="K946" s="217"/>
      <c r="L946" s="217"/>
      <c r="M946" s="217"/>
      <c r="N946" s="217"/>
      <c r="O946" s="217"/>
      <c r="P946" s="217"/>
      <c r="Q946" s="217"/>
      <c r="R946" s="217"/>
      <c r="S946" s="217"/>
      <c r="T946" s="217"/>
      <c r="U946" s="217"/>
      <c r="V946" s="217"/>
      <c r="W946" s="217"/>
      <c r="X946" s="217"/>
      <c r="Y946" s="217"/>
      <c r="Z946" s="217"/>
    </row>
    <row r="947" ht="15.75" customHeight="1">
      <c r="A947" s="217"/>
      <c r="B947" s="217"/>
      <c r="C947" s="217"/>
      <c r="D947" s="217"/>
      <c r="E947" s="217"/>
      <c r="F947" s="217"/>
      <c r="G947" s="217"/>
      <c r="H947" s="217"/>
      <c r="I947" s="217"/>
      <c r="J947" s="217"/>
      <c r="K947" s="217"/>
      <c r="L947" s="217"/>
      <c r="M947" s="217"/>
      <c r="N947" s="217"/>
      <c r="O947" s="217"/>
      <c r="P947" s="217"/>
      <c r="Q947" s="217"/>
      <c r="R947" s="217"/>
      <c r="S947" s="217"/>
      <c r="T947" s="217"/>
      <c r="U947" s="217"/>
      <c r="V947" s="217"/>
      <c r="W947" s="217"/>
      <c r="X947" s="217"/>
      <c r="Y947" s="217"/>
      <c r="Z947" s="217"/>
    </row>
    <row r="948" ht="15.75" customHeight="1">
      <c r="A948" s="217"/>
      <c r="B948" s="217"/>
      <c r="C948" s="217"/>
      <c r="D948" s="217"/>
      <c r="E948" s="217"/>
      <c r="F948" s="217"/>
      <c r="G948" s="217"/>
      <c r="H948" s="217"/>
      <c r="I948" s="217"/>
      <c r="J948" s="217"/>
      <c r="K948" s="217"/>
      <c r="L948" s="217"/>
      <c r="M948" s="217"/>
      <c r="N948" s="217"/>
      <c r="O948" s="217"/>
      <c r="P948" s="217"/>
      <c r="Q948" s="217"/>
      <c r="R948" s="217"/>
      <c r="S948" s="217"/>
      <c r="T948" s="217"/>
      <c r="U948" s="217"/>
      <c r="V948" s="217"/>
      <c r="W948" s="217"/>
      <c r="X948" s="217"/>
      <c r="Y948" s="217"/>
      <c r="Z948" s="217"/>
    </row>
    <row r="949" ht="15.75" customHeight="1">
      <c r="A949" s="217"/>
      <c r="B949" s="217"/>
      <c r="C949" s="217"/>
      <c r="D949" s="217"/>
      <c r="E949" s="217"/>
      <c r="F949" s="217"/>
      <c r="G949" s="217"/>
      <c r="H949" s="217"/>
      <c r="I949" s="217"/>
      <c r="J949" s="217"/>
      <c r="K949" s="217"/>
      <c r="L949" s="217"/>
      <c r="M949" s="217"/>
      <c r="N949" s="217"/>
      <c r="O949" s="217"/>
      <c r="P949" s="217"/>
      <c r="Q949" s="217"/>
      <c r="R949" s="217"/>
      <c r="S949" s="217"/>
      <c r="T949" s="217"/>
      <c r="U949" s="217"/>
      <c r="V949" s="217"/>
      <c r="W949" s="217"/>
      <c r="X949" s="217"/>
      <c r="Y949" s="217"/>
      <c r="Z949" s="217"/>
    </row>
    <row r="950" ht="15.75" customHeight="1">
      <c r="A950" s="217"/>
      <c r="B950" s="217"/>
      <c r="C950" s="217"/>
      <c r="D950" s="217"/>
      <c r="E950" s="217"/>
      <c r="F950" s="217"/>
      <c r="G950" s="217"/>
      <c r="H950" s="217"/>
      <c r="I950" s="217"/>
      <c r="J950" s="217"/>
      <c r="K950" s="217"/>
      <c r="L950" s="217"/>
      <c r="M950" s="217"/>
      <c r="N950" s="217"/>
      <c r="O950" s="217"/>
      <c r="P950" s="217"/>
      <c r="Q950" s="217"/>
      <c r="R950" s="217"/>
      <c r="S950" s="217"/>
      <c r="T950" s="217"/>
      <c r="U950" s="217"/>
      <c r="V950" s="217"/>
      <c r="W950" s="217"/>
      <c r="X950" s="217"/>
      <c r="Y950" s="217"/>
      <c r="Z950" s="217"/>
    </row>
    <row r="951" ht="15.75" customHeight="1">
      <c r="A951" s="217"/>
      <c r="B951" s="217"/>
      <c r="C951" s="217"/>
      <c r="D951" s="217"/>
      <c r="E951" s="217"/>
      <c r="F951" s="217"/>
      <c r="G951" s="217"/>
      <c r="H951" s="217"/>
      <c r="I951" s="217"/>
      <c r="J951" s="217"/>
      <c r="K951" s="217"/>
      <c r="L951" s="217"/>
      <c r="M951" s="217"/>
      <c r="N951" s="217"/>
      <c r="O951" s="217"/>
      <c r="P951" s="217"/>
      <c r="Q951" s="217"/>
      <c r="R951" s="217"/>
      <c r="S951" s="217"/>
      <c r="T951" s="217"/>
      <c r="U951" s="217"/>
      <c r="V951" s="217"/>
      <c r="W951" s="217"/>
      <c r="X951" s="217"/>
      <c r="Y951" s="217"/>
      <c r="Z951" s="217"/>
    </row>
    <row r="952" ht="15.75" customHeight="1">
      <c r="A952" s="217"/>
      <c r="B952" s="217"/>
      <c r="C952" s="217"/>
      <c r="D952" s="217"/>
      <c r="E952" s="217"/>
      <c r="F952" s="217"/>
      <c r="G952" s="217"/>
      <c r="H952" s="217"/>
      <c r="I952" s="217"/>
      <c r="J952" s="217"/>
      <c r="K952" s="217"/>
      <c r="L952" s="217"/>
      <c r="M952" s="217"/>
      <c r="N952" s="217"/>
      <c r="O952" s="217"/>
      <c r="P952" s="217"/>
      <c r="Q952" s="217"/>
      <c r="R952" s="217"/>
      <c r="S952" s="217"/>
      <c r="T952" s="217"/>
      <c r="U952" s="217"/>
      <c r="V952" s="217"/>
      <c r="W952" s="217"/>
      <c r="X952" s="217"/>
      <c r="Y952" s="217"/>
      <c r="Z952" s="217"/>
    </row>
    <row r="953" ht="15.75" customHeight="1">
      <c r="A953" s="217"/>
      <c r="B953" s="217"/>
      <c r="C953" s="217"/>
      <c r="D953" s="217"/>
      <c r="E953" s="217"/>
      <c r="F953" s="217"/>
      <c r="G953" s="217"/>
      <c r="H953" s="217"/>
      <c r="I953" s="217"/>
      <c r="J953" s="217"/>
      <c r="K953" s="217"/>
      <c r="L953" s="217"/>
      <c r="M953" s="217"/>
      <c r="N953" s="217"/>
      <c r="O953" s="217"/>
      <c r="P953" s="217"/>
      <c r="Q953" s="217"/>
      <c r="R953" s="217"/>
      <c r="S953" s="217"/>
      <c r="T953" s="217"/>
      <c r="U953" s="217"/>
      <c r="V953" s="217"/>
      <c r="W953" s="217"/>
      <c r="X953" s="217"/>
      <c r="Y953" s="217"/>
      <c r="Z953" s="217"/>
    </row>
    <row r="954" ht="15.75" customHeight="1">
      <c r="A954" s="217"/>
      <c r="B954" s="217"/>
      <c r="C954" s="217"/>
      <c r="D954" s="217"/>
      <c r="E954" s="217"/>
      <c r="F954" s="217"/>
      <c r="G954" s="217"/>
      <c r="H954" s="217"/>
      <c r="I954" s="217"/>
      <c r="J954" s="217"/>
      <c r="K954" s="217"/>
      <c r="L954" s="217"/>
      <c r="M954" s="217"/>
      <c r="N954" s="217"/>
      <c r="O954" s="217"/>
      <c r="P954" s="217"/>
      <c r="Q954" s="217"/>
      <c r="R954" s="217"/>
      <c r="S954" s="217"/>
      <c r="T954" s="217"/>
      <c r="U954" s="217"/>
      <c r="V954" s="217"/>
      <c r="W954" s="217"/>
      <c r="X954" s="217"/>
      <c r="Y954" s="217"/>
      <c r="Z954" s="217"/>
    </row>
    <row r="955" ht="15.75" customHeight="1">
      <c r="A955" s="217"/>
      <c r="B955" s="217"/>
      <c r="C955" s="217"/>
      <c r="D955" s="217"/>
      <c r="E955" s="217"/>
      <c r="F955" s="217"/>
      <c r="G955" s="217"/>
      <c r="H955" s="217"/>
      <c r="I955" s="217"/>
      <c r="J955" s="217"/>
      <c r="K955" s="217"/>
      <c r="L955" s="217"/>
      <c r="M955" s="217"/>
      <c r="N955" s="217"/>
      <c r="O955" s="217"/>
      <c r="P955" s="217"/>
      <c r="Q955" s="217"/>
      <c r="R955" s="217"/>
      <c r="S955" s="217"/>
      <c r="T955" s="217"/>
      <c r="U955" s="217"/>
      <c r="V955" s="217"/>
      <c r="W955" s="217"/>
      <c r="X955" s="217"/>
      <c r="Y955" s="217"/>
      <c r="Z955" s="217"/>
    </row>
    <row r="956" ht="15.75" customHeight="1">
      <c r="A956" s="217"/>
      <c r="B956" s="217"/>
      <c r="C956" s="217"/>
      <c r="D956" s="217"/>
      <c r="E956" s="217"/>
      <c r="F956" s="217"/>
      <c r="G956" s="217"/>
      <c r="H956" s="217"/>
      <c r="I956" s="217"/>
      <c r="J956" s="217"/>
      <c r="K956" s="217"/>
      <c r="L956" s="217"/>
      <c r="M956" s="217"/>
      <c r="N956" s="217"/>
      <c r="O956" s="217"/>
      <c r="P956" s="217"/>
      <c r="Q956" s="217"/>
      <c r="R956" s="217"/>
      <c r="S956" s="217"/>
      <c r="T956" s="217"/>
      <c r="U956" s="217"/>
      <c r="V956" s="217"/>
      <c r="W956" s="217"/>
      <c r="X956" s="217"/>
      <c r="Y956" s="217"/>
      <c r="Z956" s="217"/>
    </row>
    <row r="957" ht="15.75" customHeight="1">
      <c r="A957" s="217"/>
      <c r="B957" s="217"/>
      <c r="C957" s="217"/>
      <c r="D957" s="217"/>
      <c r="E957" s="217"/>
      <c r="F957" s="217"/>
      <c r="G957" s="217"/>
      <c r="H957" s="217"/>
      <c r="I957" s="217"/>
      <c r="J957" s="217"/>
      <c r="K957" s="217"/>
      <c r="L957" s="217"/>
      <c r="M957" s="217"/>
      <c r="N957" s="217"/>
      <c r="O957" s="217"/>
      <c r="P957" s="217"/>
      <c r="Q957" s="217"/>
      <c r="R957" s="217"/>
      <c r="S957" s="217"/>
      <c r="T957" s="217"/>
      <c r="U957" s="217"/>
      <c r="V957" s="217"/>
      <c r="W957" s="217"/>
      <c r="X957" s="217"/>
      <c r="Y957" s="217"/>
      <c r="Z957" s="217"/>
    </row>
    <row r="958" ht="15.75" customHeight="1">
      <c r="A958" s="217"/>
      <c r="B958" s="217"/>
      <c r="C958" s="217"/>
      <c r="D958" s="217"/>
      <c r="E958" s="217"/>
      <c r="F958" s="217"/>
      <c r="G958" s="217"/>
      <c r="H958" s="217"/>
      <c r="I958" s="217"/>
      <c r="J958" s="217"/>
      <c r="K958" s="217"/>
      <c r="L958" s="217"/>
      <c r="M958" s="217"/>
      <c r="N958" s="217"/>
      <c r="O958" s="217"/>
      <c r="P958" s="217"/>
      <c r="Q958" s="217"/>
      <c r="R958" s="217"/>
      <c r="S958" s="217"/>
      <c r="T958" s="217"/>
      <c r="U958" s="217"/>
      <c r="V958" s="217"/>
      <c r="W958" s="217"/>
      <c r="X958" s="217"/>
      <c r="Y958" s="217"/>
      <c r="Z958" s="217"/>
    </row>
    <row r="959" ht="15.75" customHeight="1">
      <c r="A959" s="217"/>
      <c r="B959" s="217"/>
      <c r="C959" s="217"/>
      <c r="D959" s="217"/>
      <c r="E959" s="217"/>
      <c r="F959" s="217"/>
      <c r="G959" s="217"/>
      <c r="H959" s="217"/>
      <c r="I959" s="217"/>
      <c r="J959" s="217"/>
      <c r="K959" s="217"/>
      <c r="L959" s="217"/>
      <c r="M959" s="217"/>
      <c r="N959" s="217"/>
      <c r="O959" s="217"/>
      <c r="P959" s="217"/>
      <c r="Q959" s="217"/>
      <c r="R959" s="217"/>
      <c r="S959" s="217"/>
      <c r="T959" s="217"/>
      <c r="U959" s="217"/>
      <c r="V959" s="217"/>
      <c r="W959" s="217"/>
      <c r="X959" s="217"/>
      <c r="Y959" s="217"/>
      <c r="Z959" s="217"/>
    </row>
    <row r="960" ht="15.75" customHeight="1">
      <c r="A960" s="217"/>
      <c r="B960" s="217"/>
      <c r="C960" s="217"/>
      <c r="D960" s="217"/>
      <c r="E960" s="217"/>
      <c r="F960" s="217"/>
      <c r="G960" s="217"/>
      <c r="H960" s="217"/>
      <c r="I960" s="217"/>
      <c r="J960" s="217"/>
      <c r="K960" s="217"/>
      <c r="L960" s="217"/>
      <c r="M960" s="217"/>
      <c r="N960" s="217"/>
      <c r="O960" s="217"/>
      <c r="P960" s="217"/>
      <c r="Q960" s="217"/>
      <c r="R960" s="217"/>
      <c r="S960" s="217"/>
      <c r="T960" s="217"/>
      <c r="U960" s="217"/>
      <c r="V960" s="217"/>
      <c r="W960" s="217"/>
      <c r="X960" s="217"/>
      <c r="Y960" s="217"/>
      <c r="Z960" s="217"/>
    </row>
    <row r="961" ht="15.75" customHeight="1">
      <c r="A961" s="217"/>
      <c r="B961" s="217"/>
      <c r="C961" s="217"/>
      <c r="D961" s="217"/>
      <c r="E961" s="217"/>
      <c r="F961" s="217"/>
      <c r="G961" s="217"/>
      <c r="H961" s="217"/>
      <c r="I961" s="217"/>
      <c r="J961" s="217"/>
      <c r="K961" s="217"/>
      <c r="L961" s="217"/>
      <c r="M961" s="217"/>
      <c r="N961" s="217"/>
      <c r="O961" s="217"/>
      <c r="P961" s="217"/>
      <c r="Q961" s="217"/>
      <c r="R961" s="217"/>
      <c r="S961" s="217"/>
      <c r="T961" s="217"/>
      <c r="U961" s="217"/>
      <c r="V961" s="217"/>
      <c r="W961" s="217"/>
      <c r="X961" s="217"/>
      <c r="Y961" s="217"/>
      <c r="Z961" s="217"/>
    </row>
    <row r="962" ht="15.75" customHeight="1">
      <c r="A962" s="217"/>
      <c r="B962" s="217"/>
      <c r="C962" s="217"/>
      <c r="D962" s="217"/>
      <c r="E962" s="217"/>
      <c r="F962" s="217"/>
      <c r="G962" s="217"/>
      <c r="H962" s="217"/>
      <c r="I962" s="217"/>
      <c r="J962" s="217"/>
      <c r="K962" s="217"/>
      <c r="L962" s="217"/>
      <c r="M962" s="217"/>
      <c r="N962" s="217"/>
      <c r="O962" s="217"/>
      <c r="P962" s="217"/>
      <c r="Q962" s="217"/>
      <c r="R962" s="217"/>
      <c r="S962" s="217"/>
      <c r="T962" s="217"/>
      <c r="U962" s="217"/>
      <c r="V962" s="217"/>
      <c r="W962" s="217"/>
      <c r="X962" s="217"/>
      <c r="Y962" s="217"/>
      <c r="Z962" s="217"/>
    </row>
    <row r="963" ht="15.75" customHeight="1">
      <c r="A963" s="217"/>
      <c r="B963" s="217"/>
      <c r="C963" s="217"/>
      <c r="D963" s="217"/>
      <c r="E963" s="217"/>
      <c r="F963" s="217"/>
      <c r="G963" s="217"/>
      <c r="H963" s="217"/>
      <c r="I963" s="217"/>
      <c r="J963" s="217"/>
      <c r="K963" s="217"/>
      <c r="L963" s="217"/>
      <c r="M963" s="217"/>
      <c r="N963" s="217"/>
      <c r="O963" s="217"/>
      <c r="P963" s="217"/>
      <c r="Q963" s="217"/>
      <c r="R963" s="217"/>
      <c r="S963" s="217"/>
      <c r="T963" s="217"/>
      <c r="U963" s="217"/>
      <c r="V963" s="217"/>
      <c r="W963" s="217"/>
      <c r="X963" s="217"/>
      <c r="Y963" s="217"/>
      <c r="Z963" s="217"/>
    </row>
    <row r="964" ht="15.75" customHeight="1">
      <c r="A964" s="217"/>
      <c r="B964" s="217"/>
      <c r="C964" s="217"/>
      <c r="D964" s="217"/>
      <c r="E964" s="217"/>
      <c r="F964" s="217"/>
      <c r="G964" s="217"/>
      <c r="H964" s="217"/>
      <c r="I964" s="217"/>
      <c r="J964" s="217"/>
      <c r="K964" s="217"/>
      <c r="L964" s="217"/>
      <c r="M964" s="217"/>
      <c r="N964" s="217"/>
      <c r="O964" s="217"/>
      <c r="P964" s="217"/>
      <c r="Q964" s="217"/>
      <c r="R964" s="217"/>
      <c r="S964" s="217"/>
      <c r="T964" s="217"/>
      <c r="U964" s="217"/>
      <c r="V964" s="217"/>
      <c r="W964" s="217"/>
      <c r="X964" s="217"/>
      <c r="Y964" s="217"/>
      <c r="Z964" s="217"/>
    </row>
    <row r="965" ht="15.75" customHeight="1">
      <c r="A965" s="217"/>
      <c r="B965" s="217"/>
      <c r="C965" s="217"/>
      <c r="D965" s="217"/>
      <c r="E965" s="217"/>
      <c r="F965" s="217"/>
      <c r="G965" s="217"/>
      <c r="H965" s="217"/>
      <c r="I965" s="217"/>
      <c r="J965" s="217"/>
      <c r="K965" s="217"/>
      <c r="L965" s="217"/>
      <c r="M965" s="217"/>
      <c r="N965" s="217"/>
      <c r="O965" s="217"/>
      <c r="P965" s="217"/>
      <c r="Q965" s="217"/>
      <c r="R965" s="217"/>
      <c r="S965" s="217"/>
      <c r="T965" s="217"/>
      <c r="U965" s="217"/>
      <c r="V965" s="217"/>
      <c r="W965" s="217"/>
      <c r="X965" s="217"/>
      <c r="Y965" s="217"/>
      <c r="Z965" s="217"/>
    </row>
    <row r="966" ht="15.75" customHeight="1">
      <c r="A966" s="217"/>
      <c r="B966" s="217"/>
      <c r="C966" s="217"/>
      <c r="D966" s="217"/>
      <c r="E966" s="217"/>
      <c r="F966" s="217"/>
      <c r="G966" s="217"/>
      <c r="H966" s="217"/>
      <c r="I966" s="217"/>
      <c r="J966" s="217"/>
      <c r="K966" s="217"/>
      <c r="L966" s="217"/>
      <c r="M966" s="217"/>
      <c r="N966" s="217"/>
      <c r="O966" s="217"/>
      <c r="P966" s="217"/>
      <c r="Q966" s="217"/>
      <c r="R966" s="217"/>
      <c r="S966" s="217"/>
      <c r="T966" s="217"/>
      <c r="U966" s="217"/>
      <c r="V966" s="217"/>
      <c r="W966" s="217"/>
      <c r="X966" s="217"/>
      <c r="Y966" s="217"/>
      <c r="Z966" s="217"/>
    </row>
    <row r="967" ht="15.75" customHeight="1">
      <c r="A967" s="217"/>
      <c r="B967" s="217"/>
      <c r="C967" s="217"/>
      <c r="D967" s="217"/>
      <c r="E967" s="217"/>
      <c r="F967" s="217"/>
      <c r="G967" s="217"/>
      <c r="H967" s="217"/>
      <c r="I967" s="217"/>
      <c r="J967" s="217"/>
      <c r="K967" s="217"/>
      <c r="L967" s="217"/>
      <c r="M967" s="217"/>
      <c r="N967" s="217"/>
      <c r="O967" s="217"/>
      <c r="P967" s="217"/>
      <c r="Q967" s="217"/>
      <c r="R967" s="217"/>
      <c r="S967" s="217"/>
      <c r="T967" s="217"/>
      <c r="U967" s="217"/>
      <c r="V967" s="217"/>
      <c r="W967" s="217"/>
      <c r="X967" s="217"/>
      <c r="Y967" s="217"/>
      <c r="Z967" s="217"/>
    </row>
    <row r="968" ht="15.75" customHeight="1">
      <c r="A968" s="217"/>
      <c r="B968" s="217"/>
      <c r="C968" s="217"/>
      <c r="D968" s="217"/>
      <c r="E968" s="217"/>
      <c r="F968" s="217"/>
      <c r="G968" s="217"/>
      <c r="H968" s="217"/>
      <c r="I968" s="217"/>
      <c r="J968" s="217"/>
      <c r="K968" s="217"/>
      <c r="L968" s="217"/>
      <c r="M968" s="217"/>
      <c r="N968" s="217"/>
      <c r="O968" s="217"/>
      <c r="P968" s="217"/>
      <c r="Q968" s="217"/>
      <c r="R968" s="217"/>
      <c r="S968" s="217"/>
      <c r="T968" s="217"/>
      <c r="U968" s="217"/>
      <c r="V968" s="217"/>
      <c r="W968" s="217"/>
      <c r="X968" s="217"/>
      <c r="Y968" s="217"/>
      <c r="Z968" s="217"/>
    </row>
    <row r="969" ht="15.75" customHeight="1">
      <c r="A969" s="217"/>
      <c r="B969" s="217"/>
      <c r="C969" s="217"/>
      <c r="D969" s="217"/>
      <c r="E969" s="217"/>
      <c r="F969" s="217"/>
      <c r="G969" s="217"/>
      <c r="H969" s="217"/>
      <c r="I969" s="217"/>
      <c r="J969" s="217"/>
      <c r="K969" s="217"/>
      <c r="L969" s="217"/>
      <c r="M969" s="217"/>
      <c r="N969" s="217"/>
      <c r="O969" s="217"/>
      <c r="P969" s="217"/>
      <c r="Q969" s="217"/>
      <c r="R969" s="217"/>
      <c r="S969" s="217"/>
      <c r="T969" s="217"/>
      <c r="U969" s="217"/>
      <c r="V969" s="217"/>
      <c r="W969" s="217"/>
      <c r="X969" s="217"/>
      <c r="Y969" s="217"/>
      <c r="Z969" s="217"/>
    </row>
    <row r="970" ht="15.75" customHeight="1">
      <c r="A970" s="217"/>
      <c r="B970" s="217"/>
      <c r="C970" s="217"/>
      <c r="D970" s="217"/>
      <c r="E970" s="217"/>
      <c r="F970" s="217"/>
      <c r="G970" s="217"/>
      <c r="H970" s="217"/>
      <c r="I970" s="217"/>
      <c r="J970" s="217"/>
      <c r="K970" s="217"/>
      <c r="L970" s="217"/>
      <c r="M970" s="217"/>
      <c r="N970" s="217"/>
      <c r="O970" s="217"/>
      <c r="P970" s="217"/>
      <c r="Q970" s="217"/>
      <c r="R970" s="217"/>
      <c r="S970" s="217"/>
      <c r="T970" s="217"/>
      <c r="U970" s="217"/>
      <c r="V970" s="217"/>
      <c r="W970" s="217"/>
      <c r="X970" s="217"/>
      <c r="Y970" s="217"/>
      <c r="Z970" s="217"/>
    </row>
    <row r="971" ht="15.75" customHeight="1">
      <c r="A971" s="217"/>
      <c r="B971" s="217"/>
      <c r="C971" s="217"/>
      <c r="D971" s="217"/>
      <c r="E971" s="217"/>
      <c r="F971" s="217"/>
      <c r="G971" s="217"/>
      <c r="H971" s="217"/>
      <c r="I971" s="217"/>
      <c r="J971" s="217"/>
      <c r="K971" s="217"/>
      <c r="L971" s="217"/>
      <c r="M971" s="217"/>
      <c r="N971" s="217"/>
      <c r="O971" s="217"/>
      <c r="P971" s="217"/>
      <c r="Q971" s="217"/>
      <c r="R971" s="217"/>
      <c r="S971" s="217"/>
      <c r="T971" s="217"/>
      <c r="U971" s="217"/>
      <c r="V971" s="217"/>
      <c r="W971" s="217"/>
      <c r="X971" s="217"/>
      <c r="Y971" s="217"/>
      <c r="Z971" s="217"/>
    </row>
    <row r="972" ht="15.75" customHeight="1">
      <c r="A972" s="217"/>
      <c r="B972" s="217"/>
      <c r="C972" s="217"/>
      <c r="D972" s="217"/>
      <c r="E972" s="217"/>
      <c r="F972" s="217"/>
      <c r="G972" s="217"/>
      <c r="H972" s="217"/>
      <c r="I972" s="217"/>
      <c r="J972" s="217"/>
      <c r="K972" s="217"/>
      <c r="L972" s="217"/>
      <c r="M972" s="217"/>
      <c r="N972" s="217"/>
      <c r="O972" s="217"/>
      <c r="P972" s="217"/>
      <c r="Q972" s="217"/>
      <c r="R972" s="217"/>
      <c r="S972" s="217"/>
      <c r="T972" s="217"/>
      <c r="U972" s="217"/>
      <c r="V972" s="217"/>
      <c r="W972" s="217"/>
      <c r="X972" s="217"/>
      <c r="Y972" s="217"/>
      <c r="Z972" s="217"/>
    </row>
    <row r="973" ht="15.75" customHeight="1">
      <c r="A973" s="217"/>
      <c r="B973" s="217"/>
      <c r="C973" s="217"/>
      <c r="D973" s="217"/>
      <c r="E973" s="217"/>
      <c r="F973" s="217"/>
      <c r="G973" s="217"/>
      <c r="H973" s="217"/>
      <c r="I973" s="217"/>
      <c r="J973" s="217"/>
      <c r="K973" s="217"/>
      <c r="L973" s="217"/>
      <c r="M973" s="217"/>
      <c r="N973" s="217"/>
      <c r="O973" s="217"/>
      <c r="P973" s="217"/>
      <c r="Q973" s="217"/>
      <c r="R973" s="217"/>
      <c r="S973" s="217"/>
      <c r="T973" s="217"/>
      <c r="U973" s="217"/>
      <c r="V973" s="217"/>
      <c r="W973" s="217"/>
      <c r="X973" s="217"/>
      <c r="Y973" s="217"/>
      <c r="Z973" s="217"/>
    </row>
    <row r="974" ht="15.75" customHeight="1">
      <c r="A974" s="217"/>
      <c r="B974" s="217"/>
      <c r="C974" s="217"/>
      <c r="D974" s="217"/>
      <c r="E974" s="217"/>
      <c r="F974" s="217"/>
      <c r="G974" s="217"/>
      <c r="H974" s="217"/>
      <c r="I974" s="217"/>
      <c r="J974" s="217"/>
      <c r="K974" s="217"/>
      <c r="L974" s="217"/>
      <c r="M974" s="217"/>
      <c r="N974" s="217"/>
      <c r="O974" s="217"/>
      <c r="P974" s="217"/>
      <c r="Q974" s="217"/>
      <c r="R974" s="217"/>
      <c r="S974" s="217"/>
      <c r="T974" s="217"/>
      <c r="U974" s="217"/>
      <c r="V974" s="217"/>
      <c r="W974" s="217"/>
      <c r="X974" s="217"/>
      <c r="Y974" s="217"/>
      <c r="Z974" s="217"/>
    </row>
    <row r="975" ht="15.75" customHeight="1">
      <c r="A975" s="217"/>
      <c r="B975" s="217"/>
      <c r="C975" s="217"/>
      <c r="D975" s="217"/>
      <c r="E975" s="217"/>
      <c r="F975" s="217"/>
      <c r="G975" s="217"/>
      <c r="H975" s="217"/>
      <c r="I975" s="217"/>
      <c r="J975" s="217"/>
      <c r="K975" s="217"/>
      <c r="L975" s="217"/>
      <c r="M975" s="217"/>
      <c r="N975" s="217"/>
      <c r="O975" s="217"/>
      <c r="P975" s="217"/>
      <c r="Q975" s="217"/>
      <c r="R975" s="217"/>
      <c r="S975" s="217"/>
      <c r="T975" s="217"/>
      <c r="U975" s="217"/>
      <c r="V975" s="217"/>
      <c r="W975" s="217"/>
      <c r="X975" s="217"/>
      <c r="Y975" s="217"/>
      <c r="Z975" s="217"/>
    </row>
    <row r="976" ht="15.75" customHeight="1">
      <c r="A976" s="217"/>
      <c r="B976" s="217"/>
      <c r="C976" s="217"/>
      <c r="D976" s="217"/>
      <c r="E976" s="217"/>
      <c r="F976" s="217"/>
      <c r="G976" s="217"/>
      <c r="H976" s="217"/>
      <c r="I976" s="217"/>
      <c r="J976" s="217"/>
      <c r="K976" s="217"/>
      <c r="L976" s="217"/>
      <c r="M976" s="217"/>
      <c r="N976" s="217"/>
      <c r="O976" s="217"/>
      <c r="P976" s="217"/>
      <c r="Q976" s="217"/>
      <c r="R976" s="217"/>
      <c r="S976" s="217"/>
      <c r="T976" s="217"/>
      <c r="U976" s="217"/>
      <c r="V976" s="217"/>
      <c r="W976" s="217"/>
      <c r="X976" s="217"/>
      <c r="Y976" s="217"/>
      <c r="Z976" s="217"/>
    </row>
    <row r="977" ht="15.75" customHeight="1">
      <c r="A977" s="217"/>
      <c r="B977" s="217"/>
      <c r="C977" s="217"/>
      <c r="D977" s="217"/>
      <c r="E977" s="217"/>
      <c r="F977" s="217"/>
      <c r="G977" s="217"/>
      <c r="H977" s="217"/>
      <c r="I977" s="217"/>
      <c r="J977" s="217"/>
      <c r="K977" s="217"/>
      <c r="L977" s="217"/>
      <c r="M977" s="217"/>
      <c r="N977" s="217"/>
      <c r="O977" s="217"/>
      <c r="P977" s="217"/>
      <c r="Q977" s="217"/>
      <c r="R977" s="217"/>
      <c r="S977" s="217"/>
      <c r="T977" s="217"/>
      <c r="U977" s="217"/>
      <c r="V977" s="217"/>
      <c r="W977" s="217"/>
      <c r="X977" s="217"/>
      <c r="Y977" s="217"/>
      <c r="Z977" s="217"/>
    </row>
    <row r="978" ht="15.75" customHeight="1">
      <c r="A978" s="217"/>
      <c r="B978" s="217"/>
      <c r="C978" s="217"/>
      <c r="D978" s="217"/>
      <c r="E978" s="217"/>
      <c r="F978" s="217"/>
      <c r="G978" s="217"/>
      <c r="H978" s="217"/>
      <c r="I978" s="217"/>
      <c r="J978" s="217"/>
      <c r="K978" s="217"/>
      <c r="L978" s="217"/>
      <c r="M978" s="217"/>
      <c r="N978" s="217"/>
      <c r="O978" s="217"/>
      <c r="P978" s="217"/>
      <c r="Q978" s="217"/>
      <c r="R978" s="217"/>
      <c r="S978" s="217"/>
      <c r="T978" s="217"/>
      <c r="U978" s="217"/>
      <c r="V978" s="217"/>
      <c r="W978" s="217"/>
      <c r="X978" s="217"/>
      <c r="Y978" s="217"/>
      <c r="Z978" s="217"/>
    </row>
    <row r="979" ht="15.75" customHeight="1">
      <c r="A979" s="217"/>
      <c r="B979" s="217"/>
      <c r="C979" s="217"/>
      <c r="D979" s="217"/>
      <c r="E979" s="217"/>
      <c r="F979" s="217"/>
      <c r="G979" s="217"/>
      <c r="H979" s="217"/>
      <c r="I979" s="217"/>
      <c r="J979" s="217"/>
      <c r="K979" s="217"/>
      <c r="L979" s="217"/>
      <c r="M979" s="217"/>
      <c r="N979" s="217"/>
      <c r="O979" s="217"/>
      <c r="P979" s="217"/>
      <c r="Q979" s="217"/>
      <c r="R979" s="217"/>
      <c r="S979" s="217"/>
      <c r="T979" s="217"/>
      <c r="U979" s="217"/>
      <c r="V979" s="217"/>
      <c r="W979" s="217"/>
      <c r="X979" s="217"/>
      <c r="Y979" s="217"/>
      <c r="Z979" s="217"/>
    </row>
    <row r="980" ht="15.75" customHeight="1">
      <c r="A980" s="217"/>
      <c r="B980" s="217"/>
      <c r="C980" s="217"/>
      <c r="D980" s="217"/>
      <c r="E980" s="217"/>
      <c r="F980" s="217"/>
      <c r="G980" s="217"/>
      <c r="H980" s="217"/>
      <c r="I980" s="217"/>
      <c r="J980" s="217"/>
      <c r="K980" s="217"/>
      <c r="L980" s="217"/>
      <c r="M980" s="217"/>
      <c r="N980" s="217"/>
      <c r="O980" s="217"/>
      <c r="P980" s="217"/>
      <c r="Q980" s="217"/>
      <c r="R980" s="217"/>
      <c r="S980" s="217"/>
      <c r="T980" s="217"/>
      <c r="U980" s="217"/>
      <c r="V980" s="217"/>
      <c r="W980" s="217"/>
      <c r="X980" s="217"/>
      <c r="Y980" s="217"/>
      <c r="Z980" s="217"/>
    </row>
    <row r="981" ht="15.75" customHeight="1">
      <c r="A981" s="217"/>
      <c r="B981" s="217"/>
      <c r="C981" s="217"/>
      <c r="D981" s="217"/>
      <c r="E981" s="217"/>
      <c r="F981" s="217"/>
      <c r="G981" s="217"/>
      <c r="H981" s="217"/>
      <c r="I981" s="217"/>
      <c r="J981" s="217"/>
      <c r="K981" s="217"/>
      <c r="L981" s="217"/>
      <c r="M981" s="217"/>
      <c r="N981" s="217"/>
      <c r="O981" s="217"/>
      <c r="P981" s="217"/>
      <c r="Q981" s="217"/>
      <c r="R981" s="217"/>
      <c r="S981" s="217"/>
      <c r="T981" s="217"/>
      <c r="U981" s="217"/>
      <c r="V981" s="217"/>
      <c r="W981" s="217"/>
      <c r="X981" s="217"/>
      <c r="Y981" s="217"/>
      <c r="Z981" s="217"/>
    </row>
    <row r="982" ht="15.75" customHeight="1">
      <c r="A982" s="217"/>
      <c r="B982" s="217"/>
      <c r="C982" s="217"/>
      <c r="D982" s="217"/>
      <c r="E982" s="217"/>
      <c r="F982" s="217"/>
      <c r="G982" s="217"/>
      <c r="H982" s="217"/>
      <c r="I982" s="217"/>
      <c r="J982" s="217"/>
      <c r="K982" s="217"/>
      <c r="L982" s="217"/>
      <c r="M982" s="217"/>
      <c r="N982" s="217"/>
      <c r="O982" s="217"/>
      <c r="P982" s="217"/>
      <c r="Q982" s="217"/>
      <c r="R982" s="217"/>
      <c r="S982" s="217"/>
      <c r="T982" s="217"/>
      <c r="U982" s="217"/>
      <c r="V982" s="217"/>
      <c r="W982" s="217"/>
      <c r="X982" s="217"/>
      <c r="Y982" s="217"/>
      <c r="Z982" s="217"/>
    </row>
    <row r="983" ht="15.75" customHeight="1">
      <c r="A983" s="217"/>
      <c r="B983" s="217"/>
      <c r="C983" s="217"/>
      <c r="D983" s="217"/>
      <c r="E983" s="217"/>
      <c r="F983" s="217"/>
      <c r="G983" s="217"/>
      <c r="H983" s="217"/>
      <c r="I983" s="217"/>
      <c r="J983" s="217"/>
      <c r="K983" s="217"/>
      <c r="L983" s="217"/>
      <c r="M983" s="217"/>
      <c r="N983" s="217"/>
      <c r="O983" s="217"/>
      <c r="P983" s="217"/>
      <c r="Q983" s="217"/>
      <c r="R983" s="217"/>
      <c r="S983" s="217"/>
      <c r="T983" s="217"/>
      <c r="U983" s="217"/>
      <c r="V983" s="217"/>
      <c r="W983" s="217"/>
      <c r="X983" s="217"/>
      <c r="Y983" s="217"/>
      <c r="Z983" s="217"/>
    </row>
    <row r="984" ht="15.75" customHeight="1">
      <c r="A984" s="217"/>
      <c r="B984" s="217"/>
      <c r="C984" s="217"/>
      <c r="D984" s="217"/>
      <c r="E984" s="217"/>
      <c r="F984" s="217"/>
      <c r="G984" s="217"/>
      <c r="H984" s="217"/>
      <c r="I984" s="217"/>
      <c r="J984" s="217"/>
      <c r="K984" s="217"/>
      <c r="L984" s="217"/>
      <c r="M984" s="217"/>
      <c r="N984" s="217"/>
      <c r="O984" s="217"/>
      <c r="P984" s="217"/>
      <c r="Q984" s="217"/>
      <c r="R984" s="217"/>
      <c r="S984" s="217"/>
      <c r="T984" s="217"/>
      <c r="U984" s="217"/>
      <c r="V984" s="217"/>
      <c r="W984" s="217"/>
      <c r="X984" s="217"/>
      <c r="Y984" s="217"/>
      <c r="Z984" s="217"/>
    </row>
    <row r="985" ht="15.75" customHeight="1">
      <c r="A985" s="217"/>
      <c r="B985" s="217"/>
      <c r="C985" s="217"/>
      <c r="D985" s="217"/>
      <c r="E985" s="217"/>
      <c r="F985" s="217"/>
      <c r="G985" s="217"/>
      <c r="H985" s="217"/>
      <c r="I985" s="217"/>
      <c r="J985" s="217"/>
      <c r="K985" s="217"/>
      <c r="L985" s="217"/>
      <c r="M985" s="217"/>
      <c r="N985" s="217"/>
      <c r="O985" s="217"/>
      <c r="P985" s="217"/>
      <c r="Q985" s="217"/>
      <c r="R985" s="217"/>
      <c r="S985" s="217"/>
      <c r="T985" s="217"/>
      <c r="U985" s="217"/>
      <c r="V985" s="217"/>
      <c r="W985" s="217"/>
      <c r="X985" s="217"/>
      <c r="Y985" s="217"/>
      <c r="Z985" s="217"/>
    </row>
    <row r="986" ht="15.75" customHeight="1">
      <c r="A986" s="217"/>
      <c r="B986" s="217"/>
      <c r="C986" s="217"/>
      <c r="D986" s="217"/>
      <c r="E986" s="217"/>
      <c r="F986" s="217"/>
      <c r="G986" s="217"/>
      <c r="H986" s="217"/>
      <c r="I986" s="217"/>
      <c r="J986" s="217"/>
      <c r="K986" s="217"/>
      <c r="L986" s="217"/>
      <c r="M986" s="217"/>
      <c r="N986" s="217"/>
      <c r="O986" s="217"/>
      <c r="P986" s="217"/>
      <c r="Q986" s="217"/>
      <c r="R986" s="217"/>
      <c r="S986" s="217"/>
      <c r="T986" s="217"/>
      <c r="U986" s="217"/>
      <c r="V986" s="217"/>
      <c r="W986" s="217"/>
      <c r="X986" s="217"/>
      <c r="Y986" s="217"/>
      <c r="Z986" s="217"/>
    </row>
    <row r="987" ht="15.75" customHeight="1">
      <c r="A987" s="217"/>
      <c r="B987" s="217"/>
      <c r="C987" s="217"/>
      <c r="D987" s="217"/>
      <c r="E987" s="217"/>
      <c r="F987" s="217"/>
      <c r="G987" s="217"/>
      <c r="H987" s="217"/>
      <c r="I987" s="217"/>
      <c r="J987" s="217"/>
      <c r="K987" s="217"/>
      <c r="L987" s="217"/>
      <c r="M987" s="217"/>
      <c r="N987" s="217"/>
      <c r="O987" s="217"/>
      <c r="P987" s="217"/>
      <c r="Q987" s="217"/>
      <c r="R987" s="217"/>
      <c r="S987" s="217"/>
      <c r="T987" s="217"/>
      <c r="U987" s="217"/>
      <c r="V987" s="217"/>
      <c r="W987" s="217"/>
      <c r="X987" s="217"/>
      <c r="Y987" s="217"/>
      <c r="Z987" s="217"/>
    </row>
    <row r="988" ht="15.75" customHeight="1">
      <c r="A988" s="217"/>
      <c r="B988" s="217"/>
      <c r="C988" s="217"/>
      <c r="D988" s="217"/>
      <c r="E988" s="217"/>
      <c r="F988" s="217"/>
      <c r="G988" s="217"/>
      <c r="H988" s="217"/>
      <c r="I988" s="217"/>
      <c r="J988" s="217"/>
      <c r="K988" s="217"/>
      <c r="L988" s="217"/>
      <c r="M988" s="217"/>
      <c r="N988" s="217"/>
      <c r="O988" s="217"/>
      <c r="P988" s="217"/>
      <c r="Q988" s="217"/>
      <c r="R988" s="217"/>
      <c r="S988" s="217"/>
      <c r="T988" s="217"/>
      <c r="U988" s="217"/>
      <c r="V988" s="217"/>
      <c r="W988" s="217"/>
      <c r="X988" s="217"/>
      <c r="Y988" s="217"/>
      <c r="Z988" s="217"/>
    </row>
    <row r="989" ht="15.75" customHeight="1">
      <c r="A989" s="217"/>
      <c r="B989" s="217"/>
      <c r="C989" s="217"/>
      <c r="D989" s="217"/>
      <c r="E989" s="217"/>
      <c r="F989" s="217"/>
      <c r="G989" s="217"/>
      <c r="H989" s="217"/>
      <c r="I989" s="217"/>
      <c r="J989" s="217"/>
      <c r="K989" s="217"/>
      <c r="L989" s="217"/>
      <c r="M989" s="217"/>
      <c r="N989" s="217"/>
      <c r="O989" s="217"/>
      <c r="P989" s="217"/>
      <c r="Q989" s="217"/>
      <c r="R989" s="217"/>
      <c r="S989" s="217"/>
      <c r="T989" s="217"/>
      <c r="U989" s="217"/>
      <c r="V989" s="217"/>
      <c r="W989" s="217"/>
      <c r="X989" s="217"/>
      <c r="Y989" s="217"/>
      <c r="Z989" s="217"/>
    </row>
    <row r="990" ht="15.75" customHeight="1">
      <c r="A990" s="217"/>
      <c r="B990" s="217"/>
      <c r="C990" s="217"/>
      <c r="D990" s="217"/>
      <c r="E990" s="217"/>
      <c r="F990" s="217"/>
      <c r="G990" s="217"/>
      <c r="H990" s="217"/>
      <c r="I990" s="217"/>
      <c r="J990" s="217"/>
      <c r="K990" s="217"/>
      <c r="L990" s="217"/>
      <c r="M990" s="217"/>
      <c r="N990" s="217"/>
      <c r="O990" s="217"/>
      <c r="P990" s="217"/>
      <c r="Q990" s="217"/>
      <c r="R990" s="217"/>
      <c r="S990" s="217"/>
      <c r="T990" s="217"/>
      <c r="U990" s="217"/>
      <c r="V990" s="217"/>
      <c r="W990" s="217"/>
      <c r="X990" s="217"/>
      <c r="Y990" s="217"/>
      <c r="Z990" s="217"/>
    </row>
    <row r="991" ht="15.75" customHeight="1">
      <c r="A991" s="217"/>
      <c r="B991" s="217"/>
      <c r="C991" s="217"/>
      <c r="D991" s="217"/>
      <c r="E991" s="217"/>
      <c r="F991" s="217"/>
      <c r="G991" s="217"/>
      <c r="H991" s="217"/>
      <c r="I991" s="217"/>
      <c r="J991" s="217"/>
      <c r="K991" s="217"/>
      <c r="L991" s="217"/>
      <c r="M991" s="217"/>
      <c r="N991" s="217"/>
      <c r="O991" s="217"/>
      <c r="P991" s="217"/>
      <c r="Q991" s="217"/>
      <c r="R991" s="217"/>
      <c r="S991" s="217"/>
      <c r="T991" s="217"/>
      <c r="U991" s="217"/>
      <c r="V991" s="217"/>
      <c r="W991" s="217"/>
      <c r="X991" s="217"/>
      <c r="Y991" s="217"/>
      <c r="Z991" s="217"/>
    </row>
    <row r="992" ht="15.75" customHeight="1">
      <c r="A992" s="217"/>
      <c r="B992" s="217"/>
      <c r="C992" s="217"/>
      <c r="D992" s="217"/>
      <c r="E992" s="217"/>
      <c r="F992" s="217"/>
      <c r="G992" s="217"/>
      <c r="H992" s="217"/>
      <c r="I992" s="217"/>
      <c r="J992" s="217"/>
      <c r="K992" s="217"/>
      <c r="L992" s="217"/>
      <c r="M992" s="217"/>
      <c r="N992" s="217"/>
      <c r="O992" s="217"/>
      <c r="P992" s="217"/>
      <c r="Q992" s="217"/>
      <c r="R992" s="217"/>
      <c r="S992" s="217"/>
      <c r="T992" s="217"/>
      <c r="U992" s="217"/>
      <c r="V992" s="217"/>
      <c r="W992" s="217"/>
      <c r="X992" s="217"/>
      <c r="Y992" s="217"/>
      <c r="Z992" s="217"/>
    </row>
    <row r="993" ht="15.75" customHeight="1">
      <c r="A993" s="217"/>
      <c r="B993" s="217"/>
      <c r="C993" s="217"/>
      <c r="D993" s="217"/>
      <c r="E993" s="217"/>
      <c r="F993" s="217"/>
      <c r="G993" s="217"/>
      <c r="H993" s="217"/>
      <c r="I993" s="217"/>
      <c r="J993" s="217"/>
      <c r="K993" s="217"/>
      <c r="L993" s="217"/>
      <c r="M993" s="217"/>
      <c r="N993" s="217"/>
      <c r="O993" s="217"/>
      <c r="P993" s="217"/>
      <c r="Q993" s="217"/>
      <c r="R993" s="217"/>
      <c r="S993" s="217"/>
      <c r="T993" s="217"/>
      <c r="U993" s="217"/>
      <c r="V993" s="217"/>
      <c r="W993" s="217"/>
      <c r="X993" s="217"/>
      <c r="Y993" s="217"/>
      <c r="Z993" s="217"/>
    </row>
    <row r="994" ht="15.75" customHeight="1">
      <c r="A994" s="217"/>
      <c r="B994" s="217"/>
      <c r="C994" s="217"/>
      <c r="D994" s="217"/>
      <c r="E994" s="217"/>
      <c r="F994" s="217"/>
      <c r="G994" s="217"/>
      <c r="H994" s="217"/>
      <c r="I994" s="217"/>
      <c r="J994" s="217"/>
      <c r="K994" s="217"/>
      <c r="L994" s="217"/>
      <c r="M994" s="217"/>
      <c r="N994" s="217"/>
      <c r="O994" s="217"/>
      <c r="P994" s="217"/>
      <c r="Q994" s="217"/>
      <c r="R994" s="217"/>
      <c r="S994" s="217"/>
      <c r="T994" s="217"/>
      <c r="U994" s="217"/>
      <c r="V994" s="217"/>
      <c r="W994" s="217"/>
      <c r="X994" s="217"/>
      <c r="Y994" s="217"/>
      <c r="Z994" s="217"/>
    </row>
    <row r="995" ht="15.75" customHeight="1">
      <c r="A995" s="217"/>
      <c r="B995" s="217"/>
      <c r="C995" s="217"/>
      <c r="D995" s="217"/>
      <c r="E995" s="217"/>
      <c r="F995" s="217"/>
      <c r="G995" s="217"/>
      <c r="H995" s="217"/>
      <c r="I995" s="217"/>
      <c r="J995" s="217"/>
      <c r="K995" s="217"/>
      <c r="L995" s="217"/>
      <c r="M995" s="217"/>
      <c r="N995" s="217"/>
      <c r="O995" s="217"/>
      <c r="P995" s="217"/>
      <c r="Q995" s="217"/>
      <c r="R995" s="217"/>
      <c r="S995" s="217"/>
      <c r="T995" s="217"/>
      <c r="U995" s="217"/>
      <c r="V995" s="217"/>
      <c r="W995" s="217"/>
      <c r="X995" s="217"/>
      <c r="Y995" s="217"/>
      <c r="Z995" s="217"/>
    </row>
    <row r="996" ht="15.75" customHeight="1">
      <c r="A996" s="217"/>
      <c r="B996" s="217"/>
      <c r="C996" s="217"/>
      <c r="D996" s="217"/>
      <c r="E996" s="217"/>
      <c r="F996" s="217"/>
      <c r="G996" s="217"/>
      <c r="H996" s="217"/>
      <c r="I996" s="217"/>
      <c r="J996" s="217"/>
      <c r="K996" s="217"/>
      <c r="L996" s="217"/>
      <c r="M996" s="217"/>
      <c r="N996" s="217"/>
      <c r="O996" s="217"/>
      <c r="P996" s="217"/>
      <c r="Q996" s="217"/>
      <c r="R996" s="217"/>
      <c r="S996" s="217"/>
      <c r="T996" s="217"/>
      <c r="U996" s="217"/>
      <c r="V996" s="217"/>
      <c r="W996" s="217"/>
      <c r="X996" s="217"/>
      <c r="Y996" s="217"/>
      <c r="Z996" s="217"/>
    </row>
    <row r="997" ht="15.75" customHeight="1">
      <c r="A997" s="217"/>
      <c r="B997" s="217"/>
      <c r="C997" s="217"/>
      <c r="D997" s="217"/>
      <c r="E997" s="217"/>
      <c r="F997" s="217"/>
      <c r="G997" s="217"/>
      <c r="H997" s="217"/>
      <c r="I997" s="217"/>
      <c r="J997" s="217"/>
      <c r="K997" s="217"/>
      <c r="L997" s="217"/>
      <c r="M997" s="217"/>
      <c r="N997" s="217"/>
      <c r="O997" s="217"/>
      <c r="P997" s="217"/>
      <c r="Q997" s="217"/>
      <c r="R997" s="217"/>
      <c r="S997" s="217"/>
      <c r="T997" s="217"/>
      <c r="U997" s="217"/>
      <c r="V997" s="217"/>
      <c r="W997" s="217"/>
      <c r="X997" s="217"/>
      <c r="Y997" s="217"/>
      <c r="Z997" s="217"/>
    </row>
    <row r="998" ht="15.75" customHeight="1">
      <c r="A998" s="217"/>
      <c r="B998" s="217"/>
      <c r="C998" s="217"/>
      <c r="D998" s="217"/>
      <c r="E998" s="217"/>
      <c r="F998" s="217"/>
      <c r="G998" s="217"/>
      <c r="H998" s="217"/>
      <c r="I998" s="217"/>
      <c r="J998" s="217"/>
      <c r="K998" s="217"/>
      <c r="L998" s="217"/>
      <c r="M998" s="217"/>
      <c r="N998" s="217"/>
      <c r="O998" s="217"/>
      <c r="P998" s="217"/>
      <c r="Q998" s="217"/>
      <c r="R998" s="217"/>
      <c r="S998" s="217"/>
      <c r="T998" s="217"/>
      <c r="U998" s="217"/>
      <c r="V998" s="217"/>
      <c r="W998" s="217"/>
      <c r="X998" s="217"/>
      <c r="Y998" s="217"/>
      <c r="Z998" s="217"/>
    </row>
    <row r="999" ht="15.75" customHeight="1">
      <c r="A999" s="217"/>
      <c r="B999" s="217"/>
      <c r="C999" s="217"/>
      <c r="D999" s="217"/>
      <c r="E999" s="217"/>
      <c r="F999" s="217"/>
      <c r="G999" s="217"/>
      <c r="H999" s="217"/>
      <c r="I999" s="217"/>
      <c r="J999" s="217"/>
      <c r="K999" s="217"/>
      <c r="L999" s="217"/>
      <c r="M999" s="217"/>
      <c r="N999" s="217"/>
      <c r="O999" s="217"/>
      <c r="P999" s="217"/>
      <c r="Q999" s="217"/>
      <c r="R999" s="217"/>
      <c r="S999" s="217"/>
      <c r="T999" s="217"/>
      <c r="U999" s="217"/>
      <c r="V999" s="217"/>
      <c r="W999" s="217"/>
      <c r="X999" s="217"/>
      <c r="Y999" s="217"/>
      <c r="Z999" s="217"/>
    </row>
    <row r="1000" ht="15.75" customHeight="1">
      <c r="A1000" s="217"/>
      <c r="B1000" s="217"/>
      <c r="C1000" s="217"/>
      <c r="D1000" s="217"/>
      <c r="E1000" s="217"/>
      <c r="F1000" s="217"/>
      <c r="G1000" s="217"/>
      <c r="H1000" s="217"/>
      <c r="I1000" s="217"/>
      <c r="J1000" s="217"/>
      <c r="K1000" s="217"/>
      <c r="L1000" s="217"/>
      <c r="M1000" s="217"/>
      <c r="N1000" s="217"/>
      <c r="O1000" s="217"/>
      <c r="P1000" s="217"/>
      <c r="Q1000" s="217"/>
      <c r="R1000" s="217"/>
      <c r="S1000" s="217"/>
      <c r="T1000" s="217"/>
      <c r="U1000" s="217"/>
      <c r="V1000" s="217"/>
      <c r="W1000" s="217"/>
      <c r="X1000" s="217"/>
      <c r="Y1000" s="217"/>
      <c r="Z1000" s="217"/>
    </row>
  </sheetData>
  <mergeCells count="4">
    <mergeCell ref="D2:G2"/>
    <mergeCell ref="D3:G3"/>
    <mergeCell ref="D4:G4"/>
    <mergeCell ref="H25:O25"/>
  </mergeCells>
  <dataValidations>
    <dataValidation type="list" allowBlank="1" showErrorMessage="1" sqref="D13:D15 D19">
      <formula1>Data!$N$2:$N$12</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hidden="1" min="1" max="1" width="20.25"/>
    <col customWidth="1" hidden="1" min="2" max="2" width="19.38"/>
    <col customWidth="1" min="3" max="3" width="32.25"/>
    <col customWidth="1" min="4" max="4" width="8.88"/>
    <col customWidth="1" min="5" max="5" width="13.0"/>
    <col customWidth="1" min="6" max="6" width="13.63"/>
    <col customWidth="1" min="7" max="7" width="15.0"/>
    <col customWidth="1" min="8" max="10" width="11.88"/>
    <col customWidth="1" min="11" max="11" width="14.38"/>
  </cols>
  <sheetData>
    <row r="1" ht="24.0" customHeight="1">
      <c r="A1" s="221"/>
      <c r="B1" s="221"/>
      <c r="C1" s="222" t="s">
        <v>292</v>
      </c>
      <c r="D1" s="223"/>
      <c r="E1" s="223"/>
      <c r="F1" s="223"/>
      <c r="G1" s="223"/>
      <c r="H1" s="224">
        <f>ROUNDUP(sum(F6,F7,F8,F10,F13,F12),0)</f>
        <v>0</v>
      </c>
      <c r="I1" s="224">
        <f>ROUNDUP(sum(G6,G7,G8,G10,G12),0)</f>
        <v>0</v>
      </c>
      <c r="J1" s="224">
        <f>I1/4</f>
        <v>0</v>
      </c>
      <c r="K1" s="224">
        <f>ROUNDUP(Sum(Discovery!H3,Design!H3,Backend!H3,Frontend!H3,'Fixed Cost Items'!J3),0)</f>
        <v>0</v>
      </c>
      <c r="L1" s="270" t="str">
        <f>B23-Commercials!B23</f>
        <v>#DIV/0!</v>
      </c>
      <c r="M1" s="43"/>
      <c r="N1" s="43"/>
      <c r="O1" s="43"/>
      <c r="P1" s="217"/>
      <c r="Q1" s="217"/>
      <c r="R1" s="217"/>
      <c r="S1" s="217"/>
      <c r="T1" s="217"/>
      <c r="U1" s="217"/>
      <c r="V1" s="217"/>
      <c r="W1" s="217"/>
      <c r="X1" s="217"/>
      <c r="Y1" s="217"/>
      <c r="Z1" s="217"/>
    </row>
    <row r="2" ht="15.75" customHeight="1">
      <c r="A2" s="225"/>
      <c r="B2" s="225"/>
      <c r="C2" s="226" t="s">
        <v>293</v>
      </c>
      <c r="D2" s="227"/>
      <c r="E2" s="228"/>
      <c r="F2" s="228"/>
      <c r="G2" s="228"/>
      <c r="H2" s="229" t="s">
        <v>294</v>
      </c>
      <c r="I2" s="229" t="s">
        <v>295</v>
      </c>
      <c r="J2" s="229" t="s">
        <v>296</v>
      </c>
      <c r="K2" s="229" t="s">
        <v>297</v>
      </c>
      <c r="L2" s="229" t="s">
        <v>66</v>
      </c>
      <c r="M2" s="43"/>
      <c r="N2" s="43"/>
      <c r="O2" s="43"/>
      <c r="P2" s="217"/>
      <c r="Q2" s="217"/>
      <c r="R2" s="217"/>
      <c r="S2" s="217"/>
      <c r="T2" s="217"/>
      <c r="U2" s="217"/>
      <c r="V2" s="217"/>
      <c r="W2" s="217"/>
      <c r="X2" s="217"/>
      <c r="Y2" s="217"/>
      <c r="Z2" s="217"/>
    </row>
    <row r="3" ht="15.75" customHeight="1">
      <c r="A3" s="225"/>
      <c r="B3" s="225"/>
      <c r="C3" s="226" t="s">
        <v>298</v>
      </c>
      <c r="D3" s="230">
        <v>45023.0</v>
      </c>
      <c r="H3" s="217"/>
      <c r="I3" s="217"/>
      <c r="J3" s="43"/>
      <c r="K3" s="43"/>
      <c r="L3" s="43"/>
      <c r="M3" s="43"/>
      <c r="N3" s="43"/>
      <c r="O3" s="43"/>
      <c r="P3" s="217"/>
      <c r="Q3" s="217"/>
      <c r="R3" s="217"/>
      <c r="S3" s="217"/>
      <c r="T3" s="217"/>
      <c r="U3" s="217"/>
      <c r="V3" s="217"/>
      <c r="W3" s="217"/>
      <c r="X3" s="217"/>
      <c r="Y3" s="217"/>
      <c r="Z3" s="217"/>
    </row>
    <row r="4">
      <c r="A4" s="231"/>
      <c r="B4" s="231"/>
      <c r="C4" s="232" t="s">
        <v>299</v>
      </c>
      <c r="D4" s="233"/>
      <c r="E4" s="228"/>
      <c r="F4" s="228"/>
      <c r="G4" s="228"/>
      <c r="H4" s="43"/>
      <c r="I4" s="43"/>
      <c r="J4" s="43"/>
      <c r="K4" s="43"/>
      <c r="L4" s="43"/>
      <c r="M4" s="43"/>
      <c r="N4" s="43"/>
      <c r="O4" s="43"/>
      <c r="P4" s="217"/>
      <c r="Q4" s="217"/>
      <c r="R4" s="217"/>
      <c r="S4" s="217"/>
      <c r="T4" s="217"/>
      <c r="U4" s="217"/>
      <c r="V4" s="217"/>
      <c r="W4" s="217"/>
      <c r="X4" s="217"/>
      <c r="Y4" s="217"/>
      <c r="Z4" s="217"/>
    </row>
    <row r="5">
      <c r="A5" s="234" t="s">
        <v>288</v>
      </c>
      <c r="B5" s="234" t="s">
        <v>287</v>
      </c>
      <c r="C5" s="235" t="s">
        <v>300</v>
      </c>
      <c r="D5" s="234" t="s">
        <v>301</v>
      </c>
      <c r="E5" s="234" t="s">
        <v>61</v>
      </c>
      <c r="F5" s="234" t="s">
        <v>302</v>
      </c>
      <c r="G5" s="234" t="s">
        <v>303</v>
      </c>
      <c r="H5" s="43"/>
      <c r="I5" s="43"/>
      <c r="J5" s="43"/>
      <c r="K5" s="43"/>
      <c r="L5" s="43"/>
      <c r="M5" s="43"/>
      <c r="N5" s="43"/>
      <c r="O5" s="43"/>
      <c r="P5" s="217"/>
      <c r="Q5" s="217"/>
      <c r="R5" s="217"/>
      <c r="S5" s="217"/>
      <c r="T5" s="217"/>
      <c r="U5" s="217"/>
      <c r="V5" s="217"/>
      <c r="W5" s="217"/>
      <c r="X5" s="217"/>
      <c r="Y5" s="217"/>
      <c r="Z5" s="217"/>
    </row>
    <row r="6" ht="15.75" customHeight="1">
      <c r="A6" s="236">
        <f>Sum((F6*Data!E9)*30%,(F6*Data!E10)*70%)</f>
        <v>0</v>
      </c>
      <c r="B6" s="236">
        <f>ROUNDUP(Sum((F6*Data!C9)*30%,(F6*Data!C10)*70%),0)</f>
        <v>0</v>
      </c>
      <c r="C6" s="237" t="s">
        <v>304</v>
      </c>
      <c r="D6" s="238" t="s">
        <v>305</v>
      </c>
      <c r="E6" s="239">
        <f>Discovery!M4</f>
        <v>0</v>
      </c>
      <c r="F6" s="240">
        <f t="shared" ref="F6:F15" si="1">E6/8</f>
        <v>0</v>
      </c>
      <c r="G6" s="240">
        <f t="shared" ref="G6:G15" si="2">F6/5</f>
        <v>0</v>
      </c>
      <c r="H6" s="43"/>
      <c r="I6" s="43"/>
      <c r="J6" s="43"/>
      <c r="K6" s="43"/>
      <c r="L6" s="43"/>
      <c r="M6" s="43"/>
      <c r="N6" s="43"/>
      <c r="O6" s="43"/>
      <c r="P6" s="217"/>
      <c r="Q6" s="217"/>
      <c r="R6" s="217"/>
      <c r="S6" s="217"/>
      <c r="T6" s="217"/>
      <c r="U6" s="217"/>
      <c r="V6" s="217"/>
      <c r="W6" s="217"/>
      <c r="X6" s="217"/>
      <c r="Y6" s="217"/>
      <c r="Z6" s="217"/>
    </row>
    <row r="7" ht="15.75" customHeight="1">
      <c r="A7" s="236">
        <f>Sum((F7*Data!E10)*30%,(F7*Data!E11)*70%)</f>
        <v>0</v>
      </c>
      <c r="B7" s="236">
        <f>ROUNDUP(Sum((F7*Data!C9)*30%,(F7*Data!C10)*70%),0)</f>
        <v>0</v>
      </c>
      <c r="C7" s="237" t="s">
        <v>306</v>
      </c>
      <c r="D7" s="238" t="s">
        <v>305</v>
      </c>
      <c r="E7" s="239">
        <f>Design!N4</f>
        <v>0</v>
      </c>
      <c r="F7" s="240">
        <f t="shared" si="1"/>
        <v>0</v>
      </c>
      <c r="G7" s="240">
        <f t="shared" si="2"/>
        <v>0</v>
      </c>
      <c r="H7" s="43"/>
      <c r="I7" s="43"/>
      <c r="J7" s="43"/>
      <c r="K7" s="43"/>
      <c r="L7" s="43"/>
      <c r="M7" s="43"/>
      <c r="N7" s="43"/>
      <c r="O7" s="43"/>
      <c r="P7" s="217"/>
      <c r="Q7" s="217"/>
      <c r="R7" s="217"/>
      <c r="S7" s="217"/>
      <c r="T7" s="217"/>
      <c r="U7" s="217"/>
      <c r="V7" s="217"/>
      <c r="W7" s="217"/>
      <c r="X7" s="217"/>
      <c r="Y7" s="217"/>
      <c r="Z7" s="217"/>
    </row>
    <row r="8" ht="15.75" customHeight="1">
      <c r="A8" s="236">
        <f>F8*Data!E2</f>
        <v>0</v>
      </c>
      <c r="B8" s="236">
        <f>ROUNDUP(F8*Data!C3,0)</f>
        <v>0</v>
      </c>
      <c r="C8" s="237" t="s">
        <v>307</v>
      </c>
      <c r="D8" s="238" t="s">
        <v>305</v>
      </c>
      <c r="E8" s="239">
        <f>Backend!L3</f>
        <v>0</v>
      </c>
      <c r="F8" s="240">
        <f t="shared" si="1"/>
        <v>0</v>
      </c>
      <c r="G8" s="240">
        <f t="shared" si="2"/>
        <v>0</v>
      </c>
      <c r="H8" s="43"/>
      <c r="I8" s="43"/>
      <c r="J8" s="43"/>
      <c r="K8" s="43"/>
      <c r="L8" s="43"/>
      <c r="M8" s="43"/>
      <c r="N8" s="43"/>
      <c r="O8" s="43"/>
      <c r="P8" s="217"/>
      <c r="Q8" s="217"/>
      <c r="R8" s="217"/>
      <c r="S8" s="217"/>
      <c r="T8" s="217"/>
      <c r="U8" s="217"/>
      <c r="V8" s="217"/>
      <c r="W8" s="217"/>
      <c r="X8" s="217"/>
      <c r="Y8" s="217"/>
      <c r="Z8" s="217"/>
    </row>
    <row r="9" ht="15.75" customHeight="1">
      <c r="A9" s="236">
        <f>F9*Data!E3</f>
        <v>0</v>
      </c>
      <c r="B9" s="236">
        <f>ROUNDUP(F9*Data!C2,0)</f>
        <v>0</v>
      </c>
      <c r="C9" s="237" t="s">
        <v>308</v>
      </c>
      <c r="D9" s="238" t="s">
        <v>305</v>
      </c>
      <c r="E9" s="239">
        <f>Backend!M3</f>
        <v>0</v>
      </c>
      <c r="F9" s="240">
        <f t="shared" si="1"/>
        <v>0</v>
      </c>
      <c r="G9" s="240">
        <f t="shared" si="2"/>
        <v>0</v>
      </c>
      <c r="H9" s="43"/>
      <c r="I9" s="43"/>
      <c r="J9" s="43"/>
      <c r="K9" s="43"/>
      <c r="L9" s="43"/>
      <c r="M9" s="43"/>
      <c r="N9" s="43"/>
      <c r="O9" s="43"/>
      <c r="P9" s="217"/>
      <c r="Q9" s="217"/>
      <c r="R9" s="217"/>
      <c r="S9" s="217"/>
      <c r="T9" s="217"/>
      <c r="U9" s="217"/>
      <c r="V9" s="217"/>
      <c r="W9" s="217"/>
      <c r="X9" s="217"/>
      <c r="Y9" s="217"/>
      <c r="Z9" s="217"/>
    </row>
    <row r="10" ht="15.75" customHeight="1">
      <c r="A10" s="236">
        <f>F10*Data!E4</f>
        <v>0</v>
      </c>
      <c r="B10" s="236">
        <f>ROUNDUP(F10*Data!C4,0)</f>
        <v>0</v>
      </c>
      <c r="C10" s="237" t="s">
        <v>309</v>
      </c>
      <c r="D10" s="238" t="s">
        <v>305</v>
      </c>
      <c r="E10" s="239">
        <f>Frontend!L3</f>
        <v>0</v>
      </c>
      <c r="F10" s="240">
        <f t="shared" si="1"/>
        <v>0</v>
      </c>
      <c r="G10" s="240">
        <f t="shared" si="2"/>
        <v>0</v>
      </c>
      <c r="H10" s="43"/>
      <c r="I10" s="43"/>
      <c r="J10" s="43"/>
      <c r="K10" s="43"/>
      <c r="L10" s="43"/>
      <c r="M10" s="43"/>
      <c r="N10" s="43"/>
      <c r="O10" s="43"/>
      <c r="P10" s="217"/>
      <c r="Q10" s="217"/>
      <c r="R10" s="217"/>
      <c r="S10" s="217"/>
      <c r="T10" s="217"/>
      <c r="U10" s="217"/>
      <c r="V10" s="217"/>
      <c r="W10" s="217"/>
      <c r="X10" s="217"/>
      <c r="Y10" s="217"/>
      <c r="Z10" s="217"/>
    </row>
    <row r="11" ht="15.75" customHeight="1">
      <c r="A11" s="236">
        <f>F11*Data!E5</f>
        <v>0</v>
      </c>
      <c r="B11" s="236">
        <f>ROUNDUP(F11*Data!C5,0)</f>
        <v>0</v>
      </c>
      <c r="C11" s="237" t="s">
        <v>310</v>
      </c>
      <c r="D11" s="238" t="s">
        <v>305</v>
      </c>
      <c r="E11" s="239">
        <f>Frontend!M3</f>
        <v>0</v>
      </c>
      <c r="F11" s="240">
        <f t="shared" si="1"/>
        <v>0</v>
      </c>
      <c r="G11" s="240">
        <f t="shared" si="2"/>
        <v>0</v>
      </c>
      <c r="H11" s="43"/>
      <c r="I11" s="43"/>
      <c r="J11" s="43"/>
      <c r="K11" s="43"/>
      <c r="L11" s="43"/>
      <c r="M11" s="43"/>
      <c r="N11" s="43"/>
      <c r="O11" s="43"/>
      <c r="P11" s="217"/>
      <c r="Q11" s="217"/>
      <c r="R11" s="217"/>
      <c r="S11" s="217"/>
      <c r="T11" s="217"/>
      <c r="U11" s="217"/>
      <c r="V11" s="217"/>
      <c r="W11" s="217"/>
      <c r="X11" s="217"/>
      <c r="Y11" s="217"/>
      <c r="Z11" s="217"/>
    </row>
    <row r="12" ht="15.75" customHeight="1">
      <c r="A12" s="236">
        <f>'Fixed Cost Items'!L31</f>
        <v>0</v>
      </c>
      <c r="B12" s="236">
        <f>ROUNDUP('Fixed Cost Items'!J31,0)</f>
        <v>0</v>
      </c>
      <c r="C12" s="237" t="s">
        <v>311</v>
      </c>
      <c r="D12" s="238" t="s">
        <v>305</v>
      </c>
      <c r="E12" s="239">
        <f>'Fixed Cost Items'!O4</f>
        <v>0</v>
      </c>
      <c r="F12" s="240">
        <f t="shared" si="1"/>
        <v>0</v>
      </c>
      <c r="G12" s="240">
        <f t="shared" si="2"/>
        <v>0</v>
      </c>
      <c r="H12" s="43"/>
      <c r="I12" s="43"/>
      <c r="J12" s="43"/>
      <c r="K12" s="43"/>
      <c r="L12" s="241"/>
      <c r="M12" s="43"/>
      <c r="N12" s="43"/>
      <c r="O12" s="43"/>
      <c r="P12" s="217"/>
      <c r="Q12" s="217"/>
      <c r="R12" s="217"/>
      <c r="S12" s="217"/>
      <c r="T12" s="217"/>
      <c r="U12" s="217"/>
      <c r="V12" s="217"/>
      <c r="W12" s="217"/>
      <c r="X12" s="217"/>
      <c r="Y12" s="217"/>
      <c r="Z12" s="217"/>
    </row>
    <row r="13" ht="15.75" customHeight="1">
      <c r="A13" s="236">
        <f>F13*Data!E6</f>
        <v>0</v>
      </c>
      <c r="B13" s="236">
        <f>ROUNDUP(F13*Data!C6,0)</f>
        <v>0</v>
      </c>
      <c r="C13" s="237" t="s">
        <v>312</v>
      </c>
      <c r="D13" s="242">
        <v>0.3</v>
      </c>
      <c r="E13" s="239">
        <f>ROUNDUP((SUM(E8:E11)*D13)+(SUM(E12)*10%),0)</f>
        <v>0</v>
      </c>
      <c r="F13" s="240">
        <f t="shared" si="1"/>
        <v>0</v>
      </c>
      <c r="G13" s="240">
        <f t="shared" si="2"/>
        <v>0</v>
      </c>
      <c r="H13" s="43"/>
      <c r="I13" s="43"/>
      <c r="J13" s="43"/>
      <c r="K13" s="43"/>
      <c r="L13" s="43"/>
      <c r="M13" s="43"/>
      <c r="N13" s="43"/>
      <c r="O13" s="43"/>
      <c r="P13" s="217"/>
      <c r="Q13" s="217"/>
      <c r="R13" s="217"/>
      <c r="S13" s="217"/>
      <c r="T13" s="217"/>
      <c r="U13" s="217"/>
      <c r="V13" s="217"/>
      <c r="W13" s="217"/>
      <c r="X13" s="217"/>
      <c r="Y13" s="217"/>
      <c r="Z13" s="217"/>
    </row>
    <row r="14" ht="15.75" customHeight="1">
      <c r="A14" s="236">
        <f>F14*Data!E8</f>
        <v>0</v>
      </c>
      <c r="B14" s="236">
        <f>ROUNDUP(F14*Data!C8,0)</f>
        <v>0</v>
      </c>
      <c r="C14" s="237" t="s">
        <v>313</v>
      </c>
      <c r="D14" s="242">
        <v>0.15</v>
      </c>
      <c r="E14" s="239">
        <f>ROUNDUP((SUM(E8:E11)*D14)+(Sum(E6:E7)*5%),0)</f>
        <v>0</v>
      </c>
      <c r="F14" s="240">
        <f t="shared" si="1"/>
        <v>0</v>
      </c>
      <c r="G14" s="240">
        <f t="shared" si="2"/>
        <v>0</v>
      </c>
      <c r="H14" s="43"/>
      <c r="I14" s="43"/>
      <c r="J14" s="43"/>
      <c r="K14" s="43"/>
      <c r="L14" s="43"/>
      <c r="M14" s="43"/>
      <c r="N14" s="43"/>
      <c r="O14" s="43"/>
      <c r="P14" s="217"/>
      <c r="Q14" s="217"/>
      <c r="R14" s="217"/>
      <c r="S14" s="217"/>
      <c r="T14" s="217"/>
      <c r="U14" s="217"/>
      <c r="V14" s="217"/>
      <c r="W14" s="217"/>
      <c r="X14" s="217"/>
      <c r="Y14" s="217"/>
      <c r="Z14" s="217"/>
    </row>
    <row r="15" ht="15.75" customHeight="1">
      <c r="A15" s="236">
        <f>F15*Data!E7</f>
        <v>0</v>
      </c>
      <c r="B15" s="236">
        <f>ROUNDUP(F15*Data!C7,0)</f>
        <v>0</v>
      </c>
      <c r="C15" s="243" t="s">
        <v>314</v>
      </c>
      <c r="D15" s="242">
        <v>0.2</v>
      </c>
      <c r="E15" s="239">
        <f>ROUNDUP((SUM(E8:E11)*D15)+(Sum(E6:E7,E12)*5%)+(Sum(E13)*10%),0)</f>
        <v>0</v>
      </c>
      <c r="F15" s="240">
        <f t="shared" si="1"/>
        <v>0</v>
      </c>
      <c r="G15" s="240">
        <f t="shared" si="2"/>
        <v>0</v>
      </c>
      <c r="H15" s="43"/>
      <c r="I15" s="244"/>
      <c r="J15" s="43"/>
      <c r="K15" s="43"/>
      <c r="L15" s="43"/>
      <c r="M15" s="43"/>
      <c r="N15" s="43"/>
      <c r="O15" s="43"/>
      <c r="P15" s="217"/>
      <c r="Q15" s="217"/>
      <c r="R15" s="217"/>
      <c r="S15" s="217"/>
      <c r="T15" s="217"/>
      <c r="U15" s="217"/>
      <c r="V15" s="217"/>
      <c r="W15" s="217"/>
      <c r="X15" s="217"/>
      <c r="Y15" s="217"/>
      <c r="Z15" s="217"/>
    </row>
    <row r="16" ht="15.75" customHeight="1">
      <c r="A16" s="245">
        <f>ROUNDUP(SUM(A6:A15),0)</f>
        <v>0</v>
      </c>
      <c r="B16" s="245">
        <f>Commercials!B16</f>
        <v>0</v>
      </c>
      <c r="C16" s="235" t="s">
        <v>315</v>
      </c>
      <c r="D16" s="246"/>
      <c r="E16" s="247">
        <f t="shared" ref="E16:G16" si="3">ROUNDUP(SUM(E6:E15),0)</f>
        <v>0</v>
      </c>
      <c r="F16" s="247">
        <f t="shared" si="3"/>
        <v>0</v>
      </c>
      <c r="G16" s="247">
        <f t="shared" si="3"/>
        <v>0</v>
      </c>
      <c r="H16" s="43"/>
      <c r="I16" s="43"/>
      <c r="J16" s="43"/>
      <c r="K16" s="43"/>
      <c r="L16" s="43"/>
      <c r="M16" s="43"/>
      <c r="N16" s="43"/>
      <c r="O16" s="43"/>
      <c r="P16" s="217"/>
      <c r="Q16" s="217"/>
      <c r="R16" s="217"/>
      <c r="S16" s="217"/>
      <c r="T16" s="217"/>
      <c r="U16" s="217"/>
      <c r="V16" s="217"/>
      <c r="W16" s="217"/>
      <c r="X16" s="217"/>
      <c r="Y16" s="217"/>
      <c r="Z16" s="217"/>
    </row>
    <row r="17" ht="15.75" customHeight="1">
      <c r="A17" s="43"/>
      <c r="B17" s="43"/>
      <c r="C17" s="43"/>
      <c r="D17" s="117"/>
      <c r="E17" s="43"/>
      <c r="F17" s="134"/>
      <c r="G17" s="134"/>
      <c r="H17" s="248" t="s">
        <v>316</v>
      </c>
      <c r="I17" s="249">
        <v>2.0</v>
      </c>
      <c r="J17" s="249">
        <v>3.0</v>
      </c>
      <c r="K17" s="249">
        <v>4.0</v>
      </c>
      <c r="L17" s="249">
        <v>5.0</v>
      </c>
      <c r="M17" s="249">
        <v>6.0</v>
      </c>
      <c r="N17" s="248" t="s">
        <v>317</v>
      </c>
      <c r="O17" s="250" t="s">
        <v>318</v>
      </c>
      <c r="P17" s="251"/>
      <c r="Q17" s="217"/>
      <c r="R17" s="217"/>
      <c r="S17" s="217"/>
      <c r="T17" s="217"/>
      <c r="U17" s="217"/>
      <c r="V17" s="217"/>
      <c r="W17" s="217"/>
      <c r="X17" s="217"/>
      <c r="Y17" s="217"/>
      <c r="Z17" s="217"/>
    </row>
    <row r="18" ht="15.75" customHeight="1">
      <c r="C18" s="252" t="s">
        <v>319</v>
      </c>
      <c r="D18" s="253">
        <f>ROUNDUP(B16,0)</f>
        <v>0</v>
      </c>
      <c r="E18" s="43"/>
      <c r="F18" s="251" t="s">
        <v>304</v>
      </c>
      <c r="G18" s="254">
        <f>(B6-(B6*$D$19))</f>
        <v>0</v>
      </c>
      <c r="H18" s="255">
        <f t="shared" ref="H18:H23" si="4">G18*25%</f>
        <v>0</v>
      </c>
      <c r="I18" s="255">
        <f>G18-H18</f>
        <v>0</v>
      </c>
      <c r="J18" s="256"/>
      <c r="K18" s="256"/>
      <c r="L18" s="256"/>
      <c r="M18" s="256"/>
      <c r="N18" s="256"/>
      <c r="O18" s="134"/>
      <c r="P18" s="257">
        <f t="shared" ref="P18:P23" si="5">sum(H18:O18)</f>
        <v>0</v>
      </c>
      <c r="Q18" s="217"/>
      <c r="R18" s="217"/>
      <c r="S18" s="217"/>
      <c r="T18" s="217"/>
      <c r="U18" s="217"/>
      <c r="V18" s="217"/>
      <c r="W18" s="217"/>
      <c r="X18" s="217"/>
      <c r="Y18" s="217"/>
      <c r="Z18" s="217"/>
    </row>
    <row r="19">
      <c r="C19" s="258" t="s">
        <v>320</v>
      </c>
      <c r="D19" s="259">
        <v>0.0</v>
      </c>
      <c r="E19" s="43"/>
      <c r="F19" s="52" t="s">
        <v>321</v>
      </c>
      <c r="G19" s="254">
        <f>ROUNDDOWN(B7-($D$19*B7),0)</f>
        <v>0</v>
      </c>
      <c r="H19" s="255">
        <f t="shared" si="4"/>
        <v>0</v>
      </c>
      <c r="I19" s="134"/>
      <c r="J19" s="255">
        <f>G19-H19</f>
        <v>0</v>
      </c>
      <c r="K19" s="256"/>
      <c r="L19" s="256"/>
      <c r="M19" s="256"/>
      <c r="N19" s="256"/>
      <c r="O19" s="134"/>
      <c r="P19" s="257">
        <f t="shared" si="5"/>
        <v>0</v>
      </c>
      <c r="Q19" s="217"/>
      <c r="R19" s="217"/>
      <c r="S19" s="217"/>
      <c r="T19" s="217"/>
      <c r="U19" s="217"/>
      <c r="V19" s="217"/>
      <c r="W19" s="217"/>
      <c r="X19" s="217"/>
      <c r="Y19" s="217"/>
      <c r="Z19" s="217"/>
    </row>
    <row r="20">
      <c r="C20" s="258" t="s">
        <v>322</v>
      </c>
      <c r="D20" s="260">
        <f>ROUNDUP((D18*D19),0)</f>
        <v>0</v>
      </c>
      <c r="E20" s="43"/>
      <c r="F20" s="52" t="s">
        <v>323</v>
      </c>
      <c r="G20" s="254">
        <f>ROUND(sum(B8:B11,B14)-($D$19*sum(B8:B11,B14)),0)</f>
        <v>0</v>
      </c>
      <c r="H20" s="255">
        <f t="shared" si="4"/>
        <v>0</v>
      </c>
      <c r="I20" s="256"/>
      <c r="J20" s="256"/>
      <c r="K20" s="255">
        <f>(G20-H20)/3</f>
        <v>0</v>
      </c>
      <c r="L20" s="255">
        <f>(G20-H20)/3</f>
        <v>0</v>
      </c>
      <c r="M20" s="255">
        <f>(G20-H20)/3</f>
        <v>0</v>
      </c>
      <c r="N20" s="256"/>
      <c r="O20" s="134"/>
      <c r="P20" s="257">
        <f t="shared" si="5"/>
        <v>0</v>
      </c>
      <c r="Q20" s="217"/>
      <c r="R20" s="217"/>
      <c r="S20" s="217"/>
      <c r="T20" s="217"/>
      <c r="U20" s="217"/>
      <c r="V20" s="217"/>
      <c r="W20" s="217"/>
      <c r="X20" s="217"/>
      <c r="Y20" s="217"/>
      <c r="Z20" s="217"/>
    </row>
    <row r="21" ht="15.75" customHeight="1">
      <c r="C21" s="43"/>
      <c r="D21" s="43"/>
      <c r="E21" s="43"/>
      <c r="F21" s="52" t="s">
        <v>324</v>
      </c>
      <c r="G21" s="254">
        <f t="shared" ref="G21:G22" si="6">(B12-($D$19*B12))</f>
        <v>0</v>
      </c>
      <c r="H21" s="255">
        <f t="shared" si="4"/>
        <v>0</v>
      </c>
      <c r="I21" s="256"/>
      <c r="J21" s="256"/>
      <c r="K21" s="256"/>
      <c r="L21" s="256"/>
      <c r="M21" s="256"/>
      <c r="N21" s="255">
        <f>(G21-H21)/2</f>
        <v>0</v>
      </c>
      <c r="O21" s="257">
        <f>(G21-H21)/2</f>
        <v>0</v>
      </c>
      <c r="P21" s="257">
        <f t="shared" si="5"/>
        <v>0</v>
      </c>
      <c r="Q21" s="217"/>
      <c r="R21" s="217"/>
      <c r="S21" s="217"/>
      <c r="T21" s="217"/>
      <c r="U21" s="217"/>
      <c r="V21" s="217"/>
      <c r="W21" s="217"/>
      <c r="X21" s="217"/>
      <c r="Y21" s="217"/>
      <c r="Z21" s="217"/>
    </row>
    <row r="22" ht="15.75" customHeight="1">
      <c r="C22" s="261" t="s">
        <v>325</v>
      </c>
      <c r="D22" s="262">
        <f>ROUNDUP((D18-(D18*D19)),0)</f>
        <v>0</v>
      </c>
      <c r="E22" s="43"/>
      <c r="F22" s="134" t="s">
        <v>326</v>
      </c>
      <c r="G22" s="254">
        <f t="shared" si="6"/>
        <v>0</v>
      </c>
      <c r="H22" s="255">
        <f t="shared" si="4"/>
        <v>0</v>
      </c>
      <c r="I22" s="256"/>
      <c r="J22" s="256"/>
      <c r="K22" s="255">
        <f t="shared" ref="K22:K23" si="7">(G22-H22)/3</f>
        <v>0</v>
      </c>
      <c r="L22" s="255">
        <f t="shared" ref="L22:L23" si="8">(G22-H22)/3</f>
        <v>0</v>
      </c>
      <c r="M22" s="255">
        <f t="shared" ref="M22:M23" si="9">(G22-H22)/3</f>
        <v>0</v>
      </c>
      <c r="N22" s="256"/>
      <c r="O22" s="134"/>
      <c r="P22" s="257">
        <f t="shared" si="5"/>
        <v>0</v>
      </c>
      <c r="Q22" s="217"/>
      <c r="R22" s="217"/>
      <c r="S22" s="217"/>
      <c r="T22" s="217"/>
      <c r="U22" s="217"/>
      <c r="V22" s="217"/>
      <c r="W22" s="217"/>
      <c r="X22" s="217"/>
      <c r="Y22" s="217"/>
      <c r="Z22" s="217"/>
    </row>
    <row r="23" ht="15.75" customHeight="1">
      <c r="A23" s="252" t="s">
        <v>327</v>
      </c>
      <c r="B23" s="263" t="str">
        <f>(D22-A16)/D22</f>
        <v>#DIV/0!</v>
      </c>
      <c r="E23" s="43"/>
      <c r="F23" s="251" t="s">
        <v>291</v>
      </c>
      <c r="G23" s="254">
        <f>(B15-($D$19*B15))</f>
        <v>0</v>
      </c>
      <c r="H23" s="255">
        <f t="shared" si="4"/>
        <v>0</v>
      </c>
      <c r="I23" s="256"/>
      <c r="J23" s="256"/>
      <c r="K23" s="255">
        <f t="shared" si="7"/>
        <v>0</v>
      </c>
      <c r="L23" s="255">
        <f t="shared" si="8"/>
        <v>0</v>
      </c>
      <c r="M23" s="255">
        <f t="shared" si="9"/>
        <v>0</v>
      </c>
      <c r="N23" s="256"/>
      <c r="O23" s="134"/>
      <c r="P23" s="257">
        <f t="shared" si="5"/>
        <v>0</v>
      </c>
      <c r="Q23" s="217"/>
      <c r="R23" s="217"/>
      <c r="S23" s="217"/>
      <c r="T23" s="217"/>
      <c r="U23" s="217"/>
      <c r="V23" s="217"/>
      <c r="W23" s="217"/>
      <c r="X23" s="217"/>
      <c r="Y23" s="217"/>
      <c r="Z23" s="217"/>
    </row>
    <row r="24" ht="15.75" customHeight="1">
      <c r="A24" s="43"/>
      <c r="B24" s="43"/>
      <c r="C24" s="43"/>
      <c r="D24" s="117"/>
      <c r="E24" s="43"/>
      <c r="F24" s="134"/>
      <c r="G24" s="264">
        <f t="shared" ref="G24:M24" si="10">SUM(G18:G23)</f>
        <v>0</v>
      </c>
      <c r="H24" s="265">
        <f t="shared" si="10"/>
        <v>0</v>
      </c>
      <c r="I24" s="265">
        <f t="shared" si="10"/>
        <v>0</v>
      </c>
      <c r="J24" s="265">
        <f t="shared" si="10"/>
        <v>0</v>
      </c>
      <c r="K24" s="266">
        <f t="shared" si="10"/>
        <v>0</v>
      </c>
      <c r="L24" s="266">
        <f t="shared" si="10"/>
        <v>0</v>
      </c>
      <c r="M24" s="266">
        <f t="shared" si="10"/>
        <v>0</v>
      </c>
      <c r="N24" s="266">
        <f t="shared" ref="N24:P24" si="11">sum(N18:N23)</f>
        <v>0</v>
      </c>
      <c r="O24" s="266">
        <f t="shared" si="11"/>
        <v>0</v>
      </c>
      <c r="P24" s="267">
        <f t="shared" si="11"/>
        <v>0</v>
      </c>
      <c r="Q24" s="217"/>
      <c r="R24" s="217"/>
      <c r="S24" s="217"/>
      <c r="T24" s="217"/>
      <c r="U24" s="217"/>
      <c r="V24" s="217"/>
      <c r="W24" s="217"/>
      <c r="X24" s="217"/>
      <c r="Y24" s="217"/>
      <c r="Z24" s="217"/>
    </row>
    <row r="25" ht="15.75" customHeight="1">
      <c r="A25" s="43"/>
      <c r="B25" s="43"/>
      <c r="C25" s="43"/>
      <c r="D25" s="117"/>
      <c r="E25" s="43"/>
      <c r="F25" s="134"/>
      <c r="G25" s="134"/>
      <c r="H25" s="268">
        <f>sum(H24:O24)</f>
        <v>0</v>
      </c>
      <c r="P25" s="251"/>
      <c r="Q25" s="217"/>
      <c r="R25" s="217"/>
      <c r="S25" s="217"/>
      <c r="T25" s="217"/>
      <c r="U25" s="217"/>
      <c r="V25" s="217"/>
      <c r="W25" s="217"/>
      <c r="X25" s="217"/>
      <c r="Y25" s="217"/>
      <c r="Z25" s="217"/>
    </row>
    <row r="26" ht="15.75" customHeight="1">
      <c r="A26" s="43"/>
      <c r="B26" s="43"/>
      <c r="C26" s="43"/>
      <c r="D26" s="117"/>
      <c r="E26" s="43"/>
      <c r="F26" s="43"/>
      <c r="G26" s="43"/>
      <c r="H26" s="43"/>
      <c r="I26" s="43"/>
      <c r="J26" s="43"/>
      <c r="K26" s="43"/>
      <c r="L26" s="43"/>
      <c r="M26" s="43"/>
      <c r="N26" s="43"/>
      <c r="O26" s="43"/>
      <c r="P26" s="217"/>
      <c r="Q26" s="217"/>
      <c r="R26" s="217"/>
      <c r="S26" s="217"/>
      <c r="T26" s="217"/>
      <c r="U26" s="217"/>
      <c r="V26" s="217"/>
      <c r="W26" s="217"/>
      <c r="X26" s="217"/>
      <c r="Y26" s="217"/>
      <c r="Z26" s="217"/>
    </row>
    <row r="27" ht="15.75" customHeight="1">
      <c r="A27" s="43"/>
      <c r="B27" s="43"/>
      <c r="C27" s="43"/>
      <c r="D27" s="117"/>
      <c r="E27" s="43"/>
      <c r="F27" s="43"/>
      <c r="G27" s="43"/>
      <c r="H27" s="43"/>
      <c r="I27" s="43"/>
      <c r="J27" s="43"/>
      <c r="K27" s="43"/>
      <c r="L27" s="43"/>
      <c r="M27" s="43"/>
      <c r="N27" s="43"/>
      <c r="O27" s="43"/>
      <c r="P27" s="217"/>
      <c r="Q27" s="217"/>
      <c r="R27" s="217"/>
      <c r="S27" s="217"/>
      <c r="T27" s="217"/>
      <c r="U27" s="217"/>
      <c r="V27" s="217"/>
      <c r="W27" s="217"/>
      <c r="X27" s="217"/>
      <c r="Y27" s="217"/>
      <c r="Z27" s="217"/>
    </row>
    <row r="28" ht="15.75" customHeight="1">
      <c r="A28" s="43"/>
      <c r="B28" s="43"/>
      <c r="C28" s="43"/>
      <c r="D28" s="117"/>
      <c r="E28" s="43"/>
      <c r="F28" s="43"/>
      <c r="G28" s="43"/>
      <c r="H28" s="43"/>
      <c r="I28" s="43"/>
      <c r="J28" s="43"/>
      <c r="K28" s="43"/>
      <c r="L28" s="43"/>
      <c r="M28" s="43"/>
      <c r="N28" s="43"/>
      <c r="O28" s="43"/>
      <c r="P28" s="217"/>
      <c r="Q28" s="217"/>
      <c r="R28" s="217"/>
      <c r="S28" s="217"/>
      <c r="T28" s="217"/>
      <c r="U28" s="217"/>
      <c r="V28" s="217"/>
      <c r="W28" s="217"/>
      <c r="X28" s="217"/>
      <c r="Y28" s="217"/>
      <c r="Z28" s="217"/>
    </row>
    <row r="29" ht="15.75" customHeight="1">
      <c r="A29" s="43"/>
      <c r="B29" s="43"/>
      <c r="C29" s="43"/>
      <c r="D29" s="117"/>
      <c r="E29" s="43"/>
      <c r="F29" s="43"/>
      <c r="G29" s="43"/>
      <c r="H29" s="43"/>
      <c r="I29" s="43"/>
      <c r="J29" s="43"/>
      <c r="K29" s="43"/>
      <c r="L29" s="43"/>
      <c r="M29" s="43"/>
      <c r="N29" s="43"/>
      <c r="O29" s="43"/>
      <c r="P29" s="217"/>
      <c r="Q29" s="217"/>
      <c r="R29" s="217"/>
      <c r="S29" s="217"/>
      <c r="T29" s="217"/>
      <c r="U29" s="217"/>
      <c r="V29" s="217"/>
      <c r="W29" s="217"/>
      <c r="X29" s="217"/>
      <c r="Y29" s="217"/>
      <c r="Z29" s="217"/>
    </row>
    <row r="30" ht="15.75" customHeight="1">
      <c r="A30" s="43"/>
      <c r="B30" s="43"/>
      <c r="C30" s="43"/>
      <c r="D30" s="117"/>
      <c r="E30" s="43"/>
      <c r="F30" s="43"/>
      <c r="G30" s="43"/>
      <c r="H30" s="43"/>
      <c r="I30" s="43"/>
      <c r="J30" s="43"/>
      <c r="K30" s="43"/>
      <c r="L30" s="43"/>
      <c r="M30" s="43"/>
      <c r="N30" s="43"/>
      <c r="O30" s="43"/>
      <c r="P30" s="217"/>
      <c r="Q30" s="217"/>
      <c r="R30" s="217"/>
      <c r="S30" s="217"/>
      <c r="T30" s="217"/>
      <c r="U30" s="217"/>
      <c r="V30" s="217"/>
      <c r="W30" s="217"/>
      <c r="X30" s="217"/>
      <c r="Y30" s="217"/>
      <c r="Z30" s="217"/>
    </row>
    <row r="31" ht="15.75" customHeight="1">
      <c r="A31" s="43"/>
      <c r="B31" s="43"/>
      <c r="C31" s="43"/>
      <c r="D31" s="117"/>
      <c r="E31" s="43"/>
      <c r="F31" s="43"/>
      <c r="G31" s="43"/>
      <c r="H31" s="43"/>
      <c r="I31" s="43"/>
      <c r="J31" s="43"/>
      <c r="K31" s="43"/>
      <c r="L31" s="43"/>
      <c r="M31" s="43"/>
      <c r="N31" s="43"/>
      <c r="O31" s="43"/>
      <c r="P31" s="217"/>
      <c r="Q31" s="217"/>
      <c r="R31" s="217"/>
      <c r="S31" s="217"/>
      <c r="T31" s="217"/>
      <c r="U31" s="217"/>
      <c r="V31" s="217"/>
      <c r="W31" s="217"/>
      <c r="X31" s="217"/>
      <c r="Y31" s="217"/>
      <c r="Z31" s="217"/>
    </row>
    <row r="32" ht="15.75" customHeight="1">
      <c r="A32" s="43"/>
      <c r="B32" s="43"/>
      <c r="C32" s="43"/>
      <c r="D32" s="117"/>
      <c r="E32" s="43"/>
      <c r="F32" s="43"/>
      <c r="G32" s="43"/>
      <c r="H32" s="43"/>
      <c r="I32" s="43"/>
      <c r="J32" s="43"/>
      <c r="K32" s="43"/>
      <c r="L32" s="43"/>
      <c r="M32" s="43"/>
      <c r="N32" s="43"/>
      <c r="O32" s="43"/>
      <c r="P32" s="217"/>
      <c r="Q32" s="217"/>
      <c r="R32" s="217"/>
      <c r="S32" s="217"/>
      <c r="T32" s="217"/>
      <c r="U32" s="217"/>
      <c r="V32" s="217"/>
      <c r="W32" s="217"/>
      <c r="X32" s="217"/>
      <c r="Y32" s="217"/>
      <c r="Z32" s="217"/>
    </row>
    <row r="33" ht="15.75" customHeight="1">
      <c r="A33" s="43"/>
      <c r="B33" s="43"/>
      <c r="C33" s="43"/>
      <c r="D33" s="117"/>
      <c r="E33" s="43"/>
      <c r="F33" s="43"/>
      <c r="G33" s="43"/>
      <c r="H33" s="43"/>
      <c r="I33" s="43"/>
      <c r="J33" s="43"/>
      <c r="K33" s="43"/>
      <c r="L33" s="43"/>
      <c r="M33" s="43"/>
      <c r="N33" s="43"/>
      <c r="O33" s="43"/>
      <c r="P33" s="217"/>
      <c r="Q33" s="217"/>
      <c r="R33" s="217"/>
      <c r="S33" s="217"/>
      <c r="T33" s="217"/>
      <c r="U33" s="217"/>
      <c r="V33" s="217"/>
      <c r="W33" s="217"/>
      <c r="X33" s="217"/>
      <c r="Y33" s="217"/>
      <c r="Z33" s="217"/>
    </row>
    <row r="34" ht="15.75" customHeight="1">
      <c r="A34" s="43"/>
      <c r="B34" s="43"/>
      <c r="C34" s="43"/>
      <c r="D34" s="117"/>
      <c r="E34" s="43"/>
      <c r="F34" s="43"/>
      <c r="G34" s="43"/>
      <c r="H34" s="43"/>
      <c r="I34" s="43"/>
      <c r="J34" s="43"/>
      <c r="K34" s="43"/>
      <c r="L34" s="43"/>
      <c r="M34" s="43"/>
      <c r="N34" s="43"/>
      <c r="O34" s="43"/>
      <c r="P34" s="217"/>
      <c r="Q34" s="217"/>
      <c r="R34" s="217"/>
      <c r="S34" s="217"/>
      <c r="T34" s="217"/>
      <c r="U34" s="217"/>
      <c r="V34" s="217"/>
      <c r="W34" s="217"/>
      <c r="X34" s="217"/>
      <c r="Y34" s="217"/>
      <c r="Z34" s="217"/>
    </row>
    <row r="35" ht="15.75" customHeight="1">
      <c r="A35" s="43"/>
      <c r="B35" s="43"/>
      <c r="C35" s="43"/>
      <c r="D35" s="117"/>
      <c r="E35" s="43"/>
      <c r="F35" s="43"/>
      <c r="G35" s="43"/>
      <c r="H35" s="43"/>
      <c r="I35" s="43"/>
      <c r="J35" s="43"/>
      <c r="K35" s="43"/>
      <c r="L35" s="43"/>
      <c r="M35" s="43"/>
      <c r="N35" s="43"/>
      <c r="O35" s="43"/>
      <c r="P35" s="217"/>
      <c r="Q35" s="217"/>
      <c r="R35" s="217"/>
      <c r="S35" s="217"/>
      <c r="T35" s="217"/>
      <c r="U35" s="217"/>
      <c r="V35" s="217"/>
      <c r="W35" s="217"/>
      <c r="X35" s="217"/>
      <c r="Y35" s="217"/>
      <c r="Z35" s="217"/>
    </row>
    <row r="36" ht="15.75" customHeight="1">
      <c r="A36" s="43"/>
      <c r="B36" s="43"/>
      <c r="C36" s="43"/>
      <c r="D36" s="117"/>
      <c r="E36" s="43"/>
      <c r="F36" s="43"/>
      <c r="G36" s="43"/>
      <c r="H36" s="43"/>
      <c r="I36" s="43"/>
      <c r="J36" s="43"/>
      <c r="K36" s="43"/>
      <c r="L36" s="43"/>
      <c r="M36" s="43"/>
      <c r="N36" s="43"/>
      <c r="O36" s="43"/>
      <c r="P36" s="217"/>
      <c r="Q36" s="217"/>
      <c r="R36" s="217"/>
      <c r="S36" s="217"/>
      <c r="T36" s="217"/>
      <c r="U36" s="217"/>
      <c r="V36" s="217"/>
      <c r="W36" s="217"/>
      <c r="X36" s="217"/>
      <c r="Y36" s="217"/>
      <c r="Z36" s="217"/>
    </row>
    <row r="37" ht="15.75" customHeight="1">
      <c r="A37" s="43"/>
      <c r="B37" s="43"/>
      <c r="C37" s="43"/>
      <c r="D37" s="117"/>
      <c r="E37" s="43"/>
      <c r="F37" s="43"/>
      <c r="G37" s="43"/>
      <c r="H37" s="43"/>
      <c r="I37" s="43"/>
      <c r="J37" s="43"/>
      <c r="K37" s="43"/>
      <c r="L37" s="43"/>
      <c r="M37" s="43"/>
      <c r="N37" s="43"/>
      <c r="O37" s="43"/>
      <c r="P37" s="217"/>
      <c r="Q37" s="217"/>
      <c r="R37" s="217"/>
      <c r="S37" s="217"/>
      <c r="T37" s="217"/>
      <c r="U37" s="217"/>
      <c r="V37" s="217"/>
      <c r="W37" s="217"/>
      <c r="X37" s="217"/>
      <c r="Y37" s="217"/>
      <c r="Z37" s="217"/>
    </row>
    <row r="38" ht="15.75" customHeight="1">
      <c r="A38" s="43"/>
      <c r="B38" s="43"/>
      <c r="C38" s="43"/>
      <c r="D38" s="117"/>
      <c r="E38" s="43"/>
      <c r="F38" s="43"/>
      <c r="G38" s="43"/>
      <c r="H38" s="43"/>
      <c r="I38" s="43"/>
      <c r="J38" s="43"/>
      <c r="K38" s="43"/>
      <c r="L38" s="43"/>
      <c r="M38" s="43"/>
      <c r="N38" s="43"/>
      <c r="O38" s="43"/>
      <c r="P38" s="217"/>
      <c r="Q38" s="217"/>
      <c r="R38" s="217"/>
      <c r="S38" s="217"/>
      <c r="T38" s="217"/>
      <c r="U38" s="217"/>
      <c r="V38" s="217"/>
      <c r="W38" s="217"/>
      <c r="X38" s="217"/>
      <c r="Y38" s="217"/>
      <c r="Z38" s="217"/>
    </row>
    <row r="39" ht="15.75" customHeight="1">
      <c r="A39" s="43"/>
      <c r="B39" s="43"/>
      <c r="C39" s="43"/>
      <c r="D39" s="117"/>
      <c r="E39" s="43"/>
      <c r="F39" s="43"/>
      <c r="G39" s="43"/>
      <c r="H39" s="43"/>
      <c r="I39" s="43"/>
      <c r="J39" s="43"/>
      <c r="K39" s="43"/>
      <c r="L39" s="43"/>
      <c r="M39" s="43"/>
      <c r="N39" s="43"/>
      <c r="O39" s="43"/>
      <c r="P39" s="217"/>
      <c r="Q39" s="217"/>
      <c r="R39" s="217"/>
      <c r="S39" s="217"/>
      <c r="T39" s="217"/>
      <c r="U39" s="217"/>
      <c r="V39" s="217"/>
      <c r="W39" s="217"/>
      <c r="X39" s="217"/>
      <c r="Y39" s="217"/>
      <c r="Z39" s="217"/>
    </row>
    <row r="40" ht="15.75" customHeight="1">
      <c r="A40" s="43"/>
      <c r="B40" s="43"/>
      <c r="C40" s="43"/>
      <c r="D40" s="117"/>
      <c r="E40" s="43"/>
      <c r="F40" s="43"/>
      <c r="G40" s="43"/>
      <c r="H40" s="43"/>
      <c r="I40" s="43"/>
      <c r="J40" s="43"/>
      <c r="K40" s="43"/>
      <c r="L40" s="43"/>
      <c r="M40" s="43"/>
      <c r="N40" s="43"/>
      <c r="O40" s="43"/>
      <c r="P40" s="217"/>
      <c r="Q40" s="217"/>
      <c r="R40" s="217"/>
      <c r="S40" s="217"/>
      <c r="T40" s="217"/>
      <c r="U40" s="217"/>
      <c r="V40" s="217"/>
      <c r="W40" s="217"/>
      <c r="X40" s="217"/>
      <c r="Y40" s="217"/>
      <c r="Z40" s="217"/>
    </row>
    <row r="41" ht="15.75" customHeight="1">
      <c r="A41" s="43"/>
      <c r="B41" s="43"/>
      <c r="C41" s="43"/>
      <c r="D41" s="117"/>
      <c r="E41" s="43"/>
      <c r="F41" s="43"/>
      <c r="G41" s="43"/>
      <c r="H41" s="43"/>
      <c r="I41" s="43"/>
      <c r="J41" s="43"/>
      <c r="K41" s="43"/>
      <c r="L41" s="43"/>
      <c r="M41" s="43"/>
      <c r="N41" s="43"/>
      <c r="O41" s="43"/>
      <c r="P41" s="217"/>
      <c r="Q41" s="217"/>
      <c r="R41" s="217"/>
      <c r="S41" s="217"/>
      <c r="T41" s="217"/>
      <c r="U41" s="217"/>
      <c r="V41" s="217"/>
      <c r="W41" s="217"/>
      <c r="X41" s="217"/>
      <c r="Y41" s="217"/>
      <c r="Z41" s="217"/>
    </row>
    <row r="42" ht="15.75" customHeight="1">
      <c r="A42" s="43"/>
      <c r="B42" s="43"/>
      <c r="C42" s="43"/>
      <c r="D42" s="117"/>
      <c r="E42" s="43"/>
      <c r="F42" s="43"/>
      <c r="G42" s="43"/>
      <c r="H42" s="43"/>
      <c r="I42" s="43"/>
      <c r="J42" s="43"/>
      <c r="K42" s="43"/>
      <c r="L42" s="43"/>
      <c r="M42" s="43"/>
      <c r="N42" s="43"/>
      <c r="O42" s="43"/>
      <c r="P42" s="217"/>
      <c r="Q42" s="217"/>
      <c r="R42" s="217"/>
      <c r="S42" s="217"/>
      <c r="T42" s="217"/>
      <c r="U42" s="217"/>
      <c r="V42" s="217"/>
      <c r="W42" s="217"/>
      <c r="X42" s="217"/>
      <c r="Y42" s="217"/>
      <c r="Z42" s="217"/>
    </row>
    <row r="43" ht="15.75" customHeight="1">
      <c r="A43" s="43"/>
      <c r="B43" s="43"/>
      <c r="C43" s="43"/>
      <c r="D43" s="117"/>
      <c r="E43" s="43"/>
      <c r="F43" s="43"/>
      <c r="G43" s="43"/>
      <c r="H43" s="43"/>
      <c r="I43" s="43"/>
      <c r="J43" s="43"/>
      <c r="K43" s="43"/>
      <c r="L43" s="43"/>
      <c r="M43" s="43"/>
      <c r="N43" s="43"/>
      <c r="O43" s="43"/>
      <c r="P43" s="217"/>
      <c r="Q43" s="217"/>
      <c r="R43" s="217"/>
      <c r="S43" s="217"/>
      <c r="T43" s="217"/>
      <c r="U43" s="217"/>
      <c r="V43" s="217"/>
      <c r="W43" s="217"/>
      <c r="X43" s="217"/>
      <c r="Y43" s="217"/>
      <c r="Z43" s="217"/>
    </row>
    <row r="44" ht="15.75" customHeight="1">
      <c r="A44" s="43"/>
      <c r="B44" s="43"/>
      <c r="C44" s="43"/>
      <c r="D44" s="117"/>
      <c r="E44" s="43"/>
      <c r="F44" s="43"/>
      <c r="G44" s="43"/>
      <c r="H44" s="43"/>
      <c r="I44" s="43"/>
      <c r="J44" s="43"/>
      <c r="K44" s="43"/>
      <c r="L44" s="43"/>
      <c r="M44" s="43"/>
      <c r="N44" s="43"/>
      <c r="O44" s="43"/>
      <c r="P44" s="217"/>
      <c r="Q44" s="217"/>
      <c r="R44" s="217"/>
      <c r="S44" s="217"/>
      <c r="T44" s="217"/>
      <c r="U44" s="217"/>
      <c r="V44" s="217"/>
      <c r="W44" s="217"/>
      <c r="X44" s="217"/>
      <c r="Y44" s="217"/>
      <c r="Z44" s="217"/>
    </row>
    <row r="45" ht="15.75" customHeight="1">
      <c r="A45" s="43"/>
      <c r="B45" s="43"/>
      <c r="C45" s="43"/>
      <c r="D45" s="117"/>
      <c r="E45" s="43"/>
      <c r="F45" s="43"/>
      <c r="G45" s="43"/>
      <c r="H45" s="43"/>
      <c r="I45" s="43"/>
      <c r="J45" s="43"/>
      <c r="K45" s="43"/>
      <c r="L45" s="43"/>
      <c r="M45" s="43"/>
      <c r="N45" s="43"/>
      <c r="O45" s="43"/>
      <c r="P45" s="217"/>
      <c r="Q45" s="217"/>
      <c r="R45" s="217"/>
      <c r="S45" s="217"/>
      <c r="T45" s="217"/>
      <c r="U45" s="217"/>
      <c r="V45" s="217"/>
      <c r="W45" s="217"/>
      <c r="X45" s="217"/>
      <c r="Y45" s="217"/>
      <c r="Z45" s="217"/>
    </row>
    <row r="46" ht="15.75" customHeight="1">
      <c r="A46" s="43"/>
      <c r="B46" s="43"/>
      <c r="C46" s="43"/>
      <c r="D46" s="117"/>
      <c r="E46" s="43"/>
      <c r="F46" s="43"/>
      <c r="G46" s="43"/>
      <c r="H46" s="43"/>
      <c r="I46" s="43"/>
      <c r="J46" s="43"/>
      <c r="K46" s="43"/>
      <c r="L46" s="43"/>
      <c r="M46" s="43"/>
      <c r="N46" s="43"/>
      <c r="O46" s="43"/>
      <c r="P46" s="217"/>
      <c r="Q46" s="217"/>
      <c r="R46" s="217"/>
      <c r="S46" s="217"/>
      <c r="T46" s="217"/>
      <c r="U46" s="217"/>
      <c r="V46" s="217"/>
      <c r="W46" s="217"/>
      <c r="X46" s="217"/>
      <c r="Y46" s="217"/>
      <c r="Z46" s="217"/>
    </row>
    <row r="47" ht="15.75" customHeight="1">
      <c r="A47" s="43"/>
      <c r="B47" s="43"/>
      <c r="C47" s="43"/>
      <c r="D47" s="117"/>
      <c r="E47" s="43"/>
      <c r="F47" s="43"/>
      <c r="G47" s="43"/>
      <c r="H47" s="43"/>
      <c r="I47" s="43"/>
      <c r="J47" s="43"/>
      <c r="K47" s="43"/>
      <c r="L47" s="43"/>
      <c r="M47" s="43"/>
      <c r="N47" s="43"/>
      <c r="O47" s="43"/>
      <c r="P47" s="217"/>
      <c r="Q47" s="217"/>
      <c r="R47" s="217"/>
      <c r="S47" s="217"/>
      <c r="T47" s="217"/>
      <c r="U47" s="217"/>
      <c r="V47" s="217"/>
      <c r="W47" s="217"/>
      <c r="X47" s="217"/>
      <c r="Y47" s="217"/>
      <c r="Z47" s="217"/>
    </row>
    <row r="48" ht="15.75" customHeight="1">
      <c r="A48" s="43"/>
      <c r="B48" s="43"/>
      <c r="C48" s="43"/>
      <c r="D48" s="117"/>
      <c r="E48" s="43"/>
      <c r="F48" s="43"/>
      <c r="G48" s="43"/>
      <c r="H48" s="43"/>
      <c r="I48" s="43"/>
      <c r="J48" s="43"/>
      <c r="K48" s="43"/>
      <c r="L48" s="43"/>
      <c r="M48" s="43"/>
      <c r="N48" s="43"/>
      <c r="O48" s="43"/>
      <c r="P48" s="217"/>
      <c r="Q48" s="217"/>
      <c r="R48" s="217"/>
      <c r="S48" s="217"/>
      <c r="T48" s="217"/>
      <c r="U48" s="217"/>
      <c r="V48" s="217"/>
      <c r="W48" s="217"/>
      <c r="X48" s="217"/>
      <c r="Y48" s="217"/>
      <c r="Z48" s="217"/>
    </row>
    <row r="49" ht="15.75" customHeight="1">
      <c r="A49" s="43"/>
      <c r="B49" s="43"/>
      <c r="C49" s="43"/>
      <c r="D49" s="117"/>
      <c r="E49" s="43"/>
      <c r="F49" s="43"/>
      <c r="G49" s="43"/>
      <c r="H49" s="43"/>
      <c r="I49" s="43"/>
      <c r="J49" s="43"/>
      <c r="K49" s="43"/>
      <c r="L49" s="43"/>
      <c r="M49" s="43"/>
      <c r="N49" s="43"/>
      <c r="O49" s="43"/>
      <c r="P49" s="217"/>
      <c r="Q49" s="217"/>
      <c r="R49" s="217"/>
      <c r="S49" s="217"/>
      <c r="T49" s="217"/>
      <c r="U49" s="217"/>
      <c r="V49" s="217"/>
      <c r="W49" s="217"/>
      <c r="X49" s="217"/>
      <c r="Y49" s="217"/>
      <c r="Z49" s="217"/>
    </row>
    <row r="50" ht="15.75" customHeight="1">
      <c r="A50" s="43"/>
      <c r="B50" s="43"/>
      <c r="C50" s="43"/>
      <c r="D50" s="117"/>
      <c r="E50" s="43"/>
      <c r="F50" s="43"/>
      <c r="G50" s="43"/>
      <c r="H50" s="43"/>
      <c r="I50" s="43"/>
      <c r="J50" s="43"/>
      <c r="K50" s="43"/>
      <c r="L50" s="43"/>
      <c r="M50" s="43"/>
      <c r="N50" s="43"/>
      <c r="O50" s="43"/>
      <c r="P50" s="217"/>
      <c r="Q50" s="217"/>
      <c r="R50" s="217"/>
      <c r="S50" s="217"/>
      <c r="T50" s="217"/>
      <c r="U50" s="217"/>
      <c r="V50" s="217"/>
      <c r="W50" s="217"/>
      <c r="X50" s="217"/>
      <c r="Y50" s="217"/>
      <c r="Z50" s="217"/>
    </row>
    <row r="51" ht="15.75" customHeight="1">
      <c r="A51" s="43"/>
      <c r="B51" s="43"/>
      <c r="C51" s="43"/>
      <c r="D51" s="117"/>
      <c r="E51" s="43"/>
      <c r="F51" s="43"/>
      <c r="G51" s="43"/>
      <c r="H51" s="43"/>
      <c r="I51" s="43"/>
      <c r="J51" s="43"/>
      <c r="K51" s="43"/>
      <c r="L51" s="43"/>
      <c r="M51" s="43"/>
      <c r="N51" s="43"/>
      <c r="O51" s="43"/>
      <c r="P51" s="217"/>
      <c r="Q51" s="217"/>
      <c r="R51" s="217"/>
      <c r="S51" s="217"/>
      <c r="T51" s="217"/>
      <c r="U51" s="217"/>
      <c r="V51" s="217"/>
      <c r="W51" s="217"/>
      <c r="X51" s="217"/>
      <c r="Y51" s="217"/>
      <c r="Z51" s="217"/>
    </row>
    <row r="52" ht="15.75" customHeight="1">
      <c r="A52" s="43"/>
      <c r="B52" s="43"/>
      <c r="C52" s="43"/>
      <c r="D52" s="117"/>
      <c r="E52" s="43"/>
      <c r="F52" s="43"/>
      <c r="G52" s="43"/>
      <c r="H52" s="43"/>
      <c r="I52" s="43"/>
      <c r="J52" s="43"/>
      <c r="K52" s="43"/>
      <c r="L52" s="43"/>
      <c r="M52" s="43"/>
      <c r="N52" s="43"/>
      <c r="O52" s="43"/>
      <c r="P52" s="217"/>
      <c r="Q52" s="217"/>
      <c r="R52" s="217"/>
      <c r="S52" s="217"/>
      <c r="T52" s="217"/>
      <c r="U52" s="217"/>
      <c r="V52" s="217"/>
      <c r="W52" s="217"/>
      <c r="X52" s="217"/>
      <c r="Y52" s="217"/>
      <c r="Z52" s="217"/>
    </row>
    <row r="53" ht="15.75" customHeight="1">
      <c r="A53" s="43"/>
      <c r="B53" s="43"/>
      <c r="C53" s="43"/>
      <c r="D53" s="117"/>
      <c r="E53" s="43"/>
      <c r="F53" s="43"/>
      <c r="G53" s="43"/>
      <c r="H53" s="43"/>
      <c r="I53" s="43"/>
      <c r="J53" s="43"/>
      <c r="K53" s="43"/>
      <c r="L53" s="43"/>
      <c r="M53" s="43"/>
      <c r="N53" s="43"/>
      <c r="O53" s="43"/>
      <c r="P53" s="217"/>
      <c r="Q53" s="217"/>
      <c r="R53" s="217"/>
      <c r="S53" s="217"/>
      <c r="T53" s="217"/>
      <c r="U53" s="217"/>
      <c r="V53" s="217"/>
      <c r="W53" s="217"/>
      <c r="X53" s="217"/>
      <c r="Y53" s="217"/>
      <c r="Z53" s="217"/>
    </row>
    <row r="54" ht="15.75" customHeight="1">
      <c r="A54" s="43"/>
      <c r="B54" s="43"/>
      <c r="C54" s="43"/>
      <c r="D54" s="117"/>
      <c r="E54" s="43"/>
      <c r="F54" s="43"/>
      <c r="G54" s="43"/>
      <c r="H54" s="43"/>
      <c r="I54" s="43"/>
      <c r="J54" s="43"/>
      <c r="K54" s="43"/>
      <c r="L54" s="43"/>
      <c r="M54" s="43"/>
      <c r="N54" s="43"/>
      <c r="O54" s="43"/>
      <c r="P54" s="217"/>
      <c r="Q54" s="217"/>
      <c r="R54" s="217"/>
      <c r="S54" s="217"/>
      <c r="T54" s="217"/>
      <c r="U54" s="217"/>
      <c r="V54" s="217"/>
      <c r="W54" s="217"/>
      <c r="X54" s="217"/>
      <c r="Y54" s="217"/>
      <c r="Z54" s="217"/>
    </row>
    <row r="55" ht="15.75" customHeight="1">
      <c r="A55" s="43"/>
      <c r="B55" s="43"/>
      <c r="C55" s="43"/>
      <c r="D55" s="117"/>
      <c r="E55" s="43"/>
      <c r="F55" s="43"/>
      <c r="G55" s="43"/>
      <c r="H55" s="43"/>
      <c r="I55" s="43"/>
      <c r="J55" s="43"/>
      <c r="K55" s="43"/>
      <c r="L55" s="43"/>
      <c r="M55" s="43"/>
      <c r="N55" s="43"/>
      <c r="O55" s="43"/>
      <c r="P55" s="217"/>
      <c r="Q55" s="217"/>
      <c r="R55" s="217"/>
      <c r="S55" s="217"/>
      <c r="T55" s="217"/>
      <c r="U55" s="217"/>
      <c r="V55" s="217"/>
      <c r="W55" s="217"/>
      <c r="X55" s="217"/>
      <c r="Y55" s="217"/>
      <c r="Z55" s="217"/>
    </row>
    <row r="56" ht="15.75" customHeight="1">
      <c r="A56" s="43"/>
      <c r="B56" s="43"/>
      <c r="C56" s="43"/>
      <c r="D56" s="117"/>
      <c r="E56" s="43"/>
      <c r="F56" s="43"/>
      <c r="G56" s="43"/>
      <c r="H56" s="43"/>
      <c r="I56" s="43"/>
      <c r="J56" s="43"/>
      <c r="K56" s="43"/>
      <c r="L56" s="43"/>
      <c r="M56" s="43"/>
      <c r="N56" s="43"/>
      <c r="O56" s="43"/>
      <c r="P56" s="217"/>
      <c r="Q56" s="217"/>
      <c r="R56" s="217"/>
      <c r="S56" s="217"/>
      <c r="T56" s="217"/>
      <c r="U56" s="217"/>
      <c r="V56" s="217"/>
      <c r="W56" s="217"/>
      <c r="X56" s="217"/>
      <c r="Y56" s="217"/>
      <c r="Z56" s="217"/>
    </row>
    <row r="57" ht="15.75" customHeight="1">
      <c r="A57" s="43"/>
      <c r="B57" s="43"/>
      <c r="C57" s="43"/>
      <c r="D57" s="117"/>
      <c r="E57" s="43"/>
      <c r="F57" s="43"/>
      <c r="G57" s="43"/>
      <c r="H57" s="43"/>
      <c r="I57" s="43"/>
      <c r="J57" s="43"/>
      <c r="K57" s="43"/>
      <c r="L57" s="43"/>
      <c r="M57" s="43"/>
      <c r="N57" s="43"/>
      <c r="O57" s="43"/>
      <c r="P57" s="217"/>
      <c r="Q57" s="217"/>
      <c r="R57" s="217"/>
      <c r="S57" s="217"/>
      <c r="T57" s="217"/>
      <c r="U57" s="217"/>
      <c r="V57" s="217"/>
      <c r="W57" s="217"/>
      <c r="X57" s="217"/>
      <c r="Y57" s="217"/>
      <c r="Z57" s="217"/>
    </row>
    <row r="58" ht="15.75" customHeight="1">
      <c r="A58" s="43"/>
      <c r="B58" s="43"/>
      <c r="C58" s="43"/>
      <c r="D58" s="117"/>
      <c r="E58" s="43"/>
      <c r="F58" s="43"/>
      <c r="G58" s="43"/>
      <c r="H58" s="43"/>
      <c r="I58" s="43"/>
      <c r="J58" s="43"/>
      <c r="K58" s="43"/>
      <c r="L58" s="43"/>
      <c r="M58" s="43"/>
      <c r="N58" s="43"/>
      <c r="O58" s="43"/>
      <c r="P58" s="217"/>
      <c r="Q58" s="217"/>
      <c r="R58" s="217"/>
      <c r="S58" s="217"/>
      <c r="T58" s="217"/>
      <c r="U58" s="217"/>
      <c r="V58" s="217"/>
      <c r="W58" s="217"/>
      <c r="X58" s="217"/>
      <c r="Y58" s="217"/>
      <c r="Z58" s="217"/>
    </row>
    <row r="59" ht="15.75" customHeight="1">
      <c r="A59" s="43"/>
      <c r="B59" s="43"/>
      <c r="C59" s="43"/>
      <c r="D59" s="117"/>
      <c r="E59" s="43"/>
      <c r="F59" s="43"/>
      <c r="G59" s="43"/>
      <c r="H59" s="43"/>
      <c r="I59" s="43"/>
      <c r="J59" s="43"/>
      <c r="K59" s="43"/>
      <c r="L59" s="43"/>
      <c r="M59" s="43"/>
      <c r="N59" s="43"/>
      <c r="O59" s="43"/>
      <c r="P59" s="217"/>
      <c r="Q59" s="217"/>
      <c r="R59" s="217"/>
      <c r="S59" s="217"/>
      <c r="T59" s="217"/>
      <c r="U59" s="217"/>
      <c r="V59" s="217"/>
      <c r="W59" s="217"/>
      <c r="X59" s="217"/>
      <c r="Y59" s="217"/>
      <c r="Z59" s="217"/>
    </row>
    <row r="60" ht="15.75" customHeight="1">
      <c r="A60" s="43"/>
      <c r="B60" s="43"/>
      <c r="C60" s="43"/>
      <c r="D60" s="117"/>
      <c r="E60" s="43"/>
      <c r="F60" s="43"/>
      <c r="G60" s="43"/>
      <c r="H60" s="43"/>
      <c r="I60" s="43"/>
      <c r="J60" s="43"/>
      <c r="K60" s="43"/>
      <c r="L60" s="43"/>
      <c r="M60" s="43"/>
      <c r="N60" s="43"/>
      <c r="O60" s="43"/>
      <c r="P60" s="217"/>
      <c r="Q60" s="217"/>
      <c r="R60" s="217"/>
      <c r="S60" s="217"/>
      <c r="T60" s="217"/>
      <c r="U60" s="217"/>
      <c r="V60" s="217"/>
      <c r="W60" s="217"/>
      <c r="X60" s="217"/>
      <c r="Y60" s="217"/>
      <c r="Z60" s="217"/>
    </row>
    <row r="61" ht="15.75" customHeight="1">
      <c r="A61" s="43"/>
      <c r="B61" s="43"/>
      <c r="C61" s="43"/>
      <c r="D61" s="117"/>
      <c r="E61" s="43"/>
      <c r="F61" s="43"/>
      <c r="G61" s="43"/>
      <c r="H61" s="43"/>
      <c r="I61" s="43"/>
      <c r="J61" s="43"/>
      <c r="K61" s="43"/>
      <c r="L61" s="43"/>
      <c r="M61" s="43"/>
      <c r="N61" s="43"/>
      <c r="O61" s="43"/>
      <c r="P61" s="217"/>
      <c r="Q61" s="217"/>
      <c r="R61" s="217"/>
      <c r="S61" s="217"/>
      <c r="T61" s="217"/>
      <c r="U61" s="217"/>
      <c r="V61" s="217"/>
      <c r="W61" s="217"/>
      <c r="X61" s="217"/>
      <c r="Y61" s="217"/>
      <c r="Z61" s="217"/>
    </row>
    <row r="62" ht="15.75" customHeight="1">
      <c r="A62" s="43"/>
      <c r="B62" s="43"/>
      <c r="C62" s="43"/>
      <c r="D62" s="117"/>
      <c r="E62" s="43"/>
      <c r="F62" s="43"/>
      <c r="G62" s="43"/>
      <c r="H62" s="43"/>
      <c r="I62" s="43"/>
      <c r="J62" s="43"/>
      <c r="K62" s="43"/>
      <c r="L62" s="43"/>
      <c r="M62" s="43"/>
      <c r="N62" s="43"/>
      <c r="O62" s="43"/>
      <c r="P62" s="217"/>
      <c r="Q62" s="217"/>
      <c r="R62" s="217"/>
      <c r="S62" s="217"/>
      <c r="T62" s="217"/>
      <c r="U62" s="217"/>
      <c r="V62" s="217"/>
      <c r="W62" s="217"/>
      <c r="X62" s="217"/>
      <c r="Y62" s="217"/>
      <c r="Z62" s="217"/>
    </row>
    <row r="63" ht="15.75" customHeight="1">
      <c r="A63" s="43"/>
      <c r="B63" s="43"/>
      <c r="C63" s="43"/>
      <c r="D63" s="117"/>
      <c r="E63" s="43"/>
      <c r="F63" s="43"/>
      <c r="G63" s="43"/>
      <c r="H63" s="43"/>
      <c r="I63" s="43"/>
      <c r="J63" s="43"/>
      <c r="K63" s="43"/>
      <c r="L63" s="43"/>
      <c r="M63" s="43"/>
      <c r="N63" s="43"/>
      <c r="O63" s="43"/>
      <c r="P63" s="217"/>
      <c r="Q63" s="217"/>
      <c r="R63" s="217"/>
      <c r="S63" s="217"/>
      <c r="T63" s="217"/>
      <c r="U63" s="217"/>
      <c r="V63" s="217"/>
      <c r="W63" s="217"/>
      <c r="X63" s="217"/>
      <c r="Y63" s="217"/>
      <c r="Z63" s="217"/>
    </row>
    <row r="64" ht="15.75" customHeight="1">
      <c r="A64" s="43"/>
      <c r="B64" s="43"/>
      <c r="C64" s="43"/>
      <c r="D64" s="117"/>
      <c r="E64" s="43"/>
      <c r="F64" s="43"/>
      <c r="G64" s="43"/>
      <c r="H64" s="43"/>
      <c r="I64" s="43"/>
      <c r="J64" s="43"/>
      <c r="K64" s="43"/>
      <c r="L64" s="43"/>
      <c r="M64" s="43"/>
      <c r="N64" s="43"/>
      <c r="O64" s="43"/>
      <c r="P64" s="217"/>
      <c r="Q64" s="217"/>
      <c r="R64" s="217"/>
      <c r="S64" s="217"/>
      <c r="T64" s="217"/>
      <c r="U64" s="217"/>
      <c r="V64" s="217"/>
      <c r="W64" s="217"/>
      <c r="X64" s="217"/>
      <c r="Y64" s="217"/>
      <c r="Z64" s="217"/>
    </row>
    <row r="65" ht="15.75" customHeight="1">
      <c r="A65" s="43"/>
      <c r="B65" s="43"/>
      <c r="C65" s="43"/>
      <c r="D65" s="117"/>
      <c r="E65" s="43"/>
      <c r="F65" s="43"/>
      <c r="G65" s="43"/>
      <c r="H65" s="43"/>
      <c r="I65" s="43"/>
      <c r="J65" s="43"/>
      <c r="K65" s="43"/>
      <c r="L65" s="43"/>
      <c r="M65" s="43"/>
      <c r="N65" s="43"/>
      <c r="O65" s="43"/>
      <c r="P65" s="217"/>
      <c r="Q65" s="217"/>
      <c r="R65" s="217"/>
      <c r="S65" s="217"/>
      <c r="T65" s="217"/>
      <c r="U65" s="217"/>
      <c r="V65" s="217"/>
      <c r="W65" s="217"/>
      <c r="X65" s="217"/>
      <c r="Y65" s="217"/>
      <c r="Z65" s="217"/>
    </row>
    <row r="66" ht="15.75" customHeight="1">
      <c r="A66" s="43"/>
      <c r="B66" s="43"/>
      <c r="C66" s="43"/>
      <c r="D66" s="117"/>
      <c r="E66" s="43"/>
      <c r="F66" s="43"/>
      <c r="G66" s="43"/>
      <c r="H66" s="43"/>
      <c r="I66" s="43"/>
      <c r="J66" s="43"/>
      <c r="K66" s="43"/>
      <c r="L66" s="43"/>
      <c r="M66" s="43"/>
      <c r="N66" s="43"/>
      <c r="O66" s="43"/>
      <c r="P66" s="217"/>
      <c r="Q66" s="217"/>
      <c r="R66" s="217"/>
      <c r="S66" s="217"/>
      <c r="T66" s="217"/>
      <c r="U66" s="217"/>
      <c r="V66" s="217"/>
      <c r="W66" s="217"/>
      <c r="X66" s="217"/>
      <c r="Y66" s="217"/>
      <c r="Z66" s="217"/>
    </row>
    <row r="67" ht="15.75" customHeight="1">
      <c r="A67" s="43"/>
      <c r="B67" s="43"/>
      <c r="C67" s="43"/>
      <c r="D67" s="117"/>
      <c r="E67" s="43"/>
      <c r="F67" s="43"/>
      <c r="G67" s="43"/>
      <c r="H67" s="43"/>
      <c r="I67" s="43"/>
      <c r="J67" s="43"/>
      <c r="K67" s="43"/>
      <c r="L67" s="43"/>
      <c r="M67" s="43"/>
      <c r="N67" s="43"/>
      <c r="O67" s="43"/>
      <c r="P67" s="217"/>
      <c r="Q67" s="217"/>
      <c r="R67" s="217"/>
      <c r="S67" s="217"/>
      <c r="T67" s="217"/>
      <c r="U67" s="217"/>
      <c r="V67" s="217"/>
      <c r="W67" s="217"/>
      <c r="X67" s="217"/>
      <c r="Y67" s="217"/>
      <c r="Z67" s="217"/>
    </row>
    <row r="68" ht="15.75" customHeight="1">
      <c r="A68" s="43"/>
      <c r="B68" s="43"/>
      <c r="C68" s="43"/>
      <c r="D68" s="117"/>
      <c r="E68" s="43"/>
      <c r="F68" s="43"/>
      <c r="G68" s="43"/>
      <c r="H68" s="43"/>
      <c r="I68" s="43"/>
      <c r="J68" s="43"/>
      <c r="K68" s="43"/>
      <c r="L68" s="43"/>
      <c r="M68" s="43"/>
      <c r="N68" s="43"/>
      <c r="O68" s="43"/>
      <c r="P68" s="217"/>
      <c r="Q68" s="217"/>
      <c r="R68" s="217"/>
      <c r="S68" s="217"/>
      <c r="T68" s="217"/>
      <c r="U68" s="217"/>
      <c r="V68" s="217"/>
      <c r="W68" s="217"/>
      <c r="X68" s="217"/>
      <c r="Y68" s="217"/>
      <c r="Z68" s="217"/>
    </row>
    <row r="69" ht="15.75" customHeight="1">
      <c r="A69" s="43"/>
      <c r="B69" s="43"/>
      <c r="C69" s="43"/>
      <c r="D69" s="117"/>
      <c r="E69" s="43"/>
      <c r="F69" s="43"/>
      <c r="G69" s="43"/>
      <c r="H69" s="43"/>
      <c r="I69" s="43"/>
      <c r="J69" s="43"/>
      <c r="K69" s="43"/>
      <c r="L69" s="43"/>
      <c r="M69" s="43"/>
      <c r="N69" s="43"/>
      <c r="O69" s="43"/>
      <c r="P69" s="217"/>
      <c r="Q69" s="217"/>
      <c r="R69" s="217"/>
      <c r="S69" s="217"/>
      <c r="T69" s="217"/>
      <c r="U69" s="217"/>
      <c r="V69" s="217"/>
      <c r="W69" s="217"/>
      <c r="X69" s="217"/>
      <c r="Y69" s="217"/>
      <c r="Z69" s="217"/>
    </row>
    <row r="70" ht="15.75" customHeight="1">
      <c r="A70" s="43"/>
      <c r="B70" s="43"/>
      <c r="C70" s="43"/>
      <c r="D70" s="117"/>
      <c r="E70" s="43"/>
      <c r="F70" s="43"/>
      <c r="G70" s="43"/>
      <c r="H70" s="43"/>
      <c r="I70" s="43"/>
      <c r="J70" s="43"/>
      <c r="K70" s="43"/>
      <c r="L70" s="43"/>
      <c r="M70" s="43"/>
      <c r="N70" s="43"/>
      <c r="O70" s="43"/>
      <c r="P70" s="217"/>
      <c r="Q70" s="217"/>
      <c r="R70" s="217"/>
      <c r="S70" s="217"/>
      <c r="T70" s="217"/>
      <c r="U70" s="217"/>
      <c r="V70" s="217"/>
      <c r="W70" s="217"/>
      <c r="X70" s="217"/>
      <c r="Y70" s="217"/>
      <c r="Z70" s="217"/>
    </row>
    <row r="71" ht="15.75" customHeight="1">
      <c r="A71" s="43"/>
      <c r="B71" s="43"/>
      <c r="C71" s="43"/>
      <c r="D71" s="117"/>
      <c r="E71" s="43"/>
      <c r="F71" s="43"/>
      <c r="G71" s="43"/>
      <c r="H71" s="43"/>
      <c r="I71" s="43"/>
      <c r="J71" s="43"/>
      <c r="K71" s="43"/>
      <c r="L71" s="43"/>
      <c r="M71" s="43"/>
      <c r="N71" s="43"/>
      <c r="O71" s="43"/>
      <c r="P71" s="217"/>
      <c r="Q71" s="217"/>
      <c r="R71" s="217"/>
      <c r="S71" s="217"/>
      <c r="T71" s="217"/>
      <c r="U71" s="217"/>
      <c r="V71" s="217"/>
      <c r="W71" s="217"/>
      <c r="X71" s="217"/>
      <c r="Y71" s="217"/>
      <c r="Z71" s="217"/>
    </row>
    <row r="72" ht="15.75" customHeight="1">
      <c r="A72" s="43"/>
      <c r="B72" s="43"/>
      <c r="C72" s="43"/>
      <c r="D72" s="117"/>
      <c r="E72" s="43"/>
      <c r="F72" s="43"/>
      <c r="G72" s="43"/>
      <c r="H72" s="43"/>
      <c r="I72" s="43"/>
      <c r="J72" s="43"/>
      <c r="K72" s="43"/>
      <c r="L72" s="43"/>
      <c r="M72" s="43"/>
      <c r="N72" s="43"/>
      <c r="O72" s="43"/>
      <c r="P72" s="217"/>
      <c r="Q72" s="217"/>
      <c r="R72" s="217"/>
      <c r="S72" s="217"/>
      <c r="T72" s="217"/>
      <c r="U72" s="217"/>
      <c r="V72" s="217"/>
      <c r="W72" s="217"/>
      <c r="X72" s="217"/>
      <c r="Y72" s="217"/>
      <c r="Z72" s="217"/>
    </row>
    <row r="73" ht="15.75" customHeight="1">
      <c r="A73" s="43"/>
      <c r="B73" s="43"/>
      <c r="C73" s="43"/>
      <c r="D73" s="117"/>
      <c r="E73" s="43"/>
      <c r="F73" s="43"/>
      <c r="G73" s="43"/>
      <c r="H73" s="43"/>
      <c r="I73" s="43"/>
      <c r="J73" s="43"/>
      <c r="K73" s="43"/>
      <c r="L73" s="43"/>
      <c r="M73" s="43"/>
      <c r="N73" s="43"/>
      <c r="O73" s="43"/>
      <c r="P73" s="217"/>
      <c r="Q73" s="217"/>
      <c r="R73" s="217"/>
      <c r="S73" s="217"/>
      <c r="T73" s="217"/>
      <c r="U73" s="217"/>
      <c r="V73" s="217"/>
      <c r="W73" s="217"/>
      <c r="X73" s="217"/>
      <c r="Y73" s="217"/>
      <c r="Z73" s="217"/>
    </row>
    <row r="74" ht="15.75" customHeight="1">
      <c r="A74" s="43"/>
      <c r="B74" s="43"/>
      <c r="C74" s="43"/>
      <c r="D74" s="117"/>
      <c r="E74" s="43"/>
      <c r="F74" s="43"/>
      <c r="G74" s="43"/>
      <c r="H74" s="43"/>
      <c r="I74" s="43"/>
      <c r="J74" s="43"/>
      <c r="K74" s="43"/>
      <c r="L74" s="43"/>
      <c r="M74" s="43"/>
      <c r="N74" s="43"/>
      <c r="O74" s="43"/>
      <c r="P74" s="217"/>
      <c r="Q74" s="217"/>
      <c r="R74" s="217"/>
      <c r="S74" s="217"/>
      <c r="T74" s="217"/>
      <c r="U74" s="217"/>
      <c r="V74" s="217"/>
      <c r="W74" s="217"/>
      <c r="X74" s="217"/>
      <c r="Y74" s="217"/>
      <c r="Z74" s="217"/>
    </row>
    <row r="75" ht="15.75" customHeight="1">
      <c r="A75" s="43"/>
      <c r="B75" s="43"/>
      <c r="C75" s="43"/>
      <c r="D75" s="117"/>
      <c r="E75" s="43"/>
      <c r="F75" s="43"/>
      <c r="G75" s="43"/>
      <c r="H75" s="43"/>
      <c r="I75" s="43"/>
      <c r="J75" s="43"/>
      <c r="K75" s="43"/>
      <c r="L75" s="43"/>
      <c r="M75" s="43"/>
      <c r="N75" s="43"/>
      <c r="O75" s="43"/>
      <c r="P75" s="217"/>
      <c r="Q75" s="217"/>
      <c r="R75" s="217"/>
      <c r="S75" s="217"/>
      <c r="T75" s="217"/>
      <c r="U75" s="217"/>
      <c r="V75" s="217"/>
      <c r="W75" s="217"/>
      <c r="X75" s="217"/>
      <c r="Y75" s="217"/>
      <c r="Z75" s="217"/>
    </row>
    <row r="76" ht="15.75" customHeight="1">
      <c r="A76" s="43"/>
      <c r="B76" s="43"/>
      <c r="C76" s="43"/>
      <c r="D76" s="117"/>
      <c r="E76" s="43"/>
      <c r="F76" s="43"/>
      <c r="G76" s="43"/>
      <c r="H76" s="43"/>
      <c r="I76" s="43"/>
      <c r="J76" s="43"/>
      <c r="K76" s="43"/>
      <c r="L76" s="43"/>
      <c r="M76" s="43"/>
      <c r="N76" s="43"/>
      <c r="O76" s="43"/>
      <c r="P76" s="217"/>
      <c r="Q76" s="217"/>
      <c r="R76" s="217"/>
      <c r="S76" s="217"/>
      <c r="T76" s="217"/>
      <c r="U76" s="217"/>
      <c r="V76" s="217"/>
      <c r="W76" s="217"/>
      <c r="X76" s="217"/>
      <c r="Y76" s="217"/>
      <c r="Z76" s="217"/>
    </row>
    <row r="77" ht="15.75" customHeight="1">
      <c r="A77" s="43"/>
      <c r="B77" s="43"/>
      <c r="C77" s="43"/>
      <c r="D77" s="117"/>
      <c r="E77" s="43"/>
      <c r="F77" s="43"/>
      <c r="G77" s="43"/>
      <c r="H77" s="43"/>
      <c r="I77" s="43"/>
      <c r="J77" s="43"/>
      <c r="K77" s="43"/>
      <c r="L77" s="43"/>
      <c r="M77" s="43"/>
      <c r="N77" s="43"/>
      <c r="O77" s="43"/>
      <c r="P77" s="217"/>
      <c r="Q77" s="217"/>
      <c r="R77" s="217"/>
      <c r="S77" s="217"/>
      <c r="T77" s="217"/>
      <c r="U77" s="217"/>
      <c r="V77" s="217"/>
      <c r="W77" s="217"/>
      <c r="X77" s="217"/>
      <c r="Y77" s="217"/>
      <c r="Z77" s="217"/>
    </row>
    <row r="78" ht="15.75" customHeight="1">
      <c r="A78" s="43"/>
      <c r="B78" s="43"/>
      <c r="C78" s="43"/>
      <c r="D78" s="117"/>
      <c r="E78" s="43"/>
      <c r="F78" s="43"/>
      <c r="G78" s="43"/>
      <c r="H78" s="43"/>
      <c r="I78" s="43"/>
      <c r="J78" s="43"/>
      <c r="K78" s="43"/>
      <c r="L78" s="43"/>
      <c r="M78" s="43"/>
      <c r="N78" s="43"/>
      <c r="O78" s="43"/>
      <c r="P78" s="217"/>
      <c r="Q78" s="217"/>
      <c r="R78" s="217"/>
      <c r="S78" s="217"/>
      <c r="T78" s="217"/>
      <c r="U78" s="217"/>
      <c r="V78" s="217"/>
      <c r="W78" s="217"/>
      <c r="X78" s="217"/>
      <c r="Y78" s="217"/>
      <c r="Z78" s="217"/>
    </row>
    <row r="79" ht="15.75" customHeight="1">
      <c r="A79" s="43"/>
      <c r="B79" s="43"/>
      <c r="C79" s="43"/>
      <c r="D79" s="117"/>
      <c r="E79" s="43"/>
      <c r="F79" s="43"/>
      <c r="G79" s="43"/>
      <c r="H79" s="43"/>
      <c r="I79" s="43"/>
      <c r="J79" s="43"/>
      <c r="K79" s="43"/>
      <c r="L79" s="43"/>
      <c r="M79" s="43"/>
      <c r="N79" s="43"/>
      <c r="O79" s="43"/>
      <c r="P79" s="217"/>
      <c r="Q79" s="217"/>
      <c r="R79" s="217"/>
      <c r="S79" s="217"/>
      <c r="T79" s="217"/>
      <c r="U79" s="217"/>
      <c r="V79" s="217"/>
      <c r="W79" s="217"/>
      <c r="X79" s="217"/>
      <c r="Y79" s="217"/>
      <c r="Z79" s="217"/>
    </row>
    <row r="80" ht="15.75" customHeight="1">
      <c r="A80" s="43"/>
      <c r="B80" s="43"/>
      <c r="C80" s="43"/>
      <c r="D80" s="117"/>
      <c r="E80" s="43"/>
      <c r="F80" s="43"/>
      <c r="G80" s="43"/>
      <c r="H80" s="43"/>
      <c r="I80" s="43"/>
      <c r="J80" s="43"/>
      <c r="K80" s="43"/>
      <c r="L80" s="43"/>
      <c r="M80" s="43"/>
      <c r="N80" s="43"/>
      <c r="O80" s="43"/>
      <c r="P80" s="217"/>
      <c r="Q80" s="217"/>
      <c r="R80" s="217"/>
      <c r="S80" s="217"/>
      <c r="T80" s="217"/>
      <c r="U80" s="217"/>
      <c r="V80" s="217"/>
      <c r="W80" s="217"/>
      <c r="X80" s="217"/>
      <c r="Y80" s="217"/>
      <c r="Z80" s="217"/>
    </row>
    <row r="81" ht="15.75" customHeight="1">
      <c r="A81" s="43"/>
      <c r="B81" s="43"/>
      <c r="C81" s="43"/>
      <c r="D81" s="117"/>
      <c r="E81" s="43"/>
      <c r="F81" s="43"/>
      <c r="G81" s="43"/>
      <c r="H81" s="43"/>
      <c r="I81" s="43"/>
      <c r="J81" s="43"/>
      <c r="K81" s="43"/>
      <c r="L81" s="43"/>
      <c r="M81" s="43"/>
      <c r="N81" s="43"/>
      <c r="O81" s="43"/>
      <c r="P81" s="217"/>
      <c r="Q81" s="217"/>
      <c r="R81" s="217"/>
      <c r="S81" s="217"/>
      <c r="T81" s="217"/>
      <c r="U81" s="217"/>
      <c r="V81" s="217"/>
      <c r="W81" s="217"/>
      <c r="X81" s="217"/>
      <c r="Y81" s="217"/>
      <c r="Z81" s="217"/>
    </row>
    <row r="82" ht="15.75" customHeight="1">
      <c r="A82" s="43"/>
      <c r="B82" s="43"/>
      <c r="C82" s="43"/>
      <c r="D82" s="117"/>
      <c r="E82" s="43"/>
      <c r="F82" s="43"/>
      <c r="G82" s="43"/>
      <c r="H82" s="43"/>
      <c r="I82" s="43"/>
      <c r="J82" s="43"/>
      <c r="K82" s="43"/>
      <c r="L82" s="43"/>
      <c r="M82" s="43"/>
      <c r="N82" s="43"/>
      <c r="O82" s="43"/>
      <c r="P82" s="217"/>
      <c r="Q82" s="217"/>
      <c r="R82" s="217"/>
      <c r="S82" s="217"/>
      <c r="T82" s="217"/>
      <c r="U82" s="217"/>
      <c r="V82" s="217"/>
      <c r="W82" s="217"/>
      <c r="X82" s="217"/>
      <c r="Y82" s="217"/>
      <c r="Z82" s="217"/>
    </row>
    <row r="83" ht="15.75" customHeight="1">
      <c r="A83" s="43"/>
      <c r="B83" s="43"/>
      <c r="C83" s="43"/>
      <c r="D83" s="117"/>
      <c r="E83" s="43"/>
      <c r="F83" s="43"/>
      <c r="G83" s="43"/>
      <c r="H83" s="43"/>
      <c r="I83" s="43"/>
      <c r="J83" s="43"/>
      <c r="K83" s="43"/>
      <c r="L83" s="43"/>
      <c r="M83" s="43"/>
      <c r="N83" s="43"/>
      <c r="O83" s="43"/>
      <c r="P83" s="217"/>
      <c r="Q83" s="217"/>
      <c r="R83" s="217"/>
      <c r="S83" s="217"/>
      <c r="T83" s="217"/>
      <c r="U83" s="217"/>
      <c r="V83" s="217"/>
      <c r="W83" s="217"/>
      <c r="X83" s="217"/>
      <c r="Y83" s="217"/>
      <c r="Z83" s="217"/>
    </row>
    <row r="84" ht="15.75" customHeight="1">
      <c r="A84" s="43"/>
      <c r="B84" s="43"/>
      <c r="C84" s="43"/>
      <c r="D84" s="117"/>
      <c r="E84" s="43"/>
      <c r="F84" s="43"/>
      <c r="G84" s="43"/>
      <c r="H84" s="43"/>
      <c r="I84" s="43"/>
      <c r="J84" s="43"/>
      <c r="K84" s="43"/>
      <c r="L84" s="43"/>
      <c r="M84" s="43"/>
      <c r="N84" s="43"/>
      <c r="O84" s="43"/>
      <c r="P84" s="217"/>
      <c r="Q84" s="217"/>
      <c r="R84" s="217"/>
      <c r="S84" s="217"/>
      <c r="T84" s="217"/>
      <c r="U84" s="217"/>
      <c r="V84" s="217"/>
      <c r="W84" s="217"/>
      <c r="X84" s="217"/>
      <c r="Y84" s="217"/>
      <c r="Z84" s="217"/>
    </row>
    <row r="85" ht="15.75" customHeight="1">
      <c r="A85" s="43"/>
      <c r="B85" s="43"/>
      <c r="C85" s="43"/>
      <c r="D85" s="117"/>
      <c r="E85" s="43"/>
      <c r="F85" s="43"/>
      <c r="G85" s="43"/>
      <c r="H85" s="43"/>
      <c r="I85" s="43"/>
      <c r="J85" s="43"/>
      <c r="K85" s="43"/>
      <c r="L85" s="43"/>
      <c r="M85" s="43"/>
      <c r="N85" s="43"/>
      <c r="O85" s="43"/>
      <c r="P85" s="217"/>
      <c r="Q85" s="217"/>
      <c r="R85" s="217"/>
      <c r="S85" s="217"/>
      <c r="T85" s="217"/>
      <c r="U85" s="217"/>
      <c r="V85" s="217"/>
      <c r="W85" s="217"/>
      <c r="X85" s="217"/>
      <c r="Y85" s="217"/>
      <c r="Z85" s="217"/>
    </row>
    <row r="86" ht="15.75" customHeight="1">
      <c r="A86" s="43"/>
      <c r="B86" s="43"/>
      <c r="C86" s="43"/>
      <c r="D86" s="117"/>
      <c r="E86" s="43"/>
      <c r="F86" s="43"/>
      <c r="G86" s="43"/>
      <c r="H86" s="43"/>
      <c r="I86" s="43"/>
      <c r="J86" s="43"/>
      <c r="K86" s="43"/>
      <c r="L86" s="43"/>
      <c r="M86" s="43"/>
      <c r="N86" s="43"/>
      <c r="O86" s="43"/>
      <c r="P86" s="217"/>
      <c r="Q86" s="217"/>
      <c r="R86" s="217"/>
      <c r="S86" s="217"/>
      <c r="T86" s="217"/>
      <c r="U86" s="217"/>
      <c r="V86" s="217"/>
      <c r="W86" s="217"/>
      <c r="X86" s="217"/>
      <c r="Y86" s="217"/>
      <c r="Z86" s="217"/>
    </row>
    <row r="87" ht="15.75" customHeight="1">
      <c r="A87" s="43"/>
      <c r="B87" s="43"/>
      <c r="C87" s="43"/>
      <c r="D87" s="117"/>
      <c r="E87" s="43"/>
      <c r="F87" s="43"/>
      <c r="G87" s="43"/>
      <c r="H87" s="43"/>
      <c r="I87" s="43"/>
      <c r="J87" s="43"/>
      <c r="K87" s="43"/>
      <c r="L87" s="43"/>
      <c r="M87" s="43"/>
      <c r="N87" s="43"/>
      <c r="O87" s="43"/>
      <c r="P87" s="217"/>
      <c r="Q87" s="217"/>
      <c r="R87" s="217"/>
      <c r="S87" s="217"/>
      <c r="T87" s="217"/>
      <c r="U87" s="217"/>
      <c r="V87" s="217"/>
      <c r="W87" s="217"/>
      <c r="X87" s="217"/>
      <c r="Y87" s="217"/>
      <c r="Z87" s="217"/>
    </row>
    <row r="88" ht="15.75" customHeight="1">
      <c r="A88" s="43"/>
      <c r="B88" s="43"/>
      <c r="C88" s="43"/>
      <c r="D88" s="117"/>
      <c r="E88" s="43"/>
      <c r="F88" s="43"/>
      <c r="G88" s="43"/>
      <c r="H88" s="43"/>
      <c r="I88" s="43"/>
      <c r="J88" s="43"/>
      <c r="K88" s="43"/>
      <c r="L88" s="43"/>
      <c r="M88" s="43"/>
      <c r="N88" s="43"/>
      <c r="O88" s="43"/>
      <c r="P88" s="217"/>
      <c r="Q88" s="217"/>
      <c r="R88" s="217"/>
      <c r="S88" s="217"/>
      <c r="T88" s="217"/>
      <c r="U88" s="217"/>
      <c r="V88" s="217"/>
      <c r="W88" s="217"/>
      <c r="X88" s="217"/>
      <c r="Y88" s="217"/>
      <c r="Z88" s="217"/>
    </row>
    <row r="89" ht="15.75" customHeight="1">
      <c r="A89" s="43"/>
      <c r="B89" s="43"/>
      <c r="C89" s="43"/>
      <c r="D89" s="117"/>
      <c r="E89" s="43"/>
      <c r="F89" s="43"/>
      <c r="G89" s="43"/>
      <c r="H89" s="43"/>
      <c r="I89" s="43"/>
      <c r="J89" s="43"/>
      <c r="K89" s="43"/>
      <c r="L89" s="43"/>
      <c r="M89" s="43"/>
      <c r="N89" s="43"/>
      <c r="O89" s="43"/>
      <c r="P89" s="217"/>
      <c r="Q89" s="217"/>
      <c r="R89" s="217"/>
      <c r="S89" s="217"/>
      <c r="T89" s="217"/>
      <c r="U89" s="217"/>
      <c r="V89" s="217"/>
      <c r="W89" s="217"/>
      <c r="X89" s="217"/>
      <c r="Y89" s="217"/>
      <c r="Z89" s="217"/>
    </row>
    <row r="90" ht="15.75" customHeight="1">
      <c r="A90" s="43"/>
      <c r="B90" s="43"/>
      <c r="C90" s="43"/>
      <c r="D90" s="117"/>
      <c r="E90" s="43"/>
      <c r="F90" s="43"/>
      <c r="G90" s="43"/>
      <c r="H90" s="43"/>
      <c r="I90" s="43"/>
      <c r="J90" s="43"/>
      <c r="K90" s="43"/>
      <c r="L90" s="43"/>
      <c r="M90" s="43"/>
      <c r="N90" s="43"/>
      <c r="O90" s="43"/>
      <c r="P90" s="217"/>
      <c r="Q90" s="217"/>
      <c r="R90" s="217"/>
      <c r="S90" s="217"/>
      <c r="T90" s="217"/>
      <c r="U90" s="217"/>
      <c r="V90" s="217"/>
      <c r="W90" s="217"/>
      <c r="X90" s="217"/>
      <c r="Y90" s="217"/>
      <c r="Z90" s="217"/>
    </row>
    <row r="91" ht="15.75" customHeight="1">
      <c r="A91" s="43"/>
      <c r="B91" s="43"/>
      <c r="C91" s="43"/>
      <c r="D91" s="117"/>
      <c r="E91" s="43"/>
      <c r="F91" s="43"/>
      <c r="G91" s="43"/>
      <c r="H91" s="43"/>
      <c r="I91" s="43"/>
      <c r="J91" s="43"/>
      <c r="K91" s="43"/>
      <c r="L91" s="43"/>
      <c r="M91" s="43"/>
      <c r="N91" s="43"/>
      <c r="O91" s="43"/>
      <c r="P91" s="217"/>
      <c r="Q91" s="217"/>
      <c r="R91" s="217"/>
      <c r="S91" s="217"/>
      <c r="T91" s="217"/>
      <c r="U91" s="217"/>
      <c r="V91" s="217"/>
      <c r="W91" s="217"/>
      <c r="X91" s="217"/>
      <c r="Y91" s="217"/>
      <c r="Z91" s="217"/>
    </row>
    <row r="92" ht="15.75" customHeight="1">
      <c r="A92" s="43"/>
      <c r="B92" s="43"/>
      <c r="C92" s="43"/>
      <c r="D92" s="117"/>
      <c r="E92" s="43"/>
      <c r="F92" s="43"/>
      <c r="G92" s="43"/>
      <c r="H92" s="43"/>
      <c r="I92" s="43"/>
      <c r="J92" s="43"/>
      <c r="K92" s="43"/>
      <c r="L92" s="43"/>
      <c r="M92" s="43"/>
      <c r="N92" s="43"/>
      <c r="O92" s="43"/>
      <c r="P92" s="217"/>
      <c r="Q92" s="217"/>
      <c r="R92" s="217"/>
      <c r="S92" s="217"/>
      <c r="T92" s="217"/>
      <c r="U92" s="217"/>
      <c r="V92" s="217"/>
      <c r="W92" s="217"/>
      <c r="X92" s="217"/>
      <c r="Y92" s="217"/>
      <c r="Z92" s="217"/>
    </row>
    <row r="93" ht="15.75" customHeight="1">
      <c r="A93" s="43"/>
      <c r="B93" s="43"/>
      <c r="C93" s="43"/>
      <c r="D93" s="117"/>
      <c r="E93" s="43"/>
      <c r="F93" s="43"/>
      <c r="G93" s="43"/>
      <c r="H93" s="43"/>
      <c r="I93" s="43"/>
      <c r="J93" s="43"/>
      <c r="K93" s="43"/>
      <c r="L93" s="43"/>
      <c r="M93" s="43"/>
      <c r="N93" s="43"/>
      <c r="O93" s="43"/>
      <c r="P93" s="217"/>
      <c r="Q93" s="217"/>
      <c r="R93" s="217"/>
      <c r="S93" s="217"/>
      <c r="T93" s="217"/>
      <c r="U93" s="217"/>
      <c r="V93" s="217"/>
      <c r="W93" s="217"/>
      <c r="X93" s="217"/>
      <c r="Y93" s="217"/>
      <c r="Z93" s="217"/>
    </row>
    <row r="94" ht="15.75" customHeight="1">
      <c r="A94" s="43"/>
      <c r="B94" s="43"/>
      <c r="C94" s="43"/>
      <c r="D94" s="117"/>
      <c r="E94" s="43"/>
      <c r="F94" s="43"/>
      <c r="G94" s="43"/>
      <c r="H94" s="43"/>
      <c r="I94" s="43"/>
      <c r="J94" s="43"/>
      <c r="K94" s="43"/>
      <c r="L94" s="43"/>
      <c r="M94" s="43"/>
      <c r="N94" s="43"/>
      <c r="O94" s="43"/>
      <c r="P94" s="217"/>
      <c r="Q94" s="217"/>
      <c r="R94" s="217"/>
      <c r="S94" s="217"/>
      <c r="T94" s="217"/>
      <c r="U94" s="217"/>
      <c r="V94" s="217"/>
      <c r="W94" s="217"/>
      <c r="X94" s="217"/>
      <c r="Y94" s="217"/>
      <c r="Z94" s="217"/>
    </row>
    <row r="95" ht="15.75" customHeight="1">
      <c r="A95" s="43"/>
      <c r="B95" s="43"/>
      <c r="C95" s="43"/>
      <c r="D95" s="117"/>
      <c r="E95" s="43"/>
      <c r="F95" s="43"/>
      <c r="G95" s="43"/>
      <c r="H95" s="43"/>
      <c r="I95" s="43"/>
      <c r="J95" s="43"/>
      <c r="K95" s="43"/>
      <c r="L95" s="43"/>
      <c r="M95" s="43"/>
      <c r="N95" s="43"/>
      <c r="O95" s="43"/>
      <c r="P95" s="217"/>
      <c r="Q95" s="217"/>
      <c r="R95" s="217"/>
      <c r="S95" s="217"/>
      <c r="T95" s="217"/>
      <c r="U95" s="217"/>
      <c r="V95" s="217"/>
      <c r="W95" s="217"/>
      <c r="X95" s="217"/>
      <c r="Y95" s="217"/>
      <c r="Z95" s="217"/>
    </row>
    <row r="96" ht="15.75" customHeight="1">
      <c r="A96" s="43"/>
      <c r="B96" s="43"/>
      <c r="C96" s="43"/>
      <c r="D96" s="117"/>
      <c r="E96" s="43"/>
      <c r="F96" s="43"/>
      <c r="G96" s="43"/>
      <c r="H96" s="43"/>
      <c r="I96" s="43"/>
      <c r="J96" s="43"/>
      <c r="K96" s="43"/>
      <c r="L96" s="43"/>
      <c r="M96" s="43"/>
      <c r="N96" s="43"/>
      <c r="O96" s="43"/>
      <c r="P96" s="217"/>
      <c r="Q96" s="217"/>
      <c r="R96" s="217"/>
      <c r="S96" s="217"/>
      <c r="T96" s="217"/>
      <c r="U96" s="217"/>
      <c r="V96" s="217"/>
      <c r="W96" s="217"/>
      <c r="X96" s="217"/>
      <c r="Y96" s="217"/>
      <c r="Z96" s="217"/>
    </row>
    <row r="97" ht="15.75" customHeight="1">
      <c r="A97" s="43"/>
      <c r="B97" s="43"/>
      <c r="C97" s="43"/>
      <c r="D97" s="117"/>
      <c r="E97" s="43"/>
      <c r="F97" s="43"/>
      <c r="G97" s="43"/>
      <c r="H97" s="43"/>
      <c r="I97" s="43"/>
      <c r="J97" s="43"/>
      <c r="K97" s="43"/>
      <c r="L97" s="43"/>
      <c r="M97" s="43"/>
      <c r="N97" s="43"/>
      <c r="O97" s="43"/>
      <c r="P97" s="217"/>
      <c r="Q97" s="217"/>
      <c r="R97" s="217"/>
      <c r="S97" s="217"/>
      <c r="T97" s="217"/>
      <c r="U97" s="217"/>
      <c r="V97" s="217"/>
      <c r="W97" s="217"/>
      <c r="X97" s="217"/>
      <c r="Y97" s="217"/>
      <c r="Z97" s="217"/>
    </row>
    <row r="98" ht="15.75" customHeight="1">
      <c r="A98" s="43"/>
      <c r="B98" s="43"/>
      <c r="C98" s="43"/>
      <c r="D98" s="117"/>
      <c r="E98" s="43"/>
      <c r="F98" s="43"/>
      <c r="G98" s="43"/>
      <c r="H98" s="43"/>
      <c r="I98" s="43"/>
      <c r="J98" s="43"/>
      <c r="K98" s="43"/>
      <c r="L98" s="43"/>
      <c r="M98" s="43"/>
      <c r="N98" s="43"/>
      <c r="O98" s="43"/>
      <c r="P98" s="217"/>
      <c r="Q98" s="217"/>
      <c r="R98" s="217"/>
      <c r="S98" s="217"/>
      <c r="T98" s="217"/>
      <c r="U98" s="217"/>
      <c r="V98" s="217"/>
      <c r="W98" s="217"/>
      <c r="X98" s="217"/>
      <c r="Y98" s="217"/>
      <c r="Z98" s="217"/>
    </row>
    <row r="99" ht="15.75" customHeight="1">
      <c r="A99" s="43"/>
      <c r="B99" s="43"/>
      <c r="C99" s="43"/>
      <c r="D99" s="117"/>
      <c r="E99" s="43"/>
      <c r="F99" s="43"/>
      <c r="G99" s="43"/>
      <c r="H99" s="43"/>
      <c r="I99" s="43"/>
      <c r="J99" s="43"/>
      <c r="K99" s="43"/>
      <c r="L99" s="43"/>
      <c r="M99" s="43"/>
      <c r="N99" s="43"/>
      <c r="O99" s="43"/>
      <c r="P99" s="217"/>
      <c r="Q99" s="217"/>
      <c r="R99" s="217"/>
      <c r="S99" s="217"/>
      <c r="T99" s="217"/>
      <c r="U99" s="217"/>
      <c r="V99" s="217"/>
      <c r="W99" s="217"/>
      <c r="X99" s="217"/>
      <c r="Y99" s="217"/>
      <c r="Z99" s="217"/>
    </row>
    <row r="100" ht="15.75" customHeight="1">
      <c r="A100" s="43"/>
      <c r="B100" s="43"/>
      <c r="C100" s="43"/>
      <c r="D100" s="117"/>
      <c r="E100" s="43"/>
      <c r="F100" s="43"/>
      <c r="G100" s="43"/>
      <c r="H100" s="43"/>
      <c r="I100" s="43"/>
      <c r="J100" s="43"/>
      <c r="K100" s="43"/>
      <c r="L100" s="43"/>
      <c r="M100" s="43"/>
      <c r="N100" s="43"/>
      <c r="O100" s="43"/>
      <c r="P100" s="217"/>
      <c r="Q100" s="217"/>
      <c r="R100" s="217"/>
      <c r="S100" s="217"/>
      <c r="T100" s="217"/>
      <c r="U100" s="217"/>
      <c r="V100" s="217"/>
      <c r="W100" s="217"/>
      <c r="X100" s="217"/>
      <c r="Y100" s="217"/>
      <c r="Z100" s="217"/>
    </row>
    <row r="101" ht="15.75" customHeight="1">
      <c r="A101" s="43"/>
      <c r="B101" s="43"/>
      <c r="C101" s="43"/>
      <c r="D101" s="117"/>
      <c r="E101" s="43"/>
      <c r="F101" s="43"/>
      <c r="G101" s="43"/>
      <c r="H101" s="43"/>
      <c r="I101" s="43"/>
      <c r="J101" s="43"/>
      <c r="K101" s="43"/>
      <c r="L101" s="43"/>
      <c r="M101" s="43"/>
      <c r="N101" s="43"/>
      <c r="O101" s="43"/>
      <c r="P101" s="217"/>
      <c r="Q101" s="217"/>
      <c r="R101" s="217"/>
      <c r="S101" s="217"/>
      <c r="T101" s="217"/>
      <c r="U101" s="217"/>
      <c r="V101" s="217"/>
      <c r="W101" s="217"/>
      <c r="X101" s="217"/>
      <c r="Y101" s="217"/>
      <c r="Z101" s="217"/>
    </row>
    <row r="102" ht="15.75" customHeight="1">
      <c r="A102" s="43"/>
      <c r="B102" s="43"/>
      <c r="C102" s="43"/>
      <c r="D102" s="117"/>
      <c r="E102" s="43"/>
      <c r="F102" s="43"/>
      <c r="G102" s="43"/>
      <c r="H102" s="43"/>
      <c r="I102" s="43"/>
      <c r="J102" s="43"/>
      <c r="K102" s="43"/>
      <c r="L102" s="43"/>
      <c r="M102" s="43"/>
      <c r="N102" s="43"/>
      <c r="O102" s="43"/>
      <c r="P102" s="217"/>
      <c r="Q102" s="217"/>
      <c r="R102" s="217"/>
      <c r="S102" s="217"/>
      <c r="T102" s="217"/>
      <c r="U102" s="217"/>
      <c r="V102" s="217"/>
      <c r="W102" s="217"/>
      <c r="X102" s="217"/>
      <c r="Y102" s="217"/>
      <c r="Z102" s="217"/>
    </row>
    <row r="103" ht="15.75" customHeight="1">
      <c r="A103" s="43"/>
      <c r="B103" s="43"/>
      <c r="C103" s="43"/>
      <c r="D103" s="117"/>
      <c r="E103" s="43"/>
      <c r="F103" s="43"/>
      <c r="G103" s="43"/>
      <c r="H103" s="43"/>
      <c r="I103" s="43"/>
      <c r="J103" s="43"/>
      <c r="K103" s="43"/>
      <c r="L103" s="43"/>
      <c r="M103" s="43"/>
      <c r="N103" s="43"/>
      <c r="O103" s="43"/>
      <c r="P103" s="217"/>
      <c r="Q103" s="217"/>
      <c r="R103" s="217"/>
      <c r="S103" s="217"/>
      <c r="T103" s="217"/>
      <c r="U103" s="217"/>
      <c r="V103" s="217"/>
      <c r="W103" s="217"/>
      <c r="X103" s="217"/>
      <c r="Y103" s="217"/>
      <c r="Z103" s="217"/>
    </row>
    <row r="104" ht="15.75" customHeight="1">
      <c r="A104" s="43"/>
      <c r="B104" s="43"/>
      <c r="C104" s="43"/>
      <c r="D104" s="117"/>
      <c r="E104" s="43"/>
      <c r="F104" s="43"/>
      <c r="G104" s="43"/>
      <c r="H104" s="43"/>
      <c r="I104" s="43"/>
      <c r="J104" s="43"/>
      <c r="K104" s="43"/>
      <c r="L104" s="43"/>
      <c r="M104" s="43"/>
      <c r="N104" s="43"/>
      <c r="O104" s="43"/>
      <c r="P104" s="217"/>
      <c r="Q104" s="217"/>
      <c r="R104" s="217"/>
      <c r="S104" s="217"/>
      <c r="T104" s="217"/>
      <c r="U104" s="217"/>
      <c r="V104" s="217"/>
      <c r="W104" s="217"/>
      <c r="X104" s="217"/>
      <c r="Y104" s="217"/>
      <c r="Z104" s="217"/>
    </row>
    <row r="105" ht="15.75" customHeight="1">
      <c r="A105" s="43"/>
      <c r="B105" s="43"/>
      <c r="C105" s="43"/>
      <c r="D105" s="117"/>
      <c r="E105" s="43"/>
      <c r="F105" s="43"/>
      <c r="G105" s="43"/>
      <c r="H105" s="43"/>
      <c r="I105" s="43"/>
      <c r="J105" s="43"/>
      <c r="K105" s="43"/>
      <c r="L105" s="43"/>
      <c r="M105" s="43"/>
      <c r="N105" s="43"/>
      <c r="O105" s="43"/>
      <c r="P105" s="217"/>
      <c r="Q105" s="217"/>
      <c r="R105" s="217"/>
      <c r="S105" s="217"/>
      <c r="T105" s="217"/>
      <c r="U105" s="217"/>
      <c r="V105" s="217"/>
      <c r="W105" s="217"/>
      <c r="X105" s="217"/>
      <c r="Y105" s="217"/>
      <c r="Z105" s="217"/>
    </row>
    <row r="106" ht="15.75" customHeight="1">
      <c r="A106" s="43"/>
      <c r="B106" s="43"/>
      <c r="C106" s="43"/>
      <c r="D106" s="117"/>
      <c r="E106" s="43"/>
      <c r="F106" s="43"/>
      <c r="G106" s="43"/>
      <c r="H106" s="43"/>
      <c r="I106" s="43"/>
      <c r="J106" s="43"/>
      <c r="K106" s="43"/>
      <c r="L106" s="43"/>
      <c r="M106" s="43"/>
      <c r="N106" s="43"/>
      <c r="O106" s="43"/>
      <c r="P106" s="217"/>
      <c r="Q106" s="217"/>
      <c r="R106" s="217"/>
      <c r="S106" s="217"/>
      <c r="T106" s="217"/>
      <c r="U106" s="217"/>
      <c r="V106" s="217"/>
      <c r="W106" s="217"/>
      <c r="X106" s="217"/>
      <c r="Y106" s="217"/>
      <c r="Z106" s="217"/>
    </row>
    <row r="107" ht="15.75" customHeight="1">
      <c r="A107" s="43"/>
      <c r="B107" s="43"/>
      <c r="C107" s="43"/>
      <c r="D107" s="117"/>
      <c r="E107" s="43"/>
      <c r="F107" s="43"/>
      <c r="G107" s="43"/>
      <c r="H107" s="43"/>
      <c r="I107" s="43"/>
      <c r="J107" s="43"/>
      <c r="K107" s="43"/>
      <c r="L107" s="43"/>
      <c r="M107" s="43"/>
      <c r="N107" s="43"/>
      <c r="O107" s="43"/>
      <c r="P107" s="217"/>
      <c r="Q107" s="217"/>
      <c r="R107" s="217"/>
      <c r="S107" s="217"/>
      <c r="T107" s="217"/>
      <c r="U107" s="217"/>
      <c r="V107" s="217"/>
      <c r="W107" s="217"/>
      <c r="X107" s="217"/>
      <c r="Y107" s="217"/>
      <c r="Z107" s="217"/>
    </row>
    <row r="108" ht="15.75" customHeight="1">
      <c r="A108" s="43"/>
      <c r="B108" s="43"/>
      <c r="C108" s="43"/>
      <c r="D108" s="117"/>
      <c r="E108" s="43"/>
      <c r="F108" s="43"/>
      <c r="G108" s="43"/>
      <c r="H108" s="43"/>
      <c r="I108" s="43"/>
      <c r="J108" s="43"/>
      <c r="K108" s="43"/>
      <c r="L108" s="43"/>
      <c r="M108" s="43"/>
      <c r="N108" s="43"/>
      <c r="O108" s="43"/>
      <c r="P108" s="217"/>
      <c r="Q108" s="217"/>
      <c r="R108" s="217"/>
      <c r="S108" s="217"/>
      <c r="T108" s="217"/>
      <c r="U108" s="217"/>
      <c r="V108" s="217"/>
      <c r="W108" s="217"/>
      <c r="X108" s="217"/>
      <c r="Y108" s="217"/>
      <c r="Z108" s="217"/>
    </row>
    <row r="109" ht="15.75" customHeight="1">
      <c r="A109" s="43"/>
      <c r="B109" s="43"/>
      <c r="C109" s="43"/>
      <c r="D109" s="117"/>
      <c r="E109" s="43"/>
      <c r="F109" s="43"/>
      <c r="G109" s="43"/>
      <c r="H109" s="43"/>
      <c r="I109" s="43"/>
      <c r="J109" s="43"/>
      <c r="K109" s="43"/>
      <c r="L109" s="43"/>
      <c r="M109" s="43"/>
      <c r="N109" s="43"/>
      <c r="O109" s="43"/>
      <c r="P109" s="217"/>
      <c r="Q109" s="217"/>
      <c r="R109" s="217"/>
      <c r="S109" s="217"/>
      <c r="T109" s="217"/>
      <c r="U109" s="217"/>
      <c r="V109" s="217"/>
      <c r="W109" s="217"/>
      <c r="X109" s="217"/>
      <c r="Y109" s="217"/>
      <c r="Z109" s="217"/>
    </row>
    <row r="110" ht="15.75" customHeight="1">
      <c r="A110" s="43"/>
      <c r="B110" s="43"/>
      <c r="C110" s="43"/>
      <c r="D110" s="117"/>
      <c r="E110" s="43"/>
      <c r="F110" s="43"/>
      <c r="G110" s="43"/>
      <c r="H110" s="43"/>
      <c r="I110" s="43"/>
      <c r="J110" s="43"/>
      <c r="K110" s="43"/>
      <c r="L110" s="43"/>
      <c r="M110" s="43"/>
      <c r="N110" s="43"/>
      <c r="O110" s="43"/>
      <c r="P110" s="217"/>
      <c r="Q110" s="217"/>
      <c r="R110" s="217"/>
      <c r="S110" s="217"/>
      <c r="T110" s="217"/>
      <c r="U110" s="217"/>
      <c r="V110" s="217"/>
      <c r="W110" s="217"/>
      <c r="X110" s="217"/>
      <c r="Y110" s="217"/>
      <c r="Z110" s="217"/>
    </row>
    <row r="111" ht="15.75" customHeight="1">
      <c r="A111" s="43"/>
      <c r="B111" s="43"/>
      <c r="C111" s="43"/>
      <c r="D111" s="117"/>
      <c r="E111" s="43"/>
      <c r="F111" s="43"/>
      <c r="G111" s="43"/>
      <c r="H111" s="43"/>
      <c r="I111" s="43"/>
      <c r="J111" s="43"/>
      <c r="K111" s="43"/>
      <c r="L111" s="43"/>
      <c r="M111" s="43"/>
      <c r="N111" s="43"/>
      <c r="O111" s="43"/>
      <c r="P111" s="217"/>
      <c r="Q111" s="217"/>
      <c r="R111" s="217"/>
      <c r="S111" s="217"/>
      <c r="T111" s="217"/>
      <c r="U111" s="217"/>
      <c r="V111" s="217"/>
      <c r="W111" s="217"/>
      <c r="X111" s="217"/>
      <c r="Y111" s="217"/>
      <c r="Z111" s="217"/>
    </row>
    <row r="112" ht="15.75" customHeight="1">
      <c r="A112" s="43"/>
      <c r="B112" s="43"/>
      <c r="C112" s="43"/>
      <c r="D112" s="117"/>
      <c r="E112" s="43"/>
      <c r="F112" s="43"/>
      <c r="G112" s="43"/>
      <c r="H112" s="43"/>
      <c r="I112" s="43"/>
      <c r="J112" s="43"/>
      <c r="K112" s="43"/>
      <c r="L112" s="43"/>
      <c r="M112" s="43"/>
      <c r="N112" s="43"/>
      <c r="O112" s="43"/>
      <c r="P112" s="217"/>
      <c r="Q112" s="217"/>
      <c r="R112" s="217"/>
      <c r="S112" s="217"/>
      <c r="T112" s="217"/>
      <c r="U112" s="217"/>
      <c r="V112" s="217"/>
      <c r="W112" s="217"/>
      <c r="X112" s="217"/>
      <c r="Y112" s="217"/>
      <c r="Z112" s="217"/>
    </row>
    <row r="113" ht="15.75" customHeight="1">
      <c r="A113" s="43"/>
      <c r="B113" s="43"/>
      <c r="C113" s="43"/>
      <c r="D113" s="117"/>
      <c r="E113" s="43"/>
      <c r="F113" s="43"/>
      <c r="G113" s="43"/>
      <c r="H113" s="43"/>
      <c r="I113" s="43"/>
      <c r="J113" s="43"/>
      <c r="K113" s="43"/>
      <c r="L113" s="43"/>
      <c r="M113" s="43"/>
      <c r="N113" s="43"/>
      <c r="O113" s="43"/>
      <c r="P113" s="217"/>
      <c r="Q113" s="217"/>
      <c r="R113" s="217"/>
      <c r="S113" s="217"/>
      <c r="T113" s="217"/>
      <c r="U113" s="217"/>
      <c r="V113" s="217"/>
      <c r="W113" s="217"/>
      <c r="X113" s="217"/>
      <c r="Y113" s="217"/>
      <c r="Z113" s="217"/>
    </row>
    <row r="114" ht="15.75" customHeight="1">
      <c r="A114" s="43"/>
      <c r="B114" s="43"/>
      <c r="C114" s="43"/>
      <c r="D114" s="117"/>
      <c r="E114" s="43"/>
      <c r="F114" s="43"/>
      <c r="G114" s="43"/>
      <c r="H114" s="43"/>
      <c r="I114" s="43"/>
      <c r="J114" s="43"/>
      <c r="K114" s="43"/>
      <c r="L114" s="43"/>
      <c r="M114" s="43"/>
      <c r="N114" s="43"/>
      <c r="O114" s="43"/>
      <c r="P114" s="217"/>
      <c r="Q114" s="217"/>
      <c r="R114" s="217"/>
      <c r="S114" s="217"/>
      <c r="T114" s="217"/>
      <c r="U114" s="217"/>
      <c r="V114" s="217"/>
      <c r="W114" s="217"/>
      <c r="X114" s="217"/>
      <c r="Y114" s="217"/>
      <c r="Z114" s="217"/>
    </row>
    <row r="115" ht="15.75" customHeight="1">
      <c r="A115" s="43"/>
      <c r="B115" s="43"/>
      <c r="C115" s="43"/>
      <c r="D115" s="117"/>
      <c r="E115" s="43"/>
      <c r="F115" s="43"/>
      <c r="G115" s="43"/>
      <c r="H115" s="43"/>
      <c r="I115" s="43"/>
      <c r="J115" s="43"/>
      <c r="K115" s="43"/>
      <c r="L115" s="43"/>
      <c r="M115" s="43"/>
      <c r="N115" s="43"/>
      <c r="O115" s="43"/>
      <c r="P115" s="217"/>
      <c r="Q115" s="217"/>
      <c r="R115" s="217"/>
      <c r="S115" s="217"/>
      <c r="T115" s="217"/>
      <c r="U115" s="217"/>
      <c r="V115" s="217"/>
      <c r="W115" s="217"/>
      <c r="X115" s="217"/>
      <c r="Y115" s="217"/>
      <c r="Z115" s="217"/>
    </row>
    <row r="116" ht="15.75" customHeight="1">
      <c r="A116" s="43"/>
      <c r="B116" s="43"/>
      <c r="C116" s="43"/>
      <c r="D116" s="117"/>
      <c r="E116" s="43"/>
      <c r="F116" s="43"/>
      <c r="G116" s="43"/>
      <c r="H116" s="43"/>
      <c r="I116" s="43"/>
      <c r="J116" s="43"/>
      <c r="K116" s="43"/>
      <c r="L116" s="43"/>
      <c r="M116" s="43"/>
      <c r="N116" s="43"/>
      <c r="O116" s="43"/>
      <c r="P116" s="217"/>
      <c r="Q116" s="217"/>
      <c r="R116" s="217"/>
      <c r="S116" s="217"/>
      <c r="T116" s="217"/>
      <c r="U116" s="217"/>
      <c r="V116" s="217"/>
      <c r="W116" s="217"/>
      <c r="X116" s="217"/>
      <c r="Y116" s="217"/>
      <c r="Z116" s="217"/>
    </row>
    <row r="117" ht="15.75" customHeight="1">
      <c r="A117" s="43"/>
      <c r="B117" s="43"/>
      <c r="C117" s="43"/>
      <c r="D117" s="117"/>
      <c r="E117" s="43"/>
      <c r="F117" s="43"/>
      <c r="G117" s="43"/>
      <c r="H117" s="43"/>
      <c r="I117" s="43"/>
      <c r="J117" s="43"/>
      <c r="K117" s="43"/>
      <c r="L117" s="43"/>
      <c r="M117" s="43"/>
      <c r="N117" s="43"/>
      <c r="O117" s="43"/>
      <c r="P117" s="217"/>
      <c r="Q117" s="217"/>
      <c r="R117" s="217"/>
      <c r="S117" s="217"/>
      <c r="T117" s="217"/>
      <c r="U117" s="217"/>
      <c r="V117" s="217"/>
      <c r="W117" s="217"/>
      <c r="X117" s="217"/>
      <c r="Y117" s="217"/>
      <c r="Z117" s="217"/>
    </row>
    <row r="118" ht="15.75" customHeight="1">
      <c r="A118" s="43"/>
      <c r="B118" s="43"/>
      <c r="C118" s="43"/>
      <c r="D118" s="117"/>
      <c r="E118" s="43"/>
      <c r="F118" s="43"/>
      <c r="G118" s="43"/>
      <c r="H118" s="43"/>
      <c r="I118" s="43"/>
      <c r="J118" s="43"/>
      <c r="K118" s="43"/>
      <c r="L118" s="43"/>
      <c r="M118" s="43"/>
      <c r="N118" s="43"/>
      <c r="O118" s="43"/>
      <c r="P118" s="217"/>
      <c r="Q118" s="217"/>
      <c r="R118" s="217"/>
      <c r="S118" s="217"/>
      <c r="T118" s="217"/>
      <c r="U118" s="217"/>
      <c r="V118" s="217"/>
      <c r="W118" s="217"/>
      <c r="X118" s="217"/>
      <c r="Y118" s="217"/>
      <c r="Z118" s="217"/>
    </row>
    <row r="119" ht="15.75" customHeight="1">
      <c r="A119" s="43"/>
      <c r="B119" s="43"/>
      <c r="C119" s="43"/>
      <c r="D119" s="117"/>
      <c r="E119" s="43"/>
      <c r="F119" s="43"/>
      <c r="G119" s="43"/>
      <c r="H119" s="43"/>
      <c r="I119" s="43"/>
      <c r="J119" s="43"/>
      <c r="K119" s="43"/>
      <c r="L119" s="43"/>
      <c r="M119" s="43"/>
      <c r="N119" s="43"/>
      <c r="O119" s="43"/>
      <c r="P119" s="217"/>
      <c r="Q119" s="217"/>
      <c r="R119" s="217"/>
      <c r="S119" s="217"/>
      <c r="T119" s="217"/>
      <c r="U119" s="217"/>
      <c r="V119" s="217"/>
      <c r="W119" s="217"/>
      <c r="X119" s="217"/>
      <c r="Y119" s="217"/>
      <c r="Z119" s="217"/>
    </row>
    <row r="120" ht="15.75" customHeight="1">
      <c r="A120" s="43"/>
      <c r="B120" s="43"/>
      <c r="C120" s="43"/>
      <c r="D120" s="117"/>
      <c r="E120" s="43"/>
      <c r="F120" s="43"/>
      <c r="G120" s="43"/>
      <c r="H120" s="43"/>
      <c r="I120" s="43"/>
      <c r="J120" s="43"/>
      <c r="K120" s="43"/>
      <c r="L120" s="43"/>
      <c r="M120" s="43"/>
      <c r="N120" s="43"/>
      <c r="O120" s="43"/>
      <c r="P120" s="217"/>
      <c r="Q120" s="217"/>
      <c r="R120" s="217"/>
      <c r="S120" s="217"/>
      <c r="T120" s="217"/>
      <c r="U120" s="217"/>
      <c r="V120" s="217"/>
      <c r="W120" s="217"/>
      <c r="X120" s="217"/>
      <c r="Y120" s="217"/>
      <c r="Z120" s="217"/>
    </row>
    <row r="121" ht="15.75" customHeight="1">
      <c r="A121" s="43"/>
      <c r="B121" s="43"/>
      <c r="C121" s="43"/>
      <c r="D121" s="117"/>
      <c r="E121" s="43"/>
      <c r="F121" s="43"/>
      <c r="G121" s="43"/>
      <c r="H121" s="43"/>
      <c r="I121" s="43"/>
      <c r="J121" s="43"/>
      <c r="K121" s="43"/>
      <c r="L121" s="43"/>
      <c r="M121" s="43"/>
      <c r="N121" s="43"/>
      <c r="O121" s="43"/>
      <c r="P121" s="217"/>
      <c r="Q121" s="217"/>
      <c r="R121" s="217"/>
      <c r="S121" s="217"/>
      <c r="T121" s="217"/>
      <c r="U121" s="217"/>
      <c r="V121" s="217"/>
      <c r="W121" s="217"/>
      <c r="X121" s="217"/>
      <c r="Y121" s="217"/>
      <c r="Z121" s="217"/>
    </row>
    <row r="122" ht="15.75" customHeight="1">
      <c r="A122" s="43"/>
      <c r="B122" s="43"/>
      <c r="C122" s="43"/>
      <c r="D122" s="117"/>
      <c r="E122" s="43"/>
      <c r="F122" s="43"/>
      <c r="G122" s="43"/>
      <c r="H122" s="43"/>
      <c r="I122" s="43"/>
      <c r="J122" s="43"/>
      <c r="K122" s="43"/>
      <c r="L122" s="43"/>
      <c r="M122" s="43"/>
      <c r="N122" s="43"/>
      <c r="O122" s="43"/>
      <c r="P122" s="217"/>
      <c r="Q122" s="217"/>
      <c r="R122" s="217"/>
      <c r="S122" s="217"/>
      <c r="T122" s="217"/>
      <c r="U122" s="217"/>
      <c r="V122" s="217"/>
      <c r="W122" s="217"/>
      <c r="X122" s="217"/>
      <c r="Y122" s="217"/>
      <c r="Z122" s="217"/>
    </row>
    <row r="123" ht="15.75" customHeight="1">
      <c r="A123" s="43"/>
      <c r="B123" s="43"/>
      <c r="C123" s="43"/>
      <c r="D123" s="117"/>
      <c r="E123" s="43"/>
      <c r="F123" s="43"/>
      <c r="G123" s="43"/>
      <c r="H123" s="43"/>
      <c r="I123" s="43"/>
      <c r="J123" s="43"/>
      <c r="K123" s="43"/>
      <c r="L123" s="43"/>
      <c r="M123" s="43"/>
      <c r="N123" s="43"/>
      <c r="O123" s="43"/>
      <c r="P123" s="217"/>
      <c r="Q123" s="217"/>
      <c r="R123" s="217"/>
      <c r="S123" s="217"/>
      <c r="T123" s="217"/>
      <c r="U123" s="217"/>
      <c r="V123" s="217"/>
      <c r="W123" s="217"/>
      <c r="X123" s="217"/>
      <c r="Y123" s="217"/>
      <c r="Z123" s="217"/>
    </row>
    <row r="124" ht="15.75" customHeight="1">
      <c r="A124" s="43"/>
      <c r="B124" s="43"/>
      <c r="C124" s="43"/>
      <c r="D124" s="117"/>
      <c r="E124" s="43"/>
      <c r="F124" s="43"/>
      <c r="G124" s="43"/>
      <c r="H124" s="43"/>
      <c r="I124" s="43"/>
      <c r="J124" s="43"/>
      <c r="K124" s="43"/>
      <c r="L124" s="43"/>
      <c r="M124" s="43"/>
      <c r="N124" s="43"/>
      <c r="O124" s="43"/>
      <c r="P124" s="217"/>
      <c r="Q124" s="217"/>
      <c r="R124" s="217"/>
      <c r="S124" s="217"/>
      <c r="T124" s="217"/>
      <c r="U124" s="217"/>
      <c r="V124" s="217"/>
      <c r="W124" s="217"/>
      <c r="X124" s="217"/>
      <c r="Y124" s="217"/>
      <c r="Z124" s="217"/>
    </row>
    <row r="125" ht="15.75" customHeight="1">
      <c r="A125" s="43"/>
      <c r="B125" s="43"/>
      <c r="C125" s="43"/>
      <c r="D125" s="117"/>
      <c r="E125" s="43"/>
      <c r="F125" s="43"/>
      <c r="G125" s="43"/>
      <c r="H125" s="43"/>
      <c r="I125" s="43"/>
      <c r="J125" s="43"/>
      <c r="K125" s="43"/>
      <c r="L125" s="43"/>
      <c r="M125" s="43"/>
      <c r="N125" s="43"/>
      <c r="O125" s="43"/>
      <c r="P125" s="217"/>
      <c r="Q125" s="217"/>
      <c r="R125" s="217"/>
      <c r="S125" s="217"/>
      <c r="T125" s="217"/>
      <c r="U125" s="217"/>
      <c r="V125" s="217"/>
      <c r="W125" s="217"/>
      <c r="X125" s="217"/>
      <c r="Y125" s="217"/>
      <c r="Z125" s="217"/>
    </row>
    <row r="126" ht="15.75" customHeight="1">
      <c r="A126" s="43"/>
      <c r="B126" s="43"/>
      <c r="C126" s="43"/>
      <c r="D126" s="117"/>
      <c r="E126" s="43"/>
      <c r="F126" s="43"/>
      <c r="G126" s="43"/>
      <c r="H126" s="43"/>
      <c r="I126" s="43"/>
      <c r="J126" s="43"/>
      <c r="K126" s="43"/>
      <c r="L126" s="43"/>
      <c r="M126" s="43"/>
      <c r="N126" s="43"/>
      <c r="O126" s="43"/>
      <c r="P126" s="217"/>
      <c r="Q126" s="217"/>
      <c r="R126" s="217"/>
      <c r="S126" s="217"/>
      <c r="T126" s="217"/>
      <c r="U126" s="217"/>
      <c r="V126" s="217"/>
      <c r="W126" s="217"/>
      <c r="X126" s="217"/>
      <c r="Y126" s="217"/>
      <c r="Z126" s="217"/>
    </row>
    <row r="127" ht="15.75" customHeight="1">
      <c r="A127" s="43"/>
      <c r="B127" s="43"/>
      <c r="C127" s="43"/>
      <c r="D127" s="117"/>
      <c r="E127" s="43"/>
      <c r="F127" s="43"/>
      <c r="G127" s="43"/>
      <c r="H127" s="43"/>
      <c r="I127" s="43"/>
      <c r="J127" s="43"/>
      <c r="K127" s="43"/>
      <c r="L127" s="43"/>
      <c r="M127" s="43"/>
      <c r="N127" s="43"/>
      <c r="O127" s="43"/>
      <c r="P127" s="217"/>
      <c r="Q127" s="217"/>
      <c r="R127" s="217"/>
      <c r="S127" s="217"/>
      <c r="T127" s="217"/>
      <c r="U127" s="217"/>
      <c r="V127" s="217"/>
      <c r="W127" s="217"/>
      <c r="X127" s="217"/>
      <c r="Y127" s="217"/>
      <c r="Z127" s="217"/>
    </row>
    <row r="128" ht="15.75" customHeight="1">
      <c r="A128" s="43"/>
      <c r="B128" s="43"/>
      <c r="C128" s="43"/>
      <c r="D128" s="117"/>
      <c r="E128" s="43"/>
      <c r="F128" s="43"/>
      <c r="G128" s="43"/>
      <c r="H128" s="43"/>
      <c r="I128" s="43"/>
      <c r="J128" s="43"/>
      <c r="K128" s="43"/>
      <c r="L128" s="43"/>
      <c r="M128" s="43"/>
      <c r="N128" s="43"/>
      <c r="O128" s="43"/>
      <c r="P128" s="217"/>
      <c r="Q128" s="217"/>
      <c r="R128" s="217"/>
      <c r="S128" s="217"/>
      <c r="T128" s="217"/>
      <c r="U128" s="217"/>
      <c r="V128" s="217"/>
      <c r="W128" s="217"/>
      <c r="X128" s="217"/>
      <c r="Y128" s="217"/>
      <c r="Z128" s="217"/>
    </row>
    <row r="129" ht="15.75" customHeight="1">
      <c r="A129" s="43"/>
      <c r="B129" s="43"/>
      <c r="C129" s="43"/>
      <c r="D129" s="117"/>
      <c r="E129" s="43"/>
      <c r="F129" s="43"/>
      <c r="G129" s="43"/>
      <c r="H129" s="43"/>
      <c r="I129" s="43"/>
      <c r="J129" s="43"/>
      <c r="K129" s="43"/>
      <c r="L129" s="43"/>
      <c r="M129" s="43"/>
      <c r="N129" s="43"/>
      <c r="O129" s="43"/>
      <c r="P129" s="217"/>
      <c r="Q129" s="217"/>
      <c r="R129" s="217"/>
      <c r="S129" s="217"/>
      <c r="T129" s="217"/>
      <c r="U129" s="217"/>
      <c r="V129" s="217"/>
      <c r="W129" s="217"/>
      <c r="X129" s="217"/>
      <c r="Y129" s="217"/>
      <c r="Z129" s="217"/>
    </row>
    <row r="130" ht="15.75" customHeight="1">
      <c r="A130" s="43"/>
      <c r="B130" s="43"/>
      <c r="C130" s="43"/>
      <c r="D130" s="117"/>
      <c r="E130" s="43"/>
      <c r="F130" s="43"/>
      <c r="G130" s="43"/>
      <c r="H130" s="43"/>
      <c r="I130" s="43"/>
      <c r="J130" s="43"/>
      <c r="K130" s="43"/>
      <c r="L130" s="43"/>
      <c r="M130" s="43"/>
      <c r="N130" s="43"/>
      <c r="O130" s="43"/>
      <c r="P130" s="217"/>
      <c r="Q130" s="217"/>
      <c r="R130" s="217"/>
      <c r="S130" s="217"/>
      <c r="T130" s="217"/>
      <c r="U130" s="217"/>
      <c r="V130" s="217"/>
      <c r="W130" s="217"/>
      <c r="X130" s="217"/>
      <c r="Y130" s="217"/>
      <c r="Z130" s="217"/>
    </row>
    <row r="131" ht="15.75" customHeight="1">
      <c r="A131" s="43"/>
      <c r="B131" s="43"/>
      <c r="C131" s="43"/>
      <c r="D131" s="117"/>
      <c r="E131" s="43"/>
      <c r="F131" s="43"/>
      <c r="G131" s="43"/>
      <c r="H131" s="43"/>
      <c r="I131" s="43"/>
      <c r="J131" s="43"/>
      <c r="K131" s="43"/>
      <c r="L131" s="43"/>
      <c r="M131" s="43"/>
      <c r="N131" s="43"/>
      <c r="O131" s="43"/>
      <c r="P131" s="217"/>
      <c r="Q131" s="217"/>
      <c r="R131" s="217"/>
      <c r="S131" s="217"/>
      <c r="T131" s="217"/>
      <c r="U131" s="217"/>
      <c r="V131" s="217"/>
      <c r="W131" s="217"/>
      <c r="X131" s="217"/>
      <c r="Y131" s="217"/>
      <c r="Z131" s="217"/>
    </row>
    <row r="132" ht="15.75" customHeight="1">
      <c r="A132" s="43"/>
      <c r="B132" s="43"/>
      <c r="C132" s="43"/>
      <c r="D132" s="117"/>
      <c r="E132" s="43"/>
      <c r="F132" s="43"/>
      <c r="G132" s="43"/>
      <c r="H132" s="43"/>
      <c r="I132" s="43"/>
      <c r="J132" s="43"/>
      <c r="K132" s="43"/>
      <c r="L132" s="43"/>
      <c r="M132" s="43"/>
      <c r="N132" s="43"/>
      <c r="O132" s="43"/>
      <c r="P132" s="217"/>
      <c r="Q132" s="217"/>
      <c r="R132" s="217"/>
      <c r="S132" s="217"/>
      <c r="T132" s="217"/>
      <c r="U132" s="217"/>
      <c r="V132" s="217"/>
      <c r="W132" s="217"/>
      <c r="X132" s="217"/>
      <c r="Y132" s="217"/>
      <c r="Z132" s="217"/>
    </row>
    <row r="133" ht="15.75" customHeight="1">
      <c r="A133" s="43"/>
      <c r="B133" s="43"/>
      <c r="C133" s="43"/>
      <c r="D133" s="117"/>
      <c r="E133" s="43"/>
      <c r="F133" s="43"/>
      <c r="G133" s="43"/>
      <c r="H133" s="43"/>
      <c r="I133" s="43"/>
      <c r="J133" s="43"/>
      <c r="K133" s="43"/>
      <c r="L133" s="43"/>
      <c r="M133" s="43"/>
      <c r="N133" s="43"/>
      <c r="O133" s="43"/>
      <c r="P133" s="217"/>
      <c r="Q133" s="217"/>
      <c r="R133" s="217"/>
      <c r="S133" s="217"/>
      <c r="T133" s="217"/>
      <c r="U133" s="217"/>
      <c r="V133" s="217"/>
      <c r="W133" s="217"/>
      <c r="X133" s="217"/>
      <c r="Y133" s="217"/>
      <c r="Z133" s="217"/>
    </row>
    <row r="134" ht="15.75" customHeight="1">
      <c r="A134" s="43"/>
      <c r="B134" s="43"/>
      <c r="C134" s="43"/>
      <c r="D134" s="117"/>
      <c r="E134" s="43"/>
      <c r="F134" s="43"/>
      <c r="G134" s="43"/>
      <c r="H134" s="43"/>
      <c r="I134" s="43"/>
      <c r="J134" s="43"/>
      <c r="K134" s="43"/>
      <c r="L134" s="43"/>
      <c r="M134" s="43"/>
      <c r="N134" s="43"/>
      <c r="O134" s="43"/>
      <c r="P134" s="217"/>
      <c r="Q134" s="217"/>
      <c r="R134" s="217"/>
      <c r="S134" s="217"/>
      <c r="T134" s="217"/>
      <c r="U134" s="217"/>
      <c r="V134" s="217"/>
      <c r="W134" s="217"/>
      <c r="X134" s="217"/>
      <c r="Y134" s="217"/>
      <c r="Z134" s="217"/>
    </row>
    <row r="135" ht="15.75" customHeight="1">
      <c r="A135" s="43"/>
      <c r="B135" s="43"/>
      <c r="C135" s="43"/>
      <c r="D135" s="117"/>
      <c r="E135" s="43"/>
      <c r="F135" s="43"/>
      <c r="G135" s="43"/>
      <c r="H135" s="43"/>
      <c r="I135" s="43"/>
      <c r="J135" s="43"/>
      <c r="K135" s="43"/>
      <c r="L135" s="43"/>
      <c r="M135" s="43"/>
      <c r="N135" s="43"/>
      <c r="O135" s="43"/>
      <c r="P135" s="217"/>
      <c r="Q135" s="217"/>
      <c r="R135" s="217"/>
      <c r="S135" s="217"/>
      <c r="T135" s="217"/>
      <c r="U135" s="217"/>
      <c r="V135" s="217"/>
      <c r="W135" s="217"/>
      <c r="X135" s="217"/>
      <c r="Y135" s="217"/>
      <c r="Z135" s="217"/>
    </row>
    <row r="136" ht="15.75" customHeight="1">
      <c r="A136" s="43"/>
      <c r="B136" s="43"/>
      <c r="C136" s="43"/>
      <c r="D136" s="117"/>
      <c r="E136" s="43"/>
      <c r="F136" s="43"/>
      <c r="G136" s="43"/>
      <c r="H136" s="43"/>
      <c r="I136" s="43"/>
      <c r="J136" s="43"/>
      <c r="K136" s="43"/>
      <c r="L136" s="43"/>
      <c r="M136" s="43"/>
      <c r="N136" s="43"/>
      <c r="O136" s="43"/>
      <c r="P136" s="217"/>
      <c r="Q136" s="217"/>
      <c r="R136" s="217"/>
      <c r="S136" s="217"/>
      <c r="T136" s="217"/>
      <c r="U136" s="217"/>
      <c r="V136" s="217"/>
      <c r="W136" s="217"/>
      <c r="X136" s="217"/>
      <c r="Y136" s="217"/>
      <c r="Z136" s="217"/>
    </row>
    <row r="137" ht="15.75" customHeight="1">
      <c r="A137" s="43"/>
      <c r="B137" s="43"/>
      <c r="C137" s="43"/>
      <c r="D137" s="117"/>
      <c r="E137" s="43"/>
      <c r="F137" s="43"/>
      <c r="G137" s="43"/>
      <c r="H137" s="43"/>
      <c r="I137" s="43"/>
      <c r="J137" s="43"/>
      <c r="K137" s="43"/>
      <c r="L137" s="43"/>
      <c r="M137" s="43"/>
      <c r="N137" s="43"/>
      <c r="O137" s="43"/>
      <c r="P137" s="217"/>
      <c r="Q137" s="217"/>
      <c r="R137" s="217"/>
      <c r="S137" s="217"/>
      <c r="T137" s="217"/>
      <c r="U137" s="217"/>
      <c r="V137" s="217"/>
      <c r="W137" s="217"/>
      <c r="X137" s="217"/>
      <c r="Y137" s="217"/>
      <c r="Z137" s="217"/>
    </row>
    <row r="138" ht="15.75" customHeight="1">
      <c r="A138" s="43"/>
      <c r="B138" s="43"/>
      <c r="C138" s="43"/>
      <c r="D138" s="117"/>
      <c r="E138" s="43"/>
      <c r="F138" s="43"/>
      <c r="G138" s="43"/>
      <c r="H138" s="43"/>
      <c r="I138" s="43"/>
      <c r="J138" s="43"/>
      <c r="K138" s="43"/>
      <c r="L138" s="43"/>
      <c r="M138" s="43"/>
      <c r="N138" s="43"/>
      <c r="O138" s="43"/>
      <c r="P138" s="217"/>
      <c r="Q138" s="217"/>
      <c r="R138" s="217"/>
      <c r="S138" s="217"/>
      <c r="T138" s="217"/>
      <c r="U138" s="217"/>
      <c r="V138" s="217"/>
      <c r="W138" s="217"/>
      <c r="X138" s="217"/>
      <c r="Y138" s="217"/>
      <c r="Z138" s="217"/>
    </row>
    <row r="139" ht="15.75" customHeight="1">
      <c r="A139" s="43"/>
      <c r="B139" s="43"/>
      <c r="C139" s="43"/>
      <c r="D139" s="117"/>
      <c r="E139" s="43"/>
      <c r="F139" s="43"/>
      <c r="G139" s="43"/>
      <c r="H139" s="43"/>
      <c r="I139" s="43"/>
      <c r="J139" s="43"/>
      <c r="K139" s="43"/>
      <c r="L139" s="43"/>
      <c r="M139" s="43"/>
      <c r="N139" s="43"/>
      <c r="O139" s="43"/>
      <c r="P139" s="217"/>
      <c r="Q139" s="217"/>
      <c r="R139" s="217"/>
      <c r="S139" s="217"/>
      <c r="T139" s="217"/>
      <c r="U139" s="217"/>
      <c r="V139" s="217"/>
      <c r="W139" s="217"/>
      <c r="X139" s="217"/>
      <c r="Y139" s="217"/>
      <c r="Z139" s="217"/>
    </row>
    <row r="140" ht="15.75" customHeight="1">
      <c r="A140" s="43"/>
      <c r="B140" s="43"/>
      <c r="C140" s="43"/>
      <c r="D140" s="117"/>
      <c r="E140" s="43"/>
      <c r="F140" s="43"/>
      <c r="G140" s="43"/>
      <c r="H140" s="43"/>
      <c r="I140" s="43"/>
      <c r="J140" s="43"/>
      <c r="K140" s="43"/>
      <c r="L140" s="43"/>
      <c r="M140" s="43"/>
      <c r="N140" s="43"/>
      <c r="O140" s="43"/>
      <c r="P140" s="217"/>
      <c r="Q140" s="217"/>
      <c r="R140" s="217"/>
      <c r="S140" s="217"/>
      <c r="T140" s="217"/>
      <c r="U140" s="217"/>
      <c r="V140" s="217"/>
      <c r="W140" s="217"/>
      <c r="X140" s="217"/>
      <c r="Y140" s="217"/>
      <c r="Z140" s="217"/>
    </row>
    <row r="141" ht="15.75" customHeight="1">
      <c r="A141" s="43"/>
      <c r="B141" s="43"/>
      <c r="C141" s="43"/>
      <c r="D141" s="117"/>
      <c r="E141" s="43"/>
      <c r="F141" s="43"/>
      <c r="G141" s="43"/>
      <c r="H141" s="43"/>
      <c r="I141" s="43"/>
      <c r="J141" s="43"/>
      <c r="K141" s="43"/>
      <c r="L141" s="43"/>
      <c r="M141" s="43"/>
      <c r="N141" s="43"/>
      <c r="O141" s="43"/>
      <c r="P141" s="217"/>
      <c r="Q141" s="217"/>
      <c r="R141" s="217"/>
      <c r="S141" s="217"/>
      <c r="T141" s="217"/>
      <c r="U141" s="217"/>
      <c r="V141" s="217"/>
      <c r="W141" s="217"/>
      <c r="X141" s="217"/>
      <c r="Y141" s="217"/>
      <c r="Z141" s="217"/>
    </row>
    <row r="142" ht="15.75" customHeight="1">
      <c r="A142" s="43"/>
      <c r="B142" s="43"/>
      <c r="C142" s="43"/>
      <c r="D142" s="117"/>
      <c r="E142" s="43"/>
      <c r="F142" s="43"/>
      <c r="G142" s="43"/>
      <c r="H142" s="43"/>
      <c r="I142" s="43"/>
      <c r="J142" s="43"/>
      <c r="K142" s="43"/>
      <c r="L142" s="43"/>
      <c r="M142" s="43"/>
      <c r="N142" s="43"/>
      <c r="O142" s="43"/>
      <c r="P142" s="217"/>
      <c r="Q142" s="217"/>
      <c r="R142" s="217"/>
      <c r="S142" s="217"/>
      <c r="T142" s="217"/>
      <c r="U142" s="217"/>
      <c r="V142" s="217"/>
      <c r="W142" s="217"/>
      <c r="X142" s="217"/>
      <c r="Y142" s="217"/>
      <c r="Z142" s="217"/>
    </row>
    <row r="143" ht="15.75" customHeight="1">
      <c r="A143" s="43"/>
      <c r="B143" s="43"/>
      <c r="C143" s="43"/>
      <c r="D143" s="117"/>
      <c r="E143" s="43"/>
      <c r="F143" s="43"/>
      <c r="G143" s="43"/>
      <c r="H143" s="43"/>
      <c r="I143" s="43"/>
      <c r="J143" s="43"/>
      <c r="K143" s="43"/>
      <c r="L143" s="43"/>
      <c r="M143" s="43"/>
      <c r="N143" s="43"/>
      <c r="O143" s="43"/>
      <c r="P143" s="217"/>
      <c r="Q143" s="217"/>
      <c r="R143" s="217"/>
      <c r="S143" s="217"/>
      <c r="T143" s="217"/>
      <c r="U143" s="217"/>
      <c r="V143" s="217"/>
      <c r="W143" s="217"/>
      <c r="X143" s="217"/>
      <c r="Y143" s="217"/>
      <c r="Z143" s="217"/>
    </row>
    <row r="144" ht="15.75" customHeight="1">
      <c r="A144" s="43"/>
      <c r="B144" s="43"/>
      <c r="C144" s="43"/>
      <c r="D144" s="117"/>
      <c r="E144" s="43"/>
      <c r="F144" s="43"/>
      <c r="G144" s="43"/>
      <c r="H144" s="43"/>
      <c r="I144" s="43"/>
      <c r="J144" s="43"/>
      <c r="K144" s="43"/>
      <c r="L144" s="43"/>
      <c r="M144" s="43"/>
      <c r="N144" s="43"/>
      <c r="O144" s="43"/>
      <c r="P144" s="217"/>
      <c r="Q144" s="217"/>
      <c r="R144" s="217"/>
      <c r="S144" s="217"/>
      <c r="T144" s="217"/>
      <c r="U144" s="217"/>
      <c r="V144" s="217"/>
      <c r="W144" s="217"/>
      <c r="X144" s="217"/>
      <c r="Y144" s="217"/>
      <c r="Z144" s="217"/>
    </row>
    <row r="145" ht="15.75" customHeight="1">
      <c r="A145" s="43"/>
      <c r="B145" s="43"/>
      <c r="C145" s="43"/>
      <c r="D145" s="117"/>
      <c r="E145" s="43"/>
      <c r="F145" s="43"/>
      <c r="G145" s="43"/>
      <c r="H145" s="43"/>
      <c r="I145" s="43"/>
      <c r="J145" s="43"/>
      <c r="K145" s="43"/>
      <c r="L145" s="43"/>
      <c r="M145" s="43"/>
      <c r="N145" s="43"/>
      <c r="O145" s="43"/>
      <c r="P145" s="217"/>
      <c r="Q145" s="217"/>
      <c r="R145" s="217"/>
      <c r="S145" s="217"/>
      <c r="T145" s="217"/>
      <c r="U145" s="217"/>
      <c r="V145" s="217"/>
      <c r="W145" s="217"/>
      <c r="X145" s="217"/>
      <c r="Y145" s="217"/>
      <c r="Z145" s="217"/>
    </row>
    <row r="146" ht="15.75" customHeight="1">
      <c r="A146" s="43"/>
      <c r="B146" s="43"/>
      <c r="C146" s="43"/>
      <c r="D146" s="117"/>
      <c r="E146" s="43"/>
      <c r="F146" s="43"/>
      <c r="G146" s="43"/>
      <c r="H146" s="43"/>
      <c r="I146" s="43"/>
      <c r="J146" s="43"/>
      <c r="K146" s="43"/>
      <c r="L146" s="43"/>
      <c r="M146" s="43"/>
      <c r="N146" s="43"/>
      <c r="O146" s="43"/>
      <c r="P146" s="217"/>
      <c r="Q146" s="217"/>
      <c r="R146" s="217"/>
      <c r="S146" s="217"/>
      <c r="T146" s="217"/>
      <c r="U146" s="217"/>
      <c r="V146" s="217"/>
      <c r="W146" s="217"/>
      <c r="X146" s="217"/>
      <c r="Y146" s="217"/>
      <c r="Z146" s="217"/>
    </row>
    <row r="147" ht="15.75" customHeight="1">
      <c r="A147" s="43"/>
      <c r="B147" s="43"/>
      <c r="C147" s="43"/>
      <c r="D147" s="117"/>
      <c r="E147" s="43"/>
      <c r="F147" s="43"/>
      <c r="G147" s="43"/>
      <c r="H147" s="43"/>
      <c r="I147" s="43"/>
      <c r="J147" s="43"/>
      <c r="K147" s="43"/>
      <c r="L147" s="43"/>
      <c r="M147" s="43"/>
      <c r="N147" s="43"/>
      <c r="O147" s="43"/>
      <c r="P147" s="217"/>
      <c r="Q147" s="217"/>
      <c r="R147" s="217"/>
      <c r="S147" s="217"/>
      <c r="T147" s="217"/>
      <c r="U147" s="217"/>
      <c r="V147" s="217"/>
      <c r="W147" s="217"/>
      <c r="X147" s="217"/>
      <c r="Y147" s="217"/>
      <c r="Z147" s="217"/>
    </row>
    <row r="148" ht="15.75" customHeight="1">
      <c r="A148" s="43"/>
      <c r="B148" s="43"/>
      <c r="C148" s="43"/>
      <c r="D148" s="117"/>
      <c r="E148" s="43"/>
      <c r="F148" s="43"/>
      <c r="G148" s="43"/>
      <c r="H148" s="43"/>
      <c r="I148" s="43"/>
      <c r="J148" s="43"/>
      <c r="K148" s="43"/>
      <c r="L148" s="43"/>
      <c r="M148" s="43"/>
      <c r="N148" s="43"/>
      <c r="O148" s="43"/>
      <c r="P148" s="217"/>
      <c r="Q148" s="217"/>
      <c r="R148" s="217"/>
      <c r="S148" s="217"/>
      <c r="T148" s="217"/>
      <c r="U148" s="217"/>
      <c r="V148" s="217"/>
      <c r="W148" s="217"/>
      <c r="X148" s="217"/>
      <c r="Y148" s="217"/>
      <c r="Z148" s="217"/>
    </row>
    <row r="149" ht="15.75" customHeight="1">
      <c r="A149" s="43"/>
      <c r="B149" s="43"/>
      <c r="C149" s="43"/>
      <c r="D149" s="117"/>
      <c r="E149" s="43"/>
      <c r="F149" s="43"/>
      <c r="G149" s="43"/>
      <c r="H149" s="43"/>
      <c r="I149" s="43"/>
      <c r="J149" s="43"/>
      <c r="K149" s="43"/>
      <c r="L149" s="43"/>
      <c r="M149" s="43"/>
      <c r="N149" s="43"/>
      <c r="O149" s="43"/>
      <c r="P149" s="217"/>
      <c r="Q149" s="217"/>
      <c r="R149" s="217"/>
      <c r="S149" s="217"/>
      <c r="T149" s="217"/>
      <c r="U149" s="217"/>
      <c r="V149" s="217"/>
      <c r="W149" s="217"/>
      <c r="X149" s="217"/>
      <c r="Y149" s="217"/>
      <c r="Z149" s="217"/>
    </row>
    <row r="150" ht="15.75" customHeight="1">
      <c r="A150" s="43"/>
      <c r="B150" s="43"/>
      <c r="C150" s="43"/>
      <c r="D150" s="117"/>
      <c r="E150" s="43"/>
      <c r="F150" s="43"/>
      <c r="G150" s="43"/>
      <c r="H150" s="43"/>
      <c r="I150" s="43"/>
      <c r="J150" s="43"/>
      <c r="K150" s="43"/>
      <c r="L150" s="43"/>
      <c r="M150" s="43"/>
      <c r="N150" s="43"/>
      <c r="O150" s="43"/>
      <c r="P150" s="217"/>
      <c r="Q150" s="217"/>
      <c r="R150" s="217"/>
      <c r="S150" s="217"/>
      <c r="T150" s="217"/>
      <c r="U150" s="217"/>
      <c r="V150" s="217"/>
      <c r="W150" s="217"/>
      <c r="X150" s="217"/>
      <c r="Y150" s="217"/>
      <c r="Z150" s="217"/>
    </row>
    <row r="151" ht="15.75" customHeight="1">
      <c r="A151" s="43"/>
      <c r="B151" s="43"/>
      <c r="C151" s="43"/>
      <c r="D151" s="117"/>
      <c r="E151" s="43"/>
      <c r="F151" s="43"/>
      <c r="G151" s="43"/>
      <c r="H151" s="43"/>
      <c r="I151" s="43"/>
      <c r="J151" s="43"/>
      <c r="K151" s="43"/>
      <c r="L151" s="43"/>
      <c r="M151" s="43"/>
      <c r="N151" s="43"/>
      <c r="O151" s="43"/>
      <c r="P151" s="217"/>
      <c r="Q151" s="217"/>
      <c r="R151" s="217"/>
      <c r="S151" s="217"/>
      <c r="T151" s="217"/>
      <c r="U151" s="217"/>
      <c r="V151" s="217"/>
      <c r="W151" s="217"/>
      <c r="X151" s="217"/>
      <c r="Y151" s="217"/>
      <c r="Z151" s="217"/>
    </row>
    <row r="152" ht="15.75" customHeight="1">
      <c r="A152" s="43"/>
      <c r="B152" s="43"/>
      <c r="C152" s="43"/>
      <c r="D152" s="117"/>
      <c r="E152" s="43"/>
      <c r="F152" s="43"/>
      <c r="G152" s="43"/>
      <c r="H152" s="43"/>
      <c r="I152" s="43"/>
      <c r="J152" s="43"/>
      <c r="K152" s="43"/>
      <c r="L152" s="43"/>
      <c r="M152" s="43"/>
      <c r="N152" s="43"/>
      <c r="O152" s="43"/>
      <c r="P152" s="217"/>
      <c r="Q152" s="217"/>
      <c r="R152" s="217"/>
      <c r="S152" s="217"/>
      <c r="T152" s="217"/>
      <c r="U152" s="217"/>
      <c r="V152" s="217"/>
      <c r="W152" s="217"/>
      <c r="X152" s="217"/>
      <c r="Y152" s="217"/>
      <c r="Z152" s="217"/>
    </row>
    <row r="153" ht="15.75" customHeight="1">
      <c r="A153" s="43"/>
      <c r="B153" s="43"/>
      <c r="C153" s="43"/>
      <c r="D153" s="117"/>
      <c r="E153" s="43"/>
      <c r="F153" s="43"/>
      <c r="G153" s="43"/>
      <c r="H153" s="43"/>
      <c r="I153" s="43"/>
      <c r="J153" s="43"/>
      <c r="K153" s="43"/>
      <c r="L153" s="43"/>
      <c r="M153" s="43"/>
      <c r="N153" s="43"/>
      <c r="O153" s="43"/>
      <c r="P153" s="217"/>
      <c r="Q153" s="217"/>
      <c r="R153" s="217"/>
      <c r="S153" s="217"/>
      <c r="T153" s="217"/>
      <c r="U153" s="217"/>
      <c r="V153" s="217"/>
      <c r="W153" s="217"/>
      <c r="X153" s="217"/>
      <c r="Y153" s="217"/>
      <c r="Z153" s="217"/>
    </row>
    <row r="154" ht="15.75" customHeight="1">
      <c r="A154" s="43"/>
      <c r="B154" s="43"/>
      <c r="C154" s="43"/>
      <c r="D154" s="117"/>
      <c r="E154" s="43"/>
      <c r="F154" s="43"/>
      <c r="G154" s="43"/>
      <c r="H154" s="43"/>
      <c r="I154" s="43"/>
      <c r="J154" s="43"/>
      <c r="K154" s="43"/>
      <c r="L154" s="43"/>
      <c r="M154" s="43"/>
      <c r="N154" s="43"/>
      <c r="O154" s="43"/>
      <c r="P154" s="217"/>
      <c r="Q154" s="217"/>
      <c r="R154" s="217"/>
      <c r="S154" s="217"/>
      <c r="T154" s="217"/>
      <c r="U154" s="217"/>
      <c r="V154" s="217"/>
      <c r="W154" s="217"/>
      <c r="X154" s="217"/>
      <c r="Y154" s="217"/>
      <c r="Z154" s="217"/>
    </row>
    <row r="155" ht="15.75" customHeight="1">
      <c r="A155" s="43"/>
      <c r="B155" s="43"/>
      <c r="C155" s="43"/>
      <c r="D155" s="117"/>
      <c r="E155" s="43"/>
      <c r="F155" s="43"/>
      <c r="G155" s="43"/>
      <c r="H155" s="43"/>
      <c r="I155" s="43"/>
      <c r="J155" s="43"/>
      <c r="K155" s="43"/>
      <c r="L155" s="43"/>
      <c r="M155" s="43"/>
      <c r="N155" s="43"/>
      <c r="O155" s="43"/>
      <c r="P155" s="217"/>
      <c r="Q155" s="217"/>
      <c r="R155" s="217"/>
      <c r="S155" s="217"/>
      <c r="T155" s="217"/>
      <c r="U155" s="217"/>
      <c r="V155" s="217"/>
      <c r="W155" s="217"/>
      <c r="X155" s="217"/>
      <c r="Y155" s="217"/>
      <c r="Z155" s="217"/>
    </row>
    <row r="156" ht="15.75" customHeight="1">
      <c r="A156" s="43"/>
      <c r="B156" s="43"/>
      <c r="C156" s="43"/>
      <c r="D156" s="117"/>
      <c r="E156" s="43"/>
      <c r="F156" s="43"/>
      <c r="G156" s="43"/>
      <c r="H156" s="43"/>
      <c r="I156" s="43"/>
      <c r="J156" s="43"/>
      <c r="K156" s="43"/>
      <c r="L156" s="43"/>
      <c r="M156" s="43"/>
      <c r="N156" s="43"/>
      <c r="O156" s="43"/>
      <c r="P156" s="217"/>
      <c r="Q156" s="217"/>
      <c r="R156" s="217"/>
      <c r="S156" s="217"/>
      <c r="T156" s="217"/>
      <c r="U156" s="217"/>
      <c r="V156" s="217"/>
      <c r="W156" s="217"/>
      <c r="X156" s="217"/>
      <c r="Y156" s="217"/>
      <c r="Z156" s="217"/>
    </row>
    <row r="157" ht="15.75" customHeight="1">
      <c r="A157" s="43"/>
      <c r="B157" s="43"/>
      <c r="C157" s="43"/>
      <c r="D157" s="117"/>
      <c r="E157" s="43"/>
      <c r="F157" s="43"/>
      <c r="G157" s="43"/>
      <c r="H157" s="43"/>
      <c r="I157" s="43"/>
      <c r="J157" s="43"/>
      <c r="K157" s="43"/>
      <c r="L157" s="43"/>
      <c r="M157" s="43"/>
      <c r="N157" s="43"/>
      <c r="O157" s="43"/>
      <c r="P157" s="217"/>
      <c r="Q157" s="217"/>
      <c r="R157" s="217"/>
      <c r="S157" s="217"/>
      <c r="T157" s="217"/>
      <c r="U157" s="217"/>
      <c r="V157" s="217"/>
      <c r="W157" s="217"/>
      <c r="X157" s="217"/>
      <c r="Y157" s="217"/>
      <c r="Z157" s="217"/>
    </row>
    <row r="158" ht="15.75" customHeight="1">
      <c r="A158" s="43"/>
      <c r="B158" s="43"/>
      <c r="C158" s="43"/>
      <c r="D158" s="117"/>
      <c r="E158" s="43"/>
      <c r="F158" s="43"/>
      <c r="G158" s="43"/>
      <c r="H158" s="43"/>
      <c r="I158" s="43"/>
      <c r="J158" s="43"/>
      <c r="K158" s="43"/>
      <c r="L158" s="43"/>
      <c r="M158" s="43"/>
      <c r="N158" s="43"/>
      <c r="O158" s="43"/>
      <c r="P158" s="217"/>
      <c r="Q158" s="217"/>
      <c r="R158" s="217"/>
      <c r="S158" s="217"/>
      <c r="T158" s="217"/>
      <c r="U158" s="217"/>
      <c r="V158" s="217"/>
      <c r="W158" s="217"/>
      <c r="X158" s="217"/>
      <c r="Y158" s="217"/>
      <c r="Z158" s="217"/>
    </row>
    <row r="159" ht="15.75" customHeight="1">
      <c r="A159" s="43"/>
      <c r="B159" s="43"/>
      <c r="C159" s="43"/>
      <c r="D159" s="117"/>
      <c r="E159" s="43"/>
      <c r="F159" s="43"/>
      <c r="G159" s="43"/>
      <c r="H159" s="43"/>
      <c r="I159" s="43"/>
      <c r="J159" s="43"/>
      <c r="K159" s="43"/>
      <c r="L159" s="43"/>
      <c r="M159" s="43"/>
      <c r="N159" s="43"/>
      <c r="O159" s="43"/>
      <c r="P159" s="217"/>
      <c r="Q159" s="217"/>
      <c r="R159" s="217"/>
      <c r="S159" s="217"/>
      <c r="T159" s="217"/>
      <c r="U159" s="217"/>
      <c r="V159" s="217"/>
      <c r="W159" s="217"/>
      <c r="X159" s="217"/>
      <c r="Y159" s="217"/>
      <c r="Z159" s="217"/>
    </row>
    <row r="160" ht="15.75" customHeight="1">
      <c r="A160" s="43"/>
      <c r="B160" s="43"/>
      <c r="C160" s="43"/>
      <c r="D160" s="117"/>
      <c r="E160" s="43"/>
      <c r="F160" s="43"/>
      <c r="G160" s="43"/>
      <c r="H160" s="43"/>
      <c r="I160" s="43"/>
      <c r="J160" s="43"/>
      <c r="K160" s="43"/>
      <c r="L160" s="43"/>
      <c r="M160" s="43"/>
      <c r="N160" s="43"/>
      <c r="O160" s="43"/>
      <c r="P160" s="217"/>
      <c r="Q160" s="217"/>
      <c r="R160" s="217"/>
      <c r="S160" s="217"/>
      <c r="T160" s="217"/>
      <c r="U160" s="217"/>
      <c r="V160" s="217"/>
      <c r="W160" s="217"/>
      <c r="X160" s="217"/>
      <c r="Y160" s="217"/>
      <c r="Z160" s="217"/>
    </row>
    <row r="161" ht="15.75" customHeight="1">
      <c r="A161" s="43"/>
      <c r="B161" s="43"/>
      <c r="C161" s="43"/>
      <c r="D161" s="117"/>
      <c r="E161" s="43"/>
      <c r="F161" s="43"/>
      <c r="G161" s="43"/>
      <c r="H161" s="43"/>
      <c r="I161" s="43"/>
      <c r="J161" s="43"/>
      <c r="K161" s="43"/>
      <c r="L161" s="43"/>
      <c r="M161" s="43"/>
      <c r="N161" s="43"/>
      <c r="O161" s="43"/>
      <c r="P161" s="217"/>
      <c r="Q161" s="217"/>
      <c r="R161" s="217"/>
      <c r="S161" s="217"/>
      <c r="T161" s="217"/>
      <c r="U161" s="217"/>
      <c r="V161" s="217"/>
      <c r="W161" s="217"/>
      <c r="X161" s="217"/>
      <c r="Y161" s="217"/>
      <c r="Z161" s="217"/>
    </row>
    <row r="162" ht="15.75" customHeight="1">
      <c r="A162" s="43"/>
      <c r="B162" s="43"/>
      <c r="C162" s="43"/>
      <c r="D162" s="117"/>
      <c r="E162" s="43"/>
      <c r="F162" s="43"/>
      <c r="G162" s="43"/>
      <c r="H162" s="43"/>
      <c r="I162" s="43"/>
      <c r="J162" s="43"/>
      <c r="K162" s="43"/>
      <c r="L162" s="43"/>
      <c r="M162" s="43"/>
      <c r="N162" s="43"/>
      <c r="O162" s="43"/>
      <c r="P162" s="217"/>
      <c r="Q162" s="217"/>
      <c r="R162" s="217"/>
      <c r="S162" s="217"/>
      <c r="T162" s="217"/>
      <c r="U162" s="217"/>
      <c r="V162" s="217"/>
      <c r="W162" s="217"/>
      <c r="X162" s="217"/>
      <c r="Y162" s="217"/>
      <c r="Z162" s="217"/>
    </row>
    <row r="163" ht="15.75" customHeight="1">
      <c r="A163" s="43"/>
      <c r="B163" s="43"/>
      <c r="C163" s="43"/>
      <c r="D163" s="117"/>
      <c r="E163" s="43"/>
      <c r="F163" s="43"/>
      <c r="G163" s="43"/>
      <c r="H163" s="43"/>
      <c r="I163" s="43"/>
      <c r="J163" s="43"/>
      <c r="K163" s="43"/>
      <c r="L163" s="43"/>
      <c r="M163" s="43"/>
      <c r="N163" s="43"/>
      <c r="O163" s="43"/>
      <c r="P163" s="217"/>
      <c r="Q163" s="217"/>
      <c r="R163" s="217"/>
      <c r="S163" s="217"/>
      <c r="T163" s="217"/>
      <c r="U163" s="217"/>
      <c r="V163" s="217"/>
      <c r="W163" s="217"/>
      <c r="X163" s="217"/>
      <c r="Y163" s="217"/>
      <c r="Z163" s="217"/>
    </row>
    <row r="164" ht="15.75" customHeight="1">
      <c r="A164" s="43"/>
      <c r="B164" s="43"/>
      <c r="C164" s="43"/>
      <c r="D164" s="117"/>
      <c r="E164" s="43"/>
      <c r="F164" s="43"/>
      <c r="G164" s="43"/>
      <c r="H164" s="43"/>
      <c r="I164" s="43"/>
      <c r="J164" s="43"/>
      <c r="K164" s="43"/>
      <c r="L164" s="43"/>
      <c r="M164" s="43"/>
      <c r="N164" s="43"/>
      <c r="O164" s="43"/>
      <c r="P164" s="217"/>
      <c r="Q164" s="217"/>
      <c r="R164" s="217"/>
      <c r="S164" s="217"/>
      <c r="T164" s="217"/>
      <c r="U164" s="217"/>
      <c r="V164" s="217"/>
      <c r="W164" s="217"/>
      <c r="X164" s="217"/>
      <c r="Y164" s="217"/>
      <c r="Z164" s="217"/>
    </row>
    <row r="165" ht="15.75" customHeight="1">
      <c r="A165" s="43"/>
      <c r="B165" s="43"/>
      <c r="C165" s="43"/>
      <c r="D165" s="117"/>
      <c r="E165" s="43"/>
      <c r="F165" s="43"/>
      <c r="G165" s="43"/>
      <c r="H165" s="43"/>
      <c r="I165" s="43"/>
      <c r="J165" s="43"/>
      <c r="K165" s="43"/>
      <c r="L165" s="43"/>
      <c r="M165" s="43"/>
      <c r="N165" s="43"/>
      <c r="O165" s="43"/>
      <c r="P165" s="217"/>
      <c r="Q165" s="217"/>
      <c r="R165" s="217"/>
      <c r="S165" s="217"/>
      <c r="T165" s="217"/>
      <c r="U165" s="217"/>
      <c r="V165" s="217"/>
      <c r="W165" s="217"/>
      <c r="X165" s="217"/>
      <c r="Y165" s="217"/>
      <c r="Z165" s="217"/>
    </row>
    <row r="166" ht="15.75" customHeight="1">
      <c r="A166" s="43"/>
      <c r="B166" s="43"/>
      <c r="C166" s="43"/>
      <c r="D166" s="117"/>
      <c r="E166" s="43"/>
      <c r="F166" s="43"/>
      <c r="G166" s="43"/>
      <c r="H166" s="43"/>
      <c r="I166" s="43"/>
      <c r="J166" s="43"/>
      <c r="K166" s="43"/>
      <c r="L166" s="43"/>
      <c r="M166" s="43"/>
      <c r="N166" s="43"/>
      <c r="O166" s="43"/>
      <c r="P166" s="217"/>
      <c r="Q166" s="217"/>
      <c r="R166" s="217"/>
      <c r="S166" s="217"/>
      <c r="T166" s="217"/>
      <c r="U166" s="217"/>
      <c r="V166" s="217"/>
      <c r="W166" s="217"/>
      <c r="X166" s="217"/>
      <c r="Y166" s="217"/>
      <c r="Z166" s="217"/>
    </row>
    <row r="167" ht="15.75" customHeight="1">
      <c r="A167" s="43"/>
      <c r="B167" s="43"/>
      <c r="C167" s="43"/>
      <c r="D167" s="117"/>
      <c r="E167" s="43"/>
      <c r="F167" s="43"/>
      <c r="G167" s="43"/>
      <c r="H167" s="43"/>
      <c r="I167" s="43"/>
      <c r="J167" s="43"/>
      <c r="K167" s="43"/>
      <c r="L167" s="43"/>
      <c r="M167" s="43"/>
      <c r="N167" s="43"/>
      <c r="O167" s="43"/>
      <c r="P167" s="217"/>
      <c r="Q167" s="217"/>
      <c r="R167" s="217"/>
      <c r="S167" s="217"/>
      <c r="T167" s="217"/>
      <c r="U167" s="217"/>
      <c r="V167" s="217"/>
      <c r="W167" s="217"/>
      <c r="X167" s="217"/>
      <c r="Y167" s="217"/>
      <c r="Z167" s="217"/>
    </row>
    <row r="168" ht="15.75" customHeight="1">
      <c r="A168" s="43"/>
      <c r="B168" s="43"/>
      <c r="C168" s="43"/>
      <c r="D168" s="117"/>
      <c r="E168" s="43"/>
      <c r="F168" s="43"/>
      <c r="G168" s="43"/>
      <c r="H168" s="43"/>
      <c r="I168" s="43"/>
      <c r="J168" s="43"/>
      <c r="K168" s="43"/>
      <c r="L168" s="43"/>
      <c r="M168" s="43"/>
      <c r="N168" s="43"/>
      <c r="O168" s="43"/>
      <c r="P168" s="217"/>
      <c r="Q168" s="217"/>
      <c r="R168" s="217"/>
      <c r="S168" s="217"/>
      <c r="T168" s="217"/>
      <c r="U168" s="217"/>
      <c r="V168" s="217"/>
      <c r="W168" s="217"/>
      <c r="X168" s="217"/>
      <c r="Y168" s="217"/>
      <c r="Z168" s="217"/>
    </row>
    <row r="169" ht="15.75" customHeight="1">
      <c r="A169" s="43"/>
      <c r="B169" s="43"/>
      <c r="C169" s="43"/>
      <c r="D169" s="117"/>
      <c r="E169" s="43"/>
      <c r="F169" s="43"/>
      <c r="G169" s="43"/>
      <c r="H169" s="43"/>
      <c r="I169" s="43"/>
      <c r="J169" s="43"/>
      <c r="K169" s="43"/>
      <c r="L169" s="43"/>
      <c r="M169" s="43"/>
      <c r="N169" s="43"/>
      <c r="O169" s="43"/>
      <c r="P169" s="217"/>
      <c r="Q169" s="217"/>
      <c r="R169" s="217"/>
      <c r="S169" s="217"/>
      <c r="T169" s="217"/>
      <c r="U169" s="217"/>
      <c r="V169" s="217"/>
      <c r="W169" s="217"/>
      <c r="X169" s="217"/>
      <c r="Y169" s="217"/>
      <c r="Z169" s="217"/>
    </row>
    <row r="170" ht="15.75" customHeight="1">
      <c r="A170" s="43"/>
      <c r="B170" s="43"/>
      <c r="C170" s="43"/>
      <c r="D170" s="117"/>
      <c r="E170" s="43"/>
      <c r="F170" s="43"/>
      <c r="G170" s="43"/>
      <c r="H170" s="43"/>
      <c r="I170" s="43"/>
      <c r="J170" s="43"/>
      <c r="K170" s="43"/>
      <c r="L170" s="43"/>
      <c r="M170" s="43"/>
      <c r="N170" s="43"/>
      <c r="O170" s="43"/>
      <c r="P170" s="217"/>
      <c r="Q170" s="217"/>
      <c r="R170" s="217"/>
      <c r="S170" s="217"/>
      <c r="T170" s="217"/>
      <c r="U170" s="217"/>
      <c r="V170" s="217"/>
      <c r="W170" s="217"/>
      <c r="X170" s="217"/>
      <c r="Y170" s="217"/>
      <c r="Z170" s="217"/>
    </row>
    <row r="171" ht="15.75" customHeight="1">
      <c r="A171" s="43"/>
      <c r="B171" s="43"/>
      <c r="C171" s="43"/>
      <c r="D171" s="117"/>
      <c r="E171" s="43"/>
      <c r="F171" s="43"/>
      <c r="G171" s="43"/>
      <c r="H171" s="43"/>
      <c r="I171" s="43"/>
      <c r="J171" s="43"/>
      <c r="K171" s="43"/>
      <c r="L171" s="43"/>
      <c r="M171" s="43"/>
      <c r="N171" s="43"/>
      <c r="O171" s="43"/>
      <c r="P171" s="217"/>
      <c r="Q171" s="217"/>
      <c r="R171" s="217"/>
      <c r="S171" s="217"/>
      <c r="T171" s="217"/>
      <c r="U171" s="217"/>
      <c r="V171" s="217"/>
      <c r="W171" s="217"/>
      <c r="X171" s="217"/>
      <c r="Y171" s="217"/>
      <c r="Z171" s="217"/>
    </row>
    <row r="172" ht="15.75" customHeight="1">
      <c r="A172" s="43"/>
      <c r="B172" s="43"/>
      <c r="C172" s="43"/>
      <c r="D172" s="117"/>
      <c r="E172" s="43"/>
      <c r="F172" s="43"/>
      <c r="G172" s="43"/>
      <c r="H172" s="43"/>
      <c r="I172" s="43"/>
      <c r="J172" s="43"/>
      <c r="K172" s="43"/>
      <c r="L172" s="43"/>
      <c r="M172" s="43"/>
      <c r="N172" s="43"/>
      <c r="O172" s="43"/>
      <c r="P172" s="217"/>
      <c r="Q172" s="217"/>
      <c r="R172" s="217"/>
      <c r="S172" s="217"/>
      <c r="T172" s="217"/>
      <c r="U172" s="217"/>
      <c r="V172" s="217"/>
      <c r="W172" s="217"/>
      <c r="X172" s="217"/>
      <c r="Y172" s="217"/>
      <c r="Z172" s="217"/>
    </row>
    <row r="173" ht="15.75" customHeight="1">
      <c r="A173" s="43"/>
      <c r="B173" s="43"/>
      <c r="C173" s="43"/>
      <c r="D173" s="117"/>
      <c r="E173" s="43"/>
      <c r="F173" s="43"/>
      <c r="G173" s="43"/>
      <c r="H173" s="43"/>
      <c r="I173" s="43"/>
      <c r="J173" s="43"/>
      <c r="K173" s="43"/>
      <c r="L173" s="43"/>
      <c r="M173" s="43"/>
      <c r="N173" s="43"/>
      <c r="O173" s="43"/>
      <c r="P173" s="217"/>
      <c r="Q173" s="217"/>
      <c r="R173" s="217"/>
      <c r="S173" s="217"/>
      <c r="T173" s="217"/>
      <c r="U173" s="217"/>
      <c r="V173" s="217"/>
      <c r="W173" s="217"/>
      <c r="X173" s="217"/>
      <c r="Y173" s="217"/>
      <c r="Z173" s="217"/>
    </row>
    <row r="174" ht="15.75" customHeight="1">
      <c r="A174" s="43"/>
      <c r="B174" s="43"/>
      <c r="C174" s="43"/>
      <c r="D174" s="117"/>
      <c r="E174" s="43"/>
      <c r="F174" s="43"/>
      <c r="G174" s="43"/>
      <c r="H174" s="43"/>
      <c r="I174" s="43"/>
      <c r="J174" s="43"/>
      <c r="K174" s="43"/>
      <c r="L174" s="43"/>
      <c r="M174" s="43"/>
      <c r="N174" s="43"/>
      <c r="O174" s="43"/>
      <c r="P174" s="217"/>
      <c r="Q174" s="217"/>
      <c r="R174" s="217"/>
      <c r="S174" s="217"/>
      <c r="T174" s="217"/>
      <c r="U174" s="217"/>
      <c r="V174" s="217"/>
      <c r="W174" s="217"/>
      <c r="X174" s="217"/>
      <c r="Y174" s="217"/>
      <c r="Z174" s="217"/>
    </row>
    <row r="175" ht="15.75" customHeight="1">
      <c r="A175" s="43"/>
      <c r="B175" s="43"/>
      <c r="C175" s="43"/>
      <c r="D175" s="117"/>
      <c r="E175" s="43"/>
      <c r="F175" s="43"/>
      <c r="G175" s="43"/>
      <c r="H175" s="43"/>
      <c r="I175" s="43"/>
      <c r="J175" s="43"/>
      <c r="K175" s="43"/>
      <c r="L175" s="43"/>
      <c r="M175" s="43"/>
      <c r="N175" s="43"/>
      <c r="O175" s="43"/>
      <c r="P175" s="217"/>
      <c r="Q175" s="217"/>
      <c r="R175" s="217"/>
      <c r="S175" s="217"/>
      <c r="T175" s="217"/>
      <c r="U175" s="217"/>
      <c r="V175" s="217"/>
      <c r="W175" s="217"/>
      <c r="X175" s="217"/>
      <c r="Y175" s="217"/>
      <c r="Z175" s="217"/>
    </row>
    <row r="176" ht="15.75" customHeight="1">
      <c r="A176" s="43"/>
      <c r="B176" s="43"/>
      <c r="C176" s="43"/>
      <c r="D176" s="117"/>
      <c r="E176" s="43"/>
      <c r="F176" s="43"/>
      <c r="G176" s="43"/>
      <c r="H176" s="43"/>
      <c r="I176" s="43"/>
      <c r="J176" s="43"/>
      <c r="K176" s="43"/>
      <c r="L176" s="43"/>
      <c r="M176" s="43"/>
      <c r="N176" s="43"/>
      <c r="O176" s="43"/>
      <c r="P176" s="217"/>
      <c r="Q176" s="217"/>
      <c r="R176" s="217"/>
      <c r="S176" s="217"/>
      <c r="T176" s="217"/>
      <c r="U176" s="217"/>
      <c r="V176" s="217"/>
      <c r="W176" s="217"/>
      <c r="X176" s="217"/>
      <c r="Y176" s="217"/>
      <c r="Z176" s="217"/>
    </row>
    <row r="177" ht="15.75" customHeight="1">
      <c r="A177" s="43"/>
      <c r="B177" s="43"/>
      <c r="C177" s="43"/>
      <c r="D177" s="117"/>
      <c r="E177" s="43"/>
      <c r="F177" s="43"/>
      <c r="G177" s="43"/>
      <c r="H177" s="43"/>
      <c r="I177" s="43"/>
      <c r="J177" s="43"/>
      <c r="K177" s="43"/>
      <c r="L177" s="43"/>
      <c r="M177" s="43"/>
      <c r="N177" s="43"/>
      <c r="O177" s="43"/>
      <c r="P177" s="217"/>
      <c r="Q177" s="217"/>
      <c r="R177" s="217"/>
      <c r="S177" s="217"/>
      <c r="T177" s="217"/>
      <c r="U177" s="217"/>
      <c r="V177" s="217"/>
      <c r="W177" s="217"/>
      <c r="X177" s="217"/>
      <c r="Y177" s="217"/>
      <c r="Z177" s="217"/>
    </row>
    <row r="178" ht="15.75" customHeight="1">
      <c r="A178" s="43"/>
      <c r="B178" s="43"/>
      <c r="C178" s="43"/>
      <c r="D178" s="117"/>
      <c r="E178" s="43"/>
      <c r="F178" s="43"/>
      <c r="G178" s="43"/>
      <c r="H178" s="43"/>
      <c r="I178" s="43"/>
      <c r="J178" s="43"/>
      <c r="K178" s="43"/>
      <c r="L178" s="43"/>
      <c r="M178" s="43"/>
      <c r="N178" s="43"/>
      <c r="O178" s="43"/>
      <c r="P178" s="217"/>
      <c r="Q178" s="217"/>
      <c r="R178" s="217"/>
      <c r="S178" s="217"/>
      <c r="T178" s="217"/>
      <c r="U178" s="217"/>
      <c r="V178" s="217"/>
      <c r="W178" s="217"/>
      <c r="X178" s="217"/>
      <c r="Y178" s="217"/>
      <c r="Z178" s="217"/>
    </row>
    <row r="179" ht="15.75" customHeight="1">
      <c r="A179" s="43"/>
      <c r="B179" s="43"/>
      <c r="C179" s="43"/>
      <c r="D179" s="117"/>
      <c r="E179" s="43"/>
      <c r="F179" s="43"/>
      <c r="G179" s="43"/>
      <c r="H179" s="43"/>
      <c r="I179" s="43"/>
      <c r="J179" s="43"/>
      <c r="K179" s="43"/>
      <c r="L179" s="43"/>
      <c r="M179" s="43"/>
      <c r="N179" s="43"/>
      <c r="O179" s="43"/>
      <c r="P179" s="217"/>
      <c r="Q179" s="217"/>
      <c r="R179" s="217"/>
      <c r="S179" s="217"/>
      <c r="T179" s="217"/>
      <c r="U179" s="217"/>
      <c r="V179" s="217"/>
      <c r="W179" s="217"/>
      <c r="X179" s="217"/>
      <c r="Y179" s="217"/>
      <c r="Z179" s="217"/>
    </row>
    <row r="180" ht="15.75" customHeight="1">
      <c r="A180" s="43"/>
      <c r="B180" s="43"/>
      <c r="C180" s="43"/>
      <c r="D180" s="117"/>
      <c r="E180" s="43"/>
      <c r="F180" s="43"/>
      <c r="G180" s="43"/>
      <c r="H180" s="43"/>
      <c r="I180" s="43"/>
      <c r="J180" s="43"/>
      <c r="K180" s="43"/>
      <c r="L180" s="43"/>
      <c r="M180" s="43"/>
      <c r="N180" s="43"/>
      <c r="O180" s="43"/>
      <c r="P180" s="217"/>
      <c r="Q180" s="217"/>
      <c r="R180" s="217"/>
      <c r="S180" s="217"/>
      <c r="T180" s="217"/>
      <c r="U180" s="217"/>
      <c r="V180" s="217"/>
      <c r="W180" s="217"/>
      <c r="X180" s="217"/>
      <c r="Y180" s="217"/>
      <c r="Z180" s="217"/>
    </row>
    <row r="181" ht="15.75" customHeight="1">
      <c r="A181" s="43"/>
      <c r="B181" s="43"/>
      <c r="C181" s="43"/>
      <c r="D181" s="117"/>
      <c r="E181" s="43"/>
      <c r="F181" s="43"/>
      <c r="G181" s="43"/>
      <c r="H181" s="43"/>
      <c r="I181" s="43"/>
      <c r="J181" s="43"/>
      <c r="K181" s="43"/>
      <c r="L181" s="43"/>
      <c r="M181" s="43"/>
      <c r="N181" s="43"/>
      <c r="O181" s="43"/>
      <c r="P181" s="217"/>
      <c r="Q181" s="217"/>
      <c r="R181" s="217"/>
      <c r="S181" s="217"/>
      <c r="T181" s="217"/>
      <c r="U181" s="217"/>
      <c r="V181" s="217"/>
      <c r="W181" s="217"/>
      <c r="X181" s="217"/>
      <c r="Y181" s="217"/>
      <c r="Z181" s="217"/>
    </row>
    <row r="182" ht="15.75" customHeight="1">
      <c r="A182" s="43"/>
      <c r="B182" s="43"/>
      <c r="C182" s="43"/>
      <c r="D182" s="117"/>
      <c r="E182" s="43"/>
      <c r="F182" s="43"/>
      <c r="G182" s="43"/>
      <c r="H182" s="43"/>
      <c r="I182" s="43"/>
      <c r="J182" s="43"/>
      <c r="K182" s="43"/>
      <c r="L182" s="43"/>
      <c r="M182" s="43"/>
      <c r="N182" s="43"/>
      <c r="O182" s="43"/>
      <c r="P182" s="217"/>
      <c r="Q182" s="217"/>
      <c r="R182" s="217"/>
      <c r="S182" s="217"/>
      <c r="T182" s="217"/>
      <c r="U182" s="217"/>
      <c r="V182" s="217"/>
      <c r="W182" s="217"/>
      <c r="X182" s="217"/>
      <c r="Y182" s="217"/>
      <c r="Z182" s="217"/>
    </row>
    <row r="183" ht="15.75" customHeight="1">
      <c r="A183" s="43"/>
      <c r="B183" s="43"/>
      <c r="C183" s="43"/>
      <c r="D183" s="117"/>
      <c r="E183" s="43"/>
      <c r="F183" s="43"/>
      <c r="G183" s="43"/>
      <c r="H183" s="43"/>
      <c r="I183" s="43"/>
      <c r="J183" s="43"/>
      <c r="K183" s="43"/>
      <c r="L183" s="43"/>
      <c r="M183" s="43"/>
      <c r="N183" s="43"/>
      <c r="O183" s="43"/>
      <c r="P183" s="217"/>
      <c r="Q183" s="217"/>
      <c r="R183" s="217"/>
      <c r="S183" s="217"/>
      <c r="T183" s="217"/>
      <c r="U183" s="217"/>
      <c r="V183" s="217"/>
      <c r="W183" s="217"/>
      <c r="X183" s="217"/>
      <c r="Y183" s="217"/>
      <c r="Z183" s="217"/>
    </row>
    <row r="184" ht="15.75" customHeight="1">
      <c r="A184" s="43"/>
      <c r="B184" s="43"/>
      <c r="C184" s="43"/>
      <c r="D184" s="117"/>
      <c r="E184" s="43"/>
      <c r="F184" s="43"/>
      <c r="G184" s="43"/>
      <c r="H184" s="43"/>
      <c r="I184" s="43"/>
      <c r="J184" s="43"/>
      <c r="K184" s="43"/>
      <c r="L184" s="43"/>
      <c r="M184" s="43"/>
      <c r="N184" s="43"/>
      <c r="O184" s="43"/>
      <c r="P184" s="217"/>
      <c r="Q184" s="217"/>
      <c r="R184" s="217"/>
      <c r="S184" s="217"/>
      <c r="T184" s="217"/>
      <c r="U184" s="217"/>
      <c r="V184" s="217"/>
      <c r="W184" s="217"/>
      <c r="X184" s="217"/>
      <c r="Y184" s="217"/>
      <c r="Z184" s="217"/>
    </row>
    <row r="185" ht="15.75" customHeight="1">
      <c r="A185" s="43"/>
      <c r="B185" s="43"/>
      <c r="C185" s="43"/>
      <c r="D185" s="117"/>
      <c r="E185" s="43"/>
      <c r="F185" s="43"/>
      <c r="G185" s="43"/>
      <c r="H185" s="43"/>
      <c r="I185" s="43"/>
      <c r="J185" s="43"/>
      <c r="K185" s="43"/>
      <c r="L185" s="43"/>
      <c r="M185" s="43"/>
      <c r="N185" s="43"/>
      <c r="O185" s="43"/>
      <c r="P185" s="217"/>
      <c r="Q185" s="217"/>
      <c r="R185" s="217"/>
      <c r="S185" s="217"/>
      <c r="T185" s="217"/>
      <c r="U185" s="217"/>
      <c r="V185" s="217"/>
      <c r="W185" s="217"/>
      <c r="X185" s="217"/>
      <c r="Y185" s="217"/>
      <c r="Z185" s="217"/>
    </row>
    <row r="186" ht="15.75" customHeight="1">
      <c r="A186" s="43"/>
      <c r="B186" s="43"/>
      <c r="C186" s="43"/>
      <c r="D186" s="117"/>
      <c r="E186" s="43"/>
      <c r="F186" s="43"/>
      <c r="G186" s="43"/>
      <c r="H186" s="43"/>
      <c r="I186" s="43"/>
      <c r="J186" s="43"/>
      <c r="K186" s="43"/>
      <c r="L186" s="43"/>
      <c r="M186" s="43"/>
      <c r="N186" s="43"/>
      <c r="O186" s="43"/>
      <c r="P186" s="217"/>
      <c r="Q186" s="217"/>
      <c r="R186" s="217"/>
      <c r="S186" s="217"/>
      <c r="T186" s="217"/>
      <c r="U186" s="217"/>
      <c r="V186" s="217"/>
      <c r="W186" s="217"/>
      <c r="X186" s="217"/>
      <c r="Y186" s="217"/>
      <c r="Z186" s="217"/>
    </row>
    <row r="187" ht="15.75" customHeight="1">
      <c r="A187" s="43"/>
      <c r="B187" s="43"/>
      <c r="C187" s="43"/>
      <c r="D187" s="117"/>
      <c r="E187" s="43"/>
      <c r="F187" s="43"/>
      <c r="G187" s="43"/>
      <c r="H187" s="43"/>
      <c r="I187" s="43"/>
      <c r="J187" s="43"/>
      <c r="K187" s="43"/>
      <c r="L187" s="43"/>
      <c r="M187" s="43"/>
      <c r="N187" s="43"/>
      <c r="O187" s="43"/>
      <c r="P187" s="217"/>
      <c r="Q187" s="217"/>
      <c r="R187" s="217"/>
      <c r="S187" s="217"/>
      <c r="T187" s="217"/>
      <c r="U187" s="217"/>
      <c r="V187" s="217"/>
      <c r="W187" s="217"/>
      <c r="X187" s="217"/>
      <c r="Y187" s="217"/>
      <c r="Z187" s="217"/>
    </row>
    <row r="188" ht="15.75" customHeight="1">
      <c r="A188" s="43"/>
      <c r="B188" s="43"/>
      <c r="C188" s="43"/>
      <c r="D188" s="117"/>
      <c r="E188" s="43"/>
      <c r="F188" s="43"/>
      <c r="G188" s="43"/>
      <c r="H188" s="43"/>
      <c r="I188" s="43"/>
      <c r="J188" s="43"/>
      <c r="K188" s="43"/>
      <c r="L188" s="43"/>
      <c r="M188" s="43"/>
      <c r="N188" s="43"/>
      <c r="O188" s="43"/>
      <c r="P188" s="217"/>
      <c r="Q188" s="217"/>
      <c r="R188" s="217"/>
      <c r="S188" s="217"/>
      <c r="T188" s="217"/>
      <c r="U188" s="217"/>
      <c r="V188" s="217"/>
      <c r="W188" s="217"/>
      <c r="X188" s="217"/>
      <c r="Y188" s="217"/>
      <c r="Z188" s="217"/>
    </row>
    <row r="189" ht="15.75" customHeight="1">
      <c r="A189" s="43"/>
      <c r="B189" s="43"/>
      <c r="C189" s="43"/>
      <c r="D189" s="117"/>
      <c r="E189" s="43"/>
      <c r="F189" s="43"/>
      <c r="G189" s="43"/>
      <c r="H189" s="43"/>
      <c r="I189" s="43"/>
      <c r="J189" s="43"/>
      <c r="K189" s="43"/>
      <c r="L189" s="43"/>
      <c r="M189" s="43"/>
      <c r="N189" s="43"/>
      <c r="O189" s="43"/>
      <c r="P189" s="217"/>
      <c r="Q189" s="217"/>
      <c r="R189" s="217"/>
      <c r="S189" s="217"/>
      <c r="T189" s="217"/>
      <c r="U189" s="217"/>
      <c r="V189" s="217"/>
      <c r="W189" s="217"/>
      <c r="X189" s="217"/>
      <c r="Y189" s="217"/>
      <c r="Z189" s="217"/>
    </row>
    <row r="190" ht="15.75" customHeight="1">
      <c r="A190" s="43"/>
      <c r="B190" s="43"/>
      <c r="C190" s="43"/>
      <c r="D190" s="117"/>
      <c r="E190" s="43"/>
      <c r="F190" s="43"/>
      <c r="G190" s="43"/>
      <c r="H190" s="43"/>
      <c r="I190" s="43"/>
      <c r="J190" s="43"/>
      <c r="K190" s="43"/>
      <c r="L190" s="43"/>
      <c r="M190" s="43"/>
      <c r="N190" s="43"/>
      <c r="O190" s="43"/>
      <c r="P190" s="217"/>
      <c r="Q190" s="217"/>
      <c r="R190" s="217"/>
      <c r="S190" s="217"/>
      <c r="T190" s="217"/>
      <c r="U190" s="217"/>
      <c r="V190" s="217"/>
      <c r="W190" s="217"/>
      <c r="X190" s="217"/>
      <c r="Y190" s="217"/>
      <c r="Z190" s="217"/>
    </row>
    <row r="191" ht="15.75" customHeight="1">
      <c r="A191" s="43"/>
      <c r="B191" s="43"/>
      <c r="C191" s="43"/>
      <c r="D191" s="117"/>
      <c r="E191" s="43"/>
      <c r="F191" s="43"/>
      <c r="G191" s="43"/>
      <c r="H191" s="43"/>
      <c r="I191" s="43"/>
      <c r="J191" s="43"/>
      <c r="K191" s="43"/>
      <c r="L191" s="43"/>
      <c r="M191" s="43"/>
      <c r="N191" s="43"/>
      <c r="O191" s="43"/>
      <c r="P191" s="217"/>
      <c r="Q191" s="217"/>
      <c r="R191" s="217"/>
      <c r="S191" s="217"/>
      <c r="T191" s="217"/>
      <c r="U191" s="217"/>
      <c r="V191" s="217"/>
      <c r="W191" s="217"/>
      <c r="X191" s="217"/>
      <c r="Y191" s="217"/>
      <c r="Z191" s="217"/>
    </row>
    <row r="192" ht="15.75" customHeight="1">
      <c r="A192" s="43"/>
      <c r="B192" s="43"/>
      <c r="C192" s="43"/>
      <c r="D192" s="117"/>
      <c r="E192" s="43"/>
      <c r="F192" s="43"/>
      <c r="G192" s="43"/>
      <c r="H192" s="43"/>
      <c r="I192" s="43"/>
      <c r="J192" s="43"/>
      <c r="K192" s="43"/>
      <c r="L192" s="43"/>
      <c r="M192" s="43"/>
      <c r="N192" s="43"/>
      <c r="O192" s="43"/>
      <c r="P192" s="217"/>
      <c r="Q192" s="217"/>
      <c r="R192" s="217"/>
      <c r="S192" s="217"/>
      <c r="T192" s="217"/>
      <c r="U192" s="217"/>
      <c r="V192" s="217"/>
      <c r="W192" s="217"/>
      <c r="X192" s="217"/>
      <c r="Y192" s="217"/>
      <c r="Z192" s="217"/>
    </row>
    <row r="193" ht="15.75" customHeight="1">
      <c r="A193" s="43"/>
      <c r="B193" s="43"/>
      <c r="C193" s="43"/>
      <c r="D193" s="117"/>
      <c r="E193" s="43"/>
      <c r="F193" s="43"/>
      <c r="G193" s="43"/>
      <c r="H193" s="43"/>
      <c r="I193" s="43"/>
      <c r="J193" s="43"/>
      <c r="K193" s="43"/>
      <c r="L193" s="43"/>
      <c r="M193" s="43"/>
      <c r="N193" s="43"/>
      <c r="O193" s="43"/>
      <c r="P193" s="217"/>
      <c r="Q193" s="217"/>
      <c r="R193" s="217"/>
      <c r="S193" s="217"/>
      <c r="T193" s="217"/>
      <c r="U193" s="217"/>
      <c r="V193" s="217"/>
      <c r="W193" s="217"/>
      <c r="X193" s="217"/>
      <c r="Y193" s="217"/>
      <c r="Z193" s="217"/>
    </row>
    <row r="194" ht="15.75" customHeight="1">
      <c r="A194" s="43"/>
      <c r="B194" s="43"/>
      <c r="C194" s="43"/>
      <c r="D194" s="117"/>
      <c r="E194" s="43"/>
      <c r="F194" s="43"/>
      <c r="G194" s="43"/>
      <c r="H194" s="43"/>
      <c r="I194" s="43"/>
      <c r="J194" s="43"/>
      <c r="K194" s="43"/>
      <c r="L194" s="43"/>
      <c r="M194" s="43"/>
      <c r="N194" s="43"/>
      <c r="O194" s="43"/>
      <c r="P194" s="217"/>
      <c r="Q194" s="217"/>
      <c r="R194" s="217"/>
      <c r="S194" s="217"/>
      <c r="T194" s="217"/>
      <c r="U194" s="217"/>
      <c r="V194" s="217"/>
      <c r="W194" s="217"/>
      <c r="X194" s="217"/>
      <c r="Y194" s="217"/>
      <c r="Z194" s="217"/>
    </row>
    <row r="195" ht="15.75" customHeight="1">
      <c r="A195" s="43"/>
      <c r="B195" s="43"/>
      <c r="C195" s="43"/>
      <c r="D195" s="117"/>
      <c r="E195" s="43"/>
      <c r="F195" s="43"/>
      <c r="G195" s="43"/>
      <c r="H195" s="43"/>
      <c r="I195" s="43"/>
      <c r="J195" s="43"/>
      <c r="K195" s="43"/>
      <c r="L195" s="43"/>
      <c r="M195" s="43"/>
      <c r="N195" s="43"/>
      <c r="O195" s="43"/>
      <c r="P195" s="217"/>
      <c r="Q195" s="217"/>
      <c r="R195" s="217"/>
      <c r="S195" s="217"/>
      <c r="T195" s="217"/>
      <c r="U195" s="217"/>
      <c r="V195" s="217"/>
      <c r="W195" s="217"/>
      <c r="X195" s="217"/>
      <c r="Y195" s="217"/>
      <c r="Z195" s="217"/>
    </row>
    <row r="196" ht="15.75" customHeight="1">
      <c r="A196" s="43"/>
      <c r="B196" s="43"/>
      <c r="C196" s="43"/>
      <c r="D196" s="117"/>
      <c r="E196" s="43"/>
      <c r="F196" s="43"/>
      <c r="G196" s="43"/>
      <c r="H196" s="43"/>
      <c r="I196" s="43"/>
      <c r="J196" s="43"/>
      <c r="K196" s="43"/>
      <c r="L196" s="43"/>
      <c r="M196" s="43"/>
      <c r="N196" s="43"/>
      <c r="O196" s="43"/>
      <c r="P196" s="217"/>
      <c r="Q196" s="217"/>
      <c r="R196" s="217"/>
      <c r="S196" s="217"/>
      <c r="T196" s="217"/>
      <c r="U196" s="217"/>
      <c r="V196" s="217"/>
      <c r="W196" s="217"/>
      <c r="X196" s="217"/>
      <c r="Y196" s="217"/>
      <c r="Z196" s="217"/>
    </row>
    <row r="197" ht="15.75" customHeight="1">
      <c r="A197" s="43"/>
      <c r="B197" s="43"/>
      <c r="C197" s="43"/>
      <c r="D197" s="117"/>
      <c r="E197" s="43"/>
      <c r="F197" s="43"/>
      <c r="G197" s="43"/>
      <c r="H197" s="43"/>
      <c r="I197" s="43"/>
      <c r="J197" s="43"/>
      <c r="K197" s="43"/>
      <c r="L197" s="43"/>
      <c r="M197" s="43"/>
      <c r="N197" s="43"/>
      <c r="O197" s="43"/>
      <c r="P197" s="217"/>
      <c r="Q197" s="217"/>
      <c r="R197" s="217"/>
      <c r="S197" s="217"/>
      <c r="T197" s="217"/>
      <c r="U197" s="217"/>
      <c r="V197" s="217"/>
      <c r="W197" s="217"/>
      <c r="X197" s="217"/>
      <c r="Y197" s="217"/>
      <c r="Z197" s="217"/>
    </row>
    <row r="198" ht="15.75" customHeight="1">
      <c r="A198" s="43"/>
      <c r="B198" s="43"/>
      <c r="C198" s="43"/>
      <c r="D198" s="117"/>
      <c r="E198" s="43"/>
      <c r="F198" s="43"/>
      <c r="G198" s="43"/>
      <c r="H198" s="43"/>
      <c r="I198" s="43"/>
      <c r="J198" s="43"/>
      <c r="K198" s="43"/>
      <c r="L198" s="43"/>
      <c r="M198" s="43"/>
      <c r="N198" s="43"/>
      <c r="O198" s="43"/>
      <c r="P198" s="217"/>
      <c r="Q198" s="217"/>
      <c r="R198" s="217"/>
      <c r="S198" s="217"/>
      <c r="T198" s="217"/>
      <c r="U198" s="217"/>
      <c r="V198" s="217"/>
      <c r="W198" s="217"/>
      <c r="X198" s="217"/>
      <c r="Y198" s="217"/>
      <c r="Z198" s="217"/>
    </row>
    <row r="199" ht="15.75" customHeight="1">
      <c r="A199" s="43"/>
      <c r="B199" s="43"/>
      <c r="C199" s="43"/>
      <c r="D199" s="117"/>
      <c r="E199" s="43"/>
      <c r="F199" s="43"/>
      <c r="G199" s="43"/>
      <c r="H199" s="43"/>
      <c r="I199" s="43"/>
      <c r="J199" s="43"/>
      <c r="K199" s="43"/>
      <c r="L199" s="43"/>
      <c r="M199" s="43"/>
      <c r="N199" s="43"/>
      <c r="O199" s="43"/>
      <c r="P199" s="217"/>
      <c r="Q199" s="217"/>
      <c r="R199" s="217"/>
      <c r="S199" s="217"/>
      <c r="T199" s="217"/>
      <c r="U199" s="217"/>
      <c r="V199" s="217"/>
      <c r="W199" s="217"/>
      <c r="X199" s="217"/>
      <c r="Y199" s="217"/>
      <c r="Z199" s="217"/>
    </row>
    <row r="200" ht="15.75" customHeight="1">
      <c r="A200" s="43"/>
      <c r="B200" s="43"/>
      <c r="C200" s="43"/>
      <c r="D200" s="117"/>
      <c r="E200" s="43"/>
      <c r="F200" s="43"/>
      <c r="G200" s="43"/>
      <c r="H200" s="43"/>
      <c r="I200" s="43"/>
      <c r="J200" s="43"/>
      <c r="K200" s="43"/>
      <c r="L200" s="43"/>
      <c r="M200" s="43"/>
      <c r="N200" s="43"/>
      <c r="O200" s="43"/>
      <c r="P200" s="217"/>
      <c r="Q200" s="217"/>
      <c r="R200" s="217"/>
      <c r="S200" s="217"/>
      <c r="T200" s="217"/>
      <c r="U200" s="217"/>
      <c r="V200" s="217"/>
      <c r="W200" s="217"/>
      <c r="X200" s="217"/>
      <c r="Y200" s="217"/>
      <c r="Z200" s="217"/>
    </row>
    <row r="201" ht="15.75" customHeight="1">
      <c r="A201" s="43"/>
      <c r="B201" s="43"/>
      <c r="C201" s="43"/>
      <c r="D201" s="117"/>
      <c r="E201" s="43"/>
      <c r="F201" s="43"/>
      <c r="G201" s="43"/>
      <c r="H201" s="43"/>
      <c r="I201" s="43"/>
      <c r="J201" s="43"/>
      <c r="K201" s="43"/>
      <c r="L201" s="43"/>
      <c r="M201" s="43"/>
      <c r="N201" s="43"/>
      <c r="O201" s="43"/>
      <c r="P201" s="217"/>
      <c r="Q201" s="217"/>
      <c r="R201" s="217"/>
      <c r="S201" s="217"/>
      <c r="T201" s="217"/>
      <c r="U201" s="217"/>
      <c r="V201" s="217"/>
      <c r="W201" s="217"/>
      <c r="X201" s="217"/>
      <c r="Y201" s="217"/>
      <c r="Z201" s="217"/>
    </row>
    <row r="202" ht="15.75" customHeight="1">
      <c r="A202" s="43"/>
      <c r="B202" s="43"/>
      <c r="C202" s="43"/>
      <c r="D202" s="117"/>
      <c r="E202" s="43"/>
      <c r="F202" s="43"/>
      <c r="G202" s="43"/>
      <c r="H202" s="43"/>
      <c r="I202" s="43"/>
      <c r="J202" s="43"/>
      <c r="K202" s="43"/>
      <c r="L202" s="43"/>
      <c r="M202" s="43"/>
      <c r="N202" s="43"/>
      <c r="O202" s="43"/>
      <c r="P202" s="217"/>
      <c r="Q202" s="217"/>
      <c r="R202" s="217"/>
      <c r="S202" s="217"/>
      <c r="T202" s="217"/>
      <c r="U202" s="217"/>
      <c r="V202" s="217"/>
      <c r="W202" s="217"/>
      <c r="X202" s="217"/>
      <c r="Y202" s="217"/>
      <c r="Z202" s="217"/>
    </row>
    <row r="203" ht="15.75" customHeight="1">
      <c r="A203" s="43"/>
      <c r="B203" s="43"/>
      <c r="C203" s="43"/>
      <c r="D203" s="117"/>
      <c r="E203" s="43"/>
      <c r="F203" s="43"/>
      <c r="G203" s="43"/>
      <c r="H203" s="43"/>
      <c r="I203" s="43"/>
      <c r="J203" s="43"/>
      <c r="K203" s="43"/>
      <c r="L203" s="43"/>
      <c r="M203" s="43"/>
      <c r="N203" s="43"/>
      <c r="O203" s="43"/>
      <c r="P203" s="217"/>
      <c r="Q203" s="217"/>
      <c r="R203" s="217"/>
      <c r="S203" s="217"/>
      <c r="T203" s="217"/>
      <c r="U203" s="217"/>
      <c r="V203" s="217"/>
      <c r="W203" s="217"/>
      <c r="X203" s="217"/>
      <c r="Y203" s="217"/>
      <c r="Z203" s="217"/>
    </row>
    <row r="204" ht="15.75" customHeight="1">
      <c r="A204" s="43"/>
      <c r="B204" s="43"/>
      <c r="C204" s="43"/>
      <c r="D204" s="117"/>
      <c r="E204" s="43"/>
      <c r="F204" s="43"/>
      <c r="G204" s="43"/>
      <c r="H204" s="43"/>
      <c r="I204" s="43"/>
      <c r="J204" s="43"/>
      <c r="K204" s="43"/>
      <c r="L204" s="43"/>
      <c r="M204" s="43"/>
      <c r="N204" s="43"/>
      <c r="O204" s="43"/>
      <c r="P204" s="217"/>
      <c r="Q204" s="217"/>
      <c r="R204" s="217"/>
      <c r="S204" s="217"/>
      <c r="T204" s="217"/>
      <c r="U204" s="217"/>
      <c r="V204" s="217"/>
      <c r="W204" s="217"/>
      <c r="X204" s="217"/>
      <c r="Y204" s="217"/>
      <c r="Z204" s="217"/>
    </row>
    <row r="205" ht="15.75" customHeight="1">
      <c r="A205" s="43"/>
      <c r="B205" s="43"/>
      <c r="C205" s="43"/>
      <c r="D205" s="117"/>
      <c r="E205" s="43"/>
      <c r="F205" s="43"/>
      <c r="G205" s="43"/>
      <c r="H205" s="43"/>
      <c r="I205" s="43"/>
      <c r="J205" s="43"/>
      <c r="K205" s="43"/>
      <c r="L205" s="43"/>
      <c r="M205" s="43"/>
      <c r="N205" s="43"/>
      <c r="O205" s="43"/>
      <c r="P205" s="217"/>
      <c r="Q205" s="217"/>
      <c r="R205" s="217"/>
      <c r="S205" s="217"/>
      <c r="T205" s="217"/>
      <c r="U205" s="217"/>
      <c r="V205" s="217"/>
      <c r="W205" s="217"/>
      <c r="X205" s="217"/>
      <c r="Y205" s="217"/>
      <c r="Z205" s="217"/>
    </row>
    <row r="206" ht="15.75" customHeight="1">
      <c r="A206" s="43"/>
      <c r="B206" s="43"/>
      <c r="C206" s="43"/>
      <c r="D206" s="117"/>
      <c r="E206" s="43"/>
      <c r="F206" s="43"/>
      <c r="G206" s="43"/>
      <c r="H206" s="43"/>
      <c r="I206" s="43"/>
      <c r="J206" s="43"/>
      <c r="K206" s="43"/>
      <c r="L206" s="43"/>
      <c r="M206" s="43"/>
      <c r="N206" s="43"/>
      <c r="O206" s="43"/>
      <c r="P206" s="217"/>
      <c r="Q206" s="217"/>
      <c r="R206" s="217"/>
      <c r="S206" s="217"/>
      <c r="T206" s="217"/>
      <c r="U206" s="217"/>
      <c r="V206" s="217"/>
      <c r="W206" s="217"/>
      <c r="X206" s="217"/>
      <c r="Y206" s="217"/>
      <c r="Z206" s="217"/>
    </row>
    <row r="207" ht="15.75" customHeight="1">
      <c r="A207" s="43"/>
      <c r="B207" s="43"/>
      <c r="C207" s="43"/>
      <c r="D207" s="117"/>
      <c r="E207" s="43"/>
      <c r="F207" s="43"/>
      <c r="G207" s="43"/>
      <c r="H207" s="43"/>
      <c r="I207" s="43"/>
      <c r="J207" s="43"/>
      <c r="K207" s="43"/>
      <c r="L207" s="43"/>
      <c r="M207" s="43"/>
      <c r="N207" s="43"/>
      <c r="O207" s="43"/>
      <c r="P207" s="217"/>
      <c r="Q207" s="217"/>
      <c r="R207" s="217"/>
      <c r="S207" s="217"/>
      <c r="T207" s="217"/>
      <c r="U207" s="217"/>
      <c r="V207" s="217"/>
      <c r="W207" s="217"/>
      <c r="X207" s="217"/>
      <c r="Y207" s="217"/>
      <c r="Z207" s="217"/>
    </row>
    <row r="208" ht="15.75" customHeight="1">
      <c r="A208" s="43"/>
      <c r="B208" s="43"/>
      <c r="C208" s="43"/>
      <c r="D208" s="117"/>
      <c r="E208" s="43"/>
      <c r="F208" s="43"/>
      <c r="G208" s="43"/>
      <c r="H208" s="43"/>
      <c r="I208" s="43"/>
      <c r="J208" s="43"/>
      <c r="K208" s="43"/>
      <c r="L208" s="43"/>
      <c r="M208" s="43"/>
      <c r="N208" s="43"/>
      <c r="O208" s="43"/>
      <c r="P208" s="217"/>
      <c r="Q208" s="217"/>
      <c r="R208" s="217"/>
      <c r="S208" s="217"/>
      <c r="T208" s="217"/>
      <c r="U208" s="217"/>
      <c r="V208" s="217"/>
      <c r="W208" s="217"/>
      <c r="X208" s="217"/>
      <c r="Y208" s="217"/>
      <c r="Z208" s="217"/>
    </row>
    <row r="209" ht="15.75" customHeight="1">
      <c r="A209" s="43"/>
      <c r="B209" s="43"/>
      <c r="C209" s="43"/>
      <c r="D209" s="117"/>
      <c r="E209" s="43"/>
      <c r="F209" s="43"/>
      <c r="G209" s="43"/>
      <c r="H209" s="43"/>
      <c r="I209" s="43"/>
      <c r="J209" s="43"/>
      <c r="K209" s="43"/>
      <c r="L209" s="43"/>
      <c r="M209" s="43"/>
      <c r="N209" s="43"/>
      <c r="O209" s="43"/>
      <c r="P209" s="217"/>
      <c r="Q209" s="217"/>
      <c r="R209" s="217"/>
      <c r="S209" s="217"/>
      <c r="T209" s="217"/>
      <c r="U209" s="217"/>
      <c r="V209" s="217"/>
      <c r="W209" s="217"/>
      <c r="X209" s="217"/>
      <c r="Y209" s="217"/>
      <c r="Z209" s="217"/>
    </row>
    <row r="210" ht="15.75" customHeight="1">
      <c r="A210" s="43"/>
      <c r="B210" s="43"/>
      <c r="C210" s="43"/>
      <c r="D210" s="117"/>
      <c r="E210" s="43"/>
      <c r="F210" s="43"/>
      <c r="G210" s="43"/>
      <c r="H210" s="43"/>
      <c r="I210" s="43"/>
      <c r="J210" s="43"/>
      <c r="K210" s="43"/>
      <c r="L210" s="43"/>
      <c r="M210" s="43"/>
      <c r="N210" s="43"/>
      <c r="O210" s="43"/>
      <c r="P210" s="217"/>
      <c r="Q210" s="217"/>
      <c r="R210" s="217"/>
      <c r="S210" s="217"/>
      <c r="T210" s="217"/>
      <c r="U210" s="217"/>
      <c r="V210" s="217"/>
      <c r="W210" s="217"/>
      <c r="X210" s="217"/>
      <c r="Y210" s="217"/>
      <c r="Z210" s="217"/>
    </row>
    <row r="211" ht="15.75" customHeight="1">
      <c r="A211" s="43"/>
      <c r="B211" s="43"/>
      <c r="C211" s="43"/>
      <c r="D211" s="117"/>
      <c r="E211" s="43"/>
      <c r="F211" s="43"/>
      <c r="G211" s="43"/>
      <c r="H211" s="43"/>
      <c r="I211" s="43"/>
      <c r="J211" s="43"/>
      <c r="K211" s="43"/>
      <c r="L211" s="43"/>
      <c r="M211" s="43"/>
      <c r="N211" s="43"/>
      <c r="O211" s="43"/>
      <c r="P211" s="217"/>
      <c r="Q211" s="217"/>
      <c r="R211" s="217"/>
      <c r="S211" s="217"/>
      <c r="T211" s="217"/>
      <c r="U211" s="217"/>
      <c r="V211" s="217"/>
      <c r="W211" s="217"/>
      <c r="X211" s="217"/>
      <c r="Y211" s="217"/>
      <c r="Z211" s="217"/>
    </row>
    <row r="212" ht="15.75" customHeight="1">
      <c r="A212" s="43"/>
      <c r="B212" s="43"/>
      <c r="C212" s="43"/>
      <c r="D212" s="117"/>
      <c r="E212" s="43"/>
      <c r="F212" s="43"/>
      <c r="G212" s="43"/>
      <c r="H212" s="43"/>
      <c r="I212" s="43"/>
      <c r="J212" s="43"/>
      <c r="K212" s="43"/>
      <c r="L212" s="43"/>
      <c r="M212" s="43"/>
      <c r="N212" s="43"/>
      <c r="O212" s="43"/>
      <c r="P212" s="217"/>
      <c r="Q212" s="217"/>
      <c r="R212" s="217"/>
      <c r="S212" s="217"/>
      <c r="T212" s="217"/>
      <c r="U212" s="217"/>
      <c r="V212" s="217"/>
      <c r="W212" s="217"/>
      <c r="X212" s="217"/>
      <c r="Y212" s="217"/>
      <c r="Z212" s="217"/>
    </row>
    <row r="213" ht="15.75" customHeight="1">
      <c r="A213" s="43"/>
      <c r="B213" s="43"/>
      <c r="C213" s="43"/>
      <c r="D213" s="117"/>
      <c r="E213" s="43"/>
      <c r="F213" s="43"/>
      <c r="G213" s="43"/>
      <c r="H213" s="43"/>
      <c r="I213" s="43"/>
      <c r="J213" s="43"/>
      <c r="K213" s="43"/>
      <c r="L213" s="43"/>
      <c r="M213" s="43"/>
      <c r="N213" s="43"/>
      <c r="O213" s="43"/>
      <c r="P213" s="217"/>
      <c r="Q213" s="217"/>
      <c r="R213" s="217"/>
      <c r="S213" s="217"/>
      <c r="T213" s="217"/>
      <c r="U213" s="217"/>
      <c r="V213" s="217"/>
      <c r="W213" s="217"/>
      <c r="X213" s="217"/>
      <c r="Y213" s="217"/>
      <c r="Z213" s="217"/>
    </row>
    <row r="214" ht="15.75" customHeight="1">
      <c r="A214" s="43"/>
      <c r="B214" s="43"/>
      <c r="C214" s="43"/>
      <c r="D214" s="117"/>
      <c r="E214" s="43"/>
      <c r="F214" s="43"/>
      <c r="G214" s="43"/>
      <c r="H214" s="43"/>
      <c r="I214" s="43"/>
      <c r="J214" s="43"/>
      <c r="K214" s="43"/>
      <c r="L214" s="43"/>
      <c r="M214" s="43"/>
      <c r="N214" s="43"/>
      <c r="O214" s="43"/>
      <c r="P214" s="217"/>
      <c r="Q214" s="217"/>
      <c r="R214" s="217"/>
      <c r="S214" s="217"/>
      <c r="T214" s="217"/>
      <c r="U214" s="217"/>
      <c r="V214" s="217"/>
      <c r="W214" s="217"/>
      <c r="X214" s="217"/>
      <c r="Y214" s="217"/>
      <c r="Z214" s="217"/>
    </row>
    <row r="215" ht="15.75" customHeight="1">
      <c r="A215" s="43"/>
      <c r="B215" s="43"/>
      <c r="C215" s="43"/>
      <c r="D215" s="117"/>
      <c r="E215" s="43"/>
      <c r="F215" s="43"/>
      <c r="G215" s="43"/>
      <c r="H215" s="43"/>
      <c r="I215" s="43"/>
      <c r="J215" s="43"/>
      <c r="K215" s="43"/>
      <c r="L215" s="43"/>
      <c r="M215" s="43"/>
      <c r="N215" s="43"/>
      <c r="O215" s="43"/>
      <c r="P215" s="217"/>
      <c r="Q215" s="217"/>
      <c r="R215" s="217"/>
      <c r="S215" s="217"/>
      <c r="T215" s="217"/>
      <c r="U215" s="217"/>
      <c r="V215" s="217"/>
      <c r="W215" s="217"/>
      <c r="X215" s="217"/>
      <c r="Y215" s="217"/>
      <c r="Z215" s="217"/>
    </row>
    <row r="216" ht="15.75" customHeight="1">
      <c r="A216" s="43"/>
      <c r="B216" s="43"/>
      <c r="C216" s="43"/>
      <c r="D216" s="117"/>
      <c r="E216" s="43"/>
      <c r="F216" s="43"/>
      <c r="G216" s="43"/>
      <c r="H216" s="43"/>
      <c r="I216" s="43"/>
      <c r="J216" s="43"/>
      <c r="K216" s="43"/>
      <c r="L216" s="43"/>
      <c r="M216" s="43"/>
      <c r="N216" s="43"/>
      <c r="O216" s="43"/>
      <c r="P216" s="217"/>
      <c r="Q216" s="217"/>
      <c r="R216" s="217"/>
      <c r="S216" s="217"/>
      <c r="T216" s="217"/>
      <c r="U216" s="217"/>
      <c r="V216" s="217"/>
      <c r="W216" s="217"/>
      <c r="X216" s="217"/>
      <c r="Y216" s="217"/>
      <c r="Z216" s="217"/>
    </row>
    <row r="217" ht="15.75" customHeight="1">
      <c r="A217" s="43"/>
      <c r="B217" s="43"/>
      <c r="C217" s="43"/>
      <c r="D217" s="117"/>
      <c r="E217" s="43"/>
      <c r="F217" s="43"/>
      <c r="G217" s="43"/>
      <c r="H217" s="43"/>
      <c r="I217" s="43"/>
      <c r="J217" s="43"/>
      <c r="K217" s="43"/>
      <c r="L217" s="43"/>
      <c r="M217" s="43"/>
      <c r="N217" s="43"/>
      <c r="O217" s="43"/>
      <c r="P217" s="217"/>
      <c r="Q217" s="217"/>
      <c r="R217" s="217"/>
      <c r="S217" s="217"/>
      <c r="T217" s="217"/>
      <c r="U217" s="217"/>
      <c r="V217" s="217"/>
      <c r="W217" s="217"/>
      <c r="X217" s="217"/>
      <c r="Y217" s="217"/>
      <c r="Z217" s="217"/>
    </row>
    <row r="218" ht="15.75" customHeight="1">
      <c r="A218" s="43"/>
      <c r="B218" s="43"/>
      <c r="C218" s="43"/>
      <c r="D218" s="117"/>
      <c r="E218" s="43"/>
      <c r="F218" s="43"/>
      <c r="G218" s="43"/>
      <c r="H218" s="43"/>
      <c r="I218" s="43"/>
      <c r="J218" s="43"/>
      <c r="K218" s="43"/>
      <c r="L218" s="43"/>
      <c r="M218" s="43"/>
      <c r="N218" s="43"/>
      <c r="O218" s="43"/>
      <c r="P218" s="217"/>
      <c r="Q218" s="217"/>
      <c r="R218" s="217"/>
      <c r="S218" s="217"/>
      <c r="T218" s="217"/>
      <c r="U218" s="217"/>
      <c r="V218" s="217"/>
      <c r="W218" s="217"/>
      <c r="X218" s="217"/>
      <c r="Y218" s="217"/>
      <c r="Z218" s="217"/>
    </row>
    <row r="219" ht="15.75" customHeight="1">
      <c r="A219" s="43"/>
      <c r="B219" s="43"/>
      <c r="C219" s="43"/>
      <c r="D219" s="117"/>
      <c r="E219" s="43"/>
      <c r="F219" s="43"/>
      <c r="G219" s="43"/>
      <c r="H219" s="43"/>
      <c r="I219" s="43"/>
      <c r="J219" s="43"/>
      <c r="K219" s="43"/>
      <c r="L219" s="43"/>
      <c r="M219" s="43"/>
      <c r="N219" s="43"/>
      <c r="O219" s="43"/>
      <c r="P219" s="217"/>
      <c r="Q219" s="217"/>
      <c r="R219" s="217"/>
      <c r="S219" s="217"/>
      <c r="T219" s="217"/>
      <c r="U219" s="217"/>
      <c r="V219" s="217"/>
      <c r="W219" s="217"/>
      <c r="X219" s="217"/>
      <c r="Y219" s="217"/>
      <c r="Z219" s="217"/>
    </row>
    <row r="220" ht="15.75" customHeight="1">
      <c r="A220" s="43"/>
      <c r="B220" s="43"/>
      <c r="C220" s="43"/>
      <c r="D220" s="117"/>
      <c r="E220" s="43"/>
      <c r="F220" s="43"/>
      <c r="G220" s="43"/>
      <c r="H220" s="43"/>
      <c r="I220" s="43"/>
      <c r="J220" s="43"/>
      <c r="K220" s="43"/>
      <c r="L220" s="43"/>
      <c r="M220" s="43"/>
      <c r="N220" s="43"/>
      <c r="O220" s="43"/>
      <c r="P220" s="217"/>
      <c r="Q220" s="217"/>
      <c r="R220" s="217"/>
      <c r="S220" s="217"/>
      <c r="T220" s="217"/>
      <c r="U220" s="217"/>
      <c r="V220" s="217"/>
      <c r="W220" s="217"/>
      <c r="X220" s="217"/>
      <c r="Y220" s="217"/>
      <c r="Z220" s="217"/>
    </row>
    <row r="221" ht="15.75" customHeight="1">
      <c r="A221" s="43"/>
      <c r="B221" s="43"/>
      <c r="C221" s="43"/>
      <c r="D221" s="117"/>
      <c r="E221" s="43"/>
      <c r="F221" s="43"/>
      <c r="G221" s="43"/>
      <c r="H221" s="43"/>
      <c r="I221" s="43"/>
      <c r="J221" s="43"/>
      <c r="K221" s="43"/>
      <c r="L221" s="43"/>
      <c r="M221" s="43"/>
      <c r="N221" s="43"/>
      <c r="O221" s="43"/>
      <c r="P221" s="217"/>
      <c r="Q221" s="217"/>
      <c r="R221" s="217"/>
      <c r="S221" s="217"/>
      <c r="T221" s="217"/>
      <c r="U221" s="217"/>
      <c r="V221" s="217"/>
      <c r="W221" s="217"/>
      <c r="X221" s="217"/>
      <c r="Y221" s="217"/>
      <c r="Z221" s="217"/>
    </row>
    <row r="222" ht="15.75" customHeight="1">
      <c r="A222" s="43"/>
      <c r="B222" s="43"/>
      <c r="C222" s="43"/>
      <c r="D222" s="117"/>
      <c r="E222" s="43"/>
      <c r="F222" s="43"/>
      <c r="G222" s="43"/>
      <c r="H222" s="43"/>
      <c r="I222" s="43"/>
      <c r="J222" s="43"/>
      <c r="K222" s="43"/>
      <c r="L222" s="43"/>
      <c r="M222" s="43"/>
      <c r="N222" s="43"/>
      <c r="O222" s="43"/>
      <c r="P222" s="217"/>
      <c r="Q222" s="217"/>
      <c r="R222" s="217"/>
      <c r="S222" s="217"/>
      <c r="T222" s="217"/>
      <c r="U222" s="217"/>
      <c r="V222" s="217"/>
      <c r="W222" s="217"/>
      <c r="X222" s="217"/>
      <c r="Y222" s="217"/>
      <c r="Z222" s="217"/>
    </row>
    <row r="223" ht="15.75" customHeight="1">
      <c r="A223" s="217"/>
      <c r="B223" s="217"/>
      <c r="C223" s="217"/>
      <c r="D223" s="269"/>
      <c r="E223" s="217"/>
      <c r="F223" s="217"/>
      <c r="G223" s="217"/>
      <c r="H223" s="217"/>
      <c r="I223" s="217"/>
      <c r="J223" s="217"/>
      <c r="K223" s="217"/>
      <c r="L223" s="217"/>
      <c r="M223" s="217"/>
      <c r="N223" s="217"/>
      <c r="O223" s="217"/>
      <c r="P223" s="217"/>
      <c r="Q223" s="217"/>
      <c r="R223" s="217"/>
      <c r="S223" s="217"/>
      <c r="T223" s="217"/>
      <c r="U223" s="217"/>
      <c r="V223" s="217"/>
      <c r="W223" s="217"/>
      <c r="X223" s="217"/>
      <c r="Y223" s="217"/>
      <c r="Z223" s="217"/>
    </row>
    <row r="224" ht="15.75" customHeight="1">
      <c r="A224" s="217"/>
      <c r="B224" s="217"/>
      <c r="C224" s="217"/>
      <c r="D224" s="217"/>
      <c r="E224" s="217"/>
      <c r="F224" s="217"/>
      <c r="G224" s="217"/>
      <c r="H224" s="217"/>
      <c r="I224" s="217"/>
      <c r="J224" s="217"/>
      <c r="K224" s="217"/>
      <c r="L224" s="217"/>
      <c r="M224" s="217"/>
      <c r="N224" s="217"/>
      <c r="O224" s="217"/>
      <c r="P224" s="217"/>
      <c r="Q224" s="217"/>
      <c r="R224" s="217"/>
      <c r="S224" s="217"/>
      <c r="T224" s="217"/>
      <c r="U224" s="217"/>
      <c r="V224" s="217"/>
      <c r="W224" s="217"/>
      <c r="X224" s="217"/>
      <c r="Y224" s="217"/>
      <c r="Z224" s="217"/>
    </row>
    <row r="225" ht="15.75" customHeight="1">
      <c r="A225" s="217"/>
      <c r="B225" s="217"/>
      <c r="C225" s="217"/>
      <c r="D225" s="217"/>
      <c r="E225" s="217"/>
      <c r="F225" s="217"/>
      <c r="G225" s="217"/>
      <c r="H225" s="217"/>
      <c r="I225" s="217"/>
      <c r="J225" s="217"/>
      <c r="K225" s="217"/>
      <c r="L225" s="217"/>
      <c r="M225" s="217"/>
      <c r="N225" s="217"/>
      <c r="O225" s="217"/>
      <c r="P225" s="217"/>
      <c r="Q225" s="217"/>
      <c r="R225" s="217"/>
      <c r="S225" s="217"/>
      <c r="T225" s="217"/>
      <c r="U225" s="217"/>
      <c r="V225" s="217"/>
      <c r="W225" s="217"/>
      <c r="X225" s="217"/>
      <c r="Y225" s="217"/>
      <c r="Z225" s="217"/>
    </row>
    <row r="226" ht="15.75" customHeight="1">
      <c r="A226" s="217"/>
      <c r="B226" s="217"/>
      <c r="C226" s="217"/>
      <c r="D226" s="217"/>
      <c r="E226" s="217"/>
      <c r="F226" s="217"/>
      <c r="G226" s="217"/>
      <c r="H226" s="217"/>
      <c r="I226" s="217"/>
      <c r="J226" s="217"/>
      <c r="K226" s="217"/>
      <c r="L226" s="217"/>
      <c r="M226" s="217"/>
      <c r="N226" s="217"/>
      <c r="O226" s="217"/>
      <c r="P226" s="217"/>
      <c r="Q226" s="217"/>
      <c r="R226" s="217"/>
      <c r="S226" s="217"/>
      <c r="T226" s="217"/>
      <c r="U226" s="217"/>
      <c r="V226" s="217"/>
      <c r="W226" s="217"/>
      <c r="X226" s="217"/>
      <c r="Y226" s="217"/>
      <c r="Z226" s="217"/>
    </row>
    <row r="227" ht="15.75" customHeight="1">
      <c r="A227" s="217"/>
      <c r="B227" s="217"/>
      <c r="C227" s="217"/>
      <c r="D227" s="217"/>
      <c r="E227" s="217"/>
      <c r="F227" s="217"/>
      <c r="G227" s="217"/>
      <c r="H227" s="217"/>
      <c r="I227" s="217"/>
      <c r="J227" s="217"/>
      <c r="K227" s="217"/>
      <c r="L227" s="217"/>
      <c r="M227" s="217"/>
      <c r="N227" s="217"/>
      <c r="O227" s="217"/>
      <c r="P227" s="217"/>
      <c r="Q227" s="217"/>
      <c r="R227" s="217"/>
      <c r="S227" s="217"/>
      <c r="T227" s="217"/>
      <c r="U227" s="217"/>
      <c r="V227" s="217"/>
      <c r="W227" s="217"/>
      <c r="X227" s="217"/>
      <c r="Y227" s="217"/>
      <c r="Z227" s="217"/>
    </row>
    <row r="228" ht="15.75" customHeight="1">
      <c r="A228" s="217"/>
      <c r="B228" s="217"/>
      <c r="C228" s="217"/>
      <c r="D228" s="217"/>
      <c r="E228" s="217"/>
      <c r="F228" s="217"/>
      <c r="G228" s="217"/>
      <c r="H228" s="217"/>
      <c r="I228" s="217"/>
      <c r="J228" s="217"/>
      <c r="K228" s="217"/>
      <c r="L228" s="217"/>
      <c r="M228" s="217"/>
      <c r="N228" s="217"/>
      <c r="O228" s="217"/>
      <c r="P228" s="217"/>
      <c r="Q228" s="217"/>
      <c r="R228" s="217"/>
      <c r="S228" s="217"/>
      <c r="T228" s="217"/>
      <c r="U228" s="217"/>
      <c r="V228" s="217"/>
      <c r="W228" s="217"/>
      <c r="X228" s="217"/>
      <c r="Y228" s="217"/>
      <c r="Z228" s="217"/>
    </row>
    <row r="229" ht="15.75" customHeight="1">
      <c r="A229" s="217"/>
      <c r="B229" s="217"/>
      <c r="C229" s="217"/>
      <c r="D229" s="217"/>
      <c r="E229" s="217"/>
      <c r="F229" s="217"/>
      <c r="G229" s="217"/>
      <c r="H229" s="217"/>
      <c r="I229" s="217"/>
      <c r="J229" s="217"/>
      <c r="K229" s="217"/>
      <c r="L229" s="217"/>
      <c r="M229" s="217"/>
      <c r="N229" s="217"/>
      <c r="O229" s="217"/>
      <c r="P229" s="217"/>
      <c r="Q229" s="217"/>
      <c r="R229" s="217"/>
      <c r="S229" s="217"/>
      <c r="T229" s="217"/>
      <c r="U229" s="217"/>
      <c r="V229" s="217"/>
      <c r="W229" s="217"/>
      <c r="X229" s="217"/>
      <c r="Y229" s="217"/>
      <c r="Z229" s="217"/>
    </row>
    <row r="230" ht="15.75" customHeight="1">
      <c r="A230" s="217"/>
      <c r="B230" s="217"/>
      <c r="C230" s="217"/>
      <c r="D230" s="217"/>
      <c r="E230" s="217"/>
      <c r="F230" s="217"/>
      <c r="G230" s="217"/>
      <c r="H230" s="217"/>
      <c r="I230" s="217"/>
      <c r="J230" s="217"/>
      <c r="K230" s="217"/>
      <c r="L230" s="217"/>
      <c r="M230" s="217"/>
      <c r="N230" s="217"/>
      <c r="O230" s="217"/>
      <c r="P230" s="217"/>
      <c r="Q230" s="217"/>
      <c r="R230" s="217"/>
      <c r="S230" s="217"/>
      <c r="T230" s="217"/>
      <c r="U230" s="217"/>
      <c r="V230" s="217"/>
      <c r="W230" s="217"/>
      <c r="X230" s="217"/>
      <c r="Y230" s="217"/>
      <c r="Z230" s="217"/>
    </row>
    <row r="231" ht="15.75" customHeight="1">
      <c r="A231" s="217"/>
      <c r="B231" s="217"/>
      <c r="C231" s="217"/>
      <c r="D231" s="217"/>
      <c r="E231" s="217"/>
      <c r="F231" s="217"/>
      <c r="G231" s="217"/>
      <c r="H231" s="217"/>
      <c r="I231" s="217"/>
      <c r="J231" s="217"/>
      <c r="K231" s="217"/>
      <c r="L231" s="217"/>
      <c r="M231" s="217"/>
      <c r="N231" s="217"/>
      <c r="O231" s="217"/>
      <c r="P231" s="217"/>
      <c r="Q231" s="217"/>
      <c r="R231" s="217"/>
      <c r="S231" s="217"/>
      <c r="T231" s="217"/>
      <c r="U231" s="217"/>
      <c r="V231" s="217"/>
      <c r="W231" s="217"/>
      <c r="X231" s="217"/>
      <c r="Y231" s="217"/>
      <c r="Z231" s="217"/>
    </row>
    <row r="232" ht="15.75" customHeight="1">
      <c r="A232" s="217"/>
      <c r="B232" s="217"/>
      <c r="C232" s="217"/>
      <c r="D232" s="217"/>
      <c r="E232" s="217"/>
      <c r="F232" s="217"/>
      <c r="G232" s="217"/>
      <c r="H232" s="217"/>
      <c r="I232" s="217"/>
      <c r="J232" s="217"/>
      <c r="K232" s="217"/>
      <c r="L232" s="217"/>
      <c r="M232" s="217"/>
      <c r="N232" s="217"/>
      <c r="O232" s="217"/>
      <c r="P232" s="217"/>
      <c r="Q232" s="217"/>
      <c r="R232" s="217"/>
      <c r="S232" s="217"/>
      <c r="T232" s="217"/>
      <c r="U232" s="217"/>
      <c r="V232" s="217"/>
      <c r="W232" s="217"/>
      <c r="X232" s="217"/>
      <c r="Y232" s="217"/>
      <c r="Z232" s="217"/>
    </row>
    <row r="233" ht="15.75" customHeight="1">
      <c r="A233" s="217"/>
      <c r="B233" s="217"/>
      <c r="C233" s="217"/>
      <c r="D233" s="217"/>
      <c r="E233" s="217"/>
      <c r="F233" s="217"/>
      <c r="G233" s="217"/>
      <c r="H233" s="217"/>
      <c r="I233" s="217"/>
      <c r="J233" s="217"/>
      <c r="K233" s="217"/>
      <c r="L233" s="217"/>
      <c r="M233" s="217"/>
      <c r="N233" s="217"/>
      <c r="O233" s="217"/>
      <c r="P233" s="217"/>
      <c r="Q233" s="217"/>
      <c r="R233" s="217"/>
      <c r="S233" s="217"/>
      <c r="T233" s="217"/>
      <c r="U233" s="217"/>
      <c r="V233" s="217"/>
      <c r="W233" s="217"/>
      <c r="X233" s="217"/>
      <c r="Y233" s="217"/>
      <c r="Z233" s="217"/>
    </row>
    <row r="234" ht="15.75" customHeight="1">
      <c r="A234" s="217"/>
      <c r="B234" s="217"/>
      <c r="C234" s="217"/>
      <c r="D234" s="217"/>
      <c r="E234" s="217"/>
      <c r="F234" s="217"/>
      <c r="G234" s="217"/>
      <c r="H234" s="217"/>
      <c r="I234" s="217"/>
      <c r="J234" s="217"/>
      <c r="K234" s="217"/>
      <c r="L234" s="217"/>
      <c r="M234" s="217"/>
      <c r="N234" s="217"/>
      <c r="O234" s="217"/>
      <c r="P234" s="217"/>
      <c r="Q234" s="217"/>
      <c r="R234" s="217"/>
      <c r="S234" s="217"/>
      <c r="T234" s="217"/>
      <c r="U234" s="217"/>
      <c r="V234" s="217"/>
      <c r="W234" s="217"/>
      <c r="X234" s="217"/>
      <c r="Y234" s="217"/>
      <c r="Z234" s="217"/>
    </row>
    <row r="235" ht="15.75" customHeight="1">
      <c r="A235" s="217"/>
      <c r="B235" s="217"/>
      <c r="C235" s="217"/>
      <c r="D235" s="217"/>
      <c r="E235" s="217"/>
      <c r="F235" s="217"/>
      <c r="G235" s="217"/>
      <c r="H235" s="217"/>
      <c r="I235" s="217"/>
      <c r="J235" s="217"/>
      <c r="K235" s="217"/>
      <c r="L235" s="217"/>
      <c r="M235" s="217"/>
      <c r="N235" s="217"/>
      <c r="O235" s="217"/>
      <c r="P235" s="217"/>
      <c r="Q235" s="217"/>
      <c r="R235" s="217"/>
      <c r="S235" s="217"/>
      <c r="T235" s="217"/>
      <c r="U235" s="217"/>
      <c r="V235" s="217"/>
      <c r="W235" s="217"/>
      <c r="X235" s="217"/>
      <c r="Y235" s="217"/>
      <c r="Z235" s="217"/>
    </row>
    <row r="236" ht="15.75" customHeight="1">
      <c r="A236" s="217"/>
      <c r="B236" s="217"/>
      <c r="C236" s="217"/>
      <c r="D236" s="217"/>
      <c r="E236" s="217"/>
      <c r="F236" s="217"/>
      <c r="G236" s="217"/>
      <c r="H236" s="217"/>
      <c r="I236" s="217"/>
      <c r="J236" s="217"/>
      <c r="K236" s="217"/>
      <c r="L236" s="217"/>
      <c r="M236" s="217"/>
      <c r="N236" s="217"/>
      <c r="O236" s="217"/>
      <c r="P236" s="217"/>
      <c r="Q236" s="217"/>
      <c r="R236" s="217"/>
      <c r="S236" s="217"/>
      <c r="T236" s="217"/>
      <c r="U236" s="217"/>
      <c r="V236" s="217"/>
      <c r="W236" s="217"/>
      <c r="X236" s="217"/>
      <c r="Y236" s="217"/>
      <c r="Z236" s="217"/>
    </row>
    <row r="237" ht="15.75" customHeight="1">
      <c r="A237" s="217"/>
      <c r="B237" s="217"/>
      <c r="C237" s="217"/>
      <c r="D237" s="217"/>
      <c r="E237" s="217"/>
      <c r="F237" s="217"/>
      <c r="G237" s="217"/>
      <c r="H237" s="217"/>
      <c r="I237" s="217"/>
      <c r="J237" s="217"/>
      <c r="K237" s="217"/>
      <c r="L237" s="217"/>
      <c r="M237" s="217"/>
      <c r="N237" s="217"/>
      <c r="O237" s="217"/>
      <c r="P237" s="217"/>
      <c r="Q237" s="217"/>
      <c r="R237" s="217"/>
      <c r="S237" s="217"/>
      <c r="T237" s="217"/>
      <c r="U237" s="217"/>
      <c r="V237" s="217"/>
      <c r="W237" s="217"/>
      <c r="X237" s="217"/>
      <c r="Y237" s="217"/>
      <c r="Z237" s="217"/>
    </row>
    <row r="238" ht="15.75" customHeight="1">
      <c r="A238" s="217"/>
      <c r="B238" s="217"/>
      <c r="C238" s="217"/>
      <c r="D238" s="217"/>
      <c r="E238" s="217"/>
      <c r="F238" s="217"/>
      <c r="G238" s="217"/>
      <c r="H238" s="217"/>
      <c r="I238" s="217"/>
      <c r="J238" s="217"/>
      <c r="K238" s="217"/>
      <c r="L238" s="217"/>
      <c r="M238" s="217"/>
      <c r="N238" s="217"/>
      <c r="O238" s="217"/>
      <c r="P238" s="217"/>
      <c r="Q238" s="217"/>
      <c r="R238" s="217"/>
      <c r="S238" s="217"/>
      <c r="T238" s="217"/>
      <c r="U238" s="217"/>
      <c r="V238" s="217"/>
      <c r="W238" s="217"/>
      <c r="X238" s="217"/>
      <c r="Y238" s="217"/>
      <c r="Z238" s="217"/>
    </row>
    <row r="239" ht="15.75" customHeight="1">
      <c r="A239" s="217"/>
      <c r="B239" s="217"/>
      <c r="C239" s="217"/>
      <c r="D239" s="217"/>
      <c r="E239" s="217"/>
      <c r="F239" s="217"/>
      <c r="G239" s="217"/>
      <c r="H239" s="217"/>
      <c r="I239" s="217"/>
      <c r="J239" s="217"/>
      <c r="K239" s="217"/>
      <c r="L239" s="217"/>
      <c r="M239" s="217"/>
      <c r="N239" s="217"/>
      <c r="O239" s="217"/>
      <c r="P239" s="217"/>
      <c r="Q239" s="217"/>
      <c r="R239" s="217"/>
      <c r="S239" s="217"/>
      <c r="T239" s="217"/>
      <c r="U239" s="217"/>
      <c r="V239" s="217"/>
      <c r="W239" s="217"/>
      <c r="X239" s="217"/>
      <c r="Y239" s="217"/>
      <c r="Z239" s="217"/>
    </row>
    <row r="240" ht="15.75" customHeight="1">
      <c r="A240" s="217"/>
      <c r="B240" s="217"/>
      <c r="C240" s="217"/>
      <c r="D240" s="217"/>
      <c r="E240" s="217"/>
      <c r="F240" s="217"/>
      <c r="G240" s="217"/>
      <c r="H240" s="217"/>
      <c r="I240" s="217"/>
      <c r="J240" s="217"/>
      <c r="K240" s="217"/>
      <c r="L240" s="217"/>
      <c r="M240" s="217"/>
      <c r="N240" s="217"/>
      <c r="O240" s="217"/>
      <c r="P240" s="217"/>
      <c r="Q240" s="217"/>
      <c r="R240" s="217"/>
      <c r="S240" s="217"/>
      <c r="T240" s="217"/>
      <c r="U240" s="217"/>
      <c r="V240" s="217"/>
      <c r="W240" s="217"/>
      <c r="X240" s="217"/>
      <c r="Y240" s="217"/>
      <c r="Z240" s="217"/>
    </row>
    <row r="241" ht="15.75" customHeight="1">
      <c r="A241" s="217"/>
      <c r="B241" s="217"/>
      <c r="C241" s="217"/>
      <c r="D241" s="217"/>
      <c r="E241" s="217"/>
      <c r="F241" s="217"/>
      <c r="G241" s="217"/>
      <c r="H241" s="217"/>
      <c r="I241" s="217"/>
      <c r="J241" s="217"/>
      <c r="K241" s="217"/>
      <c r="L241" s="217"/>
      <c r="M241" s="217"/>
      <c r="N241" s="217"/>
      <c r="O241" s="217"/>
      <c r="P241" s="217"/>
      <c r="Q241" s="217"/>
      <c r="R241" s="217"/>
      <c r="S241" s="217"/>
      <c r="T241" s="217"/>
      <c r="U241" s="217"/>
      <c r="V241" s="217"/>
      <c r="W241" s="217"/>
      <c r="X241" s="217"/>
      <c r="Y241" s="217"/>
      <c r="Z241" s="217"/>
    </row>
    <row r="242" ht="15.75" customHeight="1">
      <c r="A242" s="217"/>
      <c r="B242" s="217"/>
      <c r="C242" s="217"/>
      <c r="D242" s="217"/>
      <c r="E242" s="217"/>
      <c r="F242" s="217"/>
      <c r="G242" s="217"/>
      <c r="H242" s="217"/>
      <c r="I242" s="217"/>
      <c r="J242" s="217"/>
      <c r="K242" s="217"/>
      <c r="L242" s="217"/>
      <c r="M242" s="217"/>
      <c r="N242" s="217"/>
      <c r="O242" s="217"/>
      <c r="P242" s="217"/>
      <c r="Q242" s="217"/>
      <c r="R242" s="217"/>
      <c r="S242" s="217"/>
      <c r="T242" s="217"/>
      <c r="U242" s="217"/>
      <c r="V242" s="217"/>
      <c r="W242" s="217"/>
      <c r="X242" s="217"/>
      <c r="Y242" s="217"/>
      <c r="Z242" s="217"/>
    </row>
    <row r="243" ht="15.75" customHeight="1">
      <c r="A243" s="217"/>
      <c r="B243" s="217"/>
      <c r="C243" s="217"/>
      <c r="D243" s="217"/>
      <c r="E243" s="217"/>
      <c r="F243" s="217"/>
      <c r="G243" s="217"/>
      <c r="H243" s="217"/>
      <c r="I243" s="217"/>
      <c r="J243" s="217"/>
      <c r="K243" s="217"/>
      <c r="L243" s="217"/>
      <c r="M243" s="217"/>
      <c r="N243" s="217"/>
      <c r="O243" s="217"/>
      <c r="P243" s="217"/>
      <c r="Q243" s="217"/>
      <c r="R243" s="217"/>
      <c r="S243" s="217"/>
      <c r="T243" s="217"/>
      <c r="U243" s="217"/>
      <c r="V243" s="217"/>
      <c r="W243" s="217"/>
      <c r="X243" s="217"/>
      <c r="Y243" s="217"/>
      <c r="Z243" s="217"/>
    </row>
    <row r="244" ht="15.75" customHeight="1">
      <c r="A244" s="217"/>
      <c r="B244" s="217"/>
      <c r="C244" s="217"/>
      <c r="D244" s="217"/>
      <c r="E244" s="217"/>
      <c r="F244" s="217"/>
      <c r="G244" s="217"/>
      <c r="H244" s="217"/>
      <c r="I244" s="217"/>
      <c r="J244" s="217"/>
      <c r="K244" s="217"/>
      <c r="L244" s="217"/>
      <c r="M244" s="217"/>
      <c r="N244" s="217"/>
      <c r="O244" s="217"/>
      <c r="P244" s="217"/>
      <c r="Q244" s="217"/>
      <c r="R244" s="217"/>
      <c r="S244" s="217"/>
      <c r="T244" s="217"/>
      <c r="U244" s="217"/>
      <c r="V244" s="217"/>
      <c r="W244" s="217"/>
      <c r="X244" s="217"/>
      <c r="Y244" s="217"/>
      <c r="Z244" s="217"/>
    </row>
    <row r="245" ht="15.75" customHeight="1">
      <c r="A245" s="217"/>
      <c r="B245" s="217"/>
      <c r="C245" s="217"/>
      <c r="D245" s="217"/>
      <c r="E245" s="217"/>
      <c r="F245" s="217"/>
      <c r="G245" s="217"/>
      <c r="H245" s="217"/>
      <c r="I245" s="217"/>
      <c r="J245" s="217"/>
      <c r="K245" s="217"/>
      <c r="L245" s="217"/>
      <c r="M245" s="217"/>
      <c r="N245" s="217"/>
      <c r="O245" s="217"/>
      <c r="P245" s="217"/>
      <c r="Q245" s="217"/>
      <c r="R245" s="217"/>
      <c r="S245" s="217"/>
      <c r="T245" s="217"/>
      <c r="U245" s="217"/>
      <c r="V245" s="217"/>
      <c r="W245" s="217"/>
      <c r="X245" s="217"/>
      <c r="Y245" s="217"/>
      <c r="Z245" s="217"/>
    </row>
    <row r="246" ht="15.75" customHeight="1">
      <c r="A246" s="217"/>
      <c r="B246" s="217"/>
      <c r="C246" s="217"/>
      <c r="D246" s="217"/>
      <c r="E246" s="217"/>
      <c r="F246" s="217"/>
      <c r="G246" s="217"/>
      <c r="H246" s="217"/>
      <c r="I246" s="217"/>
      <c r="J246" s="217"/>
      <c r="K246" s="217"/>
      <c r="L246" s="217"/>
      <c r="M246" s="217"/>
      <c r="N246" s="217"/>
      <c r="O246" s="217"/>
      <c r="P246" s="217"/>
      <c r="Q246" s="217"/>
      <c r="R246" s="217"/>
      <c r="S246" s="217"/>
      <c r="T246" s="217"/>
      <c r="U246" s="217"/>
      <c r="V246" s="217"/>
      <c r="W246" s="217"/>
      <c r="X246" s="217"/>
      <c r="Y246" s="217"/>
      <c r="Z246" s="217"/>
    </row>
    <row r="247" ht="15.75" customHeight="1">
      <c r="A247" s="217"/>
      <c r="B247" s="217"/>
      <c r="C247" s="217"/>
      <c r="D247" s="217"/>
      <c r="E247" s="217"/>
      <c r="F247" s="217"/>
      <c r="G247" s="217"/>
      <c r="H247" s="217"/>
      <c r="I247" s="217"/>
      <c r="J247" s="217"/>
      <c r="K247" s="217"/>
      <c r="L247" s="217"/>
      <c r="M247" s="217"/>
      <c r="N247" s="217"/>
      <c r="O247" s="217"/>
      <c r="P247" s="217"/>
      <c r="Q247" s="217"/>
      <c r="R247" s="217"/>
      <c r="S247" s="217"/>
      <c r="T247" s="217"/>
      <c r="U247" s="217"/>
      <c r="V247" s="217"/>
      <c r="W247" s="217"/>
      <c r="X247" s="217"/>
      <c r="Y247" s="217"/>
      <c r="Z247" s="217"/>
    </row>
    <row r="248" ht="15.75" customHeight="1">
      <c r="A248" s="217"/>
      <c r="B248" s="217"/>
      <c r="C248" s="217"/>
      <c r="D248" s="217"/>
      <c r="E248" s="217"/>
      <c r="F248" s="217"/>
      <c r="G248" s="217"/>
      <c r="H248" s="217"/>
      <c r="I248" s="217"/>
      <c r="J248" s="217"/>
      <c r="K248" s="217"/>
      <c r="L248" s="217"/>
      <c r="M248" s="217"/>
      <c r="N248" s="217"/>
      <c r="O248" s="217"/>
      <c r="P248" s="217"/>
      <c r="Q248" s="217"/>
      <c r="R248" s="217"/>
      <c r="S248" s="217"/>
      <c r="T248" s="217"/>
      <c r="U248" s="217"/>
      <c r="V248" s="217"/>
      <c r="W248" s="217"/>
      <c r="X248" s="217"/>
      <c r="Y248" s="217"/>
      <c r="Z248" s="217"/>
    </row>
    <row r="249" ht="15.75" customHeight="1">
      <c r="A249" s="217"/>
      <c r="B249" s="217"/>
      <c r="C249" s="217"/>
      <c r="D249" s="217"/>
      <c r="E249" s="217"/>
      <c r="F249" s="217"/>
      <c r="G249" s="217"/>
      <c r="H249" s="217"/>
      <c r="I249" s="217"/>
      <c r="J249" s="217"/>
      <c r="K249" s="217"/>
      <c r="L249" s="217"/>
      <c r="M249" s="217"/>
      <c r="N249" s="217"/>
      <c r="O249" s="217"/>
      <c r="P249" s="217"/>
      <c r="Q249" s="217"/>
      <c r="R249" s="217"/>
      <c r="S249" s="217"/>
      <c r="T249" s="217"/>
      <c r="U249" s="217"/>
      <c r="V249" s="217"/>
      <c r="W249" s="217"/>
      <c r="X249" s="217"/>
      <c r="Y249" s="217"/>
      <c r="Z249" s="217"/>
    </row>
    <row r="250" ht="15.75" customHeight="1">
      <c r="A250" s="217"/>
      <c r="B250" s="217"/>
      <c r="C250" s="217"/>
      <c r="D250" s="217"/>
      <c r="E250" s="217"/>
      <c r="F250" s="217"/>
      <c r="G250" s="217"/>
      <c r="H250" s="217"/>
      <c r="I250" s="217"/>
      <c r="J250" s="217"/>
      <c r="K250" s="217"/>
      <c r="L250" s="217"/>
      <c r="M250" s="217"/>
      <c r="N250" s="217"/>
      <c r="O250" s="217"/>
      <c r="P250" s="217"/>
      <c r="Q250" s="217"/>
      <c r="R250" s="217"/>
      <c r="S250" s="217"/>
      <c r="T250" s="217"/>
      <c r="U250" s="217"/>
      <c r="V250" s="217"/>
      <c r="W250" s="217"/>
      <c r="X250" s="217"/>
      <c r="Y250" s="217"/>
      <c r="Z250" s="217"/>
    </row>
    <row r="251" ht="15.75" customHeight="1">
      <c r="A251" s="217"/>
      <c r="B251" s="217"/>
      <c r="C251" s="217"/>
      <c r="D251" s="217"/>
      <c r="E251" s="217"/>
      <c r="F251" s="217"/>
      <c r="G251" s="217"/>
      <c r="H251" s="217"/>
      <c r="I251" s="217"/>
      <c r="J251" s="217"/>
      <c r="K251" s="217"/>
      <c r="L251" s="217"/>
      <c r="M251" s="217"/>
      <c r="N251" s="217"/>
      <c r="O251" s="217"/>
      <c r="P251" s="217"/>
      <c r="Q251" s="217"/>
      <c r="R251" s="217"/>
      <c r="S251" s="217"/>
      <c r="T251" s="217"/>
      <c r="U251" s="217"/>
      <c r="V251" s="217"/>
      <c r="W251" s="217"/>
      <c r="X251" s="217"/>
      <c r="Y251" s="217"/>
      <c r="Z251" s="217"/>
    </row>
    <row r="252" ht="15.75" customHeight="1">
      <c r="A252" s="217"/>
      <c r="B252" s="217"/>
      <c r="C252" s="217"/>
      <c r="D252" s="217"/>
      <c r="E252" s="217"/>
      <c r="F252" s="217"/>
      <c r="G252" s="217"/>
      <c r="H252" s="217"/>
      <c r="I252" s="217"/>
      <c r="J252" s="217"/>
      <c r="K252" s="217"/>
      <c r="L252" s="217"/>
      <c r="M252" s="217"/>
      <c r="N252" s="217"/>
      <c r="O252" s="217"/>
      <c r="P252" s="217"/>
      <c r="Q252" s="217"/>
      <c r="R252" s="217"/>
      <c r="S252" s="217"/>
      <c r="T252" s="217"/>
      <c r="U252" s="217"/>
      <c r="V252" s="217"/>
      <c r="W252" s="217"/>
      <c r="X252" s="217"/>
      <c r="Y252" s="217"/>
      <c r="Z252" s="217"/>
    </row>
    <row r="253" ht="15.75" customHeight="1">
      <c r="A253" s="217"/>
      <c r="B253" s="217"/>
      <c r="C253" s="217"/>
      <c r="D253" s="217"/>
      <c r="E253" s="217"/>
      <c r="F253" s="217"/>
      <c r="G253" s="217"/>
      <c r="H253" s="217"/>
      <c r="I253" s="217"/>
      <c r="J253" s="217"/>
      <c r="K253" s="217"/>
      <c r="L253" s="217"/>
      <c r="M253" s="217"/>
      <c r="N253" s="217"/>
      <c r="O253" s="217"/>
      <c r="P253" s="217"/>
      <c r="Q253" s="217"/>
      <c r="R253" s="217"/>
      <c r="S253" s="217"/>
      <c r="T253" s="217"/>
      <c r="U253" s="217"/>
      <c r="V253" s="217"/>
      <c r="W253" s="217"/>
      <c r="X253" s="217"/>
      <c r="Y253" s="217"/>
      <c r="Z253" s="217"/>
    </row>
    <row r="254" ht="15.75" customHeight="1">
      <c r="A254" s="217"/>
      <c r="B254" s="217"/>
      <c r="C254" s="217"/>
      <c r="D254" s="217"/>
      <c r="E254" s="217"/>
      <c r="F254" s="217"/>
      <c r="G254" s="217"/>
      <c r="H254" s="217"/>
      <c r="I254" s="217"/>
      <c r="J254" s="217"/>
      <c r="K254" s="217"/>
      <c r="L254" s="217"/>
      <c r="M254" s="217"/>
      <c r="N254" s="217"/>
      <c r="O254" s="217"/>
      <c r="P254" s="217"/>
      <c r="Q254" s="217"/>
      <c r="R254" s="217"/>
      <c r="S254" s="217"/>
      <c r="T254" s="217"/>
      <c r="U254" s="217"/>
      <c r="V254" s="217"/>
      <c r="W254" s="217"/>
      <c r="X254" s="217"/>
      <c r="Y254" s="217"/>
      <c r="Z254" s="217"/>
    </row>
    <row r="255" ht="15.75" customHeight="1">
      <c r="A255" s="217"/>
      <c r="B255" s="217"/>
      <c r="C255" s="217"/>
      <c r="D255" s="217"/>
      <c r="E255" s="217"/>
      <c r="F255" s="217"/>
      <c r="G255" s="217"/>
      <c r="H255" s="217"/>
      <c r="I255" s="217"/>
      <c r="J255" s="217"/>
      <c r="K255" s="217"/>
      <c r="L255" s="217"/>
      <c r="M255" s="217"/>
      <c r="N255" s="217"/>
      <c r="O255" s="217"/>
      <c r="P255" s="217"/>
      <c r="Q255" s="217"/>
      <c r="R255" s="217"/>
      <c r="S255" s="217"/>
      <c r="T255" s="217"/>
      <c r="U255" s="217"/>
      <c r="V255" s="217"/>
      <c r="W255" s="217"/>
      <c r="X255" s="217"/>
      <c r="Y255" s="217"/>
      <c r="Z255" s="217"/>
    </row>
    <row r="256" ht="15.75" customHeight="1">
      <c r="A256" s="217"/>
      <c r="B256" s="217"/>
      <c r="C256" s="217"/>
      <c r="D256" s="217"/>
      <c r="E256" s="217"/>
      <c r="F256" s="217"/>
      <c r="G256" s="217"/>
      <c r="H256" s="217"/>
      <c r="I256" s="217"/>
      <c r="J256" s="217"/>
      <c r="K256" s="217"/>
      <c r="L256" s="217"/>
      <c r="M256" s="217"/>
      <c r="N256" s="217"/>
      <c r="O256" s="217"/>
      <c r="P256" s="217"/>
      <c r="Q256" s="217"/>
      <c r="R256" s="217"/>
      <c r="S256" s="217"/>
      <c r="T256" s="217"/>
      <c r="U256" s="217"/>
      <c r="V256" s="217"/>
      <c r="W256" s="217"/>
      <c r="X256" s="217"/>
      <c r="Y256" s="217"/>
      <c r="Z256" s="217"/>
    </row>
    <row r="257" ht="15.75" customHeight="1">
      <c r="A257" s="217"/>
      <c r="B257" s="217"/>
      <c r="C257" s="217"/>
      <c r="D257" s="217"/>
      <c r="E257" s="217"/>
      <c r="F257" s="217"/>
      <c r="G257" s="217"/>
      <c r="H257" s="217"/>
      <c r="I257" s="217"/>
      <c r="J257" s="217"/>
      <c r="K257" s="217"/>
      <c r="L257" s="217"/>
      <c r="M257" s="217"/>
      <c r="N257" s="217"/>
      <c r="O257" s="217"/>
      <c r="P257" s="217"/>
      <c r="Q257" s="217"/>
      <c r="R257" s="217"/>
      <c r="S257" s="217"/>
      <c r="T257" s="217"/>
      <c r="U257" s="217"/>
      <c r="V257" s="217"/>
      <c r="W257" s="217"/>
      <c r="X257" s="217"/>
      <c r="Y257" s="217"/>
      <c r="Z257" s="217"/>
    </row>
    <row r="258" ht="15.75" customHeight="1">
      <c r="A258" s="217"/>
      <c r="B258" s="217"/>
      <c r="C258" s="217"/>
      <c r="D258" s="217"/>
      <c r="E258" s="217"/>
      <c r="F258" s="217"/>
      <c r="G258" s="217"/>
      <c r="H258" s="217"/>
      <c r="I258" s="217"/>
      <c r="J258" s="217"/>
      <c r="K258" s="217"/>
      <c r="L258" s="217"/>
      <c r="M258" s="217"/>
      <c r="N258" s="217"/>
      <c r="O258" s="217"/>
      <c r="P258" s="217"/>
      <c r="Q258" s="217"/>
      <c r="R258" s="217"/>
      <c r="S258" s="217"/>
      <c r="T258" s="217"/>
      <c r="U258" s="217"/>
      <c r="V258" s="217"/>
      <c r="W258" s="217"/>
      <c r="X258" s="217"/>
      <c r="Y258" s="217"/>
      <c r="Z258" s="217"/>
    </row>
    <row r="259" ht="15.75" customHeight="1">
      <c r="A259" s="217"/>
      <c r="B259" s="217"/>
      <c r="C259" s="217"/>
      <c r="D259" s="217"/>
      <c r="E259" s="217"/>
      <c r="F259" s="217"/>
      <c r="G259" s="217"/>
      <c r="H259" s="217"/>
      <c r="I259" s="217"/>
      <c r="J259" s="217"/>
      <c r="K259" s="217"/>
      <c r="L259" s="217"/>
      <c r="M259" s="217"/>
      <c r="N259" s="217"/>
      <c r="O259" s="217"/>
      <c r="P259" s="217"/>
      <c r="Q259" s="217"/>
      <c r="R259" s="217"/>
      <c r="S259" s="217"/>
      <c r="T259" s="217"/>
      <c r="U259" s="217"/>
      <c r="V259" s="217"/>
      <c r="W259" s="217"/>
      <c r="X259" s="217"/>
      <c r="Y259" s="217"/>
      <c r="Z259" s="217"/>
    </row>
    <row r="260" ht="15.75" customHeight="1">
      <c r="A260" s="217"/>
      <c r="B260" s="217"/>
      <c r="C260" s="217"/>
      <c r="D260" s="217"/>
      <c r="E260" s="217"/>
      <c r="F260" s="217"/>
      <c r="G260" s="217"/>
      <c r="H260" s="217"/>
      <c r="I260" s="217"/>
      <c r="J260" s="217"/>
      <c r="K260" s="217"/>
      <c r="L260" s="217"/>
      <c r="M260" s="217"/>
      <c r="N260" s="217"/>
      <c r="O260" s="217"/>
      <c r="P260" s="217"/>
      <c r="Q260" s="217"/>
      <c r="R260" s="217"/>
      <c r="S260" s="217"/>
      <c r="T260" s="217"/>
      <c r="U260" s="217"/>
      <c r="V260" s="217"/>
      <c r="W260" s="217"/>
      <c r="X260" s="217"/>
      <c r="Y260" s="217"/>
      <c r="Z260" s="217"/>
    </row>
    <row r="261" ht="15.75" customHeight="1">
      <c r="A261" s="217"/>
      <c r="B261" s="217"/>
      <c r="C261" s="217"/>
      <c r="D261" s="217"/>
      <c r="E261" s="217"/>
      <c r="F261" s="217"/>
      <c r="G261" s="217"/>
      <c r="H261" s="217"/>
      <c r="I261" s="217"/>
      <c r="J261" s="217"/>
      <c r="K261" s="217"/>
      <c r="L261" s="217"/>
      <c r="M261" s="217"/>
      <c r="N261" s="217"/>
      <c r="O261" s="217"/>
      <c r="P261" s="217"/>
      <c r="Q261" s="217"/>
      <c r="R261" s="217"/>
      <c r="S261" s="217"/>
      <c r="T261" s="217"/>
      <c r="U261" s="217"/>
      <c r="V261" s="217"/>
      <c r="W261" s="217"/>
      <c r="X261" s="217"/>
      <c r="Y261" s="217"/>
      <c r="Z261" s="217"/>
    </row>
    <row r="262" ht="15.75" customHeight="1">
      <c r="A262" s="217"/>
      <c r="B262" s="217"/>
      <c r="C262" s="217"/>
      <c r="D262" s="217"/>
      <c r="E262" s="217"/>
      <c r="F262" s="217"/>
      <c r="G262" s="217"/>
      <c r="H262" s="217"/>
      <c r="I262" s="217"/>
      <c r="J262" s="217"/>
      <c r="K262" s="217"/>
      <c r="L262" s="217"/>
      <c r="M262" s="217"/>
      <c r="N262" s="217"/>
      <c r="O262" s="217"/>
      <c r="P262" s="217"/>
      <c r="Q262" s="217"/>
      <c r="R262" s="217"/>
      <c r="S262" s="217"/>
      <c r="T262" s="217"/>
      <c r="U262" s="217"/>
      <c r="V262" s="217"/>
      <c r="W262" s="217"/>
      <c r="X262" s="217"/>
      <c r="Y262" s="217"/>
      <c r="Z262" s="217"/>
    </row>
    <row r="263" ht="15.75" customHeight="1">
      <c r="A263" s="217"/>
      <c r="B263" s="217"/>
      <c r="C263" s="217"/>
      <c r="D263" s="217"/>
      <c r="E263" s="217"/>
      <c r="F263" s="217"/>
      <c r="G263" s="217"/>
      <c r="H263" s="217"/>
      <c r="I263" s="217"/>
      <c r="J263" s="217"/>
      <c r="K263" s="217"/>
      <c r="L263" s="217"/>
      <c r="M263" s="217"/>
      <c r="N263" s="217"/>
      <c r="O263" s="217"/>
      <c r="P263" s="217"/>
      <c r="Q263" s="217"/>
      <c r="R263" s="217"/>
      <c r="S263" s="217"/>
      <c r="T263" s="217"/>
      <c r="U263" s="217"/>
      <c r="V263" s="217"/>
      <c r="W263" s="217"/>
      <c r="X263" s="217"/>
      <c r="Y263" s="217"/>
      <c r="Z263" s="217"/>
    </row>
    <row r="264" ht="15.75" customHeight="1">
      <c r="A264" s="217"/>
      <c r="B264" s="217"/>
      <c r="C264" s="217"/>
      <c r="D264" s="217"/>
      <c r="E264" s="217"/>
      <c r="F264" s="217"/>
      <c r="G264" s="217"/>
      <c r="H264" s="217"/>
      <c r="I264" s="217"/>
      <c r="J264" s="217"/>
      <c r="K264" s="217"/>
      <c r="L264" s="217"/>
      <c r="M264" s="217"/>
      <c r="N264" s="217"/>
      <c r="O264" s="217"/>
      <c r="P264" s="217"/>
      <c r="Q264" s="217"/>
      <c r="R264" s="217"/>
      <c r="S264" s="217"/>
      <c r="T264" s="217"/>
      <c r="U264" s="217"/>
      <c r="V264" s="217"/>
      <c r="W264" s="217"/>
      <c r="X264" s="217"/>
      <c r="Y264" s="217"/>
      <c r="Z264" s="217"/>
    </row>
    <row r="265" ht="15.75" customHeight="1">
      <c r="A265" s="217"/>
      <c r="B265" s="217"/>
      <c r="C265" s="217"/>
      <c r="D265" s="217"/>
      <c r="E265" s="217"/>
      <c r="F265" s="217"/>
      <c r="G265" s="217"/>
      <c r="H265" s="217"/>
      <c r="I265" s="217"/>
      <c r="J265" s="217"/>
      <c r="K265" s="217"/>
      <c r="L265" s="217"/>
      <c r="M265" s="217"/>
      <c r="N265" s="217"/>
      <c r="O265" s="217"/>
      <c r="P265" s="217"/>
      <c r="Q265" s="217"/>
      <c r="R265" s="217"/>
      <c r="S265" s="217"/>
      <c r="T265" s="217"/>
      <c r="U265" s="217"/>
      <c r="V265" s="217"/>
      <c r="W265" s="217"/>
      <c r="X265" s="217"/>
      <c r="Y265" s="217"/>
      <c r="Z265" s="217"/>
    </row>
    <row r="266" ht="15.75" customHeight="1">
      <c r="A266" s="217"/>
      <c r="B266" s="217"/>
      <c r="C266" s="217"/>
      <c r="D266" s="217"/>
      <c r="E266" s="217"/>
      <c r="F266" s="217"/>
      <c r="G266" s="217"/>
      <c r="H266" s="217"/>
      <c r="I266" s="217"/>
      <c r="J266" s="217"/>
      <c r="K266" s="217"/>
      <c r="L266" s="217"/>
      <c r="M266" s="217"/>
      <c r="N266" s="217"/>
      <c r="O266" s="217"/>
      <c r="P266" s="217"/>
      <c r="Q266" s="217"/>
      <c r="R266" s="217"/>
      <c r="S266" s="217"/>
      <c r="T266" s="217"/>
      <c r="U266" s="217"/>
      <c r="V266" s="217"/>
      <c r="W266" s="217"/>
      <c r="X266" s="217"/>
      <c r="Y266" s="217"/>
      <c r="Z266" s="217"/>
    </row>
    <row r="267" ht="15.75" customHeight="1">
      <c r="A267" s="217"/>
      <c r="B267" s="217"/>
      <c r="C267" s="217"/>
      <c r="D267" s="217"/>
      <c r="E267" s="217"/>
      <c r="F267" s="217"/>
      <c r="G267" s="217"/>
      <c r="H267" s="217"/>
      <c r="I267" s="217"/>
      <c r="J267" s="217"/>
      <c r="K267" s="217"/>
      <c r="L267" s="217"/>
      <c r="M267" s="217"/>
      <c r="N267" s="217"/>
      <c r="O267" s="217"/>
      <c r="P267" s="217"/>
      <c r="Q267" s="217"/>
      <c r="R267" s="217"/>
      <c r="S267" s="217"/>
      <c r="T267" s="217"/>
      <c r="U267" s="217"/>
      <c r="V267" s="217"/>
      <c r="W267" s="217"/>
      <c r="X267" s="217"/>
      <c r="Y267" s="217"/>
      <c r="Z267" s="217"/>
    </row>
    <row r="268" ht="15.75" customHeight="1">
      <c r="A268" s="217"/>
      <c r="B268" s="217"/>
      <c r="C268" s="217"/>
      <c r="D268" s="217"/>
      <c r="E268" s="217"/>
      <c r="F268" s="217"/>
      <c r="G268" s="217"/>
      <c r="H268" s="217"/>
      <c r="I268" s="217"/>
      <c r="J268" s="217"/>
      <c r="K268" s="217"/>
      <c r="L268" s="217"/>
      <c r="M268" s="217"/>
      <c r="N268" s="217"/>
      <c r="O268" s="217"/>
      <c r="P268" s="217"/>
      <c r="Q268" s="217"/>
      <c r="R268" s="217"/>
      <c r="S268" s="217"/>
      <c r="T268" s="217"/>
      <c r="U268" s="217"/>
      <c r="V268" s="217"/>
      <c r="W268" s="217"/>
      <c r="X268" s="217"/>
      <c r="Y268" s="217"/>
      <c r="Z268" s="217"/>
    </row>
    <row r="269" ht="15.75" customHeight="1">
      <c r="A269" s="217"/>
      <c r="B269" s="217"/>
      <c r="C269" s="217"/>
      <c r="D269" s="217"/>
      <c r="E269" s="217"/>
      <c r="F269" s="217"/>
      <c r="G269" s="217"/>
      <c r="H269" s="217"/>
      <c r="I269" s="217"/>
      <c r="J269" s="217"/>
      <c r="K269" s="217"/>
      <c r="L269" s="217"/>
      <c r="M269" s="217"/>
      <c r="N269" s="217"/>
      <c r="O269" s="217"/>
      <c r="P269" s="217"/>
      <c r="Q269" s="217"/>
      <c r="R269" s="217"/>
      <c r="S269" s="217"/>
      <c r="T269" s="217"/>
      <c r="U269" s="217"/>
      <c r="V269" s="217"/>
      <c r="W269" s="217"/>
      <c r="X269" s="217"/>
      <c r="Y269" s="217"/>
      <c r="Z269" s="217"/>
    </row>
    <row r="270" ht="15.75" customHeight="1">
      <c r="A270" s="217"/>
      <c r="B270" s="217"/>
      <c r="C270" s="217"/>
      <c r="D270" s="217"/>
      <c r="E270" s="217"/>
      <c r="F270" s="217"/>
      <c r="G270" s="217"/>
      <c r="H270" s="217"/>
      <c r="I270" s="217"/>
      <c r="J270" s="217"/>
      <c r="K270" s="217"/>
      <c r="L270" s="217"/>
      <c r="M270" s="217"/>
      <c r="N270" s="217"/>
      <c r="O270" s="217"/>
      <c r="P270" s="217"/>
      <c r="Q270" s="217"/>
      <c r="R270" s="217"/>
      <c r="S270" s="217"/>
      <c r="T270" s="217"/>
      <c r="U270" s="217"/>
      <c r="V270" s="217"/>
      <c r="W270" s="217"/>
      <c r="X270" s="217"/>
      <c r="Y270" s="217"/>
      <c r="Z270" s="217"/>
    </row>
    <row r="271" ht="15.75" customHeight="1">
      <c r="A271" s="217"/>
      <c r="B271" s="217"/>
      <c r="C271" s="217"/>
      <c r="D271" s="217"/>
      <c r="E271" s="217"/>
      <c r="F271" s="217"/>
      <c r="G271" s="217"/>
      <c r="H271" s="217"/>
      <c r="I271" s="217"/>
      <c r="J271" s="217"/>
      <c r="K271" s="217"/>
      <c r="L271" s="217"/>
      <c r="M271" s="217"/>
      <c r="N271" s="217"/>
      <c r="O271" s="217"/>
      <c r="P271" s="217"/>
      <c r="Q271" s="217"/>
      <c r="R271" s="217"/>
      <c r="S271" s="217"/>
      <c r="T271" s="217"/>
      <c r="U271" s="217"/>
      <c r="V271" s="217"/>
      <c r="W271" s="217"/>
      <c r="X271" s="217"/>
      <c r="Y271" s="217"/>
      <c r="Z271" s="217"/>
    </row>
    <row r="272" ht="15.75" customHeight="1">
      <c r="A272" s="217"/>
      <c r="B272" s="217"/>
      <c r="C272" s="217"/>
      <c r="D272" s="217"/>
      <c r="E272" s="217"/>
      <c r="F272" s="217"/>
      <c r="G272" s="217"/>
      <c r="H272" s="217"/>
      <c r="I272" s="217"/>
      <c r="J272" s="217"/>
      <c r="K272" s="217"/>
      <c r="L272" s="217"/>
      <c r="M272" s="217"/>
      <c r="N272" s="217"/>
      <c r="O272" s="217"/>
      <c r="P272" s="217"/>
      <c r="Q272" s="217"/>
      <c r="R272" s="217"/>
      <c r="S272" s="217"/>
      <c r="T272" s="217"/>
      <c r="U272" s="217"/>
      <c r="V272" s="217"/>
      <c r="W272" s="217"/>
      <c r="X272" s="217"/>
      <c r="Y272" s="217"/>
      <c r="Z272" s="217"/>
    </row>
    <row r="273" ht="15.75" customHeight="1">
      <c r="A273" s="217"/>
      <c r="B273" s="217"/>
      <c r="C273" s="217"/>
      <c r="D273" s="217"/>
      <c r="E273" s="217"/>
      <c r="F273" s="217"/>
      <c r="G273" s="217"/>
      <c r="H273" s="217"/>
      <c r="I273" s="217"/>
      <c r="J273" s="217"/>
      <c r="K273" s="217"/>
      <c r="L273" s="217"/>
      <c r="M273" s="217"/>
      <c r="N273" s="217"/>
      <c r="O273" s="217"/>
      <c r="P273" s="217"/>
      <c r="Q273" s="217"/>
      <c r="R273" s="217"/>
      <c r="S273" s="217"/>
      <c r="T273" s="217"/>
      <c r="U273" s="217"/>
      <c r="V273" s="217"/>
      <c r="W273" s="217"/>
      <c r="X273" s="217"/>
      <c r="Y273" s="217"/>
      <c r="Z273" s="217"/>
    </row>
    <row r="274" ht="15.75" customHeight="1">
      <c r="A274" s="217"/>
      <c r="B274" s="217"/>
      <c r="C274" s="217"/>
      <c r="D274" s="217"/>
      <c r="E274" s="217"/>
      <c r="F274" s="217"/>
      <c r="G274" s="217"/>
      <c r="H274" s="217"/>
      <c r="I274" s="217"/>
      <c r="J274" s="217"/>
      <c r="K274" s="217"/>
      <c r="L274" s="217"/>
      <c r="M274" s="217"/>
      <c r="N274" s="217"/>
      <c r="O274" s="217"/>
      <c r="P274" s="217"/>
      <c r="Q274" s="217"/>
      <c r="R274" s="217"/>
      <c r="S274" s="217"/>
      <c r="T274" s="217"/>
      <c r="U274" s="217"/>
      <c r="V274" s="217"/>
      <c r="W274" s="217"/>
      <c r="X274" s="217"/>
      <c r="Y274" s="217"/>
      <c r="Z274" s="217"/>
    </row>
    <row r="275" ht="15.75" customHeight="1">
      <c r="A275" s="217"/>
      <c r="B275" s="217"/>
      <c r="C275" s="217"/>
      <c r="D275" s="217"/>
      <c r="E275" s="217"/>
      <c r="F275" s="217"/>
      <c r="G275" s="217"/>
      <c r="H275" s="217"/>
      <c r="I275" s="217"/>
      <c r="J275" s="217"/>
      <c r="K275" s="217"/>
      <c r="L275" s="217"/>
      <c r="M275" s="217"/>
      <c r="N275" s="217"/>
      <c r="O275" s="217"/>
      <c r="P275" s="217"/>
      <c r="Q275" s="217"/>
      <c r="R275" s="217"/>
      <c r="S275" s="217"/>
      <c r="T275" s="217"/>
      <c r="U275" s="217"/>
      <c r="V275" s="217"/>
      <c r="W275" s="217"/>
      <c r="X275" s="217"/>
      <c r="Y275" s="217"/>
      <c r="Z275" s="217"/>
    </row>
    <row r="276" ht="15.75" customHeight="1">
      <c r="A276" s="217"/>
      <c r="B276" s="217"/>
      <c r="C276" s="217"/>
      <c r="D276" s="217"/>
      <c r="E276" s="217"/>
      <c r="F276" s="217"/>
      <c r="G276" s="217"/>
      <c r="H276" s="217"/>
      <c r="I276" s="217"/>
      <c r="J276" s="217"/>
      <c r="K276" s="217"/>
      <c r="L276" s="217"/>
      <c r="M276" s="217"/>
      <c r="N276" s="217"/>
      <c r="O276" s="217"/>
      <c r="P276" s="217"/>
      <c r="Q276" s="217"/>
      <c r="R276" s="217"/>
      <c r="S276" s="217"/>
      <c r="T276" s="217"/>
      <c r="U276" s="217"/>
      <c r="V276" s="217"/>
      <c r="W276" s="217"/>
      <c r="X276" s="217"/>
      <c r="Y276" s="217"/>
      <c r="Z276" s="217"/>
    </row>
    <row r="277" ht="15.75" customHeight="1">
      <c r="A277" s="217"/>
      <c r="B277" s="217"/>
      <c r="C277" s="217"/>
      <c r="D277" s="217"/>
      <c r="E277" s="217"/>
      <c r="F277" s="217"/>
      <c r="G277" s="217"/>
      <c r="H277" s="217"/>
      <c r="I277" s="217"/>
      <c r="J277" s="217"/>
      <c r="K277" s="217"/>
      <c r="L277" s="217"/>
      <c r="M277" s="217"/>
      <c r="N277" s="217"/>
      <c r="O277" s="217"/>
      <c r="P277" s="217"/>
      <c r="Q277" s="217"/>
      <c r="R277" s="217"/>
      <c r="S277" s="217"/>
      <c r="T277" s="217"/>
      <c r="U277" s="217"/>
      <c r="V277" s="217"/>
      <c r="W277" s="217"/>
      <c r="X277" s="217"/>
      <c r="Y277" s="217"/>
      <c r="Z277" s="217"/>
    </row>
    <row r="278" ht="15.75" customHeight="1">
      <c r="A278" s="217"/>
      <c r="B278" s="217"/>
      <c r="C278" s="217"/>
      <c r="D278" s="217"/>
      <c r="E278" s="217"/>
      <c r="F278" s="217"/>
      <c r="G278" s="217"/>
      <c r="H278" s="217"/>
      <c r="I278" s="217"/>
      <c r="J278" s="217"/>
      <c r="K278" s="217"/>
      <c r="L278" s="217"/>
      <c r="M278" s="217"/>
      <c r="N278" s="217"/>
      <c r="O278" s="217"/>
      <c r="P278" s="217"/>
      <c r="Q278" s="217"/>
      <c r="R278" s="217"/>
      <c r="S278" s="217"/>
      <c r="T278" s="217"/>
      <c r="U278" s="217"/>
      <c r="V278" s="217"/>
      <c r="W278" s="217"/>
      <c r="X278" s="217"/>
      <c r="Y278" s="217"/>
      <c r="Z278" s="217"/>
    </row>
    <row r="279" ht="15.75" customHeight="1">
      <c r="A279" s="217"/>
      <c r="B279" s="217"/>
      <c r="C279" s="217"/>
      <c r="D279" s="217"/>
      <c r="E279" s="217"/>
      <c r="F279" s="217"/>
      <c r="G279" s="217"/>
      <c r="H279" s="217"/>
      <c r="I279" s="217"/>
      <c r="J279" s="217"/>
      <c r="K279" s="217"/>
      <c r="L279" s="217"/>
      <c r="M279" s="217"/>
      <c r="N279" s="217"/>
      <c r="O279" s="217"/>
      <c r="P279" s="217"/>
      <c r="Q279" s="217"/>
      <c r="R279" s="217"/>
      <c r="S279" s="217"/>
      <c r="T279" s="217"/>
      <c r="U279" s="217"/>
      <c r="V279" s="217"/>
      <c r="W279" s="217"/>
      <c r="X279" s="217"/>
      <c r="Y279" s="217"/>
      <c r="Z279" s="217"/>
    </row>
    <row r="280" ht="15.75" customHeight="1">
      <c r="A280" s="217"/>
      <c r="B280" s="217"/>
      <c r="C280" s="217"/>
      <c r="D280" s="217"/>
      <c r="E280" s="217"/>
      <c r="F280" s="217"/>
      <c r="G280" s="217"/>
      <c r="H280" s="217"/>
      <c r="I280" s="217"/>
      <c r="J280" s="217"/>
      <c r="K280" s="217"/>
      <c r="L280" s="217"/>
      <c r="M280" s="217"/>
      <c r="N280" s="217"/>
      <c r="O280" s="217"/>
      <c r="P280" s="217"/>
      <c r="Q280" s="217"/>
      <c r="R280" s="217"/>
      <c r="S280" s="217"/>
      <c r="T280" s="217"/>
      <c r="U280" s="217"/>
      <c r="V280" s="217"/>
      <c r="W280" s="217"/>
      <c r="X280" s="217"/>
      <c r="Y280" s="217"/>
      <c r="Z280" s="217"/>
    </row>
    <row r="281" ht="15.75" customHeight="1">
      <c r="A281" s="217"/>
      <c r="B281" s="217"/>
      <c r="C281" s="217"/>
      <c r="D281" s="217"/>
      <c r="E281" s="217"/>
      <c r="F281" s="217"/>
      <c r="G281" s="217"/>
      <c r="H281" s="217"/>
      <c r="I281" s="217"/>
      <c r="J281" s="217"/>
      <c r="K281" s="217"/>
      <c r="L281" s="217"/>
      <c r="M281" s="217"/>
      <c r="N281" s="217"/>
      <c r="O281" s="217"/>
      <c r="P281" s="217"/>
      <c r="Q281" s="217"/>
      <c r="R281" s="217"/>
      <c r="S281" s="217"/>
      <c r="T281" s="217"/>
      <c r="U281" s="217"/>
      <c r="V281" s="217"/>
      <c r="W281" s="217"/>
      <c r="X281" s="217"/>
      <c r="Y281" s="217"/>
      <c r="Z281" s="217"/>
    </row>
    <row r="282" ht="15.75" customHeight="1">
      <c r="A282" s="217"/>
      <c r="B282" s="217"/>
      <c r="C282" s="217"/>
      <c r="D282" s="217"/>
      <c r="E282" s="217"/>
      <c r="F282" s="217"/>
      <c r="G282" s="217"/>
      <c r="H282" s="217"/>
      <c r="I282" s="217"/>
      <c r="J282" s="217"/>
      <c r="K282" s="217"/>
      <c r="L282" s="217"/>
      <c r="M282" s="217"/>
      <c r="N282" s="217"/>
      <c r="O282" s="217"/>
      <c r="P282" s="217"/>
      <c r="Q282" s="217"/>
      <c r="R282" s="217"/>
      <c r="S282" s="217"/>
      <c r="T282" s="217"/>
      <c r="U282" s="217"/>
      <c r="V282" s="217"/>
      <c r="W282" s="217"/>
      <c r="X282" s="217"/>
      <c r="Y282" s="217"/>
      <c r="Z282" s="217"/>
    </row>
    <row r="283" ht="15.75" customHeight="1">
      <c r="A283" s="217"/>
      <c r="B283" s="217"/>
      <c r="C283" s="217"/>
      <c r="D283" s="217"/>
      <c r="E283" s="217"/>
      <c r="F283" s="217"/>
      <c r="G283" s="217"/>
      <c r="H283" s="217"/>
      <c r="I283" s="217"/>
      <c r="J283" s="217"/>
      <c r="K283" s="217"/>
      <c r="L283" s="217"/>
      <c r="M283" s="217"/>
      <c r="N283" s="217"/>
      <c r="O283" s="217"/>
      <c r="P283" s="217"/>
      <c r="Q283" s="217"/>
      <c r="R283" s="217"/>
      <c r="S283" s="217"/>
      <c r="T283" s="217"/>
      <c r="U283" s="217"/>
      <c r="V283" s="217"/>
      <c r="W283" s="217"/>
      <c r="X283" s="217"/>
      <c r="Y283" s="217"/>
      <c r="Z283" s="217"/>
    </row>
    <row r="284" ht="15.75" customHeight="1">
      <c r="A284" s="217"/>
      <c r="B284" s="217"/>
      <c r="C284" s="217"/>
      <c r="D284" s="217"/>
      <c r="E284" s="217"/>
      <c r="F284" s="217"/>
      <c r="G284" s="217"/>
      <c r="H284" s="217"/>
      <c r="I284" s="217"/>
      <c r="J284" s="217"/>
      <c r="K284" s="217"/>
      <c r="L284" s="217"/>
      <c r="M284" s="217"/>
      <c r="N284" s="217"/>
      <c r="O284" s="217"/>
      <c r="P284" s="217"/>
      <c r="Q284" s="217"/>
      <c r="R284" s="217"/>
      <c r="S284" s="217"/>
      <c r="T284" s="217"/>
      <c r="U284" s="217"/>
      <c r="V284" s="217"/>
      <c r="W284" s="217"/>
      <c r="X284" s="217"/>
      <c r="Y284" s="217"/>
      <c r="Z284" s="217"/>
    </row>
    <row r="285" ht="15.75" customHeight="1">
      <c r="A285" s="217"/>
      <c r="B285" s="217"/>
      <c r="C285" s="217"/>
      <c r="D285" s="217"/>
      <c r="E285" s="217"/>
      <c r="F285" s="217"/>
      <c r="G285" s="217"/>
      <c r="H285" s="217"/>
      <c r="I285" s="217"/>
      <c r="J285" s="217"/>
      <c r="K285" s="217"/>
      <c r="L285" s="217"/>
      <c r="M285" s="217"/>
      <c r="N285" s="217"/>
      <c r="O285" s="217"/>
      <c r="P285" s="217"/>
      <c r="Q285" s="217"/>
      <c r="R285" s="217"/>
      <c r="S285" s="217"/>
      <c r="T285" s="217"/>
      <c r="U285" s="217"/>
      <c r="V285" s="217"/>
      <c r="W285" s="217"/>
      <c r="X285" s="217"/>
      <c r="Y285" s="217"/>
      <c r="Z285" s="217"/>
    </row>
    <row r="286" ht="15.75" customHeight="1">
      <c r="A286" s="217"/>
      <c r="B286" s="217"/>
      <c r="C286" s="217"/>
      <c r="D286" s="217"/>
      <c r="E286" s="217"/>
      <c r="F286" s="217"/>
      <c r="G286" s="217"/>
      <c r="H286" s="217"/>
      <c r="I286" s="217"/>
      <c r="J286" s="217"/>
      <c r="K286" s="217"/>
      <c r="L286" s="217"/>
      <c r="M286" s="217"/>
      <c r="N286" s="217"/>
      <c r="O286" s="217"/>
      <c r="P286" s="217"/>
      <c r="Q286" s="217"/>
      <c r="R286" s="217"/>
      <c r="S286" s="217"/>
      <c r="T286" s="217"/>
      <c r="U286" s="217"/>
      <c r="V286" s="217"/>
      <c r="W286" s="217"/>
      <c r="X286" s="217"/>
      <c r="Y286" s="217"/>
      <c r="Z286" s="217"/>
    </row>
    <row r="287" ht="15.75" customHeight="1">
      <c r="A287" s="217"/>
      <c r="B287" s="217"/>
      <c r="C287" s="217"/>
      <c r="D287" s="217"/>
      <c r="E287" s="217"/>
      <c r="F287" s="217"/>
      <c r="G287" s="217"/>
      <c r="H287" s="217"/>
      <c r="I287" s="217"/>
      <c r="J287" s="217"/>
      <c r="K287" s="217"/>
      <c r="L287" s="217"/>
      <c r="M287" s="217"/>
      <c r="N287" s="217"/>
      <c r="O287" s="217"/>
      <c r="P287" s="217"/>
      <c r="Q287" s="217"/>
      <c r="R287" s="217"/>
      <c r="S287" s="217"/>
      <c r="T287" s="217"/>
      <c r="U287" s="217"/>
      <c r="V287" s="217"/>
      <c r="W287" s="217"/>
      <c r="X287" s="217"/>
      <c r="Y287" s="217"/>
      <c r="Z287" s="217"/>
    </row>
    <row r="288" ht="15.75" customHeight="1">
      <c r="A288" s="217"/>
      <c r="B288" s="217"/>
      <c r="C288" s="217"/>
      <c r="D288" s="217"/>
      <c r="E288" s="217"/>
      <c r="F288" s="217"/>
      <c r="G288" s="217"/>
      <c r="H288" s="217"/>
      <c r="I288" s="217"/>
      <c r="J288" s="217"/>
      <c r="K288" s="217"/>
      <c r="L288" s="217"/>
      <c r="M288" s="217"/>
      <c r="N288" s="217"/>
      <c r="O288" s="217"/>
      <c r="P288" s="217"/>
      <c r="Q288" s="217"/>
      <c r="R288" s="217"/>
      <c r="S288" s="217"/>
      <c r="T288" s="217"/>
      <c r="U288" s="217"/>
      <c r="V288" s="217"/>
      <c r="W288" s="217"/>
      <c r="X288" s="217"/>
      <c r="Y288" s="217"/>
      <c r="Z288" s="217"/>
    </row>
    <row r="289" ht="15.75" customHeight="1">
      <c r="A289" s="217"/>
      <c r="B289" s="217"/>
      <c r="C289" s="217"/>
      <c r="D289" s="217"/>
      <c r="E289" s="217"/>
      <c r="F289" s="217"/>
      <c r="G289" s="217"/>
      <c r="H289" s="217"/>
      <c r="I289" s="217"/>
      <c r="J289" s="217"/>
      <c r="K289" s="217"/>
      <c r="L289" s="217"/>
      <c r="M289" s="217"/>
      <c r="N289" s="217"/>
      <c r="O289" s="217"/>
      <c r="P289" s="217"/>
      <c r="Q289" s="217"/>
      <c r="R289" s="217"/>
      <c r="S289" s="217"/>
      <c r="T289" s="217"/>
      <c r="U289" s="217"/>
      <c r="V289" s="217"/>
      <c r="W289" s="217"/>
      <c r="X289" s="217"/>
      <c r="Y289" s="217"/>
      <c r="Z289" s="217"/>
    </row>
    <row r="290" ht="15.75" customHeight="1">
      <c r="A290" s="217"/>
      <c r="B290" s="217"/>
      <c r="C290" s="217"/>
      <c r="D290" s="217"/>
      <c r="E290" s="217"/>
      <c r="F290" s="217"/>
      <c r="G290" s="217"/>
      <c r="H290" s="217"/>
      <c r="I290" s="217"/>
      <c r="J290" s="217"/>
      <c r="K290" s="217"/>
      <c r="L290" s="217"/>
      <c r="M290" s="217"/>
      <c r="N290" s="217"/>
      <c r="O290" s="217"/>
      <c r="P290" s="217"/>
      <c r="Q290" s="217"/>
      <c r="R290" s="217"/>
      <c r="S290" s="217"/>
      <c r="T290" s="217"/>
      <c r="U290" s="217"/>
      <c r="V290" s="217"/>
      <c r="W290" s="217"/>
      <c r="X290" s="217"/>
      <c r="Y290" s="217"/>
      <c r="Z290" s="217"/>
    </row>
    <row r="291" ht="15.75" customHeight="1">
      <c r="A291" s="217"/>
      <c r="B291" s="217"/>
      <c r="C291" s="217"/>
      <c r="D291" s="217"/>
      <c r="E291" s="217"/>
      <c r="F291" s="217"/>
      <c r="G291" s="217"/>
      <c r="H291" s="217"/>
      <c r="I291" s="217"/>
      <c r="J291" s="217"/>
      <c r="K291" s="217"/>
      <c r="L291" s="217"/>
      <c r="M291" s="217"/>
      <c r="N291" s="217"/>
      <c r="O291" s="217"/>
      <c r="P291" s="217"/>
      <c r="Q291" s="217"/>
      <c r="R291" s="217"/>
      <c r="S291" s="217"/>
      <c r="T291" s="217"/>
      <c r="U291" s="217"/>
      <c r="V291" s="217"/>
      <c r="W291" s="217"/>
      <c r="X291" s="217"/>
      <c r="Y291" s="217"/>
      <c r="Z291" s="217"/>
    </row>
    <row r="292" ht="15.75" customHeight="1">
      <c r="A292" s="217"/>
      <c r="B292" s="217"/>
      <c r="C292" s="217"/>
      <c r="D292" s="217"/>
      <c r="E292" s="217"/>
      <c r="F292" s="217"/>
      <c r="G292" s="217"/>
      <c r="H292" s="217"/>
      <c r="I292" s="217"/>
      <c r="J292" s="217"/>
      <c r="K292" s="217"/>
      <c r="L292" s="217"/>
      <c r="M292" s="217"/>
      <c r="N292" s="217"/>
      <c r="O292" s="217"/>
      <c r="P292" s="217"/>
      <c r="Q292" s="217"/>
      <c r="R292" s="217"/>
      <c r="S292" s="217"/>
      <c r="T292" s="217"/>
      <c r="U292" s="217"/>
      <c r="V292" s="217"/>
      <c r="W292" s="217"/>
      <c r="X292" s="217"/>
      <c r="Y292" s="217"/>
      <c r="Z292" s="217"/>
    </row>
    <row r="293" ht="15.75" customHeight="1">
      <c r="A293" s="217"/>
      <c r="B293" s="217"/>
      <c r="C293" s="217"/>
      <c r="D293" s="217"/>
      <c r="E293" s="217"/>
      <c r="F293" s="217"/>
      <c r="G293" s="217"/>
      <c r="H293" s="217"/>
      <c r="I293" s="217"/>
      <c r="J293" s="217"/>
      <c r="K293" s="217"/>
      <c r="L293" s="217"/>
      <c r="M293" s="217"/>
      <c r="N293" s="217"/>
      <c r="O293" s="217"/>
      <c r="P293" s="217"/>
      <c r="Q293" s="217"/>
      <c r="R293" s="217"/>
      <c r="S293" s="217"/>
      <c r="T293" s="217"/>
      <c r="U293" s="217"/>
      <c r="V293" s="217"/>
      <c r="W293" s="217"/>
      <c r="X293" s="217"/>
      <c r="Y293" s="217"/>
      <c r="Z293" s="217"/>
    </row>
    <row r="294" ht="15.75" customHeight="1">
      <c r="A294" s="217"/>
      <c r="B294" s="217"/>
      <c r="C294" s="217"/>
      <c r="D294" s="217"/>
      <c r="E294" s="217"/>
      <c r="F294" s="217"/>
      <c r="G294" s="217"/>
      <c r="H294" s="217"/>
      <c r="I294" s="217"/>
      <c r="J294" s="217"/>
      <c r="K294" s="217"/>
      <c r="L294" s="217"/>
      <c r="M294" s="217"/>
      <c r="N294" s="217"/>
      <c r="O294" s="217"/>
      <c r="P294" s="217"/>
      <c r="Q294" s="217"/>
      <c r="R294" s="217"/>
      <c r="S294" s="217"/>
      <c r="T294" s="217"/>
      <c r="U294" s="217"/>
      <c r="V294" s="217"/>
      <c r="W294" s="217"/>
      <c r="X294" s="217"/>
      <c r="Y294" s="217"/>
      <c r="Z294" s="217"/>
    </row>
    <row r="295" ht="15.75" customHeight="1">
      <c r="A295" s="217"/>
      <c r="B295" s="217"/>
      <c r="C295" s="217"/>
      <c r="D295" s="217"/>
      <c r="E295" s="217"/>
      <c r="F295" s="217"/>
      <c r="G295" s="217"/>
      <c r="H295" s="217"/>
      <c r="I295" s="217"/>
      <c r="J295" s="217"/>
      <c r="K295" s="217"/>
      <c r="L295" s="217"/>
      <c r="M295" s="217"/>
      <c r="N295" s="217"/>
      <c r="O295" s="217"/>
      <c r="P295" s="217"/>
      <c r="Q295" s="217"/>
      <c r="R295" s="217"/>
      <c r="S295" s="217"/>
      <c r="T295" s="217"/>
      <c r="U295" s="217"/>
      <c r="V295" s="217"/>
      <c r="W295" s="217"/>
      <c r="X295" s="217"/>
      <c r="Y295" s="217"/>
      <c r="Z295" s="217"/>
    </row>
    <row r="296" ht="15.75" customHeight="1">
      <c r="A296" s="217"/>
      <c r="B296" s="217"/>
      <c r="C296" s="217"/>
      <c r="D296" s="217"/>
      <c r="E296" s="217"/>
      <c r="F296" s="217"/>
      <c r="G296" s="217"/>
      <c r="H296" s="217"/>
      <c r="I296" s="217"/>
      <c r="J296" s="217"/>
      <c r="K296" s="217"/>
      <c r="L296" s="217"/>
      <c r="M296" s="217"/>
      <c r="N296" s="217"/>
      <c r="O296" s="217"/>
      <c r="P296" s="217"/>
      <c r="Q296" s="217"/>
      <c r="R296" s="217"/>
      <c r="S296" s="217"/>
      <c r="T296" s="217"/>
      <c r="U296" s="217"/>
      <c r="V296" s="217"/>
      <c r="W296" s="217"/>
      <c r="X296" s="217"/>
      <c r="Y296" s="217"/>
      <c r="Z296" s="217"/>
    </row>
    <row r="297" ht="15.75" customHeight="1">
      <c r="A297" s="217"/>
      <c r="B297" s="217"/>
      <c r="C297" s="217"/>
      <c r="D297" s="217"/>
      <c r="E297" s="217"/>
      <c r="F297" s="217"/>
      <c r="G297" s="217"/>
      <c r="H297" s="217"/>
      <c r="I297" s="217"/>
      <c r="J297" s="217"/>
      <c r="K297" s="217"/>
      <c r="L297" s="217"/>
      <c r="M297" s="217"/>
      <c r="N297" s="217"/>
      <c r="O297" s="217"/>
      <c r="P297" s="217"/>
      <c r="Q297" s="217"/>
      <c r="R297" s="217"/>
      <c r="S297" s="217"/>
      <c r="T297" s="217"/>
      <c r="U297" s="217"/>
      <c r="V297" s="217"/>
      <c r="W297" s="217"/>
      <c r="X297" s="217"/>
      <c r="Y297" s="217"/>
      <c r="Z297" s="217"/>
    </row>
    <row r="298" ht="15.75" customHeight="1">
      <c r="A298" s="217"/>
      <c r="B298" s="217"/>
      <c r="C298" s="217"/>
      <c r="D298" s="217"/>
      <c r="E298" s="217"/>
      <c r="F298" s="217"/>
      <c r="G298" s="217"/>
      <c r="H298" s="217"/>
      <c r="I298" s="217"/>
      <c r="J298" s="217"/>
      <c r="K298" s="217"/>
      <c r="L298" s="217"/>
      <c r="M298" s="217"/>
      <c r="N298" s="217"/>
      <c r="O298" s="217"/>
      <c r="P298" s="217"/>
      <c r="Q298" s="217"/>
      <c r="R298" s="217"/>
      <c r="S298" s="217"/>
      <c r="T298" s="217"/>
      <c r="U298" s="217"/>
      <c r="V298" s="217"/>
      <c r="W298" s="217"/>
      <c r="X298" s="217"/>
      <c r="Y298" s="217"/>
      <c r="Z298" s="217"/>
    </row>
    <row r="299" ht="15.75" customHeight="1">
      <c r="A299" s="217"/>
      <c r="B299" s="217"/>
      <c r="C299" s="217"/>
      <c r="D299" s="217"/>
      <c r="E299" s="217"/>
      <c r="F299" s="217"/>
      <c r="G299" s="217"/>
      <c r="H299" s="217"/>
      <c r="I299" s="217"/>
      <c r="J299" s="217"/>
      <c r="K299" s="217"/>
      <c r="L299" s="217"/>
      <c r="M299" s="217"/>
      <c r="N299" s="217"/>
      <c r="O299" s="217"/>
      <c r="P299" s="217"/>
      <c r="Q299" s="217"/>
      <c r="R299" s="217"/>
      <c r="S299" s="217"/>
      <c r="T299" s="217"/>
      <c r="U299" s="217"/>
      <c r="V299" s="217"/>
      <c r="W299" s="217"/>
      <c r="X299" s="217"/>
      <c r="Y299" s="217"/>
      <c r="Z299" s="217"/>
    </row>
    <row r="300" ht="15.75" customHeight="1">
      <c r="A300" s="217"/>
      <c r="B300" s="217"/>
      <c r="C300" s="217"/>
      <c r="D300" s="217"/>
      <c r="E300" s="217"/>
      <c r="F300" s="217"/>
      <c r="G300" s="217"/>
      <c r="H300" s="217"/>
      <c r="I300" s="217"/>
      <c r="J300" s="217"/>
      <c r="K300" s="217"/>
      <c r="L300" s="217"/>
      <c r="M300" s="217"/>
      <c r="N300" s="217"/>
      <c r="O300" s="217"/>
      <c r="P300" s="217"/>
      <c r="Q300" s="217"/>
      <c r="R300" s="217"/>
      <c r="S300" s="217"/>
      <c r="T300" s="217"/>
      <c r="U300" s="217"/>
      <c r="V300" s="217"/>
      <c r="W300" s="217"/>
      <c r="X300" s="217"/>
      <c r="Y300" s="217"/>
      <c r="Z300" s="217"/>
    </row>
    <row r="301" ht="15.75" customHeight="1">
      <c r="A301" s="217"/>
      <c r="B301" s="217"/>
      <c r="C301" s="217"/>
      <c r="D301" s="217"/>
      <c r="E301" s="217"/>
      <c r="F301" s="217"/>
      <c r="G301" s="217"/>
      <c r="H301" s="217"/>
      <c r="I301" s="217"/>
      <c r="J301" s="217"/>
      <c r="K301" s="217"/>
      <c r="L301" s="217"/>
      <c r="M301" s="217"/>
      <c r="N301" s="217"/>
      <c r="O301" s="217"/>
      <c r="P301" s="217"/>
      <c r="Q301" s="217"/>
      <c r="R301" s="217"/>
      <c r="S301" s="217"/>
      <c r="T301" s="217"/>
      <c r="U301" s="217"/>
      <c r="V301" s="217"/>
      <c r="W301" s="217"/>
      <c r="X301" s="217"/>
      <c r="Y301" s="217"/>
      <c r="Z301" s="217"/>
    </row>
    <row r="302" ht="15.75" customHeight="1">
      <c r="A302" s="217"/>
      <c r="B302" s="217"/>
      <c r="C302" s="217"/>
      <c r="D302" s="217"/>
      <c r="E302" s="217"/>
      <c r="F302" s="217"/>
      <c r="G302" s="217"/>
      <c r="H302" s="217"/>
      <c r="I302" s="217"/>
      <c r="J302" s="217"/>
      <c r="K302" s="217"/>
      <c r="L302" s="217"/>
      <c r="M302" s="217"/>
      <c r="N302" s="217"/>
      <c r="O302" s="217"/>
      <c r="P302" s="217"/>
      <c r="Q302" s="217"/>
      <c r="R302" s="217"/>
      <c r="S302" s="217"/>
      <c r="T302" s="217"/>
      <c r="U302" s="217"/>
      <c r="V302" s="217"/>
      <c r="W302" s="217"/>
      <c r="X302" s="217"/>
      <c r="Y302" s="217"/>
      <c r="Z302" s="217"/>
    </row>
    <row r="303" ht="15.75" customHeight="1">
      <c r="A303" s="217"/>
      <c r="B303" s="217"/>
      <c r="C303" s="217"/>
      <c r="D303" s="217"/>
      <c r="E303" s="217"/>
      <c r="F303" s="217"/>
      <c r="G303" s="217"/>
      <c r="H303" s="217"/>
      <c r="I303" s="217"/>
      <c r="J303" s="217"/>
      <c r="K303" s="217"/>
      <c r="L303" s="217"/>
      <c r="M303" s="217"/>
      <c r="N303" s="217"/>
      <c r="O303" s="217"/>
      <c r="P303" s="217"/>
      <c r="Q303" s="217"/>
      <c r="R303" s="217"/>
      <c r="S303" s="217"/>
      <c r="T303" s="217"/>
      <c r="U303" s="217"/>
      <c r="V303" s="217"/>
      <c r="W303" s="217"/>
      <c r="X303" s="217"/>
      <c r="Y303" s="217"/>
      <c r="Z303" s="217"/>
    </row>
    <row r="304" ht="15.75" customHeight="1">
      <c r="A304" s="217"/>
      <c r="B304" s="217"/>
      <c r="C304" s="217"/>
      <c r="D304" s="217"/>
      <c r="E304" s="217"/>
      <c r="F304" s="217"/>
      <c r="G304" s="217"/>
      <c r="H304" s="217"/>
      <c r="I304" s="217"/>
      <c r="J304" s="217"/>
      <c r="K304" s="217"/>
      <c r="L304" s="217"/>
      <c r="M304" s="217"/>
      <c r="N304" s="217"/>
      <c r="O304" s="217"/>
      <c r="P304" s="217"/>
      <c r="Q304" s="217"/>
      <c r="R304" s="217"/>
      <c r="S304" s="217"/>
      <c r="T304" s="217"/>
      <c r="U304" s="217"/>
      <c r="V304" s="217"/>
      <c r="W304" s="217"/>
      <c r="X304" s="217"/>
      <c r="Y304" s="217"/>
      <c r="Z304" s="217"/>
    </row>
    <row r="305" ht="15.75" customHeight="1">
      <c r="A305" s="217"/>
      <c r="B305" s="217"/>
      <c r="C305" s="217"/>
      <c r="D305" s="217"/>
      <c r="E305" s="217"/>
      <c r="F305" s="217"/>
      <c r="G305" s="217"/>
      <c r="H305" s="217"/>
      <c r="I305" s="217"/>
      <c r="J305" s="217"/>
      <c r="K305" s="217"/>
      <c r="L305" s="217"/>
      <c r="M305" s="217"/>
      <c r="N305" s="217"/>
      <c r="O305" s="217"/>
      <c r="P305" s="217"/>
      <c r="Q305" s="217"/>
      <c r="R305" s="217"/>
      <c r="S305" s="217"/>
      <c r="T305" s="217"/>
      <c r="U305" s="217"/>
      <c r="V305" s="217"/>
      <c r="W305" s="217"/>
      <c r="X305" s="217"/>
      <c r="Y305" s="217"/>
      <c r="Z305" s="217"/>
    </row>
    <row r="306" ht="15.75" customHeight="1">
      <c r="A306" s="217"/>
      <c r="B306" s="217"/>
      <c r="C306" s="217"/>
      <c r="D306" s="217"/>
      <c r="E306" s="217"/>
      <c r="F306" s="217"/>
      <c r="G306" s="217"/>
      <c r="H306" s="217"/>
      <c r="I306" s="217"/>
      <c r="J306" s="217"/>
      <c r="K306" s="217"/>
      <c r="L306" s="217"/>
      <c r="M306" s="217"/>
      <c r="N306" s="217"/>
      <c r="O306" s="217"/>
      <c r="P306" s="217"/>
      <c r="Q306" s="217"/>
      <c r="R306" s="217"/>
      <c r="S306" s="217"/>
      <c r="T306" s="217"/>
      <c r="U306" s="217"/>
      <c r="V306" s="217"/>
      <c r="W306" s="217"/>
      <c r="X306" s="217"/>
      <c r="Y306" s="217"/>
      <c r="Z306" s="217"/>
    </row>
    <row r="307" ht="15.75" customHeight="1">
      <c r="A307" s="217"/>
      <c r="B307" s="217"/>
      <c r="C307" s="217"/>
      <c r="D307" s="217"/>
      <c r="E307" s="217"/>
      <c r="F307" s="217"/>
      <c r="G307" s="217"/>
      <c r="H307" s="217"/>
      <c r="I307" s="217"/>
      <c r="J307" s="217"/>
      <c r="K307" s="217"/>
      <c r="L307" s="217"/>
      <c r="M307" s="217"/>
      <c r="N307" s="217"/>
      <c r="O307" s="217"/>
      <c r="P307" s="217"/>
      <c r="Q307" s="217"/>
      <c r="R307" s="217"/>
      <c r="S307" s="217"/>
      <c r="T307" s="217"/>
      <c r="U307" s="217"/>
      <c r="V307" s="217"/>
      <c r="W307" s="217"/>
      <c r="X307" s="217"/>
      <c r="Y307" s="217"/>
      <c r="Z307" s="217"/>
    </row>
    <row r="308" ht="15.75" customHeight="1">
      <c r="A308" s="217"/>
      <c r="B308" s="217"/>
      <c r="C308" s="217"/>
      <c r="D308" s="217"/>
      <c r="E308" s="217"/>
      <c r="F308" s="217"/>
      <c r="G308" s="217"/>
      <c r="H308" s="217"/>
      <c r="I308" s="217"/>
      <c r="J308" s="217"/>
      <c r="K308" s="217"/>
      <c r="L308" s="217"/>
      <c r="M308" s="217"/>
      <c r="N308" s="217"/>
      <c r="O308" s="217"/>
      <c r="P308" s="217"/>
      <c r="Q308" s="217"/>
      <c r="R308" s="217"/>
      <c r="S308" s="217"/>
      <c r="T308" s="217"/>
      <c r="U308" s="217"/>
      <c r="V308" s="217"/>
      <c r="W308" s="217"/>
      <c r="X308" s="217"/>
      <c r="Y308" s="217"/>
      <c r="Z308" s="217"/>
    </row>
    <row r="309" ht="15.75" customHeight="1">
      <c r="A309" s="217"/>
      <c r="B309" s="217"/>
      <c r="C309" s="217"/>
      <c r="D309" s="217"/>
      <c r="E309" s="217"/>
      <c r="F309" s="217"/>
      <c r="G309" s="217"/>
      <c r="H309" s="217"/>
      <c r="I309" s="217"/>
      <c r="J309" s="217"/>
      <c r="K309" s="217"/>
      <c r="L309" s="217"/>
      <c r="M309" s="217"/>
      <c r="N309" s="217"/>
      <c r="O309" s="217"/>
      <c r="P309" s="217"/>
      <c r="Q309" s="217"/>
      <c r="R309" s="217"/>
      <c r="S309" s="217"/>
      <c r="T309" s="217"/>
      <c r="U309" s="217"/>
      <c r="V309" s="217"/>
      <c r="W309" s="217"/>
      <c r="X309" s="217"/>
      <c r="Y309" s="217"/>
      <c r="Z309" s="217"/>
    </row>
    <row r="310" ht="15.75" customHeight="1">
      <c r="A310" s="217"/>
      <c r="B310" s="217"/>
      <c r="C310" s="217"/>
      <c r="D310" s="217"/>
      <c r="E310" s="217"/>
      <c r="F310" s="217"/>
      <c r="G310" s="217"/>
      <c r="H310" s="217"/>
      <c r="I310" s="217"/>
      <c r="J310" s="217"/>
      <c r="K310" s="217"/>
      <c r="L310" s="217"/>
      <c r="M310" s="217"/>
      <c r="N310" s="217"/>
      <c r="O310" s="217"/>
      <c r="P310" s="217"/>
      <c r="Q310" s="217"/>
      <c r="R310" s="217"/>
      <c r="S310" s="217"/>
      <c r="T310" s="217"/>
      <c r="U310" s="217"/>
      <c r="V310" s="217"/>
      <c r="W310" s="217"/>
      <c r="X310" s="217"/>
      <c r="Y310" s="217"/>
      <c r="Z310" s="217"/>
    </row>
    <row r="311" ht="15.75" customHeight="1">
      <c r="A311" s="217"/>
      <c r="B311" s="217"/>
      <c r="C311" s="217"/>
      <c r="D311" s="217"/>
      <c r="E311" s="217"/>
      <c r="F311" s="217"/>
      <c r="G311" s="217"/>
      <c r="H311" s="217"/>
      <c r="I311" s="217"/>
      <c r="J311" s="217"/>
      <c r="K311" s="217"/>
      <c r="L311" s="217"/>
      <c r="M311" s="217"/>
      <c r="N311" s="217"/>
      <c r="O311" s="217"/>
      <c r="P311" s="217"/>
      <c r="Q311" s="217"/>
      <c r="R311" s="217"/>
      <c r="S311" s="217"/>
      <c r="T311" s="217"/>
      <c r="U311" s="217"/>
      <c r="V311" s="217"/>
      <c r="W311" s="217"/>
      <c r="X311" s="217"/>
      <c r="Y311" s="217"/>
      <c r="Z311" s="217"/>
    </row>
    <row r="312" ht="15.75" customHeight="1">
      <c r="A312" s="217"/>
      <c r="B312" s="217"/>
      <c r="C312" s="217"/>
      <c r="D312" s="217"/>
      <c r="E312" s="217"/>
      <c r="F312" s="217"/>
      <c r="G312" s="217"/>
      <c r="H312" s="217"/>
      <c r="I312" s="217"/>
      <c r="J312" s="217"/>
      <c r="K312" s="217"/>
      <c r="L312" s="217"/>
      <c r="M312" s="217"/>
      <c r="N312" s="217"/>
      <c r="O312" s="217"/>
      <c r="P312" s="217"/>
      <c r="Q312" s="217"/>
      <c r="R312" s="217"/>
      <c r="S312" s="217"/>
      <c r="T312" s="217"/>
      <c r="U312" s="217"/>
      <c r="V312" s="217"/>
      <c r="W312" s="217"/>
      <c r="X312" s="217"/>
      <c r="Y312" s="217"/>
      <c r="Z312" s="217"/>
    </row>
    <row r="313" ht="15.75" customHeight="1">
      <c r="A313" s="217"/>
      <c r="B313" s="217"/>
      <c r="C313" s="217"/>
      <c r="D313" s="217"/>
      <c r="E313" s="217"/>
      <c r="F313" s="217"/>
      <c r="G313" s="217"/>
      <c r="H313" s="217"/>
      <c r="I313" s="217"/>
      <c r="J313" s="217"/>
      <c r="K313" s="217"/>
      <c r="L313" s="217"/>
      <c r="M313" s="217"/>
      <c r="N313" s="217"/>
      <c r="O313" s="217"/>
      <c r="P313" s="217"/>
      <c r="Q313" s="217"/>
      <c r="R313" s="217"/>
      <c r="S313" s="217"/>
      <c r="T313" s="217"/>
      <c r="U313" s="217"/>
      <c r="V313" s="217"/>
      <c r="W313" s="217"/>
      <c r="X313" s="217"/>
      <c r="Y313" s="217"/>
      <c r="Z313" s="217"/>
    </row>
    <row r="314" ht="15.75" customHeight="1">
      <c r="A314" s="217"/>
      <c r="B314" s="217"/>
      <c r="C314" s="217"/>
      <c r="D314" s="217"/>
      <c r="E314" s="217"/>
      <c r="F314" s="217"/>
      <c r="G314" s="217"/>
      <c r="H314" s="217"/>
      <c r="I314" s="217"/>
      <c r="J314" s="217"/>
      <c r="K314" s="217"/>
      <c r="L314" s="217"/>
      <c r="M314" s="217"/>
      <c r="N314" s="217"/>
      <c r="O314" s="217"/>
      <c r="P314" s="217"/>
      <c r="Q314" s="217"/>
      <c r="R314" s="217"/>
      <c r="S314" s="217"/>
      <c r="T314" s="217"/>
      <c r="U314" s="217"/>
      <c r="V314" s="217"/>
      <c r="W314" s="217"/>
      <c r="X314" s="217"/>
      <c r="Y314" s="217"/>
      <c r="Z314" s="217"/>
    </row>
    <row r="315" ht="15.75" customHeight="1">
      <c r="A315" s="217"/>
      <c r="B315" s="217"/>
      <c r="C315" s="217"/>
      <c r="D315" s="217"/>
      <c r="E315" s="217"/>
      <c r="F315" s="217"/>
      <c r="G315" s="217"/>
      <c r="H315" s="217"/>
      <c r="I315" s="217"/>
      <c r="J315" s="217"/>
      <c r="K315" s="217"/>
      <c r="L315" s="217"/>
      <c r="M315" s="217"/>
      <c r="N315" s="217"/>
      <c r="O315" s="217"/>
      <c r="P315" s="217"/>
      <c r="Q315" s="217"/>
      <c r="R315" s="217"/>
      <c r="S315" s="217"/>
      <c r="T315" s="217"/>
      <c r="U315" s="217"/>
      <c r="V315" s="217"/>
      <c r="W315" s="217"/>
      <c r="X315" s="217"/>
      <c r="Y315" s="217"/>
      <c r="Z315" s="217"/>
    </row>
    <row r="316" ht="15.75" customHeight="1">
      <c r="A316" s="217"/>
      <c r="B316" s="217"/>
      <c r="C316" s="217"/>
      <c r="D316" s="217"/>
      <c r="E316" s="217"/>
      <c r="F316" s="217"/>
      <c r="G316" s="217"/>
      <c r="H316" s="217"/>
      <c r="I316" s="217"/>
      <c r="J316" s="217"/>
      <c r="K316" s="217"/>
      <c r="L316" s="217"/>
      <c r="M316" s="217"/>
      <c r="N316" s="217"/>
      <c r="O316" s="217"/>
      <c r="P316" s="217"/>
      <c r="Q316" s="217"/>
      <c r="R316" s="217"/>
      <c r="S316" s="217"/>
      <c r="T316" s="217"/>
      <c r="U316" s="217"/>
      <c r="V316" s="217"/>
      <c r="W316" s="217"/>
      <c r="X316" s="217"/>
      <c r="Y316" s="217"/>
      <c r="Z316" s="217"/>
    </row>
    <row r="317" ht="15.75" customHeight="1">
      <c r="A317" s="217"/>
      <c r="B317" s="217"/>
      <c r="C317" s="217"/>
      <c r="D317" s="217"/>
      <c r="E317" s="217"/>
      <c r="F317" s="217"/>
      <c r="G317" s="217"/>
      <c r="H317" s="217"/>
      <c r="I317" s="217"/>
      <c r="J317" s="217"/>
      <c r="K317" s="217"/>
      <c r="L317" s="217"/>
      <c r="M317" s="217"/>
      <c r="N317" s="217"/>
      <c r="O317" s="217"/>
      <c r="P317" s="217"/>
      <c r="Q317" s="217"/>
      <c r="R317" s="217"/>
      <c r="S317" s="217"/>
      <c r="T317" s="217"/>
      <c r="U317" s="217"/>
      <c r="V317" s="217"/>
      <c r="W317" s="217"/>
      <c r="X317" s="217"/>
      <c r="Y317" s="217"/>
      <c r="Z317" s="217"/>
    </row>
    <row r="318" ht="15.75" customHeight="1">
      <c r="A318" s="217"/>
      <c r="B318" s="217"/>
      <c r="C318" s="217"/>
      <c r="D318" s="217"/>
      <c r="E318" s="217"/>
      <c r="F318" s="217"/>
      <c r="G318" s="217"/>
      <c r="H318" s="217"/>
      <c r="I318" s="217"/>
      <c r="J318" s="217"/>
      <c r="K318" s="217"/>
      <c r="L318" s="217"/>
      <c r="M318" s="217"/>
      <c r="N318" s="217"/>
      <c r="O318" s="217"/>
      <c r="P318" s="217"/>
      <c r="Q318" s="217"/>
      <c r="R318" s="217"/>
      <c r="S318" s="217"/>
      <c r="T318" s="217"/>
      <c r="U318" s="217"/>
      <c r="V318" s="217"/>
      <c r="W318" s="217"/>
      <c r="X318" s="217"/>
      <c r="Y318" s="217"/>
      <c r="Z318" s="217"/>
    </row>
    <row r="319" ht="15.75" customHeight="1">
      <c r="A319" s="217"/>
      <c r="B319" s="217"/>
      <c r="C319" s="217"/>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row>
    <row r="320" ht="15.75" customHeight="1">
      <c r="A320" s="217"/>
      <c r="B320" s="217"/>
      <c r="C320" s="217"/>
      <c r="D320" s="217"/>
      <c r="E320" s="217"/>
      <c r="F320" s="217"/>
      <c r="G320" s="217"/>
      <c r="H320" s="217"/>
      <c r="I320" s="217"/>
      <c r="J320" s="217"/>
      <c r="K320" s="217"/>
      <c r="L320" s="217"/>
      <c r="M320" s="217"/>
      <c r="N320" s="217"/>
      <c r="O320" s="217"/>
      <c r="P320" s="217"/>
      <c r="Q320" s="217"/>
      <c r="R320" s="217"/>
      <c r="S320" s="217"/>
      <c r="T320" s="217"/>
      <c r="U320" s="217"/>
      <c r="V320" s="217"/>
      <c r="W320" s="217"/>
      <c r="X320" s="217"/>
      <c r="Y320" s="217"/>
      <c r="Z320" s="217"/>
    </row>
    <row r="321" ht="15.75" customHeight="1">
      <c r="A321" s="217"/>
      <c r="B321" s="217"/>
      <c r="C321" s="217"/>
      <c r="D321" s="217"/>
      <c r="E321" s="217"/>
      <c r="F321" s="217"/>
      <c r="G321" s="217"/>
      <c r="H321" s="217"/>
      <c r="I321" s="217"/>
      <c r="J321" s="217"/>
      <c r="K321" s="217"/>
      <c r="L321" s="217"/>
      <c r="M321" s="217"/>
      <c r="N321" s="217"/>
      <c r="O321" s="217"/>
      <c r="P321" s="217"/>
      <c r="Q321" s="217"/>
      <c r="R321" s="217"/>
      <c r="S321" s="217"/>
      <c r="T321" s="217"/>
      <c r="U321" s="217"/>
      <c r="V321" s="217"/>
      <c r="W321" s="217"/>
      <c r="X321" s="217"/>
      <c r="Y321" s="217"/>
      <c r="Z321" s="217"/>
    </row>
    <row r="322" ht="15.75" customHeight="1">
      <c r="A322" s="217"/>
      <c r="B322" s="217"/>
      <c r="C322" s="217"/>
      <c r="D322" s="217"/>
      <c r="E322" s="217"/>
      <c r="F322" s="217"/>
      <c r="G322" s="217"/>
      <c r="H322" s="217"/>
      <c r="I322" s="217"/>
      <c r="J322" s="217"/>
      <c r="K322" s="217"/>
      <c r="L322" s="217"/>
      <c r="M322" s="217"/>
      <c r="N322" s="217"/>
      <c r="O322" s="217"/>
      <c r="P322" s="217"/>
      <c r="Q322" s="217"/>
      <c r="R322" s="217"/>
      <c r="S322" s="217"/>
      <c r="T322" s="217"/>
      <c r="U322" s="217"/>
      <c r="V322" s="217"/>
      <c r="W322" s="217"/>
      <c r="X322" s="217"/>
      <c r="Y322" s="217"/>
      <c r="Z322" s="217"/>
    </row>
    <row r="323" ht="15.75" customHeight="1">
      <c r="A323" s="217"/>
      <c r="B323" s="217"/>
      <c r="C323" s="217"/>
      <c r="D323" s="217"/>
      <c r="E323" s="217"/>
      <c r="F323" s="217"/>
      <c r="G323" s="217"/>
      <c r="H323" s="217"/>
      <c r="I323" s="217"/>
      <c r="J323" s="217"/>
      <c r="K323" s="217"/>
      <c r="L323" s="217"/>
      <c r="M323" s="217"/>
      <c r="N323" s="217"/>
      <c r="O323" s="217"/>
      <c r="P323" s="217"/>
      <c r="Q323" s="217"/>
      <c r="R323" s="217"/>
      <c r="S323" s="217"/>
      <c r="T323" s="217"/>
      <c r="U323" s="217"/>
      <c r="V323" s="217"/>
      <c r="W323" s="217"/>
      <c r="X323" s="217"/>
      <c r="Y323" s="217"/>
      <c r="Z323" s="217"/>
    </row>
    <row r="324" ht="15.75" customHeight="1">
      <c r="A324" s="217"/>
      <c r="B324" s="217"/>
      <c r="C324" s="217"/>
      <c r="D324" s="217"/>
      <c r="E324" s="217"/>
      <c r="F324" s="217"/>
      <c r="G324" s="217"/>
      <c r="H324" s="217"/>
      <c r="I324" s="217"/>
      <c r="J324" s="217"/>
      <c r="K324" s="217"/>
      <c r="L324" s="217"/>
      <c r="M324" s="217"/>
      <c r="N324" s="217"/>
      <c r="O324" s="217"/>
      <c r="P324" s="217"/>
      <c r="Q324" s="217"/>
      <c r="R324" s="217"/>
      <c r="S324" s="217"/>
      <c r="T324" s="217"/>
      <c r="U324" s="217"/>
      <c r="V324" s="217"/>
      <c r="W324" s="217"/>
      <c r="X324" s="217"/>
      <c r="Y324" s="217"/>
      <c r="Z324" s="217"/>
    </row>
    <row r="325" ht="15.75" customHeight="1">
      <c r="A325" s="217"/>
      <c r="B325" s="217"/>
      <c r="C325" s="217"/>
      <c r="D325" s="217"/>
      <c r="E325" s="217"/>
      <c r="F325" s="217"/>
      <c r="G325" s="217"/>
      <c r="H325" s="217"/>
      <c r="I325" s="217"/>
      <c r="J325" s="217"/>
      <c r="K325" s="217"/>
      <c r="L325" s="217"/>
      <c r="M325" s="217"/>
      <c r="N325" s="217"/>
      <c r="O325" s="217"/>
      <c r="P325" s="217"/>
      <c r="Q325" s="217"/>
      <c r="R325" s="217"/>
      <c r="S325" s="217"/>
      <c r="T325" s="217"/>
      <c r="U325" s="217"/>
      <c r="V325" s="217"/>
      <c r="W325" s="217"/>
      <c r="X325" s="217"/>
      <c r="Y325" s="217"/>
      <c r="Z325" s="217"/>
    </row>
    <row r="326" ht="15.75" customHeight="1">
      <c r="A326" s="217"/>
      <c r="B326" s="217"/>
      <c r="C326" s="217"/>
      <c r="D326" s="217"/>
      <c r="E326" s="217"/>
      <c r="F326" s="217"/>
      <c r="G326" s="217"/>
      <c r="H326" s="217"/>
      <c r="I326" s="217"/>
      <c r="J326" s="217"/>
      <c r="K326" s="217"/>
      <c r="L326" s="217"/>
      <c r="M326" s="217"/>
      <c r="N326" s="217"/>
      <c r="O326" s="217"/>
      <c r="P326" s="217"/>
      <c r="Q326" s="217"/>
      <c r="R326" s="217"/>
      <c r="S326" s="217"/>
      <c r="T326" s="217"/>
      <c r="U326" s="217"/>
      <c r="V326" s="217"/>
      <c r="W326" s="217"/>
      <c r="X326" s="217"/>
      <c r="Y326" s="217"/>
      <c r="Z326" s="217"/>
    </row>
    <row r="327" ht="15.75" customHeight="1">
      <c r="A327" s="217"/>
      <c r="B327" s="217"/>
      <c r="C327" s="217"/>
      <c r="D327" s="217"/>
      <c r="E327" s="217"/>
      <c r="F327" s="217"/>
      <c r="G327" s="217"/>
      <c r="H327" s="217"/>
      <c r="I327" s="217"/>
      <c r="J327" s="217"/>
      <c r="K327" s="217"/>
      <c r="L327" s="217"/>
      <c r="M327" s="217"/>
      <c r="N327" s="217"/>
      <c r="O327" s="217"/>
      <c r="P327" s="217"/>
      <c r="Q327" s="217"/>
      <c r="R327" s="217"/>
      <c r="S327" s="217"/>
      <c r="T327" s="217"/>
      <c r="U327" s="217"/>
      <c r="V327" s="217"/>
      <c r="W327" s="217"/>
      <c r="X327" s="217"/>
      <c r="Y327" s="217"/>
      <c r="Z327" s="217"/>
    </row>
    <row r="328" ht="15.75" customHeight="1">
      <c r="A328" s="217"/>
      <c r="B328" s="217"/>
      <c r="C328" s="217"/>
      <c r="D328" s="217"/>
      <c r="E328" s="217"/>
      <c r="F328" s="217"/>
      <c r="G328" s="217"/>
      <c r="H328" s="217"/>
      <c r="I328" s="217"/>
      <c r="J328" s="217"/>
      <c r="K328" s="217"/>
      <c r="L328" s="217"/>
      <c r="M328" s="217"/>
      <c r="N328" s="217"/>
      <c r="O328" s="217"/>
      <c r="P328" s="217"/>
      <c r="Q328" s="217"/>
      <c r="R328" s="217"/>
      <c r="S328" s="217"/>
      <c r="T328" s="217"/>
      <c r="U328" s="217"/>
      <c r="V328" s="217"/>
      <c r="W328" s="217"/>
      <c r="X328" s="217"/>
      <c r="Y328" s="217"/>
      <c r="Z328" s="217"/>
    </row>
    <row r="329" ht="15.75" customHeight="1">
      <c r="A329" s="217"/>
      <c r="B329" s="217"/>
      <c r="C329" s="217"/>
      <c r="D329" s="217"/>
      <c r="E329" s="217"/>
      <c r="F329" s="217"/>
      <c r="G329" s="217"/>
      <c r="H329" s="217"/>
      <c r="I329" s="217"/>
      <c r="J329" s="217"/>
      <c r="K329" s="217"/>
      <c r="L329" s="217"/>
      <c r="M329" s="217"/>
      <c r="N329" s="217"/>
      <c r="O329" s="217"/>
      <c r="P329" s="217"/>
      <c r="Q329" s="217"/>
      <c r="R329" s="217"/>
      <c r="S329" s="217"/>
      <c r="T329" s="217"/>
      <c r="U329" s="217"/>
      <c r="V329" s="217"/>
      <c r="W329" s="217"/>
      <c r="X329" s="217"/>
      <c r="Y329" s="217"/>
      <c r="Z329" s="217"/>
    </row>
    <row r="330" ht="15.75" customHeight="1">
      <c r="A330" s="217"/>
      <c r="B330" s="217"/>
      <c r="C330" s="217"/>
      <c r="D330" s="217"/>
      <c r="E330" s="217"/>
      <c r="F330" s="217"/>
      <c r="G330" s="217"/>
      <c r="H330" s="217"/>
      <c r="I330" s="217"/>
      <c r="J330" s="217"/>
      <c r="K330" s="217"/>
      <c r="L330" s="217"/>
      <c r="M330" s="217"/>
      <c r="N330" s="217"/>
      <c r="O330" s="217"/>
      <c r="P330" s="217"/>
      <c r="Q330" s="217"/>
      <c r="R330" s="217"/>
      <c r="S330" s="217"/>
      <c r="T330" s="217"/>
      <c r="U330" s="217"/>
      <c r="V330" s="217"/>
      <c r="W330" s="217"/>
      <c r="X330" s="217"/>
      <c r="Y330" s="217"/>
      <c r="Z330" s="217"/>
    </row>
    <row r="331" ht="15.75" customHeight="1">
      <c r="A331" s="217"/>
      <c r="B331" s="217"/>
      <c r="C331" s="217"/>
      <c r="D331" s="217"/>
      <c r="E331" s="217"/>
      <c r="F331" s="217"/>
      <c r="G331" s="217"/>
      <c r="H331" s="217"/>
      <c r="I331" s="217"/>
      <c r="J331" s="217"/>
      <c r="K331" s="217"/>
      <c r="L331" s="217"/>
      <c r="M331" s="217"/>
      <c r="N331" s="217"/>
      <c r="O331" s="217"/>
      <c r="P331" s="217"/>
      <c r="Q331" s="217"/>
      <c r="R331" s="217"/>
      <c r="S331" s="217"/>
      <c r="T331" s="217"/>
      <c r="U331" s="217"/>
      <c r="V331" s="217"/>
      <c r="W331" s="217"/>
      <c r="X331" s="217"/>
      <c r="Y331" s="217"/>
      <c r="Z331" s="217"/>
    </row>
    <row r="332" ht="15.75" customHeight="1">
      <c r="A332" s="217"/>
      <c r="B332" s="217"/>
      <c r="C332" s="217"/>
      <c r="D332" s="217"/>
      <c r="E332" s="217"/>
      <c r="F332" s="217"/>
      <c r="G332" s="217"/>
      <c r="H332" s="217"/>
      <c r="I332" s="217"/>
      <c r="J332" s="217"/>
      <c r="K332" s="217"/>
      <c r="L332" s="217"/>
      <c r="M332" s="217"/>
      <c r="N332" s="217"/>
      <c r="O332" s="217"/>
      <c r="P332" s="217"/>
      <c r="Q332" s="217"/>
      <c r="R332" s="217"/>
      <c r="S332" s="217"/>
      <c r="T332" s="217"/>
      <c r="U332" s="217"/>
      <c r="V332" s="217"/>
      <c r="W332" s="217"/>
      <c r="X332" s="217"/>
      <c r="Y332" s="217"/>
      <c r="Z332" s="217"/>
    </row>
    <row r="333" ht="15.75" customHeight="1">
      <c r="A333" s="217"/>
      <c r="B333" s="217"/>
      <c r="C333" s="217"/>
      <c r="D333" s="217"/>
      <c r="E333" s="217"/>
      <c r="F333" s="217"/>
      <c r="G333" s="217"/>
      <c r="H333" s="217"/>
      <c r="I333" s="217"/>
      <c r="J333" s="217"/>
      <c r="K333" s="217"/>
      <c r="L333" s="217"/>
      <c r="M333" s="217"/>
      <c r="N333" s="217"/>
      <c r="O333" s="217"/>
      <c r="P333" s="217"/>
      <c r="Q333" s="217"/>
      <c r="R333" s="217"/>
      <c r="S333" s="217"/>
      <c r="T333" s="217"/>
      <c r="U333" s="217"/>
      <c r="V333" s="217"/>
      <c r="W333" s="217"/>
      <c r="X333" s="217"/>
      <c r="Y333" s="217"/>
      <c r="Z333" s="217"/>
    </row>
    <row r="334" ht="15.75" customHeight="1">
      <c r="A334" s="217"/>
      <c r="B334" s="217"/>
      <c r="C334" s="217"/>
      <c r="D334" s="217"/>
      <c r="E334" s="217"/>
      <c r="F334" s="217"/>
      <c r="G334" s="217"/>
      <c r="H334" s="217"/>
      <c r="I334" s="217"/>
      <c r="J334" s="217"/>
      <c r="K334" s="217"/>
      <c r="L334" s="217"/>
      <c r="M334" s="217"/>
      <c r="N334" s="217"/>
      <c r="O334" s="217"/>
      <c r="P334" s="217"/>
      <c r="Q334" s="217"/>
      <c r="R334" s="217"/>
      <c r="S334" s="217"/>
      <c r="T334" s="217"/>
      <c r="U334" s="217"/>
      <c r="V334" s="217"/>
      <c r="W334" s="217"/>
      <c r="X334" s="217"/>
      <c r="Y334" s="217"/>
      <c r="Z334" s="217"/>
    </row>
    <row r="335" ht="15.75" customHeight="1">
      <c r="A335" s="217"/>
      <c r="B335" s="217"/>
      <c r="C335" s="217"/>
      <c r="D335" s="217"/>
      <c r="E335" s="217"/>
      <c r="F335" s="217"/>
      <c r="G335" s="217"/>
      <c r="H335" s="217"/>
      <c r="I335" s="217"/>
      <c r="J335" s="217"/>
      <c r="K335" s="217"/>
      <c r="L335" s="217"/>
      <c r="M335" s="217"/>
      <c r="N335" s="217"/>
      <c r="O335" s="217"/>
      <c r="P335" s="217"/>
      <c r="Q335" s="217"/>
      <c r="R335" s="217"/>
      <c r="S335" s="217"/>
      <c r="T335" s="217"/>
      <c r="U335" s="217"/>
      <c r="V335" s="217"/>
      <c r="W335" s="217"/>
      <c r="X335" s="217"/>
      <c r="Y335" s="217"/>
      <c r="Z335" s="217"/>
    </row>
    <row r="336" ht="15.75" customHeight="1">
      <c r="A336" s="217"/>
      <c r="B336" s="217"/>
      <c r="C336" s="217"/>
      <c r="D336" s="217"/>
      <c r="E336" s="217"/>
      <c r="F336" s="217"/>
      <c r="G336" s="217"/>
      <c r="H336" s="217"/>
      <c r="I336" s="217"/>
      <c r="J336" s="217"/>
      <c r="K336" s="217"/>
      <c r="L336" s="217"/>
      <c r="M336" s="217"/>
      <c r="N336" s="217"/>
      <c r="O336" s="217"/>
      <c r="P336" s="217"/>
      <c r="Q336" s="217"/>
      <c r="R336" s="217"/>
      <c r="S336" s="217"/>
      <c r="T336" s="217"/>
      <c r="U336" s="217"/>
      <c r="V336" s="217"/>
      <c r="W336" s="217"/>
      <c r="X336" s="217"/>
      <c r="Y336" s="217"/>
      <c r="Z336" s="217"/>
    </row>
    <row r="337" ht="15.75" customHeight="1">
      <c r="A337" s="217"/>
      <c r="B337" s="217"/>
      <c r="C337" s="217"/>
      <c r="D337" s="217"/>
      <c r="E337" s="217"/>
      <c r="F337" s="217"/>
      <c r="G337" s="217"/>
      <c r="H337" s="217"/>
      <c r="I337" s="217"/>
      <c r="J337" s="217"/>
      <c r="K337" s="217"/>
      <c r="L337" s="217"/>
      <c r="M337" s="217"/>
      <c r="N337" s="217"/>
      <c r="O337" s="217"/>
      <c r="P337" s="217"/>
      <c r="Q337" s="217"/>
      <c r="R337" s="217"/>
      <c r="S337" s="217"/>
      <c r="T337" s="217"/>
      <c r="U337" s="217"/>
      <c r="V337" s="217"/>
      <c r="W337" s="217"/>
      <c r="X337" s="217"/>
      <c r="Y337" s="217"/>
      <c r="Z337" s="217"/>
    </row>
    <row r="338" ht="15.75" customHeight="1">
      <c r="A338" s="217"/>
      <c r="B338" s="217"/>
      <c r="C338" s="217"/>
      <c r="D338" s="217"/>
      <c r="E338" s="217"/>
      <c r="F338" s="217"/>
      <c r="G338" s="217"/>
      <c r="H338" s="217"/>
      <c r="I338" s="217"/>
      <c r="J338" s="217"/>
      <c r="K338" s="217"/>
      <c r="L338" s="217"/>
      <c r="M338" s="217"/>
      <c r="N338" s="217"/>
      <c r="O338" s="217"/>
      <c r="P338" s="217"/>
      <c r="Q338" s="217"/>
      <c r="R338" s="217"/>
      <c r="S338" s="217"/>
      <c r="T338" s="217"/>
      <c r="U338" s="217"/>
      <c r="V338" s="217"/>
      <c r="W338" s="217"/>
      <c r="X338" s="217"/>
      <c r="Y338" s="217"/>
      <c r="Z338" s="217"/>
    </row>
    <row r="339" ht="15.75" customHeight="1">
      <c r="A339" s="217"/>
      <c r="B339" s="217"/>
      <c r="C339" s="217"/>
      <c r="D339" s="217"/>
      <c r="E339" s="217"/>
      <c r="F339" s="217"/>
      <c r="G339" s="217"/>
      <c r="H339" s="217"/>
      <c r="I339" s="217"/>
      <c r="J339" s="217"/>
      <c r="K339" s="217"/>
      <c r="L339" s="217"/>
      <c r="M339" s="217"/>
      <c r="N339" s="217"/>
      <c r="O339" s="217"/>
      <c r="P339" s="217"/>
      <c r="Q339" s="217"/>
      <c r="R339" s="217"/>
      <c r="S339" s="217"/>
      <c r="T339" s="217"/>
      <c r="U339" s="217"/>
      <c r="V339" s="217"/>
      <c r="W339" s="217"/>
      <c r="X339" s="217"/>
      <c r="Y339" s="217"/>
      <c r="Z339" s="217"/>
    </row>
    <row r="340" ht="15.75" customHeight="1">
      <c r="A340" s="217"/>
      <c r="B340" s="217"/>
      <c r="C340" s="217"/>
      <c r="D340" s="217"/>
      <c r="E340" s="217"/>
      <c r="F340" s="217"/>
      <c r="G340" s="217"/>
      <c r="H340" s="217"/>
      <c r="I340" s="217"/>
      <c r="J340" s="217"/>
      <c r="K340" s="217"/>
      <c r="L340" s="217"/>
      <c r="M340" s="217"/>
      <c r="N340" s="217"/>
      <c r="O340" s="217"/>
      <c r="P340" s="217"/>
      <c r="Q340" s="217"/>
      <c r="R340" s="217"/>
      <c r="S340" s="217"/>
      <c r="T340" s="217"/>
      <c r="U340" s="217"/>
      <c r="V340" s="217"/>
      <c r="W340" s="217"/>
      <c r="X340" s="217"/>
      <c r="Y340" s="217"/>
      <c r="Z340" s="217"/>
    </row>
    <row r="341" ht="15.75" customHeight="1">
      <c r="A341" s="217"/>
      <c r="B341" s="217"/>
      <c r="C341" s="217"/>
      <c r="D341" s="217"/>
      <c r="E341" s="217"/>
      <c r="F341" s="217"/>
      <c r="G341" s="217"/>
      <c r="H341" s="217"/>
      <c r="I341" s="217"/>
      <c r="J341" s="217"/>
      <c r="K341" s="217"/>
      <c r="L341" s="217"/>
      <c r="M341" s="217"/>
      <c r="N341" s="217"/>
      <c r="O341" s="217"/>
      <c r="P341" s="217"/>
      <c r="Q341" s="217"/>
      <c r="R341" s="217"/>
      <c r="S341" s="217"/>
      <c r="T341" s="217"/>
      <c r="U341" s="217"/>
      <c r="V341" s="217"/>
      <c r="W341" s="217"/>
      <c r="X341" s="217"/>
      <c r="Y341" s="217"/>
      <c r="Z341" s="217"/>
    </row>
    <row r="342" ht="15.75" customHeight="1">
      <c r="A342" s="217"/>
      <c r="B342" s="217"/>
      <c r="C342" s="217"/>
      <c r="D342" s="217"/>
      <c r="E342" s="217"/>
      <c r="F342" s="217"/>
      <c r="G342" s="217"/>
      <c r="H342" s="217"/>
      <c r="I342" s="217"/>
      <c r="J342" s="217"/>
      <c r="K342" s="217"/>
      <c r="L342" s="217"/>
      <c r="M342" s="217"/>
      <c r="N342" s="217"/>
      <c r="O342" s="217"/>
      <c r="P342" s="217"/>
      <c r="Q342" s="217"/>
      <c r="R342" s="217"/>
      <c r="S342" s="217"/>
      <c r="T342" s="217"/>
      <c r="U342" s="217"/>
      <c r="V342" s="217"/>
      <c r="W342" s="217"/>
      <c r="X342" s="217"/>
      <c r="Y342" s="217"/>
      <c r="Z342" s="217"/>
    </row>
    <row r="343" ht="15.75" customHeight="1">
      <c r="A343" s="217"/>
      <c r="B343" s="217"/>
      <c r="C343" s="217"/>
      <c r="D343" s="217"/>
      <c r="E343" s="217"/>
      <c r="F343" s="217"/>
      <c r="G343" s="217"/>
      <c r="H343" s="217"/>
      <c r="I343" s="217"/>
      <c r="J343" s="217"/>
      <c r="K343" s="217"/>
      <c r="L343" s="217"/>
      <c r="M343" s="217"/>
      <c r="N343" s="217"/>
      <c r="O343" s="217"/>
      <c r="P343" s="217"/>
      <c r="Q343" s="217"/>
      <c r="R343" s="217"/>
      <c r="S343" s="217"/>
      <c r="T343" s="217"/>
      <c r="U343" s="217"/>
      <c r="V343" s="217"/>
      <c r="W343" s="217"/>
      <c r="X343" s="217"/>
      <c r="Y343" s="217"/>
      <c r="Z343" s="217"/>
    </row>
    <row r="344" ht="15.75" customHeight="1">
      <c r="A344" s="217"/>
      <c r="B344" s="217"/>
      <c r="C344" s="217"/>
      <c r="D344" s="217"/>
      <c r="E344" s="217"/>
      <c r="F344" s="217"/>
      <c r="G344" s="217"/>
      <c r="H344" s="217"/>
      <c r="I344" s="217"/>
      <c r="J344" s="217"/>
      <c r="K344" s="217"/>
      <c r="L344" s="217"/>
      <c r="M344" s="217"/>
      <c r="N344" s="217"/>
      <c r="O344" s="217"/>
      <c r="P344" s="217"/>
      <c r="Q344" s="217"/>
      <c r="R344" s="217"/>
      <c r="S344" s="217"/>
      <c r="T344" s="217"/>
      <c r="U344" s="217"/>
      <c r="V344" s="217"/>
      <c r="W344" s="217"/>
      <c r="X344" s="217"/>
      <c r="Y344" s="217"/>
      <c r="Z344" s="217"/>
    </row>
    <row r="345" ht="15.75" customHeight="1">
      <c r="A345" s="217"/>
      <c r="B345" s="217"/>
      <c r="C345" s="217"/>
      <c r="D345" s="217"/>
      <c r="E345" s="217"/>
      <c r="F345" s="217"/>
      <c r="G345" s="217"/>
      <c r="H345" s="217"/>
      <c r="I345" s="217"/>
      <c r="J345" s="217"/>
      <c r="K345" s="217"/>
      <c r="L345" s="217"/>
      <c r="M345" s="217"/>
      <c r="N345" s="217"/>
      <c r="O345" s="217"/>
      <c r="P345" s="217"/>
      <c r="Q345" s="217"/>
      <c r="R345" s="217"/>
      <c r="S345" s="217"/>
      <c r="T345" s="217"/>
      <c r="U345" s="217"/>
      <c r="V345" s="217"/>
      <c r="W345" s="217"/>
      <c r="X345" s="217"/>
      <c r="Y345" s="217"/>
      <c r="Z345" s="217"/>
    </row>
    <row r="346" ht="15.75" customHeight="1">
      <c r="A346" s="217"/>
      <c r="B346" s="217"/>
      <c r="C346" s="217"/>
      <c r="D346" s="217"/>
      <c r="E346" s="217"/>
      <c r="F346" s="217"/>
      <c r="G346" s="217"/>
      <c r="H346" s="217"/>
      <c r="I346" s="217"/>
      <c r="J346" s="217"/>
      <c r="K346" s="217"/>
      <c r="L346" s="217"/>
      <c r="M346" s="217"/>
      <c r="N346" s="217"/>
      <c r="O346" s="217"/>
      <c r="P346" s="217"/>
      <c r="Q346" s="217"/>
      <c r="R346" s="217"/>
      <c r="S346" s="217"/>
      <c r="T346" s="217"/>
      <c r="U346" s="217"/>
      <c r="V346" s="217"/>
      <c r="W346" s="217"/>
      <c r="X346" s="217"/>
      <c r="Y346" s="217"/>
      <c r="Z346" s="217"/>
    </row>
    <row r="347" ht="15.75" customHeight="1">
      <c r="A347" s="217"/>
      <c r="B347" s="217"/>
      <c r="C347" s="217"/>
      <c r="D347" s="217"/>
      <c r="E347" s="217"/>
      <c r="F347" s="217"/>
      <c r="G347" s="217"/>
      <c r="H347" s="217"/>
      <c r="I347" s="217"/>
      <c r="J347" s="217"/>
      <c r="K347" s="217"/>
      <c r="L347" s="217"/>
      <c r="M347" s="217"/>
      <c r="N347" s="217"/>
      <c r="O347" s="217"/>
      <c r="P347" s="217"/>
      <c r="Q347" s="217"/>
      <c r="R347" s="217"/>
      <c r="S347" s="217"/>
      <c r="T347" s="217"/>
      <c r="U347" s="217"/>
      <c r="V347" s="217"/>
      <c r="W347" s="217"/>
      <c r="X347" s="217"/>
      <c r="Y347" s="217"/>
      <c r="Z347" s="217"/>
    </row>
    <row r="348" ht="15.75" customHeight="1">
      <c r="A348" s="217"/>
      <c r="B348" s="217"/>
      <c r="C348" s="217"/>
      <c r="D348" s="217"/>
      <c r="E348" s="217"/>
      <c r="F348" s="217"/>
      <c r="G348" s="217"/>
      <c r="H348" s="217"/>
      <c r="I348" s="217"/>
      <c r="J348" s="217"/>
      <c r="K348" s="217"/>
      <c r="L348" s="217"/>
      <c r="M348" s="217"/>
      <c r="N348" s="217"/>
      <c r="O348" s="217"/>
      <c r="P348" s="217"/>
      <c r="Q348" s="217"/>
      <c r="R348" s="217"/>
      <c r="S348" s="217"/>
      <c r="T348" s="217"/>
      <c r="U348" s="217"/>
      <c r="V348" s="217"/>
      <c r="W348" s="217"/>
      <c r="X348" s="217"/>
      <c r="Y348" s="217"/>
      <c r="Z348" s="217"/>
    </row>
    <row r="349" ht="15.75" customHeight="1">
      <c r="A349" s="217"/>
      <c r="B349" s="217"/>
      <c r="C349" s="217"/>
      <c r="D349" s="217"/>
      <c r="E349" s="217"/>
      <c r="F349" s="217"/>
      <c r="G349" s="217"/>
      <c r="H349" s="217"/>
      <c r="I349" s="217"/>
      <c r="J349" s="217"/>
      <c r="K349" s="217"/>
      <c r="L349" s="217"/>
      <c r="M349" s="217"/>
      <c r="N349" s="217"/>
      <c r="O349" s="217"/>
      <c r="P349" s="217"/>
      <c r="Q349" s="217"/>
      <c r="R349" s="217"/>
      <c r="S349" s="217"/>
      <c r="T349" s="217"/>
      <c r="U349" s="217"/>
      <c r="V349" s="217"/>
      <c r="W349" s="217"/>
      <c r="X349" s="217"/>
      <c r="Y349" s="217"/>
      <c r="Z349" s="217"/>
    </row>
    <row r="350" ht="15.75" customHeight="1">
      <c r="A350" s="217"/>
      <c r="B350" s="217"/>
      <c r="C350" s="217"/>
      <c r="D350" s="217"/>
      <c r="E350" s="217"/>
      <c r="F350" s="217"/>
      <c r="G350" s="217"/>
      <c r="H350" s="217"/>
      <c r="I350" s="217"/>
      <c r="J350" s="217"/>
      <c r="K350" s="217"/>
      <c r="L350" s="217"/>
      <c r="M350" s="217"/>
      <c r="N350" s="217"/>
      <c r="O350" s="217"/>
      <c r="P350" s="217"/>
      <c r="Q350" s="217"/>
      <c r="R350" s="217"/>
      <c r="S350" s="217"/>
      <c r="T350" s="217"/>
      <c r="U350" s="217"/>
      <c r="V350" s="217"/>
      <c r="W350" s="217"/>
      <c r="X350" s="217"/>
      <c r="Y350" s="217"/>
      <c r="Z350" s="217"/>
    </row>
    <row r="351" ht="15.75" customHeight="1">
      <c r="A351" s="217"/>
      <c r="B351" s="217"/>
      <c r="C351" s="217"/>
      <c r="D351" s="217"/>
      <c r="E351" s="217"/>
      <c r="F351" s="217"/>
      <c r="G351" s="217"/>
      <c r="H351" s="217"/>
      <c r="I351" s="217"/>
      <c r="J351" s="217"/>
      <c r="K351" s="217"/>
      <c r="L351" s="217"/>
      <c r="M351" s="217"/>
      <c r="N351" s="217"/>
      <c r="O351" s="217"/>
      <c r="P351" s="217"/>
      <c r="Q351" s="217"/>
      <c r="R351" s="217"/>
      <c r="S351" s="217"/>
      <c r="T351" s="217"/>
      <c r="U351" s="217"/>
      <c r="V351" s="217"/>
      <c r="W351" s="217"/>
      <c r="X351" s="217"/>
      <c r="Y351" s="217"/>
      <c r="Z351" s="217"/>
    </row>
    <row r="352" ht="15.75" customHeight="1">
      <c r="A352" s="217"/>
      <c r="B352" s="217"/>
      <c r="C352" s="217"/>
      <c r="D352" s="217"/>
      <c r="E352" s="217"/>
      <c r="F352" s="217"/>
      <c r="G352" s="217"/>
      <c r="H352" s="217"/>
      <c r="I352" s="217"/>
      <c r="J352" s="217"/>
      <c r="K352" s="217"/>
      <c r="L352" s="217"/>
      <c r="M352" s="217"/>
      <c r="N352" s="217"/>
      <c r="O352" s="217"/>
      <c r="P352" s="217"/>
      <c r="Q352" s="217"/>
      <c r="R352" s="217"/>
      <c r="S352" s="217"/>
      <c r="T352" s="217"/>
      <c r="U352" s="217"/>
      <c r="V352" s="217"/>
      <c r="W352" s="217"/>
      <c r="X352" s="217"/>
      <c r="Y352" s="217"/>
      <c r="Z352" s="217"/>
    </row>
    <row r="353" ht="15.75" customHeight="1">
      <c r="A353" s="217"/>
      <c r="B353" s="217"/>
      <c r="C353" s="217"/>
      <c r="D353" s="217"/>
      <c r="E353" s="217"/>
      <c r="F353" s="217"/>
      <c r="G353" s="217"/>
      <c r="H353" s="217"/>
      <c r="I353" s="217"/>
      <c r="J353" s="217"/>
      <c r="K353" s="217"/>
      <c r="L353" s="217"/>
      <c r="M353" s="217"/>
      <c r="N353" s="217"/>
      <c r="O353" s="217"/>
      <c r="P353" s="217"/>
      <c r="Q353" s="217"/>
      <c r="R353" s="217"/>
      <c r="S353" s="217"/>
      <c r="T353" s="217"/>
      <c r="U353" s="217"/>
      <c r="V353" s="217"/>
      <c r="W353" s="217"/>
      <c r="X353" s="217"/>
      <c r="Y353" s="217"/>
      <c r="Z353" s="217"/>
    </row>
    <row r="354" ht="15.75" customHeight="1">
      <c r="A354" s="217"/>
      <c r="B354" s="217"/>
      <c r="C354" s="217"/>
      <c r="D354" s="217"/>
      <c r="E354" s="217"/>
      <c r="F354" s="217"/>
      <c r="G354" s="217"/>
      <c r="H354" s="217"/>
      <c r="I354" s="217"/>
      <c r="J354" s="217"/>
      <c r="K354" s="217"/>
      <c r="L354" s="217"/>
      <c r="M354" s="217"/>
      <c r="N354" s="217"/>
      <c r="O354" s="217"/>
      <c r="P354" s="217"/>
      <c r="Q354" s="217"/>
      <c r="R354" s="217"/>
      <c r="S354" s="217"/>
      <c r="T354" s="217"/>
      <c r="U354" s="217"/>
      <c r="V354" s="217"/>
      <c r="W354" s="217"/>
      <c r="X354" s="217"/>
      <c r="Y354" s="217"/>
      <c r="Z354" s="217"/>
    </row>
    <row r="355" ht="15.75" customHeight="1">
      <c r="A355" s="217"/>
      <c r="B355" s="217"/>
      <c r="C355" s="217"/>
      <c r="D355" s="217"/>
      <c r="E355" s="217"/>
      <c r="F355" s="217"/>
      <c r="G355" s="217"/>
      <c r="H355" s="217"/>
      <c r="I355" s="217"/>
      <c r="J355" s="217"/>
      <c r="K355" s="217"/>
      <c r="L355" s="217"/>
      <c r="M355" s="217"/>
      <c r="N355" s="217"/>
      <c r="O355" s="217"/>
      <c r="P355" s="217"/>
      <c r="Q355" s="217"/>
      <c r="R355" s="217"/>
      <c r="S355" s="217"/>
      <c r="T355" s="217"/>
      <c r="U355" s="217"/>
      <c r="V355" s="217"/>
      <c r="W355" s="217"/>
      <c r="X355" s="217"/>
      <c r="Y355" s="217"/>
      <c r="Z355" s="217"/>
    </row>
    <row r="356" ht="15.75" customHeight="1">
      <c r="A356" s="217"/>
      <c r="B356" s="217"/>
      <c r="C356" s="217"/>
      <c r="D356" s="217"/>
      <c r="E356" s="217"/>
      <c r="F356" s="217"/>
      <c r="G356" s="217"/>
      <c r="H356" s="217"/>
      <c r="I356" s="217"/>
      <c r="J356" s="217"/>
      <c r="K356" s="217"/>
      <c r="L356" s="217"/>
      <c r="M356" s="217"/>
      <c r="N356" s="217"/>
      <c r="O356" s="217"/>
      <c r="P356" s="217"/>
      <c r="Q356" s="217"/>
      <c r="R356" s="217"/>
      <c r="S356" s="217"/>
      <c r="T356" s="217"/>
      <c r="U356" s="217"/>
      <c r="V356" s="217"/>
      <c r="W356" s="217"/>
      <c r="X356" s="217"/>
      <c r="Y356" s="217"/>
      <c r="Z356" s="217"/>
    </row>
    <row r="357" ht="15.75" customHeight="1">
      <c r="A357" s="217"/>
      <c r="B357" s="217"/>
      <c r="C357" s="217"/>
      <c r="D357" s="217"/>
      <c r="E357" s="217"/>
      <c r="F357" s="217"/>
      <c r="G357" s="217"/>
      <c r="H357" s="217"/>
      <c r="I357" s="217"/>
      <c r="J357" s="217"/>
      <c r="K357" s="217"/>
      <c r="L357" s="217"/>
      <c r="M357" s="217"/>
      <c r="N357" s="217"/>
      <c r="O357" s="217"/>
      <c r="P357" s="217"/>
      <c r="Q357" s="217"/>
      <c r="R357" s="217"/>
      <c r="S357" s="217"/>
      <c r="T357" s="217"/>
      <c r="U357" s="217"/>
      <c r="V357" s="217"/>
      <c r="W357" s="217"/>
      <c r="X357" s="217"/>
      <c r="Y357" s="217"/>
      <c r="Z357" s="217"/>
    </row>
    <row r="358" ht="15.75" customHeight="1">
      <c r="A358" s="217"/>
      <c r="B358" s="217"/>
      <c r="C358" s="217"/>
      <c r="D358" s="217"/>
      <c r="E358" s="217"/>
      <c r="F358" s="217"/>
      <c r="G358" s="217"/>
      <c r="H358" s="217"/>
      <c r="I358" s="217"/>
      <c r="J358" s="217"/>
      <c r="K358" s="217"/>
      <c r="L358" s="217"/>
      <c r="M358" s="217"/>
      <c r="N358" s="217"/>
      <c r="O358" s="217"/>
      <c r="P358" s="217"/>
      <c r="Q358" s="217"/>
      <c r="R358" s="217"/>
      <c r="S358" s="217"/>
      <c r="T358" s="217"/>
      <c r="U358" s="217"/>
      <c r="V358" s="217"/>
      <c r="W358" s="217"/>
      <c r="X358" s="217"/>
      <c r="Y358" s="217"/>
      <c r="Z358" s="217"/>
    </row>
    <row r="359" ht="15.75" customHeight="1">
      <c r="A359" s="217"/>
      <c r="B359" s="217"/>
      <c r="C359" s="217"/>
      <c r="D359" s="217"/>
      <c r="E359" s="217"/>
      <c r="F359" s="217"/>
      <c r="G359" s="217"/>
      <c r="H359" s="217"/>
      <c r="I359" s="217"/>
      <c r="J359" s="217"/>
      <c r="K359" s="217"/>
      <c r="L359" s="217"/>
      <c r="M359" s="217"/>
      <c r="N359" s="217"/>
      <c r="O359" s="217"/>
      <c r="P359" s="217"/>
      <c r="Q359" s="217"/>
      <c r="R359" s="217"/>
      <c r="S359" s="217"/>
      <c r="T359" s="217"/>
      <c r="U359" s="217"/>
      <c r="V359" s="217"/>
      <c r="W359" s="217"/>
      <c r="X359" s="217"/>
      <c r="Y359" s="217"/>
      <c r="Z359" s="217"/>
    </row>
    <row r="360" ht="15.75" customHeight="1">
      <c r="A360" s="217"/>
      <c r="B360" s="217"/>
      <c r="C360" s="217"/>
      <c r="D360" s="217"/>
      <c r="E360" s="217"/>
      <c r="F360" s="217"/>
      <c r="G360" s="217"/>
      <c r="H360" s="217"/>
      <c r="I360" s="217"/>
      <c r="J360" s="217"/>
      <c r="K360" s="217"/>
      <c r="L360" s="217"/>
      <c r="M360" s="217"/>
      <c r="N360" s="217"/>
      <c r="O360" s="217"/>
      <c r="P360" s="217"/>
      <c r="Q360" s="217"/>
      <c r="R360" s="217"/>
      <c r="S360" s="217"/>
      <c r="T360" s="217"/>
      <c r="U360" s="217"/>
      <c r="V360" s="217"/>
      <c r="W360" s="217"/>
      <c r="X360" s="217"/>
      <c r="Y360" s="217"/>
      <c r="Z360" s="217"/>
    </row>
    <row r="361" ht="15.75" customHeight="1">
      <c r="A361" s="217"/>
      <c r="B361" s="217"/>
      <c r="C361" s="217"/>
      <c r="D361" s="217"/>
      <c r="E361" s="217"/>
      <c r="F361" s="217"/>
      <c r="G361" s="217"/>
      <c r="H361" s="217"/>
      <c r="I361" s="217"/>
      <c r="J361" s="217"/>
      <c r="K361" s="217"/>
      <c r="L361" s="217"/>
      <c r="M361" s="217"/>
      <c r="N361" s="217"/>
      <c r="O361" s="217"/>
      <c r="P361" s="217"/>
      <c r="Q361" s="217"/>
      <c r="R361" s="217"/>
      <c r="S361" s="217"/>
      <c r="T361" s="217"/>
      <c r="U361" s="217"/>
      <c r="V361" s="217"/>
      <c r="W361" s="217"/>
      <c r="X361" s="217"/>
      <c r="Y361" s="217"/>
      <c r="Z361" s="217"/>
    </row>
    <row r="362" ht="15.75" customHeight="1">
      <c r="A362" s="217"/>
      <c r="B362" s="217"/>
      <c r="C362" s="217"/>
      <c r="D362" s="217"/>
      <c r="E362" s="217"/>
      <c r="F362" s="217"/>
      <c r="G362" s="217"/>
      <c r="H362" s="217"/>
      <c r="I362" s="217"/>
      <c r="J362" s="217"/>
      <c r="K362" s="217"/>
      <c r="L362" s="217"/>
      <c r="M362" s="217"/>
      <c r="N362" s="217"/>
      <c r="O362" s="217"/>
      <c r="P362" s="217"/>
      <c r="Q362" s="217"/>
      <c r="R362" s="217"/>
      <c r="S362" s="217"/>
      <c r="T362" s="217"/>
      <c r="U362" s="217"/>
      <c r="V362" s="217"/>
      <c r="W362" s="217"/>
      <c r="X362" s="217"/>
      <c r="Y362" s="217"/>
      <c r="Z362" s="217"/>
    </row>
    <row r="363" ht="15.75" customHeight="1">
      <c r="A363" s="217"/>
      <c r="B363" s="217"/>
      <c r="C363" s="217"/>
      <c r="D363" s="217"/>
      <c r="E363" s="217"/>
      <c r="F363" s="217"/>
      <c r="G363" s="217"/>
      <c r="H363" s="217"/>
      <c r="I363" s="217"/>
      <c r="J363" s="217"/>
      <c r="K363" s="217"/>
      <c r="L363" s="217"/>
      <c r="M363" s="217"/>
      <c r="N363" s="217"/>
      <c r="O363" s="217"/>
      <c r="P363" s="217"/>
      <c r="Q363" s="217"/>
      <c r="R363" s="217"/>
      <c r="S363" s="217"/>
      <c r="T363" s="217"/>
      <c r="U363" s="217"/>
      <c r="V363" s="217"/>
      <c r="W363" s="217"/>
      <c r="X363" s="217"/>
      <c r="Y363" s="217"/>
      <c r="Z363" s="217"/>
    </row>
    <row r="364" ht="15.75" customHeight="1">
      <c r="A364" s="217"/>
      <c r="B364" s="217"/>
      <c r="C364" s="217"/>
      <c r="D364" s="217"/>
      <c r="E364" s="217"/>
      <c r="F364" s="217"/>
      <c r="G364" s="217"/>
      <c r="H364" s="217"/>
      <c r="I364" s="217"/>
      <c r="J364" s="217"/>
      <c r="K364" s="217"/>
      <c r="L364" s="217"/>
      <c r="M364" s="217"/>
      <c r="N364" s="217"/>
      <c r="O364" s="217"/>
      <c r="P364" s="217"/>
      <c r="Q364" s="217"/>
      <c r="R364" s="217"/>
      <c r="S364" s="217"/>
      <c r="T364" s="217"/>
      <c r="U364" s="217"/>
      <c r="V364" s="217"/>
      <c r="W364" s="217"/>
      <c r="X364" s="217"/>
      <c r="Y364" s="217"/>
      <c r="Z364" s="217"/>
    </row>
    <row r="365" ht="15.75" customHeight="1">
      <c r="A365" s="217"/>
      <c r="B365" s="217"/>
      <c r="C365" s="217"/>
      <c r="D365" s="217"/>
      <c r="E365" s="217"/>
      <c r="F365" s="217"/>
      <c r="G365" s="217"/>
      <c r="H365" s="217"/>
      <c r="I365" s="217"/>
      <c r="J365" s="217"/>
      <c r="K365" s="217"/>
      <c r="L365" s="217"/>
      <c r="M365" s="217"/>
      <c r="N365" s="217"/>
      <c r="O365" s="217"/>
      <c r="P365" s="217"/>
      <c r="Q365" s="217"/>
      <c r="R365" s="217"/>
      <c r="S365" s="217"/>
      <c r="T365" s="217"/>
      <c r="U365" s="217"/>
      <c r="V365" s="217"/>
      <c r="W365" s="217"/>
      <c r="X365" s="217"/>
      <c r="Y365" s="217"/>
      <c r="Z365" s="217"/>
    </row>
    <row r="366" ht="15.75" customHeight="1">
      <c r="A366" s="217"/>
      <c r="B366" s="217"/>
      <c r="C366" s="217"/>
      <c r="D366" s="217"/>
      <c r="E366" s="217"/>
      <c r="F366" s="217"/>
      <c r="G366" s="217"/>
      <c r="H366" s="217"/>
      <c r="I366" s="217"/>
      <c r="J366" s="217"/>
      <c r="K366" s="217"/>
      <c r="L366" s="217"/>
      <c r="M366" s="217"/>
      <c r="N366" s="217"/>
      <c r="O366" s="217"/>
      <c r="P366" s="217"/>
      <c r="Q366" s="217"/>
      <c r="R366" s="217"/>
      <c r="S366" s="217"/>
      <c r="T366" s="217"/>
      <c r="U366" s="217"/>
      <c r="V366" s="217"/>
      <c r="W366" s="217"/>
      <c r="X366" s="217"/>
      <c r="Y366" s="217"/>
      <c r="Z366" s="217"/>
    </row>
    <row r="367" ht="15.75" customHeight="1">
      <c r="A367" s="217"/>
      <c r="B367" s="217"/>
      <c r="C367" s="217"/>
      <c r="D367" s="217"/>
      <c r="E367" s="217"/>
      <c r="F367" s="217"/>
      <c r="G367" s="217"/>
      <c r="H367" s="217"/>
      <c r="I367" s="217"/>
      <c r="J367" s="217"/>
      <c r="K367" s="217"/>
      <c r="L367" s="217"/>
      <c r="M367" s="217"/>
      <c r="N367" s="217"/>
      <c r="O367" s="217"/>
      <c r="P367" s="217"/>
      <c r="Q367" s="217"/>
      <c r="R367" s="217"/>
      <c r="S367" s="217"/>
      <c r="T367" s="217"/>
      <c r="U367" s="217"/>
      <c r="V367" s="217"/>
      <c r="W367" s="217"/>
      <c r="X367" s="217"/>
      <c r="Y367" s="217"/>
      <c r="Z367" s="217"/>
    </row>
    <row r="368" ht="15.75" customHeight="1">
      <c r="A368" s="217"/>
      <c r="B368" s="217"/>
      <c r="C368" s="217"/>
      <c r="D368" s="217"/>
      <c r="E368" s="217"/>
      <c r="F368" s="217"/>
      <c r="G368" s="217"/>
      <c r="H368" s="217"/>
      <c r="I368" s="217"/>
      <c r="J368" s="217"/>
      <c r="K368" s="217"/>
      <c r="L368" s="217"/>
      <c r="M368" s="217"/>
      <c r="N368" s="217"/>
      <c r="O368" s="217"/>
      <c r="P368" s="217"/>
      <c r="Q368" s="217"/>
      <c r="R368" s="217"/>
      <c r="S368" s="217"/>
      <c r="T368" s="217"/>
      <c r="U368" s="217"/>
      <c r="V368" s="217"/>
      <c r="W368" s="217"/>
      <c r="X368" s="217"/>
      <c r="Y368" s="217"/>
      <c r="Z368" s="217"/>
    </row>
    <row r="369" ht="15.75" customHeight="1">
      <c r="A369" s="217"/>
      <c r="B369" s="217"/>
      <c r="C369" s="217"/>
      <c r="D369" s="217"/>
      <c r="E369" s="217"/>
      <c r="F369" s="217"/>
      <c r="G369" s="217"/>
      <c r="H369" s="217"/>
      <c r="I369" s="217"/>
      <c r="J369" s="217"/>
      <c r="K369" s="217"/>
      <c r="L369" s="217"/>
      <c r="M369" s="217"/>
      <c r="N369" s="217"/>
      <c r="O369" s="217"/>
      <c r="P369" s="217"/>
      <c r="Q369" s="217"/>
      <c r="R369" s="217"/>
      <c r="S369" s="217"/>
      <c r="T369" s="217"/>
      <c r="U369" s="217"/>
      <c r="V369" s="217"/>
      <c r="W369" s="217"/>
      <c r="X369" s="217"/>
      <c r="Y369" s="217"/>
      <c r="Z369" s="217"/>
    </row>
    <row r="370" ht="15.75" customHeight="1">
      <c r="A370" s="217"/>
      <c r="B370" s="217"/>
      <c r="C370" s="217"/>
      <c r="D370" s="217"/>
      <c r="E370" s="217"/>
      <c r="F370" s="217"/>
      <c r="G370" s="217"/>
      <c r="H370" s="217"/>
      <c r="I370" s="217"/>
      <c r="J370" s="217"/>
      <c r="K370" s="217"/>
      <c r="L370" s="217"/>
      <c r="M370" s="217"/>
      <c r="N370" s="217"/>
      <c r="O370" s="217"/>
      <c r="P370" s="217"/>
      <c r="Q370" s="217"/>
      <c r="R370" s="217"/>
      <c r="S370" s="217"/>
      <c r="T370" s="217"/>
      <c r="U370" s="217"/>
      <c r="V370" s="217"/>
      <c r="W370" s="217"/>
      <c r="X370" s="217"/>
      <c r="Y370" s="217"/>
      <c r="Z370" s="217"/>
    </row>
    <row r="371" ht="15.75" customHeight="1">
      <c r="A371" s="217"/>
      <c r="B371" s="217"/>
      <c r="C371" s="217"/>
      <c r="D371" s="217"/>
      <c r="E371" s="217"/>
      <c r="F371" s="217"/>
      <c r="G371" s="217"/>
      <c r="H371" s="217"/>
      <c r="I371" s="217"/>
      <c r="J371" s="217"/>
      <c r="K371" s="217"/>
      <c r="L371" s="217"/>
      <c r="M371" s="217"/>
      <c r="N371" s="217"/>
      <c r="O371" s="217"/>
      <c r="P371" s="217"/>
      <c r="Q371" s="217"/>
      <c r="R371" s="217"/>
      <c r="S371" s="217"/>
      <c r="T371" s="217"/>
      <c r="U371" s="217"/>
      <c r="V371" s="217"/>
      <c r="W371" s="217"/>
      <c r="X371" s="217"/>
      <c r="Y371" s="217"/>
      <c r="Z371" s="217"/>
    </row>
    <row r="372" ht="15.75" customHeight="1">
      <c r="A372" s="217"/>
      <c r="B372" s="217"/>
      <c r="C372" s="217"/>
      <c r="D372" s="217"/>
      <c r="E372" s="217"/>
      <c r="F372" s="217"/>
      <c r="G372" s="217"/>
      <c r="H372" s="217"/>
      <c r="I372" s="217"/>
      <c r="J372" s="217"/>
      <c r="K372" s="217"/>
      <c r="L372" s="217"/>
      <c r="M372" s="217"/>
      <c r="N372" s="217"/>
      <c r="O372" s="217"/>
      <c r="P372" s="217"/>
      <c r="Q372" s="217"/>
      <c r="R372" s="217"/>
      <c r="S372" s="217"/>
      <c r="T372" s="217"/>
      <c r="U372" s="217"/>
      <c r="V372" s="217"/>
      <c r="W372" s="217"/>
      <c r="X372" s="217"/>
      <c r="Y372" s="217"/>
      <c r="Z372" s="217"/>
    </row>
    <row r="373" ht="15.75" customHeight="1">
      <c r="A373" s="217"/>
      <c r="B373" s="217"/>
      <c r="C373" s="217"/>
      <c r="D373" s="217"/>
      <c r="E373" s="217"/>
      <c r="F373" s="217"/>
      <c r="G373" s="217"/>
      <c r="H373" s="217"/>
      <c r="I373" s="217"/>
      <c r="J373" s="217"/>
      <c r="K373" s="217"/>
      <c r="L373" s="217"/>
      <c r="M373" s="217"/>
      <c r="N373" s="217"/>
      <c r="O373" s="217"/>
      <c r="P373" s="217"/>
      <c r="Q373" s="217"/>
      <c r="R373" s="217"/>
      <c r="S373" s="217"/>
      <c r="T373" s="217"/>
      <c r="U373" s="217"/>
      <c r="V373" s="217"/>
      <c r="W373" s="217"/>
      <c r="X373" s="217"/>
      <c r="Y373" s="217"/>
      <c r="Z373" s="217"/>
    </row>
    <row r="374" ht="15.75" customHeight="1">
      <c r="A374" s="217"/>
      <c r="B374" s="217"/>
      <c r="C374" s="217"/>
      <c r="D374" s="217"/>
      <c r="E374" s="217"/>
      <c r="F374" s="217"/>
      <c r="G374" s="217"/>
      <c r="H374" s="217"/>
      <c r="I374" s="217"/>
      <c r="J374" s="217"/>
      <c r="K374" s="217"/>
      <c r="L374" s="217"/>
      <c r="M374" s="217"/>
      <c r="N374" s="217"/>
      <c r="O374" s="217"/>
      <c r="P374" s="217"/>
      <c r="Q374" s="217"/>
      <c r="R374" s="217"/>
      <c r="S374" s="217"/>
      <c r="T374" s="217"/>
      <c r="U374" s="217"/>
      <c r="V374" s="217"/>
      <c r="W374" s="217"/>
      <c r="X374" s="217"/>
      <c r="Y374" s="217"/>
      <c r="Z374" s="217"/>
    </row>
    <row r="375" ht="15.75" customHeight="1">
      <c r="A375" s="217"/>
      <c r="B375" s="217"/>
      <c r="C375" s="217"/>
      <c r="D375" s="217"/>
      <c r="E375" s="217"/>
      <c r="F375" s="217"/>
      <c r="G375" s="217"/>
      <c r="H375" s="217"/>
      <c r="I375" s="217"/>
      <c r="J375" s="217"/>
      <c r="K375" s="217"/>
      <c r="L375" s="217"/>
      <c r="M375" s="217"/>
      <c r="N375" s="217"/>
      <c r="O375" s="217"/>
      <c r="P375" s="217"/>
      <c r="Q375" s="217"/>
      <c r="R375" s="217"/>
      <c r="S375" s="217"/>
      <c r="T375" s="217"/>
      <c r="U375" s="217"/>
      <c r="V375" s="217"/>
      <c r="W375" s="217"/>
      <c r="X375" s="217"/>
      <c r="Y375" s="217"/>
      <c r="Z375" s="217"/>
    </row>
    <row r="376" ht="15.75" customHeight="1">
      <c r="A376" s="217"/>
      <c r="B376" s="217"/>
      <c r="C376" s="217"/>
      <c r="D376" s="217"/>
      <c r="E376" s="217"/>
      <c r="F376" s="217"/>
      <c r="G376" s="217"/>
      <c r="H376" s="217"/>
      <c r="I376" s="217"/>
      <c r="J376" s="217"/>
      <c r="K376" s="217"/>
      <c r="L376" s="217"/>
      <c r="M376" s="217"/>
      <c r="N376" s="217"/>
      <c r="O376" s="217"/>
      <c r="P376" s="217"/>
      <c r="Q376" s="217"/>
      <c r="R376" s="217"/>
      <c r="S376" s="217"/>
      <c r="T376" s="217"/>
      <c r="U376" s="217"/>
      <c r="V376" s="217"/>
      <c r="W376" s="217"/>
      <c r="X376" s="217"/>
      <c r="Y376" s="217"/>
      <c r="Z376" s="217"/>
    </row>
    <row r="377" ht="15.75" customHeight="1">
      <c r="A377" s="217"/>
      <c r="B377" s="217"/>
      <c r="C377" s="217"/>
      <c r="D377" s="217"/>
      <c r="E377" s="217"/>
      <c r="F377" s="217"/>
      <c r="G377" s="217"/>
      <c r="H377" s="217"/>
      <c r="I377" s="217"/>
      <c r="J377" s="217"/>
      <c r="K377" s="217"/>
      <c r="L377" s="217"/>
      <c r="M377" s="217"/>
      <c r="N377" s="217"/>
      <c r="O377" s="217"/>
      <c r="P377" s="217"/>
      <c r="Q377" s="217"/>
      <c r="R377" s="217"/>
      <c r="S377" s="217"/>
      <c r="T377" s="217"/>
      <c r="U377" s="217"/>
      <c r="V377" s="217"/>
      <c r="W377" s="217"/>
      <c r="X377" s="217"/>
      <c r="Y377" s="217"/>
      <c r="Z377" s="217"/>
    </row>
    <row r="378" ht="15.75" customHeight="1">
      <c r="A378" s="217"/>
      <c r="B378" s="217"/>
      <c r="C378" s="217"/>
      <c r="D378" s="217"/>
      <c r="E378" s="217"/>
      <c r="F378" s="217"/>
      <c r="G378" s="217"/>
      <c r="H378" s="217"/>
      <c r="I378" s="217"/>
      <c r="J378" s="217"/>
      <c r="K378" s="217"/>
      <c r="L378" s="217"/>
      <c r="M378" s="217"/>
      <c r="N378" s="217"/>
      <c r="O378" s="217"/>
      <c r="P378" s="217"/>
      <c r="Q378" s="217"/>
      <c r="R378" s="217"/>
      <c r="S378" s="217"/>
      <c r="T378" s="217"/>
      <c r="U378" s="217"/>
      <c r="V378" s="217"/>
      <c r="W378" s="217"/>
      <c r="X378" s="217"/>
      <c r="Y378" s="217"/>
      <c r="Z378" s="217"/>
    </row>
    <row r="379" ht="15.75" customHeight="1">
      <c r="A379" s="217"/>
      <c r="B379" s="217"/>
      <c r="C379" s="217"/>
      <c r="D379" s="217"/>
      <c r="E379" s="217"/>
      <c r="F379" s="217"/>
      <c r="G379" s="217"/>
      <c r="H379" s="217"/>
      <c r="I379" s="217"/>
      <c r="J379" s="217"/>
      <c r="K379" s="217"/>
      <c r="L379" s="217"/>
      <c r="M379" s="217"/>
      <c r="N379" s="217"/>
      <c r="O379" s="217"/>
      <c r="P379" s="217"/>
      <c r="Q379" s="217"/>
      <c r="R379" s="217"/>
      <c r="S379" s="217"/>
      <c r="T379" s="217"/>
      <c r="U379" s="217"/>
      <c r="V379" s="217"/>
      <c r="W379" s="217"/>
      <c r="X379" s="217"/>
      <c r="Y379" s="217"/>
      <c r="Z379" s="217"/>
    </row>
    <row r="380" ht="15.75" customHeight="1">
      <c r="A380" s="217"/>
      <c r="B380" s="217"/>
      <c r="C380" s="217"/>
      <c r="D380" s="217"/>
      <c r="E380" s="217"/>
      <c r="F380" s="217"/>
      <c r="G380" s="217"/>
      <c r="H380" s="217"/>
      <c r="I380" s="217"/>
      <c r="J380" s="217"/>
      <c r="K380" s="217"/>
      <c r="L380" s="217"/>
      <c r="M380" s="217"/>
      <c r="N380" s="217"/>
      <c r="O380" s="217"/>
      <c r="P380" s="217"/>
      <c r="Q380" s="217"/>
      <c r="R380" s="217"/>
      <c r="S380" s="217"/>
      <c r="T380" s="217"/>
      <c r="U380" s="217"/>
      <c r="V380" s="217"/>
      <c r="W380" s="217"/>
      <c r="X380" s="217"/>
      <c r="Y380" s="217"/>
      <c r="Z380" s="217"/>
    </row>
    <row r="381" ht="15.75" customHeight="1">
      <c r="A381" s="217"/>
      <c r="B381" s="217"/>
      <c r="C381" s="217"/>
      <c r="D381" s="217"/>
      <c r="E381" s="217"/>
      <c r="F381" s="217"/>
      <c r="G381" s="217"/>
      <c r="H381" s="217"/>
      <c r="I381" s="217"/>
      <c r="J381" s="217"/>
      <c r="K381" s="217"/>
      <c r="L381" s="217"/>
      <c r="M381" s="217"/>
      <c r="N381" s="217"/>
      <c r="O381" s="217"/>
      <c r="P381" s="217"/>
      <c r="Q381" s="217"/>
      <c r="R381" s="217"/>
      <c r="S381" s="217"/>
      <c r="T381" s="217"/>
      <c r="U381" s="217"/>
      <c r="V381" s="217"/>
      <c r="W381" s="217"/>
      <c r="X381" s="217"/>
      <c r="Y381" s="217"/>
      <c r="Z381" s="217"/>
    </row>
    <row r="382" ht="15.75" customHeight="1">
      <c r="A382" s="217"/>
      <c r="B382" s="217"/>
      <c r="C382" s="217"/>
      <c r="D382" s="217"/>
      <c r="E382" s="217"/>
      <c r="F382" s="217"/>
      <c r="G382" s="217"/>
      <c r="H382" s="217"/>
      <c r="I382" s="217"/>
      <c r="J382" s="217"/>
      <c r="K382" s="217"/>
      <c r="L382" s="217"/>
      <c r="M382" s="217"/>
      <c r="N382" s="217"/>
      <c r="O382" s="217"/>
      <c r="P382" s="217"/>
      <c r="Q382" s="217"/>
      <c r="R382" s="217"/>
      <c r="S382" s="217"/>
      <c r="T382" s="217"/>
      <c r="U382" s="217"/>
      <c r="V382" s="217"/>
      <c r="W382" s="217"/>
      <c r="X382" s="217"/>
      <c r="Y382" s="217"/>
      <c r="Z382" s="217"/>
    </row>
    <row r="383" ht="15.75" customHeight="1">
      <c r="A383" s="217"/>
      <c r="B383" s="217"/>
      <c r="C383" s="217"/>
      <c r="D383" s="217"/>
      <c r="E383" s="217"/>
      <c r="F383" s="217"/>
      <c r="G383" s="217"/>
      <c r="H383" s="217"/>
      <c r="I383" s="217"/>
      <c r="J383" s="217"/>
      <c r="K383" s="217"/>
      <c r="L383" s="217"/>
      <c r="M383" s="217"/>
      <c r="N383" s="217"/>
      <c r="O383" s="217"/>
      <c r="P383" s="217"/>
      <c r="Q383" s="217"/>
      <c r="R383" s="217"/>
      <c r="S383" s="217"/>
      <c r="T383" s="217"/>
      <c r="U383" s="217"/>
      <c r="V383" s="217"/>
      <c r="W383" s="217"/>
      <c r="X383" s="217"/>
      <c r="Y383" s="217"/>
      <c r="Z383" s="217"/>
    </row>
    <row r="384" ht="15.75" customHeight="1">
      <c r="A384" s="217"/>
      <c r="B384" s="217"/>
      <c r="C384" s="217"/>
      <c r="D384" s="217"/>
      <c r="E384" s="217"/>
      <c r="F384" s="217"/>
      <c r="G384" s="217"/>
      <c r="H384" s="217"/>
      <c r="I384" s="217"/>
      <c r="J384" s="217"/>
      <c r="K384" s="217"/>
      <c r="L384" s="217"/>
      <c r="M384" s="217"/>
      <c r="N384" s="217"/>
      <c r="O384" s="217"/>
      <c r="P384" s="217"/>
      <c r="Q384" s="217"/>
      <c r="R384" s="217"/>
      <c r="S384" s="217"/>
      <c r="T384" s="217"/>
      <c r="U384" s="217"/>
      <c r="V384" s="217"/>
      <c r="W384" s="217"/>
      <c r="X384" s="217"/>
      <c r="Y384" s="217"/>
      <c r="Z384" s="217"/>
    </row>
    <row r="385" ht="15.75" customHeight="1">
      <c r="A385" s="217"/>
      <c r="B385" s="217"/>
      <c r="C385" s="217"/>
      <c r="D385" s="217"/>
      <c r="E385" s="217"/>
      <c r="F385" s="217"/>
      <c r="G385" s="217"/>
      <c r="H385" s="217"/>
      <c r="I385" s="217"/>
      <c r="J385" s="217"/>
      <c r="K385" s="217"/>
      <c r="L385" s="217"/>
      <c r="M385" s="217"/>
      <c r="N385" s="217"/>
      <c r="O385" s="217"/>
      <c r="P385" s="217"/>
      <c r="Q385" s="217"/>
      <c r="R385" s="217"/>
      <c r="S385" s="217"/>
      <c r="T385" s="217"/>
      <c r="U385" s="217"/>
      <c r="V385" s="217"/>
      <c r="W385" s="217"/>
      <c r="X385" s="217"/>
      <c r="Y385" s="217"/>
      <c r="Z385" s="217"/>
    </row>
    <row r="386" ht="15.75" customHeight="1">
      <c r="A386" s="217"/>
      <c r="B386" s="217"/>
      <c r="C386" s="217"/>
      <c r="D386" s="217"/>
      <c r="E386" s="217"/>
      <c r="F386" s="217"/>
      <c r="G386" s="217"/>
      <c r="H386" s="217"/>
      <c r="I386" s="217"/>
      <c r="J386" s="217"/>
      <c r="K386" s="217"/>
      <c r="L386" s="217"/>
      <c r="M386" s="217"/>
      <c r="N386" s="217"/>
      <c r="O386" s="217"/>
      <c r="P386" s="217"/>
      <c r="Q386" s="217"/>
      <c r="R386" s="217"/>
      <c r="S386" s="217"/>
      <c r="T386" s="217"/>
      <c r="U386" s="217"/>
      <c r="V386" s="217"/>
      <c r="W386" s="217"/>
      <c r="X386" s="217"/>
      <c r="Y386" s="217"/>
      <c r="Z386" s="217"/>
    </row>
    <row r="387" ht="15.75" customHeight="1">
      <c r="A387" s="217"/>
      <c r="B387" s="217"/>
      <c r="C387" s="217"/>
      <c r="D387" s="217"/>
      <c r="E387" s="217"/>
      <c r="F387" s="217"/>
      <c r="G387" s="217"/>
      <c r="H387" s="217"/>
      <c r="I387" s="217"/>
      <c r="J387" s="217"/>
      <c r="K387" s="217"/>
      <c r="L387" s="217"/>
      <c r="M387" s="217"/>
      <c r="N387" s="217"/>
      <c r="O387" s="217"/>
      <c r="P387" s="217"/>
      <c r="Q387" s="217"/>
      <c r="R387" s="217"/>
      <c r="S387" s="217"/>
      <c r="T387" s="217"/>
      <c r="U387" s="217"/>
      <c r="V387" s="217"/>
      <c r="W387" s="217"/>
      <c r="X387" s="217"/>
      <c r="Y387" s="217"/>
      <c r="Z387" s="217"/>
    </row>
    <row r="388" ht="15.75" customHeight="1">
      <c r="A388" s="217"/>
      <c r="B388" s="217"/>
      <c r="C388" s="217"/>
      <c r="D388" s="217"/>
      <c r="E388" s="217"/>
      <c r="F388" s="217"/>
      <c r="G388" s="217"/>
      <c r="H388" s="217"/>
      <c r="I388" s="217"/>
      <c r="J388" s="217"/>
      <c r="K388" s="217"/>
      <c r="L388" s="217"/>
      <c r="M388" s="217"/>
      <c r="N388" s="217"/>
      <c r="O388" s="217"/>
      <c r="P388" s="217"/>
      <c r="Q388" s="217"/>
      <c r="R388" s="217"/>
      <c r="S388" s="217"/>
      <c r="T388" s="217"/>
      <c r="U388" s="217"/>
      <c r="V388" s="217"/>
      <c r="W388" s="217"/>
      <c r="X388" s="217"/>
      <c r="Y388" s="217"/>
      <c r="Z388" s="217"/>
    </row>
    <row r="389" ht="15.75" customHeight="1">
      <c r="A389" s="217"/>
      <c r="B389" s="217"/>
      <c r="C389" s="217"/>
      <c r="D389" s="217"/>
      <c r="E389" s="217"/>
      <c r="F389" s="217"/>
      <c r="G389" s="217"/>
      <c r="H389" s="217"/>
      <c r="I389" s="217"/>
      <c r="J389" s="217"/>
      <c r="K389" s="217"/>
      <c r="L389" s="217"/>
      <c r="M389" s="217"/>
      <c r="N389" s="217"/>
      <c r="O389" s="217"/>
      <c r="P389" s="217"/>
      <c r="Q389" s="217"/>
      <c r="R389" s="217"/>
      <c r="S389" s="217"/>
      <c r="T389" s="217"/>
      <c r="U389" s="217"/>
      <c r="V389" s="217"/>
      <c r="W389" s="217"/>
      <c r="X389" s="217"/>
      <c r="Y389" s="217"/>
      <c r="Z389" s="217"/>
    </row>
    <row r="390" ht="15.75" customHeight="1">
      <c r="A390" s="217"/>
      <c r="B390" s="217"/>
      <c r="C390" s="217"/>
      <c r="D390" s="217"/>
      <c r="E390" s="217"/>
      <c r="F390" s="217"/>
      <c r="G390" s="217"/>
      <c r="H390" s="217"/>
      <c r="I390" s="217"/>
      <c r="J390" s="217"/>
      <c r="K390" s="217"/>
      <c r="L390" s="217"/>
      <c r="M390" s="217"/>
      <c r="N390" s="217"/>
      <c r="O390" s="217"/>
      <c r="P390" s="217"/>
      <c r="Q390" s="217"/>
      <c r="R390" s="217"/>
      <c r="S390" s="217"/>
      <c r="T390" s="217"/>
      <c r="U390" s="217"/>
      <c r="V390" s="217"/>
      <c r="W390" s="217"/>
      <c r="X390" s="217"/>
      <c r="Y390" s="217"/>
      <c r="Z390" s="217"/>
    </row>
    <row r="391" ht="15.75" customHeight="1">
      <c r="A391" s="217"/>
      <c r="B391" s="217"/>
      <c r="C391" s="217"/>
      <c r="D391" s="217"/>
      <c r="E391" s="217"/>
      <c r="F391" s="217"/>
      <c r="G391" s="217"/>
      <c r="H391" s="217"/>
      <c r="I391" s="217"/>
      <c r="J391" s="217"/>
      <c r="K391" s="217"/>
      <c r="L391" s="217"/>
      <c r="M391" s="217"/>
      <c r="N391" s="217"/>
      <c r="O391" s="217"/>
      <c r="P391" s="217"/>
      <c r="Q391" s="217"/>
      <c r="R391" s="217"/>
      <c r="S391" s="217"/>
      <c r="T391" s="217"/>
      <c r="U391" s="217"/>
      <c r="V391" s="217"/>
      <c r="W391" s="217"/>
      <c r="X391" s="217"/>
      <c r="Y391" s="217"/>
      <c r="Z391" s="217"/>
    </row>
    <row r="392" ht="15.75" customHeight="1">
      <c r="A392" s="217"/>
      <c r="B392" s="217"/>
      <c r="C392" s="217"/>
      <c r="D392" s="217"/>
      <c r="E392" s="217"/>
      <c r="F392" s="217"/>
      <c r="G392" s="217"/>
      <c r="H392" s="217"/>
      <c r="I392" s="217"/>
      <c r="J392" s="217"/>
      <c r="K392" s="217"/>
      <c r="L392" s="217"/>
      <c r="M392" s="217"/>
      <c r="N392" s="217"/>
      <c r="O392" s="217"/>
      <c r="P392" s="217"/>
      <c r="Q392" s="217"/>
      <c r="R392" s="217"/>
      <c r="S392" s="217"/>
      <c r="T392" s="217"/>
      <c r="U392" s="217"/>
      <c r="V392" s="217"/>
      <c r="W392" s="217"/>
      <c r="X392" s="217"/>
      <c r="Y392" s="217"/>
      <c r="Z392" s="217"/>
    </row>
    <row r="393" ht="15.75" customHeight="1">
      <c r="A393" s="217"/>
      <c r="B393" s="217"/>
      <c r="C393" s="217"/>
      <c r="D393" s="217"/>
      <c r="E393" s="217"/>
      <c r="F393" s="217"/>
      <c r="G393" s="217"/>
      <c r="H393" s="217"/>
      <c r="I393" s="217"/>
      <c r="J393" s="217"/>
      <c r="K393" s="217"/>
      <c r="L393" s="217"/>
      <c r="M393" s="217"/>
      <c r="N393" s="217"/>
      <c r="O393" s="217"/>
      <c r="P393" s="217"/>
      <c r="Q393" s="217"/>
      <c r="R393" s="217"/>
      <c r="S393" s="217"/>
      <c r="T393" s="217"/>
      <c r="U393" s="217"/>
      <c r="V393" s="217"/>
      <c r="W393" s="217"/>
      <c r="X393" s="217"/>
      <c r="Y393" s="217"/>
      <c r="Z393" s="217"/>
    </row>
    <row r="394" ht="15.75" customHeight="1">
      <c r="A394" s="217"/>
      <c r="B394" s="217"/>
      <c r="C394" s="217"/>
      <c r="D394" s="217"/>
      <c r="E394" s="217"/>
      <c r="F394" s="217"/>
      <c r="G394" s="217"/>
      <c r="H394" s="217"/>
      <c r="I394" s="217"/>
      <c r="J394" s="217"/>
      <c r="K394" s="217"/>
      <c r="L394" s="217"/>
      <c r="M394" s="217"/>
      <c r="N394" s="217"/>
      <c r="O394" s="217"/>
      <c r="P394" s="217"/>
      <c r="Q394" s="217"/>
      <c r="R394" s="217"/>
      <c r="S394" s="217"/>
      <c r="T394" s="217"/>
      <c r="U394" s="217"/>
      <c r="V394" s="217"/>
      <c r="W394" s="217"/>
      <c r="X394" s="217"/>
      <c r="Y394" s="217"/>
      <c r="Z394" s="217"/>
    </row>
    <row r="395" ht="15.75" customHeight="1">
      <c r="A395" s="217"/>
      <c r="B395" s="217"/>
      <c r="C395" s="217"/>
      <c r="D395" s="217"/>
      <c r="E395" s="217"/>
      <c r="F395" s="217"/>
      <c r="G395" s="217"/>
      <c r="H395" s="217"/>
      <c r="I395" s="217"/>
      <c r="J395" s="217"/>
      <c r="K395" s="217"/>
      <c r="L395" s="217"/>
      <c r="M395" s="217"/>
      <c r="N395" s="217"/>
      <c r="O395" s="217"/>
      <c r="P395" s="217"/>
      <c r="Q395" s="217"/>
      <c r="R395" s="217"/>
      <c r="S395" s="217"/>
      <c r="T395" s="217"/>
      <c r="U395" s="217"/>
      <c r="V395" s="217"/>
      <c r="W395" s="217"/>
      <c r="X395" s="217"/>
      <c r="Y395" s="217"/>
      <c r="Z395" s="217"/>
    </row>
    <row r="396" ht="15.75" customHeight="1">
      <c r="A396" s="217"/>
      <c r="B396" s="217"/>
      <c r="C396" s="217"/>
      <c r="D396" s="217"/>
      <c r="E396" s="217"/>
      <c r="F396" s="217"/>
      <c r="G396" s="217"/>
      <c r="H396" s="217"/>
      <c r="I396" s="217"/>
      <c r="J396" s="217"/>
      <c r="K396" s="217"/>
      <c r="L396" s="217"/>
      <c r="M396" s="217"/>
      <c r="N396" s="217"/>
      <c r="O396" s="217"/>
      <c r="P396" s="217"/>
      <c r="Q396" s="217"/>
      <c r="R396" s="217"/>
      <c r="S396" s="217"/>
      <c r="T396" s="217"/>
      <c r="U396" s="217"/>
      <c r="V396" s="217"/>
      <c r="W396" s="217"/>
      <c r="X396" s="217"/>
      <c r="Y396" s="217"/>
      <c r="Z396" s="217"/>
    </row>
    <row r="397" ht="15.75" customHeight="1">
      <c r="A397" s="217"/>
      <c r="B397" s="217"/>
      <c r="C397" s="217"/>
      <c r="D397" s="217"/>
      <c r="E397" s="217"/>
      <c r="F397" s="217"/>
      <c r="G397" s="217"/>
      <c r="H397" s="217"/>
      <c r="I397" s="217"/>
      <c r="J397" s="217"/>
      <c r="K397" s="217"/>
      <c r="L397" s="217"/>
      <c r="M397" s="217"/>
      <c r="N397" s="217"/>
      <c r="O397" s="217"/>
      <c r="P397" s="217"/>
      <c r="Q397" s="217"/>
      <c r="R397" s="217"/>
      <c r="S397" s="217"/>
      <c r="T397" s="217"/>
      <c r="U397" s="217"/>
      <c r="V397" s="217"/>
      <c r="W397" s="217"/>
      <c r="X397" s="217"/>
      <c r="Y397" s="217"/>
      <c r="Z397" s="217"/>
    </row>
    <row r="398" ht="15.75" customHeight="1">
      <c r="A398" s="217"/>
      <c r="B398" s="217"/>
      <c r="C398" s="217"/>
      <c r="D398" s="217"/>
      <c r="E398" s="217"/>
      <c r="F398" s="217"/>
      <c r="G398" s="217"/>
      <c r="H398" s="217"/>
      <c r="I398" s="217"/>
      <c r="J398" s="217"/>
      <c r="K398" s="217"/>
      <c r="L398" s="217"/>
      <c r="M398" s="217"/>
      <c r="N398" s="217"/>
      <c r="O398" s="217"/>
      <c r="P398" s="217"/>
      <c r="Q398" s="217"/>
      <c r="R398" s="217"/>
      <c r="S398" s="217"/>
      <c r="T398" s="217"/>
      <c r="U398" s="217"/>
      <c r="V398" s="217"/>
      <c r="W398" s="217"/>
      <c r="X398" s="217"/>
      <c r="Y398" s="217"/>
      <c r="Z398" s="217"/>
    </row>
    <row r="399" ht="15.75" customHeight="1">
      <c r="A399" s="217"/>
      <c r="B399" s="217"/>
      <c r="C399" s="217"/>
      <c r="D399" s="217"/>
      <c r="E399" s="217"/>
      <c r="F399" s="217"/>
      <c r="G399" s="217"/>
      <c r="H399" s="217"/>
      <c r="I399" s="217"/>
      <c r="J399" s="217"/>
      <c r="K399" s="217"/>
      <c r="L399" s="217"/>
      <c r="M399" s="217"/>
      <c r="N399" s="217"/>
      <c r="O399" s="217"/>
      <c r="P399" s="217"/>
      <c r="Q399" s="217"/>
      <c r="R399" s="217"/>
      <c r="S399" s="217"/>
      <c r="T399" s="217"/>
      <c r="U399" s="217"/>
      <c r="V399" s="217"/>
      <c r="W399" s="217"/>
      <c r="X399" s="217"/>
      <c r="Y399" s="217"/>
      <c r="Z399" s="217"/>
    </row>
    <row r="400" ht="15.75" customHeight="1">
      <c r="A400" s="217"/>
      <c r="B400" s="217"/>
      <c r="C400" s="217"/>
      <c r="D400" s="217"/>
      <c r="E400" s="217"/>
      <c r="F400" s="217"/>
      <c r="G400" s="217"/>
      <c r="H400" s="217"/>
      <c r="I400" s="217"/>
      <c r="J400" s="217"/>
      <c r="K400" s="217"/>
      <c r="L400" s="217"/>
      <c r="M400" s="217"/>
      <c r="N400" s="217"/>
      <c r="O400" s="217"/>
      <c r="P400" s="217"/>
      <c r="Q400" s="217"/>
      <c r="R400" s="217"/>
      <c r="S400" s="217"/>
      <c r="T400" s="217"/>
      <c r="U400" s="217"/>
      <c r="V400" s="217"/>
      <c r="W400" s="217"/>
      <c r="X400" s="217"/>
      <c r="Y400" s="217"/>
      <c r="Z400" s="217"/>
    </row>
    <row r="401" ht="15.75" customHeight="1">
      <c r="A401" s="217"/>
      <c r="B401" s="217"/>
      <c r="C401" s="217"/>
      <c r="D401" s="217"/>
      <c r="E401" s="217"/>
      <c r="F401" s="217"/>
      <c r="G401" s="217"/>
      <c r="H401" s="217"/>
      <c r="I401" s="217"/>
      <c r="J401" s="217"/>
      <c r="K401" s="217"/>
      <c r="L401" s="217"/>
      <c r="M401" s="217"/>
      <c r="N401" s="217"/>
      <c r="O401" s="217"/>
      <c r="P401" s="217"/>
      <c r="Q401" s="217"/>
      <c r="R401" s="217"/>
      <c r="S401" s="217"/>
      <c r="T401" s="217"/>
      <c r="U401" s="217"/>
      <c r="V401" s="217"/>
      <c r="W401" s="217"/>
      <c r="X401" s="217"/>
      <c r="Y401" s="217"/>
      <c r="Z401" s="217"/>
    </row>
    <row r="402" ht="15.75" customHeight="1">
      <c r="A402" s="217"/>
      <c r="B402" s="217"/>
      <c r="C402" s="217"/>
      <c r="D402" s="217"/>
      <c r="E402" s="217"/>
      <c r="F402" s="217"/>
      <c r="G402" s="217"/>
      <c r="H402" s="217"/>
      <c r="I402" s="217"/>
      <c r="J402" s="217"/>
      <c r="K402" s="217"/>
      <c r="L402" s="217"/>
      <c r="M402" s="217"/>
      <c r="N402" s="217"/>
      <c r="O402" s="217"/>
      <c r="P402" s="217"/>
      <c r="Q402" s="217"/>
      <c r="R402" s="217"/>
      <c r="S402" s="217"/>
      <c r="T402" s="217"/>
      <c r="U402" s="217"/>
      <c r="V402" s="217"/>
      <c r="W402" s="217"/>
      <c r="X402" s="217"/>
      <c r="Y402" s="217"/>
      <c r="Z402" s="217"/>
    </row>
    <row r="403" ht="15.75" customHeight="1">
      <c r="A403" s="217"/>
      <c r="B403" s="217"/>
      <c r="C403" s="217"/>
      <c r="D403" s="217"/>
      <c r="E403" s="217"/>
      <c r="F403" s="217"/>
      <c r="G403" s="217"/>
      <c r="H403" s="217"/>
      <c r="I403" s="217"/>
      <c r="J403" s="217"/>
      <c r="K403" s="217"/>
      <c r="L403" s="217"/>
      <c r="M403" s="217"/>
      <c r="N403" s="217"/>
      <c r="O403" s="217"/>
      <c r="P403" s="217"/>
      <c r="Q403" s="217"/>
      <c r="R403" s="217"/>
      <c r="S403" s="217"/>
      <c r="T403" s="217"/>
      <c r="U403" s="217"/>
      <c r="V403" s="217"/>
      <c r="W403" s="217"/>
      <c r="X403" s="217"/>
      <c r="Y403" s="217"/>
      <c r="Z403" s="217"/>
    </row>
    <row r="404" ht="15.75" customHeight="1">
      <c r="A404" s="217"/>
      <c r="B404" s="217"/>
      <c r="C404" s="217"/>
      <c r="D404" s="217"/>
      <c r="E404" s="217"/>
      <c r="F404" s="217"/>
      <c r="G404" s="217"/>
      <c r="H404" s="217"/>
      <c r="I404" s="217"/>
      <c r="J404" s="217"/>
      <c r="K404" s="217"/>
      <c r="L404" s="217"/>
      <c r="M404" s="217"/>
      <c r="N404" s="217"/>
      <c r="O404" s="217"/>
      <c r="P404" s="217"/>
      <c r="Q404" s="217"/>
      <c r="R404" s="217"/>
      <c r="S404" s="217"/>
      <c r="T404" s="217"/>
      <c r="U404" s="217"/>
      <c r="V404" s="217"/>
      <c r="W404" s="217"/>
      <c r="X404" s="217"/>
      <c r="Y404" s="217"/>
      <c r="Z404" s="217"/>
    </row>
    <row r="405" ht="15.75" customHeight="1">
      <c r="A405" s="217"/>
      <c r="B405" s="217"/>
      <c r="C405" s="217"/>
      <c r="D405" s="217"/>
      <c r="E405" s="217"/>
      <c r="F405" s="217"/>
      <c r="G405" s="217"/>
      <c r="H405" s="217"/>
      <c r="I405" s="217"/>
      <c r="J405" s="217"/>
      <c r="K405" s="217"/>
      <c r="L405" s="217"/>
      <c r="M405" s="217"/>
      <c r="N405" s="217"/>
      <c r="O405" s="217"/>
      <c r="P405" s="217"/>
      <c r="Q405" s="217"/>
      <c r="R405" s="217"/>
      <c r="S405" s="217"/>
      <c r="T405" s="217"/>
      <c r="U405" s="217"/>
      <c r="V405" s="217"/>
      <c r="W405" s="217"/>
      <c r="X405" s="217"/>
      <c r="Y405" s="217"/>
      <c r="Z405" s="217"/>
    </row>
    <row r="406" ht="15.75" customHeight="1">
      <c r="A406" s="21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row>
    <row r="407" ht="15.75" customHeight="1">
      <c r="A407" s="217"/>
      <c r="B407" s="217"/>
      <c r="C407" s="217"/>
      <c r="D407" s="217"/>
      <c r="E407" s="217"/>
      <c r="F407" s="217"/>
      <c r="G407" s="217"/>
      <c r="H407" s="217"/>
      <c r="I407" s="217"/>
      <c r="J407" s="217"/>
      <c r="K407" s="217"/>
      <c r="L407" s="217"/>
      <c r="M407" s="217"/>
      <c r="N407" s="217"/>
      <c r="O407" s="217"/>
      <c r="P407" s="217"/>
      <c r="Q407" s="217"/>
      <c r="R407" s="217"/>
      <c r="S407" s="217"/>
      <c r="T407" s="217"/>
      <c r="U407" s="217"/>
      <c r="V407" s="217"/>
      <c r="W407" s="217"/>
      <c r="X407" s="217"/>
      <c r="Y407" s="217"/>
      <c r="Z407" s="217"/>
    </row>
    <row r="408" ht="15.75" customHeight="1">
      <c r="A408" s="217"/>
      <c r="B408" s="217"/>
      <c r="C408" s="217"/>
      <c r="D408" s="217"/>
      <c r="E408" s="217"/>
      <c r="F408" s="217"/>
      <c r="G408" s="217"/>
      <c r="H408" s="217"/>
      <c r="I408" s="217"/>
      <c r="J408" s="217"/>
      <c r="K408" s="217"/>
      <c r="L408" s="217"/>
      <c r="M408" s="217"/>
      <c r="N408" s="217"/>
      <c r="O408" s="217"/>
      <c r="P408" s="217"/>
      <c r="Q408" s="217"/>
      <c r="R408" s="217"/>
      <c r="S408" s="217"/>
      <c r="T408" s="217"/>
      <c r="U408" s="217"/>
      <c r="V408" s="217"/>
      <c r="W408" s="217"/>
      <c r="X408" s="217"/>
      <c r="Y408" s="217"/>
      <c r="Z408" s="217"/>
    </row>
    <row r="409" ht="15.75" customHeight="1">
      <c r="A409" s="217"/>
      <c r="B409" s="217"/>
      <c r="C409" s="217"/>
      <c r="D409" s="217"/>
      <c r="E409" s="217"/>
      <c r="F409" s="217"/>
      <c r="G409" s="217"/>
      <c r="H409" s="217"/>
      <c r="I409" s="217"/>
      <c r="J409" s="217"/>
      <c r="K409" s="217"/>
      <c r="L409" s="217"/>
      <c r="M409" s="217"/>
      <c r="N409" s="217"/>
      <c r="O409" s="217"/>
      <c r="P409" s="217"/>
      <c r="Q409" s="217"/>
      <c r="R409" s="217"/>
      <c r="S409" s="217"/>
      <c r="T409" s="217"/>
      <c r="U409" s="217"/>
      <c r="V409" s="217"/>
      <c r="W409" s="217"/>
      <c r="X409" s="217"/>
      <c r="Y409" s="217"/>
      <c r="Z409" s="217"/>
    </row>
    <row r="410" ht="15.75" customHeight="1">
      <c r="A410" s="217"/>
      <c r="B410" s="217"/>
      <c r="C410" s="217"/>
      <c r="D410" s="217"/>
      <c r="E410" s="217"/>
      <c r="F410" s="217"/>
      <c r="G410" s="217"/>
      <c r="H410" s="217"/>
      <c r="I410" s="217"/>
      <c r="J410" s="217"/>
      <c r="K410" s="217"/>
      <c r="L410" s="217"/>
      <c r="M410" s="217"/>
      <c r="N410" s="217"/>
      <c r="O410" s="217"/>
      <c r="P410" s="217"/>
      <c r="Q410" s="217"/>
      <c r="R410" s="217"/>
      <c r="S410" s="217"/>
      <c r="T410" s="217"/>
      <c r="U410" s="217"/>
      <c r="V410" s="217"/>
      <c r="W410" s="217"/>
      <c r="X410" s="217"/>
      <c r="Y410" s="217"/>
      <c r="Z410" s="217"/>
    </row>
    <row r="411" ht="15.75" customHeight="1">
      <c r="A411" s="217"/>
      <c r="B411" s="217"/>
      <c r="C411" s="217"/>
      <c r="D411" s="217"/>
      <c r="E411" s="217"/>
      <c r="F411" s="217"/>
      <c r="G411" s="217"/>
      <c r="H411" s="217"/>
      <c r="I411" s="217"/>
      <c r="J411" s="217"/>
      <c r="K411" s="217"/>
      <c r="L411" s="217"/>
      <c r="M411" s="217"/>
      <c r="N411" s="217"/>
      <c r="O411" s="217"/>
      <c r="P411" s="217"/>
      <c r="Q411" s="217"/>
      <c r="R411" s="217"/>
      <c r="S411" s="217"/>
      <c r="T411" s="217"/>
      <c r="U411" s="217"/>
      <c r="V411" s="217"/>
      <c r="W411" s="217"/>
      <c r="X411" s="217"/>
      <c r="Y411" s="217"/>
      <c r="Z411" s="217"/>
    </row>
    <row r="412" ht="15.75" customHeight="1">
      <c r="A412" s="217"/>
      <c r="B412" s="217"/>
      <c r="C412" s="217"/>
      <c r="D412" s="217"/>
      <c r="E412" s="217"/>
      <c r="F412" s="217"/>
      <c r="G412" s="217"/>
      <c r="H412" s="217"/>
      <c r="I412" s="217"/>
      <c r="J412" s="217"/>
      <c r="K412" s="217"/>
      <c r="L412" s="217"/>
      <c r="M412" s="217"/>
      <c r="N412" s="217"/>
      <c r="O412" s="217"/>
      <c r="P412" s="217"/>
      <c r="Q412" s="217"/>
      <c r="R412" s="217"/>
      <c r="S412" s="217"/>
      <c r="T412" s="217"/>
      <c r="U412" s="217"/>
      <c r="V412" s="217"/>
      <c r="W412" s="217"/>
      <c r="X412" s="217"/>
      <c r="Y412" s="217"/>
      <c r="Z412" s="217"/>
    </row>
    <row r="413" ht="15.75" customHeight="1">
      <c r="A413" s="217"/>
      <c r="B413" s="217"/>
      <c r="C413" s="217"/>
      <c r="D413" s="217"/>
      <c r="E413" s="217"/>
      <c r="F413" s="217"/>
      <c r="G413" s="217"/>
      <c r="H413" s="217"/>
      <c r="I413" s="217"/>
      <c r="J413" s="217"/>
      <c r="K413" s="217"/>
      <c r="L413" s="217"/>
      <c r="M413" s="217"/>
      <c r="N413" s="217"/>
      <c r="O413" s="217"/>
      <c r="P413" s="217"/>
      <c r="Q413" s="217"/>
      <c r="R413" s="217"/>
      <c r="S413" s="217"/>
      <c r="T413" s="217"/>
      <c r="U413" s="217"/>
      <c r="V413" s="217"/>
      <c r="W413" s="217"/>
      <c r="X413" s="217"/>
      <c r="Y413" s="217"/>
      <c r="Z413" s="217"/>
    </row>
    <row r="414" ht="15.75" customHeight="1">
      <c r="A414" s="217"/>
      <c r="B414" s="217"/>
      <c r="C414" s="217"/>
      <c r="D414" s="217"/>
      <c r="E414" s="217"/>
      <c r="F414" s="217"/>
      <c r="G414" s="217"/>
      <c r="H414" s="217"/>
      <c r="I414" s="217"/>
      <c r="J414" s="217"/>
      <c r="K414" s="217"/>
      <c r="L414" s="217"/>
      <c r="M414" s="217"/>
      <c r="N414" s="217"/>
      <c r="O414" s="217"/>
      <c r="P414" s="217"/>
      <c r="Q414" s="217"/>
      <c r="R414" s="217"/>
      <c r="S414" s="217"/>
      <c r="T414" s="217"/>
      <c r="U414" s="217"/>
      <c r="V414" s="217"/>
      <c r="W414" s="217"/>
      <c r="X414" s="217"/>
      <c r="Y414" s="217"/>
      <c r="Z414" s="217"/>
    </row>
    <row r="415" ht="15.75" customHeight="1">
      <c r="A415" s="217"/>
      <c r="B415" s="217"/>
      <c r="C415" s="217"/>
      <c r="D415" s="217"/>
      <c r="E415" s="217"/>
      <c r="F415" s="217"/>
      <c r="G415" s="217"/>
      <c r="H415" s="217"/>
      <c r="I415" s="217"/>
      <c r="J415" s="217"/>
      <c r="K415" s="217"/>
      <c r="L415" s="217"/>
      <c r="M415" s="217"/>
      <c r="N415" s="217"/>
      <c r="O415" s="217"/>
      <c r="P415" s="217"/>
      <c r="Q415" s="217"/>
      <c r="R415" s="217"/>
      <c r="S415" s="217"/>
      <c r="T415" s="217"/>
      <c r="U415" s="217"/>
      <c r="V415" s="217"/>
      <c r="W415" s="217"/>
      <c r="X415" s="217"/>
      <c r="Y415" s="217"/>
      <c r="Z415" s="217"/>
    </row>
    <row r="416" ht="15.75" customHeight="1">
      <c r="A416" s="217"/>
      <c r="B416" s="217"/>
      <c r="C416" s="217"/>
      <c r="D416" s="217"/>
      <c r="E416" s="217"/>
      <c r="F416" s="217"/>
      <c r="G416" s="217"/>
      <c r="H416" s="217"/>
      <c r="I416" s="217"/>
      <c r="J416" s="217"/>
      <c r="K416" s="217"/>
      <c r="L416" s="217"/>
      <c r="M416" s="217"/>
      <c r="N416" s="217"/>
      <c r="O416" s="217"/>
      <c r="P416" s="217"/>
      <c r="Q416" s="217"/>
      <c r="R416" s="217"/>
      <c r="S416" s="217"/>
      <c r="T416" s="217"/>
      <c r="U416" s="217"/>
      <c r="V416" s="217"/>
      <c r="W416" s="217"/>
      <c r="X416" s="217"/>
      <c r="Y416" s="217"/>
      <c r="Z416" s="217"/>
    </row>
    <row r="417" ht="15.75" customHeight="1">
      <c r="A417" s="217"/>
      <c r="B417" s="217"/>
      <c r="C417" s="217"/>
      <c r="D417" s="217"/>
      <c r="E417" s="217"/>
      <c r="F417" s="217"/>
      <c r="G417" s="217"/>
      <c r="H417" s="217"/>
      <c r="I417" s="217"/>
      <c r="J417" s="217"/>
      <c r="K417" s="217"/>
      <c r="L417" s="217"/>
      <c r="M417" s="217"/>
      <c r="N417" s="217"/>
      <c r="O417" s="217"/>
      <c r="P417" s="217"/>
      <c r="Q417" s="217"/>
      <c r="R417" s="217"/>
      <c r="S417" s="217"/>
      <c r="T417" s="217"/>
      <c r="U417" s="217"/>
      <c r="V417" s="217"/>
      <c r="W417" s="217"/>
      <c r="X417" s="217"/>
      <c r="Y417" s="217"/>
      <c r="Z417" s="217"/>
    </row>
    <row r="418" ht="15.75" customHeight="1">
      <c r="A418" s="217"/>
      <c r="B418" s="217"/>
      <c r="C418" s="217"/>
      <c r="D418" s="217"/>
      <c r="E418" s="217"/>
      <c r="F418" s="217"/>
      <c r="G418" s="217"/>
      <c r="H418" s="217"/>
      <c r="I418" s="217"/>
      <c r="J418" s="217"/>
      <c r="K418" s="217"/>
      <c r="L418" s="217"/>
      <c r="M418" s="217"/>
      <c r="N418" s="217"/>
      <c r="O418" s="217"/>
      <c r="P418" s="217"/>
      <c r="Q418" s="217"/>
      <c r="R418" s="217"/>
      <c r="S418" s="217"/>
      <c r="T418" s="217"/>
      <c r="U418" s="217"/>
      <c r="V418" s="217"/>
      <c r="W418" s="217"/>
      <c r="X418" s="217"/>
      <c r="Y418" s="217"/>
      <c r="Z418" s="217"/>
    </row>
    <row r="419" ht="15.75" customHeight="1">
      <c r="A419" s="217"/>
      <c r="B419" s="217"/>
      <c r="C419" s="217"/>
      <c r="D419" s="217"/>
      <c r="E419" s="217"/>
      <c r="F419" s="217"/>
      <c r="G419" s="217"/>
      <c r="H419" s="217"/>
      <c r="I419" s="217"/>
      <c r="J419" s="217"/>
      <c r="K419" s="217"/>
      <c r="L419" s="217"/>
      <c r="M419" s="217"/>
      <c r="N419" s="217"/>
      <c r="O419" s="217"/>
      <c r="P419" s="217"/>
      <c r="Q419" s="217"/>
      <c r="R419" s="217"/>
      <c r="S419" s="217"/>
      <c r="T419" s="217"/>
      <c r="U419" s="217"/>
      <c r="V419" s="217"/>
      <c r="W419" s="217"/>
      <c r="X419" s="217"/>
      <c r="Y419" s="217"/>
      <c r="Z419" s="217"/>
    </row>
    <row r="420" ht="15.75" customHeight="1">
      <c r="A420" s="217"/>
      <c r="B420" s="217"/>
      <c r="C420" s="217"/>
      <c r="D420" s="217"/>
      <c r="E420" s="217"/>
      <c r="F420" s="217"/>
      <c r="G420" s="217"/>
      <c r="H420" s="217"/>
      <c r="I420" s="217"/>
      <c r="J420" s="217"/>
      <c r="K420" s="217"/>
      <c r="L420" s="217"/>
      <c r="M420" s="217"/>
      <c r="N420" s="217"/>
      <c r="O420" s="217"/>
      <c r="P420" s="217"/>
      <c r="Q420" s="217"/>
      <c r="R420" s="217"/>
      <c r="S420" s="217"/>
      <c r="T420" s="217"/>
      <c r="U420" s="217"/>
      <c r="V420" s="217"/>
      <c r="W420" s="217"/>
      <c r="X420" s="217"/>
      <c r="Y420" s="217"/>
      <c r="Z420" s="217"/>
    </row>
    <row r="421" ht="15.75" customHeight="1">
      <c r="A421" s="217"/>
      <c r="B421" s="217"/>
      <c r="C421" s="217"/>
      <c r="D421" s="217"/>
      <c r="E421" s="217"/>
      <c r="F421" s="217"/>
      <c r="G421" s="217"/>
      <c r="H421" s="217"/>
      <c r="I421" s="217"/>
      <c r="J421" s="217"/>
      <c r="K421" s="217"/>
      <c r="L421" s="217"/>
      <c r="M421" s="217"/>
      <c r="N421" s="217"/>
      <c r="O421" s="217"/>
      <c r="P421" s="217"/>
      <c r="Q421" s="217"/>
      <c r="R421" s="217"/>
      <c r="S421" s="217"/>
      <c r="T421" s="217"/>
      <c r="U421" s="217"/>
      <c r="V421" s="217"/>
      <c r="W421" s="217"/>
      <c r="X421" s="217"/>
      <c r="Y421" s="217"/>
      <c r="Z421" s="217"/>
    </row>
    <row r="422" ht="15.75" customHeight="1">
      <c r="A422" s="217"/>
      <c r="B422" s="217"/>
      <c r="C422" s="217"/>
      <c r="D422" s="217"/>
      <c r="E422" s="217"/>
      <c r="F422" s="217"/>
      <c r="G422" s="217"/>
      <c r="H422" s="217"/>
      <c r="I422" s="217"/>
      <c r="J422" s="217"/>
      <c r="K422" s="217"/>
      <c r="L422" s="217"/>
      <c r="M422" s="217"/>
      <c r="N422" s="217"/>
      <c r="O422" s="217"/>
      <c r="P422" s="217"/>
      <c r="Q422" s="217"/>
      <c r="R422" s="217"/>
      <c r="S422" s="217"/>
      <c r="T422" s="217"/>
      <c r="U422" s="217"/>
      <c r="V422" s="217"/>
      <c r="W422" s="217"/>
      <c r="X422" s="217"/>
      <c r="Y422" s="217"/>
      <c r="Z422" s="217"/>
    </row>
    <row r="423" ht="15.75" customHeight="1">
      <c r="A423" s="217"/>
      <c r="B423" s="217"/>
      <c r="C423" s="217"/>
      <c r="D423" s="217"/>
      <c r="E423" s="217"/>
      <c r="F423" s="217"/>
      <c r="G423" s="217"/>
      <c r="H423" s="217"/>
      <c r="I423" s="217"/>
      <c r="J423" s="217"/>
      <c r="K423" s="217"/>
      <c r="L423" s="217"/>
      <c r="M423" s="217"/>
      <c r="N423" s="217"/>
      <c r="O423" s="217"/>
      <c r="P423" s="217"/>
      <c r="Q423" s="217"/>
      <c r="R423" s="217"/>
      <c r="S423" s="217"/>
      <c r="T423" s="217"/>
      <c r="U423" s="217"/>
      <c r="V423" s="217"/>
      <c r="W423" s="217"/>
      <c r="X423" s="217"/>
      <c r="Y423" s="217"/>
      <c r="Z423" s="217"/>
    </row>
    <row r="424" ht="15.75" customHeight="1">
      <c r="A424" s="217"/>
      <c r="B424" s="217"/>
      <c r="C424" s="217"/>
      <c r="D424" s="217"/>
      <c r="E424" s="217"/>
      <c r="F424" s="217"/>
      <c r="G424" s="217"/>
      <c r="H424" s="217"/>
      <c r="I424" s="217"/>
      <c r="J424" s="217"/>
      <c r="K424" s="217"/>
      <c r="L424" s="217"/>
      <c r="M424" s="217"/>
      <c r="N424" s="217"/>
      <c r="O424" s="217"/>
      <c r="P424" s="217"/>
      <c r="Q424" s="217"/>
      <c r="R424" s="217"/>
      <c r="S424" s="217"/>
      <c r="T424" s="217"/>
      <c r="U424" s="217"/>
      <c r="V424" s="217"/>
      <c r="W424" s="217"/>
      <c r="X424" s="217"/>
      <c r="Y424" s="217"/>
      <c r="Z424" s="217"/>
    </row>
    <row r="425" ht="15.75" customHeight="1">
      <c r="A425" s="217"/>
      <c r="B425" s="217"/>
      <c r="C425" s="217"/>
      <c r="D425" s="217"/>
      <c r="E425" s="217"/>
      <c r="F425" s="217"/>
      <c r="G425" s="217"/>
      <c r="H425" s="217"/>
      <c r="I425" s="217"/>
      <c r="J425" s="217"/>
      <c r="K425" s="217"/>
      <c r="L425" s="217"/>
      <c r="M425" s="217"/>
      <c r="N425" s="217"/>
      <c r="O425" s="217"/>
      <c r="P425" s="217"/>
      <c r="Q425" s="217"/>
      <c r="R425" s="217"/>
      <c r="S425" s="217"/>
      <c r="T425" s="217"/>
      <c r="U425" s="217"/>
      <c r="V425" s="217"/>
      <c r="W425" s="217"/>
      <c r="X425" s="217"/>
      <c r="Y425" s="217"/>
      <c r="Z425" s="217"/>
    </row>
    <row r="426" ht="15.75" customHeight="1">
      <c r="A426" s="217"/>
      <c r="B426" s="217"/>
      <c r="C426" s="217"/>
      <c r="D426" s="217"/>
      <c r="E426" s="217"/>
      <c r="F426" s="217"/>
      <c r="G426" s="217"/>
      <c r="H426" s="217"/>
      <c r="I426" s="217"/>
      <c r="J426" s="217"/>
      <c r="K426" s="217"/>
      <c r="L426" s="217"/>
      <c r="M426" s="217"/>
      <c r="N426" s="217"/>
      <c r="O426" s="217"/>
      <c r="P426" s="217"/>
      <c r="Q426" s="217"/>
      <c r="R426" s="217"/>
      <c r="S426" s="217"/>
      <c r="T426" s="217"/>
      <c r="U426" s="217"/>
      <c r="V426" s="217"/>
      <c r="W426" s="217"/>
      <c r="X426" s="217"/>
      <c r="Y426" s="217"/>
      <c r="Z426" s="217"/>
    </row>
    <row r="427" ht="15.75" customHeight="1">
      <c r="A427" s="217"/>
      <c r="B427" s="217"/>
      <c r="C427" s="217"/>
      <c r="D427" s="217"/>
      <c r="E427" s="217"/>
      <c r="F427" s="217"/>
      <c r="G427" s="217"/>
      <c r="H427" s="217"/>
      <c r="I427" s="217"/>
      <c r="J427" s="217"/>
      <c r="K427" s="217"/>
      <c r="L427" s="217"/>
      <c r="M427" s="217"/>
      <c r="N427" s="217"/>
      <c r="O427" s="217"/>
      <c r="P427" s="217"/>
      <c r="Q427" s="217"/>
      <c r="R427" s="217"/>
      <c r="S427" s="217"/>
      <c r="T427" s="217"/>
      <c r="U427" s="217"/>
      <c r="V427" s="217"/>
      <c r="W427" s="217"/>
      <c r="X427" s="217"/>
      <c r="Y427" s="217"/>
      <c r="Z427" s="217"/>
    </row>
    <row r="428" ht="15.75" customHeight="1">
      <c r="A428" s="217"/>
      <c r="B428" s="217"/>
      <c r="C428" s="217"/>
      <c r="D428" s="217"/>
      <c r="E428" s="217"/>
      <c r="F428" s="217"/>
      <c r="G428" s="217"/>
      <c r="H428" s="217"/>
      <c r="I428" s="217"/>
      <c r="J428" s="217"/>
      <c r="K428" s="217"/>
      <c r="L428" s="217"/>
      <c r="M428" s="217"/>
      <c r="N428" s="217"/>
      <c r="O428" s="217"/>
      <c r="P428" s="217"/>
      <c r="Q428" s="217"/>
      <c r="R428" s="217"/>
      <c r="S428" s="217"/>
      <c r="T428" s="217"/>
      <c r="U428" s="217"/>
      <c r="V428" s="217"/>
      <c r="W428" s="217"/>
      <c r="X428" s="217"/>
      <c r="Y428" s="217"/>
      <c r="Z428" s="217"/>
    </row>
    <row r="429" ht="15.75" customHeight="1">
      <c r="A429" s="217"/>
      <c r="B429" s="217"/>
      <c r="C429" s="217"/>
      <c r="D429" s="217"/>
      <c r="E429" s="217"/>
      <c r="F429" s="217"/>
      <c r="G429" s="217"/>
      <c r="H429" s="217"/>
      <c r="I429" s="217"/>
      <c r="J429" s="217"/>
      <c r="K429" s="217"/>
      <c r="L429" s="217"/>
      <c r="M429" s="217"/>
      <c r="N429" s="217"/>
      <c r="O429" s="217"/>
      <c r="P429" s="217"/>
      <c r="Q429" s="217"/>
      <c r="R429" s="217"/>
      <c r="S429" s="217"/>
      <c r="T429" s="217"/>
      <c r="U429" s="217"/>
      <c r="V429" s="217"/>
      <c r="W429" s="217"/>
      <c r="X429" s="217"/>
      <c r="Y429" s="217"/>
      <c r="Z429" s="217"/>
    </row>
    <row r="430" ht="15.75" customHeight="1">
      <c r="A430" s="217"/>
      <c r="B430" s="217"/>
      <c r="C430" s="217"/>
      <c r="D430" s="217"/>
      <c r="E430" s="217"/>
      <c r="F430" s="217"/>
      <c r="G430" s="217"/>
      <c r="H430" s="217"/>
      <c r="I430" s="217"/>
      <c r="J430" s="217"/>
      <c r="K430" s="217"/>
      <c r="L430" s="217"/>
      <c r="M430" s="217"/>
      <c r="N430" s="217"/>
      <c r="O430" s="217"/>
      <c r="P430" s="217"/>
      <c r="Q430" s="217"/>
      <c r="R430" s="217"/>
      <c r="S430" s="217"/>
      <c r="T430" s="217"/>
      <c r="U430" s="217"/>
      <c r="V430" s="217"/>
      <c r="W430" s="217"/>
      <c r="X430" s="217"/>
      <c r="Y430" s="217"/>
      <c r="Z430" s="217"/>
    </row>
    <row r="431" ht="15.75" customHeight="1">
      <c r="A431" s="217"/>
      <c r="B431" s="217"/>
      <c r="C431" s="217"/>
      <c r="D431" s="217"/>
      <c r="E431" s="217"/>
      <c r="F431" s="217"/>
      <c r="G431" s="217"/>
      <c r="H431" s="217"/>
      <c r="I431" s="217"/>
      <c r="J431" s="217"/>
      <c r="K431" s="217"/>
      <c r="L431" s="217"/>
      <c r="M431" s="217"/>
      <c r="N431" s="217"/>
      <c r="O431" s="217"/>
      <c r="P431" s="217"/>
      <c r="Q431" s="217"/>
      <c r="R431" s="217"/>
      <c r="S431" s="217"/>
      <c r="T431" s="217"/>
      <c r="U431" s="217"/>
      <c r="V431" s="217"/>
      <c r="W431" s="217"/>
      <c r="X431" s="217"/>
      <c r="Y431" s="217"/>
      <c r="Z431" s="217"/>
    </row>
    <row r="432" ht="15.75" customHeight="1">
      <c r="A432" s="217"/>
      <c r="B432" s="217"/>
      <c r="C432" s="217"/>
      <c r="D432" s="217"/>
      <c r="E432" s="217"/>
      <c r="F432" s="217"/>
      <c r="G432" s="217"/>
      <c r="H432" s="217"/>
      <c r="I432" s="217"/>
      <c r="J432" s="217"/>
      <c r="K432" s="217"/>
      <c r="L432" s="217"/>
      <c r="M432" s="217"/>
      <c r="N432" s="217"/>
      <c r="O432" s="217"/>
      <c r="P432" s="217"/>
      <c r="Q432" s="217"/>
      <c r="R432" s="217"/>
      <c r="S432" s="217"/>
      <c r="T432" s="217"/>
      <c r="U432" s="217"/>
      <c r="V432" s="217"/>
      <c r="W432" s="217"/>
      <c r="X432" s="217"/>
      <c r="Y432" s="217"/>
      <c r="Z432" s="217"/>
    </row>
    <row r="433" ht="15.75" customHeight="1">
      <c r="A433" s="217"/>
      <c r="B433" s="217"/>
      <c r="C433" s="217"/>
      <c r="D433" s="217"/>
      <c r="E433" s="217"/>
      <c r="F433" s="217"/>
      <c r="G433" s="217"/>
      <c r="H433" s="217"/>
      <c r="I433" s="217"/>
      <c r="J433" s="217"/>
      <c r="K433" s="217"/>
      <c r="L433" s="217"/>
      <c r="M433" s="217"/>
      <c r="N433" s="217"/>
      <c r="O433" s="217"/>
      <c r="P433" s="217"/>
      <c r="Q433" s="217"/>
      <c r="R433" s="217"/>
      <c r="S433" s="217"/>
      <c r="T433" s="217"/>
      <c r="U433" s="217"/>
      <c r="V433" s="217"/>
      <c r="W433" s="217"/>
      <c r="X433" s="217"/>
      <c r="Y433" s="217"/>
      <c r="Z433" s="217"/>
    </row>
    <row r="434" ht="15.75" customHeight="1">
      <c r="A434" s="217"/>
      <c r="B434" s="217"/>
      <c r="C434" s="217"/>
      <c r="D434" s="217"/>
      <c r="E434" s="217"/>
      <c r="F434" s="217"/>
      <c r="G434" s="217"/>
      <c r="H434" s="217"/>
      <c r="I434" s="217"/>
      <c r="J434" s="217"/>
      <c r="K434" s="217"/>
      <c r="L434" s="217"/>
      <c r="M434" s="217"/>
      <c r="N434" s="217"/>
      <c r="O434" s="217"/>
      <c r="P434" s="217"/>
      <c r="Q434" s="217"/>
      <c r="R434" s="217"/>
      <c r="S434" s="217"/>
      <c r="T434" s="217"/>
      <c r="U434" s="217"/>
      <c r="V434" s="217"/>
      <c r="W434" s="217"/>
      <c r="X434" s="217"/>
      <c r="Y434" s="217"/>
      <c r="Z434" s="217"/>
    </row>
    <row r="435" ht="15.75" customHeight="1">
      <c r="A435" s="217"/>
      <c r="B435" s="217"/>
      <c r="C435" s="217"/>
      <c r="D435" s="217"/>
      <c r="E435" s="217"/>
      <c r="F435" s="217"/>
      <c r="G435" s="217"/>
      <c r="H435" s="217"/>
      <c r="I435" s="217"/>
      <c r="J435" s="217"/>
      <c r="K435" s="217"/>
      <c r="L435" s="217"/>
      <c r="M435" s="217"/>
      <c r="N435" s="217"/>
      <c r="O435" s="217"/>
      <c r="P435" s="217"/>
      <c r="Q435" s="217"/>
      <c r="R435" s="217"/>
      <c r="S435" s="217"/>
      <c r="T435" s="217"/>
      <c r="U435" s="217"/>
      <c r="V435" s="217"/>
      <c r="W435" s="217"/>
      <c r="X435" s="217"/>
      <c r="Y435" s="217"/>
      <c r="Z435" s="217"/>
    </row>
    <row r="436" ht="15.75" customHeight="1">
      <c r="A436" s="217"/>
      <c r="B436" s="217"/>
      <c r="C436" s="217"/>
      <c r="D436" s="217"/>
      <c r="E436" s="217"/>
      <c r="F436" s="217"/>
      <c r="G436" s="217"/>
      <c r="H436" s="217"/>
      <c r="I436" s="217"/>
      <c r="J436" s="217"/>
      <c r="K436" s="217"/>
      <c r="L436" s="217"/>
      <c r="M436" s="217"/>
      <c r="N436" s="217"/>
      <c r="O436" s="217"/>
      <c r="P436" s="217"/>
      <c r="Q436" s="217"/>
      <c r="R436" s="217"/>
      <c r="S436" s="217"/>
      <c r="T436" s="217"/>
      <c r="U436" s="217"/>
      <c r="V436" s="217"/>
      <c r="W436" s="217"/>
      <c r="X436" s="217"/>
      <c r="Y436" s="217"/>
      <c r="Z436" s="217"/>
    </row>
    <row r="437" ht="15.75" customHeight="1">
      <c r="A437" s="217"/>
      <c r="B437" s="217"/>
      <c r="C437" s="217"/>
      <c r="D437" s="217"/>
      <c r="E437" s="217"/>
      <c r="F437" s="217"/>
      <c r="G437" s="217"/>
      <c r="H437" s="217"/>
      <c r="I437" s="217"/>
      <c r="J437" s="217"/>
      <c r="K437" s="217"/>
      <c r="L437" s="217"/>
      <c r="M437" s="217"/>
      <c r="N437" s="217"/>
      <c r="O437" s="217"/>
      <c r="P437" s="217"/>
      <c r="Q437" s="217"/>
      <c r="R437" s="217"/>
      <c r="S437" s="217"/>
      <c r="T437" s="217"/>
      <c r="U437" s="217"/>
      <c r="V437" s="217"/>
      <c r="W437" s="217"/>
      <c r="X437" s="217"/>
      <c r="Y437" s="217"/>
      <c r="Z437" s="217"/>
    </row>
    <row r="438" ht="15.75" customHeight="1">
      <c r="A438" s="217"/>
      <c r="B438" s="217"/>
      <c r="C438" s="217"/>
      <c r="D438" s="217"/>
      <c r="E438" s="217"/>
      <c r="F438" s="217"/>
      <c r="G438" s="217"/>
      <c r="H438" s="217"/>
      <c r="I438" s="217"/>
      <c r="J438" s="217"/>
      <c r="K438" s="217"/>
      <c r="L438" s="217"/>
      <c r="M438" s="217"/>
      <c r="N438" s="217"/>
      <c r="O438" s="217"/>
      <c r="P438" s="217"/>
      <c r="Q438" s="217"/>
      <c r="R438" s="217"/>
      <c r="S438" s="217"/>
      <c r="T438" s="217"/>
      <c r="U438" s="217"/>
      <c r="V438" s="217"/>
      <c r="W438" s="217"/>
      <c r="X438" s="217"/>
      <c r="Y438" s="217"/>
      <c r="Z438" s="217"/>
    </row>
    <row r="439" ht="15.75" customHeight="1">
      <c r="A439" s="217"/>
      <c r="B439" s="217"/>
      <c r="C439" s="217"/>
      <c r="D439" s="217"/>
      <c r="E439" s="217"/>
      <c r="F439" s="217"/>
      <c r="G439" s="217"/>
      <c r="H439" s="217"/>
      <c r="I439" s="217"/>
      <c r="J439" s="217"/>
      <c r="K439" s="217"/>
      <c r="L439" s="217"/>
      <c r="M439" s="217"/>
      <c r="N439" s="217"/>
      <c r="O439" s="217"/>
      <c r="P439" s="217"/>
      <c r="Q439" s="217"/>
      <c r="R439" s="217"/>
      <c r="S439" s="217"/>
      <c r="T439" s="217"/>
      <c r="U439" s="217"/>
      <c r="V439" s="217"/>
      <c r="W439" s="217"/>
      <c r="X439" s="217"/>
      <c r="Y439" s="217"/>
      <c r="Z439" s="217"/>
    </row>
    <row r="440" ht="15.75" customHeight="1">
      <c r="A440" s="217"/>
      <c r="B440" s="217"/>
      <c r="C440" s="217"/>
      <c r="D440" s="217"/>
      <c r="E440" s="217"/>
      <c r="F440" s="217"/>
      <c r="G440" s="217"/>
      <c r="H440" s="217"/>
      <c r="I440" s="217"/>
      <c r="J440" s="217"/>
      <c r="K440" s="217"/>
      <c r="L440" s="217"/>
      <c r="M440" s="217"/>
      <c r="N440" s="217"/>
      <c r="O440" s="217"/>
      <c r="P440" s="217"/>
      <c r="Q440" s="217"/>
      <c r="R440" s="217"/>
      <c r="S440" s="217"/>
      <c r="T440" s="217"/>
      <c r="U440" s="217"/>
      <c r="V440" s="217"/>
      <c r="W440" s="217"/>
      <c r="X440" s="217"/>
      <c r="Y440" s="217"/>
      <c r="Z440" s="217"/>
    </row>
    <row r="441" ht="15.75" customHeight="1">
      <c r="A441" s="217"/>
      <c r="B441" s="217"/>
      <c r="C441" s="217"/>
      <c r="D441" s="217"/>
      <c r="E441" s="217"/>
      <c r="F441" s="217"/>
      <c r="G441" s="217"/>
      <c r="H441" s="217"/>
      <c r="I441" s="217"/>
      <c r="J441" s="217"/>
      <c r="K441" s="217"/>
      <c r="L441" s="217"/>
      <c r="M441" s="217"/>
      <c r="N441" s="217"/>
      <c r="O441" s="217"/>
      <c r="P441" s="217"/>
      <c r="Q441" s="217"/>
      <c r="R441" s="217"/>
      <c r="S441" s="217"/>
      <c r="T441" s="217"/>
      <c r="U441" s="217"/>
      <c r="V441" s="217"/>
      <c r="W441" s="217"/>
      <c r="X441" s="217"/>
      <c r="Y441" s="217"/>
      <c r="Z441" s="217"/>
    </row>
    <row r="442" ht="15.75" customHeight="1">
      <c r="A442" s="217"/>
      <c r="B442" s="217"/>
      <c r="C442" s="217"/>
      <c r="D442" s="217"/>
      <c r="E442" s="217"/>
      <c r="F442" s="217"/>
      <c r="G442" s="217"/>
      <c r="H442" s="217"/>
      <c r="I442" s="217"/>
      <c r="J442" s="217"/>
      <c r="K442" s="217"/>
      <c r="L442" s="217"/>
      <c r="M442" s="217"/>
      <c r="N442" s="217"/>
      <c r="O442" s="217"/>
      <c r="P442" s="217"/>
      <c r="Q442" s="217"/>
      <c r="R442" s="217"/>
      <c r="S442" s="217"/>
      <c r="T442" s="217"/>
      <c r="U442" s="217"/>
      <c r="V442" s="217"/>
      <c r="W442" s="217"/>
      <c r="X442" s="217"/>
      <c r="Y442" s="217"/>
      <c r="Z442" s="217"/>
    </row>
    <row r="443" ht="15.75" customHeight="1">
      <c r="A443" s="217"/>
      <c r="B443" s="217"/>
      <c r="C443" s="217"/>
      <c r="D443" s="217"/>
      <c r="E443" s="217"/>
      <c r="F443" s="217"/>
      <c r="G443" s="217"/>
      <c r="H443" s="217"/>
      <c r="I443" s="217"/>
      <c r="J443" s="217"/>
      <c r="K443" s="217"/>
      <c r="L443" s="217"/>
      <c r="M443" s="217"/>
      <c r="N443" s="217"/>
      <c r="O443" s="217"/>
      <c r="P443" s="217"/>
      <c r="Q443" s="217"/>
      <c r="R443" s="217"/>
      <c r="S443" s="217"/>
      <c r="T443" s="217"/>
      <c r="U443" s="217"/>
      <c r="V443" s="217"/>
      <c r="W443" s="217"/>
      <c r="X443" s="217"/>
      <c r="Y443" s="217"/>
      <c r="Z443" s="217"/>
    </row>
    <row r="444" ht="15.75" customHeight="1">
      <c r="A444" s="217"/>
      <c r="B444" s="217"/>
      <c r="C444" s="217"/>
      <c r="D444" s="217"/>
      <c r="E444" s="217"/>
      <c r="F444" s="217"/>
      <c r="G444" s="217"/>
      <c r="H444" s="217"/>
      <c r="I444" s="217"/>
      <c r="J444" s="217"/>
      <c r="K444" s="217"/>
      <c r="L444" s="217"/>
      <c r="M444" s="217"/>
      <c r="N444" s="217"/>
      <c r="O444" s="217"/>
      <c r="P444" s="217"/>
      <c r="Q444" s="217"/>
      <c r="R444" s="217"/>
      <c r="S444" s="217"/>
      <c r="T444" s="217"/>
      <c r="U444" s="217"/>
      <c r="V444" s="217"/>
      <c r="W444" s="217"/>
      <c r="X444" s="217"/>
      <c r="Y444" s="217"/>
      <c r="Z444" s="217"/>
    </row>
    <row r="445" ht="15.75" customHeight="1">
      <c r="A445" s="217"/>
      <c r="B445" s="217"/>
      <c r="C445" s="217"/>
      <c r="D445" s="217"/>
      <c r="E445" s="217"/>
      <c r="F445" s="217"/>
      <c r="G445" s="217"/>
      <c r="H445" s="217"/>
      <c r="I445" s="217"/>
      <c r="J445" s="217"/>
      <c r="K445" s="217"/>
      <c r="L445" s="217"/>
      <c r="M445" s="217"/>
      <c r="N445" s="217"/>
      <c r="O445" s="217"/>
      <c r="P445" s="217"/>
      <c r="Q445" s="217"/>
      <c r="R445" s="217"/>
      <c r="S445" s="217"/>
      <c r="T445" s="217"/>
      <c r="U445" s="217"/>
      <c r="V445" s="217"/>
      <c r="W445" s="217"/>
      <c r="X445" s="217"/>
      <c r="Y445" s="217"/>
      <c r="Z445" s="217"/>
    </row>
    <row r="446" ht="15.75" customHeight="1">
      <c r="A446" s="217"/>
      <c r="B446" s="217"/>
      <c r="C446" s="217"/>
      <c r="D446" s="217"/>
      <c r="E446" s="217"/>
      <c r="F446" s="217"/>
      <c r="G446" s="217"/>
      <c r="H446" s="217"/>
      <c r="I446" s="217"/>
      <c r="J446" s="217"/>
      <c r="K446" s="217"/>
      <c r="L446" s="217"/>
      <c r="M446" s="217"/>
      <c r="N446" s="217"/>
      <c r="O446" s="217"/>
      <c r="P446" s="217"/>
      <c r="Q446" s="217"/>
      <c r="R446" s="217"/>
      <c r="S446" s="217"/>
      <c r="T446" s="217"/>
      <c r="U446" s="217"/>
      <c r="V446" s="217"/>
      <c r="W446" s="217"/>
      <c r="X446" s="217"/>
      <c r="Y446" s="217"/>
      <c r="Z446" s="217"/>
    </row>
    <row r="447" ht="15.75" customHeight="1">
      <c r="A447" s="217"/>
      <c r="B447" s="217"/>
      <c r="C447" s="217"/>
      <c r="D447" s="217"/>
      <c r="E447" s="217"/>
      <c r="F447" s="217"/>
      <c r="G447" s="217"/>
      <c r="H447" s="217"/>
      <c r="I447" s="217"/>
      <c r="J447" s="217"/>
      <c r="K447" s="217"/>
      <c r="L447" s="217"/>
      <c r="M447" s="217"/>
      <c r="N447" s="217"/>
      <c r="O447" s="217"/>
      <c r="P447" s="217"/>
      <c r="Q447" s="217"/>
      <c r="R447" s="217"/>
      <c r="S447" s="217"/>
      <c r="T447" s="217"/>
      <c r="U447" s="217"/>
      <c r="V447" s="217"/>
      <c r="W447" s="217"/>
      <c r="X447" s="217"/>
      <c r="Y447" s="217"/>
      <c r="Z447" s="217"/>
    </row>
    <row r="448" ht="15.75" customHeight="1">
      <c r="A448" s="217"/>
      <c r="B448" s="217"/>
      <c r="C448" s="217"/>
      <c r="D448" s="217"/>
      <c r="E448" s="217"/>
      <c r="F448" s="217"/>
      <c r="G448" s="217"/>
      <c r="H448" s="217"/>
      <c r="I448" s="217"/>
      <c r="J448" s="217"/>
      <c r="K448" s="217"/>
      <c r="L448" s="217"/>
      <c r="M448" s="217"/>
      <c r="N448" s="217"/>
      <c r="O448" s="217"/>
      <c r="P448" s="217"/>
      <c r="Q448" s="217"/>
      <c r="R448" s="217"/>
      <c r="S448" s="217"/>
      <c r="T448" s="217"/>
      <c r="U448" s="217"/>
      <c r="V448" s="217"/>
      <c r="W448" s="217"/>
      <c r="X448" s="217"/>
      <c r="Y448" s="217"/>
      <c r="Z448" s="217"/>
    </row>
    <row r="449" ht="15.75" customHeight="1">
      <c r="A449" s="217"/>
      <c r="B449" s="217"/>
      <c r="C449" s="217"/>
      <c r="D449" s="217"/>
      <c r="E449" s="217"/>
      <c r="F449" s="217"/>
      <c r="G449" s="217"/>
      <c r="H449" s="217"/>
      <c r="I449" s="217"/>
      <c r="J449" s="217"/>
      <c r="K449" s="217"/>
      <c r="L449" s="217"/>
      <c r="M449" s="217"/>
      <c r="N449" s="217"/>
      <c r="O449" s="217"/>
      <c r="P449" s="217"/>
      <c r="Q449" s="217"/>
      <c r="R449" s="217"/>
      <c r="S449" s="217"/>
      <c r="T449" s="217"/>
      <c r="U449" s="217"/>
      <c r="V449" s="217"/>
      <c r="W449" s="217"/>
      <c r="X449" s="217"/>
      <c r="Y449" s="217"/>
      <c r="Z449" s="217"/>
    </row>
    <row r="450" ht="15.75" customHeight="1">
      <c r="A450" s="217"/>
      <c r="B450" s="217"/>
      <c r="C450" s="217"/>
      <c r="D450" s="217"/>
      <c r="E450" s="217"/>
      <c r="F450" s="217"/>
      <c r="G450" s="217"/>
      <c r="H450" s="217"/>
      <c r="I450" s="217"/>
      <c r="J450" s="217"/>
      <c r="K450" s="217"/>
      <c r="L450" s="217"/>
      <c r="M450" s="217"/>
      <c r="N450" s="217"/>
      <c r="O450" s="217"/>
      <c r="P450" s="217"/>
      <c r="Q450" s="217"/>
      <c r="R450" s="217"/>
      <c r="S450" s="217"/>
      <c r="T450" s="217"/>
      <c r="U450" s="217"/>
      <c r="V450" s="217"/>
      <c r="W450" s="217"/>
      <c r="X450" s="217"/>
      <c r="Y450" s="217"/>
      <c r="Z450" s="217"/>
    </row>
    <row r="451" ht="15.75" customHeight="1">
      <c r="A451" s="217"/>
      <c r="B451" s="217"/>
      <c r="C451" s="217"/>
      <c r="D451" s="217"/>
      <c r="E451" s="217"/>
      <c r="F451" s="217"/>
      <c r="G451" s="217"/>
      <c r="H451" s="217"/>
      <c r="I451" s="217"/>
      <c r="J451" s="217"/>
      <c r="K451" s="217"/>
      <c r="L451" s="217"/>
      <c r="M451" s="217"/>
      <c r="N451" s="217"/>
      <c r="O451" s="217"/>
      <c r="P451" s="217"/>
      <c r="Q451" s="217"/>
      <c r="R451" s="217"/>
      <c r="S451" s="217"/>
      <c r="T451" s="217"/>
      <c r="U451" s="217"/>
      <c r="V451" s="217"/>
      <c r="W451" s="217"/>
      <c r="X451" s="217"/>
      <c r="Y451" s="217"/>
      <c r="Z451" s="217"/>
    </row>
    <row r="452" ht="15.75" customHeight="1">
      <c r="A452" s="217"/>
      <c r="B452" s="217"/>
      <c r="C452" s="217"/>
      <c r="D452" s="217"/>
      <c r="E452" s="217"/>
      <c r="F452" s="217"/>
      <c r="G452" s="217"/>
      <c r="H452" s="217"/>
      <c r="I452" s="217"/>
      <c r="J452" s="217"/>
      <c r="K452" s="217"/>
      <c r="L452" s="217"/>
      <c r="M452" s="217"/>
      <c r="N452" s="217"/>
      <c r="O452" s="217"/>
      <c r="P452" s="217"/>
      <c r="Q452" s="217"/>
      <c r="R452" s="217"/>
      <c r="S452" s="217"/>
      <c r="T452" s="217"/>
      <c r="U452" s="217"/>
      <c r="V452" s="217"/>
      <c r="W452" s="217"/>
      <c r="X452" s="217"/>
      <c r="Y452" s="217"/>
      <c r="Z452" s="217"/>
    </row>
    <row r="453" ht="15.75" customHeight="1">
      <c r="A453" s="217"/>
      <c r="B453" s="217"/>
      <c r="C453" s="217"/>
      <c r="D453" s="217"/>
      <c r="E453" s="217"/>
      <c r="F453" s="217"/>
      <c r="G453" s="217"/>
      <c r="H453" s="217"/>
      <c r="I453" s="217"/>
      <c r="J453" s="217"/>
      <c r="K453" s="217"/>
      <c r="L453" s="217"/>
      <c r="M453" s="217"/>
      <c r="N453" s="217"/>
      <c r="O453" s="217"/>
      <c r="P453" s="217"/>
      <c r="Q453" s="217"/>
      <c r="R453" s="217"/>
      <c r="S453" s="217"/>
      <c r="T453" s="217"/>
      <c r="U453" s="217"/>
      <c r="V453" s="217"/>
      <c r="W453" s="217"/>
      <c r="X453" s="217"/>
      <c r="Y453" s="217"/>
      <c r="Z453" s="217"/>
    </row>
    <row r="454" ht="15.75" customHeight="1">
      <c r="A454" s="217"/>
      <c r="B454" s="217"/>
      <c r="C454" s="217"/>
      <c r="D454" s="217"/>
      <c r="E454" s="217"/>
      <c r="F454" s="217"/>
      <c r="G454" s="217"/>
      <c r="H454" s="217"/>
      <c r="I454" s="217"/>
      <c r="J454" s="217"/>
      <c r="K454" s="217"/>
      <c r="L454" s="217"/>
      <c r="M454" s="217"/>
      <c r="N454" s="217"/>
      <c r="O454" s="217"/>
      <c r="P454" s="217"/>
      <c r="Q454" s="217"/>
      <c r="R454" s="217"/>
      <c r="S454" s="217"/>
      <c r="T454" s="217"/>
      <c r="U454" s="217"/>
      <c r="V454" s="217"/>
      <c r="W454" s="217"/>
      <c r="X454" s="217"/>
      <c r="Y454" s="217"/>
      <c r="Z454" s="217"/>
    </row>
    <row r="455" ht="15.75" customHeight="1">
      <c r="A455" s="217"/>
      <c r="B455" s="217"/>
      <c r="C455" s="217"/>
      <c r="D455" s="217"/>
      <c r="E455" s="217"/>
      <c r="F455" s="217"/>
      <c r="G455" s="217"/>
      <c r="H455" s="217"/>
      <c r="I455" s="217"/>
      <c r="J455" s="217"/>
      <c r="K455" s="217"/>
      <c r="L455" s="217"/>
      <c r="M455" s="217"/>
      <c r="N455" s="217"/>
      <c r="O455" s="217"/>
      <c r="P455" s="217"/>
      <c r="Q455" s="217"/>
      <c r="R455" s="217"/>
      <c r="S455" s="217"/>
      <c r="T455" s="217"/>
      <c r="U455" s="217"/>
      <c r="V455" s="217"/>
      <c r="W455" s="217"/>
      <c r="X455" s="217"/>
      <c r="Y455" s="217"/>
      <c r="Z455" s="217"/>
    </row>
    <row r="456" ht="15.75" customHeight="1">
      <c r="A456" s="217"/>
      <c r="B456" s="217"/>
      <c r="C456" s="217"/>
      <c r="D456" s="217"/>
      <c r="E456" s="217"/>
      <c r="F456" s="217"/>
      <c r="G456" s="217"/>
      <c r="H456" s="217"/>
      <c r="I456" s="217"/>
      <c r="J456" s="217"/>
      <c r="K456" s="217"/>
      <c r="L456" s="217"/>
      <c r="M456" s="217"/>
      <c r="N456" s="217"/>
      <c r="O456" s="217"/>
      <c r="P456" s="217"/>
      <c r="Q456" s="217"/>
      <c r="R456" s="217"/>
      <c r="S456" s="217"/>
      <c r="T456" s="217"/>
      <c r="U456" s="217"/>
      <c r="V456" s="217"/>
      <c r="W456" s="217"/>
      <c r="X456" s="217"/>
      <c r="Y456" s="217"/>
      <c r="Z456" s="217"/>
    </row>
    <row r="457" ht="15.75" customHeight="1">
      <c r="A457" s="217"/>
      <c r="B457" s="217"/>
      <c r="C457" s="217"/>
      <c r="D457" s="217"/>
      <c r="E457" s="217"/>
      <c r="F457" s="217"/>
      <c r="G457" s="217"/>
      <c r="H457" s="217"/>
      <c r="I457" s="217"/>
      <c r="J457" s="217"/>
      <c r="K457" s="217"/>
      <c r="L457" s="217"/>
      <c r="M457" s="217"/>
      <c r="N457" s="217"/>
      <c r="O457" s="217"/>
      <c r="P457" s="217"/>
      <c r="Q457" s="217"/>
      <c r="R457" s="217"/>
      <c r="S457" s="217"/>
      <c r="T457" s="217"/>
      <c r="U457" s="217"/>
      <c r="V457" s="217"/>
      <c r="W457" s="217"/>
      <c r="X457" s="217"/>
      <c r="Y457" s="217"/>
      <c r="Z457" s="217"/>
    </row>
    <row r="458" ht="15.75" customHeight="1">
      <c r="A458" s="217"/>
      <c r="B458" s="217"/>
      <c r="C458" s="217"/>
      <c r="D458" s="217"/>
      <c r="E458" s="217"/>
      <c r="F458" s="217"/>
      <c r="G458" s="217"/>
      <c r="H458" s="217"/>
      <c r="I458" s="217"/>
      <c r="J458" s="217"/>
      <c r="K458" s="217"/>
      <c r="L458" s="217"/>
      <c r="M458" s="217"/>
      <c r="N458" s="217"/>
      <c r="O458" s="217"/>
      <c r="P458" s="217"/>
      <c r="Q458" s="217"/>
      <c r="R458" s="217"/>
      <c r="S458" s="217"/>
      <c r="T458" s="217"/>
      <c r="U458" s="217"/>
      <c r="V458" s="217"/>
      <c r="W458" s="217"/>
      <c r="X458" s="217"/>
      <c r="Y458" s="217"/>
      <c r="Z458" s="217"/>
    </row>
    <row r="459" ht="15.75" customHeight="1">
      <c r="A459" s="217"/>
      <c r="B459" s="217"/>
      <c r="C459" s="217"/>
      <c r="D459" s="217"/>
      <c r="E459" s="217"/>
      <c r="F459" s="217"/>
      <c r="G459" s="217"/>
      <c r="H459" s="217"/>
      <c r="I459" s="217"/>
      <c r="J459" s="217"/>
      <c r="K459" s="217"/>
      <c r="L459" s="217"/>
      <c r="M459" s="217"/>
      <c r="N459" s="217"/>
      <c r="O459" s="217"/>
      <c r="P459" s="217"/>
      <c r="Q459" s="217"/>
      <c r="R459" s="217"/>
      <c r="S459" s="217"/>
      <c r="T459" s="217"/>
      <c r="U459" s="217"/>
      <c r="V459" s="217"/>
      <c r="W459" s="217"/>
      <c r="X459" s="217"/>
      <c r="Y459" s="217"/>
      <c r="Z459" s="217"/>
    </row>
    <row r="460" ht="15.75" customHeight="1">
      <c r="A460" s="217"/>
      <c r="B460" s="217"/>
      <c r="C460" s="217"/>
      <c r="D460" s="217"/>
      <c r="E460" s="217"/>
      <c r="F460" s="217"/>
      <c r="G460" s="217"/>
      <c r="H460" s="217"/>
      <c r="I460" s="217"/>
      <c r="J460" s="217"/>
      <c r="K460" s="217"/>
      <c r="L460" s="217"/>
      <c r="M460" s="217"/>
      <c r="N460" s="217"/>
      <c r="O460" s="217"/>
      <c r="P460" s="217"/>
      <c r="Q460" s="217"/>
      <c r="R460" s="217"/>
      <c r="S460" s="217"/>
      <c r="T460" s="217"/>
      <c r="U460" s="217"/>
      <c r="V460" s="217"/>
      <c r="W460" s="217"/>
      <c r="X460" s="217"/>
      <c r="Y460" s="217"/>
      <c r="Z460" s="217"/>
    </row>
    <row r="461" ht="15.75" customHeight="1">
      <c r="A461" s="217"/>
      <c r="B461" s="217"/>
      <c r="C461" s="217"/>
      <c r="D461" s="217"/>
      <c r="E461" s="217"/>
      <c r="F461" s="217"/>
      <c r="G461" s="217"/>
      <c r="H461" s="217"/>
      <c r="I461" s="217"/>
      <c r="J461" s="217"/>
      <c r="K461" s="217"/>
      <c r="L461" s="217"/>
      <c r="M461" s="217"/>
      <c r="N461" s="217"/>
      <c r="O461" s="217"/>
      <c r="P461" s="217"/>
      <c r="Q461" s="217"/>
      <c r="R461" s="217"/>
      <c r="S461" s="217"/>
      <c r="T461" s="217"/>
      <c r="U461" s="217"/>
      <c r="V461" s="217"/>
      <c r="W461" s="217"/>
      <c r="X461" s="217"/>
      <c r="Y461" s="217"/>
      <c r="Z461" s="217"/>
    </row>
    <row r="462" ht="15.75" customHeight="1">
      <c r="A462" s="217"/>
      <c r="B462" s="217"/>
      <c r="C462" s="217"/>
      <c r="D462" s="217"/>
      <c r="E462" s="217"/>
      <c r="F462" s="217"/>
      <c r="G462" s="217"/>
      <c r="H462" s="217"/>
      <c r="I462" s="217"/>
      <c r="J462" s="217"/>
      <c r="K462" s="217"/>
      <c r="L462" s="217"/>
      <c r="M462" s="217"/>
      <c r="N462" s="217"/>
      <c r="O462" s="217"/>
      <c r="P462" s="217"/>
      <c r="Q462" s="217"/>
      <c r="R462" s="217"/>
      <c r="S462" s="217"/>
      <c r="T462" s="217"/>
      <c r="U462" s="217"/>
      <c r="V462" s="217"/>
      <c r="W462" s="217"/>
      <c r="X462" s="217"/>
      <c r="Y462" s="217"/>
      <c r="Z462" s="217"/>
    </row>
    <row r="463" ht="15.75" customHeight="1">
      <c r="A463" s="217"/>
      <c r="B463" s="217"/>
      <c r="C463" s="217"/>
      <c r="D463" s="217"/>
      <c r="E463" s="217"/>
      <c r="F463" s="217"/>
      <c r="G463" s="217"/>
      <c r="H463" s="217"/>
      <c r="I463" s="217"/>
      <c r="J463" s="217"/>
      <c r="K463" s="217"/>
      <c r="L463" s="217"/>
      <c r="M463" s="217"/>
      <c r="N463" s="217"/>
      <c r="O463" s="217"/>
      <c r="P463" s="217"/>
      <c r="Q463" s="217"/>
      <c r="R463" s="217"/>
      <c r="S463" s="217"/>
      <c r="T463" s="217"/>
      <c r="U463" s="217"/>
      <c r="V463" s="217"/>
      <c r="W463" s="217"/>
      <c r="X463" s="217"/>
      <c r="Y463" s="217"/>
      <c r="Z463" s="217"/>
    </row>
    <row r="464" ht="15.75" customHeight="1">
      <c r="A464" s="217"/>
      <c r="B464" s="217"/>
      <c r="C464" s="217"/>
      <c r="D464" s="217"/>
      <c r="E464" s="217"/>
      <c r="F464" s="217"/>
      <c r="G464" s="217"/>
      <c r="H464" s="217"/>
      <c r="I464" s="217"/>
      <c r="J464" s="217"/>
      <c r="K464" s="217"/>
      <c r="L464" s="217"/>
      <c r="M464" s="217"/>
      <c r="N464" s="217"/>
      <c r="O464" s="217"/>
      <c r="P464" s="217"/>
      <c r="Q464" s="217"/>
      <c r="R464" s="217"/>
      <c r="S464" s="217"/>
      <c r="T464" s="217"/>
      <c r="U464" s="217"/>
      <c r="V464" s="217"/>
      <c r="W464" s="217"/>
      <c r="X464" s="217"/>
      <c r="Y464" s="217"/>
      <c r="Z464" s="217"/>
    </row>
    <row r="465" ht="15.75" customHeight="1">
      <c r="A465" s="217"/>
      <c r="B465" s="217"/>
      <c r="C465" s="217"/>
      <c r="D465" s="217"/>
      <c r="E465" s="217"/>
      <c r="F465" s="217"/>
      <c r="G465" s="217"/>
      <c r="H465" s="217"/>
      <c r="I465" s="217"/>
      <c r="J465" s="217"/>
      <c r="K465" s="217"/>
      <c r="L465" s="217"/>
      <c r="M465" s="217"/>
      <c r="N465" s="217"/>
      <c r="O465" s="217"/>
      <c r="P465" s="217"/>
      <c r="Q465" s="217"/>
      <c r="R465" s="217"/>
      <c r="S465" s="217"/>
      <c r="T465" s="217"/>
      <c r="U465" s="217"/>
      <c r="V465" s="217"/>
      <c r="W465" s="217"/>
      <c r="X465" s="217"/>
      <c r="Y465" s="217"/>
      <c r="Z465" s="217"/>
    </row>
    <row r="466" ht="15.75" customHeight="1">
      <c r="A466" s="217"/>
      <c r="B466" s="217"/>
      <c r="C466" s="217"/>
      <c r="D466" s="217"/>
      <c r="E466" s="217"/>
      <c r="F466" s="217"/>
      <c r="G466" s="217"/>
      <c r="H466" s="217"/>
      <c r="I466" s="217"/>
      <c r="J466" s="217"/>
      <c r="K466" s="217"/>
      <c r="L466" s="217"/>
      <c r="M466" s="217"/>
      <c r="N466" s="217"/>
      <c r="O466" s="217"/>
      <c r="P466" s="217"/>
      <c r="Q466" s="217"/>
      <c r="R466" s="217"/>
      <c r="S466" s="217"/>
      <c r="T466" s="217"/>
      <c r="U466" s="217"/>
      <c r="V466" s="217"/>
      <c r="W466" s="217"/>
      <c r="X466" s="217"/>
      <c r="Y466" s="217"/>
      <c r="Z466" s="217"/>
    </row>
    <row r="467" ht="15.75" customHeight="1">
      <c r="A467" s="217"/>
      <c r="B467" s="217"/>
      <c r="C467" s="217"/>
      <c r="D467" s="217"/>
      <c r="E467" s="217"/>
      <c r="F467" s="217"/>
      <c r="G467" s="217"/>
      <c r="H467" s="217"/>
      <c r="I467" s="217"/>
      <c r="J467" s="217"/>
      <c r="K467" s="217"/>
      <c r="L467" s="217"/>
      <c r="M467" s="217"/>
      <c r="N467" s="217"/>
      <c r="O467" s="217"/>
      <c r="P467" s="217"/>
      <c r="Q467" s="217"/>
      <c r="R467" s="217"/>
      <c r="S467" s="217"/>
      <c r="T467" s="217"/>
      <c r="U467" s="217"/>
      <c r="V467" s="217"/>
      <c r="W467" s="217"/>
      <c r="X467" s="217"/>
      <c r="Y467" s="217"/>
      <c r="Z467" s="217"/>
    </row>
    <row r="468" ht="15.75" customHeight="1">
      <c r="A468" s="217"/>
      <c r="B468" s="217"/>
      <c r="C468" s="217"/>
      <c r="D468" s="217"/>
      <c r="E468" s="217"/>
      <c r="F468" s="217"/>
      <c r="G468" s="217"/>
      <c r="H468" s="217"/>
      <c r="I468" s="217"/>
      <c r="J468" s="217"/>
      <c r="K468" s="217"/>
      <c r="L468" s="217"/>
      <c r="M468" s="217"/>
      <c r="N468" s="217"/>
      <c r="O468" s="217"/>
      <c r="P468" s="217"/>
      <c r="Q468" s="217"/>
      <c r="R468" s="217"/>
      <c r="S468" s="217"/>
      <c r="T468" s="217"/>
      <c r="U468" s="217"/>
      <c r="V468" s="217"/>
      <c r="W468" s="217"/>
      <c r="X468" s="217"/>
      <c r="Y468" s="217"/>
      <c r="Z468" s="217"/>
    </row>
    <row r="469" ht="15.75" customHeight="1">
      <c r="A469" s="217"/>
      <c r="B469" s="217"/>
      <c r="C469" s="217"/>
      <c r="D469" s="217"/>
      <c r="E469" s="217"/>
      <c r="F469" s="217"/>
      <c r="G469" s="217"/>
      <c r="H469" s="217"/>
      <c r="I469" s="217"/>
      <c r="J469" s="217"/>
      <c r="K469" s="217"/>
      <c r="L469" s="217"/>
      <c r="M469" s="217"/>
      <c r="N469" s="217"/>
      <c r="O469" s="217"/>
      <c r="P469" s="217"/>
      <c r="Q469" s="217"/>
      <c r="R469" s="217"/>
      <c r="S469" s="217"/>
      <c r="T469" s="217"/>
      <c r="U469" s="217"/>
      <c r="V469" s="217"/>
      <c r="W469" s="217"/>
      <c r="X469" s="217"/>
      <c r="Y469" s="217"/>
      <c r="Z469" s="217"/>
    </row>
    <row r="470" ht="15.75" customHeight="1">
      <c r="A470" s="217"/>
      <c r="B470" s="217"/>
      <c r="C470" s="217"/>
      <c r="D470" s="217"/>
      <c r="E470" s="217"/>
      <c r="F470" s="217"/>
      <c r="G470" s="217"/>
      <c r="H470" s="217"/>
      <c r="I470" s="217"/>
      <c r="J470" s="217"/>
      <c r="K470" s="217"/>
      <c r="L470" s="217"/>
      <c r="M470" s="217"/>
      <c r="N470" s="217"/>
      <c r="O470" s="217"/>
      <c r="P470" s="217"/>
      <c r="Q470" s="217"/>
      <c r="R470" s="217"/>
      <c r="S470" s="217"/>
      <c r="T470" s="217"/>
      <c r="U470" s="217"/>
      <c r="V470" s="217"/>
      <c r="W470" s="217"/>
      <c r="X470" s="217"/>
      <c r="Y470" s="217"/>
      <c r="Z470" s="217"/>
    </row>
    <row r="471" ht="15.75" customHeight="1">
      <c r="A471" s="217"/>
      <c r="B471" s="217"/>
      <c r="C471" s="217"/>
      <c r="D471" s="217"/>
      <c r="E471" s="217"/>
      <c r="F471" s="217"/>
      <c r="G471" s="217"/>
      <c r="H471" s="217"/>
      <c r="I471" s="217"/>
      <c r="J471" s="217"/>
      <c r="K471" s="217"/>
      <c r="L471" s="217"/>
      <c r="M471" s="217"/>
      <c r="N471" s="217"/>
      <c r="O471" s="217"/>
      <c r="P471" s="217"/>
      <c r="Q471" s="217"/>
      <c r="R471" s="217"/>
      <c r="S471" s="217"/>
      <c r="T471" s="217"/>
      <c r="U471" s="217"/>
      <c r="V471" s="217"/>
      <c r="W471" s="217"/>
      <c r="X471" s="217"/>
      <c r="Y471" s="217"/>
      <c r="Z471" s="217"/>
    </row>
    <row r="472" ht="15.75" customHeight="1">
      <c r="A472" s="217"/>
      <c r="B472" s="217"/>
      <c r="C472" s="217"/>
      <c r="D472" s="217"/>
      <c r="E472" s="217"/>
      <c r="F472" s="217"/>
      <c r="G472" s="217"/>
      <c r="H472" s="217"/>
      <c r="I472" s="217"/>
      <c r="J472" s="217"/>
      <c r="K472" s="217"/>
      <c r="L472" s="217"/>
      <c r="M472" s="217"/>
      <c r="N472" s="217"/>
      <c r="O472" s="217"/>
      <c r="P472" s="217"/>
      <c r="Q472" s="217"/>
      <c r="R472" s="217"/>
      <c r="S472" s="217"/>
      <c r="T472" s="217"/>
      <c r="U472" s="217"/>
      <c r="V472" s="217"/>
      <c r="W472" s="217"/>
      <c r="X472" s="217"/>
      <c r="Y472" s="217"/>
      <c r="Z472" s="217"/>
    </row>
    <row r="473" ht="15.75" customHeight="1">
      <c r="A473" s="217"/>
      <c r="B473" s="217"/>
      <c r="C473" s="217"/>
      <c r="D473" s="217"/>
      <c r="E473" s="217"/>
      <c r="F473" s="217"/>
      <c r="G473" s="217"/>
      <c r="H473" s="217"/>
      <c r="I473" s="217"/>
      <c r="J473" s="217"/>
      <c r="K473" s="217"/>
      <c r="L473" s="217"/>
      <c r="M473" s="217"/>
      <c r="N473" s="217"/>
      <c r="O473" s="217"/>
      <c r="P473" s="217"/>
      <c r="Q473" s="217"/>
      <c r="R473" s="217"/>
      <c r="S473" s="217"/>
      <c r="T473" s="217"/>
      <c r="U473" s="217"/>
      <c r="V473" s="217"/>
      <c r="W473" s="217"/>
      <c r="X473" s="217"/>
      <c r="Y473" s="217"/>
      <c r="Z473" s="217"/>
    </row>
    <row r="474" ht="15.75" customHeight="1">
      <c r="A474" s="217"/>
      <c r="B474" s="217"/>
      <c r="C474" s="217"/>
      <c r="D474" s="217"/>
      <c r="E474" s="217"/>
      <c r="F474" s="217"/>
      <c r="G474" s="217"/>
      <c r="H474" s="217"/>
      <c r="I474" s="217"/>
      <c r="J474" s="217"/>
      <c r="K474" s="217"/>
      <c r="L474" s="217"/>
      <c r="M474" s="217"/>
      <c r="N474" s="217"/>
      <c r="O474" s="217"/>
      <c r="P474" s="217"/>
      <c r="Q474" s="217"/>
      <c r="R474" s="217"/>
      <c r="S474" s="217"/>
      <c r="T474" s="217"/>
      <c r="U474" s="217"/>
      <c r="V474" s="217"/>
      <c r="W474" s="217"/>
      <c r="X474" s="217"/>
      <c r="Y474" s="217"/>
      <c r="Z474" s="217"/>
    </row>
    <row r="475" ht="15.75" customHeight="1">
      <c r="A475" s="217"/>
      <c r="B475" s="217"/>
      <c r="C475" s="217"/>
      <c r="D475" s="217"/>
      <c r="E475" s="217"/>
      <c r="F475" s="217"/>
      <c r="G475" s="217"/>
      <c r="H475" s="217"/>
      <c r="I475" s="217"/>
      <c r="J475" s="217"/>
      <c r="K475" s="217"/>
      <c r="L475" s="217"/>
      <c r="M475" s="217"/>
      <c r="N475" s="217"/>
      <c r="O475" s="217"/>
      <c r="P475" s="217"/>
      <c r="Q475" s="217"/>
      <c r="R475" s="217"/>
      <c r="S475" s="217"/>
      <c r="T475" s="217"/>
      <c r="U475" s="217"/>
      <c r="V475" s="217"/>
      <c r="W475" s="217"/>
      <c r="X475" s="217"/>
      <c r="Y475" s="217"/>
      <c r="Z475" s="217"/>
    </row>
    <row r="476" ht="15.75" customHeight="1">
      <c r="A476" s="217"/>
      <c r="B476" s="217"/>
      <c r="C476" s="217"/>
      <c r="D476" s="217"/>
      <c r="E476" s="217"/>
      <c r="F476" s="217"/>
      <c r="G476" s="217"/>
      <c r="H476" s="217"/>
      <c r="I476" s="217"/>
      <c r="J476" s="217"/>
      <c r="K476" s="217"/>
      <c r="L476" s="217"/>
      <c r="M476" s="217"/>
      <c r="N476" s="217"/>
      <c r="O476" s="217"/>
      <c r="P476" s="217"/>
      <c r="Q476" s="217"/>
      <c r="R476" s="217"/>
      <c r="S476" s="217"/>
      <c r="T476" s="217"/>
      <c r="U476" s="217"/>
      <c r="V476" s="217"/>
      <c r="W476" s="217"/>
      <c r="X476" s="217"/>
      <c r="Y476" s="217"/>
      <c r="Z476" s="217"/>
    </row>
    <row r="477" ht="15.75" customHeight="1">
      <c r="A477" s="217"/>
      <c r="B477" s="217"/>
      <c r="C477" s="217"/>
      <c r="D477" s="217"/>
      <c r="E477" s="217"/>
      <c r="F477" s="217"/>
      <c r="G477" s="217"/>
      <c r="H477" s="217"/>
      <c r="I477" s="217"/>
      <c r="J477" s="217"/>
      <c r="K477" s="217"/>
      <c r="L477" s="217"/>
      <c r="M477" s="217"/>
      <c r="N477" s="217"/>
      <c r="O477" s="217"/>
      <c r="P477" s="217"/>
      <c r="Q477" s="217"/>
      <c r="R477" s="217"/>
      <c r="S477" s="217"/>
      <c r="T477" s="217"/>
      <c r="U477" s="217"/>
      <c r="V477" s="217"/>
      <c r="W477" s="217"/>
      <c r="X477" s="217"/>
      <c r="Y477" s="217"/>
      <c r="Z477" s="217"/>
    </row>
    <row r="478" ht="15.75" customHeight="1">
      <c r="A478" s="217"/>
      <c r="B478" s="217"/>
      <c r="C478" s="217"/>
      <c r="D478" s="217"/>
      <c r="E478" s="217"/>
      <c r="F478" s="217"/>
      <c r="G478" s="217"/>
      <c r="H478" s="217"/>
      <c r="I478" s="217"/>
      <c r="J478" s="217"/>
      <c r="K478" s="217"/>
      <c r="L478" s="217"/>
      <c r="M478" s="217"/>
      <c r="N478" s="217"/>
      <c r="O478" s="217"/>
      <c r="P478" s="217"/>
      <c r="Q478" s="217"/>
      <c r="R478" s="217"/>
      <c r="S478" s="217"/>
      <c r="T478" s="217"/>
      <c r="U478" s="217"/>
      <c r="V478" s="217"/>
      <c r="W478" s="217"/>
      <c r="X478" s="217"/>
      <c r="Y478" s="217"/>
      <c r="Z478" s="217"/>
    </row>
    <row r="479" ht="15.75" customHeight="1">
      <c r="A479" s="217"/>
      <c r="B479" s="217"/>
      <c r="C479" s="217"/>
      <c r="D479" s="217"/>
      <c r="E479" s="217"/>
      <c r="F479" s="217"/>
      <c r="G479" s="217"/>
      <c r="H479" s="217"/>
      <c r="I479" s="217"/>
      <c r="J479" s="217"/>
      <c r="K479" s="217"/>
      <c r="L479" s="217"/>
      <c r="M479" s="217"/>
      <c r="N479" s="217"/>
      <c r="O479" s="217"/>
      <c r="P479" s="217"/>
      <c r="Q479" s="217"/>
      <c r="R479" s="217"/>
      <c r="S479" s="217"/>
      <c r="T479" s="217"/>
      <c r="U479" s="217"/>
      <c r="V479" s="217"/>
      <c r="W479" s="217"/>
      <c r="X479" s="217"/>
      <c r="Y479" s="217"/>
      <c r="Z479" s="217"/>
    </row>
    <row r="480" ht="15.75" customHeight="1">
      <c r="A480" s="217"/>
      <c r="B480" s="217"/>
      <c r="C480" s="217"/>
      <c r="D480" s="217"/>
      <c r="E480" s="217"/>
      <c r="F480" s="217"/>
      <c r="G480" s="217"/>
      <c r="H480" s="217"/>
      <c r="I480" s="217"/>
      <c r="J480" s="217"/>
      <c r="K480" s="217"/>
      <c r="L480" s="217"/>
      <c r="M480" s="217"/>
      <c r="N480" s="217"/>
      <c r="O480" s="217"/>
      <c r="P480" s="217"/>
      <c r="Q480" s="217"/>
      <c r="R480" s="217"/>
      <c r="S480" s="217"/>
      <c r="T480" s="217"/>
      <c r="U480" s="217"/>
      <c r="V480" s="217"/>
      <c r="W480" s="217"/>
      <c r="X480" s="217"/>
      <c r="Y480" s="217"/>
      <c r="Z480" s="217"/>
    </row>
    <row r="481" ht="15.75" customHeight="1">
      <c r="A481" s="217"/>
      <c r="B481" s="217"/>
      <c r="C481" s="217"/>
      <c r="D481" s="217"/>
      <c r="E481" s="217"/>
      <c r="F481" s="217"/>
      <c r="G481" s="217"/>
      <c r="H481" s="217"/>
      <c r="I481" s="217"/>
      <c r="J481" s="217"/>
      <c r="K481" s="217"/>
      <c r="L481" s="217"/>
      <c r="M481" s="217"/>
      <c r="N481" s="217"/>
      <c r="O481" s="217"/>
      <c r="P481" s="217"/>
      <c r="Q481" s="217"/>
      <c r="R481" s="217"/>
      <c r="S481" s="217"/>
      <c r="T481" s="217"/>
      <c r="U481" s="217"/>
      <c r="V481" s="217"/>
      <c r="W481" s="217"/>
      <c r="X481" s="217"/>
      <c r="Y481" s="217"/>
      <c r="Z481" s="217"/>
    </row>
    <row r="482" ht="15.75" customHeight="1">
      <c r="A482" s="217"/>
      <c r="B482" s="217"/>
      <c r="C482" s="217"/>
      <c r="D482" s="217"/>
      <c r="E482" s="217"/>
      <c r="F482" s="217"/>
      <c r="G482" s="217"/>
      <c r="H482" s="217"/>
      <c r="I482" s="217"/>
      <c r="J482" s="217"/>
      <c r="K482" s="217"/>
      <c r="L482" s="217"/>
      <c r="M482" s="217"/>
      <c r="N482" s="217"/>
      <c r="O482" s="217"/>
      <c r="P482" s="217"/>
      <c r="Q482" s="217"/>
      <c r="R482" s="217"/>
      <c r="S482" s="217"/>
      <c r="T482" s="217"/>
      <c r="U482" s="217"/>
      <c r="V482" s="217"/>
      <c r="W482" s="217"/>
      <c r="X482" s="217"/>
      <c r="Y482" s="217"/>
      <c r="Z482" s="217"/>
    </row>
    <row r="483" ht="15.75" customHeight="1">
      <c r="A483" s="217"/>
      <c r="B483" s="217"/>
      <c r="C483" s="217"/>
      <c r="D483" s="217"/>
      <c r="E483" s="217"/>
      <c r="F483" s="217"/>
      <c r="G483" s="217"/>
      <c r="H483" s="217"/>
      <c r="I483" s="217"/>
      <c r="J483" s="217"/>
      <c r="K483" s="217"/>
      <c r="L483" s="217"/>
      <c r="M483" s="217"/>
      <c r="N483" s="217"/>
      <c r="O483" s="217"/>
      <c r="P483" s="217"/>
      <c r="Q483" s="217"/>
      <c r="R483" s="217"/>
      <c r="S483" s="217"/>
      <c r="T483" s="217"/>
      <c r="U483" s="217"/>
      <c r="V483" s="217"/>
      <c r="W483" s="217"/>
      <c r="X483" s="217"/>
      <c r="Y483" s="217"/>
      <c r="Z483" s="217"/>
    </row>
    <row r="484" ht="15.75" customHeight="1">
      <c r="A484" s="217"/>
      <c r="B484" s="217"/>
      <c r="C484" s="217"/>
      <c r="D484" s="217"/>
      <c r="E484" s="217"/>
      <c r="F484" s="217"/>
      <c r="G484" s="217"/>
      <c r="H484" s="217"/>
      <c r="I484" s="217"/>
      <c r="J484" s="217"/>
      <c r="K484" s="217"/>
      <c r="L484" s="217"/>
      <c r="M484" s="217"/>
      <c r="N484" s="217"/>
      <c r="O484" s="217"/>
      <c r="P484" s="217"/>
      <c r="Q484" s="217"/>
      <c r="R484" s="217"/>
      <c r="S484" s="217"/>
      <c r="T484" s="217"/>
      <c r="U484" s="217"/>
      <c r="V484" s="217"/>
      <c r="W484" s="217"/>
      <c r="X484" s="217"/>
      <c r="Y484" s="217"/>
      <c r="Z484" s="217"/>
    </row>
    <row r="485" ht="15.75" customHeight="1">
      <c r="A485" s="217"/>
      <c r="B485" s="217"/>
      <c r="C485" s="217"/>
      <c r="D485" s="217"/>
      <c r="E485" s="217"/>
      <c r="F485" s="217"/>
      <c r="G485" s="217"/>
      <c r="H485" s="217"/>
      <c r="I485" s="217"/>
      <c r="J485" s="217"/>
      <c r="K485" s="217"/>
      <c r="L485" s="217"/>
      <c r="M485" s="217"/>
      <c r="N485" s="217"/>
      <c r="O485" s="217"/>
      <c r="P485" s="217"/>
      <c r="Q485" s="217"/>
      <c r="R485" s="217"/>
      <c r="S485" s="217"/>
      <c r="T485" s="217"/>
      <c r="U485" s="217"/>
      <c r="V485" s="217"/>
      <c r="W485" s="217"/>
      <c r="X485" s="217"/>
      <c r="Y485" s="217"/>
      <c r="Z485" s="217"/>
    </row>
    <row r="486" ht="15.75" customHeight="1">
      <c r="A486" s="217"/>
      <c r="B486" s="217"/>
      <c r="C486" s="217"/>
      <c r="D486" s="217"/>
      <c r="E486" s="217"/>
      <c r="F486" s="217"/>
      <c r="G486" s="217"/>
      <c r="H486" s="217"/>
      <c r="I486" s="217"/>
      <c r="J486" s="217"/>
      <c r="K486" s="217"/>
      <c r="L486" s="217"/>
      <c r="M486" s="217"/>
      <c r="N486" s="217"/>
      <c r="O486" s="217"/>
      <c r="P486" s="217"/>
      <c r="Q486" s="217"/>
      <c r="R486" s="217"/>
      <c r="S486" s="217"/>
      <c r="T486" s="217"/>
      <c r="U486" s="217"/>
      <c r="V486" s="217"/>
      <c r="W486" s="217"/>
      <c r="X486" s="217"/>
      <c r="Y486" s="217"/>
      <c r="Z486" s="217"/>
    </row>
    <row r="487" ht="15.75" customHeight="1">
      <c r="A487" s="217"/>
      <c r="B487" s="217"/>
      <c r="C487" s="217"/>
      <c r="D487" s="217"/>
      <c r="E487" s="217"/>
      <c r="F487" s="217"/>
      <c r="G487" s="217"/>
      <c r="H487" s="217"/>
      <c r="I487" s="217"/>
      <c r="J487" s="217"/>
      <c r="K487" s="217"/>
      <c r="L487" s="217"/>
      <c r="M487" s="217"/>
      <c r="N487" s="217"/>
      <c r="O487" s="217"/>
      <c r="P487" s="217"/>
      <c r="Q487" s="217"/>
      <c r="R487" s="217"/>
      <c r="S487" s="217"/>
      <c r="T487" s="217"/>
      <c r="U487" s="217"/>
      <c r="V487" s="217"/>
      <c r="W487" s="217"/>
      <c r="X487" s="217"/>
      <c r="Y487" s="217"/>
      <c r="Z487" s="217"/>
    </row>
    <row r="488" ht="15.75" customHeight="1">
      <c r="A488" s="217"/>
      <c r="B488" s="217"/>
      <c r="C488" s="217"/>
      <c r="D488" s="217"/>
      <c r="E488" s="217"/>
      <c r="F488" s="217"/>
      <c r="G488" s="217"/>
      <c r="H488" s="217"/>
      <c r="I488" s="217"/>
      <c r="J488" s="217"/>
      <c r="K488" s="217"/>
      <c r="L488" s="217"/>
      <c r="M488" s="217"/>
      <c r="N488" s="217"/>
      <c r="O488" s="217"/>
      <c r="P488" s="217"/>
      <c r="Q488" s="217"/>
      <c r="R488" s="217"/>
      <c r="S488" s="217"/>
      <c r="T488" s="217"/>
      <c r="U488" s="217"/>
      <c r="V488" s="217"/>
      <c r="W488" s="217"/>
      <c r="X488" s="217"/>
      <c r="Y488" s="217"/>
      <c r="Z488" s="217"/>
    </row>
    <row r="489" ht="15.75" customHeight="1">
      <c r="A489" s="217"/>
      <c r="B489" s="217"/>
      <c r="C489" s="217"/>
      <c r="D489" s="217"/>
      <c r="E489" s="217"/>
      <c r="F489" s="217"/>
      <c r="G489" s="217"/>
      <c r="H489" s="217"/>
      <c r="I489" s="217"/>
      <c r="J489" s="217"/>
      <c r="K489" s="217"/>
      <c r="L489" s="217"/>
      <c r="M489" s="217"/>
      <c r="N489" s="217"/>
      <c r="O489" s="217"/>
      <c r="P489" s="217"/>
      <c r="Q489" s="217"/>
      <c r="R489" s="217"/>
      <c r="S489" s="217"/>
      <c r="T489" s="217"/>
      <c r="U489" s="217"/>
      <c r="V489" s="217"/>
      <c r="W489" s="217"/>
      <c r="X489" s="217"/>
      <c r="Y489" s="217"/>
      <c r="Z489" s="217"/>
    </row>
    <row r="490" ht="15.75" customHeight="1">
      <c r="A490" s="217"/>
      <c r="B490" s="217"/>
      <c r="C490" s="217"/>
      <c r="D490" s="217"/>
      <c r="E490" s="217"/>
      <c r="F490" s="217"/>
      <c r="G490" s="217"/>
      <c r="H490" s="217"/>
      <c r="I490" s="217"/>
      <c r="J490" s="217"/>
      <c r="K490" s="217"/>
      <c r="L490" s="217"/>
      <c r="M490" s="217"/>
      <c r="N490" s="217"/>
      <c r="O490" s="217"/>
      <c r="P490" s="217"/>
      <c r="Q490" s="217"/>
      <c r="R490" s="217"/>
      <c r="S490" s="217"/>
      <c r="T490" s="217"/>
      <c r="U490" s="217"/>
      <c r="V490" s="217"/>
      <c r="W490" s="217"/>
      <c r="X490" s="217"/>
      <c r="Y490" s="217"/>
      <c r="Z490" s="217"/>
    </row>
    <row r="491" ht="15.75" customHeight="1">
      <c r="A491" s="217"/>
      <c r="B491" s="217"/>
      <c r="C491" s="217"/>
      <c r="D491" s="217"/>
      <c r="E491" s="217"/>
      <c r="F491" s="217"/>
      <c r="G491" s="217"/>
      <c r="H491" s="217"/>
      <c r="I491" s="217"/>
      <c r="J491" s="217"/>
      <c r="K491" s="217"/>
      <c r="L491" s="217"/>
      <c r="M491" s="217"/>
      <c r="N491" s="217"/>
      <c r="O491" s="217"/>
      <c r="P491" s="217"/>
      <c r="Q491" s="217"/>
      <c r="R491" s="217"/>
      <c r="S491" s="217"/>
      <c r="T491" s="217"/>
      <c r="U491" s="217"/>
      <c r="V491" s="217"/>
      <c r="W491" s="217"/>
      <c r="X491" s="217"/>
      <c r="Y491" s="217"/>
      <c r="Z491" s="217"/>
    </row>
    <row r="492" ht="15.75" customHeight="1">
      <c r="A492" s="217"/>
      <c r="B492" s="217"/>
      <c r="C492" s="217"/>
      <c r="D492" s="217"/>
      <c r="E492" s="217"/>
      <c r="F492" s="217"/>
      <c r="G492" s="217"/>
      <c r="H492" s="217"/>
      <c r="I492" s="217"/>
      <c r="J492" s="217"/>
      <c r="K492" s="217"/>
      <c r="L492" s="217"/>
      <c r="M492" s="217"/>
      <c r="N492" s="217"/>
      <c r="O492" s="217"/>
      <c r="P492" s="217"/>
      <c r="Q492" s="217"/>
      <c r="R492" s="217"/>
      <c r="S492" s="217"/>
      <c r="T492" s="217"/>
      <c r="U492" s="217"/>
      <c r="V492" s="217"/>
      <c r="W492" s="217"/>
      <c r="X492" s="217"/>
      <c r="Y492" s="217"/>
      <c r="Z492" s="217"/>
    </row>
    <row r="493" ht="15.75" customHeight="1">
      <c r="A493" s="217"/>
      <c r="B493" s="217"/>
      <c r="C493" s="217"/>
      <c r="D493" s="217"/>
      <c r="E493" s="217"/>
      <c r="F493" s="217"/>
      <c r="G493" s="217"/>
      <c r="H493" s="217"/>
      <c r="I493" s="217"/>
      <c r="J493" s="217"/>
      <c r="K493" s="217"/>
      <c r="L493" s="217"/>
      <c r="M493" s="217"/>
      <c r="N493" s="217"/>
      <c r="O493" s="217"/>
      <c r="P493" s="217"/>
      <c r="Q493" s="217"/>
      <c r="R493" s="217"/>
      <c r="S493" s="217"/>
      <c r="T493" s="217"/>
      <c r="U493" s="217"/>
      <c r="V493" s="217"/>
      <c r="W493" s="217"/>
      <c r="X493" s="217"/>
      <c r="Y493" s="217"/>
      <c r="Z493" s="217"/>
    </row>
    <row r="494" ht="15.75" customHeight="1">
      <c r="A494" s="217"/>
      <c r="B494" s="217"/>
      <c r="C494" s="217"/>
      <c r="D494" s="217"/>
      <c r="E494" s="217"/>
      <c r="F494" s="217"/>
      <c r="G494" s="217"/>
      <c r="H494" s="217"/>
      <c r="I494" s="217"/>
      <c r="J494" s="217"/>
      <c r="K494" s="217"/>
      <c r="L494" s="217"/>
      <c r="M494" s="217"/>
      <c r="N494" s="217"/>
      <c r="O494" s="217"/>
      <c r="P494" s="217"/>
      <c r="Q494" s="217"/>
      <c r="R494" s="217"/>
      <c r="S494" s="217"/>
      <c r="T494" s="217"/>
      <c r="U494" s="217"/>
      <c r="V494" s="217"/>
      <c r="W494" s="217"/>
      <c r="X494" s="217"/>
      <c r="Y494" s="217"/>
      <c r="Z494" s="217"/>
    </row>
    <row r="495" ht="15.75" customHeight="1">
      <c r="A495" s="217"/>
      <c r="B495" s="217"/>
      <c r="C495" s="217"/>
      <c r="D495" s="217"/>
      <c r="E495" s="217"/>
      <c r="F495" s="217"/>
      <c r="G495" s="217"/>
      <c r="H495" s="217"/>
      <c r="I495" s="217"/>
      <c r="J495" s="217"/>
      <c r="K495" s="217"/>
      <c r="L495" s="217"/>
      <c r="M495" s="217"/>
      <c r="N495" s="217"/>
      <c r="O495" s="217"/>
      <c r="P495" s="217"/>
      <c r="Q495" s="217"/>
      <c r="R495" s="217"/>
      <c r="S495" s="217"/>
      <c r="T495" s="217"/>
      <c r="U495" s="217"/>
      <c r="V495" s="217"/>
      <c r="W495" s="217"/>
      <c r="X495" s="217"/>
      <c r="Y495" s="217"/>
      <c r="Z495" s="217"/>
    </row>
    <row r="496" ht="15.75" customHeight="1">
      <c r="A496" s="217"/>
      <c r="B496" s="217"/>
      <c r="C496" s="217"/>
      <c r="D496" s="217"/>
      <c r="E496" s="217"/>
      <c r="F496" s="217"/>
      <c r="G496" s="217"/>
      <c r="H496" s="217"/>
      <c r="I496" s="217"/>
      <c r="J496" s="217"/>
      <c r="K496" s="217"/>
      <c r="L496" s="217"/>
      <c r="M496" s="217"/>
      <c r="N496" s="217"/>
      <c r="O496" s="217"/>
      <c r="P496" s="217"/>
      <c r="Q496" s="217"/>
      <c r="R496" s="217"/>
      <c r="S496" s="217"/>
      <c r="T496" s="217"/>
      <c r="U496" s="217"/>
      <c r="V496" s="217"/>
      <c r="W496" s="217"/>
      <c r="X496" s="217"/>
      <c r="Y496" s="217"/>
      <c r="Z496" s="217"/>
    </row>
    <row r="497" ht="15.75" customHeight="1">
      <c r="A497" s="217"/>
      <c r="B497" s="217"/>
      <c r="C497" s="217"/>
      <c r="D497" s="217"/>
      <c r="E497" s="217"/>
      <c r="F497" s="217"/>
      <c r="G497" s="217"/>
      <c r="H497" s="217"/>
      <c r="I497" s="217"/>
      <c r="J497" s="217"/>
      <c r="K497" s="217"/>
      <c r="L497" s="217"/>
      <c r="M497" s="217"/>
      <c r="N497" s="217"/>
      <c r="O497" s="217"/>
      <c r="P497" s="217"/>
      <c r="Q497" s="217"/>
      <c r="R497" s="217"/>
      <c r="S497" s="217"/>
      <c r="T497" s="217"/>
      <c r="U497" s="217"/>
      <c r="V497" s="217"/>
      <c r="W497" s="217"/>
      <c r="X497" s="217"/>
      <c r="Y497" s="217"/>
      <c r="Z497" s="217"/>
    </row>
    <row r="498" ht="15.75" customHeight="1">
      <c r="A498" s="217"/>
      <c r="B498" s="217"/>
      <c r="C498" s="217"/>
      <c r="D498" s="217"/>
      <c r="E498" s="217"/>
      <c r="F498" s="217"/>
      <c r="G498" s="217"/>
      <c r="H498" s="217"/>
      <c r="I498" s="217"/>
      <c r="J498" s="217"/>
      <c r="K498" s="217"/>
      <c r="L498" s="217"/>
      <c r="M498" s="217"/>
      <c r="N498" s="217"/>
      <c r="O498" s="217"/>
      <c r="P498" s="217"/>
      <c r="Q498" s="217"/>
      <c r="R498" s="217"/>
      <c r="S498" s="217"/>
      <c r="T498" s="217"/>
      <c r="U498" s="217"/>
      <c r="V498" s="217"/>
      <c r="W498" s="217"/>
      <c r="X498" s="217"/>
      <c r="Y498" s="217"/>
      <c r="Z498" s="217"/>
    </row>
    <row r="499" ht="15.75" customHeight="1">
      <c r="A499" s="217"/>
      <c r="B499" s="217"/>
      <c r="C499" s="217"/>
      <c r="D499" s="217"/>
      <c r="E499" s="217"/>
      <c r="F499" s="217"/>
      <c r="G499" s="217"/>
      <c r="H499" s="217"/>
      <c r="I499" s="217"/>
      <c r="J499" s="217"/>
      <c r="K499" s="217"/>
      <c r="L499" s="217"/>
      <c r="M499" s="217"/>
      <c r="N499" s="217"/>
      <c r="O499" s="217"/>
      <c r="P499" s="217"/>
      <c r="Q499" s="217"/>
      <c r="R499" s="217"/>
      <c r="S499" s="217"/>
      <c r="T499" s="217"/>
      <c r="U499" s="217"/>
      <c r="V499" s="217"/>
      <c r="W499" s="217"/>
      <c r="X499" s="217"/>
      <c r="Y499" s="217"/>
      <c r="Z499" s="217"/>
    </row>
    <row r="500" ht="15.75" customHeight="1">
      <c r="A500" s="217"/>
      <c r="B500" s="217"/>
      <c r="C500" s="217"/>
      <c r="D500" s="217"/>
      <c r="E500" s="217"/>
      <c r="F500" s="217"/>
      <c r="G500" s="217"/>
      <c r="H500" s="217"/>
      <c r="I500" s="217"/>
      <c r="J500" s="217"/>
      <c r="K500" s="217"/>
      <c r="L500" s="217"/>
      <c r="M500" s="217"/>
      <c r="N500" s="217"/>
      <c r="O500" s="217"/>
      <c r="P500" s="217"/>
      <c r="Q500" s="217"/>
      <c r="R500" s="217"/>
      <c r="S500" s="217"/>
      <c r="T500" s="217"/>
      <c r="U500" s="217"/>
      <c r="V500" s="217"/>
      <c r="W500" s="217"/>
      <c r="X500" s="217"/>
      <c r="Y500" s="217"/>
      <c r="Z500" s="217"/>
    </row>
    <row r="501" ht="15.75" customHeight="1">
      <c r="A501" s="217"/>
      <c r="B501" s="217"/>
      <c r="C501" s="217"/>
      <c r="D501" s="217"/>
      <c r="E501" s="217"/>
      <c r="F501" s="217"/>
      <c r="G501" s="217"/>
      <c r="H501" s="217"/>
      <c r="I501" s="217"/>
      <c r="J501" s="217"/>
      <c r="K501" s="217"/>
      <c r="L501" s="217"/>
      <c r="M501" s="217"/>
      <c r="N501" s="217"/>
      <c r="O501" s="217"/>
      <c r="P501" s="217"/>
      <c r="Q501" s="217"/>
      <c r="R501" s="217"/>
      <c r="S501" s="217"/>
      <c r="T501" s="217"/>
      <c r="U501" s="217"/>
      <c r="V501" s="217"/>
      <c r="W501" s="217"/>
      <c r="X501" s="217"/>
      <c r="Y501" s="217"/>
      <c r="Z501" s="217"/>
    </row>
    <row r="502" ht="15.75" customHeight="1">
      <c r="A502" s="217"/>
      <c r="B502" s="217"/>
      <c r="C502" s="217"/>
      <c r="D502" s="217"/>
      <c r="E502" s="217"/>
      <c r="F502" s="217"/>
      <c r="G502" s="217"/>
      <c r="H502" s="217"/>
      <c r="I502" s="217"/>
      <c r="J502" s="217"/>
      <c r="K502" s="217"/>
      <c r="L502" s="217"/>
      <c r="M502" s="217"/>
      <c r="N502" s="217"/>
      <c r="O502" s="217"/>
      <c r="P502" s="217"/>
      <c r="Q502" s="217"/>
      <c r="R502" s="217"/>
      <c r="S502" s="217"/>
      <c r="T502" s="217"/>
      <c r="U502" s="217"/>
      <c r="V502" s="217"/>
      <c r="W502" s="217"/>
      <c r="X502" s="217"/>
      <c r="Y502" s="217"/>
      <c r="Z502" s="217"/>
    </row>
    <row r="503" ht="15.75" customHeight="1">
      <c r="A503" s="217"/>
      <c r="B503" s="217"/>
      <c r="C503" s="217"/>
      <c r="D503" s="217"/>
      <c r="E503" s="217"/>
      <c r="F503" s="217"/>
      <c r="G503" s="217"/>
      <c r="H503" s="217"/>
      <c r="I503" s="217"/>
      <c r="J503" s="217"/>
      <c r="K503" s="217"/>
      <c r="L503" s="217"/>
      <c r="M503" s="217"/>
      <c r="N503" s="217"/>
      <c r="O503" s="217"/>
      <c r="P503" s="217"/>
      <c r="Q503" s="217"/>
      <c r="R503" s="217"/>
      <c r="S503" s="217"/>
      <c r="T503" s="217"/>
      <c r="U503" s="217"/>
      <c r="V503" s="217"/>
      <c r="W503" s="217"/>
      <c r="X503" s="217"/>
      <c r="Y503" s="217"/>
      <c r="Z503" s="217"/>
    </row>
    <row r="504" ht="15.75" customHeight="1">
      <c r="A504" s="217"/>
      <c r="B504" s="217"/>
      <c r="C504" s="217"/>
      <c r="D504" s="217"/>
      <c r="E504" s="217"/>
      <c r="F504" s="217"/>
      <c r="G504" s="217"/>
      <c r="H504" s="217"/>
      <c r="I504" s="217"/>
      <c r="J504" s="217"/>
      <c r="K504" s="217"/>
      <c r="L504" s="217"/>
      <c r="M504" s="217"/>
      <c r="N504" s="217"/>
      <c r="O504" s="217"/>
      <c r="P504" s="217"/>
      <c r="Q504" s="217"/>
      <c r="R504" s="217"/>
      <c r="S504" s="217"/>
      <c r="T504" s="217"/>
      <c r="U504" s="217"/>
      <c r="V504" s="217"/>
      <c r="W504" s="217"/>
      <c r="X504" s="217"/>
      <c r="Y504" s="217"/>
      <c r="Z504" s="217"/>
    </row>
    <row r="505" ht="15.75" customHeight="1">
      <c r="A505" s="217"/>
      <c r="B505" s="217"/>
      <c r="C505" s="217"/>
      <c r="D505" s="217"/>
      <c r="E505" s="217"/>
      <c r="F505" s="217"/>
      <c r="G505" s="217"/>
      <c r="H505" s="217"/>
      <c r="I505" s="217"/>
      <c r="J505" s="217"/>
      <c r="K505" s="217"/>
      <c r="L505" s="217"/>
      <c r="M505" s="217"/>
      <c r="N505" s="217"/>
      <c r="O505" s="217"/>
      <c r="P505" s="217"/>
      <c r="Q505" s="217"/>
      <c r="R505" s="217"/>
      <c r="S505" s="217"/>
      <c r="T505" s="217"/>
      <c r="U505" s="217"/>
      <c r="V505" s="217"/>
      <c r="W505" s="217"/>
      <c r="X505" s="217"/>
      <c r="Y505" s="217"/>
      <c r="Z505" s="217"/>
    </row>
    <row r="506" ht="15.75" customHeight="1">
      <c r="A506" s="217"/>
      <c r="B506" s="217"/>
      <c r="C506" s="217"/>
      <c r="D506" s="217"/>
      <c r="E506" s="217"/>
      <c r="F506" s="217"/>
      <c r="G506" s="217"/>
      <c r="H506" s="217"/>
      <c r="I506" s="217"/>
      <c r="J506" s="217"/>
      <c r="K506" s="217"/>
      <c r="L506" s="217"/>
      <c r="M506" s="217"/>
      <c r="N506" s="217"/>
      <c r="O506" s="217"/>
      <c r="P506" s="217"/>
      <c r="Q506" s="217"/>
      <c r="R506" s="217"/>
      <c r="S506" s="217"/>
      <c r="T506" s="217"/>
      <c r="U506" s="217"/>
      <c r="V506" s="217"/>
      <c r="W506" s="217"/>
      <c r="X506" s="217"/>
      <c r="Y506" s="217"/>
      <c r="Z506" s="217"/>
    </row>
    <row r="507" ht="15.75" customHeight="1">
      <c r="A507" s="217"/>
      <c r="B507" s="217"/>
      <c r="C507" s="217"/>
      <c r="D507" s="217"/>
      <c r="E507" s="217"/>
      <c r="F507" s="217"/>
      <c r="G507" s="217"/>
      <c r="H507" s="217"/>
      <c r="I507" s="217"/>
      <c r="J507" s="217"/>
      <c r="K507" s="217"/>
      <c r="L507" s="217"/>
      <c r="M507" s="217"/>
      <c r="N507" s="217"/>
      <c r="O507" s="217"/>
      <c r="P507" s="217"/>
      <c r="Q507" s="217"/>
      <c r="R507" s="217"/>
      <c r="S507" s="217"/>
      <c r="T507" s="217"/>
      <c r="U507" s="217"/>
      <c r="V507" s="217"/>
      <c r="W507" s="217"/>
      <c r="X507" s="217"/>
      <c r="Y507" s="217"/>
      <c r="Z507" s="217"/>
    </row>
    <row r="508" ht="15.75" customHeight="1">
      <c r="A508" s="217"/>
      <c r="B508" s="217"/>
      <c r="C508" s="217"/>
      <c r="D508" s="217"/>
      <c r="E508" s="217"/>
      <c r="F508" s="217"/>
      <c r="G508" s="217"/>
      <c r="H508" s="217"/>
      <c r="I508" s="217"/>
      <c r="J508" s="217"/>
      <c r="K508" s="217"/>
      <c r="L508" s="217"/>
      <c r="M508" s="217"/>
      <c r="N508" s="217"/>
      <c r="O508" s="217"/>
      <c r="P508" s="217"/>
      <c r="Q508" s="217"/>
      <c r="R508" s="217"/>
      <c r="S508" s="217"/>
      <c r="T508" s="217"/>
      <c r="U508" s="217"/>
      <c r="V508" s="217"/>
      <c r="W508" s="217"/>
      <c r="X508" s="217"/>
      <c r="Y508" s="217"/>
      <c r="Z508" s="217"/>
    </row>
    <row r="509" ht="15.75" customHeight="1">
      <c r="A509" s="217"/>
      <c r="B509" s="217"/>
      <c r="C509" s="217"/>
      <c r="D509" s="217"/>
      <c r="E509" s="217"/>
      <c r="F509" s="217"/>
      <c r="G509" s="217"/>
      <c r="H509" s="217"/>
      <c r="I509" s="217"/>
      <c r="J509" s="217"/>
      <c r="K509" s="217"/>
      <c r="L509" s="217"/>
      <c r="M509" s="217"/>
      <c r="N509" s="217"/>
      <c r="O509" s="217"/>
      <c r="P509" s="217"/>
      <c r="Q509" s="217"/>
      <c r="R509" s="217"/>
      <c r="S509" s="217"/>
      <c r="T509" s="217"/>
      <c r="U509" s="217"/>
      <c r="V509" s="217"/>
      <c r="W509" s="217"/>
      <c r="X509" s="217"/>
      <c r="Y509" s="217"/>
      <c r="Z509" s="217"/>
    </row>
    <row r="510" ht="15.75" customHeight="1">
      <c r="A510" s="217"/>
      <c r="B510" s="217"/>
      <c r="C510" s="217"/>
      <c r="D510" s="217"/>
      <c r="E510" s="217"/>
      <c r="F510" s="217"/>
      <c r="G510" s="217"/>
      <c r="H510" s="217"/>
      <c r="I510" s="217"/>
      <c r="J510" s="217"/>
      <c r="K510" s="217"/>
      <c r="L510" s="217"/>
      <c r="M510" s="217"/>
      <c r="N510" s="217"/>
      <c r="O510" s="217"/>
      <c r="P510" s="217"/>
      <c r="Q510" s="217"/>
      <c r="R510" s="217"/>
      <c r="S510" s="217"/>
      <c r="T510" s="217"/>
      <c r="U510" s="217"/>
      <c r="V510" s="217"/>
      <c r="W510" s="217"/>
      <c r="X510" s="217"/>
      <c r="Y510" s="217"/>
      <c r="Z510" s="217"/>
    </row>
    <row r="511" ht="15.75" customHeight="1">
      <c r="A511" s="217"/>
      <c r="B511" s="217"/>
      <c r="C511" s="217"/>
      <c r="D511" s="217"/>
      <c r="E511" s="217"/>
      <c r="F511" s="217"/>
      <c r="G511" s="217"/>
      <c r="H511" s="217"/>
      <c r="I511" s="217"/>
      <c r="J511" s="217"/>
      <c r="K511" s="217"/>
      <c r="L511" s="217"/>
      <c r="M511" s="217"/>
      <c r="N511" s="217"/>
      <c r="O511" s="217"/>
      <c r="P511" s="217"/>
      <c r="Q511" s="217"/>
      <c r="R511" s="217"/>
      <c r="S511" s="217"/>
      <c r="T511" s="217"/>
      <c r="U511" s="217"/>
      <c r="V511" s="217"/>
      <c r="W511" s="217"/>
      <c r="X511" s="217"/>
      <c r="Y511" s="217"/>
      <c r="Z511" s="217"/>
    </row>
    <row r="512" ht="15.75" customHeight="1">
      <c r="A512" s="217"/>
      <c r="B512" s="217"/>
      <c r="C512" s="217"/>
      <c r="D512" s="217"/>
      <c r="E512" s="217"/>
      <c r="F512" s="217"/>
      <c r="G512" s="217"/>
      <c r="H512" s="217"/>
      <c r="I512" s="217"/>
      <c r="J512" s="217"/>
      <c r="K512" s="217"/>
      <c r="L512" s="217"/>
      <c r="M512" s="217"/>
      <c r="N512" s="217"/>
      <c r="O512" s="217"/>
      <c r="P512" s="217"/>
      <c r="Q512" s="217"/>
      <c r="R512" s="217"/>
      <c r="S512" s="217"/>
      <c r="T512" s="217"/>
      <c r="U512" s="217"/>
      <c r="V512" s="217"/>
      <c r="W512" s="217"/>
      <c r="X512" s="217"/>
      <c r="Y512" s="217"/>
      <c r="Z512" s="217"/>
    </row>
    <row r="513" ht="15.75" customHeight="1">
      <c r="A513" s="217"/>
      <c r="B513" s="217"/>
      <c r="C513" s="217"/>
      <c r="D513" s="217"/>
      <c r="E513" s="217"/>
      <c r="F513" s="217"/>
      <c r="G513" s="217"/>
      <c r="H513" s="217"/>
      <c r="I513" s="217"/>
      <c r="J513" s="217"/>
      <c r="K513" s="217"/>
      <c r="L513" s="217"/>
      <c r="M513" s="217"/>
      <c r="N513" s="217"/>
      <c r="O513" s="217"/>
      <c r="P513" s="217"/>
      <c r="Q513" s="217"/>
      <c r="R513" s="217"/>
      <c r="S513" s="217"/>
      <c r="T513" s="217"/>
      <c r="U513" s="217"/>
      <c r="V513" s="217"/>
      <c r="W513" s="217"/>
      <c r="X513" s="217"/>
      <c r="Y513" s="217"/>
      <c r="Z513" s="217"/>
    </row>
    <row r="514" ht="15.75" customHeight="1">
      <c r="A514" s="217"/>
      <c r="B514" s="217"/>
      <c r="C514" s="217"/>
      <c r="D514" s="217"/>
      <c r="E514" s="217"/>
      <c r="F514" s="217"/>
      <c r="G514" s="217"/>
      <c r="H514" s="217"/>
      <c r="I514" s="217"/>
      <c r="J514" s="217"/>
      <c r="K514" s="217"/>
      <c r="L514" s="217"/>
      <c r="M514" s="217"/>
      <c r="N514" s="217"/>
      <c r="O514" s="217"/>
      <c r="P514" s="217"/>
      <c r="Q514" s="217"/>
      <c r="R514" s="217"/>
      <c r="S514" s="217"/>
      <c r="T514" s="217"/>
      <c r="U514" s="217"/>
      <c r="V514" s="217"/>
      <c r="W514" s="217"/>
      <c r="X514" s="217"/>
      <c r="Y514" s="217"/>
      <c r="Z514" s="217"/>
    </row>
    <row r="515" ht="15.75" customHeight="1">
      <c r="A515" s="217"/>
      <c r="B515" s="217"/>
      <c r="C515" s="217"/>
      <c r="D515" s="217"/>
      <c r="E515" s="217"/>
      <c r="F515" s="217"/>
      <c r="G515" s="217"/>
      <c r="H515" s="217"/>
      <c r="I515" s="217"/>
      <c r="J515" s="217"/>
      <c r="K515" s="217"/>
      <c r="L515" s="217"/>
      <c r="M515" s="217"/>
      <c r="N515" s="217"/>
      <c r="O515" s="217"/>
      <c r="P515" s="217"/>
      <c r="Q515" s="217"/>
      <c r="R515" s="217"/>
      <c r="S515" s="217"/>
      <c r="T515" s="217"/>
      <c r="U515" s="217"/>
      <c r="V515" s="217"/>
      <c r="W515" s="217"/>
      <c r="X515" s="217"/>
      <c r="Y515" s="217"/>
      <c r="Z515" s="217"/>
    </row>
    <row r="516" ht="15.75" customHeight="1">
      <c r="A516" s="217"/>
      <c r="B516" s="217"/>
      <c r="C516" s="217"/>
      <c r="D516" s="217"/>
      <c r="E516" s="217"/>
      <c r="F516" s="217"/>
      <c r="G516" s="217"/>
      <c r="H516" s="217"/>
      <c r="I516" s="217"/>
      <c r="J516" s="217"/>
      <c r="K516" s="217"/>
      <c r="L516" s="217"/>
      <c r="M516" s="217"/>
      <c r="N516" s="217"/>
      <c r="O516" s="217"/>
      <c r="P516" s="217"/>
      <c r="Q516" s="217"/>
      <c r="R516" s="217"/>
      <c r="S516" s="217"/>
      <c r="T516" s="217"/>
      <c r="U516" s="217"/>
      <c r="V516" s="217"/>
      <c r="W516" s="217"/>
      <c r="X516" s="217"/>
      <c r="Y516" s="217"/>
      <c r="Z516" s="217"/>
    </row>
    <row r="517" ht="15.75" customHeight="1">
      <c r="A517" s="217"/>
      <c r="B517" s="217"/>
      <c r="C517" s="217"/>
      <c r="D517" s="217"/>
      <c r="E517" s="217"/>
      <c r="F517" s="217"/>
      <c r="G517" s="217"/>
      <c r="H517" s="217"/>
      <c r="I517" s="217"/>
      <c r="J517" s="217"/>
      <c r="K517" s="217"/>
      <c r="L517" s="217"/>
      <c r="M517" s="217"/>
      <c r="N517" s="217"/>
      <c r="O517" s="217"/>
      <c r="P517" s="217"/>
      <c r="Q517" s="217"/>
      <c r="R517" s="217"/>
      <c r="S517" s="217"/>
      <c r="T517" s="217"/>
      <c r="U517" s="217"/>
      <c r="V517" s="217"/>
      <c r="W517" s="217"/>
      <c r="X517" s="217"/>
      <c r="Y517" s="217"/>
      <c r="Z517" s="217"/>
    </row>
    <row r="518" ht="15.75" customHeight="1">
      <c r="A518" s="217"/>
      <c r="B518" s="217"/>
      <c r="C518" s="217"/>
      <c r="D518" s="217"/>
      <c r="E518" s="217"/>
      <c r="F518" s="217"/>
      <c r="G518" s="217"/>
      <c r="H518" s="217"/>
      <c r="I518" s="217"/>
      <c r="J518" s="217"/>
      <c r="K518" s="217"/>
      <c r="L518" s="217"/>
      <c r="M518" s="217"/>
      <c r="N518" s="217"/>
      <c r="O518" s="217"/>
      <c r="P518" s="217"/>
      <c r="Q518" s="217"/>
      <c r="R518" s="217"/>
      <c r="S518" s="217"/>
      <c r="T518" s="217"/>
      <c r="U518" s="217"/>
      <c r="V518" s="217"/>
      <c r="W518" s="217"/>
      <c r="X518" s="217"/>
      <c r="Y518" s="217"/>
      <c r="Z518" s="217"/>
    </row>
    <row r="519" ht="15.75" customHeight="1">
      <c r="A519" s="217"/>
      <c r="B519" s="217"/>
      <c r="C519" s="217"/>
      <c r="D519" s="217"/>
      <c r="E519" s="217"/>
      <c r="F519" s="217"/>
      <c r="G519" s="217"/>
      <c r="H519" s="217"/>
      <c r="I519" s="217"/>
      <c r="J519" s="217"/>
      <c r="K519" s="217"/>
      <c r="L519" s="217"/>
      <c r="M519" s="217"/>
      <c r="N519" s="217"/>
      <c r="O519" s="217"/>
      <c r="P519" s="217"/>
      <c r="Q519" s="217"/>
      <c r="R519" s="217"/>
      <c r="S519" s="217"/>
      <c r="T519" s="217"/>
      <c r="U519" s="217"/>
      <c r="V519" s="217"/>
      <c r="W519" s="217"/>
      <c r="X519" s="217"/>
      <c r="Y519" s="217"/>
      <c r="Z519" s="217"/>
    </row>
    <row r="520" ht="15.75" customHeight="1">
      <c r="A520" s="217"/>
      <c r="B520" s="217"/>
      <c r="C520" s="217"/>
      <c r="D520" s="217"/>
      <c r="E520" s="217"/>
      <c r="F520" s="217"/>
      <c r="G520" s="217"/>
      <c r="H520" s="217"/>
      <c r="I520" s="217"/>
      <c r="J520" s="217"/>
      <c r="K520" s="217"/>
      <c r="L520" s="217"/>
      <c r="M520" s="217"/>
      <c r="N520" s="217"/>
      <c r="O520" s="217"/>
      <c r="P520" s="217"/>
      <c r="Q520" s="217"/>
      <c r="R520" s="217"/>
      <c r="S520" s="217"/>
      <c r="T520" s="217"/>
      <c r="U520" s="217"/>
      <c r="V520" s="217"/>
      <c r="W520" s="217"/>
      <c r="X520" s="217"/>
      <c r="Y520" s="217"/>
      <c r="Z520" s="217"/>
    </row>
    <row r="521" ht="15.75" customHeight="1">
      <c r="A521" s="217"/>
      <c r="B521" s="217"/>
      <c r="C521" s="217"/>
      <c r="D521" s="217"/>
      <c r="E521" s="217"/>
      <c r="F521" s="217"/>
      <c r="G521" s="217"/>
      <c r="H521" s="217"/>
      <c r="I521" s="217"/>
      <c r="J521" s="217"/>
      <c r="K521" s="217"/>
      <c r="L521" s="217"/>
      <c r="M521" s="217"/>
      <c r="N521" s="217"/>
      <c r="O521" s="217"/>
      <c r="P521" s="217"/>
      <c r="Q521" s="217"/>
      <c r="R521" s="217"/>
      <c r="S521" s="217"/>
      <c r="T521" s="217"/>
      <c r="U521" s="217"/>
      <c r="V521" s="217"/>
      <c r="W521" s="217"/>
      <c r="X521" s="217"/>
      <c r="Y521" s="217"/>
      <c r="Z521" s="217"/>
    </row>
    <row r="522" ht="15.75" customHeight="1">
      <c r="A522" s="217"/>
      <c r="B522" s="217"/>
      <c r="C522" s="217"/>
      <c r="D522" s="217"/>
      <c r="E522" s="217"/>
      <c r="F522" s="217"/>
      <c r="G522" s="217"/>
      <c r="H522" s="217"/>
      <c r="I522" s="217"/>
      <c r="J522" s="217"/>
      <c r="K522" s="217"/>
      <c r="L522" s="217"/>
      <c r="M522" s="217"/>
      <c r="N522" s="217"/>
      <c r="O522" s="217"/>
      <c r="P522" s="217"/>
      <c r="Q522" s="217"/>
      <c r="R522" s="217"/>
      <c r="S522" s="217"/>
      <c r="T522" s="217"/>
      <c r="U522" s="217"/>
      <c r="V522" s="217"/>
      <c r="W522" s="217"/>
      <c r="X522" s="217"/>
      <c r="Y522" s="217"/>
      <c r="Z522" s="217"/>
    </row>
    <row r="523" ht="15.75" customHeight="1">
      <c r="A523" s="217"/>
      <c r="B523" s="217"/>
      <c r="C523" s="217"/>
      <c r="D523" s="217"/>
      <c r="E523" s="217"/>
      <c r="F523" s="217"/>
      <c r="G523" s="217"/>
      <c r="H523" s="217"/>
      <c r="I523" s="217"/>
      <c r="J523" s="217"/>
      <c r="K523" s="217"/>
      <c r="L523" s="217"/>
      <c r="M523" s="217"/>
      <c r="N523" s="217"/>
      <c r="O523" s="217"/>
      <c r="P523" s="217"/>
      <c r="Q523" s="217"/>
      <c r="R523" s="217"/>
      <c r="S523" s="217"/>
      <c r="T523" s="217"/>
      <c r="U523" s="217"/>
      <c r="V523" s="217"/>
      <c r="W523" s="217"/>
      <c r="X523" s="217"/>
      <c r="Y523" s="217"/>
      <c r="Z523" s="217"/>
    </row>
    <row r="524" ht="15.75" customHeight="1">
      <c r="A524" s="217"/>
      <c r="B524" s="217"/>
      <c r="C524" s="217"/>
      <c r="D524" s="217"/>
      <c r="E524" s="217"/>
      <c r="F524" s="217"/>
      <c r="G524" s="217"/>
      <c r="H524" s="217"/>
      <c r="I524" s="217"/>
      <c r="J524" s="217"/>
      <c r="K524" s="217"/>
      <c r="L524" s="217"/>
      <c r="M524" s="217"/>
      <c r="N524" s="217"/>
      <c r="O524" s="217"/>
      <c r="P524" s="217"/>
      <c r="Q524" s="217"/>
      <c r="R524" s="217"/>
      <c r="S524" s="217"/>
      <c r="T524" s="217"/>
      <c r="U524" s="217"/>
      <c r="V524" s="217"/>
      <c r="W524" s="217"/>
      <c r="X524" s="217"/>
      <c r="Y524" s="217"/>
      <c r="Z524" s="217"/>
    </row>
    <row r="525" ht="15.75" customHeight="1">
      <c r="A525" s="217"/>
      <c r="B525" s="217"/>
      <c r="C525" s="217"/>
      <c r="D525" s="217"/>
      <c r="E525" s="217"/>
      <c r="F525" s="217"/>
      <c r="G525" s="217"/>
      <c r="H525" s="217"/>
      <c r="I525" s="217"/>
      <c r="J525" s="217"/>
      <c r="K525" s="217"/>
      <c r="L525" s="217"/>
      <c r="M525" s="217"/>
      <c r="N525" s="217"/>
      <c r="O525" s="217"/>
      <c r="P525" s="217"/>
      <c r="Q525" s="217"/>
      <c r="R525" s="217"/>
      <c r="S525" s="217"/>
      <c r="T525" s="217"/>
      <c r="U525" s="217"/>
      <c r="V525" s="217"/>
      <c r="W525" s="217"/>
      <c r="X525" s="217"/>
      <c r="Y525" s="217"/>
      <c r="Z525" s="217"/>
    </row>
    <row r="526" ht="15.75" customHeight="1">
      <c r="A526" s="217"/>
      <c r="B526" s="217"/>
      <c r="C526" s="217"/>
      <c r="D526" s="217"/>
      <c r="E526" s="217"/>
      <c r="F526" s="217"/>
      <c r="G526" s="217"/>
      <c r="H526" s="217"/>
      <c r="I526" s="217"/>
      <c r="J526" s="217"/>
      <c r="K526" s="217"/>
      <c r="L526" s="217"/>
      <c r="M526" s="217"/>
      <c r="N526" s="217"/>
      <c r="O526" s="217"/>
      <c r="P526" s="217"/>
      <c r="Q526" s="217"/>
      <c r="R526" s="217"/>
      <c r="S526" s="217"/>
      <c r="T526" s="217"/>
      <c r="U526" s="217"/>
      <c r="V526" s="217"/>
      <c r="W526" s="217"/>
      <c r="X526" s="217"/>
      <c r="Y526" s="217"/>
      <c r="Z526" s="217"/>
    </row>
    <row r="527" ht="15.75" customHeight="1">
      <c r="A527" s="217"/>
      <c r="B527" s="217"/>
      <c r="C527" s="217"/>
      <c r="D527" s="217"/>
      <c r="E527" s="217"/>
      <c r="F527" s="217"/>
      <c r="G527" s="217"/>
      <c r="H527" s="217"/>
      <c r="I527" s="217"/>
      <c r="J527" s="217"/>
      <c r="K527" s="217"/>
      <c r="L527" s="217"/>
      <c r="M527" s="217"/>
      <c r="N527" s="217"/>
      <c r="O527" s="217"/>
      <c r="P527" s="217"/>
      <c r="Q527" s="217"/>
      <c r="R527" s="217"/>
      <c r="S527" s="217"/>
      <c r="T527" s="217"/>
      <c r="U527" s="217"/>
      <c r="V527" s="217"/>
      <c r="W527" s="217"/>
      <c r="X527" s="217"/>
      <c r="Y527" s="217"/>
      <c r="Z527" s="217"/>
    </row>
    <row r="528" ht="15.75" customHeight="1">
      <c r="A528" s="217"/>
      <c r="B528" s="217"/>
      <c r="C528" s="217"/>
      <c r="D528" s="217"/>
      <c r="E528" s="217"/>
      <c r="F528" s="217"/>
      <c r="G528" s="217"/>
      <c r="H528" s="217"/>
      <c r="I528" s="217"/>
      <c r="J528" s="217"/>
      <c r="K528" s="217"/>
      <c r="L528" s="217"/>
      <c r="M528" s="217"/>
      <c r="N528" s="217"/>
      <c r="O528" s="217"/>
      <c r="P528" s="217"/>
      <c r="Q528" s="217"/>
      <c r="R528" s="217"/>
      <c r="S528" s="217"/>
      <c r="T528" s="217"/>
      <c r="U528" s="217"/>
      <c r="V528" s="217"/>
      <c r="W528" s="217"/>
      <c r="X528" s="217"/>
      <c r="Y528" s="217"/>
      <c r="Z528" s="217"/>
    </row>
    <row r="529" ht="15.75" customHeight="1">
      <c r="A529" s="217"/>
      <c r="B529" s="217"/>
      <c r="C529" s="217"/>
      <c r="D529" s="217"/>
      <c r="E529" s="217"/>
      <c r="F529" s="217"/>
      <c r="G529" s="217"/>
      <c r="H529" s="217"/>
      <c r="I529" s="217"/>
      <c r="J529" s="217"/>
      <c r="K529" s="217"/>
      <c r="L529" s="217"/>
      <c r="M529" s="217"/>
      <c r="N529" s="217"/>
      <c r="O529" s="217"/>
      <c r="P529" s="217"/>
      <c r="Q529" s="217"/>
      <c r="R529" s="217"/>
      <c r="S529" s="217"/>
      <c r="T529" s="217"/>
      <c r="U529" s="217"/>
      <c r="V529" s="217"/>
      <c r="W529" s="217"/>
      <c r="X529" s="217"/>
      <c r="Y529" s="217"/>
      <c r="Z529" s="217"/>
    </row>
    <row r="530" ht="15.75" customHeight="1">
      <c r="A530" s="217"/>
      <c r="B530" s="217"/>
      <c r="C530" s="217"/>
      <c r="D530" s="217"/>
      <c r="E530" s="217"/>
      <c r="F530" s="217"/>
      <c r="G530" s="217"/>
      <c r="H530" s="217"/>
      <c r="I530" s="217"/>
      <c r="J530" s="217"/>
      <c r="K530" s="217"/>
      <c r="L530" s="217"/>
      <c r="M530" s="217"/>
      <c r="N530" s="217"/>
      <c r="O530" s="217"/>
      <c r="P530" s="217"/>
      <c r="Q530" s="217"/>
      <c r="R530" s="217"/>
      <c r="S530" s="217"/>
      <c r="T530" s="217"/>
      <c r="U530" s="217"/>
      <c r="V530" s="217"/>
      <c r="W530" s="217"/>
      <c r="X530" s="217"/>
      <c r="Y530" s="217"/>
      <c r="Z530" s="217"/>
    </row>
    <row r="531" ht="15.75" customHeight="1">
      <c r="A531" s="217"/>
      <c r="B531" s="217"/>
      <c r="C531" s="217"/>
      <c r="D531" s="217"/>
      <c r="E531" s="217"/>
      <c r="F531" s="217"/>
      <c r="G531" s="217"/>
      <c r="H531" s="217"/>
      <c r="I531" s="217"/>
      <c r="J531" s="217"/>
      <c r="K531" s="217"/>
      <c r="L531" s="217"/>
      <c r="M531" s="217"/>
      <c r="N531" s="217"/>
      <c r="O531" s="217"/>
      <c r="P531" s="217"/>
      <c r="Q531" s="217"/>
      <c r="R531" s="217"/>
      <c r="S531" s="217"/>
      <c r="T531" s="217"/>
      <c r="U531" s="217"/>
      <c r="V531" s="217"/>
      <c r="W531" s="217"/>
      <c r="X531" s="217"/>
      <c r="Y531" s="217"/>
      <c r="Z531" s="217"/>
    </row>
    <row r="532" ht="15.75" customHeight="1">
      <c r="A532" s="217"/>
      <c r="B532" s="217"/>
      <c r="C532" s="217"/>
      <c r="D532" s="217"/>
      <c r="E532" s="217"/>
      <c r="F532" s="217"/>
      <c r="G532" s="217"/>
      <c r="H532" s="217"/>
      <c r="I532" s="217"/>
      <c r="J532" s="217"/>
      <c r="K532" s="217"/>
      <c r="L532" s="217"/>
      <c r="M532" s="217"/>
      <c r="N532" s="217"/>
      <c r="O532" s="217"/>
      <c r="P532" s="217"/>
      <c r="Q532" s="217"/>
      <c r="R532" s="217"/>
      <c r="S532" s="217"/>
      <c r="T532" s="217"/>
      <c r="U532" s="217"/>
      <c r="V532" s="217"/>
      <c r="W532" s="217"/>
      <c r="X532" s="217"/>
      <c r="Y532" s="217"/>
      <c r="Z532" s="217"/>
    </row>
    <row r="533" ht="15.75" customHeight="1">
      <c r="A533" s="217"/>
      <c r="B533" s="217"/>
      <c r="C533" s="217"/>
      <c r="D533" s="217"/>
      <c r="E533" s="217"/>
      <c r="F533" s="217"/>
      <c r="G533" s="217"/>
      <c r="H533" s="217"/>
      <c r="I533" s="217"/>
      <c r="J533" s="217"/>
      <c r="K533" s="217"/>
      <c r="L533" s="217"/>
      <c r="M533" s="217"/>
      <c r="N533" s="217"/>
      <c r="O533" s="217"/>
      <c r="P533" s="217"/>
      <c r="Q533" s="217"/>
      <c r="R533" s="217"/>
      <c r="S533" s="217"/>
      <c r="T533" s="217"/>
      <c r="U533" s="217"/>
      <c r="V533" s="217"/>
      <c r="W533" s="217"/>
      <c r="X533" s="217"/>
      <c r="Y533" s="217"/>
      <c r="Z533" s="217"/>
    </row>
    <row r="534" ht="15.75" customHeight="1">
      <c r="A534" s="217"/>
      <c r="B534" s="217"/>
      <c r="C534" s="217"/>
      <c r="D534" s="217"/>
      <c r="E534" s="217"/>
      <c r="F534" s="217"/>
      <c r="G534" s="217"/>
      <c r="H534" s="217"/>
      <c r="I534" s="217"/>
      <c r="J534" s="217"/>
      <c r="K534" s="217"/>
      <c r="L534" s="217"/>
      <c r="M534" s="217"/>
      <c r="N534" s="217"/>
      <c r="O534" s="217"/>
      <c r="P534" s="217"/>
      <c r="Q534" s="217"/>
      <c r="R534" s="217"/>
      <c r="S534" s="217"/>
      <c r="T534" s="217"/>
      <c r="U534" s="217"/>
      <c r="V534" s="217"/>
      <c r="W534" s="217"/>
      <c r="X534" s="217"/>
      <c r="Y534" s="217"/>
      <c r="Z534" s="217"/>
    </row>
    <row r="535" ht="15.75" customHeight="1">
      <c r="A535" s="217"/>
      <c r="B535" s="217"/>
      <c r="C535" s="217"/>
      <c r="D535" s="217"/>
      <c r="E535" s="217"/>
      <c r="F535" s="217"/>
      <c r="G535" s="217"/>
      <c r="H535" s="217"/>
      <c r="I535" s="217"/>
      <c r="J535" s="217"/>
      <c r="K535" s="217"/>
      <c r="L535" s="217"/>
      <c r="M535" s="217"/>
      <c r="N535" s="217"/>
      <c r="O535" s="217"/>
      <c r="P535" s="217"/>
      <c r="Q535" s="217"/>
      <c r="R535" s="217"/>
      <c r="S535" s="217"/>
      <c r="T535" s="217"/>
      <c r="U535" s="217"/>
      <c r="V535" s="217"/>
      <c r="W535" s="217"/>
      <c r="X535" s="217"/>
      <c r="Y535" s="217"/>
      <c r="Z535" s="217"/>
    </row>
    <row r="536" ht="15.75" customHeight="1">
      <c r="A536" s="217"/>
      <c r="B536" s="217"/>
      <c r="C536" s="217"/>
      <c r="D536" s="217"/>
      <c r="E536" s="217"/>
      <c r="F536" s="217"/>
      <c r="G536" s="217"/>
      <c r="H536" s="217"/>
      <c r="I536" s="217"/>
      <c r="J536" s="217"/>
      <c r="K536" s="217"/>
      <c r="L536" s="217"/>
      <c r="M536" s="217"/>
      <c r="N536" s="217"/>
      <c r="O536" s="217"/>
      <c r="P536" s="217"/>
      <c r="Q536" s="217"/>
      <c r="R536" s="217"/>
      <c r="S536" s="217"/>
      <c r="T536" s="217"/>
      <c r="U536" s="217"/>
      <c r="V536" s="217"/>
      <c r="W536" s="217"/>
      <c r="X536" s="217"/>
      <c r="Y536" s="217"/>
      <c r="Z536" s="217"/>
    </row>
    <row r="537" ht="15.75" customHeight="1">
      <c r="A537" s="217"/>
      <c r="B537" s="217"/>
      <c r="C537" s="217"/>
      <c r="D537" s="217"/>
      <c r="E537" s="217"/>
      <c r="F537" s="217"/>
      <c r="G537" s="217"/>
      <c r="H537" s="217"/>
      <c r="I537" s="217"/>
      <c r="J537" s="217"/>
      <c r="K537" s="217"/>
      <c r="L537" s="217"/>
      <c r="M537" s="217"/>
      <c r="N537" s="217"/>
      <c r="O537" s="217"/>
      <c r="P537" s="217"/>
      <c r="Q537" s="217"/>
      <c r="R537" s="217"/>
      <c r="S537" s="217"/>
      <c r="T537" s="217"/>
      <c r="U537" s="217"/>
      <c r="V537" s="217"/>
      <c r="W537" s="217"/>
      <c r="X537" s="217"/>
      <c r="Y537" s="217"/>
      <c r="Z537" s="217"/>
    </row>
    <row r="538" ht="15.75" customHeight="1">
      <c r="A538" s="217"/>
      <c r="B538" s="217"/>
      <c r="C538" s="217"/>
      <c r="D538" s="217"/>
      <c r="E538" s="217"/>
      <c r="F538" s="217"/>
      <c r="G538" s="217"/>
      <c r="H538" s="217"/>
      <c r="I538" s="217"/>
      <c r="J538" s="217"/>
      <c r="K538" s="217"/>
      <c r="L538" s="217"/>
      <c r="M538" s="217"/>
      <c r="N538" s="217"/>
      <c r="O538" s="217"/>
      <c r="P538" s="217"/>
      <c r="Q538" s="217"/>
      <c r="R538" s="217"/>
      <c r="S538" s="217"/>
      <c r="T538" s="217"/>
      <c r="U538" s="217"/>
      <c r="V538" s="217"/>
      <c r="W538" s="217"/>
      <c r="X538" s="217"/>
      <c r="Y538" s="217"/>
      <c r="Z538" s="217"/>
    </row>
    <row r="539" ht="15.75" customHeight="1">
      <c r="A539" s="217"/>
      <c r="B539" s="217"/>
      <c r="C539" s="217"/>
      <c r="D539" s="217"/>
      <c r="E539" s="217"/>
      <c r="F539" s="217"/>
      <c r="G539" s="217"/>
      <c r="H539" s="217"/>
      <c r="I539" s="217"/>
      <c r="J539" s="217"/>
      <c r="K539" s="217"/>
      <c r="L539" s="217"/>
      <c r="M539" s="217"/>
      <c r="N539" s="217"/>
      <c r="O539" s="217"/>
      <c r="P539" s="217"/>
      <c r="Q539" s="217"/>
      <c r="R539" s="217"/>
      <c r="S539" s="217"/>
      <c r="T539" s="217"/>
      <c r="U539" s="217"/>
      <c r="V539" s="217"/>
      <c r="W539" s="217"/>
      <c r="X539" s="217"/>
      <c r="Y539" s="217"/>
      <c r="Z539" s="217"/>
    </row>
    <row r="540" ht="15.75" customHeight="1">
      <c r="A540" s="217"/>
      <c r="B540" s="217"/>
      <c r="C540" s="217"/>
      <c r="D540" s="217"/>
      <c r="E540" s="217"/>
      <c r="F540" s="217"/>
      <c r="G540" s="217"/>
      <c r="H540" s="217"/>
      <c r="I540" s="217"/>
      <c r="J540" s="217"/>
      <c r="K540" s="217"/>
      <c r="L540" s="217"/>
      <c r="M540" s="217"/>
      <c r="N540" s="217"/>
      <c r="O540" s="217"/>
      <c r="P540" s="217"/>
      <c r="Q540" s="217"/>
      <c r="R540" s="217"/>
      <c r="S540" s="217"/>
      <c r="T540" s="217"/>
      <c r="U540" s="217"/>
      <c r="V540" s="217"/>
      <c r="W540" s="217"/>
      <c r="X540" s="217"/>
      <c r="Y540" s="217"/>
      <c r="Z540" s="217"/>
    </row>
    <row r="541" ht="15.75" customHeight="1">
      <c r="A541" s="217"/>
      <c r="B541" s="217"/>
      <c r="C541" s="217"/>
      <c r="D541" s="217"/>
      <c r="E541" s="217"/>
      <c r="F541" s="217"/>
      <c r="G541" s="217"/>
      <c r="H541" s="217"/>
      <c r="I541" s="217"/>
      <c r="J541" s="217"/>
      <c r="K541" s="217"/>
      <c r="L541" s="217"/>
      <c r="M541" s="217"/>
      <c r="N541" s="217"/>
      <c r="O541" s="217"/>
      <c r="P541" s="217"/>
      <c r="Q541" s="217"/>
      <c r="R541" s="217"/>
      <c r="S541" s="217"/>
      <c r="T541" s="217"/>
      <c r="U541" s="217"/>
      <c r="V541" s="217"/>
      <c r="W541" s="217"/>
      <c r="X541" s="217"/>
      <c r="Y541" s="217"/>
      <c r="Z541" s="217"/>
    </row>
    <row r="542" ht="15.75" customHeight="1">
      <c r="A542" s="217"/>
      <c r="B542" s="217"/>
      <c r="C542" s="217"/>
      <c r="D542" s="217"/>
      <c r="E542" s="217"/>
      <c r="F542" s="217"/>
      <c r="G542" s="217"/>
      <c r="H542" s="217"/>
      <c r="I542" s="217"/>
      <c r="J542" s="217"/>
      <c r="K542" s="217"/>
      <c r="L542" s="217"/>
      <c r="M542" s="217"/>
      <c r="N542" s="217"/>
      <c r="O542" s="217"/>
      <c r="P542" s="217"/>
      <c r="Q542" s="217"/>
      <c r="R542" s="217"/>
      <c r="S542" s="217"/>
      <c r="T542" s="217"/>
      <c r="U542" s="217"/>
      <c r="V542" s="217"/>
      <c r="W542" s="217"/>
      <c r="X542" s="217"/>
      <c r="Y542" s="217"/>
      <c r="Z542" s="217"/>
    </row>
    <row r="543" ht="15.75" customHeight="1">
      <c r="A543" s="217"/>
      <c r="B543" s="217"/>
      <c r="C543" s="217"/>
      <c r="D543" s="217"/>
      <c r="E543" s="217"/>
      <c r="F543" s="217"/>
      <c r="G543" s="217"/>
      <c r="H543" s="217"/>
      <c r="I543" s="217"/>
      <c r="J543" s="217"/>
      <c r="K543" s="217"/>
      <c r="L543" s="217"/>
      <c r="M543" s="217"/>
      <c r="N543" s="217"/>
      <c r="O543" s="217"/>
      <c r="P543" s="217"/>
      <c r="Q543" s="217"/>
      <c r="R543" s="217"/>
      <c r="S543" s="217"/>
      <c r="T543" s="217"/>
      <c r="U543" s="217"/>
      <c r="V543" s="217"/>
      <c r="W543" s="217"/>
      <c r="X543" s="217"/>
      <c r="Y543" s="217"/>
      <c r="Z543" s="217"/>
    </row>
    <row r="544" ht="15.75" customHeight="1">
      <c r="A544" s="217"/>
      <c r="B544" s="217"/>
      <c r="C544" s="217"/>
      <c r="D544" s="217"/>
      <c r="E544" s="217"/>
      <c r="F544" s="217"/>
      <c r="G544" s="217"/>
      <c r="H544" s="217"/>
      <c r="I544" s="217"/>
      <c r="J544" s="217"/>
      <c r="K544" s="217"/>
      <c r="L544" s="217"/>
      <c r="M544" s="217"/>
      <c r="N544" s="217"/>
      <c r="O544" s="217"/>
      <c r="P544" s="217"/>
      <c r="Q544" s="217"/>
      <c r="R544" s="217"/>
      <c r="S544" s="217"/>
      <c r="T544" s="217"/>
      <c r="U544" s="217"/>
      <c r="V544" s="217"/>
      <c r="W544" s="217"/>
      <c r="X544" s="217"/>
      <c r="Y544" s="217"/>
      <c r="Z544" s="217"/>
    </row>
    <row r="545" ht="15.75" customHeight="1">
      <c r="A545" s="217"/>
      <c r="B545" s="217"/>
      <c r="C545" s="217"/>
      <c r="D545" s="217"/>
      <c r="E545" s="217"/>
      <c r="F545" s="217"/>
      <c r="G545" s="217"/>
      <c r="H545" s="217"/>
      <c r="I545" s="217"/>
      <c r="J545" s="217"/>
      <c r="K545" s="217"/>
      <c r="L545" s="217"/>
      <c r="M545" s="217"/>
      <c r="N545" s="217"/>
      <c r="O545" s="217"/>
      <c r="P545" s="217"/>
      <c r="Q545" s="217"/>
      <c r="R545" s="217"/>
      <c r="S545" s="217"/>
      <c r="T545" s="217"/>
      <c r="U545" s="217"/>
      <c r="V545" s="217"/>
      <c r="W545" s="217"/>
      <c r="X545" s="217"/>
      <c r="Y545" s="217"/>
      <c r="Z545" s="217"/>
    </row>
    <row r="546" ht="15.75" customHeight="1">
      <c r="A546" s="217"/>
      <c r="B546" s="217"/>
      <c r="C546" s="217"/>
      <c r="D546" s="217"/>
      <c r="E546" s="217"/>
      <c r="F546" s="217"/>
      <c r="G546" s="217"/>
      <c r="H546" s="217"/>
      <c r="I546" s="217"/>
      <c r="J546" s="217"/>
      <c r="K546" s="217"/>
      <c r="L546" s="217"/>
      <c r="M546" s="217"/>
      <c r="N546" s="217"/>
      <c r="O546" s="217"/>
      <c r="P546" s="217"/>
      <c r="Q546" s="217"/>
      <c r="R546" s="217"/>
      <c r="S546" s="217"/>
      <c r="T546" s="217"/>
      <c r="U546" s="217"/>
      <c r="V546" s="217"/>
      <c r="W546" s="217"/>
      <c r="X546" s="217"/>
      <c r="Y546" s="217"/>
      <c r="Z546" s="217"/>
    </row>
    <row r="547" ht="15.75" customHeight="1">
      <c r="A547" s="217"/>
      <c r="B547" s="217"/>
      <c r="C547" s="217"/>
      <c r="D547" s="217"/>
      <c r="E547" s="217"/>
      <c r="F547" s="217"/>
      <c r="G547" s="217"/>
      <c r="H547" s="217"/>
      <c r="I547" s="217"/>
      <c r="J547" s="217"/>
      <c r="K547" s="217"/>
      <c r="L547" s="217"/>
      <c r="M547" s="217"/>
      <c r="N547" s="217"/>
      <c r="O547" s="217"/>
      <c r="P547" s="217"/>
      <c r="Q547" s="217"/>
      <c r="R547" s="217"/>
      <c r="S547" s="217"/>
      <c r="T547" s="217"/>
      <c r="U547" s="217"/>
      <c r="V547" s="217"/>
      <c r="W547" s="217"/>
      <c r="X547" s="217"/>
      <c r="Y547" s="217"/>
      <c r="Z547" s="217"/>
    </row>
    <row r="548" ht="15.75" customHeight="1">
      <c r="A548" s="217"/>
      <c r="B548" s="217"/>
      <c r="C548" s="217"/>
      <c r="D548" s="217"/>
      <c r="E548" s="217"/>
      <c r="F548" s="217"/>
      <c r="G548" s="217"/>
      <c r="H548" s="217"/>
      <c r="I548" s="217"/>
      <c r="J548" s="217"/>
      <c r="K548" s="217"/>
      <c r="L548" s="217"/>
      <c r="M548" s="217"/>
      <c r="N548" s="217"/>
      <c r="O548" s="217"/>
      <c r="P548" s="217"/>
      <c r="Q548" s="217"/>
      <c r="R548" s="217"/>
      <c r="S548" s="217"/>
      <c r="T548" s="217"/>
      <c r="U548" s="217"/>
      <c r="V548" s="217"/>
      <c r="W548" s="217"/>
      <c r="X548" s="217"/>
      <c r="Y548" s="217"/>
      <c r="Z548" s="217"/>
    </row>
    <row r="549" ht="15.75" customHeight="1">
      <c r="A549" s="217"/>
      <c r="B549" s="217"/>
      <c r="C549" s="217"/>
      <c r="D549" s="217"/>
      <c r="E549" s="217"/>
      <c r="F549" s="217"/>
      <c r="G549" s="217"/>
      <c r="H549" s="217"/>
      <c r="I549" s="217"/>
      <c r="J549" s="217"/>
      <c r="K549" s="217"/>
      <c r="L549" s="217"/>
      <c r="M549" s="217"/>
      <c r="N549" s="217"/>
      <c r="O549" s="217"/>
      <c r="P549" s="217"/>
      <c r="Q549" s="217"/>
      <c r="R549" s="217"/>
      <c r="S549" s="217"/>
      <c r="T549" s="217"/>
      <c r="U549" s="217"/>
      <c r="V549" s="217"/>
      <c r="W549" s="217"/>
      <c r="X549" s="217"/>
      <c r="Y549" s="217"/>
      <c r="Z549" s="217"/>
    </row>
    <row r="550" ht="15.75" customHeight="1">
      <c r="A550" s="217"/>
      <c r="B550" s="217"/>
      <c r="C550" s="217"/>
      <c r="D550" s="217"/>
      <c r="E550" s="217"/>
      <c r="F550" s="217"/>
      <c r="G550" s="217"/>
      <c r="H550" s="217"/>
      <c r="I550" s="217"/>
      <c r="J550" s="217"/>
      <c r="K550" s="217"/>
      <c r="L550" s="217"/>
      <c r="M550" s="217"/>
      <c r="N550" s="217"/>
      <c r="O550" s="217"/>
      <c r="P550" s="217"/>
      <c r="Q550" s="217"/>
      <c r="R550" s="217"/>
      <c r="S550" s="217"/>
      <c r="T550" s="217"/>
      <c r="U550" s="217"/>
      <c r="V550" s="217"/>
      <c r="W550" s="217"/>
      <c r="X550" s="217"/>
      <c r="Y550" s="217"/>
      <c r="Z550" s="217"/>
    </row>
    <row r="551" ht="15.75" customHeight="1">
      <c r="A551" s="217"/>
      <c r="B551" s="217"/>
      <c r="C551" s="217"/>
      <c r="D551" s="217"/>
      <c r="E551" s="217"/>
      <c r="F551" s="217"/>
      <c r="G551" s="217"/>
      <c r="H551" s="217"/>
      <c r="I551" s="217"/>
      <c r="J551" s="217"/>
      <c r="K551" s="217"/>
      <c r="L551" s="217"/>
      <c r="M551" s="217"/>
      <c r="N551" s="217"/>
      <c r="O551" s="217"/>
      <c r="P551" s="217"/>
      <c r="Q551" s="217"/>
      <c r="R551" s="217"/>
      <c r="S551" s="217"/>
      <c r="T551" s="217"/>
      <c r="U551" s="217"/>
      <c r="V551" s="217"/>
      <c r="W551" s="217"/>
      <c r="X551" s="217"/>
      <c r="Y551" s="217"/>
      <c r="Z551" s="217"/>
    </row>
    <row r="552" ht="15.75" customHeight="1">
      <c r="A552" s="217"/>
      <c r="B552" s="217"/>
      <c r="C552" s="217"/>
      <c r="D552" s="217"/>
      <c r="E552" s="217"/>
      <c r="F552" s="217"/>
      <c r="G552" s="217"/>
      <c r="H552" s="217"/>
      <c r="I552" s="217"/>
      <c r="J552" s="217"/>
      <c r="K552" s="217"/>
      <c r="L552" s="217"/>
      <c r="M552" s="217"/>
      <c r="N552" s="217"/>
      <c r="O552" s="217"/>
      <c r="P552" s="217"/>
      <c r="Q552" s="217"/>
      <c r="R552" s="217"/>
      <c r="S552" s="217"/>
      <c r="T552" s="217"/>
      <c r="U552" s="217"/>
      <c r="V552" s="217"/>
      <c r="W552" s="217"/>
      <c r="X552" s="217"/>
      <c r="Y552" s="217"/>
      <c r="Z552" s="217"/>
    </row>
    <row r="553" ht="15.75" customHeight="1">
      <c r="A553" s="217"/>
      <c r="B553" s="217"/>
      <c r="C553" s="217"/>
      <c r="D553" s="217"/>
      <c r="E553" s="217"/>
      <c r="F553" s="217"/>
      <c r="G553" s="217"/>
      <c r="H553" s="217"/>
      <c r="I553" s="217"/>
      <c r="J553" s="217"/>
      <c r="K553" s="217"/>
      <c r="L553" s="217"/>
      <c r="M553" s="217"/>
      <c r="N553" s="217"/>
      <c r="O553" s="217"/>
      <c r="P553" s="217"/>
      <c r="Q553" s="217"/>
      <c r="R553" s="217"/>
      <c r="S553" s="217"/>
      <c r="T553" s="217"/>
      <c r="U553" s="217"/>
      <c r="V553" s="217"/>
      <c r="W553" s="217"/>
      <c r="X553" s="217"/>
      <c r="Y553" s="217"/>
      <c r="Z553" s="217"/>
    </row>
    <row r="554" ht="15.75" customHeight="1">
      <c r="A554" s="217"/>
      <c r="B554" s="217"/>
      <c r="C554" s="217"/>
      <c r="D554" s="217"/>
      <c r="E554" s="217"/>
      <c r="F554" s="217"/>
      <c r="G554" s="217"/>
      <c r="H554" s="217"/>
      <c r="I554" s="217"/>
      <c r="J554" s="217"/>
      <c r="K554" s="217"/>
      <c r="L554" s="217"/>
      <c r="M554" s="217"/>
      <c r="N554" s="217"/>
      <c r="O554" s="217"/>
      <c r="P554" s="217"/>
      <c r="Q554" s="217"/>
      <c r="R554" s="217"/>
      <c r="S554" s="217"/>
      <c r="T554" s="217"/>
      <c r="U554" s="217"/>
      <c r="V554" s="217"/>
      <c r="W554" s="217"/>
      <c r="X554" s="217"/>
      <c r="Y554" s="217"/>
      <c r="Z554" s="217"/>
    </row>
    <row r="555" ht="15.75" customHeight="1">
      <c r="A555" s="217"/>
      <c r="B555" s="217"/>
      <c r="C555" s="217"/>
      <c r="D555" s="217"/>
      <c r="E555" s="217"/>
      <c r="F555" s="217"/>
      <c r="G555" s="217"/>
      <c r="H555" s="217"/>
      <c r="I555" s="217"/>
      <c r="J555" s="217"/>
      <c r="K555" s="217"/>
      <c r="L555" s="217"/>
      <c r="M555" s="217"/>
      <c r="N555" s="217"/>
      <c r="O555" s="217"/>
      <c r="P555" s="217"/>
      <c r="Q555" s="217"/>
      <c r="R555" s="217"/>
      <c r="S555" s="217"/>
      <c r="T555" s="217"/>
      <c r="U555" s="217"/>
      <c r="V555" s="217"/>
      <c r="W555" s="217"/>
      <c r="X555" s="217"/>
      <c r="Y555" s="217"/>
      <c r="Z555" s="217"/>
    </row>
    <row r="556" ht="15.75" customHeight="1">
      <c r="A556" s="217"/>
      <c r="B556" s="217"/>
      <c r="C556" s="217"/>
      <c r="D556" s="217"/>
      <c r="E556" s="217"/>
      <c r="F556" s="217"/>
      <c r="G556" s="217"/>
      <c r="H556" s="217"/>
      <c r="I556" s="217"/>
      <c r="J556" s="217"/>
      <c r="K556" s="217"/>
      <c r="L556" s="217"/>
      <c r="M556" s="217"/>
      <c r="N556" s="217"/>
      <c r="O556" s="217"/>
      <c r="P556" s="217"/>
      <c r="Q556" s="217"/>
      <c r="R556" s="217"/>
      <c r="S556" s="217"/>
      <c r="T556" s="217"/>
      <c r="U556" s="217"/>
      <c r="V556" s="217"/>
      <c r="W556" s="217"/>
      <c r="X556" s="217"/>
      <c r="Y556" s="217"/>
      <c r="Z556" s="217"/>
    </row>
    <row r="557" ht="15.75" customHeight="1">
      <c r="A557" s="217"/>
      <c r="B557" s="217"/>
      <c r="C557" s="217"/>
      <c r="D557" s="217"/>
      <c r="E557" s="217"/>
      <c r="F557" s="217"/>
      <c r="G557" s="217"/>
      <c r="H557" s="217"/>
      <c r="I557" s="217"/>
      <c r="J557" s="217"/>
      <c r="K557" s="217"/>
      <c r="L557" s="217"/>
      <c r="M557" s="217"/>
      <c r="N557" s="217"/>
      <c r="O557" s="217"/>
      <c r="P557" s="217"/>
      <c r="Q557" s="217"/>
      <c r="R557" s="217"/>
      <c r="S557" s="217"/>
      <c r="T557" s="217"/>
      <c r="U557" s="217"/>
      <c r="V557" s="217"/>
      <c r="W557" s="217"/>
      <c r="X557" s="217"/>
      <c r="Y557" s="217"/>
      <c r="Z557" s="217"/>
    </row>
    <row r="558" ht="15.75" customHeight="1">
      <c r="A558" s="217"/>
      <c r="B558" s="217"/>
      <c r="C558" s="217"/>
      <c r="D558" s="217"/>
      <c r="E558" s="217"/>
      <c r="F558" s="217"/>
      <c r="G558" s="217"/>
      <c r="H558" s="217"/>
      <c r="I558" s="217"/>
      <c r="J558" s="217"/>
      <c r="K558" s="217"/>
      <c r="L558" s="217"/>
      <c r="M558" s="217"/>
      <c r="N558" s="217"/>
      <c r="O558" s="217"/>
      <c r="P558" s="217"/>
      <c r="Q558" s="217"/>
      <c r="R558" s="217"/>
      <c r="S558" s="217"/>
      <c r="T558" s="217"/>
      <c r="U558" s="217"/>
      <c r="V558" s="217"/>
      <c r="W558" s="217"/>
      <c r="X558" s="217"/>
      <c r="Y558" s="217"/>
      <c r="Z558" s="217"/>
    </row>
    <row r="559" ht="15.75" customHeight="1">
      <c r="A559" s="217"/>
      <c r="B559" s="217"/>
      <c r="C559" s="217"/>
      <c r="D559" s="217"/>
      <c r="E559" s="217"/>
      <c r="F559" s="217"/>
      <c r="G559" s="217"/>
      <c r="H559" s="217"/>
      <c r="I559" s="217"/>
      <c r="J559" s="217"/>
      <c r="K559" s="217"/>
      <c r="L559" s="217"/>
      <c r="M559" s="217"/>
      <c r="N559" s="217"/>
      <c r="O559" s="217"/>
      <c r="P559" s="217"/>
      <c r="Q559" s="217"/>
      <c r="R559" s="217"/>
      <c r="S559" s="217"/>
      <c r="T559" s="217"/>
      <c r="U559" s="217"/>
      <c r="V559" s="217"/>
      <c r="W559" s="217"/>
      <c r="X559" s="217"/>
      <c r="Y559" s="217"/>
      <c r="Z559" s="217"/>
    </row>
    <row r="560" ht="15.75" customHeight="1">
      <c r="A560" s="217"/>
      <c r="B560" s="217"/>
      <c r="C560" s="217"/>
      <c r="D560" s="217"/>
      <c r="E560" s="217"/>
      <c r="F560" s="217"/>
      <c r="G560" s="217"/>
      <c r="H560" s="217"/>
      <c r="I560" s="217"/>
      <c r="J560" s="217"/>
      <c r="K560" s="217"/>
      <c r="L560" s="217"/>
      <c r="M560" s="217"/>
      <c r="N560" s="217"/>
      <c r="O560" s="217"/>
      <c r="P560" s="217"/>
      <c r="Q560" s="217"/>
      <c r="R560" s="217"/>
      <c r="S560" s="217"/>
      <c r="T560" s="217"/>
      <c r="U560" s="217"/>
      <c r="V560" s="217"/>
      <c r="W560" s="217"/>
      <c r="X560" s="217"/>
      <c r="Y560" s="217"/>
      <c r="Z560" s="217"/>
    </row>
    <row r="561" ht="15.75" customHeight="1">
      <c r="A561" s="217"/>
      <c r="B561" s="217"/>
      <c r="C561" s="217"/>
      <c r="D561" s="217"/>
      <c r="E561" s="217"/>
      <c r="F561" s="217"/>
      <c r="G561" s="217"/>
      <c r="H561" s="217"/>
      <c r="I561" s="217"/>
      <c r="J561" s="217"/>
      <c r="K561" s="217"/>
      <c r="L561" s="217"/>
      <c r="M561" s="217"/>
      <c r="N561" s="217"/>
      <c r="O561" s="217"/>
      <c r="P561" s="217"/>
      <c r="Q561" s="217"/>
      <c r="R561" s="217"/>
      <c r="S561" s="217"/>
      <c r="T561" s="217"/>
      <c r="U561" s="217"/>
      <c r="V561" s="217"/>
      <c r="W561" s="217"/>
      <c r="X561" s="217"/>
      <c r="Y561" s="217"/>
      <c r="Z561" s="217"/>
    </row>
    <row r="562" ht="15.75" customHeight="1">
      <c r="A562" s="217"/>
      <c r="B562" s="217"/>
      <c r="C562" s="217"/>
      <c r="D562" s="217"/>
      <c r="E562" s="217"/>
      <c r="F562" s="217"/>
      <c r="G562" s="217"/>
      <c r="H562" s="217"/>
      <c r="I562" s="217"/>
      <c r="J562" s="217"/>
      <c r="K562" s="217"/>
      <c r="L562" s="217"/>
      <c r="M562" s="217"/>
      <c r="N562" s="217"/>
      <c r="O562" s="217"/>
      <c r="P562" s="217"/>
      <c r="Q562" s="217"/>
      <c r="R562" s="217"/>
      <c r="S562" s="217"/>
      <c r="T562" s="217"/>
      <c r="U562" s="217"/>
      <c r="V562" s="217"/>
      <c r="W562" s="217"/>
      <c r="X562" s="217"/>
      <c r="Y562" s="217"/>
      <c r="Z562" s="217"/>
    </row>
    <row r="563" ht="15.75" customHeight="1">
      <c r="A563" s="217"/>
      <c r="B563" s="217"/>
      <c r="C563" s="217"/>
      <c r="D563" s="217"/>
      <c r="E563" s="217"/>
      <c r="F563" s="217"/>
      <c r="G563" s="217"/>
      <c r="H563" s="217"/>
      <c r="I563" s="217"/>
      <c r="J563" s="217"/>
      <c r="K563" s="217"/>
      <c r="L563" s="217"/>
      <c r="M563" s="217"/>
      <c r="N563" s="217"/>
      <c r="O563" s="217"/>
      <c r="P563" s="217"/>
      <c r="Q563" s="217"/>
      <c r="R563" s="217"/>
      <c r="S563" s="217"/>
      <c r="T563" s="217"/>
      <c r="U563" s="217"/>
      <c r="V563" s="217"/>
      <c r="W563" s="217"/>
      <c r="X563" s="217"/>
      <c r="Y563" s="217"/>
      <c r="Z563" s="217"/>
    </row>
    <row r="564" ht="15.75" customHeight="1">
      <c r="A564" s="217"/>
      <c r="B564" s="217"/>
      <c r="C564" s="217"/>
      <c r="D564" s="217"/>
      <c r="E564" s="217"/>
      <c r="F564" s="217"/>
      <c r="G564" s="217"/>
      <c r="H564" s="217"/>
      <c r="I564" s="217"/>
      <c r="J564" s="217"/>
      <c r="K564" s="217"/>
      <c r="L564" s="217"/>
      <c r="M564" s="217"/>
      <c r="N564" s="217"/>
      <c r="O564" s="217"/>
      <c r="P564" s="217"/>
      <c r="Q564" s="217"/>
      <c r="R564" s="217"/>
      <c r="S564" s="217"/>
      <c r="T564" s="217"/>
      <c r="U564" s="217"/>
      <c r="V564" s="217"/>
      <c r="W564" s="217"/>
      <c r="X564" s="217"/>
      <c r="Y564" s="217"/>
      <c r="Z564" s="217"/>
    </row>
    <row r="565" ht="15.75" customHeight="1">
      <c r="A565" s="217"/>
      <c r="B565" s="217"/>
      <c r="C565" s="217"/>
      <c r="D565" s="217"/>
      <c r="E565" s="217"/>
      <c r="F565" s="217"/>
      <c r="G565" s="217"/>
      <c r="H565" s="217"/>
      <c r="I565" s="217"/>
      <c r="J565" s="217"/>
      <c r="K565" s="217"/>
      <c r="L565" s="217"/>
      <c r="M565" s="217"/>
      <c r="N565" s="217"/>
      <c r="O565" s="217"/>
      <c r="P565" s="217"/>
      <c r="Q565" s="217"/>
      <c r="R565" s="217"/>
      <c r="S565" s="217"/>
      <c r="T565" s="217"/>
      <c r="U565" s="217"/>
      <c r="V565" s="217"/>
      <c r="W565" s="217"/>
      <c r="X565" s="217"/>
      <c r="Y565" s="217"/>
      <c r="Z565" s="217"/>
    </row>
    <row r="566" ht="15.75" customHeight="1">
      <c r="A566" s="217"/>
      <c r="B566" s="217"/>
      <c r="C566" s="217"/>
      <c r="D566" s="217"/>
      <c r="E566" s="217"/>
      <c r="F566" s="217"/>
      <c r="G566" s="217"/>
      <c r="H566" s="217"/>
      <c r="I566" s="217"/>
      <c r="J566" s="217"/>
      <c r="K566" s="217"/>
      <c r="L566" s="217"/>
      <c r="M566" s="217"/>
      <c r="N566" s="217"/>
      <c r="O566" s="217"/>
      <c r="P566" s="217"/>
      <c r="Q566" s="217"/>
      <c r="R566" s="217"/>
      <c r="S566" s="217"/>
      <c r="T566" s="217"/>
      <c r="U566" s="217"/>
      <c r="V566" s="217"/>
      <c r="W566" s="217"/>
      <c r="X566" s="217"/>
      <c r="Y566" s="217"/>
      <c r="Z566" s="217"/>
    </row>
    <row r="567" ht="15.75" customHeight="1">
      <c r="A567" s="217"/>
      <c r="B567" s="217"/>
      <c r="C567" s="217"/>
      <c r="D567" s="217"/>
      <c r="E567" s="217"/>
      <c r="F567" s="217"/>
      <c r="G567" s="217"/>
      <c r="H567" s="217"/>
      <c r="I567" s="217"/>
      <c r="J567" s="217"/>
      <c r="K567" s="217"/>
      <c r="L567" s="217"/>
      <c r="M567" s="217"/>
      <c r="N567" s="217"/>
      <c r="O567" s="217"/>
      <c r="P567" s="217"/>
      <c r="Q567" s="217"/>
      <c r="R567" s="217"/>
      <c r="S567" s="217"/>
      <c r="T567" s="217"/>
      <c r="U567" s="217"/>
      <c r="V567" s="217"/>
      <c r="W567" s="217"/>
      <c r="X567" s="217"/>
      <c r="Y567" s="217"/>
      <c r="Z567" s="217"/>
    </row>
    <row r="568" ht="15.75" customHeight="1">
      <c r="A568" s="217"/>
      <c r="B568" s="217"/>
      <c r="C568" s="217"/>
      <c r="D568" s="217"/>
      <c r="E568" s="217"/>
      <c r="F568" s="217"/>
      <c r="G568" s="217"/>
      <c r="H568" s="217"/>
      <c r="I568" s="217"/>
      <c r="J568" s="217"/>
      <c r="K568" s="217"/>
      <c r="L568" s="217"/>
      <c r="M568" s="217"/>
      <c r="N568" s="217"/>
      <c r="O568" s="217"/>
      <c r="P568" s="217"/>
      <c r="Q568" s="217"/>
      <c r="R568" s="217"/>
      <c r="S568" s="217"/>
      <c r="T568" s="217"/>
      <c r="U568" s="217"/>
      <c r="V568" s="217"/>
      <c r="W568" s="217"/>
      <c r="X568" s="217"/>
      <c r="Y568" s="217"/>
      <c r="Z568" s="217"/>
    </row>
    <row r="569" ht="15.75" customHeight="1">
      <c r="A569" s="217"/>
      <c r="B569" s="217"/>
      <c r="C569" s="217"/>
      <c r="D569" s="217"/>
      <c r="E569" s="217"/>
      <c r="F569" s="217"/>
      <c r="G569" s="217"/>
      <c r="H569" s="217"/>
      <c r="I569" s="217"/>
      <c r="J569" s="217"/>
      <c r="K569" s="217"/>
      <c r="L569" s="217"/>
      <c r="M569" s="217"/>
      <c r="N569" s="217"/>
      <c r="O569" s="217"/>
      <c r="P569" s="217"/>
      <c r="Q569" s="217"/>
      <c r="R569" s="217"/>
      <c r="S569" s="217"/>
      <c r="T569" s="217"/>
      <c r="U569" s="217"/>
      <c r="V569" s="217"/>
      <c r="W569" s="217"/>
      <c r="X569" s="217"/>
      <c r="Y569" s="217"/>
      <c r="Z569" s="217"/>
    </row>
    <row r="570" ht="15.75" customHeight="1">
      <c r="A570" s="217"/>
      <c r="B570" s="217"/>
      <c r="C570" s="217"/>
      <c r="D570" s="217"/>
      <c r="E570" s="217"/>
      <c r="F570" s="217"/>
      <c r="G570" s="217"/>
      <c r="H570" s="217"/>
      <c r="I570" s="217"/>
      <c r="J570" s="217"/>
      <c r="K570" s="217"/>
      <c r="L570" s="217"/>
      <c r="M570" s="217"/>
      <c r="N570" s="217"/>
      <c r="O570" s="217"/>
      <c r="P570" s="217"/>
      <c r="Q570" s="217"/>
      <c r="R570" s="217"/>
      <c r="S570" s="217"/>
      <c r="T570" s="217"/>
      <c r="U570" s="217"/>
      <c r="V570" s="217"/>
      <c r="W570" s="217"/>
      <c r="X570" s="217"/>
      <c r="Y570" s="217"/>
      <c r="Z570" s="217"/>
    </row>
    <row r="571" ht="15.75" customHeight="1">
      <c r="A571" s="217"/>
      <c r="B571" s="217"/>
      <c r="C571" s="217"/>
      <c r="D571" s="217"/>
      <c r="E571" s="217"/>
      <c r="F571" s="217"/>
      <c r="G571" s="217"/>
      <c r="H571" s="217"/>
      <c r="I571" s="217"/>
      <c r="J571" s="217"/>
      <c r="K571" s="217"/>
      <c r="L571" s="217"/>
      <c r="M571" s="217"/>
      <c r="N571" s="217"/>
      <c r="O571" s="217"/>
      <c r="P571" s="217"/>
      <c r="Q571" s="217"/>
      <c r="R571" s="217"/>
      <c r="S571" s="217"/>
      <c r="T571" s="217"/>
      <c r="U571" s="217"/>
      <c r="V571" s="217"/>
      <c r="W571" s="217"/>
      <c r="X571" s="217"/>
      <c r="Y571" s="217"/>
      <c r="Z571" s="217"/>
    </row>
    <row r="572" ht="15.75" customHeight="1">
      <c r="A572" s="217"/>
      <c r="B572" s="217"/>
      <c r="C572" s="217"/>
      <c r="D572" s="217"/>
      <c r="E572" s="217"/>
      <c r="F572" s="217"/>
      <c r="G572" s="217"/>
      <c r="H572" s="217"/>
      <c r="I572" s="217"/>
      <c r="J572" s="217"/>
      <c r="K572" s="217"/>
      <c r="L572" s="217"/>
      <c r="M572" s="217"/>
      <c r="N572" s="217"/>
      <c r="O572" s="217"/>
      <c r="P572" s="217"/>
      <c r="Q572" s="217"/>
      <c r="R572" s="217"/>
      <c r="S572" s="217"/>
      <c r="T572" s="217"/>
      <c r="U572" s="217"/>
      <c r="V572" s="217"/>
      <c r="W572" s="217"/>
      <c r="X572" s="217"/>
      <c r="Y572" s="217"/>
      <c r="Z572" s="217"/>
    </row>
    <row r="573" ht="15.75" customHeight="1">
      <c r="A573" s="217"/>
      <c r="B573" s="217"/>
      <c r="C573" s="217"/>
      <c r="D573" s="217"/>
      <c r="E573" s="217"/>
      <c r="F573" s="217"/>
      <c r="G573" s="217"/>
      <c r="H573" s="217"/>
      <c r="I573" s="217"/>
      <c r="J573" s="217"/>
      <c r="K573" s="217"/>
      <c r="L573" s="217"/>
      <c r="M573" s="217"/>
      <c r="N573" s="217"/>
      <c r="O573" s="217"/>
      <c r="P573" s="217"/>
      <c r="Q573" s="217"/>
      <c r="R573" s="217"/>
      <c r="S573" s="217"/>
      <c r="T573" s="217"/>
      <c r="U573" s="217"/>
      <c r="V573" s="217"/>
      <c r="W573" s="217"/>
      <c r="X573" s="217"/>
      <c r="Y573" s="217"/>
      <c r="Z573" s="217"/>
    </row>
    <row r="574" ht="15.75" customHeight="1">
      <c r="A574" s="217"/>
      <c r="B574" s="217"/>
      <c r="C574" s="217"/>
      <c r="D574" s="217"/>
      <c r="E574" s="217"/>
      <c r="F574" s="217"/>
      <c r="G574" s="217"/>
      <c r="H574" s="217"/>
      <c r="I574" s="217"/>
      <c r="J574" s="217"/>
      <c r="K574" s="217"/>
      <c r="L574" s="217"/>
      <c r="M574" s="217"/>
      <c r="N574" s="217"/>
      <c r="O574" s="217"/>
      <c r="P574" s="217"/>
      <c r="Q574" s="217"/>
      <c r="R574" s="217"/>
      <c r="S574" s="217"/>
      <c r="T574" s="217"/>
      <c r="U574" s="217"/>
      <c r="V574" s="217"/>
      <c r="W574" s="217"/>
      <c r="X574" s="217"/>
      <c r="Y574" s="217"/>
      <c r="Z574" s="217"/>
    </row>
    <row r="575" ht="15.75" customHeight="1">
      <c r="A575" s="217"/>
      <c r="B575" s="217"/>
      <c r="C575" s="217"/>
      <c r="D575" s="217"/>
      <c r="E575" s="217"/>
      <c r="F575" s="217"/>
      <c r="G575" s="217"/>
      <c r="H575" s="217"/>
      <c r="I575" s="217"/>
      <c r="J575" s="217"/>
      <c r="K575" s="217"/>
      <c r="L575" s="217"/>
      <c r="M575" s="217"/>
      <c r="N575" s="217"/>
      <c r="O575" s="217"/>
      <c r="P575" s="217"/>
      <c r="Q575" s="217"/>
      <c r="R575" s="217"/>
      <c r="S575" s="217"/>
      <c r="T575" s="217"/>
      <c r="U575" s="217"/>
      <c r="V575" s="217"/>
      <c r="W575" s="217"/>
      <c r="X575" s="217"/>
      <c r="Y575" s="217"/>
      <c r="Z575" s="217"/>
    </row>
    <row r="576" ht="15.75" customHeight="1">
      <c r="A576" s="217"/>
      <c r="B576" s="217"/>
      <c r="C576" s="217"/>
      <c r="D576" s="217"/>
      <c r="E576" s="217"/>
      <c r="F576" s="217"/>
      <c r="G576" s="217"/>
      <c r="H576" s="217"/>
      <c r="I576" s="217"/>
      <c r="J576" s="217"/>
      <c r="K576" s="217"/>
      <c r="L576" s="217"/>
      <c r="M576" s="217"/>
      <c r="N576" s="217"/>
      <c r="O576" s="217"/>
      <c r="P576" s="217"/>
      <c r="Q576" s="217"/>
      <c r="R576" s="217"/>
      <c r="S576" s="217"/>
      <c r="T576" s="217"/>
      <c r="U576" s="217"/>
      <c r="V576" s="217"/>
      <c r="W576" s="217"/>
      <c r="X576" s="217"/>
      <c r="Y576" s="217"/>
      <c r="Z576" s="217"/>
    </row>
    <row r="577" ht="15.75" customHeight="1">
      <c r="A577" s="217"/>
      <c r="B577" s="217"/>
      <c r="C577" s="217"/>
      <c r="D577" s="217"/>
      <c r="E577" s="217"/>
      <c r="F577" s="217"/>
      <c r="G577" s="217"/>
      <c r="H577" s="217"/>
      <c r="I577" s="217"/>
      <c r="J577" s="217"/>
      <c r="K577" s="217"/>
      <c r="L577" s="217"/>
      <c r="M577" s="217"/>
      <c r="N577" s="217"/>
      <c r="O577" s="217"/>
      <c r="P577" s="217"/>
      <c r="Q577" s="217"/>
      <c r="R577" s="217"/>
      <c r="S577" s="217"/>
      <c r="T577" s="217"/>
      <c r="U577" s="217"/>
      <c r="V577" s="217"/>
      <c r="W577" s="217"/>
      <c r="X577" s="217"/>
      <c r="Y577" s="217"/>
      <c r="Z577" s="217"/>
    </row>
    <row r="578" ht="15.75" customHeight="1">
      <c r="A578" s="217"/>
      <c r="B578" s="217"/>
      <c r="C578" s="217"/>
      <c r="D578" s="217"/>
      <c r="E578" s="217"/>
      <c r="F578" s="217"/>
      <c r="G578" s="217"/>
      <c r="H578" s="217"/>
      <c r="I578" s="217"/>
      <c r="J578" s="217"/>
      <c r="K578" s="217"/>
      <c r="L578" s="217"/>
      <c r="M578" s="217"/>
      <c r="N578" s="217"/>
      <c r="O578" s="217"/>
      <c r="P578" s="217"/>
      <c r="Q578" s="217"/>
      <c r="R578" s="217"/>
      <c r="S578" s="217"/>
      <c r="T578" s="217"/>
      <c r="U578" s="217"/>
      <c r="V578" s="217"/>
      <c r="W578" s="217"/>
      <c r="X578" s="217"/>
      <c r="Y578" s="217"/>
      <c r="Z578" s="217"/>
    </row>
    <row r="579" ht="15.75" customHeight="1">
      <c r="A579" s="217"/>
      <c r="B579" s="217"/>
      <c r="C579" s="217"/>
      <c r="D579" s="217"/>
      <c r="E579" s="217"/>
      <c r="F579" s="217"/>
      <c r="G579" s="217"/>
      <c r="H579" s="217"/>
      <c r="I579" s="217"/>
      <c r="J579" s="217"/>
      <c r="K579" s="217"/>
      <c r="L579" s="217"/>
      <c r="M579" s="217"/>
      <c r="N579" s="217"/>
      <c r="O579" s="217"/>
      <c r="P579" s="217"/>
      <c r="Q579" s="217"/>
      <c r="R579" s="217"/>
      <c r="S579" s="217"/>
      <c r="T579" s="217"/>
      <c r="U579" s="217"/>
      <c r="V579" s="217"/>
      <c r="W579" s="217"/>
      <c r="X579" s="217"/>
      <c r="Y579" s="217"/>
      <c r="Z579" s="217"/>
    </row>
    <row r="580" ht="15.75" customHeight="1">
      <c r="A580" s="217"/>
      <c r="B580" s="217"/>
      <c r="C580" s="217"/>
      <c r="D580" s="217"/>
      <c r="E580" s="217"/>
      <c r="F580" s="217"/>
      <c r="G580" s="217"/>
      <c r="H580" s="217"/>
      <c r="I580" s="217"/>
      <c r="J580" s="217"/>
      <c r="K580" s="217"/>
      <c r="L580" s="217"/>
      <c r="M580" s="217"/>
      <c r="N580" s="217"/>
      <c r="O580" s="217"/>
      <c r="P580" s="217"/>
      <c r="Q580" s="217"/>
      <c r="R580" s="217"/>
      <c r="S580" s="217"/>
      <c r="T580" s="217"/>
      <c r="U580" s="217"/>
      <c r="V580" s="217"/>
      <c r="W580" s="217"/>
      <c r="X580" s="217"/>
      <c r="Y580" s="217"/>
      <c r="Z580" s="217"/>
    </row>
    <row r="581" ht="15.75" customHeight="1">
      <c r="A581" s="217"/>
      <c r="B581" s="217"/>
      <c r="C581" s="217"/>
      <c r="D581" s="217"/>
      <c r="E581" s="217"/>
      <c r="F581" s="217"/>
      <c r="G581" s="217"/>
      <c r="H581" s="217"/>
      <c r="I581" s="217"/>
      <c r="J581" s="217"/>
      <c r="K581" s="217"/>
      <c r="L581" s="217"/>
      <c r="M581" s="217"/>
      <c r="N581" s="217"/>
      <c r="O581" s="217"/>
      <c r="P581" s="217"/>
      <c r="Q581" s="217"/>
      <c r="R581" s="217"/>
      <c r="S581" s="217"/>
      <c r="T581" s="217"/>
      <c r="U581" s="217"/>
      <c r="V581" s="217"/>
      <c r="W581" s="217"/>
      <c r="X581" s="217"/>
      <c r="Y581" s="217"/>
      <c r="Z581" s="217"/>
    </row>
    <row r="582" ht="15.75" customHeight="1">
      <c r="A582" s="217"/>
      <c r="B582" s="217"/>
      <c r="C582" s="217"/>
      <c r="D582" s="217"/>
      <c r="E582" s="217"/>
      <c r="F582" s="217"/>
      <c r="G582" s="217"/>
      <c r="H582" s="217"/>
      <c r="I582" s="217"/>
      <c r="J582" s="217"/>
      <c r="K582" s="217"/>
      <c r="L582" s="217"/>
      <c r="M582" s="217"/>
      <c r="N582" s="217"/>
      <c r="O582" s="217"/>
      <c r="P582" s="217"/>
      <c r="Q582" s="217"/>
      <c r="R582" s="217"/>
      <c r="S582" s="217"/>
      <c r="T582" s="217"/>
      <c r="U582" s="217"/>
      <c r="V582" s="217"/>
      <c r="W582" s="217"/>
      <c r="X582" s="217"/>
      <c r="Y582" s="217"/>
      <c r="Z582" s="217"/>
    </row>
    <row r="583" ht="15.75" customHeight="1">
      <c r="A583" s="217"/>
      <c r="B583" s="217"/>
      <c r="C583" s="217"/>
      <c r="D583" s="217"/>
      <c r="E583" s="217"/>
      <c r="F583" s="217"/>
      <c r="G583" s="217"/>
      <c r="H583" s="217"/>
      <c r="I583" s="217"/>
      <c r="J583" s="217"/>
      <c r="K583" s="217"/>
      <c r="L583" s="217"/>
      <c r="M583" s="217"/>
      <c r="N583" s="217"/>
      <c r="O583" s="217"/>
      <c r="P583" s="217"/>
      <c r="Q583" s="217"/>
      <c r="R583" s="217"/>
      <c r="S583" s="217"/>
      <c r="T583" s="217"/>
      <c r="U583" s="217"/>
      <c r="V583" s="217"/>
      <c r="W583" s="217"/>
      <c r="X583" s="217"/>
      <c r="Y583" s="217"/>
      <c r="Z583" s="217"/>
    </row>
    <row r="584" ht="15.75" customHeight="1">
      <c r="A584" s="217"/>
      <c r="B584" s="217"/>
      <c r="C584" s="217"/>
      <c r="D584" s="217"/>
      <c r="E584" s="217"/>
      <c r="F584" s="217"/>
      <c r="G584" s="217"/>
      <c r="H584" s="217"/>
      <c r="I584" s="217"/>
      <c r="J584" s="217"/>
      <c r="K584" s="217"/>
      <c r="L584" s="217"/>
      <c r="M584" s="217"/>
      <c r="N584" s="217"/>
      <c r="O584" s="217"/>
      <c r="P584" s="217"/>
      <c r="Q584" s="217"/>
      <c r="R584" s="217"/>
      <c r="S584" s="217"/>
      <c r="T584" s="217"/>
      <c r="U584" s="217"/>
      <c r="V584" s="217"/>
      <c r="W584" s="217"/>
      <c r="X584" s="217"/>
      <c r="Y584" s="217"/>
      <c r="Z584" s="217"/>
    </row>
    <row r="585" ht="15.75" customHeight="1">
      <c r="A585" s="217"/>
      <c r="B585" s="217"/>
      <c r="C585" s="217"/>
      <c r="D585" s="217"/>
      <c r="E585" s="217"/>
      <c r="F585" s="217"/>
      <c r="G585" s="217"/>
      <c r="H585" s="217"/>
      <c r="I585" s="217"/>
      <c r="J585" s="217"/>
      <c r="K585" s="217"/>
      <c r="L585" s="217"/>
      <c r="M585" s="217"/>
      <c r="N585" s="217"/>
      <c r="O585" s="217"/>
      <c r="P585" s="217"/>
      <c r="Q585" s="217"/>
      <c r="R585" s="217"/>
      <c r="S585" s="217"/>
      <c r="T585" s="217"/>
      <c r="U585" s="217"/>
      <c r="V585" s="217"/>
      <c r="W585" s="217"/>
      <c r="X585" s="217"/>
      <c r="Y585" s="217"/>
      <c r="Z585" s="217"/>
    </row>
    <row r="586" ht="15.75" customHeight="1">
      <c r="A586" s="217"/>
      <c r="B586" s="217"/>
      <c r="C586" s="217"/>
      <c r="D586" s="217"/>
      <c r="E586" s="217"/>
      <c r="F586" s="217"/>
      <c r="G586" s="217"/>
      <c r="H586" s="217"/>
      <c r="I586" s="217"/>
      <c r="J586" s="217"/>
      <c r="K586" s="217"/>
      <c r="L586" s="217"/>
      <c r="M586" s="217"/>
      <c r="N586" s="217"/>
      <c r="O586" s="217"/>
      <c r="P586" s="217"/>
      <c r="Q586" s="217"/>
      <c r="R586" s="217"/>
      <c r="S586" s="217"/>
      <c r="T586" s="217"/>
      <c r="U586" s="217"/>
      <c r="V586" s="217"/>
      <c r="W586" s="217"/>
      <c r="X586" s="217"/>
      <c r="Y586" s="217"/>
      <c r="Z586" s="217"/>
    </row>
    <row r="587" ht="15.75" customHeight="1">
      <c r="A587" s="217"/>
      <c r="B587" s="217"/>
      <c r="C587" s="217"/>
      <c r="D587" s="217"/>
      <c r="E587" s="217"/>
      <c r="F587" s="217"/>
      <c r="G587" s="217"/>
      <c r="H587" s="217"/>
      <c r="I587" s="217"/>
      <c r="J587" s="217"/>
      <c r="K587" s="217"/>
      <c r="L587" s="217"/>
      <c r="M587" s="217"/>
      <c r="N587" s="217"/>
      <c r="O587" s="217"/>
      <c r="P587" s="217"/>
      <c r="Q587" s="217"/>
      <c r="R587" s="217"/>
      <c r="S587" s="217"/>
      <c r="T587" s="217"/>
      <c r="U587" s="217"/>
      <c r="V587" s="217"/>
      <c r="W587" s="217"/>
      <c r="X587" s="217"/>
      <c r="Y587" s="217"/>
      <c r="Z587" s="217"/>
    </row>
    <row r="588" ht="15.75" customHeight="1">
      <c r="A588" s="217"/>
      <c r="B588" s="217"/>
      <c r="C588" s="217"/>
      <c r="D588" s="217"/>
      <c r="E588" s="217"/>
      <c r="F588" s="217"/>
      <c r="G588" s="217"/>
      <c r="H588" s="217"/>
      <c r="I588" s="217"/>
      <c r="J588" s="217"/>
      <c r="K588" s="217"/>
      <c r="L588" s="217"/>
      <c r="M588" s="217"/>
      <c r="N588" s="217"/>
      <c r="O588" s="217"/>
      <c r="P588" s="217"/>
      <c r="Q588" s="217"/>
      <c r="R588" s="217"/>
      <c r="S588" s="217"/>
      <c r="T588" s="217"/>
      <c r="U588" s="217"/>
      <c r="V588" s="217"/>
      <c r="W588" s="217"/>
      <c r="X588" s="217"/>
      <c r="Y588" s="217"/>
      <c r="Z588" s="217"/>
    </row>
    <row r="589" ht="15.75" customHeight="1">
      <c r="A589" s="217"/>
      <c r="B589" s="217"/>
      <c r="C589" s="217"/>
      <c r="D589" s="217"/>
      <c r="E589" s="217"/>
      <c r="F589" s="217"/>
      <c r="G589" s="217"/>
      <c r="H589" s="217"/>
      <c r="I589" s="217"/>
      <c r="J589" s="217"/>
      <c r="K589" s="217"/>
      <c r="L589" s="217"/>
      <c r="M589" s="217"/>
      <c r="N589" s="217"/>
      <c r="O589" s="217"/>
      <c r="P589" s="217"/>
      <c r="Q589" s="217"/>
      <c r="R589" s="217"/>
      <c r="S589" s="217"/>
      <c r="T589" s="217"/>
      <c r="U589" s="217"/>
      <c r="V589" s="217"/>
      <c r="W589" s="217"/>
      <c r="X589" s="217"/>
      <c r="Y589" s="217"/>
      <c r="Z589" s="217"/>
    </row>
    <row r="590" ht="15.75" customHeight="1">
      <c r="A590" s="217"/>
      <c r="B590" s="217"/>
      <c r="C590" s="217"/>
      <c r="D590" s="217"/>
      <c r="E590" s="217"/>
      <c r="F590" s="217"/>
      <c r="G590" s="217"/>
      <c r="H590" s="217"/>
      <c r="I590" s="217"/>
      <c r="J590" s="217"/>
      <c r="K590" s="217"/>
      <c r="L590" s="217"/>
      <c r="M590" s="217"/>
      <c r="N590" s="217"/>
      <c r="O590" s="217"/>
      <c r="P590" s="217"/>
      <c r="Q590" s="217"/>
      <c r="R590" s="217"/>
      <c r="S590" s="217"/>
      <c r="T590" s="217"/>
      <c r="U590" s="217"/>
      <c r="V590" s="217"/>
      <c r="W590" s="217"/>
      <c r="X590" s="217"/>
      <c r="Y590" s="217"/>
      <c r="Z590" s="217"/>
    </row>
    <row r="591" ht="15.75" customHeight="1">
      <c r="A591" s="217"/>
      <c r="B591" s="217"/>
      <c r="C591" s="217"/>
      <c r="D591" s="217"/>
      <c r="E591" s="217"/>
      <c r="F591" s="217"/>
      <c r="G591" s="217"/>
      <c r="H591" s="217"/>
      <c r="I591" s="217"/>
      <c r="J591" s="217"/>
      <c r="K591" s="217"/>
      <c r="L591" s="217"/>
      <c r="M591" s="217"/>
      <c r="N591" s="217"/>
      <c r="O591" s="217"/>
      <c r="P591" s="217"/>
      <c r="Q591" s="217"/>
      <c r="R591" s="217"/>
      <c r="S591" s="217"/>
      <c r="T591" s="217"/>
      <c r="U591" s="217"/>
      <c r="V591" s="217"/>
      <c r="W591" s="217"/>
      <c r="X591" s="217"/>
      <c r="Y591" s="217"/>
      <c r="Z591" s="217"/>
    </row>
    <row r="592" ht="15.75" customHeight="1">
      <c r="A592" s="217"/>
      <c r="B592" s="217"/>
      <c r="C592" s="217"/>
      <c r="D592" s="217"/>
      <c r="E592" s="217"/>
      <c r="F592" s="217"/>
      <c r="G592" s="217"/>
      <c r="H592" s="217"/>
      <c r="I592" s="217"/>
      <c r="J592" s="217"/>
      <c r="K592" s="217"/>
      <c r="L592" s="217"/>
      <c r="M592" s="217"/>
      <c r="N592" s="217"/>
      <c r="O592" s="217"/>
      <c r="P592" s="217"/>
      <c r="Q592" s="217"/>
      <c r="R592" s="217"/>
      <c r="S592" s="217"/>
      <c r="T592" s="217"/>
      <c r="U592" s="217"/>
      <c r="V592" s="217"/>
      <c r="W592" s="217"/>
      <c r="X592" s="217"/>
      <c r="Y592" s="217"/>
      <c r="Z592" s="217"/>
    </row>
    <row r="593" ht="15.75" customHeight="1">
      <c r="A593" s="217"/>
      <c r="B593" s="217"/>
      <c r="C593" s="217"/>
      <c r="D593" s="217"/>
      <c r="E593" s="217"/>
      <c r="F593" s="217"/>
      <c r="G593" s="217"/>
      <c r="H593" s="217"/>
      <c r="I593" s="217"/>
      <c r="J593" s="217"/>
      <c r="K593" s="217"/>
      <c r="L593" s="217"/>
      <c r="M593" s="217"/>
      <c r="N593" s="217"/>
      <c r="O593" s="217"/>
      <c r="P593" s="217"/>
      <c r="Q593" s="217"/>
      <c r="R593" s="217"/>
      <c r="S593" s="217"/>
      <c r="T593" s="217"/>
      <c r="U593" s="217"/>
      <c r="V593" s="217"/>
      <c r="W593" s="217"/>
      <c r="X593" s="217"/>
      <c r="Y593" s="217"/>
      <c r="Z593" s="217"/>
    </row>
    <row r="594" ht="15.75" customHeight="1">
      <c r="A594" s="217"/>
      <c r="B594" s="217"/>
      <c r="C594" s="217"/>
      <c r="D594" s="217"/>
      <c r="E594" s="217"/>
      <c r="F594" s="217"/>
      <c r="G594" s="217"/>
      <c r="H594" s="217"/>
      <c r="I594" s="217"/>
      <c r="J594" s="217"/>
      <c r="K594" s="217"/>
      <c r="L594" s="217"/>
      <c r="M594" s="217"/>
      <c r="N594" s="217"/>
      <c r="O594" s="217"/>
      <c r="P594" s="217"/>
      <c r="Q594" s="217"/>
      <c r="R594" s="217"/>
      <c r="S594" s="217"/>
      <c r="T594" s="217"/>
      <c r="U594" s="217"/>
      <c r="V594" s="217"/>
      <c r="W594" s="217"/>
      <c r="X594" s="217"/>
      <c r="Y594" s="217"/>
      <c r="Z594" s="217"/>
    </row>
    <row r="595" ht="15.75" customHeight="1">
      <c r="A595" s="217"/>
      <c r="B595" s="217"/>
      <c r="C595" s="217"/>
      <c r="D595" s="217"/>
      <c r="E595" s="217"/>
      <c r="F595" s="217"/>
      <c r="G595" s="217"/>
      <c r="H595" s="217"/>
      <c r="I595" s="217"/>
      <c r="J595" s="217"/>
      <c r="K595" s="217"/>
      <c r="L595" s="217"/>
      <c r="M595" s="217"/>
      <c r="N595" s="217"/>
      <c r="O595" s="217"/>
      <c r="P595" s="217"/>
      <c r="Q595" s="217"/>
      <c r="R595" s="217"/>
      <c r="S595" s="217"/>
      <c r="T595" s="217"/>
      <c r="U595" s="217"/>
      <c r="V595" s="217"/>
      <c r="W595" s="217"/>
      <c r="X595" s="217"/>
      <c r="Y595" s="217"/>
      <c r="Z595" s="217"/>
    </row>
    <row r="596" ht="15.75" customHeight="1">
      <c r="A596" s="217"/>
      <c r="B596" s="217"/>
      <c r="C596" s="217"/>
      <c r="D596" s="217"/>
      <c r="E596" s="217"/>
      <c r="F596" s="217"/>
      <c r="G596" s="217"/>
      <c r="H596" s="217"/>
      <c r="I596" s="217"/>
      <c r="J596" s="217"/>
      <c r="K596" s="217"/>
      <c r="L596" s="217"/>
      <c r="M596" s="217"/>
      <c r="N596" s="217"/>
      <c r="O596" s="217"/>
      <c r="P596" s="217"/>
      <c r="Q596" s="217"/>
      <c r="R596" s="217"/>
      <c r="S596" s="217"/>
      <c r="T596" s="217"/>
      <c r="U596" s="217"/>
      <c r="V596" s="217"/>
      <c r="W596" s="217"/>
      <c r="X596" s="217"/>
      <c r="Y596" s="217"/>
      <c r="Z596" s="217"/>
    </row>
    <row r="597" ht="15.75" customHeight="1">
      <c r="A597" s="217"/>
      <c r="B597" s="217"/>
      <c r="C597" s="217"/>
      <c r="D597" s="217"/>
      <c r="E597" s="217"/>
      <c r="F597" s="217"/>
      <c r="G597" s="217"/>
      <c r="H597" s="217"/>
      <c r="I597" s="217"/>
      <c r="J597" s="217"/>
      <c r="K597" s="217"/>
      <c r="L597" s="217"/>
      <c r="M597" s="217"/>
      <c r="N597" s="217"/>
      <c r="O597" s="217"/>
      <c r="P597" s="217"/>
      <c r="Q597" s="217"/>
      <c r="R597" s="217"/>
      <c r="S597" s="217"/>
      <c r="T597" s="217"/>
      <c r="U597" s="217"/>
      <c r="V597" s="217"/>
      <c r="W597" s="217"/>
      <c r="X597" s="217"/>
      <c r="Y597" s="217"/>
      <c r="Z597" s="217"/>
    </row>
    <row r="598" ht="15.75" customHeight="1">
      <c r="A598" s="217"/>
      <c r="B598" s="217"/>
      <c r="C598" s="217"/>
      <c r="D598" s="217"/>
      <c r="E598" s="217"/>
      <c r="F598" s="217"/>
      <c r="G598" s="217"/>
      <c r="H598" s="217"/>
      <c r="I598" s="217"/>
      <c r="J598" s="217"/>
      <c r="K598" s="217"/>
      <c r="L598" s="217"/>
      <c r="M598" s="217"/>
      <c r="N598" s="217"/>
      <c r="O598" s="217"/>
      <c r="P598" s="217"/>
      <c r="Q598" s="217"/>
      <c r="R598" s="217"/>
      <c r="S598" s="217"/>
      <c r="T598" s="217"/>
      <c r="U598" s="217"/>
      <c r="V598" s="217"/>
      <c r="W598" s="217"/>
      <c r="X598" s="217"/>
      <c r="Y598" s="217"/>
      <c r="Z598" s="217"/>
    </row>
    <row r="599" ht="15.75" customHeight="1">
      <c r="A599" s="217"/>
      <c r="B599" s="217"/>
      <c r="C599" s="217"/>
      <c r="D599" s="217"/>
      <c r="E599" s="217"/>
      <c r="F599" s="217"/>
      <c r="G599" s="217"/>
      <c r="H599" s="217"/>
      <c r="I599" s="217"/>
      <c r="J599" s="217"/>
      <c r="K599" s="217"/>
      <c r="L599" s="217"/>
      <c r="M599" s="217"/>
      <c r="N599" s="217"/>
      <c r="O599" s="217"/>
      <c r="P599" s="217"/>
      <c r="Q599" s="217"/>
      <c r="R599" s="217"/>
      <c r="S599" s="217"/>
      <c r="T599" s="217"/>
      <c r="U599" s="217"/>
      <c r="V599" s="217"/>
      <c r="W599" s="217"/>
      <c r="X599" s="217"/>
      <c r="Y599" s="217"/>
      <c r="Z599" s="217"/>
    </row>
    <row r="600" ht="15.75" customHeight="1">
      <c r="A600" s="217"/>
      <c r="B600" s="217"/>
      <c r="C600" s="217"/>
      <c r="D600" s="217"/>
      <c r="E600" s="217"/>
      <c r="F600" s="217"/>
      <c r="G600" s="217"/>
      <c r="H600" s="217"/>
      <c r="I600" s="217"/>
      <c r="J600" s="217"/>
      <c r="K600" s="217"/>
      <c r="L600" s="217"/>
      <c r="M600" s="217"/>
      <c r="N600" s="217"/>
      <c r="O600" s="217"/>
      <c r="P600" s="217"/>
      <c r="Q600" s="217"/>
      <c r="R600" s="217"/>
      <c r="S600" s="217"/>
      <c r="T600" s="217"/>
      <c r="U600" s="217"/>
      <c r="V600" s="217"/>
      <c r="W600" s="217"/>
      <c r="X600" s="217"/>
      <c r="Y600" s="217"/>
      <c r="Z600" s="217"/>
    </row>
    <row r="601" ht="15.75" customHeight="1">
      <c r="A601" s="217"/>
      <c r="B601" s="217"/>
      <c r="C601" s="217"/>
      <c r="D601" s="217"/>
      <c r="E601" s="217"/>
      <c r="F601" s="217"/>
      <c r="G601" s="217"/>
      <c r="H601" s="217"/>
      <c r="I601" s="217"/>
      <c r="J601" s="217"/>
      <c r="K601" s="217"/>
      <c r="L601" s="217"/>
      <c r="M601" s="217"/>
      <c r="N601" s="217"/>
      <c r="O601" s="217"/>
      <c r="P601" s="217"/>
      <c r="Q601" s="217"/>
      <c r="R601" s="217"/>
      <c r="S601" s="217"/>
      <c r="T601" s="217"/>
      <c r="U601" s="217"/>
      <c r="V601" s="217"/>
      <c r="W601" s="217"/>
      <c r="X601" s="217"/>
      <c r="Y601" s="217"/>
      <c r="Z601" s="217"/>
    </row>
    <row r="602" ht="15.75" customHeight="1">
      <c r="A602" s="217"/>
      <c r="B602" s="217"/>
      <c r="C602" s="217"/>
      <c r="D602" s="217"/>
      <c r="E602" s="217"/>
      <c r="F602" s="217"/>
      <c r="G602" s="217"/>
      <c r="H602" s="217"/>
      <c r="I602" s="217"/>
      <c r="J602" s="217"/>
      <c r="K602" s="217"/>
      <c r="L602" s="217"/>
      <c r="M602" s="217"/>
      <c r="N602" s="217"/>
      <c r="O602" s="217"/>
      <c r="P602" s="217"/>
      <c r="Q602" s="217"/>
      <c r="R602" s="217"/>
      <c r="S602" s="217"/>
      <c r="T602" s="217"/>
      <c r="U602" s="217"/>
      <c r="V602" s="217"/>
      <c r="W602" s="217"/>
      <c r="X602" s="217"/>
      <c r="Y602" s="217"/>
      <c r="Z602" s="217"/>
    </row>
    <row r="603" ht="15.75" customHeight="1">
      <c r="A603" s="217"/>
      <c r="B603" s="217"/>
      <c r="C603" s="217"/>
      <c r="D603" s="217"/>
      <c r="E603" s="217"/>
      <c r="F603" s="217"/>
      <c r="G603" s="217"/>
      <c r="H603" s="217"/>
      <c r="I603" s="217"/>
      <c r="J603" s="217"/>
      <c r="K603" s="217"/>
      <c r="L603" s="217"/>
      <c r="M603" s="217"/>
      <c r="N603" s="217"/>
      <c r="O603" s="217"/>
      <c r="P603" s="217"/>
      <c r="Q603" s="217"/>
      <c r="R603" s="217"/>
      <c r="S603" s="217"/>
      <c r="T603" s="217"/>
      <c r="U603" s="217"/>
      <c r="V603" s="217"/>
      <c r="W603" s="217"/>
      <c r="X603" s="217"/>
      <c r="Y603" s="217"/>
      <c r="Z603" s="217"/>
    </row>
    <row r="604" ht="15.75" customHeight="1">
      <c r="A604" s="217"/>
      <c r="B604" s="217"/>
      <c r="C604" s="217"/>
      <c r="D604" s="217"/>
      <c r="E604" s="217"/>
      <c r="F604" s="217"/>
      <c r="G604" s="217"/>
      <c r="H604" s="217"/>
      <c r="I604" s="217"/>
      <c r="J604" s="217"/>
      <c r="K604" s="217"/>
      <c r="L604" s="217"/>
      <c r="M604" s="217"/>
      <c r="N604" s="217"/>
      <c r="O604" s="217"/>
      <c r="P604" s="217"/>
      <c r="Q604" s="217"/>
      <c r="R604" s="217"/>
      <c r="S604" s="217"/>
      <c r="T604" s="217"/>
      <c r="U604" s="217"/>
      <c r="V604" s="217"/>
      <c r="W604" s="217"/>
      <c r="X604" s="217"/>
      <c r="Y604" s="217"/>
      <c r="Z604" s="217"/>
    </row>
    <row r="605" ht="15.75" customHeight="1">
      <c r="A605" s="217"/>
      <c r="B605" s="217"/>
      <c r="C605" s="217"/>
      <c r="D605" s="217"/>
      <c r="E605" s="217"/>
      <c r="F605" s="217"/>
      <c r="G605" s="217"/>
      <c r="H605" s="217"/>
      <c r="I605" s="217"/>
      <c r="J605" s="217"/>
      <c r="K605" s="217"/>
      <c r="L605" s="217"/>
      <c r="M605" s="217"/>
      <c r="N605" s="217"/>
      <c r="O605" s="217"/>
      <c r="P605" s="217"/>
      <c r="Q605" s="217"/>
      <c r="R605" s="217"/>
      <c r="S605" s="217"/>
      <c r="T605" s="217"/>
      <c r="U605" s="217"/>
      <c r="V605" s="217"/>
      <c r="W605" s="217"/>
      <c r="X605" s="217"/>
      <c r="Y605" s="217"/>
      <c r="Z605" s="217"/>
    </row>
    <row r="606" ht="15.75" customHeight="1">
      <c r="A606" s="217"/>
      <c r="B606" s="217"/>
      <c r="C606" s="217"/>
      <c r="D606" s="217"/>
      <c r="E606" s="217"/>
      <c r="F606" s="217"/>
      <c r="G606" s="217"/>
      <c r="H606" s="217"/>
      <c r="I606" s="217"/>
      <c r="J606" s="217"/>
      <c r="K606" s="217"/>
      <c r="L606" s="217"/>
      <c r="M606" s="217"/>
      <c r="N606" s="217"/>
      <c r="O606" s="217"/>
      <c r="P606" s="217"/>
      <c r="Q606" s="217"/>
      <c r="R606" s="217"/>
      <c r="S606" s="217"/>
      <c r="T606" s="217"/>
      <c r="U606" s="217"/>
      <c r="V606" s="217"/>
      <c r="W606" s="217"/>
      <c r="X606" s="217"/>
      <c r="Y606" s="217"/>
      <c r="Z606" s="217"/>
    </row>
    <row r="607" ht="15.75" customHeight="1">
      <c r="A607" s="217"/>
      <c r="B607" s="217"/>
      <c r="C607" s="217"/>
      <c r="D607" s="217"/>
      <c r="E607" s="217"/>
      <c r="F607" s="217"/>
      <c r="G607" s="217"/>
      <c r="H607" s="217"/>
      <c r="I607" s="217"/>
      <c r="J607" s="217"/>
      <c r="K607" s="217"/>
      <c r="L607" s="217"/>
      <c r="M607" s="217"/>
      <c r="N607" s="217"/>
      <c r="O607" s="217"/>
      <c r="P607" s="217"/>
      <c r="Q607" s="217"/>
      <c r="R607" s="217"/>
      <c r="S607" s="217"/>
      <c r="T607" s="217"/>
      <c r="U607" s="217"/>
      <c r="V607" s="217"/>
      <c r="W607" s="217"/>
      <c r="X607" s="217"/>
      <c r="Y607" s="217"/>
      <c r="Z607" s="217"/>
    </row>
    <row r="608" ht="15.75" customHeight="1">
      <c r="A608" s="217"/>
      <c r="B608" s="217"/>
      <c r="C608" s="217"/>
      <c r="D608" s="217"/>
      <c r="E608" s="217"/>
      <c r="F608" s="217"/>
      <c r="G608" s="217"/>
      <c r="H608" s="217"/>
      <c r="I608" s="217"/>
      <c r="J608" s="217"/>
      <c r="K608" s="217"/>
      <c r="L608" s="217"/>
      <c r="M608" s="217"/>
      <c r="N608" s="217"/>
      <c r="O608" s="217"/>
      <c r="P608" s="217"/>
      <c r="Q608" s="217"/>
      <c r="R608" s="217"/>
      <c r="S608" s="217"/>
      <c r="T608" s="217"/>
      <c r="U608" s="217"/>
      <c r="V608" s="217"/>
      <c r="W608" s="217"/>
      <c r="X608" s="217"/>
      <c r="Y608" s="217"/>
      <c r="Z608" s="217"/>
    </row>
    <row r="609" ht="15.75" customHeight="1">
      <c r="A609" s="217"/>
      <c r="B609" s="217"/>
      <c r="C609" s="217"/>
      <c r="D609" s="217"/>
      <c r="E609" s="217"/>
      <c r="F609" s="217"/>
      <c r="G609" s="217"/>
      <c r="H609" s="217"/>
      <c r="I609" s="217"/>
      <c r="J609" s="217"/>
      <c r="K609" s="217"/>
      <c r="L609" s="217"/>
      <c r="M609" s="217"/>
      <c r="N609" s="217"/>
      <c r="O609" s="217"/>
      <c r="P609" s="217"/>
      <c r="Q609" s="217"/>
      <c r="R609" s="217"/>
      <c r="S609" s="217"/>
      <c r="T609" s="217"/>
      <c r="U609" s="217"/>
      <c r="V609" s="217"/>
      <c r="W609" s="217"/>
      <c r="X609" s="217"/>
      <c r="Y609" s="217"/>
      <c r="Z609" s="217"/>
    </row>
    <row r="610" ht="15.75" customHeight="1">
      <c r="A610" s="217"/>
      <c r="B610" s="217"/>
      <c r="C610" s="217"/>
      <c r="D610" s="217"/>
      <c r="E610" s="217"/>
      <c r="F610" s="217"/>
      <c r="G610" s="217"/>
      <c r="H610" s="217"/>
      <c r="I610" s="217"/>
      <c r="J610" s="217"/>
      <c r="K610" s="217"/>
      <c r="L610" s="217"/>
      <c r="M610" s="217"/>
      <c r="N610" s="217"/>
      <c r="O610" s="217"/>
      <c r="P610" s="217"/>
      <c r="Q610" s="217"/>
      <c r="R610" s="217"/>
      <c r="S610" s="217"/>
      <c r="T610" s="217"/>
      <c r="U610" s="217"/>
      <c r="V610" s="217"/>
      <c r="W610" s="217"/>
      <c r="X610" s="217"/>
      <c r="Y610" s="217"/>
      <c r="Z610" s="217"/>
    </row>
    <row r="611" ht="15.75" customHeight="1">
      <c r="A611" s="217"/>
      <c r="B611" s="217"/>
      <c r="C611" s="217"/>
      <c r="D611" s="217"/>
      <c r="E611" s="217"/>
      <c r="F611" s="217"/>
      <c r="G611" s="217"/>
      <c r="H611" s="217"/>
      <c r="I611" s="217"/>
      <c r="J611" s="217"/>
      <c r="K611" s="217"/>
      <c r="L611" s="217"/>
      <c r="M611" s="217"/>
      <c r="N611" s="217"/>
      <c r="O611" s="217"/>
      <c r="P611" s="217"/>
      <c r="Q611" s="217"/>
      <c r="R611" s="217"/>
      <c r="S611" s="217"/>
      <c r="T611" s="217"/>
      <c r="U611" s="217"/>
      <c r="V611" s="217"/>
      <c r="W611" s="217"/>
      <c r="X611" s="217"/>
      <c r="Y611" s="217"/>
      <c r="Z611" s="217"/>
    </row>
    <row r="612" ht="15.75" customHeight="1">
      <c r="A612" s="217"/>
      <c r="B612" s="217"/>
      <c r="C612" s="217"/>
      <c r="D612" s="217"/>
      <c r="E612" s="217"/>
      <c r="F612" s="217"/>
      <c r="G612" s="217"/>
      <c r="H612" s="217"/>
      <c r="I612" s="217"/>
      <c r="J612" s="217"/>
      <c r="K612" s="217"/>
      <c r="L612" s="217"/>
      <c r="M612" s="217"/>
      <c r="N612" s="217"/>
      <c r="O612" s="217"/>
      <c r="P612" s="217"/>
      <c r="Q612" s="217"/>
      <c r="R612" s="217"/>
      <c r="S612" s="217"/>
      <c r="T612" s="217"/>
      <c r="U612" s="217"/>
      <c r="V612" s="217"/>
      <c r="W612" s="217"/>
      <c r="X612" s="217"/>
      <c r="Y612" s="217"/>
      <c r="Z612" s="217"/>
    </row>
    <row r="613" ht="15.75" customHeight="1">
      <c r="A613" s="217"/>
      <c r="B613" s="217"/>
      <c r="C613" s="217"/>
      <c r="D613" s="217"/>
      <c r="E613" s="217"/>
      <c r="F613" s="217"/>
      <c r="G613" s="217"/>
      <c r="H613" s="217"/>
      <c r="I613" s="217"/>
      <c r="J613" s="217"/>
      <c r="K613" s="217"/>
      <c r="L613" s="217"/>
      <c r="M613" s="217"/>
      <c r="N613" s="217"/>
      <c r="O613" s="217"/>
      <c r="P613" s="217"/>
      <c r="Q613" s="217"/>
      <c r="R613" s="217"/>
      <c r="S613" s="217"/>
      <c r="T613" s="217"/>
      <c r="U613" s="217"/>
      <c r="V613" s="217"/>
      <c r="W613" s="217"/>
      <c r="X613" s="217"/>
      <c r="Y613" s="217"/>
      <c r="Z613" s="217"/>
    </row>
    <row r="614" ht="15.75" customHeight="1">
      <c r="A614" s="217"/>
      <c r="B614" s="217"/>
      <c r="C614" s="217"/>
      <c r="D614" s="217"/>
      <c r="E614" s="217"/>
      <c r="F614" s="217"/>
      <c r="G614" s="217"/>
      <c r="H614" s="217"/>
      <c r="I614" s="217"/>
      <c r="J614" s="217"/>
      <c r="K614" s="217"/>
      <c r="L614" s="217"/>
      <c r="M614" s="217"/>
      <c r="N614" s="217"/>
      <c r="O614" s="217"/>
      <c r="P614" s="217"/>
      <c r="Q614" s="217"/>
      <c r="R614" s="217"/>
      <c r="S614" s="217"/>
      <c r="T614" s="217"/>
      <c r="U614" s="217"/>
      <c r="V614" s="217"/>
      <c r="W614" s="217"/>
      <c r="X614" s="217"/>
      <c r="Y614" s="217"/>
      <c r="Z614" s="217"/>
    </row>
    <row r="615" ht="15.75" customHeight="1">
      <c r="A615" s="217"/>
      <c r="B615" s="217"/>
      <c r="C615" s="217"/>
      <c r="D615" s="217"/>
      <c r="E615" s="217"/>
      <c r="F615" s="217"/>
      <c r="G615" s="217"/>
      <c r="H615" s="217"/>
      <c r="I615" s="217"/>
      <c r="J615" s="217"/>
      <c r="K615" s="217"/>
      <c r="L615" s="217"/>
      <c r="M615" s="217"/>
      <c r="N615" s="217"/>
      <c r="O615" s="217"/>
      <c r="P615" s="217"/>
      <c r="Q615" s="217"/>
      <c r="R615" s="217"/>
      <c r="S615" s="217"/>
      <c r="T615" s="217"/>
      <c r="U615" s="217"/>
      <c r="V615" s="217"/>
      <c r="W615" s="217"/>
      <c r="X615" s="217"/>
      <c r="Y615" s="217"/>
      <c r="Z615" s="217"/>
    </row>
    <row r="616" ht="15.75" customHeight="1">
      <c r="A616" s="217"/>
      <c r="B616" s="217"/>
      <c r="C616" s="217"/>
      <c r="D616" s="217"/>
      <c r="E616" s="217"/>
      <c r="F616" s="217"/>
      <c r="G616" s="217"/>
      <c r="H616" s="217"/>
      <c r="I616" s="217"/>
      <c r="J616" s="217"/>
      <c r="K616" s="217"/>
      <c r="L616" s="217"/>
      <c r="M616" s="217"/>
      <c r="N616" s="217"/>
      <c r="O616" s="217"/>
      <c r="P616" s="217"/>
      <c r="Q616" s="217"/>
      <c r="R616" s="217"/>
      <c r="S616" s="217"/>
      <c r="T616" s="217"/>
      <c r="U616" s="217"/>
      <c r="V616" s="217"/>
      <c r="W616" s="217"/>
      <c r="X616" s="217"/>
      <c r="Y616" s="217"/>
      <c r="Z616" s="217"/>
    </row>
    <row r="617" ht="15.75" customHeight="1">
      <c r="A617" s="217"/>
      <c r="B617" s="217"/>
      <c r="C617" s="217"/>
      <c r="D617" s="217"/>
      <c r="E617" s="217"/>
      <c r="F617" s="217"/>
      <c r="G617" s="217"/>
      <c r="H617" s="217"/>
      <c r="I617" s="217"/>
      <c r="J617" s="217"/>
      <c r="K617" s="217"/>
      <c r="L617" s="217"/>
      <c r="M617" s="217"/>
      <c r="N617" s="217"/>
      <c r="O617" s="217"/>
      <c r="P617" s="217"/>
      <c r="Q617" s="217"/>
      <c r="R617" s="217"/>
      <c r="S617" s="217"/>
      <c r="T617" s="217"/>
      <c r="U617" s="217"/>
      <c r="V617" s="217"/>
      <c r="W617" s="217"/>
      <c r="X617" s="217"/>
      <c r="Y617" s="217"/>
      <c r="Z617" s="217"/>
    </row>
    <row r="618" ht="15.75" customHeight="1">
      <c r="A618" s="217"/>
      <c r="B618" s="217"/>
      <c r="C618" s="217"/>
      <c r="D618" s="217"/>
      <c r="E618" s="217"/>
      <c r="F618" s="217"/>
      <c r="G618" s="217"/>
      <c r="H618" s="217"/>
      <c r="I618" s="217"/>
      <c r="J618" s="217"/>
      <c r="K618" s="217"/>
      <c r="L618" s="217"/>
      <c r="M618" s="217"/>
      <c r="N618" s="217"/>
      <c r="O618" s="217"/>
      <c r="P618" s="217"/>
      <c r="Q618" s="217"/>
      <c r="R618" s="217"/>
      <c r="S618" s="217"/>
      <c r="T618" s="217"/>
      <c r="U618" s="217"/>
      <c r="V618" s="217"/>
      <c r="W618" s="217"/>
      <c r="X618" s="217"/>
      <c r="Y618" s="217"/>
      <c r="Z618" s="217"/>
    </row>
    <row r="619" ht="15.75" customHeight="1">
      <c r="A619" s="217"/>
      <c r="B619" s="217"/>
      <c r="C619" s="217"/>
      <c r="D619" s="217"/>
      <c r="E619" s="217"/>
      <c r="F619" s="217"/>
      <c r="G619" s="217"/>
      <c r="H619" s="217"/>
      <c r="I619" s="217"/>
      <c r="J619" s="217"/>
      <c r="K619" s="217"/>
      <c r="L619" s="217"/>
      <c r="M619" s="217"/>
      <c r="N619" s="217"/>
      <c r="O619" s="217"/>
      <c r="P619" s="217"/>
      <c r="Q619" s="217"/>
      <c r="R619" s="217"/>
      <c r="S619" s="217"/>
      <c r="T619" s="217"/>
      <c r="U619" s="217"/>
      <c r="V619" s="217"/>
      <c r="W619" s="217"/>
      <c r="X619" s="217"/>
      <c r="Y619" s="217"/>
      <c r="Z619" s="217"/>
    </row>
    <row r="620" ht="15.75" customHeight="1">
      <c r="A620" s="217"/>
      <c r="B620" s="217"/>
      <c r="C620" s="217"/>
      <c r="D620" s="217"/>
      <c r="E620" s="217"/>
      <c r="F620" s="217"/>
      <c r="G620" s="217"/>
      <c r="H620" s="217"/>
      <c r="I620" s="217"/>
      <c r="J620" s="217"/>
      <c r="K620" s="217"/>
      <c r="L620" s="217"/>
      <c r="M620" s="217"/>
      <c r="N620" s="217"/>
      <c r="O620" s="217"/>
      <c r="P620" s="217"/>
      <c r="Q620" s="217"/>
      <c r="R620" s="217"/>
      <c r="S620" s="217"/>
      <c r="T620" s="217"/>
      <c r="U620" s="217"/>
      <c r="V620" s="217"/>
      <c r="W620" s="217"/>
      <c r="X620" s="217"/>
      <c r="Y620" s="217"/>
      <c r="Z620" s="217"/>
    </row>
    <row r="621" ht="15.75" customHeight="1">
      <c r="A621" s="217"/>
      <c r="B621" s="217"/>
      <c r="C621" s="217"/>
      <c r="D621" s="217"/>
      <c r="E621" s="217"/>
      <c r="F621" s="217"/>
      <c r="G621" s="217"/>
      <c r="H621" s="217"/>
      <c r="I621" s="217"/>
      <c r="J621" s="217"/>
      <c r="K621" s="217"/>
      <c r="L621" s="217"/>
      <c r="M621" s="217"/>
      <c r="N621" s="217"/>
      <c r="O621" s="217"/>
      <c r="P621" s="217"/>
      <c r="Q621" s="217"/>
      <c r="R621" s="217"/>
      <c r="S621" s="217"/>
      <c r="T621" s="217"/>
      <c r="U621" s="217"/>
      <c r="V621" s="217"/>
      <c r="W621" s="217"/>
      <c r="X621" s="217"/>
      <c r="Y621" s="217"/>
      <c r="Z621" s="217"/>
    </row>
    <row r="622" ht="15.75" customHeight="1">
      <c r="A622" s="217"/>
      <c r="B622" s="217"/>
      <c r="C622" s="217"/>
      <c r="D622" s="217"/>
      <c r="E622" s="217"/>
      <c r="F622" s="217"/>
      <c r="G622" s="217"/>
      <c r="H622" s="217"/>
      <c r="I622" s="217"/>
      <c r="J622" s="217"/>
      <c r="K622" s="217"/>
      <c r="L622" s="217"/>
      <c r="M622" s="217"/>
      <c r="N622" s="217"/>
      <c r="O622" s="217"/>
      <c r="P622" s="217"/>
      <c r="Q622" s="217"/>
      <c r="R622" s="217"/>
      <c r="S622" s="217"/>
      <c r="T622" s="217"/>
      <c r="U622" s="217"/>
      <c r="V622" s="217"/>
      <c r="W622" s="217"/>
      <c r="X622" s="217"/>
      <c r="Y622" s="217"/>
      <c r="Z622" s="217"/>
    </row>
    <row r="623" ht="15.75" customHeight="1">
      <c r="A623" s="217"/>
      <c r="B623" s="217"/>
      <c r="C623" s="217"/>
      <c r="D623" s="217"/>
      <c r="E623" s="217"/>
      <c r="F623" s="217"/>
      <c r="G623" s="217"/>
      <c r="H623" s="217"/>
      <c r="I623" s="217"/>
      <c r="J623" s="217"/>
      <c r="K623" s="217"/>
      <c r="L623" s="217"/>
      <c r="M623" s="217"/>
      <c r="N623" s="217"/>
      <c r="O623" s="217"/>
      <c r="P623" s="217"/>
      <c r="Q623" s="217"/>
      <c r="R623" s="217"/>
      <c r="S623" s="217"/>
      <c r="T623" s="217"/>
      <c r="U623" s="217"/>
      <c r="V623" s="217"/>
      <c r="W623" s="217"/>
      <c r="X623" s="217"/>
      <c r="Y623" s="217"/>
      <c r="Z623" s="217"/>
    </row>
    <row r="624" ht="15.75" customHeight="1">
      <c r="A624" s="217"/>
      <c r="B624" s="217"/>
      <c r="C624" s="217"/>
      <c r="D624" s="217"/>
      <c r="E624" s="217"/>
      <c r="F624" s="217"/>
      <c r="G624" s="217"/>
      <c r="H624" s="217"/>
      <c r="I624" s="217"/>
      <c r="J624" s="217"/>
      <c r="K624" s="217"/>
      <c r="L624" s="217"/>
      <c r="M624" s="217"/>
      <c r="N624" s="217"/>
      <c r="O624" s="217"/>
      <c r="P624" s="217"/>
      <c r="Q624" s="217"/>
      <c r="R624" s="217"/>
      <c r="S624" s="217"/>
      <c r="T624" s="217"/>
      <c r="U624" s="217"/>
      <c r="V624" s="217"/>
      <c r="W624" s="217"/>
      <c r="X624" s="217"/>
      <c r="Y624" s="217"/>
      <c r="Z624" s="217"/>
    </row>
    <row r="625" ht="15.75" customHeight="1">
      <c r="A625" s="217"/>
      <c r="B625" s="217"/>
      <c r="C625" s="217"/>
      <c r="D625" s="217"/>
      <c r="E625" s="217"/>
      <c r="F625" s="217"/>
      <c r="G625" s="217"/>
      <c r="H625" s="217"/>
      <c r="I625" s="217"/>
      <c r="J625" s="217"/>
      <c r="K625" s="217"/>
      <c r="L625" s="217"/>
      <c r="M625" s="217"/>
      <c r="N625" s="217"/>
      <c r="O625" s="217"/>
      <c r="P625" s="217"/>
      <c r="Q625" s="217"/>
      <c r="R625" s="217"/>
      <c r="S625" s="217"/>
      <c r="T625" s="217"/>
      <c r="U625" s="217"/>
      <c r="V625" s="217"/>
      <c r="W625" s="217"/>
      <c r="X625" s="217"/>
      <c r="Y625" s="217"/>
      <c r="Z625" s="217"/>
    </row>
    <row r="626" ht="15.75" customHeight="1">
      <c r="A626" s="217"/>
      <c r="B626" s="217"/>
      <c r="C626" s="217"/>
      <c r="D626" s="217"/>
      <c r="E626" s="217"/>
      <c r="F626" s="217"/>
      <c r="G626" s="217"/>
      <c r="H626" s="217"/>
      <c r="I626" s="217"/>
      <c r="J626" s="217"/>
      <c r="K626" s="217"/>
      <c r="L626" s="217"/>
      <c r="M626" s="217"/>
      <c r="N626" s="217"/>
      <c r="O626" s="217"/>
      <c r="P626" s="217"/>
      <c r="Q626" s="217"/>
      <c r="R626" s="217"/>
      <c r="S626" s="217"/>
      <c r="T626" s="217"/>
      <c r="U626" s="217"/>
      <c r="V626" s="217"/>
      <c r="W626" s="217"/>
      <c r="X626" s="217"/>
      <c r="Y626" s="217"/>
      <c r="Z626" s="217"/>
    </row>
    <row r="627" ht="15.75" customHeight="1">
      <c r="A627" s="217"/>
      <c r="B627" s="217"/>
      <c r="C627" s="217"/>
      <c r="D627" s="217"/>
      <c r="E627" s="217"/>
      <c r="F627" s="217"/>
      <c r="G627" s="217"/>
      <c r="H627" s="217"/>
      <c r="I627" s="217"/>
      <c r="J627" s="217"/>
      <c r="K627" s="217"/>
      <c r="L627" s="217"/>
      <c r="M627" s="217"/>
      <c r="N627" s="217"/>
      <c r="O627" s="217"/>
      <c r="P627" s="217"/>
      <c r="Q627" s="217"/>
      <c r="R627" s="217"/>
      <c r="S627" s="217"/>
      <c r="T627" s="217"/>
      <c r="U627" s="217"/>
      <c r="V627" s="217"/>
      <c r="W627" s="217"/>
      <c r="X627" s="217"/>
      <c r="Y627" s="217"/>
      <c r="Z627" s="217"/>
    </row>
    <row r="628" ht="15.75" customHeight="1">
      <c r="A628" s="217"/>
      <c r="B628" s="217"/>
      <c r="C628" s="217"/>
      <c r="D628" s="217"/>
      <c r="E628" s="217"/>
      <c r="F628" s="217"/>
      <c r="G628" s="217"/>
      <c r="H628" s="217"/>
      <c r="I628" s="217"/>
      <c r="J628" s="217"/>
      <c r="K628" s="217"/>
      <c r="L628" s="217"/>
      <c r="M628" s="217"/>
      <c r="N628" s="217"/>
      <c r="O628" s="217"/>
      <c r="P628" s="217"/>
      <c r="Q628" s="217"/>
      <c r="R628" s="217"/>
      <c r="S628" s="217"/>
      <c r="T628" s="217"/>
      <c r="U628" s="217"/>
      <c r="V628" s="217"/>
      <c r="W628" s="217"/>
      <c r="X628" s="217"/>
      <c r="Y628" s="217"/>
      <c r="Z628" s="217"/>
    </row>
    <row r="629" ht="15.75" customHeight="1">
      <c r="A629" s="217"/>
      <c r="B629" s="217"/>
      <c r="C629" s="217"/>
      <c r="D629" s="217"/>
      <c r="E629" s="217"/>
      <c r="F629" s="217"/>
      <c r="G629" s="217"/>
      <c r="H629" s="217"/>
      <c r="I629" s="217"/>
      <c r="J629" s="217"/>
      <c r="K629" s="217"/>
      <c r="L629" s="217"/>
      <c r="M629" s="217"/>
      <c r="N629" s="217"/>
      <c r="O629" s="217"/>
      <c r="P629" s="217"/>
      <c r="Q629" s="217"/>
      <c r="R629" s="217"/>
      <c r="S629" s="217"/>
      <c r="T629" s="217"/>
      <c r="U629" s="217"/>
      <c r="V629" s="217"/>
      <c r="W629" s="217"/>
      <c r="X629" s="217"/>
      <c r="Y629" s="217"/>
      <c r="Z629" s="217"/>
    </row>
    <row r="630" ht="15.75" customHeight="1">
      <c r="A630" s="217"/>
      <c r="B630" s="217"/>
      <c r="C630" s="217"/>
      <c r="D630" s="217"/>
      <c r="E630" s="217"/>
      <c r="F630" s="217"/>
      <c r="G630" s="217"/>
      <c r="H630" s="217"/>
      <c r="I630" s="217"/>
      <c r="J630" s="217"/>
      <c r="K630" s="217"/>
      <c r="L630" s="217"/>
      <c r="M630" s="217"/>
      <c r="N630" s="217"/>
      <c r="O630" s="217"/>
      <c r="P630" s="217"/>
      <c r="Q630" s="217"/>
      <c r="R630" s="217"/>
      <c r="S630" s="217"/>
      <c r="T630" s="217"/>
      <c r="U630" s="217"/>
      <c r="V630" s="217"/>
      <c r="W630" s="217"/>
      <c r="X630" s="217"/>
      <c r="Y630" s="217"/>
      <c r="Z630" s="217"/>
    </row>
    <row r="631" ht="15.75" customHeight="1">
      <c r="A631" s="217"/>
      <c r="B631" s="217"/>
      <c r="C631" s="217"/>
      <c r="D631" s="217"/>
      <c r="E631" s="217"/>
      <c r="F631" s="217"/>
      <c r="G631" s="217"/>
      <c r="H631" s="217"/>
      <c r="I631" s="217"/>
      <c r="J631" s="217"/>
      <c r="K631" s="217"/>
      <c r="L631" s="217"/>
      <c r="M631" s="217"/>
      <c r="N631" s="217"/>
      <c r="O631" s="217"/>
      <c r="P631" s="217"/>
      <c r="Q631" s="217"/>
      <c r="R631" s="217"/>
      <c r="S631" s="217"/>
      <c r="T631" s="217"/>
      <c r="U631" s="217"/>
      <c r="V631" s="217"/>
      <c r="W631" s="217"/>
      <c r="X631" s="217"/>
      <c r="Y631" s="217"/>
      <c r="Z631" s="217"/>
    </row>
    <row r="632" ht="15.75" customHeight="1">
      <c r="A632" s="217"/>
      <c r="B632" s="217"/>
      <c r="C632" s="217"/>
      <c r="D632" s="217"/>
      <c r="E632" s="217"/>
      <c r="F632" s="217"/>
      <c r="G632" s="217"/>
      <c r="H632" s="217"/>
      <c r="I632" s="217"/>
      <c r="J632" s="217"/>
      <c r="K632" s="217"/>
      <c r="L632" s="217"/>
      <c r="M632" s="217"/>
      <c r="N632" s="217"/>
      <c r="O632" s="217"/>
      <c r="P632" s="217"/>
      <c r="Q632" s="217"/>
      <c r="R632" s="217"/>
      <c r="S632" s="217"/>
      <c r="T632" s="217"/>
      <c r="U632" s="217"/>
      <c r="V632" s="217"/>
      <c r="W632" s="217"/>
      <c r="X632" s="217"/>
      <c r="Y632" s="217"/>
      <c r="Z632" s="217"/>
    </row>
    <row r="633" ht="15.75" customHeight="1">
      <c r="A633" s="217"/>
      <c r="B633" s="217"/>
      <c r="C633" s="217"/>
      <c r="D633" s="217"/>
      <c r="E633" s="217"/>
      <c r="F633" s="217"/>
      <c r="G633" s="217"/>
      <c r="H633" s="217"/>
      <c r="I633" s="217"/>
      <c r="J633" s="217"/>
      <c r="K633" s="217"/>
      <c r="L633" s="217"/>
      <c r="M633" s="217"/>
      <c r="N633" s="217"/>
      <c r="O633" s="217"/>
      <c r="P633" s="217"/>
      <c r="Q633" s="217"/>
      <c r="R633" s="217"/>
      <c r="S633" s="217"/>
      <c r="T633" s="217"/>
      <c r="U633" s="217"/>
      <c r="V633" s="217"/>
      <c r="W633" s="217"/>
      <c r="X633" s="217"/>
      <c r="Y633" s="217"/>
      <c r="Z633" s="217"/>
    </row>
    <row r="634" ht="15.75" customHeight="1">
      <c r="A634" s="217"/>
      <c r="B634" s="217"/>
      <c r="C634" s="217"/>
      <c r="D634" s="217"/>
      <c r="E634" s="217"/>
      <c r="F634" s="217"/>
      <c r="G634" s="217"/>
      <c r="H634" s="217"/>
      <c r="I634" s="217"/>
      <c r="J634" s="217"/>
      <c r="K634" s="217"/>
      <c r="L634" s="217"/>
      <c r="M634" s="217"/>
      <c r="N634" s="217"/>
      <c r="O634" s="217"/>
      <c r="P634" s="217"/>
      <c r="Q634" s="217"/>
      <c r="R634" s="217"/>
      <c r="S634" s="217"/>
      <c r="T634" s="217"/>
      <c r="U634" s="217"/>
      <c r="V634" s="217"/>
      <c r="W634" s="217"/>
      <c r="X634" s="217"/>
      <c r="Y634" s="217"/>
      <c r="Z634" s="217"/>
    </row>
    <row r="635" ht="15.75" customHeight="1">
      <c r="A635" s="217"/>
      <c r="B635" s="217"/>
      <c r="C635" s="217"/>
      <c r="D635" s="217"/>
      <c r="E635" s="217"/>
      <c r="F635" s="217"/>
      <c r="G635" s="217"/>
      <c r="H635" s="217"/>
      <c r="I635" s="217"/>
      <c r="J635" s="217"/>
      <c r="K635" s="217"/>
      <c r="L635" s="217"/>
      <c r="M635" s="217"/>
      <c r="N635" s="217"/>
      <c r="O635" s="217"/>
      <c r="P635" s="217"/>
      <c r="Q635" s="217"/>
      <c r="R635" s="217"/>
      <c r="S635" s="217"/>
      <c r="T635" s="217"/>
      <c r="U635" s="217"/>
      <c r="V635" s="217"/>
      <c r="W635" s="217"/>
      <c r="X635" s="217"/>
      <c r="Y635" s="217"/>
      <c r="Z635" s="217"/>
    </row>
    <row r="636" ht="15.75" customHeight="1">
      <c r="A636" s="217"/>
      <c r="B636" s="217"/>
      <c r="C636" s="217"/>
      <c r="D636" s="217"/>
      <c r="E636" s="217"/>
      <c r="F636" s="217"/>
      <c r="G636" s="217"/>
      <c r="H636" s="217"/>
      <c r="I636" s="217"/>
      <c r="J636" s="217"/>
      <c r="K636" s="217"/>
      <c r="L636" s="217"/>
      <c r="M636" s="217"/>
      <c r="N636" s="217"/>
      <c r="O636" s="217"/>
      <c r="P636" s="217"/>
      <c r="Q636" s="217"/>
      <c r="R636" s="217"/>
      <c r="S636" s="217"/>
      <c r="T636" s="217"/>
      <c r="U636" s="217"/>
      <c r="V636" s="217"/>
      <c r="W636" s="217"/>
      <c r="X636" s="217"/>
      <c r="Y636" s="217"/>
      <c r="Z636" s="217"/>
    </row>
    <row r="637" ht="15.75" customHeight="1">
      <c r="A637" s="217"/>
      <c r="B637" s="217"/>
      <c r="C637" s="217"/>
      <c r="D637" s="217"/>
      <c r="E637" s="217"/>
      <c r="F637" s="217"/>
      <c r="G637" s="217"/>
      <c r="H637" s="217"/>
      <c r="I637" s="217"/>
      <c r="J637" s="217"/>
      <c r="K637" s="217"/>
      <c r="L637" s="217"/>
      <c r="M637" s="217"/>
      <c r="N637" s="217"/>
      <c r="O637" s="217"/>
      <c r="P637" s="217"/>
      <c r="Q637" s="217"/>
      <c r="R637" s="217"/>
      <c r="S637" s="217"/>
      <c r="T637" s="217"/>
      <c r="U637" s="217"/>
      <c r="V637" s="217"/>
      <c r="W637" s="217"/>
      <c r="X637" s="217"/>
      <c r="Y637" s="217"/>
      <c r="Z637" s="217"/>
    </row>
    <row r="638" ht="15.75" customHeight="1">
      <c r="A638" s="217"/>
      <c r="B638" s="217"/>
      <c r="C638" s="217"/>
      <c r="D638" s="217"/>
      <c r="E638" s="217"/>
      <c r="F638" s="217"/>
      <c r="G638" s="217"/>
      <c r="H638" s="217"/>
      <c r="I638" s="217"/>
      <c r="J638" s="217"/>
      <c r="K638" s="217"/>
      <c r="L638" s="217"/>
      <c r="M638" s="217"/>
      <c r="N638" s="217"/>
      <c r="O638" s="217"/>
      <c r="P638" s="217"/>
      <c r="Q638" s="217"/>
      <c r="R638" s="217"/>
      <c r="S638" s="217"/>
      <c r="T638" s="217"/>
      <c r="U638" s="217"/>
      <c r="V638" s="217"/>
      <c r="W638" s="217"/>
      <c r="X638" s="217"/>
      <c r="Y638" s="217"/>
      <c r="Z638" s="217"/>
    </row>
    <row r="639" ht="15.75" customHeight="1">
      <c r="A639" s="217"/>
      <c r="B639" s="217"/>
      <c r="C639" s="217"/>
      <c r="D639" s="217"/>
      <c r="E639" s="217"/>
      <c r="F639" s="217"/>
      <c r="G639" s="217"/>
      <c r="H639" s="217"/>
      <c r="I639" s="217"/>
      <c r="J639" s="217"/>
      <c r="K639" s="217"/>
      <c r="L639" s="217"/>
      <c r="M639" s="217"/>
      <c r="N639" s="217"/>
      <c r="O639" s="217"/>
      <c r="P639" s="217"/>
      <c r="Q639" s="217"/>
      <c r="R639" s="217"/>
      <c r="S639" s="217"/>
      <c r="T639" s="217"/>
      <c r="U639" s="217"/>
      <c r="V639" s="217"/>
      <c r="W639" s="217"/>
      <c r="X639" s="217"/>
      <c r="Y639" s="217"/>
      <c r="Z639" s="217"/>
    </row>
    <row r="640" ht="15.75" customHeight="1">
      <c r="A640" s="217"/>
      <c r="B640" s="217"/>
      <c r="C640" s="217"/>
      <c r="D640" s="217"/>
      <c r="E640" s="217"/>
      <c r="F640" s="217"/>
      <c r="G640" s="217"/>
      <c r="H640" s="217"/>
      <c r="I640" s="217"/>
      <c r="J640" s="217"/>
      <c r="K640" s="217"/>
      <c r="L640" s="217"/>
      <c r="M640" s="217"/>
      <c r="N640" s="217"/>
      <c r="O640" s="217"/>
      <c r="P640" s="217"/>
      <c r="Q640" s="217"/>
      <c r="R640" s="217"/>
      <c r="S640" s="217"/>
      <c r="T640" s="217"/>
      <c r="U640" s="217"/>
      <c r="V640" s="217"/>
      <c r="W640" s="217"/>
      <c r="X640" s="217"/>
      <c r="Y640" s="217"/>
      <c r="Z640" s="217"/>
    </row>
    <row r="641" ht="15.75" customHeight="1">
      <c r="A641" s="217"/>
      <c r="B641" s="217"/>
      <c r="C641" s="217"/>
      <c r="D641" s="217"/>
      <c r="E641" s="217"/>
      <c r="F641" s="217"/>
      <c r="G641" s="217"/>
      <c r="H641" s="217"/>
      <c r="I641" s="217"/>
      <c r="J641" s="217"/>
      <c r="K641" s="217"/>
      <c r="L641" s="217"/>
      <c r="M641" s="217"/>
      <c r="N641" s="217"/>
      <c r="O641" s="217"/>
      <c r="P641" s="217"/>
      <c r="Q641" s="217"/>
      <c r="R641" s="217"/>
      <c r="S641" s="217"/>
      <c r="T641" s="217"/>
      <c r="U641" s="217"/>
      <c r="V641" s="217"/>
      <c r="W641" s="217"/>
      <c r="X641" s="217"/>
      <c r="Y641" s="217"/>
      <c r="Z641" s="217"/>
    </row>
    <row r="642" ht="15.75" customHeight="1">
      <c r="A642" s="217"/>
      <c r="B642" s="217"/>
      <c r="C642" s="217"/>
      <c r="D642" s="217"/>
      <c r="E642" s="217"/>
      <c r="F642" s="217"/>
      <c r="G642" s="217"/>
      <c r="H642" s="217"/>
      <c r="I642" s="217"/>
      <c r="J642" s="217"/>
      <c r="K642" s="217"/>
      <c r="L642" s="217"/>
      <c r="M642" s="217"/>
      <c r="N642" s="217"/>
      <c r="O642" s="217"/>
      <c r="P642" s="217"/>
      <c r="Q642" s="217"/>
      <c r="R642" s="217"/>
      <c r="S642" s="217"/>
      <c r="T642" s="217"/>
      <c r="U642" s="217"/>
      <c r="V642" s="217"/>
      <c r="W642" s="217"/>
      <c r="X642" s="217"/>
      <c r="Y642" s="217"/>
      <c r="Z642" s="217"/>
    </row>
    <row r="643" ht="15.75" customHeight="1">
      <c r="A643" s="217"/>
      <c r="B643" s="217"/>
      <c r="C643" s="217"/>
      <c r="D643" s="217"/>
      <c r="E643" s="217"/>
      <c r="F643" s="217"/>
      <c r="G643" s="217"/>
      <c r="H643" s="217"/>
      <c r="I643" s="217"/>
      <c r="J643" s="217"/>
      <c r="K643" s="217"/>
      <c r="L643" s="217"/>
      <c r="M643" s="217"/>
      <c r="N643" s="217"/>
      <c r="O643" s="217"/>
      <c r="P643" s="217"/>
      <c r="Q643" s="217"/>
      <c r="R643" s="217"/>
      <c r="S643" s="217"/>
      <c r="T643" s="217"/>
      <c r="U643" s="217"/>
      <c r="V643" s="217"/>
      <c r="W643" s="217"/>
      <c r="X643" s="217"/>
      <c r="Y643" s="217"/>
      <c r="Z643" s="217"/>
    </row>
    <row r="644" ht="15.75" customHeight="1">
      <c r="A644" s="217"/>
      <c r="B644" s="217"/>
      <c r="C644" s="217"/>
      <c r="D644" s="217"/>
      <c r="E644" s="217"/>
      <c r="F644" s="217"/>
      <c r="G644" s="217"/>
      <c r="H644" s="217"/>
      <c r="I644" s="217"/>
      <c r="J644" s="217"/>
      <c r="K644" s="217"/>
      <c r="L644" s="217"/>
      <c r="M644" s="217"/>
      <c r="N644" s="217"/>
      <c r="O644" s="217"/>
      <c r="P644" s="217"/>
      <c r="Q644" s="217"/>
      <c r="R644" s="217"/>
      <c r="S644" s="217"/>
      <c r="T644" s="217"/>
      <c r="U644" s="217"/>
      <c r="V644" s="217"/>
      <c r="W644" s="217"/>
      <c r="X644" s="217"/>
      <c r="Y644" s="217"/>
      <c r="Z644" s="217"/>
    </row>
    <row r="645" ht="15.75" customHeight="1">
      <c r="A645" s="217"/>
      <c r="B645" s="217"/>
      <c r="C645" s="217"/>
      <c r="D645" s="217"/>
      <c r="E645" s="217"/>
      <c r="F645" s="217"/>
      <c r="G645" s="217"/>
      <c r="H645" s="217"/>
      <c r="I645" s="217"/>
      <c r="J645" s="217"/>
      <c r="K645" s="217"/>
      <c r="L645" s="217"/>
      <c r="M645" s="217"/>
      <c r="N645" s="217"/>
      <c r="O645" s="217"/>
      <c r="P645" s="217"/>
      <c r="Q645" s="217"/>
      <c r="R645" s="217"/>
      <c r="S645" s="217"/>
      <c r="T645" s="217"/>
      <c r="U645" s="217"/>
      <c r="V645" s="217"/>
      <c r="W645" s="217"/>
      <c r="X645" s="217"/>
      <c r="Y645" s="217"/>
      <c r="Z645" s="217"/>
    </row>
    <row r="646" ht="15.75" customHeight="1">
      <c r="A646" s="217"/>
      <c r="B646" s="217"/>
      <c r="C646" s="217"/>
      <c r="D646" s="217"/>
      <c r="E646" s="217"/>
      <c r="F646" s="217"/>
      <c r="G646" s="217"/>
      <c r="H646" s="217"/>
      <c r="I646" s="217"/>
      <c r="J646" s="217"/>
      <c r="K646" s="217"/>
      <c r="L646" s="217"/>
      <c r="M646" s="217"/>
      <c r="N646" s="217"/>
      <c r="O646" s="217"/>
      <c r="P646" s="217"/>
      <c r="Q646" s="217"/>
      <c r="R646" s="217"/>
      <c r="S646" s="217"/>
      <c r="T646" s="217"/>
      <c r="U646" s="217"/>
      <c r="V646" s="217"/>
      <c r="W646" s="217"/>
      <c r="X646" s="217"/>
      <c r="Y646" s="217"/>
      <c r="Z646" s="217"/>
    </row>
    <row r="647" ht="15.75" customHeight="1">
      <c r="A647" s="217"/>
      <c r="B647" s="217"/>
      <c r="C647" s="217"/>
      <c r="D647" s="217"/>
      <c r="E647" s="217"/>
      <c r="F647" s="217"/>
      <c r="G647" s="217"/>
      <c r="H647" s="217"/>
      <c r="I647" s="217"/>
      <c r="J647" s="217"/>
      <c r="K647" s="217"/>
      <c r="L647" s="217"/>
      <c r="M647" s="217"/>
      <c r="N647" s="217"/>
      <c r="O647" s="217"/>
      <c r="P647" s="217"/>
      <c r="Q647" s="217"/>
      <c r="R647" s="217"/>
      <c r="S647" s="217"/>
      <c r="T647" s="217"/>
      <c r="U647" s="217"/>
      <c r="V647" s="217"/>
      <c r="W647" s="217"/>
      <c r="X647" s="217"/>
      <c r="Y647" s="217"/>
      <c r="Z647" s="217"/>
    </row>
    <row r="648" ht="15.75" customHeight="1">
      <c r="A648" s="217"/>
      <c r="B648" s="217"/>
      <c r="C648" s="217"/>
      <c r="D648" s="217"/>
      <c r="E648" s="217"/>
      <c r="F648" s="217"/>
      <c r="G648" s="217"/>
      <c r="H648" s="217"/>
      <c r="I648" s="217"/>
      <c r="J648" s="217"/>
      <c r="K648" s="217"/>
      <c r="L648" s="217"/>
      <c r="M648" s="217"/>
      <c r="N648" s="217"/>
      <c r="O648" s="217"/>
      <c r="P648" s="217"/>
      <c r="Q648" s="217"/>
      <c r="R648" s="217"/>
      <c r="S648" s="217"/>
      <c r="T648" s="217"/>
      <c r="U648" s="217"/>
      <c r="V648" s="217"/>
      <c r="W648" s="217"/>
      <c r="X648" s="217"/>
      <c r="Y648" s="217"/>
      <c r="Z648" s="217"/>
    </row>
    <row r="649" ht="15.75" customHeight="1">
      <c r="A649" s="217"/>
      <c r="B649" s="217"/>
      <c r="C649" s="217"/>
      <c r="D649" s="217"/>
      <c r="E649" s="217"/>
      <c r="F649" s="217"/>
      <c r="G649" s="217"/>
      <c r="H649" s="217"/>
      <c r="I649" s="217"/>
      <c r="J649" s="217"/>
      <c r="K649" s="217"/>
      <c r="L649" s="217"/>
      <c r="M649" s="217"/>
      <c r="N649" s="217"/>
      <c r="O649" s="217"/>
      <c r="P649" s="217"/>
      <c r="Q649" s="217"/>
      <c r="R649" s="217"/>
      <c r="S649" s="217"/>
      <c r="T649" s="217"/>
      <c r="U649" s="217"/>
      <c r="V649" s="217"/>
      <c r="W649" s="217"/>
      <c r="X649" s="217"/>
      <c r="Y649" s="217"/>
      <c r="Z649" s="217"/>
    </row>
    <row r="650" ht="15.75" customHeight="1">
      <c r="A650" s="217"/>
      <c r="B650" s="217"/>
      <c r="C650" s="217"/>
      <c r="D650" s="217"/>
      <c r="E650" s="217"/>
      <c r="F650" s="217"/>
      <c r="G650" s="217"/>
      <c r="H650" s="217"/>
      <c r="I650" s="217"/>
      <c r="J650" s="217"/>
      <c r="K650" s="217"/>
      <c r="L650" s="217"/>
      <c r="M650" s="217"/>
      <c r="N650" s="217"/>
      <c r="O650" s="217"/>
      <c r="P650" s="217"/>
      <c r="Q650" s="217"/>
      <c r="R650" s="217"/>
      <c r="S650" s="217"/>
      <c r="T650" s="217"/>
      <c r="U650" s="217"/>
      <c r="V650" s="217"/>
      <c r="W650" s="217"/>
      <c r="X650" s="217"/>
      <c r="Y650" s="217"/>
      <c r="Z650" s="217"/>
    </row>
    <row r="651" ht="15.75" customHeight="1">
      <c r="A651" s="217"/>
      <c r="B651" s="217"/>
      <c r="C651" s="217"/>
      <c r="D651" s="217"/>
      <c r="E651" s="217"/>
      <c r="F651" s="217"/>
      <c r="G651" s="217"/>
      <c r="H651" s="217"/>
      <c r="I651" s="217"/>
      <c r="J651" s="217"/>
      <c r="K651" s="217"/>
      <c r="L651" s="217"/>
      <c r="M651" s="217"/>
      <c r="N651" s="217"/>
      <c r="O651" s="217"/>
      <c r="P651" s="217"/>
      <c r="Q651" s="217"/>
      <c r="R651" s="217"/>
      <c r="S651" s="217"/>
      <c r="T651" s="217"/>
      <c r="U651" s="217"/>
      <c r="V651" s="217"/>
      <c r="W651" s="217"/>
      <c r="X651" s="217"/>
      <c r="Y651" s="217"/>
      <c r="Z651" s="217"/>
    </row>
    <row r="652" ht="15.75" customHeight="1">
      <c r="A652" s="217"/>
      <c r="B652" s="217"/>
      <c r="C652" s="217"/>
      <c r="D652" s="217"/>
      <c r="E652" s="217"/>
      <c r="F652" s="217"/>
      <c r="G652" s="217"/>
      <c r="H652" s="217"/>
      <c r="I652" s="217"/>
      <c r="J652" s="217"/>
      <c r="K652" s="217"/>
      <c r="L652" s="217"/>
      <c r="M652" s="217"/>
      <c r="N652" s="217"/>
      <c r="O652" s="217"/>
      <c r="P652" s="217"/>
      <c r="Q652" s="217"/>
      <c r="R652" s="217"/>
      <c r="S652" s="217"/>
      <c r="T652" s="217"/>
      <c r="U652" s="217"/>
      <c r="V652" s="217"/>
      <c r="W652" s="217"/>
      <c r="X652" s="217"/>
      <c r="Y652" s="217"/>
      <c r="Z652" s="217"/>
    </row>
    <row r="653" ht="15.75" customHeight="1">
      <c r="A653" s="217"/>
      <c r="B653" s="217"/>
      <c r="C653" s="217"/>
      <c r="D653" s="217"/>
      <c r="E653" s="217"/>
      <c r="F653" s="217"/>
      <c r="G653" s="217"/>
      <c r="H653" s="217"/>
      <c r="I653" s="217"/>
      <c r="J653" s="217"/>
      <c r="K653" s="217"/>
      <c r="L653" s="217"/>
      <c r="M653" s="217"/>
      <c r="N653" s="217"/>
      <c r="O653" s="217"/>
      <c r="P653" s="217"/>
      <c r="Q653" s="217"/>
      <c r="R653" s="217"/>
      <c r="S653" s="217"/>
      <c r="T653" s="217"/>
      <c r="U653" s="217"/>
      <c r="V653" s="217"/>
      <c r="W653" s="217"/>
      <c r="X653" s="217"/>
      <c r="Y653" s="217"/>
      <c r="Z653" s="217"/>
    </row>
    <row r="654" ht="15.75" customHeight="1">
      <c r="A654" s="217"/>
      <c r="B654" s="217"/>
      <c r="C654" s="217"/>
      <c r="D654" s="217"/>
      <c r="E654" s="217"/>
      <c r="F654" s="217"/>
      <c r="G654" s="217"/>
      <c r="H654" s="217"/>
      <c r="I654" s="217"/>
      <c r="J654" s="217"/>
      <c r="K654" s="217"/>
      <c r="L654" s="217"/>
      <c r="M654" s="217"/>
      <c r="N654" s="217"/>
      <c r="O654" s="217"/>
      <c r="P654" s="217"/>
      <c r="Q654" s="217"/>
      <c r="R654" s="217"/>
      <c r="S654" s="217"/>
      <c r="T654" s="217"/>
      <c r="U654" s="217"/>
      <c r="V654" s="217"/>
      <c r="W654" s="217"/>
      <c r="X654" s="217"/>
      <c r="Y654" s="217"/>
      <c r="Z654" s="217"/>
    </row>
    <row r="655" ht="15.75" customHeight="1">
      <c r="A655" s="217"/>
      <c r="B655" s="217"/>
      <c r="C655" s="217"/>
      <c r="D655" s="217"/>
      <c r="E655" s="217"/>
      <c r="F655" s="217"/>
      <c r="G655" s="217"/>
      <c r="H655" s="217"/>
      <c r="I655" s="217"/>
      <c r="J655" s="217"/>
      <c r="K655" s="217"/>
      <c r="L655" s="217"/>
      <c r="M655" s="217"/>
      <c r="N655" s="217"/>
      <c r="O655" s="217"/>
      <c r="P655" s="217"/>
      <c r="Q655" s="217"/>
      <c r="R655" s="217"/>
      <c r="S655" s="217"/>
      <c r="T655" s="217"/>
      <c r="U655" s="217"/>
      <c r="V655" s="217"/>
      <c r="W655" s="217"/>
      <c r="X655" s="217"/>
      <c r="Y655" s="217"/>
      <c r="Z655" s="217"/>
    </row>
    <row r="656" ht="15.75" customHeight="1">
      <c r="A656" s="217"/>
      <c r="B656" s="217"/>
      <c r="C656" s="217"/>
      <c r="D656" s="217"/>
      <c r="E656" s="217"/>
      <c r="F656" s="217"/>
      <c r="G656" s="217"/>
      <c r="H656" s="217"/>
      <c r="I656" s="217"/>
      <c r="J656" s="217"/>
      <c r="K656" s="217"/>
      <c r="L656" s="217"/>
      <c r="M656" s="217"/>
      <c r="N656" s="217"/>
      <c r="O656" s="217"/>
      <c r="P656" s="217"/>
      <c r="Q656" s="217"/>
      <c r="R656" s="217"/>
      <c r="S656" s="217"/>
      <c r="T656" s="217"/>
      <c r="U656" s="217"/>
      <c r="V656" s="217"/>
      <c r="W656" s="217"/>
      <c r="X656" s="217"/>
      <c r="Y656" s="217"/>
      <c r="Z656" s="217"/>
    </row>
    <row r="657" ht="15.75" customHeight="1">
      <c r="A657" s="217"/>
      <c r="B657" s="217"/>
      <c r="C657" s="217"/>
      <c r="D657" s="217"/>
      <c r="E657" s="217"/>
      <c r="F657" s="217"/>
      <c r="G657" s="217"/>
      <c r="H657" s="217"/>
      <c r="I657" s="217"/>
      <c r="J657" s="217"/>
      <c r="K657" s="217"/>
      <c r="L657" s="217"/>
      <c r="M657" s="217"/>
      <c r="N657" s="217"/>
      <c r="O657" s="217"/>
      <c r="P657" s="217"/>
      <c r="Q657" s="217"/>
      <c r="R657" s="217"/>
      <c r="S657" s="217"/>
      <c r="T657" s="217"/>
      <c r="U657" s="217"/>
      <c r="V657" s="217"/>
      <c r="W657" s="217"/>
      <c r="X657" s="217"/>
      <c r="Y657" s="217"/>
      <c r="Z657" s="217"/>
    </row>
    <row r="658" ht="15.75" customHeight="1">
      <c r="A658" s="217"/>
      <c r="B658" s="217"/>
      <c r="C658" s="217"/>
      <c r="D658" s="217"/>
      <c r="E658" s="217"/>
      <c r="F658" s="217"/>
      <c r="G658" s="217"/>
      <c r="H658" s="217"/>
      <c r="I658" s="217"/>
      <c r="J658" s="217"/>
      <c r="K658" s="217"/>
      <c r="L658" s="217"/>
      <c r="M658" s="217"/>
      <c r="N658" s="217"/>
      <c r="O658" s="217"/>
      <c r="P658" s="217"/>
      <c r="Q658" s="217"/>
      <c r="R658" s="217"/>
      <c r="S658" s="217"/>
      <c r="T658" s="217"/>
      <c r="U658" s="217"/>
      <c r="V658" s="217"/>
      <c r="W658" s="217"/>
      <c r="X658" s="217"/>
      <c r="Y658" s="217"/>
      <c r="Z658" s="217"/>
    </row>
    <row r="659" ht="15.75" customHeight="1">
      <c r="A659" s="217"/>
      <c r="B659" s="217"/>
      <c r="C659" s="217"/>
      <c r="D659" s="217"/>
      <c r="E659" s="217"/>
      <c r="F659" s="217"/>
      <c r="G659" s="217"/>
      <c r="H659" s="217"/>
      <c r="I659" s="217"/>
      <c r="J659" s="217"/>
      <c r="K659" s="217"/>
      <c r="L659" s="217"/>
      <c r="M659" s="217"/>
      <c r="N659" s="217"/>
      <c r="O659" s="217"/>
      <c r="P659" s="217"/>
      <c r="Q659" s="217"/>
      <c r="R659" s="217"/>
      <c r="S659" s="217"/>
      <c r="T659" s="217"/>
      <c r="U659" s="217"/>
      <c r="V659" s="217"/>
      <c r="W659" s="217"/>
      <c r="X659" s="217"/>
      <c r="Y659" s="217"/>
      <c r="Z659" s="217"/>
    </row>
    <row r="660" ht="15.75" customHeight="1">
      <c r="A660" s="217"/>
      <c r="B660" s="217"/>
      <c r="C660" s="217"/>
      <c r="D660" s="217"/>
      <c r="E660" s="217"/>
      <c r="F660" s="217"/>
      <c r="G660" s="217"/>
      <c r="H660" s="217"/>
      <c r="I660" s="217"/>
      <c r="J660" s="217"/>
      <c r="K660" s="217"/>
      <c r="L660" s="217"/>
      <c r="M660" s="217"/>
      <c r="N660" s="217"/>
      <c r="O660" s="217"/>
      <c r="P660" s="217"/>
      <c r="Q660" s="217"/>
      <c r="R660" s="217"/>
      <c r="S660" s="217"/>
      <c r="T660" s="217"/>
      <c r="U660" s="217"/>
      <c r="V660" s="217"/>
      <c r="W660" s="217"/>
      <c r="X660" s="217"/>
      <c r="Y660" s="217"/>
      <c r="Z660" s="217"/>
    </row>
    <row r="661" ht="15.75" customHeight="1">
      <c r="A661" s="217"/>
      <c r="B661" s="217"/>
      <c r="C661" s="217"/>
      <c r="D661" s="217"/>
      <c r="E661" s="217"/>
      <c r="F661" s="217"/>
      <c r="G661" s="217"/>
      <c r="H661" s="217"/>
      <c r="I661" s="217"/>
      <c r="J661" s="217"/>
      <c r="K661" s="217"/>
      <c r="L661" s="217"/>
      <c r="M661" s="217"/>
      <c r="N661" s="217"/>
      <c r="O661" s="217"/>
      <c r="P661" s="217"/>
      <c r="Q661" s="217"/>
      <c r="R661" s="217"/>
      <c r="S661" s="217"/>
      <c r="T661" s="217"/>
      <c r="U661" s="217"/>
      <c r="V661" s="217"/>
      <c r="W661" s="217"/>
      <c r="X661" s="217"/>
      <c r="Y661" s="217"/>
      <c r="Z661" s="217"/>
    </row>
    <row r="662" ht="15.75" customHeight="1">
      <c r="A662" s="217"/>
      <c r="B662" s="217"/>
      <c r="C662" s="217"/>
      <c r="D662" s="217"/>
      <c r="E662" s="217"/>
      <c r="F662" s="217"/>
      <c r="G662" s="217"/>
      <c r="H662" s="217"/>
      <c r="I662" s="217"/>
      <c r="J662" s="217"/>
      <c r="K662" s="217"/>
      <c r="L662" s="217"/>
      <c r="M662" s="217"/>
      <c r="N662" s="217"/>
      <c r="O662" s="217"/>
      <c r="P662" s="217"/>
      <c r="Q662" s="217"/>
      <c r="R662" s="217"/>
      <c r="S662" s="217"/>
      <c r="T662" s="217"/>
      <c r="U662" s="217"/>
      <c r="V662" s="217"/>
      <c r="W662" s="217"/>
      <c r="X662" s="217"/>
      <c r="Y662" s="217"/>
      <c r="Z662" s="217"/>
    </row>
    <row r="663" ht="15.75" customHeight="1">
      <c r="A663" s="217"/>
      <c r="B663" s="217"/>
      <c r="C663" s="217"/>
      <c r="D663" s="217"/>
      <c r="E663" s="217"/>
      <c r="F663" s="217"/>
      <c r="G663" s="217"/>
      <c r="H663" s="217"/>
      <c r="I663" s="217"/>
      <c r="J663" s="217"/>
      <c r="K663" s="217"/>
      <c r="L663" s="217"/>
      <c r="M663" s="217"/>
      <c r="N663" s="217"/>
      <c r="O663" s="217"/>
      <c r="P663" s="217"/>
      <c r="Q663" s="217"/>
      <c r="R663" s="217"/>
      <c r="S663" s="217"/>
      <c r="T663" s="217"/>
      <c r="U663" s="217"/>
      <c r="V663" s="217"/>
      <c r="W663" s="217"/>
      <c r="X663" s="217"/>
      <c r="Y663" s="217"/>
      <c r="Z663" s="217"/>
    </row>
    <row r="664" ht="15.75" customHeight="1">
      <c r="A664" s="217"/>
      <c r="B664" s="217"/>
      <c r="C664" s="217"/>
      <c r="D664" s="217"/>
      <c r="E664" s="217"/>
      <c r="F664" s="217"/>
      <c r="G664" s="217"/>
      <c r="H664" s="217"/>
      <c r="I664" s="217"/>
      <c r="J664" s="217"/>
      <c r="K664" s="217"/>
      <c r="L664" s="217"/>
      <c r="M664" s="217"/>
      <c r="N664" s="217"/>
      <c r="O664" s="217"/>
      <c r="P664" s="217"/>
      <c r="Q664" s="217"/>
      <c r="R664" s="217"/>
      <c r="S664" s="217"/>
      <c r="T664" s="217"/>
      <c r="U664" s="217"/>
      <c r="V664" s="217"/>
      <c r="W664" s="217"/>
      <c r="X664" s="217"/>
      <c r="Y664" s="217"/>
      <c r="Z664" s="217"/>
    </row>
    <row r="665" ht="15.75" customHeight="1">
      <c r="A665" s="217"/>
      <c r="B665" s="217"/>
      <c r="C665" s="217"/>
      <c r="D665" s="217"/>
      <c r="E665" s="217"/>
      <c r="F665" s="217"/>
      <c r="G665" s="217"/>
      <c r="H665" s="217"/>
      <c r="I665" s="217"/>
      <c r="J665" s="217"/>
      <c r="K665" s="217"/>
      <c r="L665" s="217"/>
      <c r="M665" s="217"/>
      <c r="N665" s="217"/>
      <c r="O665" s="217"/>
      <c r="P665" s="217"/>
      <c r="Q665" s="217"/>
      <c r="R665" s="217"/>
      <c r="S665" s="217"/>
      <c r="T665" s="217"/>
      <c r="U665" s="217"/>
      <c r="V665" s="217"/>
      <c r="W665" s="217"/>
      <c r="X665" s="217"/>
      <c r="Y665" s="217"/>
      <c r="Z665" s="217"/>
    </row>
    <row r="666" ht="15.75" customHeight="1">
      <c r="A666" s="217"/>
      <c r="B666" s="217"/>
      <c r="C666" s="217"/>
      <c r="D666" s="217"/>
      <c r="E666" s="217"/>
      <c r="F666" s="217"/>
      <c r="G666" s="217"/>
      <c r="H666" s="217"/>
      <c r="I666" s="217"/>
      <c r="J666" s="217"/>
      <c r="K666" s="217"/>
      <c r="L666" s="217"/>
      <c r="M666" s="217"/>
      <c r="N666" s="217"/>
      <c r="O666" s="217"/>
      <c r="P666" s="217"/>
      <c r="Q666" s="217"/>
      <c r="R666" s="217"/>
      <c r="S666" s="217"/>
      <c r="T666" s="217"/>
      <c r="U666" s="217"/>
      <c r="V666" s="217"/>
      <c r="W666" s="217"/>
      <c r="X666" s="217"/>
      <c r="Y666" s="217"/>
      <c r="Z666" s="217"/>
    </row>
    <row r="667" ht="15.75" customHeight="1">
      <c r="A667" s="217"/>
      <c r="B667" s="217"/>
      <c r="C667" s="217"/>
      <c r="D667" s="217"/>
      <c r="E667" s="217"/>
      <c r="F667" s="217"/>
      <c r="G667" s="217"/>
      <c r="H667" s="217"/>
      <c r="I667" s="217"/>
      <c r="J667" s="217"/>
      <c r="K667" s="217"/>
      <c r="L667" s="217"/>
      <c r="M667" s="217"/>
      <c r="N667" s="217"/>
      <c r="O667" s="217"/>
      <c r="P667" s="217"/>
      <c r="Q667" s="217"/>
      <c r="R667" s="217"/>
      <c r="S667" s="217"/>
      <c r="T667" s="217"/>
      <c r="U667" s="217"/>
      <c r="V667" s="217"/>
      <c r="W667" s="217"/>
      <c r="X667" s="217"/>
      <c r="Y667" s="217"/>
      <c r="Z667" s="217"/>
    </row>
    <row r="668" ht="15.75" customHeight="1">
      <c r="A668" s="217"/>
      <c r="B668" s="217"/>
      <c r="C668" s="217"/>
      <c r="D668" s="217"/>
      <c r="E668" s="217"/>
      <c r="F668" s="217"/>
      <c r="G668" s="217"/>
      <c r="H668" s="217"/>
      <c r="I668" s="217"/>
      <c r="J668" s="217"/>
      <c r="K668" s="217"/>
      <c r="L668" s="217"/>
      <c r="M668" s="217"/>
      <c r="N668" s="217"/>
      <c r="O668" s="217"/>
      <c r="P668" s="217"/>
      <c r="Q668" s="217"/>
      <c r="R668" s="217"/>
      <c r="S668" s="217"/>
      <c r="T668" s="217"/>
      <c r="U668" s="217"/>
      <c r="V668" s="217"/>
      <c r="W668" s="217"/>
      <c r="X668" s="217"/>
      <c r="Y668" s="217"/>
      <c r="Z668" s="217"/>
    </row>
    <row r="669" ht="15.75" customHeight="1">
      <c r="A669" s="217"/>
      <c r="B669" s="217"/>
      <c r="C669" s="217"/>
      <c r="D669" s="217"/>
      <c r="E669" s="217"/>
      <c r="F669" s="217"/>
      <c r="G669" s="217"/>
      <c r="H669" s="217"/>
      <c r="I669" s="217"/>
      <c r="J669" s="217"/>
      <c r="K669" s="217"/>
      <c r="L669" s="217"/>
      <c r="M669" s="217"/>
      <c r="N669" s="217"/>
      <c r="O669" s="217"/>
      <c r="P669" s="217"/>
      <c r="Q669" s="217"/>
      <c r="R669" s="217"/>
      <c r="S669" s="217"/>
      <c r="T669" s="217"/>
      <c r="U669" s="217"/>
      <c r="V669" s="217"/>
      <c r="W669" s="217"/>
      <c r="X669" s="217"/>
      <c r="Y669" s="217"/>
      <c r="Z669" s="217"/>
    </row>
    <row r="670" ht="15.75" customHeight="1">
      <c r="A670" s="217"/>
      <c r="B670" s="217"/>
      <c r="C670" s="217"/>
      <c r="D670" s="217"/>
      <c r="E670" s="217"/>
      <c r="F670" s="217"/>
      <c r="G670" s="217"/>
      <c r="H670" s="217"/>
      <c r="I670" s="217"/>
      <c r="J670" s="217"/>
      <c r="K670" s="217"/>
      <c r="L670" s="217"/>
      <c r="M670" s="217"/>
      <c r="N670" s="217"/>
      <c r="O670" s="217"/>
      <c r="P670" s="217"/>
      <c r="Q670" s="217"/>
      <c r="R670" s="217"/>
      <c r="S670" s="217"/>
      <c r="T670" s="217"/>
      <c r="U670" s="217"/>
      <c r="V670" s="217"/>
      <c r="W670" s="217"/>
      <c r="X670" s="217"/>
      <c r="Y670" s="217"/>
      <c r="Z670" s="217"/>
    </row>
    <row r="671" ht="15.75" customHeight="1">
      <c r="A671" s="217"/>
      <c r="B671" s="217"/>
      <c r="C671" s="217"/>
      <c r="D671" s="217"/>
      <c r="E671" s="217"/>
      <c r="F671" s="217"/>
      <c r="G671" s="217"/>
      <c r="H671" s="217"/>
      <c r="I671" s="217"/>
      <c r="J671" s="217"/>
      <c r="K671" s="217"/>
      <c r="L671" s="217"/>
      <c r="M671" s="217"/>
      <c r="N671" s="217"/>
      <c r="O671" s="217"/>
      <c r="P671" s="217"/>
      <c r="Q671" s="217"/>
      <c r="R671" s="217"/>
      <c r="S671" s="217"/>
      <c r="T671" s="217"/>
      <c r="U671" s="217"/>
      <c r="V671" s="217"/>
      <c r="W671" s="217"/>
      <c r="X671" s="217"/>
      <c r="Y671" s="217"/>
      <c r="Z671" s="217"/>
    </row>
    <row r="672" ht="15.75" customHeight="1">
      <c r="A672" s="217"/>
      <c r="B672" s="217"/>
      <c r="C672" s="217"/>
      <c r="D672" s="217"/>
      <c r="E672" s="217"/>
      <c r="F672" s="217"/>
      <c r="G672" s="217"/>
      <c r="H672" s="217"/>
      <c r="I672" s="217"/>
      <c r="J672" s="217"/>
      <c r="K672" s="217"/>
      <c r="L672" s="217"/>
      <c r="M672" s="217"/>
      <c r="N672" s="217"/>
      <c r="O672" s="217"/>
      <c r="P672" s="217"/>
      <c r="Q672" s="217"/>
      <c r="R672" s="217"/>
      <c r="S672" s="217"/>
      <c r="T672" s="217"/>
      <c r="U672" s="217"/>
      <c r="V672" s="217"/>
      <c r="W672" s="217"/>
      <c r="X672" s="217"/>
      <c r="Y672" s="217"/>
      <c r="Z672" s="217"/>
    </row>
    <row r="673" ht="15.75" customHeight="1">
      <c r="A673" s="217"/>
      <c r="B673" s="217"/>
      <c r="C673" s="217"/>
      <c r="D673" s="217"/>
      <c r="E673" s="217"/>
      <c r="F673" s="217"/>
      <c r="G673" s="217"/>
      <c r="H673" s="217"/>
      <c r="I673" s="217"/>
      <c r="J673" s="217"/>
      <c r="K673" s="217"/>
      <c r="L673" s="217"/>
      <c r="M673" s="217"/>
      <c r="N673" s="217"/>
      <c r="O673" s="217"/>
      <c r="P673" s="217"/>
      <c r="Q673" s="217"/>
      <c r="R673" s="217"/>
      <c r="S673" s="217"/>
      <c r="T673" s="217"/>
      <c r="U673" s="217"/>
      <c r="V673" s="217"/>
      <c r="W673" s="217"/>
      <c r="X673" s="217"/>
      <c r="Y673" s="217"/>
      <c r="Z673" s="217"/>
    </row>
    <row r="674" ht="15.75" customHeight="1">
      <c r="A674" s="217"/>
      <c r="B674" s="217"/>
      <c r="C674" s="217"/>
      <c r="D674" s="217"/>
      <c r="E674" s="217"/>
      <c r="F674" s="217"/>
      <c r="G674" s="217"/>
      <c r="H674" s="217"/>
      <c r="I674" s="217"/>
      <c r="J674" s="217"/>
      <c r="K674" s="217"/>
      <c r="L674" s="217"/>
      <c r="M674" s="217"/>
      <c r="N674" s="217"/>
      <c r="O674" s="217"/>
      <c r="P674" s="217"/>
      <c r="Q674" s="217"/>
      <c r="R674" s="217"/>
      <c r="S674" s="217"/>
      <c r="T674" s="217"/>
      <c r="U674" s="217"/>
      <c r="V674" s="217"/>
      <c r="W674" s="217"/>
      <c r="X674" s="217"/>
      <c r="Y674" s="217"/>
      <c r="Z674" s="217"/>
    </row>
    <row r="675" ht="15.75" customHeight="1">
      <c r="A675" s="217"/>
      <c r="B675" s="217"/>
      <c r="C675" s="217"/>
      <c r="D675" s="217"/>
      <c r="E675" s="217"/>
      <c r="F675" s="217"/>
      <c r="G675" s="217"/>
      <c r="H675" s="217"/>
      <c r="I675" s="217"/>
      <c r="J675" s="217"/>
      <c r="K675" s="217"/>
      <c r="L675" s="217"/>
      <c r="M675" s="217"/>
      <c r="N675" s="217"/>
      <c r="O675" s="217"/>
      <c r="P675" s="217"/>
      <c r="Q675" s="217"/>
      <c r="R675" s="217"/>
      <c r="S675" s="217"/>
      <c r="T675" s="217"/>
      <c r="U675" s="217"/>
      <c r="V675" s="217"/>
      <c r="W675" s="217"/>
      <c r="X675" s="217"/>
      <c r="Y675" s="217"/>
      <c r="Z675" s="217"/>
    </row>
    <row r="676" ht="15.75" customHeight="1">
      <c r="A676" s="217"/>
      <c r="B676" s="217"/>
      <c r="C676" s="217"/>
      <c r="D676" s="217"/>
      <c r="E676" s="217"/>
      <c r="F676" s="217"/>
      <c r="G676" s="217"/>
      <c r="H676" s="217"/>
      <c r="I676" s="217"/>
      <c r="J676" s="217"/>
      <c r="K676" s="217"/>
      <c r="L676" s="217"/>
      <c r="M676" s="217"/>
      <c r="N676" s="217"/>
      <c r="O676" s="217"/>
      <c r="P676" s="217"/>
      <c r="Q676" s="217"/>
      <c r="R676" s="217"/>
      <c r="S676" s="217"/>
      <c r="T676" s="217"/>
      <c r="U676" s="217"/>
      <c r="V676" s="217"/>
      <c r="W676" s="217"/>
      <c r="X676" s="217"/>
      <c r="Y676" s="217"/>
      <c r="Z676" s="217"/>
    </row>
    <row r="677" ht="15.75" customHeight="1">
      <c r="A677" s="217"/>
      <c r="B677" s="217"/>
      <c r="C677" s="217"/>
      <c r="D677" s="217"/>
      <c r="E677" s="217"/>
      <c r="F677" s="217"/>
      <c r="G677" s="217"/>
      <c r="H677" s="217"/>
      <c r="I677" s="217"/>
      <c r="J677" s="217"/>
      <c r="K677" s="217"/>
      <c r="L677" s="217"/>
      <c r="M677" s="217"/>
      <c r="N677" s="217"/>
      <c r="O677" s="217"/>
      <c r="P677" s="217"/>
      <c r="Q677" s="217"/>
      <c r="R677" s="217"/>
      <c r="S677" s="217"/>
      <c r="T677" s="217"/>
      <c r="U677" s="217"/>
      <c r="V677" s="217"/>
      <c r="W677" s="217"/>
      <c r="X677" s="217"/>
      <c r="Y677" s="217"/>
      <c r="Z677" s="217"/>
    </row>
    <row r="678" ht="15.75" customHeight="1">
      <c r="A678" s="217"/>
      <c r="B678" s="217"/>
      <c r="C678" s="217"/>
      <c r="D678" s="217"/>
      <c r="E678" s="217"/>
      <c r="F678" s="217"/>
      <c r="G678" s="217"/>
      <c r="H678" s="217"/>
      <c r="I678" s="217"/>
      <c r="J678" s="217"/>
      <c r="K678" s="217"/>
      <c r="L678" s="217"/>
      <c r="M678" s="217"/>
      <c r="N678" s="217"/>
      <c r="O678" s="217"/>
      <c r="P678" s="217"/>
      <c r="Q678" s="217"/>
      <c r="R678" s="217"/>
      <c r="S678" s="217"/>
      <c r="T678" s="217"/>
      <c r="U678" s="217"/>
      <c r="V678" s="217"/>
      <c r="W678" s="217"/>
      <c r="X678" s="217"/>
      <c r="Y678" s="217"/>
      <c r="Z678" s="217"/>
    </row>
    <row r="679" ht="15.75" customHeight="1">
      <c r="A679" s="217"/>
      <c r="B679" s="217"/>
      <c r="C679" s="217"/>
      <c r="D679" s="217"/>
      <c r="E679" s="217"/>
      <c r="F679" s="217"/>
      <c r="G679" s="217"/>
      <c r="H679" s="217"/>
      <c r="I679" s="217"/>
      <c r="J679" s="217"/>
      <c r="K679" s="217"/>
      <c r="L679" s="217"/>
      <c r="M679" s="217"/>
      <c r="N679" s="217"/>
      <c r="O679" s="217"/>
      <c r="P679" s="217"/>
      <c r="Q679" s="217"/>
      <c r="R679" s="217"/>
      <c r="S679" s="217"/>
      <c r="T679" s="217"/>
      <c r="U679" s="217"/>
      <c r="V679" s="217"/>
      <c r="W679" s="217"/>
      <c r="X679" s="217"/>
      <c r="Y679" s="217"/>
      <c r="Z679" s="217"/>
    </row>
    <row r="680" ht="15.75" customHeight="1">
      <c r="A680" s="217"/>
      <c r="B680" s="217"/>
      <c r="C680" s="217"/>
      <c r="D680" s="217"/>
      <c r="E680" s="217"/>
      <c r="F680" s="217"/>
      <c r="G680" s="217"/>
      <c r="H680" s="217"/>
      <c r="I680" s="217"/>
      <c r="J680" s="217"/>
      <c r="K680" s="217"/>
      <c r="L680" s="217"/>
      <c r="M680" s="217"/>
      <c r="N680" s="217"/>
      <c r="O680" s="217"/>
      <c r="P680" s="217"/>
      <c r="Q680" s="217"/>
      <c r="R680" s="217"/>
      <c r="S680" s="217"/>
      <c r="T680" s="217"/>
      <c r="U680" s="217"/>
      <c r="V680" s="217"/>
      <c r="W680" s="217"/>
      <c r="X680" s="217"/>
      <c r="Y680" s="217"/>
      <c r="Z680" s="217"/>
    </row>
    <row r="681" ht="15.75" customHeight="1">
      <c r="A681" s="217"/>
      <c r="B681" s="217"/>
      <c r="C681" s="217"/>
      <c r="D681" s="217"/>
      <c r="E681" s="217"/>
      <c r="F681" s="217"/>
      <c r="G681" s="217"/>
      <c r="H681" s="217"/>
      <c r="I681" s="217"/>
      <c r="J681" s="217"/>
      <c r="K681" s="217"/>
      <c r="L681" s="217"/>
      <c r="M681" s="217"/>
      <c r="N681" s="217"/>
      <c r="O681" s="217"/>
      <c r="P681" s="217"/>
      <c r="Q681" s="217"/>
      <c r="R681" s="217"/>
      <c r="S681" s="217"/>
      <c r="T681" s="217"/>
      <c r="U681" s="217"/>
      <c r="V681" s="217"/>
      <c r="W681" s="217"/>
      <c r="X681" s="217"/>
      <c r="Y681" s="217"/>
      <c r="Z681" s="217"/>
    </row>
    <row r="682" ht="15.75" customHeight="1">
      <c r="A682" s="217"/>
      <c r="B682" s="217"/>
      <c r="C682" s="217"/>
      <c r="D682" s="217"/>
      <c r="E682" s="217"/>
      <c r="F682" s="217"/>
      <c r="G682" s="217"/>
      <c r="H682" s="217"/>
      <c r="I682" s="217"/>
      <c r="J682" s="217"/>
      <c r="K682" s="217"/>
      <c r="L682" s="217"/>
      <c r="M682" s="217"/>
      <c r="N682" s="217"/>
      <c r="O682" s="217"/>
      <c r="P682" s="217"/>
      <c r="Q682" s="217"/>
      <c r="R682" s="217"/>
      <c r="S682" s="217"/>
      <c r="T682" s="217"/>
      <c r="U682" s="217"/>
      <c r="V682" s="217"/>
      <c r="W682" s="217"/>
      <c r="X682" s="217"/>
      <c r="Y682" s="217"/>
      <c r="Z682" s="217"/>
    </row>
    <row r="683" ht="15.75" customHeight="1">
      <c r="A683" s="217"/>
      <c r="B683" s="217"/>
      <c r="C683" s="217"/>
      <c r="D683" s="217"/>
      <c r="E683" s="217"/>
      <c r="F683" s="217"/>
      <c r="G683" s="217"/>
      <c r="H683" s="217"/>
      <c r="I683" s="217"/>
      <c r="J683" s="217"/>
      <c r="K683" s="217"/>
      <c r="L683" s="217"/>
      <c r="M683" s="217"/>
      <c r="N683" s="217"/>
      <c r="O683" s="217"/>
      <c r="P683" s="217"/>
      <c r="Q683" s="217"/>
      <c r="R683" s="217"/>
      <c r="S683" s="217"/>
      <c r="T683" s="217"/>
      <c r="U683" s="217"/>
      <c r="V683" s="217"/>
      <c r="W683" s="217"/>
      <c r="X683" s="217"/>
      <c r="Y683" s="217"/>
      <c r="Z683" s="217"/>
    </row>
    <row r="684" ht="15.75" customHeight="1">
      <c r="A684" s="217"/>
      <c r="B684" s="217"/>
      <c r="C684" s="217"/>
      <c r="D684" s="217"/>
      <c r="E684" s="217"/>
      <c r="F684" s="217"/>
      <c r="G684" s="217"/>
      <c r="H684" s="217"/>
      <c r="I684" s="217"/>
      <c r="J684" s="217"/>
      <c r="K684" s="217"/>
      <c r="L684" s="217"/>
      <c r="M684" s="217"/>
      <c r="N684" s="217"/>
      <c r="O684" s="217"/>
      <c r="P684" s="217"/>
      <c r="Q684" s="217"/>
      <c r="R684" s="217"/>
      <c r="S684" s="217"/>
      <c r="T684" s="217"/>
      <c r="U684" s="217"/>
      <c r="V684" s="217"/>
      <c r="W684" s="217"/>
      <c r="X684" s="217"/>
      <c r="Y684" s="217"/>
      <c r="Z684" s="217"/>
    </row>
    <row r="685" ht="15.75" customHeight="1">
      <c r="A685" s="217"/>
      <c r="B685" s="217"/>
      <c r="C685" s="217"/>
      <c r="D685" s="217"/>
      <c r="E685" s="217"/>
      <c r="F685" s="217"/>
      <c r="G685" s="217"/>
      <c r="H685" s="217"/>
      <c r="I685" s="217"/>
      <c r="J685" s="217"/>
      <c r="K685" s="217"/>
      <c r="L685" s="217"/>
      <c r="M685" s="217"/>
      <c r="N685" s="217"/>
      <c r="O685" s="217"/>
      <c r="P685" s="217"/>
      <c r="Q685" s="217"/>
      <c r="R685" s="217"/>
      <c r="S685" s="217"/>
      <c r="T685" s="217"/>
      <c r="U685" s="217"/>
      <c r="V685" s="217"/>
      <c r="W685" s="217"/>
      <c r="X685" s="217"/>
      <c r="Y685" s="217"/>
      <c r="Z685" s="217"/>
    </row>
    <row r="686" ht="15.75" customHeight="1">
      <c r="A686" s="217"/>
      <c r="B686" s="217"/>
      <c r="C686" s="217"/>
      <c r="D686" s="217"/>
      <c r="E686" s="217"/>
      <c r="F686" s="217"/>
      <c r="G686" s="217"/>
      <c r="H686" s="217"/>
      <c r="I686" s="217"/>
      <c r="J686" s="217"/>
      <c r="K686" s="217"/>
      <c r="L686" s="217"/>
      <c r="M686" s="217"/>
      <c r="N686" s="217"/>
      <c r="O686" s="217"/>
      <c r="P686" s="217"/>
      <c r="Q686" s="217"/>
      <c r="R686" s="217"/>
      <c r="S686" s="217"/>
      <c r="T686" s="217"/>
      <c r="U686" s="217"/>
      <c r="V686" s="217"/>
      <c r="W686" s="217"/>
      <c r="X686" s="217"/>
      <c r="Y686" s="217"/>
      <c r="Z686" s="217"/>
    </row>
    <row r="687" ht="15.75" customHeight="1">
      <c r="A687" s="217"/>
      <c r="B687" s="217"/>
      <c r="C687" s="217"/>
      <c r="D687" s="217"/>
      <c r="E687" s="217"/>
      <c r="F687" s="217"/>
      <c r="G687" s="217"/>
      <c r="H687" s="217"/>
      <c r="I687" s="217"/>
      <c r="J687" s="217"/>
      <c r="K687" s="217"/>
      <c r="L687" s="217"/>
      <c r="M687" s="217"/>
      <c r="N687" s="217"/>
      <c r="O687" s="217"/>
      <c r="P687" s="217"/>
      <c r="Q687" s="217"/>
      <c r="R687" s="217"/>
      <c r="S687" s="217"/>
      <c r="T687" s="217"/>
      <c r="U687" s="217"/>
      <c r="V687" s="217"/>
      <c r="W687" s="217"/>
      <c r="X687" s="217"/>
      <c r="Y687" s="217"/>
      <c r="Z687" s="217"/>
    </row>
    <row r="688" ht="15.75" customHeight="1">
      <c r="A688" s="217"/>
      <c r="B688" s="217"/>
      <c r="C688" s="217"/>
      <c r="D688" s="217"/>
      <c r="E688" s="217"/>
      <c r="F688" s="217"/>
      <c r="G688" s="217"/>
      <c r="H688" s="217"/>
      <c r="I688" s="217"/>
      <c r="J688" s="217"/>
      <c r="K688" s="217"/>
      <c r="L688" s="217"/>
      <c r="M688" s="217"/>
      <c r="N688" s="217"/>
      <c r="O688" s="217"/>
      <c r="P688" s="217"/>
      <c r="Q688" s="217"/>
      <c r="R688" s="217"/>
      <c r="S688" s="217"/>
      <c r="T688" s="217"/>
      <c r="U688" s="217"/>
      <c r="V688" s="217"/>
      <c r="W688" s="217"/>
      <c r="X688" s="217"/>
      <c r="Y688" s="217"/>
      <c r="Z688" s="217"/>
    </row>
    <row r="689" ht="15.75" customHeight="1">
      <c r="A689" s="217"/>
      <c r="B689" s="217"/>
      <c r="C689" s="217"/>
      <c r="D689" s="217"/>
      <c r="E689" s="217"/>
      <c r="F689" s="217"/>
      <c r="G689" s="217"/>
      <c r="H689" s="217"/>
      <c r="I689" s="217"/>
      <c r="J689" s="217"/>
      <c r="K689" s="217"/>
      <c r="L689" s="217"/>
      <c r="M689" s="217"/>
      <c r="N689" s="217"/>
      <c r="O689" s="217"/>
      <c r="P689" s="217"/>
      <c r="Q689" s="217"/>
      <c r="R689" s="217"/>
      <c r="S689" s="217"/>
      <c r="T689" s="217"/>
      <c r="U689" s="217"/>
      <c r="V689" s="217"/>
      <c r="W689" s="217"/>
      <c r="X689" s="217"/>
      <c r="Y689" s="217"/>
      <c r="Z689" s="217"/>
    </row>
    <row r="690" ht="15.75" customHeight="1">
      <c r="A690" s="217"/>
      <c r="B690" s="217"/>
      <c r="C690" s="217"/>
      <c r="D690" s="217"/>
      <c r="E690" s="217"/>
      <c r="F690" s="217"/>
      <c r="G690" s="217"/>
      <c r="H690" s="217"/>
      <c r="I690" s="217"/>
      <c r="J690" s="217"/>
      <c r="K690" s="217"/>
      <c r="L690" s="217"/>
      <c r="M690" s="217"/>
      <c r="N690" s="217"/>
      <c r="O690" s="217"/>
      <c r="P690" s="217"/>
      <c r="Q690" s="217"/>
      <c r="R690" s="217"/>
      <c r="S690" s="217"/>
      <c r="T690" s="217"/>
      <c r="U690" s="217"/>
      <c r="V690" s="217"/>
      <c r="W690" s="217"/>
      <c r="X690" s="217"/>
      <c r="Y690" s="217"/>
      <c r="Z690" s="217"/>
    </row>
    <row r="691" ht="15.75" customHeight="1">
      <c r="A691" s="217"/>
      <c r="B691" s="217"/>
      <c r="C691" s="217"/>
      <c r="D691" s="217"/>
      <c r="E691" s="217"/>
      <c r="F691" s="217"/>
      <c r="G691" s="217"/>
      <c r="H691" s="217"/>
      <c r="I691" s="217"/>
      <c r="J691" s="217"/>
      <c r="K691" s="217"/>
      <c r="L691" s="217"/>
      <c r="M691" s="217"/>
      <c r="N691" s="217"/>
      <c r="O691" s="217"/>
      <c r="P691" s="217"/>
      <c r="Q691" s="217"/>
      <c r="R691" s="217"/>
      <c r="S691" s="217"/>
      <c r="T691" s="217"/>
      <c r="U691" s="217"/>
      <c r="V691" s="217"/>
      <c r="W691" s="217"/>
      <c r="X691" s="217"/>
      <c r="Y691" s="217"/>
      <c r="Z691" s="217"/>
    </row>
    <row r="692" ht="15.75" customHeight="1">
      <c r="A692" s="217"/>
      <c r="B692" s="217"/>
      <c r="C692" s="217"/>
      <c r="D692" s="217"/>
      <c r="E692" s="217"/>
      <c r="F692" s="217"/>
      <c r="G692" s="217"/>
      <c r="H692" s="217"/>
      <c r="I692" s="217"/>
      <c r="J692" s="217"/>
      <c r="K692" s="217"/>
      <c r="L692" s="217"/>
      <c r="M692" s="217"/>
      <c r="N692" s="217"/>
      <c r="O692" s="217"/>
      <c r="P692" s="217"/>
      <c r="Q692" s="217"/>
      <c r="R692" s="217"/>
      <c r="S692" s="217"/>
      <c r="T692" s="217"/>
      <c r="U692" s="217"/>
      <c r="V692" s="217"/>
      <c r="W692" s="217"/>
      <c r="X692" s="217"/>
      <c r="Y692" s="217"/>
      <c r="Z692" s="217"/>
    </row>
    <row r="693" ht="15.75" customHeight="1">
      <c r="A693" s="217"/>
      <c r="B693" s="217"/>
      <c r="C693" s="217"/>
      <c r="D693" s="217"/>
      <c r="E693" s="217"/>
      <c r="F693" s="217"/>
      <c r="G693" s="217"/>
      <c r="H693" s="217"/>
      <c r="I693" s="217"/>
      <c r="J693" s="217"/>
      <c r="K693" s="217"/>
      <c r="L693" s="217"/>
      <c r="M693" s="217"/>
      <c r="N693" s="217"/>
      <c r="O693" s="217"/>
      <c r="P693" s="217"/>
      <c r="Q693" s="217"/>
      <c r="R693" s="217"/>
      <c r="S693" s="217"/>
      <c r="T693" s="217"/>
      <c r="U693" s="217"/>
      <c r="V693" s="217"/>
      <c r="W693" s="217"/>
      <c r="X693" s="217"/>
      <c r="Y693" s="217"/>
      <c r="Z693" s="217"/>
    </row>
    <row r="694" ht="15.75" customHeight="1">
      <c r="A694" s="217"/>
      <c r="B694" s="217"/>
      <c r="C694" s="217"/>
      <c r="D694" s="217"/>
      <c r="E694" s="217"/>
      <c r="F694" s="217"/>
      <c r="G694" s="217"/>
      <c r="H694" s="217"/>
      <c r="I694" s="217"/>
      <c r="J694" s="217"/>
      <c r="K694" s="217"/>
      <c r="L694" s="217"/>
      <c r="M694" s="217"/>
      <c r="N694" s="217"/>
      <c r="O694" s="217"/>
      <c r="P694" s="217"/>
      <c r="Q694" s="217"/>
      <c r="R694" s="217"/>
      <c r="S694" s="217"/>
      <c r="T694" s="217"/>
      <c r="U694" s="217"/>
      <c r="V694" s="217"/>
      <c r="W694" s="217"/>
      <c r="X694" s="217"/>
      <c r="Y694" s="217"/>
      <c r="Z694" s="217"/>
    </row>
    <row r="695" ht="15.75" customHeight="1">
      <c r="A695" s="217"/>
      <c r="B695" s="217"/>
      <c r="C695" s="217"/>
      <c r="D695" s="217"/>
      <c r="E695" s="217"/>
      <c r="F695" s="217"/>
      <c r="G695" s="217"/>
      <c r="H695" s="217"/>
      <c r="I695" s="217"/>
      <c r="J695" s="217"/>
      <c r="K695" s="217"/>
      <c r="L695" s="217"/>
      <c r="M695" s="217"/>
      <c r="N695" s="217"/>
      <c r="O695" s="217"/>
      <c r="P695" s="217"/>
      <c r="Q695" s="217"/>
      <c r="R695" s="217"/>
      <c r="S695" s="217"/>
      <c r="T695" s="217"/>
      <c r="U695" s="217"/>
      <c r="V695" s="217"/>
      <c r="W695" s="217"/>
      <c r="X695" s="217"/>
      <c r="Y695" s="217"/>
      <c r="Z695" s="217"/>
    </row>
    <row r="696" ht="15.75" customHeight="1">
      <c r="A696" s="217"/>
      <c r="B696" s="217"/>
      <c r="C696" s="217"/>
      <c r="D696" s="217"/>
      <c r="E696" s="217"/>
      <c r="F696" s="217"/>
      <c r="G696" s="217"/>
      <c r="H696" s="217"/>
      <c r="I696" s="217"/>
      <c r="J696" s="217"/>
      <c r="K696" s="217"/>
      <c r="L696" s="217"/>
      <c r="M696" s="217"/>
      <c r="N696" s="217"/>
      <c r="O696" s="217"/>
      <c r="P696" s="217"/>
      <c r="Q696" s="217"/>
      <c r="R696" s="217"/>
      <c r="S696" s="217"/>
      <c r="T696" s="217"/>
      <c r="U696" s="217"/>
      <c r="V696" s="217"/>
      <c r="W696" s="217"/>
      <c r="X696" s="217"/>
      <c r="Y696" s="217"/>
      <c r="Z696" s="217"/>
    </row>
    <row r="697" ht="15.75" customHeight="1">
      <c r="A697" s="217"/>
      <c r="B697" s="217"/>
      <c r="C697" s="217"/>
      <c r="D697" s="217"/>
      <c r="E697" s="217"/>
      <c r="F697" s="217"/>
      <c r="G697" s="217"/>
      <c r="H697" s="217"/>
      <c r="I697" s="217"/>
      <c r="J697" s="217"/>
      <c r="K697" s="217"/>
      <c r="L697" s="217"/>
      <c r="M697" s="217"/>
      <c r="N697" s="217"/>
      <c r="O697" s="217"/>
      <c r="P697" s="217"/>
      <c r="Q697" s="217"/>
      <c r="R697" s="217"/>
      <c r="S697" s="217"/>
      <c r="T697" s="217"/>
      <c r="U697" s="217"/>
      <c r="V697" s="217"/>
      <c r="W697" s="217"/>
      <c r="X697" s="217"/>
      <c r="Y697" s="217"/>
      <c r="Z697" s="217"/>
    </row>
    <row r="698" ht="15.75" customHeight="1">
      <c r="A698" s="217"/>
      <c r="B698" s="217"/>
      <c r="C698" s="217"/>
      <c r="D698" s="217"/>
      <c r="E698" s="217"/>
      <c r="F698" s="217"/>
      <c r="G698" s="217"/>
      <c r="H698" s="217"/>
      <c r="I698" s="217"/>
      <c r="J698" s="217"/>
      <c r="K698" s="217"/>
      <c r="L698" s="217"/>
      <c r="M698" s="217"/>
      <c r="N698" s="217"/>
      <c r="O698" s="217"/>
      <c r="P698" s="217"/>
      <c r="Q698" s="217"/>
      <c r="R698" s="217"/>
      <c r="S698" s="217"/>
      <c r="T698" s="217"/>
      <c r="U698" s="217"/>
      <c r="V698" s="217"/>
      <c r="W698" s="217"/>
      <c r="X698" s="217"/>
      <c r="Y698" s="217"/>
      <c r="Z698" s="217"/>
    </row>
    <row r="699" ht="15.75" customHeight="1">
      <c r="A699" s="217"/>
      <c r="B699" s="217"/>
      <c r="C699" s="217"/>
      <c r="D699" s="217"/>
      <c r="E699" s="217"/>
      <c r="F699" s="217"/>
      <c r="G699" s="217"/>
      <c r="H699" s="217"/>
      <c r="I699" s="217"/>
      <c r="J699" s="217"/>
      <c r="K699" s="217"/>
      <c r="L699" s="217"/>
      <c r="M699" s="217"/>
      <c r="N699" s="217"/>
      <c r="O699" s="217"/>
      <c r="P699" s="217"/>
      <c r="Q699" s="217"/>
      <c r="R699" s="217"/>
      <c r="S699" s="217"/>
      <c r="T699" s="217"/>
      <c r="U699" s="217"/>
      <c r="V699" s="217"/>
      <c r="W699" s="217"/>
      <c r="X699" s="217"/>
      <c r="Y699" s="217"/>
      <c r="Z699" s="217"/>
    </row>
    <row r="700" ht="15.75" customHeight="1">
      <c r="A700" s="217"/>
      <c r="B700" s="217"/>
      <c r="C700" s="217"/>
      <c r="D700" s="217"/>
      <c r="E700" s="217"/>
      <c r="F700" s="217"/>
      <c r="G700" s="217"/>
      <c r="H700" s="217"/>
      <c r="I700" s="217"/>
      <c r="J700" s="217"/>
      <c r="K700" s="217"/>
      <c r="L700" s="217"/>
      <c r="M700" s="217"/>
      <c r="N700" s="217"/>
      <c r="O700" s="217"/>
      <c r="P700" s="217"/>
      <c r="Q700" s="217"/>
      <c r="R700" s="217"/>
      <c r="S700" s="217"/>
      <c r="T700" s="217"/>
      <c r="U700" s="217"/>
      <c r="V700" s="217"/>
      <c r="W700" s="217"/>
      <c r="X700" s="217"/>
      <c r="Y700" s="217"/>
      <c r="Z700" s="217"/>
    </row>
    <row r="701" ht="15.75" customHeight="1">
      <c r="A701" s="217"/>
      <c r="B701" s="217"/>
      <c r="C701" s="217"/>
      <c r="D701" s="217"/>
      <c r="E701" s="217"/>
      <c r="F701" s="217"/>
      <c r="G701" s="217"/>
      <c r="H701" s="217"/>
      <c r="I701" s="217"/>
      <c r="J701" s="217"/>
      <c r="K701" s="217"/>
      <c r="L701" s="217"/>
      <c r="M701" s="217"/>
      <c r="N701" s="217"/>
      <c r="O701" s="217"/>
      <c r="P701" s="217"/>
      <c r="Q701" s="217"/>
      <c r="R701" s="217"/>
      <c r="S701" s="217"/>
      <c r="T701" s="217"/>
      <c r="U701" s="217"/>
      <c r="V701" s="217"/>
      <c r="W701" s="217"/>
      <c r="X701" s="217"/>
      <c r="Y701" s="217"/>
      <c r="Z701" s="217"/>
    </row>
    <row r="702" ht="15.75" customHeight="1">
      <c r="A702" s="217"/>
      <c r="B702" s="217"/>
      <c r="C702" s="217"/>
      <c r="D702" s="217"/>
      <c r="E702" s="217"/>
      <c r="F702" s="217"/>
      <c r="G702" s="217"/>
      <c r="H702" s="217"/>
      <c r="I702" s="217"/>
      <c r="J702" s="217"/>
      <c r="K702" s="217"/>
      <c r="L702" s="217"/>
      <c r="M702" s="217"/>
      <c r="N702" s="217"/>
      <c r="O702" s="217"/>
      <c r="P702" s="217"/>
      <c r="Q702" s="217"/>
      <c r="R702" s="217"/>
      <c r="S702" s="217"/>
      <c r="T702" s="217"/>
      <c r="U702" s="217"/>
      <c r="V702" s="217"/>
      <c r="W702" s="217"/>
      <c r="X702" s="217"/>
      <c r="Y702" s="217"/>
      <c r="Z702" s="217"/>
    </row>
    <row r="703" ht="15.75" customHeight="1">
      <c r="A703" s="217"/>
      <c r="B703" s="217"/>
      <c r="C703" s="217"/>
      <c r="D703" s="217"/>
      <c r="E703" s="217"/>
      <c r="F703" s="217"/>
      <c r="G703" s="217"/>
      <c r="H703" s="217"/>
      <c r="I703" s="217"/>
      <c r="J703" s="217"/>
      <c r="K703" s="217"/>
      <c r="L703" s="217"/>
      <c r="M703" s="217"/>
      <c r="N703" s="217"/>
      <c r="O703" s="217"/>
      <c r="P703" s="217"/>
      <c r="Q703" s="217"/>
      <c r="R703" s="217"/>
      <c r="S703" s="217"/>
      <c r="T703" s="217"/>
      <c r="U703" s="217"/>
      <c r="V703" s="217"/>
      <c r="W703" s="217"/>
      <c r="X703" s="217"/>
      <c r="Y703" s="217"/>
      <c r="Z703" s="217"/>
    </row>
    <row r="704" ht="15.75" customHeight="1">
      <c r="A704" s="217"/>
      <c r="B704" s="217"/>
      <c r="C704" s="217"/>
      <c r="D704" s="217"/>
      <c r="E704" s="217"/>
      <c r="F704" s="217"/>
      <c r="G704" s="217"/>
      <c r="H704" s="217"/>
      <c r="I704" s="217"/>
      <c r="J704" s="217"/>
      <c r="K704" s="217"/>
      <c r="L704" s="217"/>
      <c r="M704" s="217"/>
      <c r="N704" s="217"/>
      <c r="O704" s="217"/>
      <c r="P704" s="217"/>
      <c r="Q704" s="217"/>
      <c r="R704" s="217"/>
      <c r="S704" s="217"/>
      <c r="T704" s="217"/>
      <c r="U704" s="217"/>
      <c r="V704" s="217"/>
      <c r="W704" s="217"/>
      <c r="X704" s="217"/>
      <c r="Y704" s="217"/>
      <c r="Z704" s="217"/>
    </row>
    <row r="705" ht="15.75" customHeight="1">
      <c r="A705" s="217"/>
      <c r="B705" s="217"/>
      <c r="C705" s="217"/>
      <c r="D705" s="217"/>
      <c r="E705" s="217"/>
      <c r="F705" s="217"/>
      <c r="G705" s="217"/>
      <c r="H705" s="217"/>
      <c r="I705" s="217"/>
      <c r="J705" s="217"/>
      <c r="K705" s="217"/>
      <c r="L705" s="217"/>
      <c r="M705" s="217"/>
      <c r="N705" s="217"/>
      <c r="O705" s="217"/>
      <c r="P705" s="217"/>
      <c r="Q705" s="217"/>
      <c r="R705" s="217"/>
      <c r="S705" s="217"/>
      <c r="T705" s="217"/>
      <c r="U705" s="217"/>
      <c r="V705" s="217"/>
      <c r="W705" s="217"/>
      <c r="X705" s="217"/>
      <c r="Y705" s="217"/>
      <c r="Z705" s="217"/>
    </row>
    <row r="706" ht="15.75" customHeight="1">
      <c r="A706" s="217"/>
      <c r="B706" s="217"/>
      <c r="C706" s="217"/>
      <c r="D706" s="217"/>
      <c r="E706" s="217"/>
      <c r="F706" s="217"/>
      <c r="G706" s="217"/>
      <c r="H706" s="217"/>
      <c r="I706" s="217"/>
      <c r="J706" s="217"/>
      <c r="K706" s="217"/>
      <c r="L706" s="217"/>
      <c r="M706" s="217"/>
      <c r="N706" s="217"/>
      <c r="O706" s="217"/>
      <c r="P706" s="217"/>
      <c r="Q706" s="217"/>
      <c r="R706" s="217"/>
      <c r="S706" s="217"/>
      <c r="T706" s="217"/>
      <c r="U706" s="217"/>
      <c r="V706" s="217"/>
      <c r="W706" s="217"/>
      <c r="X706" s="217"/>
      <c r="Y706" s="217"/>
      <c r="Z706" s="217"/>
    </row>
    <row r="707" ht="15.75" customHeight="1">
      <c r="A707" s="217"/>
      <c r="B707" s="217"/>
      <c r="C707" s="217"/>
      <c r="D707" s="217"/>
      <c r="E707" s="217"/>
      <c r="F707" s="217"/>
      <c r="G707" s="217"/>
      <c r="H707" s="217"/>
      <c r="I707" s="217"/>
      <c r="J707" s="217"/>
      <c r="K707" s="217"/>
      <c r="L707" s="217"/>
      <c r="M707" s="217"/>
      <c r="N707" s="217"/>
      <c r="O707" s="217"/>
      <c r="P707" s="217"/>
      <c r="Q707" s="217"/>
      <c r="R707" s="217"/>
      <c r="S707" s="217"/>
      <c r="T707" s="217"/>
      <c r="U707" s="217"/>
      <c r="V707" s="217"/>
      <c r="W707" s="217"/>
      <c r="X707" s="217"/>
      <c r="Y707" s="217"/>
      <c r="Z707" s="217"/>
    </row>
    <row r="708" ht="15.75" customHeight="1">
      <c r="A708" s="217"/>
      <c r="B708" s="217"/>
      <c r="C708" s="217"/>
      <c r="D708" s="217"/>
      <c r="E708" s="217"/>
      <c r="F708" s="217"/>
      <c r="G708" s="217"/>
      <c r="H708" s="217"/>
      <c r="I708" s="217"/>
      <c r="J708" s="217"/>
      <c r="K708" s="217"/>
      <c r="L708" s="217"/>
      <c r="M708" s="217"/>
      <c r="N708" s="217"/>
      <c r="O708" s="217"/>
      <c r="P708" s="217"/>
      <c r="Q708" s="217"/>
      <c r="R708" s="217"/>
      <c r="S708" s="217"/>
      <c r="T708" s="217"/>
      <c r="U708" s="217"/>
      <c r="V708" s="217"/>
      <c r="W708" s="217"/>
      <c r="X708" s="217"/>
      <c r="Y708" s="217"/>
      <c r="Z708" s="217"/>
    </row>
    <row r="709" ht="15.75" customHeight="1">
      <c r="A709" s="217"/>
      <c r="B709" s="217"/>
      <c r="C709" s="217"/>
      <c r="D709" s="217"/>
      <c r="E709" s="217"/>
      <c r="F709" s="217"/>
      <c r="G709" s="217"/>
      <c r="H709" s="217"/>
      <c r="I709" s="217"/>
      <c r="J709" s="217"/>
      <c r="K709" s="217"/>
      <c r="L709" s="217"/>
      <c r="M709" s="217"/>
      <c r="N709" s="217"/>
      <c r="O709" s="217"/>
      <c r="P709" s="217"/>
      <c r="Q709" s="217"/>
      <c r="R709" s="217"/>
      <c r="S709" s="217"/>
      <c r="T709" s="217"/>
      <c r="U709" s="217"/>
      <c r="V709" s="217"/>
      <c r="W709" s="217"/>
      <c r="X709" s="217"/>
      <c r="Y709" s="217"/>
      <c r="Z709" s="217"/>
    </row>
    <row r="710" ht="15.75" customHeight="1">
      <c r="A710" s="217"/>
      <c r="B710" s="217"/>
      <c r="C710" s="217"/>
      <c r="D710" s="217"/>
      <c r="E710" s="217"/>
      <c r="F710" s="217"/>
      <c r="G710" s="217"/>
      <c r="H710" s="217"/>
      <c r="I710" s="217"/>
      <c r="J710" s="217"/>
      <c r="K710" s="217"/>
      <c r="L710" s="217"/>
      <c r="M710" s="217"/>
      <c r="N710" s="217"/>
      <c r="O710" s="217"/>
      <c r="P710" s="217"/>
      <c r="Q710" s="217"/>
      <c r="R710" s="217"/>
      <c r="S710" s="217"/>
      <c r="T710" s="217"/>
      <c r="U710" s="217"/>
      <c r="V710" s="217"/>
      <c r="W710" s="217"/>
      <c r="X710" s="217"/>
      <c r="Y710" s="217"/>
      <c r="Z710" s="217"/>
    </row>
    <row r="711" ht="15.75" customHeight="1">
      <c r="A711" s="217"/>
      <c r="B711" s="217"/>
      <c r="C711" s="217"/>
      <c r="D711" s="217"/>
      <c r="E711" s="217"/>
      <c r="F711" s="217"/>
      <c r="G711" s="217"/>
      <c r="H711" s="217"/>
      <c r="I711" s="217"/>
      <c r="J711" s="217"/>
      <c r="K711" s="217"/>
      <c r="L711" s="217"/>
      <c r="M711" s="217"/>
      <c r="N711" s="217"/>
      <c r="O711" s="217"/>
      <c r="P711" s="217"/>
      <c r="Q711" s="217"/>
      <c r="R711" s="217"/>
      <c r="S711" s="217"/>
      <c r="T711" s="217"/>
      <c r="U711" s="217"/>
      <c r="V711" s="217"/>
      <c r="W711" s="217"/>
      <c r="X711" s="217"/>
      <c r="Y711" s="217"/>
      <c r="Z711" s="217"/>
    </row>
    <row r="712" ht="15.75" customHeight="1">
      <c r="A712" s="217"/>
      <c r="B712" s="217"/>
      <c r="C712" s="217"/>
      <c r="D712" s="217"/>
      <c r="E712" s="217"/>
      <c r="F712" s="217"/>
      <c r="G712" s="217"/>
      <c r="H712" s="217"/>
      <c r="I712" s="217"/>
      <c r="J712" s="217"/>
      <c r="K712" s="217"/>
      <c r="L712" s="217"/>
      <c r="M712" s="217"/>
      <c r="N712" s="217"/>
      <c r="O712" s="217"/>
      <c r="P712" s="217"/>
      <c r="Q712" s="217"/>
      <c r="R712" s="217"/>
      <c r="S712" s="217"/>
      <c r="T712" s="217"/>
      <c r="U712" s="217"/>
      <c r="V712" s="217"/>
      <c r="W712" s="217"/>
      <c r="X712" s="217"/>
      <c r="Y712" s="217"/>
      <c r="Z712" s="217"/>
    </row>
    <row r="713" ht="15.75" customHeight="1">
      <c r="A713" s="217"/>
      <c r="B713" s="217"/>
      <c r="C713" s="217"/>
      <c r="D713" s="217"/>
      <c r="E713" s="217"/>
      <c r="F713" s="217"/>
      <c r="G713" s="217"/>
      <c r="H713" s="217"/>
      <c r="I713" s="217"/>
      <c r="J713" s="217"/>
      <c r="K713" s="217"/>
      <c r="L713" s="217"/>
      <c r="M713" s="217"/>
      <c r="N713" s="217"/>
      <c r="O713" s="217"/>
      <c r="P713" s="217"/>
      <c r="Q713" s="217"/>
      <c r="R713" s="217"/>
      <c r="S713" s="217"/>
      <c r="T713" s="217"/>
      <c r="U713" s="217"/>
      <c r="V713" s="217"/>
      <c r="W713" s="217"/>
      <c r="X713" s="217"/>
      <c r="Y713" s="217"/>
      <c r="Z713" s="217"/>
    </row>
    <row r="714" ht="15.75" customHeight="1">
      <c r="A714" s="217"/>
      <c r="B714" s="217"/>
      <c r="C714" s="217"/>
      <c r="D714" s="217"/>
      <c r="E714" s="217"/>
      <c r="F714" s="217"/>
      <c r="G714" s="217"/>
      <c r="H714" s="217"/>
      <c r="I714" s="217"/>
      <c r="J714" s="217"/>
      <c r="K714" s="217"/>
      <c r="L714" s="217"/>
      <c r="M714" s="217"/>
      <c r="N714" s="217"/>
      <c r="O714" s="217"/>
      <c r="P714" s="217"/>
      <c r="Q714" s="217"/>
      <c r="R714" s="217"/>
      <c r="S714" s="217"/>
      <c r="T714" s="217"/>
      <c r="U714" s="217"/>
      <c r="V714" s="217"/>
      <c r="W714" s="217"/>
      <c r="X714" s="217"/>
      <c r="Y714" s="217"/>
      <c r="Z714" s="217"/>
    </row>
    <row r="715" ht="15.75" customHeight="1">
      <c r="A715" s="217"/>
      <c r="B715" s="217"/>
      <c r="C715" s="217"/>
      <c r="D715" s="217"/>
      <c r="E715" s="217"/>
      <c r="F715" s="217"/>
      <c r="G715" s="217"/>
      <c r="H715" s="217"/>
      <c r="I715" s="217"/>
      <c r="J715" s="217"/>
      <c r="K715" s="217"/>
      <c r="L715" s="217"/>
      <c r="M715" s="217"/>
      <c r="N715" s="217"/>
      <c r="O715" s="217"/>
      <c r="P715" s="217"/>
      <c r="Q715" s="217"/>
      <c r="R715" s="217"/>
      <c r="S715" s="217"/>
      <c r="T715" s="217"/>
      <c r="U715" s="217"/>
      <c r="V715" s="217"/>
      <c r="W715" s="217"/>
      <c r="X715" s="217"/>
      <c r="Y715" s="217"/>
      <c r="Z715" s="217"/>
    </row>
    <row r="716" ht="15.75" customHeight="1">
      <c r="A716" s="217"/>
      <c r="B716" s="217"/>
      <c r="C716" s="217"/>
      <c r="D716" s="217"/>
      <c r="E716" s="217"/>
      <c r="F716" s="217"/>
      <c r="G716" s="217"/>
      <c r="H716" s="217"/>
      <c r="I716" s="217"/>
      <c r="J716" s="217"/>
      <c r="K716" s="217"/>
      <c r="L716" s="217"/>
      <c r="M716" s="217"/>
      <c r="N716" s="217"/>
      <c r="O716" s="217"/>
      <c r="P716" s="217"/>
      <c r="Q716" s="217"/>
      <c r="R716" s="217"/>
      <c r="S716" s="217"/>
      <c r="T716" s="217"/>
      <c r="U716" s="217"/>
      <c r="V716" s="217"/>
      <c r="W716" s="217"/>
      <c r="X716" s="217"/>
      <c r="Y716" s="217"/>
      <c r="Z716" s="217"/>
    </row>
    <row r="717" ht="15.75" customHeight="1">
      <c r="A717" s="217"/>
      <c r="B717" s="217"/>
      <c r="C717" s="217"/>
      <c r="D717" s="217"/>
      <c r="E717" s="217"/>
      <c r="F717" s="217"/>
      <c r="G717" s="217"/>
      <c r="H717" s="217"/>
      <c r="I717" s="217"/>
      <c r="J717" s="217"/>
      <c r="K717" s="217"/>
      <c r="L717" s="217"/>
      <c r="M717" s="217"/>
      <c r="N717" s="217"/>
      <c r="O717" s="217"/>
      <c r="P717" s="217"/>
      <c r="Q717" s="217"/>
      <c r="R717" s="217"/>
      <c r="S717" s="217"/>
      <c r="T717" s="217"/>
      <c r="U717" s="217"/>
      <c r="V717" s="217"/>
      <c r="W717" s="217"/>
      <c r="X717" s="217"/>
      <c r="Y717" s="217"/>
      <c r="Z717" s="217"/>
    </row>
    <row r="718" ht="15.75" customHeight="1">
      <c r="A718" s="217"/>
      <c r="B718" s="217"/>
      <c r="C718" s="217"/>
      <c r="D718" s="217"/>
      <c r="E718" s="217"/>
      <c r="F718" s="217"/>
      <c r="G718" s="217"/>
      <c r="H718" s="217"/>
      <c r="I718" s="217"/>
      <c r="J718" s="217"/>
      <c r="K718" s="217"/>
      <c r="L718" s="217"/>
      <c r="M718" s="217"/>
      <c r="N718" s="217"/>
      <c r="O718" s="217"/>
      <c r="P718" s="217"/>
      <c r="Q718" s="217"/>
      <c r="R718" s="217"/>
      <c r="S718" s="217"/>
      <c r="T718" s="217"/>
      <c r="U718" s="217"/>
      <c r="V718" s="217"/>
      <c r="W718" s="217"/>
      <c r="X718" s="217"/>
      <c r="Y718" s="217"/>
      <c r="Z718" s="217"/>
    </row>
    <row r="719" ht="15.75" customHeight="1">
      <c r="A719" s="217"/>
      <c r="B719" s="217"/>
      <c r="C719" s="217"/>
      <c r="D719" s="217"/>
      <c r="E719" s="217"/>
      <c r="F719" s="217"/>
      <c r="G719" s="217"/>
      <c r="H719" s="217"/>
      <c r="I719" s="217"/>
      <c r="J719" s="217"/>
      <c r="K719" s="217"/>
      <c r="L719" s="217"/>
      <c r="M719" s="217"/>
      <c r="N719" s="217"/>
      <c r="O719" s="217"/>
      <c r="P719" s="217"/>
      <c r="Q719" s="217"/>
      <c r="R719" s="217"/>
      <c r="S719" s="217"/>
      <c r="T719" s="217"/>
      <c r="U719" s="217"/>
      <c r="V719" s="217"/>
      <c r="W719" s="217"/>
      <c r="X719" s="217"/>
      <c r="Y719" s="217"/>
      <c r="Z719" s="217"/>
    </row>
    <row r="720" ht="15.75" customHeight="1">
      <c r="A720" s="217"/>
      <c r="B720" s="217"/>
      <c r="C720" s="217"/>
      <c r="D720" s="217"/>
      <c r="E720" s="217"/>
      <c r="F720" s="217"/>
      <c r="G720" s="217"/>
      <c r="H720" s="217"/>
      <c r="I720" s="217"/>
      <c r="J720" s="217"/>
      <c r="K720" s="217"/>
      <c r="L720" s="217"/>
      <c r="M720" s="217"/>
      <c r="N720" s="217"/>
      <c r="O720" s="217"/>
      <c r="P720" s="217"/>
      <c r="Q720" s="217"/>
      <c r="R720" s="217"/>
      <c r="S720" s="217"/>
      <c r="T720" s="217"/>
      <c r="U720" s="217"/>
      <c r="V720" s="217"/>
      <c r="W720" s="217"/>
      <c r="X720" s="217"/>
      <c r="Y720" s="217"/>
      <c r="Z720" s="217"/>
    </row>
    <row r="721" ht="15.75" customHeight="1">
      <c r="A721" s="217"/>
      <c r="B721" s="217"/>
      <c r="C721" s="217"/>
      <c r="D721" s="217"/>
      <c r="E721" s="217"/>
      <c r="F721" s="217"/>
      <c r="G721" s="217"/>
      <c r="H721" s="217"/>
      <c r="I721" s="217"/>
      <c r="J721" s="217"/>
      <c r="K721" s="217"/>
      <c r="L721" s="217"/>
      <c r="M721" s="217"/>
      <c r="N721" s="217"/>
      <c r="O721" s="217"/>
      <c r="P721" s="217"/>
      <c r="Q721" s="217"/>
      <c r="R721" s="217"/>
      <c r="S721" s="217"/>
      <c r="T721" s="217"/>
      <c r="U721" s="217"/>
      <c r="V721" s="217"/>
      <c r="W721" s="217"/>
      <c r="X721" s="217"/>
      <c r="Y721" s="217"/>
      <c r="Z721" s="217"/>
    </row>
    <row r="722" ht="15.75" customHeight="1">
      <c r="A722" s="217"/>
      <c r="B722" s="217"/>
      <c r="C722" s="217"/>
      <c r="D722" s="217"/>
      <c r="E722" s="217"/>
      <c r="F722" s="217"/>
      <c r="G722" s="217"/>
      <c r="H722" s="217"/>
      <c r="I722" s="217"/>
      <c r="J722" s="217"/>
      <c r="K722" s="217"/>
      <c r="L722" s="217"/>
      <c r="M722" s="217"/>
      <c r="N722" s="217"/>
      <c r="O722" s="217"/>
      <c r="P722" s="217"/>
      <c r="Q722" s="217"/>
      <c r="R722" s="217"/>
      <c r="S722" s="217"/>
      <c r="T722" s="217"/>
      <c r="U722" s="217"/>
      <c r="V722" s="217"/>
      <c r="W722" s="217"/>
      <c r="X722" s="217"/>
      <c r="Y722" s="217"/>
      <c r="Z722" s="217"/>
    </row>
    <row r="723" ht="15.75" customHeight="1">
      <c r="A723" s="217"/>
      <c r="B723" s="217"/>
      <c r="C723" s="217"/>
      <c r="D723" s="217"/>
      <c r="E723" s="217"/>
      <c r="F723" s="217"/>
      <c r="G723" s="217"/>
      <c r="H723" s="217"/>
      <c r="I723" s="217"/>
      <c r="J723" s="217"/>
      <c r="K723" s="217"/>
      <c r="L723" s="217"/>
      <c r="M723" s="217"/>
      <c r="N723" s="217"/>
      <c r="O723" s="217"/>
      <c r="P723" s="217"/>
      <c r="Q723" s="217"/>
      <c r="R723" s="217"/>
      <c r="S723" s="217"/>
      <c r="T723" s="217"/>
      <c r="U723" s="217"/>
      <c r="V723" s="217"/>
      <c r="W723" s="217"/>
      <c r="X723" s="217"/>
      <c r="Y723" s="217"/>
      <c r="Z723" s="217"/>
    </row>
    <row r="724" ht="15.75" customHeight="1">
      <c r="A724" s="217"/>
      <c r="B724" s="217"/>
      <c r="C724" s="217"/>
      <c r="D724" s="217"/>
      <c r="E724" s="217"/>
      <c r="F724" s="217"/>
      <c r="G724" s="217"/>
      <c r="H724" s="217"/>
      <c r="I724" s="217"/>
      <c r="J724" s="217"/>
      <c r="K724" s="217"/>
      <c r="L724" s="217"/>
      <c r="M724" s="217"/>
      <c r="N724" s="217"/>
      <c r="O724" s="217"/>
      <c r="P724" s="217"/>
      <c r="Q724" s="217"/>
      <c r="R724" s="217"/>
      <c r="S724" s="217"/>
      <c r="T724" s="217"/>
      <c r="U724" s="217"/>
      <c r="V724" s="217"/>
      <c r="W724" s="217"/>
      <c r="X724" s="217"/>
      <c r="Y724" s="217"/>
      <c r="Z724" s="217"/>
    </row>
    <row r="725" ht="15.75" customHeight="1">
      <c r="A725" s="217"/>
      <c r="B725" s="217"/>
      <c r="C725" s="217"/>
      <c r="D725" s="217"/>
      <c r="E725" s="217"/>
      <c r="F725" s="217"/>
      <c r="G725" s="217"/>
      <c r="H725" s="217"/>
      <c r="I725" s="217"/>
      <c r="J725" s="217"/>
      <c r="K725" s="217"/>
      <c r="L725" s="217"/>
      <c r="M725" s="217"/>
      <c r="N725" s="217"/>
      <c r="O725" s="217"/>
      <c r="P725" s="217"/>
      <c r="Q725" s="217"/>
      <c r="R725" s="217"/>
      <c r="S725" s="217"/>
      <c r="T725" s="217"/>
      <c r="U725" s="217"/>
      <c r="V725" s="217"/>
      <c r="W725" s="217"/>
      <c r="X725" s="217"/>
      <c r="Y725" s="217"/>
      <c r="Z725" s="217"/>
    </row>
    <row r="726" ht="15.75" customHeight="1">
      <c r="A726" s="217"/>
      <c r="B726" s="217"/>
      <c r="C726" s="217"/>
      <c r="D726" s="217"/>
      <c r="E726" s="217"/>
      <c r="F726" s="217"/>
      <c r="G726" s="217"/>
      <c r="H726" s="217"/>
      <c r="I726" s="217"/>
      <c r="J726" s="217"/>
      <c r="K726" s="217"/>
      <c r="L726" s="217"/>
      <c r="M726" s="217"/>
      <c r="N726" s="217"/>
      <c r="O726" s="217"/>
      <c r="P726" s="217"/>
      <c r="Q726" s="217"/>
      <c r="R726" s="217"/>
      <c r="S726" s="217"/>
      <c r="T726" s="217"/>
      <c r="U726" s="217"/>
      <c r="V726" s="217"/>
      <c r="W726" s="217"/>
      <c r="X726" s="217"/>
      <c r="Y726" s="217"/>
      <c r="Z726" s="217"/>
    </row>
    <row r="727" ht="15.75" customHeight="1">
      <c r="A727" s="217"/>
      <c r="B727" s="217"/>
      <c r="C727" s="217"/>
      <c r="D727" s="217"/>
      <c r="E727" s="217"/>
      <c r="F727" s="217"/>
      <c r="G727" s="217"/>
      <c r="H727" s="217"/>
      <c r="I727" s="217"/>
      <c r="J727" s="217"/>
      <c r="K727" s="217"/>
      <c r="L727" s="217"/>
      <c r="M727" s="217"/>
      <c r="N727" s="217"/>
      <c r="O727" s="217"/>
      <c r="P727" s="217"/>
      <c r="Q727" s="217"/>
      <c r="R727" s="217"/>
      <c r="S727" s="217"/>
      <c r="T727" s="217"/>
      <c r="U727" s="217"/>
      <c r="V727" s="217"/>
      <c r="W727" s="217"/>
      <c r="X727" s="217"/>
      <c r="Y727" s="217"/>
      <c r="Z727" s="217"/>
    </row>
    <row r="728" ht="15.75" customHeight="1">
      <c r="A728" s="217"/>
      <c r="B728" s="217"/>
      <c r="C728" s="217"/>
      <c r="D728" s="217"/>
      <c r="E728" s="217"/>
      <c r="F728" s="217"/>
      <c r="G728" s="217"/>
      <c r="H728" s="217"/>
      <c r="I728" s="217"/>
      <c r="J728" s="217"/>
      <c r="K728" s="217"/>
      <c r="L728" s="217"/>
      <c r="M728" s="217"/>
      <c r="N728" s="217"/>
      <c r="O728" s="217"/>
      <c r="P728" s="217"/>
      <c r="Q728" s="217"/>
      <c r="R728" s="217"/>
      <c r="S728" s="217"/>
      <c r="T728" s="217"/>
      <c r="U728" s="217"/>
      <c r="V728" s="217"/>
      <c r="W728" s="217"/>
      <c r="X728" s="217"/>
      <c r="Y728" s="217"/>
      <c r="Z728" s="217"/>
    </row>
    <row r="729" ht="15.75" customHeight="1">
      <c r="A729" s="217"/>
      <c r="B729" s="217"/>
      <c r="C729" s="217"/>
      <c r="D729" s="217"/>
      <c r="E729" s="217"/>
      <c r="F729" s="217"/>
      <c r="G729" s="217"/>
      <c r="H729" s="217"/>
      <c r="I729" s="217"/>
      <c r="J729" s="217"/>
      <c r="K729" s="217"/>
      <c r="L729" s="217"/>
      <c r="M729" s="217"/>
      <c r="N729" s="217"/>
      <c r="O729" s="217"/>
      <c r="P729" s="217"/>
      <c r="Q729" s="217"/>
      <c r="R729" s="217"/>
      <c r="S729" s="217"/>
      <c r="T729" s="217"/>
      <c r="U729" s="217"/>
      <c r="V729" s="217"/>
      <c r="W729" s="217"/>
      <c r="X729" s="217"/>
      <c r="Y729" s="217"/>
      <c r="Z729" s="217"/>
    </row>
    <row r="730" ht="15.75" customHeight="1">
      <c r="A730" s="217"/>
      <c r="B730" s="217"/>
      <c r="C730" s="217"/>
      <c r="D730" s="217"/>
      <c r="E730" s="217"/>
      <c r="F730" s="217"/>
      <c r="G730" s="217"/>
      <c r="H730" s="217"/>
      <c r="I730" s="217"/>
      <c r="J730" s="217"/>
      <c r="K730" s="217"/>
      <c r="L730" s="217"/>
      <c r="M730" s="217"/>
      <c r="N730" s="217"/>
      <c r="O730" s="217"/>
      <c r="P730" s="217"/>
      <c r="Q730" s="217"/>
      <c r="R730" s="217"/>
      <c r="S730" s="217"/>
      <c r="T730" s="217"/>
      <c r="U730" s="217"/>
      <c r="V730" s="217"/>
      <c r="W730" s="217"/>
      <c r="X730" s="217"/>
      <c r="Y730" s="217"/>
      <c r="Z730" s="217"/>
    </row>
    <row r="731" ht="15.75" customHeight="1">
      <c r="A731" s="217"/>
      <c r="B731" s="217"/>
      <c r="C731" s="217"/>
      <c r="D731" s="217"/>
      <c r="E731" s="217"/>
      <c r="F731" s="217"/>
      <c r="G731" s="217"/>
      <c r="H731" s="217"/>
      <c r="I731" s="217"/>
      <c r="J731" s="217"/>
      <c r="K731" s="217"/>
      <c r="L731" s="217"/>
      <c r="M731" s="217"/>
      <c r="N731" s="217"/>
      <c r="O731" s="217"/>
      <c r="P731" s="217"/>
      <c r="Q731" s="217"/>
      <c r="R731" s="217"/>
      <c r="S731" s="217"/>
      <c r="T731" s="217"/>
      <c r="U731" s="217"/>
      <c r="V731" s="217"/>
      <c r="W731" s="217"/>
      <c r="X731" s="217"/>
      <c r="Y731" s="217"/>
      <c r="Z731" s="217"/>
    </row>
    <row r="732" ht="15.75" customHeight="1">
      <c r="A732" s="217"/>
      <c r="B732" s="217"/>
      <c r="C732" s="217"/>
      <c r="D732" s="217"/>
      <c r="E732" s="217"/>
      <c r="F732" s="217"/>
      <c r="G732" s="217"/>
      <c r="H732" s="217"/>
      <c r="I732" s="217"/>
      <c r="J732" s="217"/>
      <c r="K732" s="217"/>
      <c r="L732" s="217"/>
      <c r="M732" s="217"/>
      <c r="N732" s="217"/>
      <c r="O732" s="217"/>
      <c r="P732" s="217"/>
      <c r="Q732" s="217"/>
      <c r="R732" s="217"/>
      <c r="S732" s="217"/>
      <c r="T732" s="217"/>
      <c r="U732" s="217"/>
      <c r="V732" s="217"/>
      <c r="W732" s="217"/>
      <c r="X732" s="217"/>
      <c r="Y732" s="217"/>
      <c r="Z732" s="217"/>
    </row>
    <row r="733" ht="15.75" customHeight="1">
      <c r="A733" s="217"/>
      <c r="B733" s="217"/>
      <c r="C733" s="217"/>
      <c r="D733" s="217"/>
      <c r="E733" s="217"/>
      <c r="F733" s="217"/>
      <c r="G733" s="217"/>
      <c r="H733" s="217"/>
      <c r="I733" s="217"/>
      <c r="J733" s="217"/>
      <c r="K733" s="217"/>
      <c r="L733" s="217"/>
      <c r="M733" s="217"/>
      <c r="N733" s="217"/>
      <c r="O733" s="217"/>
      <c r="P733" s="217"/>
      <c r="Q733" s="217"/>
      <c r="R733" s="217"/>
      <c r="S733" s="217"/>
      <c r="T733" s="217"/>
      <c r="U733" s="217"/>
      <c r="V733" s="217"/>
      <c r="W733" s="217"/>
      <c r="X733" s="217"/>
      <c r="Y733" s="217"/>
      <c r="Z733" s="217"/>
    </row>
    <row r="734" ht="15.75" customHeight="1">
      <c r="A734" s="217"/>
      <c r="B734" s="217"/>
      <c r="C734" s="217"/>
      <c r="D734" s="217"/>
      <c r="E734" s="217"/>
      <c r="F734" s="217"/>
      <c r="G734" s="217"/>
      <c r="H734" s="217"/>
      <c r="I734" s="217"/>
      <c r="J734" s="217"/>
      <c r="K734" s="217"/>
      <c r="L734" s="217"/>
      <c r="M734" s="217"/>
      <c r="N734" s="217"/>
      <c r="O734" s="217"/>
      <c r="P734" s="217"/>
      <c r="Q734" s="217"/>
      <c r="R734" s="217"/>
      <c r="S734" s="217"/>
      <c r="T734" s="217"/>
      <c r="U734" s="217"/>
      <c r="V734" s="217"/>
      <c r="W734" s="217"/>
      <c r="X734" s="217"/>
      <c r="Y734" s="217"/>
      <c r="Z734" s="217"/>
    </row>
    <row r="735" ht="15.75" customHeight="1">
      <c r="A735" s="217"/>
      <c r="B735" s="217"/>
      <c r="C735" s="217"/>
      <c r="D735" s="217"/>
      <c r="E735" s="217"/>
      <c r="F735" s="217"/>
      <c r="G735" s="217"/>
      <c r="H735" s="217"/>
      <c r="I735" s="217"/>
      <c r="J735" s="217"/>
      <c r="K735" s="217"/>
      <c r="L735" s="217"/>
      <c r="M735" s="217"/>
      <c r="N735" s="217"/>
      <c r="O735" s="217"/>
      <c r="P735" s="217"/>
      <c r="Q735" s="217"/>
      <c r="R735" s="217"/>
      <c r="S735" s="217"/>
      <c r="T735" s="217"/>
      <c r="U735" s="217"/>
      <c r="V735" s="217"/>
      <c r="W735" s="217"/>
      <c r="X735" s="217"/>
      <c r="Y735" s="217"/>
      <c r="Z735" s="217"/>
    </row>
    <row r="736" ht="15.75" customHeight="1">
      <c r="A736" s="217"/>
      <c r="B736" s="217"/>
      <c r="C736" s="217"/>
      <c r="D736" s="217"/>
      <c r="E736" s="217"/>
      <c r="F736" s="217"/>
      <c r="G736" s="217"/>
      <c r="H736" s="217"/>
      <c r="I736" s="217"/>
      <c r="J736" s="217"/>
      <c r="K736" s="217"/>
      <c r="L736" s="217"/>
      <c r="M736" s="217"/>
      <c r="N736" s="217"/>
      <c r="O736" s="217"/>
      <c r="P736" s="217"/>
      <c r="Q736" s="217"/>
      <c r="R736" s="217"/>
      <c r="S736" s="217"/>
      <c r="T736" s="217"/>
      <c r="U736" s="217"/>
      <c r="V736" s="217"/>
      <c r="W736" s="217"/>
      <c r="X736" s="217"/>
      <c r="Y736" s="217"/>
      <c r="Z736" s="217"/>
    </row>
    <row r="737" ht="15.75" customHeight="1">
      <c r="A737" s="217"/>
      <c r="B737" s="217"/>
      <c r="C737" s="217"/>
      <c r="D737" s="217"/>
      <c r="E737" s="217"/>
      <c r="F737" s="217"/>
      <c r="G737" s="217"/>
      <c r="H737" s="217"/>
      <c r="I737" s="217"/>
      <c r="J737" s="217"/>
      <c r="K737" s="217"/>
      <c r="L737" s="217"/>
      <c r="M737" s="217"/>
      <c r="N737" s="217"/>
      <c r="O737" s="217"/>
      <c r="P737" s="217"/>
      <c r="Q737" s="217"/>
      <c r="R737" s="217"/>
      <c r="S737" s="217"/>
      <c r="T737" s="217"/>
      <c r="U737" s="217"/>
      <c r="V737" s="217"/>
      <c r="W737" s="217"/>
      <c r="X737" s="217"/>
      <c r="Y737" s="217"/>
      <c r="Z737" s="217"/>
    </row>
    <row r="738" ht="15.75" customHeight="1">
      <c r="A738" s="217"/>
      <c r="B738" s="217"/>
      <c r="C738" s="217"/>
      <c r="D738" s="217"/>
      <c r="E738" s="217"/>
      <c r="F738" s="217"/>
      <c r="G738" s="217"/>
      <c r="H738" s="217"/>
      <c r="I738" s="217"/>
      <c r="J738" s="217"/>
      <c r="K738" s="217"/>
      <c r="L738" s="217"/>
      <c r="M738" s="217"/>
      <c r="N738" s="217"/>
      <c r="O738" s="217"/>
      <c r="P738" s="217"/>
      <c r="Q738" s="217"/>
      <c r="R738" s="217"/>
      <c r="S738" s="217"/>
      <c r="T738" s="217"/>
      <c r="U738" s="217"/>
      <c r="V738" s="217"/>
      <c r="W738" s="217"/>
      <c r="X738" s="217"/>
      <c r="Y738" s="217"/>
      <c r="Z738" s="217"/>
    </row>
    <row r="739" ht="15.75" customHeight="1">
      <c r="A739" s="217"/>
      <c r="B739" s="217"/>
      <c r="C739" s="217"/>
      <c r="D739" s="217"/>
      <c r="E739" s="217"/>
      <c r="F739" s="217"/>
      <c r="G739" s="217"/>
      <c r="H739" s="217"/>
      <c r="I739" s="217"/>
      <c r="J739" s="217"/>
      <c r="K739" s="217"/>
      <c r="L739" s="217"/>
      <c r="M739" s="217"/>
      <c r="N739" s="217"/>
      <c r="O739" s="217"/>
      <c r="P739" s="217"/>
      <c r="Q739" s="217"/>
      <c r="R739" s="217"/>
      <c r="S739" s="217"/>
      <c r="T739" s="217"/>
      <c r="U739" s="217"/>
      <c r="V739" s="217"/>
      <c r="W739" s="217"/>
      <c r="X739" s="217"/>
      <c r="Y739" s="217"/>
      <c r="Z739" s="217"/>
    </row>
    <row r="740" ht="15.75" customHeight="1">
      <c r="A740" s="217"/>
      <c r="B740" s="217"/>
      <c r="C740" s="217"/>
      <c r="D740" s="217"/>
      <c r="E740" s="217"/>
      <c r="F740" s="217"/>
      <c r="G740" s="217"/>
      <c r="H740" s="217"/>
      <c r="I740" s="217"/>
      <c r="J740" s="217"/>
      <c r="K740" s="217"/>
      <c r="L740" s="217"/>
      <c r="M740" s="217"/>
      <c r="N740" s="217"/>
      <c r="O740" s="217"/>
      <c r="P740" s="217"/>
      <c r="Q740" s="217"/>
      <c r="R740" s="217"/>
      <c r="S740" s="217"/>
      <c r="T740" s="217"/>
      <c r="U740" s="217"/>
      <c r="V740" s="217"/>
      <c r="W740" s="217"/>
      <c r="X740" s="217"/>
      <c r="Y740" s="217"/>
      <c r="Z740" s="217"/>
    </row>
    <row r="741" ht="15.75" customHeight="1">
      <c r="A741" s="217"/>
      <c r="B741" s="217"/>
      <c r="C741" s="217"/>
      <c r="D741" s="217"/>
      <c r="E741" s="217"/>
      <c r="F741" s="217"/>
      <c r="G741" s="217"/>
      <c r="H741" s="217"/>
      <c r="I741" s="217"/>
      <c r="J741" s="217"/>
      <c r="K741" s="217"/>
      <c r="L741" s="217"/>
      <c r="M741" s="217"/>
      <c r="N741" s="217"/>
      <c r="O741" s="217"/>
      <c r="P741" s="217"/>
      <c r="Q741" s="217"/>
      <c r="R741" s="217"/>
      <c r="S741" s="217"/>
      <c r="T741" s="217"/>
      <c r="U741" s="217"/>
      <c r="V741" s="217"/>
      <c r="W741" s="217"/>
      <c r="X741" s="217"/>
      <c r="Y741" s="217"/>
      <c r="Z741" s="217"/>
    </row>
    <row r="742" ht="15.75" customHeight="1">
      <c r="A742" s="217"/>
      <c r="B742" s="217"/>
      <c r="C742" s="217"/>
      <c r="D742" s="217"/>
      <c r="E742" s="217"/>
      <c r="F742" s="217"/>
      <c r="G742" s="217"/>
      <c r="H742" s="217"/>
      <c r="I742" s="217"/>
      <c r="J742" s="217"/>
      <c r="K742" s="217"/>
      <c r="L742" s="217"/>
      <c r="M742" s="217"/>
      <c r="N742" s="217"/>
      <c r="O742" s="217"/>
      <c r="P742" s="217"/>
      <c r="Q742" s="217"/>
      <c r="R742" s="217"/>
      <c r="S742" s="217"/>
      <c r="T742" s="217"/>
      <c r="U742" s="217"/>
      <c r="V742" s="217"/>
      <c r="W742" s="217"/>
      <c r="X742" s="217"/>
      <c r="Y742" s="217"/>
      <c r="Z742" s="217"/>
    </row>
    <row r="743" ht="15.75" customHeight="1">
      <c r="A743" s="217"/>
      <c r="B743" s="217"/>
      <c r="C743" s="217"/>
      <c r="D743" s="217"/>
      <c r="E743" s="217"/>
      <c r="F743" s="217"/>
      <c r="G743" s="217"/>
      <c r="H743" s="217"/>
      <c r="I743" s="217"/>
      <c r="J743" s="217"/>
      <c r="K743" s="217"/>
      <c r="L743" s="217"/>
      <c r="M743" s="217"/>
      <c r="N743" s="217"/>
      <c r="O743" s="217"/>
      <c r="P743" s="217"/>
      <c r="Q743" s="217"/>
      <c r="R743" s="217"/>
      <c r="S743" s="217"/>
      <c r="T743" s="217"/>
      <c r="U743" s="217"/>
      <c r="V743" s="217"/>
      <c r="W743" s="217"/>
      <c r="X743" s="217"/>
      <c r="Y743" s="217"/>
      <c r="Z743" s="217"/>
    </row>
    <row r="744" ht="15.75" customHeight="1">
      <c r="A744" s="217"/>
      <c r="B744" s="217"/>
      <c r="C744" s="217"/>
      <c r="D744" s="217"/>
      <c r="E744" s="217"/>
      <c r="F744" s="217"/>
      <c r="G744" s="217"/>
      <c r="H744" s="217"/>
      <c r="I744" s="217"/>
      <c r="J744" s="217"/>
      <c r="K744" s="217"/>
      <c r="L744" s="217"/>
      <c r="M744" s="217"/>
      <c r="N744" s="217"/>
      <c r="O744" s="217"/>
      <c r="P744" s="217"/>
      <c r="Q744" s="217"/>
      <c r="R744" s="217"/>
      <c r="S744" s="217"/>
      <c r="T744" s="217"/>
      <c r="U744" s="217"/>
      <c r="V744" s="217"/>
      <c r="W744" s="217"/>
      <c r="X744" s="217"/>
      <c r="Y744" s="217"/>
      <c r="Z744" s="217"/>
    </row>
    <row r="745" ht="15.75" customHeight="1">
      <c r="A745" s="217"/>
      <c r="B745" s="217"/>
      <c r="C745" s="217"/>
      <c r="D745" s="217"/>
      <c r="E745" s="217"/>
      <c r="F745" s="217"/>
      <c r="G745" s="217"/>
      <c r="H745" s="217"/>
      <c r="I745" s="217"/>
      <c r="J745" s="217"/>
      <c r="K745" s="217"/>
      <c r="L745" s="217"/>
      <c r="M745" s="217"/>
      <c r="N745" s="217"/>
      <c r="O745" s="217"/>
      <c r="P745" s="217"/>
      <c r="Q745" s="217"/>
      <c r="R745" s="217"/>
      <c r="S745" s="217"/>
      <c r="T745" s="217"/>
      <c r="U745" s="217"/>
      <c r="V745" s="217"/>
      <c r="W745" s="217"/>
      <c r="X745" s="217"/>
      <c r="Y745" s="217"/>
      <c r="Z745" s="217"/>
    </row>
    <row r="746" ht="15.75" customHeight="1">
      <c r="A746" s="217"/>
      <c r="B746" s="217"/>
      <c r="C746" s="217"/>
      <c r="D746" s="217"/>
      <c r="E746" s="217"/>
      <c r="F746" s="217"/>
      <c r="G746" s="217"/>
      <c r="H746" s="217"/>
      <c r="I746" s="217"/>
      <c r="J746" s="217"/>
      <c r="K746" s="217"/>
      <c r="L746" s="217"/>
      <c r="M746" s="217"/>
      <c r="N746" s="217"/>
      <c r="O746" s="217"/>
      <c r="P746" s="217"/>
      <c r="Q746" s="217"/>
      <c r="R746" s="217"/>
      <c r="S746" s="217"/>
      <c r="T746" s="217"/>
      <c r="U746" s="217"/>
      <c r="V746" s="217"/>
      <c r="W746" s="217"/>
      <c r="X746" s="217"/>
      <c r="Y746" s="217"/>
      <c r="Z746" s="217"/>
    </row>
    <row r="747" ht="15.75" customHeight="1">
      <c r="A747" s="217"/>
      <c r="B747" s="217"/>
      <c r="C747" s="217"/>
      <c r="D747" s="217"/>
      <c r="E747" s="217"/>
      <c r="F747" s="217"/>
      <c r="G747" s="217"/>
      <c r="H747" s="217"/>
      <c r="I747" s="217"/>
      <c r="J747" s="217"/>
      <c r="K747" s="217"/>
      <c r="L747" s="217"/>
      <c r="M747" s="217"/>
      <c r="N747" s="217"/>
      <c r="O747" s="217"/>
      <c r="P747" s="217"/>
      <c r="Q747" s="217"/>
      <c r="R747" s="217"/>
      <c r="S747" s="217"/>
      <c r="T747" s="217"/>
      <c r="U747" s="217"/>
      <c r="V747" s="217"/>
      <c r="W747" s="217"/>
      <c r="X747" s="217"/>
      <c r="Y747" s="217"/>
      <c r="Z747" s="217"/>
    </row>
    <row r="748" ht="15.75" customHeight="1">
      <c r="A748" s="217"/>
      <c r="B748" s="217"/>
      <c r="C748" s="217"/>
      <c r="D748" s="217"/>
      <c r="E748" s="217"/>
      <c r="F748" s="217"/>
      <c r="G748" s="217"/>
      <c r="H748" s="217"/>
      <c r="I748" s="217"/>
      <c r="J748" s="217"/>
      <c r="K748" s="217"/>
      <c r="L748" s="217"/>
      <c r="M748" s="217"/>
      <c r="N748" s="217"/>
      <c r="O748" s="217"/>
      <c r="P748" s="217"/>
      <c r="Q748" s="217"/>
      <c r="R748" s="217"/>
      <c r="S748" s="217"/>
      <c r="T748" s="217"/>
      <c r="U748" s="217"/>
      <c r="V748" s="217"/>
      <c r="W748" s="217"/>
      <c r="X748" s="217"/>
      <c r="Y748" s="217"/>
      <c r="Z748" s="217"/>
    </row>
    <row r="749" ht="15.75" customHeight="1">
      <c r="A749" s="217"/>
      <c r="B749" s="217"/>
      <c r="C749" s="217"/>
      <c r="D749" s="217"/>
      <c r="E749" s="217"/>
      <c r="F749" s="217"/>
      <c r="G749" s="217"/>
      <c r="H749" s="217"/>
      <c r="I749" s="217"/>
      <c r="J749" s="217"/>
      <c r="K749" s="217"/>
      <c r="L749" s="217"/>
      <c r="M749" s="217"/>
      <c r="N749" s="217"/>
      <c r="O749" s="217"/>
      <c r="P749" s="217"/>
      <c r="Q749" s="217"/>
      <c r="R749" s="217"/>
      <c r="S749" s="217"/>
      <c r="T749" s="217"/>
      <c r="U749" s="217"/>
      <c r="V749" s="217"/>
      <c r="W749" s="217"/>
      <c r="X749" s="217"/>
      <c r="Y749" s="217"/>
      <c r="Z749" s="217"/>
    </row>
    <row r="750" ht="15.75" customHeight="1">
      <c r="A750" s="217"/>
      <c r="B750" s="217"/>
      <c r="C750" s="217"/>
      <c r="D750" s="217"/>
      <c r="E750" s="217"/>
      <c r="F750" s="217"/>
      <c r="G750" s="217"/>
      <c r="H750" s="217"/>
      <c r="I750" s="217"/>
      <c r="J750" s="217"/>
      <c r="K750" s="217"/>
      <c r="L750" s="217"/>
      <c r="M750" s="217"/>
      <c r="N750" s="217"/>
      <c r="O750" s="217"/>
      <c r="P750" s="217"/>
      <c r="Q750" s="217"/>
      <c r="R750" s="217"/>
      <c r="S750" s="217"/>
      <c r="T750" s="217"/>
      <c r="U750" s="217"/>
      <c r="V750" s="217"/>
      <c r="W750" s="217"/>
      <c r="X750" s="217"/>
      <c r="Y750" s="217"/>
      <c r="Z750" s="217"/>
    </row>
    <row r="751" ht="15.75" customHeight="1">
      <c r="A751" s="217"/>
      <c r="B751" s="217"/>
      <c r="C751" s="217"/>
      <c r="D751" s="217"/>
      <c r="E751" s="217"/>
      <c r="F751" s="217"/>
      <c r="G751" s="217"/>
      <c r="H751" s="217"/>
      <c r="I751" s="217"/>
      <c r="J751" s="217"/>
      <c r="K751" s="217"/>
      <c r="L751" s="217"/>
      <c r="M751" s="217"/>
      <c r="N751" s="217"/>
      <c r="O751" s="217"/>
      <c r="P751" s="217"/>
      <c r="Q751" s="217"/>
      <c r="R751" s="217"/>
      <c r="S751" s="217"/>
      <c r="T751" s="217"/>
      <c r="U751" s="217"/>
      <c r="V751" s="217"/>
      <c r="W751" s="217"/>
      <c r="X751" s="217"/>
      <c r="Y751" s="217"/>
      <c r="Z751" s="217"/>
    </row>
    <row r="752" ht="15.75" customHeight="1">
      <c r="A752" s="217"/>
      <c r="B752" s="217"/>
      <c r="C752" s="217"/>
      <c r="D752" s="217"/>
      <c r="E752" s="217"/>
      <c r="F752" s="217"/>
      <c r="G752" s="217"/>
      <c r="H752" s="217"/>
      <c r="I752" s="217"/>
      <c r="J752" s="217"/>
      <c r="K752" s="217"/>
      <c r="L752" s="217"/>
      <c r="M752" s="217"/>
      <c r="N752" s="217"/>
      <c r="O752" s="217"/>
      <c r="P752" s="217"/>
      <c r="Q752" s="217"/>
      <c r="R752" s="217"/>
      <c r="S752" s="217"/>
      <c r="T752" s="217"/>
      <c r="U752" s="217"/>
      <c r="V752" s="217"/>
      <c r="W752" s="217"/>
      <c r="X752" s="217"/>
      <c r="Y752" s="217"/>
      <c r="Z752" s="217"/>
    </row>
    <row r="753" ht="15.75" customHeight="1">
      <c r="A753" s="217"/>
      <c r="B753" s="217"/>
      <c r="C753" s="217"/>
      <c r="D753" s="217"/>
      <c r="E753" s="217"/>
      <c r="F753" s="217"/>
      <c r="G753" s="217"/>
      <c r="H753" s="217"/>
      <c r="I753" s="217"/>
      <c r="J753" s="217"/>
      <c r="K753" s="217"/>
      <c r="L753" s="217"/>
      <c r="M753" s="217"/>
      <c r="N753" s="217"/>
      <c r="O753" s="217"/>
      <c r="P753" s="217"/>
      <c r="Q753" s="217"/>
      <c r="R753" s="217"/>
      <c r="S753" s="217"/>
      <c r="T753" s="217"/>
      <c r="U753" s="217"/>
      <c r="V753" s="217"/>
      <c r="W753" s="217"/>
      <c r="X753" s="217"/>
      <c r="Y753" s="217"/>
      <c r="Z753" s="217"/>
    </row>
    <row r="754" ht="15.75" customHeight="1">
      <c r="A754" s="217"/>
      <c r="B754" s="217"/>
      <c r="C754" s="217"/>
      <c r="D754" s="217"/>
      <c r="E754" s="217"/>
      <c r="F754" s="217"/>
      <c r="G754" s="217"/>
      <c r="H754" s="217"/>
      <c r="I754" s="217"/>
      <c r="J754" s="217"/>
      <c r="K754" s="217"/>
      <c r="L754" s="217"/>
      <c r="M754" s="217"/>
      <c r="N754" s="217"/>
      <c r="O754" s="217"/>
      <c r="P754" s="217"/>
      <c r="Q754" s="217"/>
      <c r="R754" s="217"/>
      <c r="S754" s="217"/>
      <c r="T754" s="217"/>
      <c r="U754" s="217"/>
      <c r="V754" s="217"/>
      <c r="W754" s="217"/>
      <c r="X754" s="217"/>
      <c r="Y754" s="217"/>
      <c r="Z754" s="217"/>
    </row>
    <row r="755" ht="15.75" customHeight="1">
      <c r="A755" s="217"/>
      <c r="B755" s="217"/>
      <c r="C755" s="217"/>
      <c r="D755" s="217"/>
      <c r="E755" s="217"/>
      <c r="F755" s="217"/>
      <c r="G755" s="217"/>
      <c r="H755" s="217"/>
      <c r="I755" s="217"/>
      <c r="J755" s="217"/>
      <c r="K755" s="217"/>
      <c r="L755" s="217"/>
      <c r="M755" s="217"/>
      <c r="N755" s="217"/>
      <c r="O755" s="217"/>
      <c r="P755" s="217"/>
      <c r="Q755" s="217"/>
      <c r="R755" s="217"/>
      <c r="S755" s="217"/>
      <c r="T755" s="217"/>
      <c r="U755" s="217"/>
      <c r="V755" s="217"/>
      <c r="W755" s="217"/>
      <c r="X755" s="217"/>
      <c r="Y755" s="217"/>
      <c r="Z755" s="217"/>
    </row>
    <row r="756" ht="15.75" customHeight="1">
      <c r="A756" s="217"/>
      <c r="B756" s="217"/>
      <c r="C756" s="217"/>
      <c r="D756" s="217"/>
      <c r="E756" s="217"/>
      <c r="F756" s="217"/>
      <c r="G756" s="217"/>
      <c r="H756" s="217"/>
      <c r="I756" s="217"/>
      <c r="J756" s="217"/>
      <c r="K756" s="217"/>
      <c r="L756" s="217"/>
      <c r="M756" s="217"/>
      <c r="N756" s="217"/>
      <c r="O756" s="217"/>
      <c r="P756" s="217"/>
      <c r="Q756" s="217"/>
      <c r="R756" s="217"/>
      <c r="S756" s="217"/>
      <c r="T756" s="217"/>
      <c r="U756" s="217"/>
      <c r="V756" s="217"/>
      <c r="W756" s="217"/>
      <c r="X756" s="217"/>
      <c r="Y756" s="217"/>
      <c r="Z756" s="217"/>
    </row>
    <row r="757" ht="15.75" customHeight="1">
      <c r="A757" s="217"/>
      <c r="B757" s="217"/>
      <c r="C757" s="217"/>
      <c r="D757" s="217"/>
      <c r="E757" s="217"/>
      <c r="F757" s="217"/>
      <c r="G757" s="217"/>
      <c r="H757" s="217"/>
      <c r="I757" s="217"/>
      <c r="J757" s="217"/>
      <c r="K757" s="217"/>
      <c r="L757" s="217"/>
      <c r="M757" s="217"/>
      <c r="N757" s="217"/>
      <c r="O757" s="217"/>
      <c r="P757" s="217"/>
      <c r="Q757" s="217"/>
      <c r="R757" s="217"/>
      <c r="S757" s="217"/>
      <c r="T757" s="217"/>
      <c r="U757" s="217"/>
      <c r="V757" s="217"/>
      <c r="W757" s="217"/>
      <c r="X757" s="217"/>
      <c r="Y757" s="217"/>
      <c r="Z757" s="217"/>
    </row>
    <row r="758" ht="15.75" customHeight="1">
      <c r="A758" s="217"/>
      <c r="B758" s="217"/>
      <c r="C758" s="217"/>
      <c r="D758" s="217"/>
      <c r="E758" s="217"/>
      <c r="F758" s="217"/>
      <c r="G758" s="217"/>
      <c r="H758" s="217"/>
      <c r="I758" s="217"/>
      <c r="J758" s="217"/>
      <c r="K758" s="217"/>
      <c r="L758" s="217"/>
      <c r="M758" s="217"/>
      <c r="N758" s="217"/>
      <c r="O758" s="217"/>
      <c r="P758" s="217"/>
      <c r="Q758" s="217"/>
      <c r="R758" s="217"/>
      <c r="S758" s="217"/>
      <c r="T758" s="217"/>
      <c r="U758" s="217"/>
      <c r="V758" s="217"/>
      <c r="W758" s="217"/>
      <c r="X758" s="217"/>
      <c r="Y758" s="217"/>
      <c r="Z758" s="217"/>
    </row>
    <row r="759" ht="15.75" customHeight="1">
      <c r="A759" s="217"/>
      <c r="B759" s="217"/>
      <c r="C759" s="217"/>
      <c r="D759" s="217"/>
      <c r="E759" s="217"/>
      <c r="F759" s="217"/>
      <c r="G759" s="217"/>
      <c r="H759" s="217"/>
      <c r="I759" s="217"/>
      <c r="J759" s="217"/>
      <c r="K759" s="217"/>
      <c r="L759" s="217"/>
      <c r="M759" s="217"/>
      <c r="N759" s="217"/>
      <c r="O759" s="217"/>
      <c r="P759" s="217"/>
      <c r="Q759" s="217"/>
      <c r="R759" s="217"/>
      <c r="S759" s="217"/>
      <c r="T759" s="217"/>
      <c r="U759" s="217"/>
      <c r="V759" s="217"/>
      <c r="W759" s="217"/>
      <c r="X759" s="217"/>
      <c r="Y759" s="217"/>
      <c r="Z759" s="217"/>
    </row>
    <row r="760" ht="15.75" customHeight="1">
      <c r="A760" s="217"/>
      <c r="B760" s="217"/>
      <c r="C760" s="217"/>
      <c r="D760" s="217"/>
      <c r="E760" s="217"/>
      <c r="F760" s="217"/>
      <c r="G760" s="217"/>
      <c r="H760" s="217"/>
      <c r="I760" s="217"/>
      <c r="J760" s="217"/>
      <c r="K760" s="217"/>
      <c r="L760" s="217"/>
      <c r="M760" s="217"/>
      <c r="N760" s="217"/>
      <c r="O760" s="217"/>
      <c r="P760" s="217"/>
      <c r="Q760" s="217"/>
      <c r="R760" s="217"/>
      <c r="S760" s="217"/>
      <c r="T760" s="217"/>
      <c r="U760" s="217"/>
      <c r="V760" s="217"/>
      <c r="W760" s="217"/>
      <c r="X760" s="217"/>
      <c r="Y760" s="217"/>
      <c r="Z760" s="217"/>
    </row>
    <row r="761" ht="15.75" customHeight="1">
      <c r="A761" s="217"/>
      <c r="B761" s="217"/>
      <c r="C761" s="217"/>
      <c r="D761" s="217"/>
      <c r="E761" s="217"/>
      <c r="F761" s="217"/>
      <c r="G761" s="217"/>
      <c r="H761" s="217"/>
      <c r="I761" s="217"/>
      <c r="J761" s="217"/>
      <c r="K761" s="217"/>
      <c r="L761" s="217"/>
      <c r="M761" s="217"/>
      <c r="N761" s="217"/>
      <c r="O761" s="217"/>
      <c r="P761" s="217"/>
      <c r="Q761" s="217"/>
      <c r="R761" s="217"/>
      <c r="S761" s="217"/>
      <c r="T761" s="217"/>
      <c r="U761" s="217"/>
      <c r="V761" s="217"/>
      <c r="W761" s="217"/>
      <c r="X761" s="217"/>
      <c r="Y761" s="217"/>
      <c r="Z761" s="217"/>
    </row>
    <row r="762" ht="15.75" customHeight="1">
      <c r="A762" s="217"/>
      <c r="B762" s="217"/>
      <c r="C762" s="217"/>
      <c r="D762" s="217"/>
      <c r="E762" s="217"/>
      <c r="F762" s="217"/>
      <c r="G762" s="217"/>
      <c r="H762" s="217"/>
      <c r="I762" s="217"/>
      <c r="J762" s="217"/>
      <c r="K762" s="217"/>
      <c r="L762" s="217"/>
      <c r="M762" s="217"/>
      <c r="N762" s="217"/>
      <c r="O762" s="217"/>
      <c r="P762" s="217"/>
      <c r="Q762" s="217"/>
      <c r="R762" s="217"/>
      <c r="S762" s="217"/>
      <c r="T762" s="217"/>
      <c r="U762" s="217"/>
      <c r="V762" s="217"/>
      <c r="W762" s="217"/>
      <c r="X762" s="217"/>
      <c r="Y762" s="217"/>
      <c r="Z762" s="217"/>
    </row>
    <row r="763" ht="15.75" customHeight="1">
      <c r="A763" s="217"/>
      <c r="B763" s="217"/>
      <c r="C763" s="217"/>
      <c r="D763" s="217"/>
      <c r="E763" s="217"/>
      <c r="F763" s="217"/>
      <c r="G763" s="217"/>
      <c r="H763" s="217"/>
      <c r="I763" s="217"/>
      <c r="J763" s="217"/>
      <c r="K763" s="217"/>
      <c r="L763" s="217"/>
      <c r="M763" s="217"/>
      <c r="N763" s="217"/>
      <c r="O763" s="217"/>
      <c r="P763" s="217"/>
      <c r="Q763" s="217"/>
      <c r="R763" s="217"/>
      <c r="S763" s="217"/>
      <c r="T763" s="217"/>
      <c r="U763" s="217"/>
      <c r="V763" s="217"/>
      <c r="W763" s="217"/>
      <c r="X763" s="217"/>
      <c r="Y763" s="217"/>
      <c r="Z763" s="217"/>
    </row>
    <row r="764" ht="15.75" customHeight="1">
      <c r="A764" s="217"/>
      <c r="B764" s="217"/>
      <c r="C764" s="217"/>
      <c r="D764" s="217"/>
      <c r="E764" s="217"/>
      <c r="F764" s="217"/>
      <c r="G764" s="217"/>
      <c r="H764" s="217"/>
      <c r="I764" s="217"/>
      <c r="J764" s="217"/>
      <c r="K764" s="217"/>
      <c r="L764" s="217"/>
      <c r="M764" s="217"/>
      <c r="N764" s="217"/>
      <c r="O764" s="217"/>
      <c r="P764" s="217"/>
      <c r="Q764" s="217"/>
      <c r="R764" s="217"/>
      <c r="S764" s="217"/>
      <c r="T764" s="217"/>
      <c r="U764" s="217"/>
      <c r="V764" s="217"/>
      <c r="W764" s="217"/>
      <c r="X764" s="217"/>
      <c r="Y764" s="217"/>
      <c r="Z764" s="217"/>
    </row>
    <row r="765" ht="15.75" customHeight="1">
      <c r="A765" s="217"/>
      <c r="B765" s="217"/>
      <c r="C765" s="217"/>
      <c r="D765" s="217"/>
      <c r="E765" s="217"/>
      <c r="F765" s="217"/>
      <c r="G765" s="217"/>
      <c r="H765" s="217"/>
      <c r="I765" s="217"/>
      <c r="J765" s="217"/>
      <c r="K765" s="217"/>
      <c r="L765" s="217"/>
      <c r="M765" s="217"/>
      <c r="N765" s="217"/>
      <c r="O765" s="217"/>
      <c r="P765" s="217"/>
      <c r="Q765" s="217"/>
      <c r="R765" s="217"/>
      <c r="S765" s="217"/>
      <c r="T765" s="217"/>
      <c r="U765" s="217"/>
      <c r="V765" s="217"/>
      <c r="W765" s="217"/>
      <c r="X765" s="217"/>
      <c r="Y765" s="217"/>
      <c r="Z765" s="217"/>
    </row>
    <row r="766" ht="15.75" customHeight="1">
      <c r="A766" s="217"/>
      <c r="B766" s="217"/>
      <c r="C766" s="217"/>
      <c r="D766" s="217"/>
      <c r="E766" s="217"/>
      <c r="F766" s="217"/>
      <c r="G766" s="217"/>
      <c r="H766" s="217"/>
      <c r="I766" s="217"/>
      <c r="J766" s="217"/>
      <c r="K766" s="217"/>
      <c r="L766" s="217"/>
      <c r="M766" s="217"/>
      <c r="N766" s="217"/>
      <c r="O766" s="217"/>
      <c r="P766" s="217"/>
      <c r="Q766" s="217"/>
      <c r="R766" s="217"/>
      <c r="S766" s="217"/>
      <c r="T766" s="217"/>
      <c r="U766" s="217"/>
      <c r="V766" s="217"/>
      <c r="W766" s="217"/>
      <c r="X766" s="217"/>
      <c r="Y766" s="217"/>
      <c r="Z766" s="217"/>
    </row>
    <row r="767" ht="15.75" customHeight="1">
      <c r="A767" s="217"/>
      <c r="B767" s="217"/>
      <c r="C767" s="217"/>
      <c r="D767" s="217"/>
      <c r="E767" s="217"/>
      <c r="F767" s="217"/>
      <c r="G767" s="217"/>
      <c r="H767" s="217"/>
      <c r="I767" s="217"/>
      <c r="J767" s="217"/>
      <c r="K767" s="217"/>
      <c r="L767" s="217"/>
      <c r="M767" s="217"/>
      <c r="N767" s="217"/>
      <c r="O767" s="217"/>
      <c r="P767" s="217"/>
      <c r="Q767" s="217"/>
      <c r="R767" s="217"/>
      <c r="S767" s="217"/>
      <c r="T767" s="217"/>
      <c r="U767" s="217"/>
      <c r="V767" s="217"/>
      <c r="W767" s="217"/>
      <c r="X767" s="217"/>
      <c r="Y767" s="217"/>
      <c r="Z767" s="217"/>
    </row>
    <row r="768" ht="15.75" customHeight="1">
      <c r="A768" s="217"/>
      <c r="B768" s="217"/>
      <c r="C768" s="217"/>
      <c r="D768" s="217"/>
      <c r="E768" s="217"/>
      <c r="F768" s="217"/>
      <c r="G768" s="217"/>
      <c r="H768" s="217"/>
      <c r="I768" s="217"/>
      <c r="J768" s="217"/>
      <c r="K768" s="217"/>
      <c r="L768" s="217"/>
      <c r="M768" s="217"/>
      <c r="N768" s="217"/>
      <c r="O768" s="217"/>
      <c r="P768" s="217"/>
      <c r="Q768" s="217"/>
      <c r="R768" s="217"/>
      <c r="S768" s="217"/>
      <c r="T768" s="217"/>
      <c r="U768" s="217"/>
      <c r="V768" s="217"/>
      <c r="W768" s="217"/>
      <c r="X768" s="217"/>
      <c r="Y768" s="217"/>
      <c r="Z768" s="217"/>
    </row>
    <row r="769" ht="15.75" customHeight="1">
      <c r="A769" s="217"/>
      <c r="B769" s="217"/>
      <c r="C769" s="217"/>
      <c r="D769" s="217"/>
      <c r="E769" s="217"/>
      <c r="F769" s="217"/>
      <c r="G769" s="217"/>
      <c r="H769" s="217"/>
      <c r="I769" s="217"/>
      <c r="J769" s="217"/>
      <c r="K769" s="217"/>
      <c r="L769" s="217"/>
      <c r="M769" s="217"/>
      <c r="N769" s="217"/>
      <c r="O769" s="217"/>
      <c r="P769" s="217"/>
      <c r="Q769" s="217"/>
      <c r="R769" s="217"/>
      <c r="S769" s="217"/>
      <c r="T769" s="217"/>
      <c r="U769" s="217"/>
      <c r="V769" s="217"/>
      <c r="W769" s="217"/>
      <c r="X769" s="217"/>
      <c r="Y769" s="217"/>
      <c r="Z769" s="217"/>
    </row>
    <row r="770" ht="15.75" customHeight="1">
      <c r="A770" s="217"/>
      <c r="B770" s="217"/>
      <c r="C770" s="217"/>
      <c r="D770" s="217"/>
      <c r="E770" s="217"/>
      <c r="F770" s="217"/>
      <c r="G770" s="217"/>
      <c r="H770" s="217"/>
      <c r="I770" s="217"/>
      <c r="J770" s="217"/>
      <c r="K770" s="217"/>
      <c r="L770" s="217"/>
      <c r="M770" s="217"/>
      <c r="N770" s="217"/>
      <c r="O770" s="217"/>
      <c r="P770" s="217"/>
      <c r="Q770" s="217"/>
      <c r="R770" s="217"/>
      <c r="S770" s="217"/>
      <c r="T770" s="217"/>
      <c r="U770" s="217"/>
      <c r="V770" s="217"/>
      <c r="W770" s="217"/>
      <c r="X770" s="217"/>
      <c r="Y770" s="217"/>
      <c r="Z770" s="217"/>
    </row>
    <row r="771" ht="15.75" customHeight="1">
      <c r="A771" s="217"/>
      <c r="B771" s="217"/>
      <c r="C771" s="217"/>
      <c r="D771" s="217"/>
      <c r="E771" s="217"/>
      <c r="F771" s="217"/>
      <c r="G771" s="217"/>
      <c r="H771" s="217"/>
      <c r="I771" s="217"/>
      <c r="J771" s="217"/>
      <c r="K771" s="217"/>
      <c r="L771" s="217"/>
      <c r="M771" s="217"/>
      <c r="N771" s="217"/>
      <c r="O771" s="217"/>
      <c r="P771" s="217"/>
      <c r="Q771" s="217"/>
      <c r="R771" s="217"/>
      <c r="S771" s="217"/>
      <c r="T771" s="217"/>
      <c r="U771" s="217"/>
      <c r="V771" s="217"/>
      <c r="W771" s="217"/>
      <c r="X771" s="217"/>
      <c r="Y771" s="217"/>
      <c r="Z771" s="217"/>
    </row>
    <row r="772" ht="15.75" customHeight="1">
      <c r="A772" s="217"/>
      <c r="B772" s="217"/>
      <c r="C772" s="217"/>
      <c r="D772" s="217"/>
      <c r="E772" s="217"/>
      <c r="F772" s="217"/>
      <c r="G772" s="217"/>
      <c r="H772" s="217"/>
      <c r="I772" s="217"/>
      <c r="J772" s="217"/>
      <c r="K772" s="217"/>
      <c r="L772" s="217"/>
      <c r="M772" s="217"/>
      <c r="N772" s="217"/>
      <c r="O772" s="217"/>
      <c r="P772" s="217"/>
      <c r="Q772" s="217"/>
      <c r="R772" s="217"/>
      <c r="S772" s="217"/>
      <c r="T772" s="217"/>
      <c r="U772" s="217"/>
      <c r="V772" s="217"/>
      <c r="W772" s="217"/>
      <c r="X772" s="217"/>
      <c r="Y772" s="217"/>
      <c r="Z772" s="217"/>
    </row>
    <row r="773" ht="15.75" customHeight="1">
      <c r="A773" s="217"/>
      <c r="B773" s="217"/>
      <c r="C773" s="217"/>
      <c r="D773" s="217"/>
      <c r="E773" s="217"/>
      <c r="F773" s="217"/>
      <c r="G773" s="217"/>
      <c r="H773" s="217"/>
      <c r="I773" s="217"/>
      <c r="J773" s="217"/>
      <c r="K773" s="217"/>
      <c r="L773" s="217"/>
      <c r="M773" s="217"/>
      <c r="N773" s="217"/>
      <c r="O773" s="217"/>
      <c r="P773" s="217"/>
      <c r="Q773" s="217"/>
      <c r="R773" s="217"/>
      <c r="S773" s="217"/>
      <c r="T773" s="217"/>
      <c r="U773" s="217"/>
      <c r="V773" s="217"/>
      <c r="W773" s="217"/>
      <c r="X773" s="217"/>
      <c r="Y773" s="217"/>
      <c r="Z773" s="217"/>
    </row>
    <row r="774" ht="15.75" customHeight="1">
      <c r="A774" s="217"/>
      <c r="B774" s="217"/>
      <c r="C774" s="217"/>
      <c r="D774" s="217"/>
      <c r="E774" s="217"/>
      <c r="F774" s="217"/>
      <c r="G774" s="217"/>
      <c r="H774" s="217"/>
      <c r="I774" s="217"/>
      <c r="J774" s="217"/>
      <c r="K774" s="217"/>
      <c r="L774" s="217"/>
      <c r="M774" s="217"/>
      <c r="N774" s="217"/>
      <c r="O774" s="217"/>
      <c r="P774" s="217"/>
      <c r="Q774" s="217"/>
      <c r="R774" s="217"/>
      <c r="S774" s="217"/>
      <c r="T774" s="217"/>
      <c r="U774" s="217"/>
      <c r="V774" s="217"/>
      <c r="W774" s="217"/>
      <c r="X774" s="217"/>
      <c r="Y774" s="217"/>
      <c r="Z774" s="217"/>
    </row>
    <row r="775" ht="15.75" customHeight="1">
      <c r="A775" s="217"/>
      <c r="B775" s="217"/>
      <c r="C775" s="217"/>
      <c r="D775" s="217"/>
      <c r="E775" s="217"/>
      <c r="F775" s="217"/>
      <c r="G775" s="217"/>
      <c r="H775" s="217"/>
      <c r="I775" s="217"/>
      <c r="J775" s="217"/>
      <c r="K775" s="217"/>
      <c r="L775" s="217"/>
      <c r="M775" s="217"/>
      <c r="N775" s="217"/>
      <c r="O775" s="217"/>
      <c r="P775" s="217"/>
      <c r="Q775" s="217"/>
      <c r="R775" s="217"/>
      <c r="S775" s="217"/>
      <c r="T775" s="217"/>
      <c r="U775" s="217"/>
      <c r="V775" s="217"/>
      <c r="W775" s="217"/>
      <c r="X775" s="217"/>
      <c r="Y775" s="217"/>
      <c r="Z775" s="217"/>
    </row>
    <row r="776" ht="15.75" customHeight="1">
      <c r="A776" s="217"/>
      <c r="B776" s="217"/>
      <c r="C776" s="217"/>
      <c r="D776" s="217"/>
      <c r="E776" s="217"/>
      <c r="F776" s="217"/>
      <c r="G776" s="217"/>
      <c r="H776" s="217"/>
      <c r="I776" s="217"/>
      <c r="J776" s="217"/>
      <c r="K776" s="217"/>
      <c r="L776" s="217"/>
      <c r="M776" s="217"/>
      <c r="N776" s="217"/>
      <c r="O776" s="217"/>
      <c r="P776" s="217"/>
      <c r="Q776" s="217"/>
      <c r="R776" s="217"/>
      <c r="S776" s="217"/>
      <c r="T776" s="217"/>
      <c r="U776" s="217"/>
      <c r="V776" s="217"/>
      <c r="W776" s="217"/>
      <c r="X776" s="217"/>
      <c r="Y776" s="217"/>
      <c r="Z776" s="217"/>
    </row>
    <row r="777" ht="15.75" customHeight="1">
      <c r="A777" s="217"/>
      <c r="B777" s="217"/>
      <c r="C777" s="217"/>
      <c r="D777" s="217"/>
      <c r="E777" s="217"/>
      <c r="F777" s="217"/>
      <c r="G777" s="217"/>
      <c r="H777" s="217"/>
      <c r="I777" s="217"/>
      <c r="J777" s="217"/>
      <c r="K777" s="217"/>
      <c r="L777" s="217"/>
      <c r="M777" s="217"/>
      <c r="N777" s="217"/>
      <c r="O777" s="217"/>
      <c r="P777" s="217"/>
      <c r="Q777" s="217"/>
      <c r="R777" s="217"/>
      <c r="S777" s="217"/>
      <c r="T777" s="217"/>
      <c r="U777" s="217"/>
      <c r="V777" s="217"/>
      <c r="W777" s="217"/>
      <c r="X777" s="217"/>
      <c r="Y777" s="217"/>
      <c r="Z777" s="217"/>
    </row>
    <row r="778" ht="15.75" customHeight="1">
      <c r="A778" s="217"/>
      <c r="B778" s="217"/>
      <c r="C778" s="217"/>
      <c r="D778" s="217"/>
      <c r="E778" s="217"/>
      <c r="F778" s="217"/>
      <c r="G778" s="217"/>
      <c r="H778" s="217"/>
      <c r="I778" s="217"/>
      <c r="J778" s="217"/>
      <c r="K778" s="217"/>
      <c r="L778" s="217"/>
      <c r="M778" s="217"/>
      <c r="N778" s="217"/>
      <c r="O778" s="217"/>
      <c r="P778" s="217"/>
      <c r="Q778" s="217"/>
      <c r="R778" s="217"/>
      <c r="S778" s="217"/>
      <c r="T778" s="217"/>
      <c r="U778" s="217"/>
      <c r="V778" s="217"/>
      <c r="W778" s="217"/>
      <c r="X778" s="217"/>
      <c r="Y778" s="217"/>
      <c r="Z778" s="217"/>
    </row>
    <row r="779" ht="15.75" customHeight="1">
      <c r="A779" s="217"/>
      <c r="B779" s="217"/>
      <c r="C779" s="217"/>
      <c r="D779" s="217"/>
      <c r="E779" s="217"/>
      <c r="F779" s="217"/>
      <c r="G779" s="217"/>
      <c r="H779" s="217"/>
      <c r="I779" s="217"/>
      <c r="J779" s="217"/>
      <c r="K779" s="217"/>
      <c r="L779" s="217"/>
      <c r="M779" s="217"/>
      <c r="N779" s="217"/>
      <c r="O779" s="217"/>
      <c r="P779" s="217"/>
      <c r="Q779" s="217"/>
      <c r="R779" s="217"/>
      <c r="S779" s="217"/>
      <c r="T779" s="217"/>
      <c r="U779" s="217"/>
      <c r="V779" s="217"/>
      <c r="W779" s="217"/>
      <c r="X779" s="217"/>
      <c r="Y779" s="217"/>
      <c r="Z779" s="217"/>
    </row>
    <row r="780" ht="15.75" customHeight="1">
      <c r="A780" s="217"/>
      <c r="B780" s="217"/>
      <c r="C780" s="217"/>
      <c r="D780" s="217"/>
      <c r="E780" s="217"/>
      <c r="F780" s="217"/>
      <c r="G780" s="217"/>
      <c r="H780" s="217"/>
      <c r="I780" s="217"/>
      <c r="J780" s="217"/>
      <c r="K780" s="217"/>
      <c r="L780" s="217"/>
      <c r="M780" s="217"/>
      <c r="N780" s="217"/>
      <c r="O780" s="217"/>
      <c r="P780" s="217"/>
      <c r="Q780" s="217"/>
      <c r="R780" s="217"/>
      <c r="S780" s="217"/>
      <c r="T780" s="217"/>
      <c r="U780" s="217"/>
      <c r="V780" s="217"/>
      <c r="W780" s="217"/>
      <c r="X780" s="217"/>
      <c r="Y780" s="217"/>
      <c r="Z780" s="217"/>
    </row>
    <row r="781" ht="15.75" customHeight="1">
      <c r="A781" s="217"/>
      <c r="B781" s="217"/>
      <c r="C781" s="217"/>
      <c r="D781" s="217"/>
      <c r="E781" s="217"/>
      <c r="F781" s="217"/>
      <c r="G781" s="217"/>
      <c r="H781" s="217"/>
      <c r="I781" s="217"/>
      <c r="J781" s="217"/>
      <c r="K781" s="217"/>
      <c r="L781" s="217"/>
      <c r="M781" s="217"/>
      <c r="N781" s="217"/>
      <c r="O781" s="217"/>
      <c r="P781" s="217"/>
      <c r="Q781" s="217"/>
      <c r="R781" s="217"/>
      <c r="S781" s="217"/>
      <c r="T781" s="217"/>
      <c r="U781" s="217"/>
      <c r="V781" s="217"/>
      <c r="W781" s="217"/>
      <c r="X781" s="217"/>
      <c r="Y781" s="217"/>
      <c r="Z781" s="217"/>
    </row>
    <row r="782" ht="15.75" customHeight="1">
      <c r="A782" s="217"/>
      <c r="B782" s="217"/>
      <c r="C782" s="217"/>
      <c r="D782" s="217"/>
      <c r="E782" s="217"/>
      <c r="F782" s="217"/>
      <c r="G782" s="217"/>
      <c r="H782" s="217"/>
      <c r="I782" s="217"/>
      <c r="J782" s="217"/>
      <c r="K782" s="217"/>
      <c r="L782" s="217"/>
      <c r="M782" s="217"/>
      <c r="N782" s="217"/>
      <c r="O782" s="217"/>
      <c r="P782" s="217"/>
      <c r="Q782" s="217"/>
      <c r="R782" s="217"/>
      <c r="S782" s="217"/>
      <c r="T782" s="217"/>
      <c r="U782" s="217"/>
      <c r="V782" s="217"/>
      <c r="W782" s="217"/>
      <c r="X782" s="217"/>
      <c r="Y782" s="217"/>
      <c r="Z782" s="217"/>
    </row>
    <row r="783" ht="15.75" customHeight="1">
      <c r="A783" s="217"/>
      <c r="B783" s="217"/>
      <c r="C783" s="217"/>
      <c r="D783" s="217"/>
      <c r="E783" s="217"/>
      <c r="F783" s="217"/>
      <c r="G783" s="217"/>
      <c r="H783" s="217"/>
      <c r="I783" s="217"/>
      <c r="J783" s="217"/>
      <c r="K783" s="217"/>
      <c r="L783" s="217"/>
      <c r="M783" s="217"/>
      <c r="N783" s="217"/>
      <c r="O783" s="217"/>
      <c r="P783" s="217"/>
      <c r="Q783" s="217"/>
      <c r="R783" s="217"/>
      <c r="S783" s="217"/>
      <c r="T783" s="217"/>
      <c r="U783" s="217"/>
      <c r="V783" s="217"/>
      <c r="W783" s="217"/>
      <c r="X783" s="217"/>
      <c r="Y783" s="217"/>
      <c r="Z783" s="217"/>
    </row>
    <row r="784" ht="15.75" customHeight="1">
      <c r="A784" s="217"/>
      <c r="B784" s="217"/>
      <c r="C784" s="217"/>
      <c r="D784" s="217"/>
      <c r="E784" s="217"/>
      <c r="F784" s="217"/>
      <c r="G784" s="217"/>
      <c r="H784" s="217"/>
      <c r="I784" s="217"/>
      <c r="J784" s="217"/>
      <c r="K784" s="217"/>
      <c r="L784" s="217"/>
      <c r="M784" s="217"/>
      <c r="N784" s="217"/>
      <c r="O784" s="217"/>
      <c r="P784" s="217"/>
      <c r="Q784" s="217"/>
      <c r="R784" s="217"/>
      <c r="S784" s="217"/>
      <c r="T784" s="217"/>
      <c r="U784" s="217"/>
      <c r="V784" s="217"/>
      <c r="W784" s="217"/>
      <c r="X784" s="217"/>
      <c r="Y784" s="217"/>
      <c r="Z784" s="217"/>
    </row>
    <row r="785" ht="15.75" customHeight="1">
      <c r="A785" s="217"/>
      <c r="B785" s="217"/>
      <c r="C785" s="217"/>
      <c r="D785" s="217"/>
      <c r="E785" s="217"/>
      <c r="F785" s="217"/>
      <c r="G785" s="217"/>
      <c r="H785" s="217"/>
      <c r="I785" s="217"/>
      <c r="J785" s="217"/>
      <c r="K785" s="217"/>
      <c r="L785" s="217"/>
      <c r="M785" s="217"/>
      <c r="N785" s="217"/>
      <c r="O785" s="217"/>
      <c r="P785" s="217"/>
      <c r="Q785" s="217"/>
      <c r="R785" s="217"/>
      <c r="S785" s="217"/>
      <c r="T785" s="217"/>
      <c r="U785" s="217"/>
      <c r="V785" s="217"/>
      <c r="W785" s="217"/>
      <c r="X785" s="217"/>
      <c r="Y785" s="217"/>
      <c r="Z785" s="217"/>
    </row>
    <row r="786" ht="15.75" customHeight="1">
      <c r="A786" s="217"/>
      <c r="B786" s="217"/>
      <c r="C786" s="217"/>
      <c r="D786" s="217"/>
      <c r="E786" s="217"/>
      <c r="F786" s="217"/>
      <c r="G786" s="217"/>
      <c r="H786" s="217"/>
      <c r="I786" s="217"/>
      <c r="J786" s="217"/>
      <c r="K786" s="217"/>
      <c r="L786" s="217"/>
      <c r="M786" s="217"/>
      <c r="N786" s="217"/>
      <c r="O786" s="217"/>
      <c r="P786" s="217"/>
      <c r="Q786" s="217"/>
      <c r="R786" s="217"/>
      <c r="S786" s="217"/>
      <c r="T786" s="217"/>
      <c r="U786" s="217"/>
      <c r="V786" s="217"/>
      <c r="W786" s="217"/>
      <c r="X786" s="217"/>
      <c r="Y786" s="217"/>
      <c r="Z786" s="217"/>
    </row>
    <row r="787" ht="15.75" customHeight="1">
      <c r="A787" s="217"/>
      <c r="B787" s="217"/>
      <c r="C787" s="217"/>
      <c r="D787" s="217"/>
      <c r="E787" s="217"/>
      <c r="F787" s="217"/>
      <c r="G787" s="217"/>
      <c r="H787" s="217"/>
      <c r="I787" s="217"/>
      <c r="J787" s="217"/>
      <c r="K787" s="217"/>
      <c r="L787" s="217"/>
      <c r="M787" s="217"/>
      <c r="N787" s="217"/>
      <c r="O787" s="217"/>
      <c r="P787" s="217"/>
      <c r="Q787" s="217"/>
      <c r="R787" s="217"/>
      <c r="S787" s="217"/>
      <c r="T787" s="217"/>
      <c r="U787" s="217"/>
      <c r="V787" s="217"/>
      <c r="W787" s="217"/>
      <c r="X787" s="217"/>
      <c r="Y787" s="217"/>
      <c r="Z787" s="217"/>
    </row>
    <row r="788" ht="15.75" customHeight="1">
      <c r="A788" s="217"/>
      <c r="B788" s="217"/>
      <c r="C788" s="217"/>
      <c r="D788" s="217"/>
      <c r="E788" s="217"/>
      <c r="F788" s="217"/>
      <c r="G788" s="217"/>
      <c r="H788" s="217"/>
      <c r="I788" s="217"/>
      <c r="J788" s="217"/>
      <c r="K788" s="217"/>
      <c r="L788" s="217"/>
      <c r="M788" s="217"/>
      <c r="N788" s="217"/>
      <c r="O788" s="217"/>
      <c r="P788" s="217"/>
      <c r="Q788" s="217"/>
      <c r="R788" s="217"/>
      <c r="S788" s="217"/>
      <c r="T788" s="217"/>
      <c r="U788" s="217"/>
      <c r="V788" s="217"/>
      <c r="W788" s="217"/>
      <c r="X788" s="217"/>
      <c r="Y788" s="217"/>
      <c r="Z788" s="217"/>
    </row>
    <row r="789" ht="15.75" customHeight="1">
      <c r="A789" s="217"/>
      <c r="B789" s="217"/>
      <c r="C789" s="217"/>
      <c r="D789" s="217"/>
      <c r="E789" s="217"/>
      <c r="F789" s="217"/>
      <c r="G789" s="217"/>
      <c r="H789" s="217"/>
      <c r="I789" s="217"/>
      <c r="J789" s="217"/>
      <c r="K789" s="217"/>
      <c r="L789" s="217"/>
      <c r="M789" s="217"/>
      <c r="N789" s="217"/>
      <c r="O789" s="217"/>
      <c r="P789" s="217"/>
      <c r="Q789" s="217"/>
      <c r="R789" s="217"/>
      <c r="S789" s="217"/>
      <c r="T789" s="217"/>
      <c r="U789" s="217"/>
      <c r="V789" s="217"/>
      <c r="W789" s="217"/>
      <c r="X789" s="217"/>
      <c r="Y789" s="217"/>
      <c r="Z789" s="217"/>
    </row>
    <row r="790" ht="15.75" customHeight="1">
      <c r="A790" s="217"/>
      <c r="B790" s="217"/>
      <c r="C790" s="217"/>
      <c r="D790" s="217"/>
      <c r="E790" s="217"/>
      <c r="F790" s="217"/>
      <c r="G790" s="217"/>
      <c r="H790" s="217"/>
      <c r="I790" s="217"/>
      <c r="J790" s="217"/>
      <c r="K790" s="217"/>
      <c r="L790" s="217"/>
      <c r="M790" s="217"/>
      <c r="N790" s="217"/>
      <c r="O790" s="217"/>
      <c r="P790" s="217"/>
      <c r="Q790" s="217"/>
      <c r="R790" s="217"/>
      <c r="S790" s="217"/>
      <c r="T790" s="217"/>
      <c r="U790" s="217"/>
      <c r="V790" s="217"/>
      <c r="W790" s="217"/>
      <c r="X790" s="217"/>
      <c r="Y790" s="217"/>
      <c r="Z790" s="217"/>
    </row>
    <row r="791" ht="15.75" customHeight="1">
      <c r="A791" s="217"/>
      <c r="B791" s="217"/>
      <c r="C791" s="217"/>
      <c r="D791" s="217"/>
      <c r="E791" s="217"/>
      <c r="F791" s="217"/>
      <c r="G791" s="217"/>
      <c r="H791" s="217"/>
      <c r="I791" s="217"/>
      <c r="J791" s="217"/>
      <c r="K791" s="217"/>
      <c r="L791" s="217"/>
      <c r="M791" s="217"/>
      <c r="N791" s="217"/>
      <c r="O791" s="217"/>
      <c r="P791" s="217"/>
      <c r="Q791" s="217"/>
      <c r="R791" s="217"/>
      <c r="S791" s="217"/>
      <c r="T791" s="217"/>
      <c r="U791" s="217"/>
      <c r="V791" s="217"/>
      <c r="W791" s="217"/>
      <c r="X791" s="217"/>
      <c r="Y791" s="217"/>
      <c r="Z791" s="217"/>
    </row>
    <row r="792" ht="15.75" customHeight="1">
      <c r="A792" s="217"/>
      <c r="B792" s="217"/>
      <c r="C792" s="217"/>
      <c r="D792" s="217"/>
      <c r="E792" s="217"/>
      <c r="F792" s="217"/>
      <c r="G792" s="217"/>
      <c r="H792" s="217"/>
      <c r="I792" s="217"/>
      <c r="J792" s="217"/>
      <c r="K792" s="217"/>
      <c r="L792" s="217"/>
      <c r="M792" s="217"/>
      <c r="N792" s="217"/>
      <c r="O792" s="217"/>
      <c r="P792" s="217"/>
      <c r="Q792" s="217"/>
      <c r="R792" s="217"/>
      <c r="S792" s="217"/>
      <c r="T792" s="217"/>
      <c r="U792" s="217"/>
      <c r="V792" s="217"/>
      <c r="W792" s="217"/>
      <c r="X792" s="217"/>
      <c r="Y792" s="217"/>
      <c r="Z792" s="217"/>
    </row>
    <row r="793" ht="15.75" customHeight="1">
      <c r="A793" s="217"/>
      <c r="B793" s="217"/>
      <c r="C793" s="217"/>
      <c r="D793" s="217"/>
      <c r="E793" s="217"/>
      <c r="F793" s="217"/>
      <c r="G793" s="217"/>
      <c r="H793" s="217"/>
      <c r="I793" s="217"/>
      <c r="J793" s="217"/>
      <c r="K793" s="217"/>
      <c r="L793" s="217"/>
      <c r="M793" s="217"/>
      <c r="N793" s="217"/>
      <c r="O793" s="217"/>
      <c r="P793" s="217"/>
      <c r="Q793" s="217"/>
      <c r="R793" s="217"/>
      <c r="S793" s="217"/>
      <c r="T793" s="217"/>
      <c r="U793" s="217"/>
      <c r="V793" s="217"/>
      <c r="W793" s="217"/>
      <c r="X793" s="217"/>
      <c r="Y793" s="217"/>
      <c r="Z793" s="217"/>
    </row>
    <row r="794" ht="15.75" customHeight="1">
      <c r="A794" s="217"/>
      <c r="B794" s="217"/>
      <c r="C794" s="217"/>
      <c r="D794" s="217"/>
      <c r="E794" s="217"/>
      <c r="F794" s="217"/>
      <c r="G794" s="217"/>
      <c r="H794" s="217"/>
      <c r="I794" s="217"/>
      <c r="J794" s="217"/>
      <c r="K794" s="217"/>
      <c r="L794" s="217"/>
      <c r="M794" s="217"/>
      <c r="N794" s="217"/>
      <c r="O794" s="217"/>
      <c r="P794" s="217"/>
      <c r="Q794" s="217"/>
      <c r="R794" s="217"/>
      <c r="S794" s="217"/>
      <c r="T794" s="217"/>
      <c r="U794" s="217"/>
      <c r="V794" s="217"/>
      <c r="W794" s="217"/>
      <c r="X794" s="217"/>
      <c r="Y794" s="217"/>
      <c r="Z794" s="217"/>
    </row>
    <row r="795" ht="15.75" customHeight="1">
      <c r="A795" s="217"/>
      <c r="B795" s="217"/>
      <c r="C795" s="217"/>
      <c r="D795" s="217"/>
      <c r="E795" s="217"/>
      <c r="F795" s="217"/>
      <c r="G795" s="217"/>
      <c r="H795" s="217"/>
      <c r="I795" s="217"/>
      <c r="J795" s="217"/>
      <c r="K795" s="217"/>
      <c r="L795" s="217"/>
      <c r="M795" s="217"/>
      <c r="N795" s="217"/>
      <c r="O795" s="217"/>
      <c r="P795" s="217"/>
      <c r="Q795" s="217"/>
      <c r="R795" s="217"/>
      <c r="S795" s="217"/>
      <c r="T795" s="217"/>
      <c r="U795" s="217"/>
      <c r="V795" s="217"/>
      <c r="W795" s="217"/>
      <c r="X795" s="217"/>
      <c r="Y795" s="217"/>
      <c r="Z795" s="217"/>
    </row>
    <row r="796" ht="15.75" customHeight="1">
      <c r="A796" s="217"/>
      <c r="B796" s="217"/>
      <c r="C796" s="217"/>
      <c r="D796" s="217"/>
      <c r="E796" s="217"/>
      <c r="F796" s="217"/>
      <c r="G796" s="217"/>
      <c r="H796" s="217"/>
      <c r="I796" s="217"/>
      <c r="J796" s="217"/>
      <c r="K796" s="217"/>
      <c r="L796" s="217"/>
      <c r="M796" s="217"/>
      <c r="N796" s="217"/>
      <c r="O796" s="217"/>
      <c r="P796" s="217"/>
      <c r="Q796" s="217"/>
      <c r="R796" s="217"/>
      <c r="S796" s="217"/>
      <c r="T796" s="217"/>
      <c r="U796" s="217"/>
      <c r="V796" s="217"/>
      <c r="W796" s="217"/>
      <c r="X796" s="217"/>
      <c r="Y796" s="217"/>
      <c r="Z796" s="217"/>
    </row>
    <row r="797" ht="15.75" customHeight="1">
      <c r="A797" s="217"/>
      <c r="B797" s="217"/>
      <c r="C797" s="217"/>
      <c r="D797" s="217"/>
      <c r="E797" s="217"/>
      <c r="F797" s="217"/>
      <c r="G797" s="217"/>
      <c r="H797" s="217"/>
      <c r="I797" s="217"/>
      <c r="J797" s="217"/>
      <c r="K797" s="217"/>
      <c r="L797" s="217"/>
      <c r="M797" s="217"/>
      <c r="N797" s="217"/>
      <c r="O797" s="217"/>
      <c r="P797" s="217"/>
      <c r="Q797" s="217"/>
      <c r="R797" s="217"/>
      <c r="S797" s="217"/>
      <c r="T797" s="217"/>
      <c r="U797" s="217"/>
      <c r="V797" s="217"/>
      <c r="W797" s="217"/>
      <c r="X797" s="217"/>
      <c r="Y797" s="217"/>
      <c r="Z797" s="217"/>
    </row>
    <row r="798" ht="15.75" customHeight="1">
      <c r="A798" s="217"/>
      <c r="B798" s="217"/>
      <c r="C798" s="217"/>
      <c r="D798" s="217"/>
      <c r="E798" s="217"/>
      <c r="F798" s="217"/>
      <c r="G798" s="217"/>
      <c r="H798" s="217"/>
      <c r="I798" s="217"/>
      <c r="J798" s="217"/>
      <c r="K798" s="217"/>
      <c r="L798" s="217"/>
      <c r="M798" s="217"/>
      <c r="N798" s="217"/>
      <c r="O798" s="217"/>
      <c r="P798" s="217"/>
      <c r="Q798" s="217"/>
      <c r="R798" s="217"/>
      <c r="S798" s="217"/>
      <c r="T798" s="217"/>
      <c r="U798" s="217"/>
      <c r="V798" s="217"/>
      <c r="W798" s="217"/>
      <c r="X798" s="217"/>
      <c r="Y798" s="217"/>
      <c r="Z798" s="217"/>
    </row>
    <row r="799" ht="15.75" customHeight="1">
      <c r="A799" s="217"/>
      <c r="B799" s="217"/>
      <c r="C799" s="217"/>
      <c r="D799" s="217"/>
      <c r="E799" s="217"/>
      <c r="F799" s="217"/>
      <c r="G799" s="217"/>
      <c r="H799" s="217"/>
      <c r="I799" s="217"/>
      <c r="J799" s="217"/>
      <c r="K799" s="217"/>
      <c r="L799" s="217"/>
      <c r="M799" s="217"/>
      <c r="N799" s="217"/>
      <c r="O799" s="217"/>
      <c r="P799" s="217"/>
      <c r="Q799" s="217"/>
      <c r="R799" s="217"/>
      <c r="S799" s="217"/>
      <c r="T799" s="217"/>
      <c r="U799" s="217"/>
      <c r="V799" s="217"/>
      <c r="W799" s="217"/>
      <c r="X799" s="217"/>
      <c r="Y799" s="217"/>
      <c r="Z799" s="217"/>
    </row>
    <row r="800" ht="15.75" customHeight="1">
      <c r="A800" s="217"/>
      <c r="B800" s="217"/>
      <c r="C800" s="217"/>
      <c r="D800" s="217"/>
      <c r="E800" s="217"/>
      <c r="F800" s="217"/>
      <c r="G800" s="217"/>
      <c r="H800" s="217"/>
      <c r="I800" s="217"/>
      <c r="J800" s="217"/>
      <c r="K800" s="217"/>
      <c r="L800" s="217"/>
      <c r="M800" s="217"/>
      <c r="N800" s="217"/>
      <c r="O800" s="217"/>
      <c r="P800" s="217"/>
      <c r="Q800" s="217"/>
      <c r="R800" s="217"/>
      <c r="S800" s="217"/>
      <c r="T800" s="217"/>
      <c r="U800" s="217"/>
      <c r="V800" s="217"/>
      <c r="W800" s="217"/>
      <c r="X800" s="217"/>
      <c r="Y800" s="217"/>
      <c r="Z800" s="217"/>
    </row>
    <row r="801" ht="15.75" customHeight="1">
      <c r="A801" s="217"/>
      <c r="B801" s="217"/>
      <c r="C801" s="217"/>
      <c r="D801" s="217"/>
      <c r="E801" s="217"/>
      <c r="F801" s="217"/>
      <c r="G801" s="217"/>
      <c r="H801" s="217"/>
      <c r="I801" s="217"/>
      <c r="J801" s="217"/>
      <c r="K801" s="217"/>
      <c r="L801" s="217"/>
      <c r="M801" s="217"/>
      <c r="N801" s="217"/>
      <c r="O801" s="217"/>
      <c r="P801" s="217"/>
      <c r="Q801" s="217"/>
      <c r="R801" s="217"/>
      <c r="S801" s="217"/>
      <c r="T801" s="217"/>
      <c r="U801" s="217"/>
      <c r="V801" s="217"/>
      <c r="W801" s="217"/>
      <c r="X801" s="217"/>
      <c r="Y801" s="217"/>
      <c r="Z801" s="217"/>
    </row>
    <row r="802" ht="15.75" customHeight="1">
      <c r="A802" s="217"/>
      <c r="B802" s="217"/>
      <c r="C802" s="217"/>
      <c r="D802" s="217"/>
      <c r="E802" s="217"/>
      <c r="F802" s="217"/>
      <c r="G802" s="217"/>
      <c r="H802" s="217"/>
      <c r="I802" s="217"/>
      <c r="J802" s="217"/>
      <c r="K802" s="217"/>
      <c r="L802" s="217"/>
      <c r="M802" s="217"/>
      <c r="N802" s="217"/>
      <c r="O802" s="217"/>
      <c r="P802" s="217"/>
      <c r="Q802" s="217"/>
      <c r="R802" s="217"/>
      <c r="S802" s="217"/>
      <c r="T802" s="217"/>
      <c r="U802" s="217"/>
      <c r="V802" s="217"/>
      <c r="W802" s="217"/>
      <c r="X802" s="217"/>
      <c r="Y802" s="217"/>
      <c r="Z802" s="217"/>
    </row>
    <row r="803" ht="15.75" customHeight="1">
      <c r="A803" s="217"/>
      <c r="B803" s="217"/>
      <c r="C803" s="217"/>
      <c r="D803" s="217"/>
      <c r="E803" s="217"/>
      <c r="F803" s="217"/>
      <c r="G803" s="217"/>
      <c r="H803" s="217"/>
      <c r="I803" s="217"/>
      <c r="J803" s="217"/>
      <c r="K803" s="217"/>
      <c r="L803" s="217"/>
      <c r="M803" s="217"/>
      <c r="N803" s="217"/>
      <c r="O803" s="217"/>
      <c r="P803" s="217"/>
      <c r="Q803" s="217"/>
      <c r="R803" s="217"/>
      <c r="S803" s="217"/>
      <c r="T803" s="217"/>
      <c r="U803" s="217"/>
      <c r="V803" s="217"/>
      <c r="W803" s="217"/>
      <c r="X803" s="217"/>
      <c r="Y803" s="217"/>
      <c r="Z803" s="217"/>
    </row>
    <row r="804" ht="15.75" customHeight="1">
      <c r="A804" s="217"/>
      <c r="B804" s="217"/>
      <c r="C804" s="217"/>
      <c r="D804" s="217"/>
      <c r="E804" s="217"/>
      <c r="F804" s="217"/>
      <c r="G804" s="217"/>
      <c r="H804" s="217"/>
      <c r="I804" s="217"/>
      <c r="J804" s="217"/>
      <c r="K804" s="217"/>
      <c r="L804" s="217"/>
      <c r="M804" s="217"/>
      <c r="N804" s="217"/>
      <c r="O804" s="217"/>
      <c r="P804" s="217"/>
      <c r="Q804" s="217"/>
      <c r="R804" s="217"/>
      <c r="S804" s="217"/>
      <c r="T804" s="217"/>
      <c r="U804" s="217"/>
      <c r="V804" s="217"/>
      <c r="W804" s="217"/>
      <c r="X804" s="217"/>
      <c r="Y804" s="217"/>
      <c r="Z804" s="217"/>
    </row>
    <row r="805" ht="15.75" customHeight="1">
      <c r="A805" s="217"/>
      <c r="B805" s="217"/>
      <c r="C805" s="217"/>
      <c r="D805" s="217"/>
      <c r="E805" s="217"/>
      <c r="F805" s="217"/>
      <c r="G805" s="217"/>
      <c r="H805" s="217"/>
      <c r="I805" s="217"/>
      <c r="J805" s="217"/>
      <c r="K805" s="217"/>
      <c r="L805" s="217"/>
      <c r="M805" s="217"/>
      <c r="N805" s="217"/>
      <c r="O805" s="217"/>
      <c r="P805" s="217"/>
      <c r="Q805" s="217"/>
      <c r="R805" s="217"/>
      <c r="S805" s="217"/>
      <c r="T805" s="217"/>
      <c r="U805" s="217"/>
      <c r="V805" s="217"/>
      <c r="W805" s="217"/>
      <c r="X805" s="217"/>
      <c r="Y805" s="217"/>
      <c r="Z805" s="217"/>
    </row>
    <row r="806" ht="15.75" customHeight="1">
      <c r="A806" s="217"/>
      <c r="B806" s="217"/>
      <c r="C806" s="217"/>
      <c r="D806" s="217"/>
      <c r="E806" s="217"/>
      <c r="F806" s="217"/>
      <c r="G806" s="217"/>
      <c r="H806" s="217"/>
      <c r="I806" s="217"/>
      <c r="J806" s="217"/>
      <c r="K806" s="217"/>
      <c r="L806" s="217"/>
      <c r="M806" s="217"/>
      <c r="N806" s="217"/>
      <c r="O806" s="217"/>
      <c r="P806" s="217"/>
      <c r="Q806" s="217"/>
      <c r="R806" s="217"/>
      <c r="S806" s="217"/>
      <c r="T806" s="217"/>
      <c r="U806" s="217"/>
      <c r="V806" s="217"/>
      <c r="W806" s="217"/>
      <c r="X806" s="217"/>
      <c r="Y806" s="217"/>
      <c r="Z806" s="217"/>
    </row>
    <row r="807" ht="15.75" customHeight="1">
      <c r="A807" s="217"/>
      <c r="B807" s="217"/>
      <c r="C807" s="217"/>
      <c r="D807" s="217"/>
      <c r="E807" s="217"/>
      <c r="F807" s="217"/>
      <c r="G807" s="217"/>
      <c r="H807" s="217"/>
      <c r="I807" s="217"/>
      <c r="J807" s="217"/>
      <c r="K807" s="217"/>
      <c r="L807" s="217"/>
      <c r="M807" s="217"/>
      <c r="N807" s="217"/>
      <c r="O807" s="217"/>
      <c r="P807" s="217"/>
      <c r="Q807" s="217"/>
      <c r="R807" s="217"/>
      <c r="S807" s="217"/>
      <c r="T807" s="217"/>
      <c r="U807" s="217"/>
      <c r="V807" s="217"/>
      <c r="W807" s="217"/>
      <c r="X807" s="217"/>
      <c r="Y807" s="217"/>
      <c r="Z807" s="217"/>
    </row>
    <row r="808" ht="15.75" customHeight="1">
      <c r="A808" s="217"/>
      <c r="B808" s="217"/>
      <c r="C808" s="217"/>
      <c r="D808" s="217"/>
      <c r="E808" s="217"/>
      <c r="F808" s="217"/>
      <c r="G808" s="217"/>
      <c r="H808" s="217"/>
      <c r="I808" s="217"/>
      <c r="J808" s="217"/>
      <c r="K808" s="217"/>
      <c r="L808" s="217"/>
      <c r="M808" s="217"/>
      <c r="N808" s="217"/>
      <c r="O808" s="217"/>
      <c r="P808" s="217"/>
      <c r="Q808" s="217"/>
      <c r="R808" s="217"/>
      <c r="S808" s="217"/>
      <c r="T808" s="217"/>
      <c r="U808" s="217"/>
      <c r="V808" s="217"/>
      <c r="W808" s="217"/>
      <c r="X808" s="217"/>
      <c r="Y808" s="217"/>
      <c r="Z808" s="217"/>
    </row>
    <row r="809" ht="15.75" customHeight="1">
      <c r="A809" s="217"/>
      <c r="B809" s="217"/>
      <c r="C809" s="217"/>
      <c r="D809" s="217"/>
      <c r="E809" s="217"/>
      <c r="F809" s="217"/>
      <c r="G809" s="217"/>
      <c r="H809" s="217"/>
      <c r="I809" s="217"/>
      <c r="J809" s="217"/>
      <c r="K809" s="217"/>
      <c r="L809" s="217"/>
      <c r="M809" s="217"/>
      <c r="N809" s="217"/>
      <c r="O809" s="217"/>
      <c r="P809" s="217"/>
      <c r="Q809" s="217"/>
      <c r="R809" s="217"/>
      <c r="S809" s="217"/>
      <c r="T809" s="217"/>
      <c r="U809" s="217"/>
      <c r="V809" s="217"/>
      <c r="W809" s="217"/>
      <c r="X809" s="217"/>
      <c r="Y809" s="217"/>
      <c r="Z809" s="217"/>
    </row>
    <row r="810" ht="15.75" customHeight="1">
      <c r="A810" s="217"/>
      <c r="B810" s="217"/>
      <c r="C810" s="217"/>
      <c r="D810" s="217"/>
      <c r="E810" s="217"/>
      <c r="F810" s="217"/>
      <c r="G810" s="217"/>
      <c r="H810" s="217"/>
      <c r="I810" s="217"/>
      <c r="J810" s="217"/>
      <c r="K810" s="217"/>
      <c r="L810" s="217"/>
      <c r="M810" s="217"/>
      <c r="N810" s="217"/>
      <c r="O810" s="217"/>
      <c r="P810" s="217"/>
      <c r="Q810" s="217"/>
      <c r="R810" s="217"/>
      <c r="S810" s="217"/>
      <c r="T810" s="217"/>
      <c r="U810" s="217"/>
      <c r="V810" s="217"/>
      <c r="W810" s="217"/>
      <c r="X810" s="217"/>
      <c r="Y810" s="217"/>
      <c r="Z810" s="217"/>
    </row>
    <row r="811" ht="15.75" customHeight="1">
      <c r="A811" s="217"/>
      <c r="B811" s="217"/>
      <c r="C811" s="217"/>
      <c r="D811" s="217"/>
      <c r="E811" s="217"/>
      <c r="F811" s="217"/>
      <c r="G811" s="217"/>
      <c r="H811" s="217"/>
      <c r="I811" s="217"/>
      <c r="J811" s="217"/>
      <c r="K811" s="217"/>
      <c r="L811" s="217"/>
      <c r="M811" s="217"/>
      <c r="N811" s="217"/>
      <c r="O811" s="217"/>
      <c r="P811" s="217"/>
      <c r="Q811" s="217"/>
      <c r="R811" s="217"/>
      <c r="S811" s="217"/>
      <c r="T811" s="217"/>
      <c r="U811" s="217"/>
      <c r="V811" s="217"/>
      <c r="W811" s="217"/>
      <c r="X811" s="217"/>
      <c r="Y811" s="217"/>
      <c r="Z811" s="217"/>
    </row>
    <row r="812" ht="15.75" customHeight="1">
      <c r="A812" s="217"/>
      <c r="B812" s="217"/>
      <c r="C812" s="217"/>
      <c r="D812" s="217"/>
      <c r="E812" s="217"/>
      <c r="F812" s="217"/>
      <c r="G812" s="217"/>
      <c r="H812" s="217"/>
      <c r="I812" s="217"/>
      <c r="J812" s="217"/>
      <c r="K812" s="217"/>
      <c r="L812" s="217"/>
      <c r="M812" s="217"/>
      <c r="N812" s="217"/>
      <c r="O812" s="217"/>
      <c r="P812" s="217"/>
      <c r="Q812" s="217"/>
      <c r="R812" s="217"/>
      <c r="S812" s="217"/>
      <c r="T812" s="217"/>
      <c r="U812" s="217"/>
      <c r="V812" s="217"/>
      <c r="W812" s="217"/>
      <c r="X812" s="217"/>
      <c r="Y812" s="217"/>
      <c r="Z812" s="217"/>
    </row>
    <row r="813" ht="15.75" customHeight="1">
      <c r="A813" s="217"/>
      <c r="B813" s="217"/>
      <c r="C813" s="217"/>
      <c r="D813" s="217"/>
      <c r="E813" s="217"/>
      <c r="F813" s="217"/>
      <c r="G813" s="217"/>
      <c r="H813" s="217"/>
      <c r="I813" s="217"/>
      <c r="J813" s="217"/>
      <c r="K813" s="217"/>
      <c r="L813" s="217"/>
      <c r="M813" s="217"/>
      <c r="N813" s="217"/>
      <c r="O813" s="217"/>
      <c r="P813" s="217"/>
      <c r="Q813" s="217"/>
      <c r="R813" s="217"/>
      <c r="S813" s="217"/>
      <c r="T813" s="217"/>
      <c r="U813" s="217"/>
      <c r="V813" s="217"/>
      <c r="W813" s="217"/>
      <c r="X813" s="217"/>
      <c r="Y813" s="217"/>
      <c r="Z813" s="217"/>
    </row>
    <row r="814" ht="15.75" customHeight="1">
      <c r="A814" s="217"/>
      <c r="B814" s="217"/>
      <c r="C814" s="217"/>
      <c r="D814" s="217"/>
      <c r="E814" s="217"/>
      <c r="F814" s="217"/>
      <c r="G814" s="217"/>
      <c r="H814" s="217"/>
      <c r="I814" s="217"/>
      <c r="J814" s="217"/>
      <c r="K814" s="217"/>
      <c r="L814" s="217"/>
      <c r="M814" s="217"/>
      <c r="N814" s="217"/>
      <c r="O814" s="217"/>
      <c r="P814" s="217"/>
      <c r="Q814" s="217"/>
      <c r="R814" s="217"/>
      <c r="S814" s="217"/>
      <c r="T814" s="217"/>
      <c r="U814" s="217"/>
      <c r="V814" s="217"/>
      <c r="W814" s="217"/>
      <c r="X814" s="217"/>
      <c r="Y814" s="217"/>
      <c r="Z814" s="217"/>
    </row>
    <row r="815" ht="15.75" customHeight="1">
      <c r="A815" s="217"/>
      <c r="B815" s="217"/>
      <c r="C815" s="217"/>
      <c r="D815" s="217"/>
      <c r="E815" s="217"/>
      <c r="F815" s="217"/>
      <c r="G815" s="217"/>
      <c r="H815" s="217"/>
      <c r="I815" s="217"/>
      <c r="J815" s="217"/>
      <c r="K815" s="217"/>
      <c r="L815" s="217"/>
      <c r="M815" s="217"/>
      <c r="N815" s="217"/>
      <c r="O815" s="217"/>
      <c r="P815" s="217"/>
      <c r="Q815" s="217"/>
      <c r="R815" s="217"/>
      <c r="S815" s="217"/>
      <c r="T815" s="217"/>
      <c r="U815" s="217"/>
      <c r="V815" s="217"/>
      <c r="W815" s="217"/>
      <c r="X815" s="217"/>
      <c r="Y815" s="217"/>
      <c r="Z815" s="217"/>
    </row>
    <row r="816" ht="15.75" customHeight="1">
      <c r="A816" s="217"/>
      <c r="B816" s="217"/>
      <c r="C816" s="217"/>
      <c r="D816" s="217"/>
      <c r="E816" s="217"/>
      <c r="F816" s="217"/>
      <c r="G816" s="217"/>
      <c r="H816" s="217"/>
      <c r="I816" s="217"/>
      <c r="J816" s="217"/>
      <c r="K816" s="217"/>
      <c r="L816" s="217"/>
      <c r="M816" s="217"/>
      <c r="N816" s="217"/>
      <c r="O816" s="217"/>
      <c r="P816" s="217"/>
      <c r="Q816" s="217"/>
      <c r="R816" s="217"/>
      <c r="S816" s="217"/>
      <c r="T816" s="217"/>
      <c r="U816" s="217"/>
      <c r="V816" s="217"/>
      <c r="W816" s="217"/>
      <c r="X816" s="217"/>
      <c r="Y816" s="217"/>
      <c r="Z816" s="217"/>
    </row>
    <row r="817" ht="15.75" customHeight="1">
      <c r="A817" s="217"/>
      <c r="B817" s="217"/>
      <c r="C817" s="217"/>
      <c r="D817" s="217"/>
      <c r="E817" s="217"/>
      <c r="F817" s="217"/>
      <c r="G817" s="217"/>
      <c r="H817" s="217"/>
      <c r="I817" s="217"/>
      <c r="J817" s="217"/>
      <c r="K817" s="217"/>
      <c r="L817" s="217"/>
      <c r="M817" s="217"/>
      <c r="N817" s="217"/>
      <c r="O817" s="217"/>
      <c r="P817" s="217"/>
      <c r="Q817" s="217"/>
      <c r="R817" s="217"/>
      <c r="S817" s="217"/>
      <c r="T817" s="217"/>
      <c r="U817" s="217"/>
      <c r="V817" s="217"/>
      <c r="W817" s="217"/>
      <c r="X817" s="217"/>
      <c r="Y817" s="217"/>
      <c r="Z817" s="217"/>
    </row>
    <row r="818" ht="15.75" customHeight="1">
      <c r="A818" s="217"/>
      <c r="B818" s="217"/>
      <c r="C818" s="217"/>
      <c r="D818" s="217"/>
      <c r="E818" s="217"/>
      <c r="F818" s="217"/>
      <c r="G818" s="217"/>
      <c r="H818" s="217"/>
      <c r="I818" s="217"/>
      <c r="J818" s="217"/>
      <c r="K818" s="217"/>
      <c r="L818" s="217"/>
      <c r="M818" s="217"/>
      <c r="N818" s="217"/>
      <c r="O818" s="217"/>
      <c r="P818" s="217"/>
      <c r="Q818" s="217"/>
      <c r="R818" s="217"/>
      <c r="S818" s="217"/>
      <c r="T818" s="217"/>
      <c r="U818" s="217"/>
      <c r="V818" s="217"/>
      <c r="W818" s="217"/>
      <c r="X818" s="217"/>
      <c r="Y818" s="217"/>
      <c r="Z818" s="217"/>
    </row>
    <row r="819" ht="15.75" customHeight="1">
      <c r="A819" s="217"/>
      <c r="B819" s="217"/>
      <c r="C819" s="217"/>
      <c r="D819" s="217"/>
      <c r="E819" s="217"/>
      <c r="F819" s="217"/>
      <c r="G819" s="217"/>
      <c r="H819" s="217"/>
      <c r="I819" s="217"/>
      <c r="J819" s="217"/>
      <c r="K819" s="217"/>
      <c r="L819" s="217"/>
      <c r="M819" s="217"/>
      <c r="N819" s="217"/>
      <c r="O819" s="217"/>
      <c r="P819" s="217"/>
      <c r="Q819" s="217"/>
      <c r="R819" s="217"/>
      <c r="S819" s="217"/>
      <c r="T819" s="217"/>
      <c r="U819" s="217"/>
      <c r="V819" s="217"/>
      <c r="W819" s="217"/>
      <c r="X819" s="217"/>
      <c r="Y819" s="217"/>
      <c r="Z819" s="217"/>
    </row>
    <row r="820" ht="15.75" customHeight="1">
      <c r="A820" s="217"/>
      <c r="B820" s="217"/>
      <c r="C820" s="217"/>
      <c r="D820" s="217"/>
      <c r="E820" s="217"/>
      <c r="F820" s="217"/>
      <c r="G820" s="217"/>
      <c r="H820" s="217"/>
      <c r="I820" s="217"/>
      <c r="J820" s="217"/>
      <c r="K820" s="217"/>
      <c r="L820" s="217"/>
      <c r="M820" s="217"/>
      <c r="N820" s="217"/>
      <c r="O820" s="217"/>
      <c r="P820" s="217"/>
      <c r="Q820" s="217"/>
      <c r="R820" s="217"/>
      <c r="S820" s="217"/>
      <c r="T820" s="217"/>
      <c r="U820" s="217"/>
      <c r="V820" s="217"/>
      <c r="W820" s="217"/>
      <c r="X820" s="217"/>
      <c r="Y820" s="217"/>
      <c r="Z820" s="217"/>
    </row>
    <row r="821" ht="15.75" customHeight="1">
      <c r="A821" s="217"/>
      <c r="B821" s="217"/>
      <c r="C821" s="217"/>
      <c r="D821" s="217"/>
      <c r="E821" s="217"/>
      <c r="F821" s="217"/>
      <c r="G821" s="217"/>
      <c r="H821" s="217"/>
      <c r="I821" s="217"/>
      <c r="J821" s="217"/>
      <c r="K821" s="217"/>
      <c r="L821" s="217"/>
      <c r="M821" s="217"/>
      <c r="N821" s="217"/>
      <c r="O821" s="217"/>
      <c r="P821" s="217"/>
      <c r="Q821" s="217"/>
      <c r="R821" s="217"/>
      <c r="S821" s="217"/>
      <c r="T821" s="217"/>
      <c r="U821" s="217"/>
      <c r="V821" s="217"/>
      <c r="W821" s="217"/>
      <c r="X821" s="217"/>
      <c r="Y821" s="217"/>
      <c r="Z821" s="217"/>
    </row>
    <row r="822" ht="15.75" customHeight="1">
      <c r="A822" s="217"/>
      <c r="B822" s="217"/>
      <c r="C822" s="217"/>
      <c r="D822" s="217"/>
      <c r="E822" s="217"/>
      <c r="F822" s="217"/>
      <c r="G822" s="217"/>
      <c r="H822" s="217"/>
      <c r="I822" s="217"/>
      <c r="J822" s="217"/>
      <c r="K822" s="217"/>
      <c r="L822" s="217"/>
      <c r="M822" s="217"/>
      <c r="N822" s="217"/>
      <c r="O822" s="217"/>
      <c r="P822" s="217"/>
      <c r="Q822" s="217"/>
      <c r="R822" s="217"/>
      <c r="S822" s="217"/>
      <c r="T822" s="217"/>
      <c r="U822" s="217"/>
      <c r="V822" s="217"/>
      <c r="W822" s="217"/>
      <c r="X822" s="217"/>
      <c r="Y822" s="217"/>
      <c r="Z822" s="217"/>
    </row>
    <row r="823" ht="15.75" customHeight="1">
      <c r="A823" s="217"/>
      <c r="B823" s="217"/>
      <c r="C823" s="217"/>
      <c r="D823" s="217"/>
      <c r="E823" s="217"/>
      <c r="F823" s="217"/>
      <c r="G823" s="217"/>
      <c r="H823" s="217"/>
      <c r="I823" s="217"/>
      <c r="J823" s="217"/>
      <c r="K823" s="217"/>
      <c r="L823" s="217"/>
      <c r="M823" s="217"/>
      <c r="N823" s="217"/>
      <c r="O823" s="217"/>
      <c r="P823" s="217"/>
      <c r="Q823" s="217"/>
      <c r="R823" s="217"/>
      <c r="S823" s="217"/>
      <c r="T823" s="217"/>
      <c r="U823" s="217"/>
      <c r="V823" s="217"/>
      <c r="W823" s="217"/>
      <c r="X823" s="217"/>
      <c r="Y823" s="217"/>
      <c r="Z823" s="217"/>
    </row>
    <row r="824" ht="15.75" customHeight="1">
      <c r="A824" s="217"/>
      <c r="B824" s="217"/>
      <c r="C824" s="217"/>
      <c r="D824" s="217"/>
      <c r="E824" s="217"/>
      <c r="F824" s="217"/>
      <c r="G824" s="217"/>
      <c r="H824" s="217"/>
      <c r="I824" s="217"/>
      <c r="J824" s="217"/>
      <c r="K824" s="217"/>
      <c r="L824" s="217"/>
      <c r="M824" s="217"/>
      <c r="N824" s="217"/>
      <c r="O824" s="217"/>
      <c r="P824" s="217"/>
      <c r="Q824" s="217"/>
      <c r="R824" s="217"/>
      <c r="S824" s="217"/>
      <c r="T824" s="217"/>
      <c r="U824" s="217"/>
      <c r="V824" s="217"/>
      <c r="W824" s="217"/>
      <c r="X824" s="217"/>
      <c r="Y824" s="217"/>
      <c r="Z824" s="217"/>
    </row>
    <row r="825" ht="15.75" customHeight="1">
      <c r="A825" s="217"/>
      <c r="B825" s="217"/>
      <c r="C825" s="217"/>
      <c r="D825" s="217"/>
      <c r="E825" s="217"/>
      <c r="F825" s="217"/>
      <c r="G825" s="217"/>
      <c r="H825" s="217"/>
      <c r="I825" s="217"/>
      <c r="J825" s="217"/>
      <c r="K825" s="217"/>
      <c r="L825" s="217"/>
      <c r="M825" s="217"/>
      <c r="N825" s="217"/>
      <c r="O825" s="217"/>
      <c r="P825" s="217"/>
      <c r="Q825" s="217"/>
      <c r="R825" s="217"/>
      <c r="S825" s="217"/>
      <c r="T825" s="217"/>
      <c r="U825" s="217"/>
      <c r="V825" s="217"/>
      <c r="W825" s="217"/>
      <c r="X825" s="217"/>
      <c r="Y825" s="217"/>
      <c r="Z825" s="217"/>
    </row>
    <row r="826" ht="15.75" customHeight="1">
      <c r="A826" s="217"/>
      <c r="B826" s="217"/>
      <c r="C826" s="217"/>
      <c r="D826" s="217"/>
      <c r="E826" s="217"/>
      <c r="F826" s="217"/>
      <c r="G826" s="217"/>
      <c r="H826" s="217"/>
      <c r="I826" s="217"/>
      <c r="J826" s="217"/>
      <c r="K826" s="217"/>
      <c r="L826" s="217"/>
      <c r="M826" s="217"/>
      <c r="N826" s="217"/>
      <c r="O826" s="217"/>
      <c r="P826" s="217"/>
      <c r="Q826" s="217"/>
      <c r="R826" s="217"/>
      <c r="S826" s="217"/>
      <c r="T826" s="217"/>
      <c r="U826" s="217"/>
      <c r="V826" s="217"/>
      <c r="W826" s="217"/>
      <c r="X826" s="217"/>
      <c r="Y826" s="217"/>
      <c r="Z826" s="217"/>
    </row>
    <row r="827" ht="15.75" customHeight="1">
      <c r="A827" s="217"/>
      <c r="B827" s="217"/>
      <c r="C827" s="217"/>
      <c r="D827" s="217"/>
      <c r="E827" s="217"/>
      <c r="F827" s="217"/>
      <c r="G827" s="217"/>
      <c r="H827" s="217"/>
      <c r="I827" s="217"/>
      <c r="J827" s="217"/>
      <c r="K827" s="217"/>
      <c r="L827" s="217"/>
      <c r="M827" s="217"/>
      <c r="N827" s="217"/>
      <c r="O827" s="217"/>
      <c r="P827" s="217"/>
      <c r="Q827" s="217"/>
      <c r="R827" s="217"/>
      <c r="S827" s="217"/>
      <c r="T827" s="217"/>
      <c r="U827" s="217"/>
      <c r="V827" s="217"/>
      <c r="W827" s="217"/>
      <c r="X827" s="217"/>
      <c r="Y827" s="217"/>
      <c r="Z827" s="217"/>
    </row>
    <row r="828" ht="15.75" customHeight="1">
      <c r="A828" s="217"/>
      <c r="B828" s="217"/>
      <c r="C828" s="217"/>
      <c r="D828" s="217"/>
      <c r="E828" s="217"/>
      <c r="F828" s="217"/>
      <c r="G828" s="217"/>
      <c r="H828" s="217"/>
      <c r="I828" s="217"/>
      <c r="J828" s="217"/>
      <c r="K828" s="217"/>
      <c r="L828" s="217"/>
      <c r="M828" s="217"/>
      <c r="N828" s="217"/>
      <c r="O828" s="217"/>
      <c r="P828" s="217"/>
      <c r="Q828" s="217"/>
      <c r="R828" s="217"/>
      <c r="S828" s="217"/>
      <c r="T828" s="217"/>
      <c r="U828" s="217"/>
      <c r="V828" s="217"/>
      <c r="W828" s="217"/>
      <c r="X828" s="217"/>
      <c r="Y828" s="217"/>
      <c r="Z828" s="217"/>
    </row>
    <row r="829" ht="15.75" customHeight="1">
      <c r="A829" s="217"/>
      <c r="B829" s="217"/>
      <c r="C829" s="217"/>
      <c r="D829" s="217"/>
      <c r="E829" s="217"/>
      <c r="F829" s="217"/>
      <c r="G829" s="217"/>
      <c r="H829" s="217"/>
      <c r="I829" s="217"/>
      <c r="J829" s="217"/>
      <c r="K829" s="217"/>
      <c r="L829" s="217"/>
      <c r="M829" s="217"/>
      <c r="N829" s="217"/>
      <c r="O829" s="217"/>
      <c r="P829" s="217"/>
      <c r="Q829" s="217"/>
      <c r="R829" s="217"/>
      <c r="S829" s="217"/>
      <c r="T829" s="217"/>
      <c r="U829" s="217"/>
      <c r="V829" s="217"/>
      <c r="W829" s="217"/>
      <c r="X829" s="217"/>
      <c r="Y829" s="217"/>
      <c r="Z829" s="217"/>
    </row>
    <row r="830" ht="15.75" customHeight="1">
      <c r="A830" s="217"/>
      <c r="B830" s="217"/>
      <c r="C830" s="217"/>
      <c r="D830" s="217"/>
      <c r="E830" s="217"/>
      <c r="F830" s="217"/>
      <c r="G830" s="217"/>
      <c r="H830" s="217"/>
      <c r="I830" s="217"/>
      <c r="J830" s="217"/>
      <c r="K830" s="217"/>
      <c r="L830" s="217"/>
      <c r="M830" s="217"/>
      <c r="N830" s="217"/>
      <c r="O830" s="217"/>
      <c r="P830" s="217"/>
      <c r="Q830" s="217"/>
      <c r="R830" s="217"/>
      <c r="S830" s="217"/>
      <c r="T830" s="217"/>
      <c r="U830" s="217"/>
      <c r="V830" s="217"/>
      <c r="W830" s="217"/>
      <c r="X830" s="217"/>
      <c r="Y830" s="217"/>
      <c r="Z830" s="217"/>
    </row>
    <row r="831" ht="15.75" customHeight="1">
      <c r="A831" s="217"/>
      <c r="B831" s="217"/>
      <c r="C831" s="217"/>
      <c r="D831" s="217"/>
      <c r="E831" s="217"/>
      <c r="F831" s="217"/>
      <c r="G831" s="217"/>
      <c r="H831" s="217"/>
      <c r="I831" s="217"/>
      <c r="J831" s="217"/>
      <c r="K831" s="217"/>
      <c r="L831" s="217"/>
      <c r="M831" s="217"/>
      <c r="N831" s="217"/>
      <c r="O831" s="217"/>
      <c r="P831" s="217"/>
      <c r="Q831" s="217"/>
      <c r="R831" s="217"/>
      <c r="S831" s="217"/>
      <c r="T831" s="217"/>
      <c r="U831" s="217"/>
      <c r="V831" s="217"/>
      <c r="W831" s="217"/>
      <c r="X831" s="217"/>
      <c r="Y831" s="217"/>
      <c r="Z831" s="217"/>
    </row>
    <row r="832" ht="15.75" customHeight="1">
      <c r="A832" s="217"/>
      <c r="B832" s="217"/>
      <c r="C832" s="217"/>
      <c r="D832" s="217"/>
      <c r="E832" s="217"/>
      <c r="F832" s="217"/>
      <c r="G832" s="217"/>
      <c r="H832" s="217"/>
      <c r="I832" s="217"/>
      <c r="J832" s="217"/>
      <c r="K832" s="217"/>
      <c r="L832" s="217"/>
      <c r="M832" s="217"/>
      <c r="N832" s="217"/>
      <c r="O832" s="217"/>
      <c r="P832" s="217"/>
      <c r="Q832" s="217"/>
      <c r="R832" s="217"/>
      <c r="S832" s="217"/>
      <c r="T832" s="217"/>
      <c r="U832" s="217"/>
      <c r="V832" s="217"/>
      <c r="W832" s="217"/>
      <c r="X832" s="217"/>
      <c r="Y832" s="217"/>
      <c r="Z832" s="217"/>
    </row>
    <row r="833" ht="15.75" customHeight="1">
      <c r="A833" s="217"/>
      <c r="B833" s="217"/>
      <c r="C833" s="217"/>
      <c r="D833" s="217"/>
      <c r="E833" s="217"/>
      <c r="F833" s="217"/>
      <c r="G833" s="217"/>
      <c r="H833" s="217"/>
      <c r="I833" s="217"/>
      <c r="J833" s="217"/>
      <c r="K833" s="217"/>
      <c r="L833" s="217"/>
      <c r="M833" s="217"/>
      <c r="N833" s="217"/>
      <c r="O833" s="217"/>
      <c r="P833" s="217"/>
      <c r="Q833" s="217"/>
      <c r="R833" s="217"/>
      <c r="S833" s="217"/>
      <c r="T833" s="217"/>
      <c r="U833" s="217"/>
      <c r="V833" s="217"/>
      <c r="W833" s="217"/>
      <c r="X833" s="217"/>
      <c r="Y833" s="217"/>
      <c r="Z833" s="217"/>
    </row>
    <row r="834" ht="15.75" customHeight="1">
      <c r="A834" s="217"/>
      <c r="B834" s="217"/>
      <c r="C834" s="217"/>
      <c r="D834" s="217"/>
      <c r="E834" s="217"/>
      <c r="F834" s="217"/>
      <c r="G834" s="217"/>
      <c r="H834" s="217"/>
      <c r="I834" s="217"/>
      <c r="J834" s="217"/>
      <c r="K834" s="217"/>
      <c r="L834" s="217"/>
      <c r="M834" s="217"/>
      <c r="N834" s="217"/>
      <c r="O834" s="217"/>
      <c r="P834" s="217"/>
      <c r="Q834" s="217"/>
      <c r="R834" s="217"/>
      <c r="S834" s="217"/>
      <c r="T834" s="217"/>
      <c r="U834" s="217"/>
      <c r="V834" s="217"/>
      <c r="W834" s="217"/>
      <c r="X834" s="217"/>
      <c r="Y834" s="217"/>
      <c r="Z834" s="217"/>
    </row>
    <row r="835" ht="15.75" customHeight="1">
      <c r="A835" s="217"/>
      <c r="B835" s="217"/>
      <c r="C835" s="217"/>
      <c r="D835" s="217"/>
      <c r="E835" s="217"/>
      <c r="F835" s="217"/>
      <c r="G835" s="217"/>
      <c r="H835" s="217"/>
      <c r="I835" s="217"/>
      <c r="J835" s="217"/>
      <c r="K835" s="217"/>
      <c r="L835" s="217"/>
      <c r="M835" s="217"/>
      <c r="N835" s="217"/>
      <c r="O835" s="217"/>
      <c r="P835" s="217"/>
      <c r="Q835" s="217"/>
      <c r="R835" s="217"/>
      <c r="S835" s="217"/>
      <c r="T835" s="217"/>
      <c r="U835" s="217"/>
      <c r="V835" s="217"/>
      <c r="W835" s="217"/>
      <c r="X835" s="217"/>
      <c r="Y835" s="217"/>
      <c r="Z835" s="217"/>
    </row>
    <row r="836" ht="15.75" customHeight="1">
      <c r="A836" s="217"/>
      <c r="B836" s="217"/>
      <c r="C836" s="217"/>
      <c r="D836" s="217"/>
      <c r="E836" s="217"/>
      <c r="F836" s="217"/>
      <c r="G836" s="217"/>
      <c r="H836" s="217"/>
      <c r="I836" s="217"/>
      <c r="J836" s="217"/>
      <c r="K836" s="217"/>
      <c r="L836" s="217"/>
      <c r="M836" s="217"/>
      <c r="N836" s="217"/>
      <c r="O836" s="217"/>
      <c r="P836" s="217"/>
      <c r="Q836" s="217"/>
      <c r="R836" s="217"/>
      <c r="S836" s="217"/>
      <c r="T836" s="217"/>
      <c r="U836" s="217"/>
      <c r="V836" s="217"/>
      <c r="W836" s="217"/>
      <c r="X836" s="217"/>
      <c r="Y836" s="217"/>
      <c r="Z836" s="217"/>
    </row>
    <row r="837" ht="15.75" customHeight="1">
      <c r="A837" s="217"/>
      <c r="B837" s="217"/>
      <c r="C837" s="217"/>
      <c r="D837" s="217"/>
      <c r="E837" s="217"/>
      <c r="F837" s="217"/>
      <c r="G837" s="217"/>
      <c r="H837" s="217"/>
      <c r="I837" s="217"/>
      <c r="J837" s="217"/>
      <c r="K837" s="217"/>
      <c r="L837" s="217"/>
      <c r="M837" s="217"/>
      <c r="N837" s="217"/>
      <c r="O837" s="217"/>
      <c r="P837" s="217"/>
      <c r="Q837" s="217"/>
      <c r="R837" s="217"/>
      <c r="S837" s="217"/>
      <c r="T837" s="217"/>
      <c r="U837" s="217"/>
      <c r="V837" s="217"/>
      <c r="W837" s="217"/>
      <c r="X837" s="217"/>
      <c r="Y837" s="217"/>
      <c r="Z837" s="217"/>
    </row>
    <row r="838" ht="15.75" customHeight="1">
      <c r="A838" s="217"/>
      <c r="B838" s="217"/>
      <c r="C838" s="217"/>
      <c r="D838" s="217"/>
      <c r="E838" s="217"/>
      <c r="F838" s="217"/>
      <c r="G838" s="217"/>
      <c r="H838" s="217"/>
      <c r="I838" s="217"/>
      <c r="J838" s="217"/>
      <c r="K838" s="217"/>
      <c r="L838" s="217"/>
      <c r="M838" s="217"/>
      <c r="N838" s="217"/>
      <c r="O838" s="217"/>
      <c r="P838" s="217"/>
      <c r="Q838" s="217"/>
      <c r="R838" s="217"/>
      <c r="S838" s="217"/>
      <c r="T838" s="217"/>
      <c r="U838" s="217"/>
      <c r="V838" s="217"/>
      <c r="W838" s="217"/>
      <c r="X838" s="217"/>
      <c r="Y838" s="217"/>
      <c r="Z838" s="217"/>
    </row>
    <row r="839" ht="15.75" customHeight="1">
      <c r="A839" s="217"/>
      <c r="B839" s="217"/>
      <c r="C839" s="217"/>
      <c r="D839" s="217"/>
      <c r="E839" s="217"/>
      <c r="F839" s="217"/>
      <c r="G839" s="217"/>
      <c r="H839" s="217"/>
      <c r="I839" s="217"/>
      <c r="J839" s="217"/>
      <c r="K839" s="217"/>
      <c r="L839" s="217"/>
      <c r="M839" s="217"/>
      <c r="N839" s="217"/>
      <c r="O839" s="217"/>
      <c r="P839" s="217"/>
      <c r="Q839" s="217"/>
      <c r="R839" s="217"/>
      <c r="S839" s="217"/>
      <c r="T839" s="217"/>
      <c r="U839" s="217"/>
      <c r="V839" s="217"/>
      <c r="W839" s="217"/>
      <c r="X839" s="217"/>
      <c r="Y839" s="217"/>
      <c r="Z839" s="217"/>
    </row>
    <row r="840" ht="15.75" customHeight="1">
      <c r="A840" s="217"/>
      <c r="B840" s="217"/>
      <c r="C840" s="217"/>
      <c r="D840" s="217"/>
      <c r="E840" s="217"/>
      <c r="F840" s="217"/>
      <c r="G840" s="217"/>
      <c r="H840" s="217"/>
      <c r="I840" s="217"/>
      <c r="J840" s="217"/>
      <c r="K840" s="217"/>
      <c r="L840" s="217"/>
      <c r="M840" s="217"/>
      <c r="N840" s="217"/>
      <c r="O840" s="217"/>
      <c r="P840" s="217"/>
      <c r="Q840" s="217"/>
      <c r="R840" s="217"/>
      <c r="S840" s="217"/>
      <c r="T840" s="217"/>
      <c r="U840" s="217"/>
      <c r="V840" s="217"/>
      <c r="W840" s="217"/>
      <c r="X840" s="217"/>
      <c r="Y840" s="217"/>
      <c r="Z840" s="217"/>
    </row>
    <row r="841" ht="15.75" customHeight="1">
      <c r="A841" s="217"/>
      <c r="B841" s="217"/>
      <c r="C841" s="217"/>
      <c r="D841" s="217"/>
      <c r="E841" s="217"/>
      <c r="F841" s="217"/>
      <c r="G841" s="217"/>
      <c r="H841" s="217"/>
      <c r="I841" s="217"/>
      <c r="J841" s="217"/>
      <c r="K841" s="217"/>
      <c r="L841" s="217"/>
      <c r="M841" s="217"/>
      <c r="N841" s="217"/>
      <c r="O841" s="217"/>
      <c r="P841" s="217"/>
      <c r="Q841" s="217"/>
      <c r="R841" s="217"/>
      <c r="S841" s="217"/>
      <c r="T841" s="217"/>
      <c r="U841" s="217"/>
      <c r="V841" s="217"/>
      <c r="W841" s="217"/>
      <c r="X841" s="217"/>
      <c r="Y841" s="217"/>
      <c r="Z841" s="217"/>
    </row>
    <row r="842" ht="15.75" customHeight="1">
      <c r="A842" s="217"/>
      <c r="B842" s="217"/>
      <c r="C842" s="217"/>
      <c r="D842" s="217"/>
      <c r="E842" s="217"/>
      <c r="F842" s="217"/>
      <c r="G842" s="217"/>
      <c r="H842" s="217"/>
      <c r="I842" s="217"/>
      <c r="J842" s="217"/>
      <c r="K842" s="217"/>
      <c r="L842" s="217"/>
      <c r="M842" s="217"/>
      <c r="N842" s="217"/>
      <c r="O842" s="217"/>
      <c r="P842" s="217"/>
      <c r="Q842" s="217"/>
      <c r="R842" s="217"/>
      <c r="S842" s="217"/>
      <c r="T842" s="217"/>
      <c r="U842" s="217"/>
      <c r="V842" s="217"/>
      <c r="W842" s="217"/>
      <c r="X842" s="217"/>
      <c r="Y842" s="217"/>
      <c r="Z842" s="217"/>
    </row>
    <row r="843" ht="15.75" customHeight="1">
      <c r="A843" s="217"/>
      <c r="B843" s="217"/>
      <c r="C843" s="217"/>
      <c r="D843" s="217"/>
      <c r="E843" s="217"/>
      <c r="F843" s="217"/>
      <c r="G843" s="217"/>
      <c r="H843" s="217"/>
      <c r="I843" s="217"/>
      <c r="J843" s="217"/>
      <c r="K843" s="217"/>
      <c r="L843" s="217"/>
      <c r="M843" s="217"/>
      <c r="N843" s="217"/>
      <c r="O843" s="217"/>
      <c r="P843" s="217"/>
      <c r="Q843" s="217"/>
      <c r="R843" s="217"/>
      <c r="S843" s="217"/>
      <c r="T843" s="217"/>
      <c r="U843" s="217"/>
      <c r="V843" s="217"/>
      <c r="W843" s="217"/>
      <c r="X843" s="217"/>
      <c r="Y843" s="217"/>
      <c r="Z843" s="217"/>
    </row>
    <row r="844" ht="15.75" customHeight="1">
      <c r="A844" s="217"/>
      <c r="B844" s="217"/>
      <c r="C844" s="217"/>
      <c r="D844" s="217"/>
      <c r="E844" s="217"/>
      <c r="F844" s="217"/>
      <c r="G844" s="217"/>
      <c r="H844" s="217"/>
      <c r="I844" s="217"/>
      <c r="J844" s="217"/>
      <c r="K844" s="217"/>
      <c r="L844" s="217"/>
      <c r="M844" s="217"/>
      <c r="N844" s="217"/>
      <c r="O844" s="217"/>
      <c r="P844" s="217"/>
      <c r="Q844" s="217"/>
      <c r="R844" s="217"/>
      <c r="S844" s="217"/>
      <c r="T844" s="217"/>
      <c r="U844" s="217"/>
      <c r="V844" s="217"/>
      <c r="W844" s="217"/>
      <c r="X844" s="217"/>
      <c r="Y844" s="217"/>
      <c r="Z844" s="217"/>
    </row>
    <row r="845" ht="15.75" customHeight="1">
      <c r="A845" s="217"/>
      <c r="B845" s="217"/>
      <c r="C845" s="217"/>
      <c r="D845" s="217"/>
      <c r="E845" s="217"/>
      <c r="F845" s="217"/>
      <c r="G845" s="217"/>
      <c r="H845" s="217"/>
      <c r="I845" s="217"/>
      <c r="J845" s="217"/>
      <c r="K845" s="217"/>
      <c r="L845" s="217"/>
      <c r="M845" s="217"/>
      <c r="N845" s="217"/>
      <c r="O845" s="217"/>
      <c r="P845" s="217"/>
      <c r="Q845" s="217"/>
      <c r="R845" s="217"/>
      <c r="S845" s="217"/>
      <c r="T845" s="217"/>
      <c r="U845" s="217"/>
      <c r="V845" s="217"/>
      <c r="W845" s="217"/>
      <c r="X845" s="217"/>
      <c r="Y845" s="217"/>
      <c r="Z845" s="217"/>
    </row>
    <row r="846" ht="15.75" customHeight="1">
      <c r="A846" s="217"/>
      <c r="B846" s="217"/>
      <c r="C846" s="217"/>
      <c r="D846" s="217"/>
      <c r="E846" s="217"/>
      <c r="F846" s="217"/>
      <c r="G846" s="217"/>
      <c r="H846" s="217"/>
      <c r="I846" s="217"/>
      <c r="J846" s="217"/>
      <c r="K846" s="217"/>
      <c r="L846" s="217"/>
      <c r="M846" s="217"/>
      <c r="N846" s="217"/>
      <c r="O846" s="217"/>
      <c r="P846" s="217"/>
      <c r="Q846" s="217"/>
      <c r="R846" s="217"/>
      <c r="S846" s="217"/>
      <c r="T846" s="217"/>
      <c r="U846" s="217"/>
      <c r="V846" s="217"/>
      <c r="W846" s="217"/>
      <c r="X846" s="217"/>
      <c r="Y846" s="217"/>
      <c r="Z846" s="217"/>
    </row>
    <row r="847" ht="15.75" customHeight="1">
      <c r="A847" s="217"/>
      <c r="B847" s="217"/>
      <c r="C847" s="217"/>
      <c r="D847" s="217"/>
      <c r="E847" s="217"/>
      <c r="F847" s="217"/>
      <c r="G847" s="217"/>
      <c r="H847" s="217"/>
      <c r="I847" s="217"/>
      <c r="J847" s="217"/>
      <c r="K847" s="217"/>
      <c r="L847" s="217"/>
      <c r="M847" s="217"/>
      <c r="N847" s="217"/>
      <c r="O847" s="217"/>
      <c r="P847" s="217"/>
      <c r="Q847" s="217"/>
      <c r="R847" s="217"/>
      <c r="S847" s="217"/>
      <c r="T847" s="217"/>
      <c r="U847" s="217"/>
      <c r="V847" s="217"/>
      <c r="W847" s="217"/>
      <c r="X847" s="217"/>
      <c r="Y847" s="217"/>
      <c r="Z847" s="217"/>
    </row>
    <row r="848" ht="15.75" customHeight="1">
      <c r="A848" s="217"/>
      <c r="B848" s="217"/>
      <c r="C848" s="217"/>
      <c r="D848" s="217"/>
      <c r="E848" s="217"/>
      <c r="F848" s="217"/>
      <c r="G848" s="217"/>
      <c r="H848" s="217"/>
      <c r="I848" s="217"/>
      <c r="J848" s="217"/>
      <c r="K848" s="217"/>
      <c r="L848" s="217"/>
      <c r="M848" s="217"/>
      <c r="N848" s="217"/>
      <c r="O848" s="217"/>
      <c r="P848" s="217"/>
      <c r="Q848" s="217"/>
      <c r="R848" s="217"/>
      <c r="S848" s="217"/>
      <c r="T848" s="217"/>
      <c r="U848" s="217"/>
      <c r="V848" s="217"/>
      <c r="W848" s="217"/>
      <c r="X848" s="217"/>
      <c r="Y848" s="217"/>
      <c r="Z848" s="217"/>
    </row>
    <row r="849" ht="15.75" customHeight="1">
      <c r="A849" s="217"/>
      <c r="B849" s="217"/>
      <c r="C849" s="217"/>
      <c r="D849" s="217"/>
      <c r="E849" s="217"/>
      <c r="F849" s="217"/>
      <c r="G849" s="217"/>
      <c r="H849" s="217"/>
      <c r="I849" s="217"/>
      <c r="J849" s="217"/>
      <c r="K849" s="217"/>
      <c r="L849" s="217"/>
      <c r="M849" s="217"/>
      <c r="N849" s="217"/>
      <c r="O849" s="217"/>
      <c r="P849" s="217"/>
      <c r="Q849" s="217"/>
      <c r="R849" s="217"/>
      <c r="S849" s="217"/>
      <c r="T849" s="217"/>
      <c r="U849" s="217"/>
      <c r="V849" s="217"/>
      <c r="W849" s="217"/>
      <c r="X849" s="217"/>
      <c r="Y849" s="217"/>
      <c r="Z849" s="217"/>
    </row>
    <row r="850" ht="15.75" customHeight="1">
      <c r="A850" s="217"/>
      <c r="B850" s="217"/>
      <c r="C850" s="217"/>
      <c r="D850" s="217"/>
      <c r="E850" s="217"/>
      <c r="F850" s="217"/>
      <c r="G850" s="217"/>
      <c r="H850" s="217"/>
      <c r="I850" s="217"/>
      <c r="J850" s="217"/>
      <c r="K850" s="217"/>
      <c r="L850" s="217"/>
      <c r="M850" s="217"/>
      <c r="N850" s="217"/>
      <c r="O850" s="217"/>
      <c r="P850" s="217"/>
      <c r="Q850" s="217"/>
      <c r="R850" s="217"/>
      <c r="S850" s="217"/>
      <c r="T850" s="217"/>
      <c r="U850" s="217"/>
      <c r="V850" s="217"/>
      <c r="W850" s="217"/>
      <c r="X850" s="217"/>
      <c r="Y850" s="217"/>
      <c r="Z850" s="217"/>
    </row>
    <row r="851" ht="15.75" customHeight="1">
      <c r="A851" s="217"/>
      <c r="B851" s="217"/>
      <c r="C851" s="217"/>
      <c r="D851" s="217"/>
      <c r="E851" s="217"/>
      <c r="F851" s="217"/>
      <c r="G851" s="217"/>
      <c r="H851" s="217"/>
      <c r="I851" s="217"/>
      <c r="J851" s="217"/>
      <c r="K851" s="217"/>
      <c r="L851" s="217"/>
      <c r="M851" s="217"/>
      <c r="N851" s="217"/>
      <c r="O851" s="217"/>
      <c r="P851" s="217"/>
      <c r="Q851" s="217"/>
      <c r="R851" s="217"/>
      <c r="S851" s="217"/>
      <c r="T851" s="217"/>
      <c r="U851" s="217"/>
      <c r="V851" s="217"/>
      <c r="W851" s="217"/>
      <c r="X851" s="217"/>
      <c r="Y851" s="217"/>
      <c r="Z851" s="217"/>
    </row>
    <row r="852" ht="15.75" customHeight="1">
      <c r="A852" s="217"/>
      <c r="B852" s="217"/>
      <c r="C852" s="217"/>
      <c r="D852" s="217"/>
      <c r="E852" s="217"/>
      <c r="F852" s="217"/>
      <c r="G852" s="217"/>
      <c r="H852" s="217"/>
      <c r="I852" s="217"/>
      <c r="J852" s="217"/>
      <c r="K852" s="217"/>
      <c r="L852" s="217"/>
      <c r="M852" s="217"/>
      <c r="N852" s="217"/>
      <c r="O852" s="217"/>
      <c r="P852" s="217"/>
      <c r="Q852" s="217"/>
      <c r="R852" s="217"/>
      <c r="S852" s="217"/>
      <c r="T852" s="217"/>
      <c r="U852" s="217"/>
      <c r="V852" s="217"/>
      <c r="W852" s="217"/>
      <c r="X852" s="217"/>
      <c r="Y852" s="217"/>
      <c r="Z852" s="217"/>
    </row>
    <row r="853" ht="15.75" customHeight="1">
      <c r="A853" s="217"/>
      <c r="B853" s="217"/>
      <c r="C853" s="217"/>
      <c r="D853" s="217"/>
      <c r="E853" s="217"/>
      <c r="F853" s="217"/>
      <c r="G853" s="217"/>
      <c r="H853" s="217"/>
      <c r="I853" s="217"/>
      <c r="J853" s="217"/>
      <c r="K853" s="217"/>
      <c r="L853" s="217"/>
      <c r="M853" s="217"/>
      <c r="N853" s="217"/>
      <c r="O853" s="217"/>
      <c r="P853" s="217"/>
      <c r="Q853" s="217"/>
      <c r="R853" s="217"/>
      <c r="S853" s="217"/>
      <c r="T853" s="217"/>
      <c r="U853" s="217"/>
      <c r="V853" s="217"/>
      <c r="W853" s="217"/>
      <c r="X853" s="217"/>
      <c r="Y853" s="217"/>
      <c r="Z853" s="217"/>
    </row>
    <row r="854" ht="15.75" customHeight="1">
      <c r="A854" s="217"/>
      <c r="B854" s="217"/>
      <c r="C854" s="217"/>
      <c r="D854" s="217"/>
      <c r="E854" s="217"/>
      <c r="F854" s="217"/>
      <c r="G854" s="217"/>
      <c r="H854" s="217"/>
      <c r="I854" s="217"/>
      <c r="J854" s="217"/>
      <c r="K854" s="217"/>
      <c r="L854" s="217"/>
      <c r="M854" s="217"/>
      <c r="N854" s="217"/>
      <c r="O854" s="217"/>
      <c r="P854" s="217"/>
      <c r="Q854" s="217"/>
      <c r="R854" s="217"/>
      <c r="S854" s="217"/>
      <c r="T854" s="217"/>
      <c r="U854" s="217"/>
      <c r="V854" s="217"/>
      <c r="W854" s="217"/>
      <c r="X854" s="217"/>
      <c r="Y854" s="217"/>
      <c r="Z854" s="217"/>
    </row>
    <row r="855" ht="15.75" customHeight="1">
      <c r="A855" s="217"/>
      <c r="B855" s="217"/>
      <c r="C855" s="217"/>
      <c r="D855" s="217"/>
      <c r="E855" s="217"/>
      <c r="F855" s="217"/>
      <c r="G855" s="217"/>
      <c r="H855" s="217"/>
      <c r="I855" s="217"/>
      <c r="J855" s="217"/>
      <c r="K855" s="217"/>
      <c r="L855" s="217"/>
      <c r="M855" s="217"/>
      <c r="N855" s="217"/>
      <c r="O855" s="217"/>
      <c r="P855" s="217"/>
      <c r="Q855" s="217"/>
      <c r="R855" s="217"/>
      <c r="S855" s="217"/>
      <c r="T855" s="217"/>
      <c r="U855" s="217"/>
      <c r="V855" s="217"/>
      <c r="W855" s="217"/>
      <c r="X855" s="217"/>
      <c r="Y855" s="217"/>
      <c r="Z855" s="217"/>
    </row>
    <row r="856" ht="15.75" customHeight="1">
      <c r="A856" s="217"/>
      <c r="B856" s="217"/>
      <c r="C856" s="217"/>
      <c r="D856" s="217"/>
      <c r="E856" s="217"/>
      <c r="F856" s="217"/>
      <c r="G856" s="217"/>
      <c r="H856" s="217"/>
      <c r="I856" s="217"/>
      <c r="J856" s="217"/>
      <c r="K856" s="217"/>
      <c r="L856" s="217"/>
      <c r="M856" s="217"/>
      <c r="N856" s="217"/>
      <c r="O856" s="217"/>
      <c r="P856" s="217"/>
      <c r="Q856" s="217"/>
      <c r="R856" s="217"/>
      <c r="S856" s="217"/>
      <c r="T856" s="217"/>
      <c r="U856" s="217"/>
      <c r="V856" s="217"/>
      <c r="W856" s="217"/>
      <c r="X856" s="217"/>
      <c r="Y856" s="217"/>
      <c r="Z856" s="217"/>
    </row>
    <row r="857" ht="15.75" customHeight="1">
      <c r="A857" s="217"/>
      <c r="B857" s="217"/>
      <c r="C857" s="217"/>
      <c r="D857" s="217"/>
      <c r="E857" s="217"/>
      <c r="F857" s="217"/>
      <c r="G857" s="217"/>
      <c r="H857" s="217"/>
      <c r="I857" s="217"/>
      <c r="J857" s="217"/>
      <c r="K857" s="217"/>
      <c r="L857" s="217"/>
      <c r="M857" s="217"/>
      <c r="N857" s="217"/>
      <c r="O857" s="217"/>
      <c r="P857" s="217"/>
      <c r="Q857" s="217"/>
      <c r="R857" s="217"/>
      <c r="S857" s="217"/>
      <c r="T857" s="217"/>
      <c r="U857" s="217"/>
      <c r="V857" s="217"/>
      <c r="W857" s="217"/>
      <c r="X857" s="217"/>
      <c r="Y857" s="217"/>
      <c r="Z857" s="217"/>
    </row>
    <row r="858" ht="15.75" customHeight="1">
      <c r="A858" s="217"/>
      <c r="B858" s="217"/>
      <c r="C858" s="217"/>
      <c r="D858" s="217"/>
      <c r="E858" s="217"/>
      <c r="F858" s="217"/>
      <c r="G858" s="217"/>
      <c r="H858" s="217"/>
      <c r="I858" s="217"/>
      <c r="J858" s="217"/>
      <c r="K858" s="217"/>
      <c r="L858" s="217"/>
      <c r="M858" s="217"/>
      <c r="N858" s="217"/>
      <c r="O858" s="217"/>
      <c r="P858" s="217"/>
      <c r="Q858" s="217"/>
      <c r="R858" s="217"/>
      <c r="S858" s="217"/>
      <c r="T858" s="217"/>
      <c r="U858" s="217"/>
      <c r="V858" s="217"/>
      <c r="W858" s="217"/>
      <c r="X858" s="217"/>
      <c r="Y858" s="217"/>
      <c r="Z858" s="217"/>
    </row>
    <row r="859" ht="15.75" customHeight="1">
      <c r="A859" s="217"/>
      <c r="B859" s="217"/>
      <c r="C859" s="217"/>
      <c r="D859" s="217"/>
      <c r="E859" s="217"/>
      <c r="F859" s="217"/>
      <c r="G859" s="217"/>
      <c r="H859" s="217"/>
      <c r="I859" s="217"/>
      <c r="J859" s="217"/>
      <c r="K859" s="217"/>
      <c r="L859" s="217"/>
      <c r="M859" s="217"/>
      <c r="N859" s="217"/>
      <c r="O859" s="217"/>
      <c r="P859" s="217"/>
      <c r="Q859" s="217"/>
      <c r="R859" s="217"/>
      <c r="S859" s="217"/>
      <c r="T859" s="217"/>
      <c r="U859" s="217"/>
      <c r="V859" s="217"/>
      <c r="W859" s="217"/>
      <c r="X859" s="217"/>
      <c r="Y859" s="217"/>
      <c r="Z859" s="217"/>
    </row>
    <row r="860" ht="15.75" customHeight="1">
      <c r="A860" s="217"/>
      <c r="B860" s="217"/>
      <c r="C860" s="217"/>
      <c r="D860" s="217"/>
      <c r="E860" s="217"/>
      <c r="F860" s="217"/>
      <c r="G860" s="217"/>
      <c r="H860" s="217"/>
      <c r="I860" s="217"/>
      <c r="J860" s="217"/>
      <c r="K860" s="217"/>
      <c r="L860" s="217"/>
      <c r="M860" s="217"/>
      <c r="N860" s="217"/>
      <c r="O860" s="217"/>
      <c r="P860" s="217"/>
      <c r="Q860" s="217"/>
      <c r="R860" s="217"/>
      <c r="S860" s="217"/>
      <c r="T860" s="217"/>
      <c r="U860" s="217"/>
      <c r="V860" s="217"/>
      <c r="W860" s="217"/>
      <c r="X860" s="217"/>
      <c r="Y860" s="217"/>
      <c r="Z860" s="217"/>
    </row>
    <row r="861" ht="15.75" customHeight="1">
      <c r="A861" s="217"/>
      <c r="B861" s="217"/>
      <c r="C861" s="217"/>
      <c r="D861" s="217"/>
      <c r="E861" s="217"/>
      <c r="F861" s="217"/>
      <c r="G861" s="217"/>
      <c r="H861" s="217"/>
      <c r="I861" s="217"/>
      <c r="J861" s="217"/>
      <c r="K861" s="217"/>
      <c r="L861" s="217"/>
      <c r="M861" s="217"/>
      <c r="N861" s="217"/>
      <c r="O861" s="217"/>
      <c r="P861" s="217"/>
      <c r="Q861" s="217"/>
      <c r="R861" s="217"/>
      <c r="S861" s="217"/>
      <c r="T861" s="217"/>
      <c r="U861" s="217"/>
      <c r="V861" s="217"/>
      <c r="W861" s="217"/>
      <c r="X861" s="217"/>
      <c r="Y861" s="217"/>
      <c r="Z861" s="217"/>
    </row>
    <row r="862" ht="15.75" customHeight="1">
      <c r="A862" s="217"/>
      <c r="B862" s="217"/>
      <c r="C862" s="217"/>
      <c r="D862" s="217"/>
      <c r="E862" s="217"/>
      <c r="F862" s="217"/>
      <c r="G862" s="217"/>
      <c r="H862" s="217"/>
      <c r="I862" s="217"/>
      <c r="J862" s="217"/>
      <c r="K862" s="217"/>
      <c r="L862" s="217"/>
      <c r="M862" s="217"/>
      <c r="N862" s="217"/>
      <c r="O862" s="217"/>
      <c r="P862" s="217"/>
      <c r="Q862" s="217"/>
      <c r="R862" s="217"/>
      <c r="S862" s="217"/>
      <c r="T862" s="217"/>
      <c r="U862" s="217"/>
      <c r="V862" s="217"/>
      <c r="W862" s="217"/>
      <c r="X862" s="217"/>
      <c r="Y862" s="217"/>
      <c r="Z862" s="217"/>
    </row>
    <row r="863" ht="15.75" customHeight="1">
      <c r="A863" s="217"/>
      <c r="B863" s="217"/>
      <c r="C863" s="217"/>
      <c r="D863" s="217"/>
      <c r="E863" s="217"/>
      <c r="F863" s="217"/>
      <c r="G863" s="217"/>
      <c r="H863" s="217"/>
      <c r="I863" s="217"/>
      <c r="J863" s="217"/>
      <c r="K863" s="217"/>
      <c r="L863" s="217"/>
      <c r="M863" s="217"/>
      <c r="N863" s="217"/>
      <c r="O863" s="217"/>
      <c r="P863" s="217"/>
      <c r="Q863" s="217"/>
      <c r="R863" s="217"/>
      <c r="S863" s="217"/>
      <c r="T863" s="217"/>
      <c r="U863" s="217"/>
      <c r="V863" s="217"/>
      <c r="W863" s="217"/>
      <c r="X863" s="217"/>
      <c r="Y863" s="217"/>
      <c r="Z863" s="217"/>
    </row>
    <row r="864" ht="15.75" customHeight="1">
      <c r="A864" s="217"/>
      <c r="B864" s="217"/>
      <c r="C864" s="217"/>
      <c r="D864" s="217"/>
      <c r="E864" s="217"/>
      <c r="F864" s="217"/>
      <c r="G864" s="217"/>
      <c r="H864" s="217"/>
      <c r="I864" s="217"/>
      <c r="J864" s="217"/>
      <c r="K864" s="217"/>
      <c r="L864" s="217"/>
      <c r="M864" s="217"/>
      <c r="N864" s="217"/>
      <c r="O864" s="217"/>
      <c r="P864" s="217"/>
      <c r="Q864" s="217"/>
      <c r="R864" s="217"/>
      <c r="S864" s="217"/>
      <c r="T864" s="217"/>
      <c r="U864" s="217"/>
      <c r="V864" s="217"/>
      <c r="W864" s="217"/>
      <c r="X864" s="217"/>
      <c r="Y864" s="217"/>
      <c r="Z864" s="217"/>
    </row>
    <row r="865" ht="15.75" customHeight="1">
      <c r="A865" s="217"/>
      <c r="B865" s="217"/>
      <c r="C865" s="217"/>
      <c r="D865" s="217"/>
      <c r="E865" s="217"/>
      <c r="F865" s="217"/>
      <c r="G865" s="217"/>
      <c r="H865" s="217"/>
      <c r="I865" s="217"/>
      <c r="J865" s="217"/>
      <c r="K865" s="217"/>
      <c r="L865" s="217"/>
      <c r="M865" s="217"/>
      <c r="N865" s="217"/>
      <c r="O865" s="217"/>
      <c r="P865" s="217"/>
      <c r="Q865" s="217"/>
      <c r="R865" s="217"/>
      <c r="S865" s="217"/>
      <c r="T865" s="217"/>
      <c r="U865" s="217"/>
      <c r="V865" s="217"/>
      <c r="W865" s="217"/>
      <c r="X865" s="217"/>
      <c r="Y865" s="217"/>
      <c r="Z865" s="217"/>
    </row>
    <row r="866" ht="15.75" customHeight="1">
      <c r="A866" s="217"/>
      <c r="B866" s="217"/>
      <c r="C866" s="217"/>
      <c r="D866" s="217"/>
      <c r="E866" s="217"/>
      <c r="F866" s="217"/>
      <c r="G866" s="217"/>
      <c r="H866" s="217"/>
      <c r="I866" s="217"/>
      <c r="J866" s="217"/>
      <c r="K866" s="217"/>
      <c r="L866" s="217"/>
      <c r="M866" s="217"/>
      <c r="N866" s="217"/>
      <c r="O866" s="217"/>
      <c r="P866" s="217"/>
      <c r="Q866" s="217"/>
      <c r="R866" s="217"/>
      <c r="S866" s="217"/>
      <c r="T866" s="217"/>
      <c r="U866" s="217"/>
      <c r="V866" s="217"/>
      <c r="W866" s="217"/>
      <c r="X866" s="217"/>
      <c r="Y866" s="217"/>
      <c r="Z866" s="217"/>
    </row>
    <row r="867" ht="15.75" customHeight="1">
      <c r="A867" s="217"/>
      <c r="B867" s="217"/>
      <c r="C867" s="217"/>
      <c r="D867" s="217"/>
      <c r="E867" s="217"/>
      <c r="F867" s="217"/>
      <c r="G867" s="217"/>
      <c r="H867" s="217"/>
      <c r="I867" s="217"/>
      <c r="J867" s="217"/>
      <c r="K867" s="217"/>
      <c r="L867" s="217"/>
      <c r="M867" s="217"/>
      <c r="N867" s="217"/>
      <c r="O867" s="217"/>
      <c r="P867" s="217"/>
      <c r="Q867" s="217"/>
      <c r="R867" s="217"/>
      <c r="S867" s="217"/>
      <c r="T867" s="217"/>
      <c r="U867" s="217"/>
      <c r="V867" s="217"/>
      <c r="W867" s="217"/>
      <c r="X867" s="217"/>
      <c r="Y867" s="217"/>
      <c r="Z867" s="217"/>
    </row>
    <row r="868" ht="15.75" customHeight="1">
      <c r="A868" s="217"/>
      <c r="B868" s="217"/>
      <c r="C868" s="217"/>
      <c r="D868" s="217"/>
      <c r="E868" s="217"/>
      <c r="F868" s="217"/>
      <c r="G868" s="217"/>
      <c r="H868" s="217"/>
      <c r="I868" s="217"/>
      <c r="J868" s="217"/>
      <c r="K868" s="217"/>
      <c r="L868" s="217"/>
      <c r="M868" s="217"/>
      <c r="N868" s="217"/>
      <c r="O868" s="217"/>
      <c r="P868" s="217"/>
      <c r="Q868" s="217"/>
      <c r="R868" s="217"/>
      <c r="S868" s="217"/>
      <c r="T868" s="217"/>
      <c r="U868" s="217"/>
      <c r="V868" s="217"/>
      <c r="W868" s="217"/>
      <c r="X868" s="217"/>
      <c r="Y868" s="217"/>
      <c r="Z868" s="217"/>
    </row>
    <row r="869" ht="15.75" customHeight="1">
      <c r="A869" s="217"/>
      <c r="B869" s="217"/>
      <c r="C869" s="217"/>
      <c r="D869" s="217"/>
      <c r="E869" s="217"/>
      <c r="F869" s="217"/>
      <c r="G869" s="217"/>
      <c r="H869" s="217"/>
      <c r="I869" s="217"/>
      <c r="J869" s="217"/>
      <c r="K869" s="217"/>
      <c r="L869" s="217"/>
      <c r="M869" s="217"/>
      <c r="N869" s="217"/>
      <c r="O869" s="217"/>
      <c r="P869" s="217"/>
      <c r="Q869" s="217"/>
      <c r="R869" s="217"/>
      <c r="S869" s="217"/>
      <c r="T869" s="217"/>
      <c r="U869" s="217"/>
      <c r="V869" s="217"/>
      <c r="W869" s="217"/>
      <c r="X869" s="217"/>
      <c r="Y869" s="217"/>
      <c r="Z869" s="217"/>
    </row>
    <row r="870" ht="15.75" customHeight="1">
      <c r="A870" s="217"/>
      <c r="B870" s="217"/>
      <c r="C870" s="217"/>
      <c r="D870" s="217"/>
      <c r="E870" s="217"/>
      <c r="F870" s="217"/>
      <c r="G870" s="217"/>
      <c r="H870" s="217"/>
      <c r="I870" s="217"/>
      <c r="J870" s="217"/>
      <c r="K870" s="217"/>
      <c r="L870" s="217"/>
      <c r="M870" s="217"/>
      <c r="N870" s="217"/>
      <c r="O870" s="217"/>
      <c r="P870" s="217"/>
      <c r="Q870" s="217"/>
      <c r="R870" s="217"/>
      <c r="S870" s="217"/>
      <c r="T870" s="217"/>
      <c r="U870" s="217"/>
      <c r="V870" s="217"/>
      <c r="W870" s="217"/>
      <c r="X870" s="217"/>
      <c r="Y870" s="217"/>
      <c r="Z870" s="217"/>
    </row>
    <row r="871" ht="15.75" customHeight="1">
      <c r="A871" s="217"/>
      <c r="B871" s="217"/>
      <c r="C871" s="217"/>
      <c r="D871" s="217"/>
      <c r="E871" s="217"/>
      <c r="F871" s="217"/>
      <c r="G871" s="217"/>
      <c r="H871" s="217"/>
      <c r="I871" s="217"/>
      <c r="J871" s="217"/>
      <c r="K871" s="217"/>
      <c r="L871" s="217"/>
      <c r="M871" s="217"/>
      <c r="N871" s="217"/>
      <c r="O871" s="217"/>
      <c r="P871" s="217"/>
      <c r="Q871" s="217"/>
      <c r="R871" s="217"/>
      <c r="S871" s="217"/>
      <c r="T871" s="217"/>
      <c r="U871" s="217"/>
      <c r="V871" s="217"/>
      <c r="W871" s="217"/>
      <c r="X871" s="217"/>
      <c r="Y871" s="217"/>
      <c r="Z871" s="217"/>
    </row>
    <row r="872" ht="15.75" customHeight="1">
      <c r="A872" s="217"/>
      <c r="B872" s="217"/>
      <c r="C872" s="217"/>
      <c r="D872" s="217"/>
      <c r="E872" s="217"/>
      <c r="F872" s="217"/>
      <c r="G872" s="217"/>
      <c r="H872" s="217"/>
      <c r="I872" s="217"/>
      <c r="J872" s="217"/>
      <c r="K872" s="217"/>
      <c r="L872" s="217"/>
      <c r="M872" s="217"/>
      <c r="N872" s="217"/>
      <c r="O872" s="217"/>
      <c r="P872" s="217"/>
      <c r="Q872" s="217"/>
      <c r="R872" s="217"/>
      <c r="S872" s="217"/>
      <c r="T872" s="217"/>
      <c r="U872" s="217"/>
      <c r="V872" s="217"/>
      <c r="W872" s="217"/>
      <c r="X872" s="217"/>
      <c r="Y872" s="217"/>
      <c r="Z872" s="217"/>
    </row>
    <row r="873" ht="15.75" customHeight="1">
      <c r="A873" s="217"/>
      <c r="B873" s="217"/>
      <c r="C873" s="217"/>
      <c r="D873" s="217"/>
      <c r="E873" s="217"/>
      <c r="F873" s="217"/>
      <c r="G873" s="217"/>
      <c r="H873" s="217"/>
      <c r="I873" s="217"/>
      <c r="J873" s="217"/>
      <c r="K873" s="217"/>
      <c r="L873" s="217"/>
      <c r="M873" s="217"/>
      <c r="N873" s="217"/>
      <c r="O873" s="217"/>
      <c r="P873" s="217"/>
      <c r="Q873" s="217"/>
      <c r="R873" s="217"/>
      <c r="S873" s="217"/>
      <c r="T873" s="217"/>
      <c r="U873" s="217"/>
      <c r="V873" s="217"/>
      <c r="W873" s="217"/>
      <c r="X873" s="217"/>
      <c r="Y873" s="217"/>
      <c r="Z873" s="217"/>
    </row>
    <row r="874" ht="15.75" customHeight="1">
      <c r="A874" s="217"/>
      <c r="B874" s="217"/>
      <c r="C874" s="217"/>
      <c r="D874" s="217"/>
      <c r="E874" s="217"/>
      <c r="F874" s="217"/>
      <c r="G874" s="217"/>
      <c r="H874" s="217"/>
      <c r="I874" s="217"/>
      <c r="J874" s="217"/>
      <c r="K874" s="217"/>
      <c r="L874" s="217"/>
      <c r="M874" s="217"/>
      <c r="N874" s="217"/>
      <c r="O874" s="217"/>
      <c r="P874" s="217"/>
      <c r="Q874" s="217"/>
      <c r="R874" s="217"/>
      <c r="S874" s="217"/>
      <c r="T874" s="217"/>
      <c r="U874" s="217"/>
      <c r="V874" s="217"/>
      <c r="W874" s="217"/>
      <c r="X874" s="217"/>
      <c r="Y874" s="217"/>
      <c r="Z874" s="217"/>
    </row>
    <row r="875" ht="15.75" customHeight="1">
      <c r="A875" s="217"/>
      <c r="B875" s="217"/>
      <c r="C875" s="217"/>
      <c r="D875" s="217"/>
      <c r="E875" s="217"/>
      <c r="F875" s="217"/>
      <c r="G875" s="217"/>
      <c r="H875" s="217"/>
      <c r="I875" s="217"/>
      <c r="J875" s="217"/>
      <c r="K875" s="217"/>
      <c r="L875" s="217"/>
      <c r="M875" s="217"/>
      <c r="N875" s="217"/>
      <c r="O875" s="217"/>
      <c r="P875" s="217"/>
      <c r="Q875" s="217"/>
      <c r="R875" s="217"/>
      <c r="S875" s="217"/>
      <c r="T875" s="217"/>
      <c r="U875" s="217"/>
      <c r="V875" s="217"/>
      <c r="W875" s="217"/>
      <c r="X875" s="217"/>
      <c r="Y875" s="217"/>
      <c r="Z875" s="217"/>
    </row>
    <row r="876" ht="15.75" customHeight="1">
      <c r="A876" s="217"/>
      <c r="B876" s="217"/>
      <c r="C876" s="217"/>
      <c r="D876" s="217"/>
      <c r="E876" s="217"/>
      <c r="F876" s="217"/>
      <c r="G876" s="217"/>
      <c r="H876" s="217"/>
      <c r="I876" s="217"/>
      <c r="J876" s="217"/>
      <c r="K876" s="217"/>
      <c r="L876" s="217"/>
      <c r="M876" s="217"/>
      <c r="N876" s="217"/>
      <c r="O876" s="217"/>
      <c r="P876" s="217"/>
      <c r="Q876" s="217"/>
      <c r="R876" s="217"/>
      <c r="S876" s="217"/>
      <c r="T876" s="217"/>
      <c r="U876" s="217"/>
      <c r="V876" s="217"/>
      <c r="W876" s="217"/>
      <c r="X876" s="217"/>
      <c r="Y876" s="217"/>
      <c r="Z876" s="217"/>
    </row>
    <row r="877" ht="15.75" customHeight="1">
      <c r="A877" s="217"/>
      <c r="B877" s="217"/>
      <c r="C877" s="217"/>
      <c r="D877" s="217"/>
      <c r="E877" s="217"/>
      <c r="F877" s="217"/>
      <c r="G877" s="217"/>
      <c r="H877" s="217"/>
      <c r="I877" s="217"/>
      <c r="J877" s="217"/>
      <c r="K877" s="217"/>
      <c r="L877" s="217"/>
      <c r="M877" s="217"/>
      <c r="N877" s="217"/>
      <c r="O877" s="217"/>
      <c r="P877" s="217"/>
      <c r="Q877" s="217"/>
      <c r="R877" s="217"/>
      <c r="S877" s="217"/>
      <c r="T877" s="217"/>
      <c r="U877" s="217"/>
      <c r="V877" s="217"/>
      <c r="W877" s="217"/>
      <c r="X877" s="217"/>
      <c r="Y877" s="217"/>
      <c r="Z877" s="217"/>
    </row>
    <row r="878" ht="15.75" customHeight="1">
      <c r="A878" s="217"/>
      <c r="B878" s="217"/>
      <c r="C878" s="217"/>
      <c r="D878" s="217"/>
      <c r="E878" s="217"/>
      <c r="F878" s="217"/>
      <c r="G878" s="217"/>
      <c r="H878" s="217"/>
      <c r="I878" s="217"/>
      <c r="J878" s="217"/>
      <c r="K878" s="217"/>
      <c r="L878" s="217"/>
      <c r="M878" s="217"/>
      <c r="N878" s="217"/>
      <c r="O878" s="217"/>
      <c r="P878" s="217"/>
      <c r="Q878" s="217"/>
      <c r="R878" s="217"/>
      <c r="S878" s="217"/>
      <c r="T878" s="217"/>
      <c r="U878" s="217"/>
      <c r="V878" s="217"/>
      <c r="W878" s="217"/>
      <c r="X878" s="217"/>
      <c r="Y878" s="217"/>
      <c r="Z878" s="217"/>
    </row>
    <row r="879" ht="15.75" customHeight="1">
      <c r="A879" s="217"/>
      <c r="B879" s="217"/>
      <c r="C879" s="217"/>
      <c r="D879" s="217"/>
      <c r="E879" s="217"/>
      <c r="F879" s="217"/>
      <c r="G879" s="217"/>
      <c r="H879" s="217"/>
      <c r="I879" s="217"/>
      <c r="J879" s="217"/>
      <c r="K879" s="217"/>
      <c r="L879" s="217"/>
      <c r="M879" s="217"/>
      <c r="N879" s="217"/>
      <c r="O879" s="217"/>
      <c r="P879" s="217"/>
      <c r="Q879" s="217"/>
      <c r="R879" s="217"/>
      <c r="S879" s="217"/>
      <c r="T879" s="217"/>
      <c r="U879" s="217"/>
      <c r="V879" s="217"/>
      <c r="W879" s="217"/>
      <c r="X879" s="217"/>
      <c r="Y879" s="217"/>
      <c r="Z879" s="217"/>
    </row>
    <row r="880" ht="15.75" customHeight="1">
      <c r="A880" s="217"/>
      <c r="B880" s="217"/>
      <c r="C880" s="217"/>
      <c r="D880" s="217"/>
      <c r="E880" s="217"/>
      <c r="F880" s="217"/>
      <c r="G880" s="217"/>
      <c r="H880" s="217"/>
      <c r="I880" s="217"/>
      <c r="J880" s="217"/>
      <c r="K880" s="217"/>
      <c r="L880" s="217"/>
      <c r="M880" s="217"/>
      <c r="N880" s="217"/>
      <c r="O880" s="217"/>
      <c r="P880" s="217"/>
      <c r="Q880" s="217"/>
      <c r="R880" s="217"/>
      <c r="S880" s="217"/>
      <c r="T880" s="217"/>
      <c r="U880" s="217"/>
      <c r="V880" s="217"/>
      <c r="W880" s="217"/>
      <c r="X880" s="217"/>
      <c r="Y880" s="217"/>
      <c r="Z880" s="217"/>
    </row>
    <row r="881" ht="15.75" customHeight="1">
      <c r="A881" s="217"/>
      <c r="B881" s="217"/>
      <c r="C881" s="217"/>
      <c r="D881" s="217"/>
      <c r="E881" s="217"/>
      <c r="F881" s="217"/>
      <c r="G881" s="217"/>
      <c r="H881" s="217"/>
      <c r="I881" s="217"/>
      <c r="J881" s="217"/>
      <c r="K881" s="217"/>
      <c r="L881" s="217"/>
      <c r="M881" s="217"/>
      <c r="N881" s="217"/>
      <c r="O881" s="217"/>
      <c r="P881" s="217"/>
      <c r="Q881" s="217"/>
      <c r="R881" s="217"/>
      <c r="S881" s="217"/>
      <c r="T881" s="217"/>
      <c r="U881" s="217"/>
      <c r="V881" s="217"/>
      <c r="W881" s="217"/>
      <c r="X881" s="217"/>
      <c r="Y881" s="217"/>
      <c r="Z881" s="217"/>
    </row>
    <row r="882" ht="15.75" customHeight="1">
      <c r="A882" s="217"/>
      <c r="B882" s="217"/>
      <c r="C882" s="217"/>
      <c r="D882" s="217"/>
      <c r="E882" s="217"/>
      <c r="F882" s="217"/>
      <c r="G882" s="217"/>
      <c r="H882" s="217"/>
      <c r="I882" s="217"/>
      <c r="J882" s="217"/>
      <c r="K882" s="217"/>
      <c r="L882" s="217"/>
      <c r="M882" s="217"/>
      <c r="N882" s="217"/>
      <c r="O882" s="217"/>
      <c r="P882" s="217"/>
      <c r="Q882" s="217"/>
      <c r="R882" s="217"/>
      <c r="S882" s="217"/>
      <c r="T882" s="217"/>
      <c r="U882" s="217"/>
      <c r="V882" s="217"/>
      <c r="W882" s="217"/>
      <c r="X882" s="217"/>
      <c r="Y882" s="217"/>
      <c r="Z882" s="217"/>
    </row>
    <row r="883" ht="15.75" customHeight="1">
      <c r="A883" s="217"/>
      <c r="B883" s="217"/>
      <c r="C883" s="217"/>
      <c r="D883" s="217"/>
      <c r="E883" s="217"/>
      <c r="F883" s="217"/>
      <c r="G883" s="217"/>
      <c r="H883" s="217"/>
      <c r="I883" s="217"/>
      <c r="J883" s="217"/>
      <c r="K883" s="217"/>
      <c r="L883" s="217"/>
      <c r="M883" s="217"/>
      <c r="N883" s="217"/>
      <c r="O883" s="217"/>
      <c r="P883" s="217"/>
      <c r="Q883" s="217"/>
      <c r="R883" s="217"/>
      <c r="S883" s="217"/>
      <c r="T883" s="217"/>
      <c r="U883" s="217"/>
      <c r="V883" s="217"/>
      <c r="W883" s="217"/>
      <c r="X883" s="217"/>
      <c r="Y883" s="217"/>
      <c r="Z883" s="217"/>
    </row>
    <row r="884" ht="15.75" customHeight="1">
      <c r="A884" s="217"/>
      <c r="B884" s="217"/>
      <c r="C884" s="217"/>
      <c r="D884" s="217"/>
      <c r="E884" s="217"/>
      <c r="F884" s="217"/>
      <c r="G884" s="217"/>
      <c r="H884" s="217"/>
      <c r="I884" s="217"/>
      <c r="J884" s="217"/>
      <c r="K884" s="217"/>
      <c r="L884" s="217"/>
      <c r="M884" s="217"/>
      <c r="N884" s="217"/>
      <c r="O884" s="217"/>
      <c r="P884" s="217"/>
      <c r="Q884" s="217"/>
      <c r="R884" s="217"/>
      <c r="S884" s="217"/>
      <c r="T884" s="217"/>
      <c r="U884" s="217"/>
      <c r="V884" s="217"/>
      <c r="W884" s="217"/>
      <c r="X884" s="217"/>
      <c r="Y884" s="217"/>
      <c r="Z884" s="217"/>
    </row>
    <row r="885" ht="15.75" customHeight="1">
      <c r="A885" s="217"/>
      <c r="B885" s="217"/>
      <c r="C885" s="217"/>
      <c r="D885" s="217"/>
      <c r="E885" s="217"/>
      <c r="F885" s="217"/>
      <c r="G885" s="217"/>
      <c r="H885" s="217"/>
      <c r="I885" s="217"/>
      <c r="J885" s="217"/>
      <c r="K885" s="217"/>
      <c r="L885" s="217"/>
      <c r="M885" s="217"/>
      <c r="N885" s="217"/>
      <c r="O885" s="217"/>
      <c r="P885" s="217"/>
      <c r="Q885" s="217"/>
      <c r="R885" s="217"/>
      <c r="S885" s="217"/>
      <c r="T885" s="217"/>
      <c r="U885" s="217"/>
      <c r="V885" s="217"/>
      <c r="W885" s="217"/>
      <c r="X885" s="217"/>
      <c r="Y885" s="217"/>
      <c r="Z885" s="217"/>
    </row>
    <row r="886" ht="15.75" customHeight="1">
      <c r="A886" s="217"/>
      <c r="B886" s="217"/>
      <c r="C886" s="217"/>
      <c r="D886" s="217"/>
      <c r="E886" s="217"/>
      <c r="F886" s="217"/>
      <c r="G886" s="217"/>
      <c r="H886" s="217"/>
      <c r="I886" s="217"/>
      <c r="J886" s="217"/>
      <c r="K886" s="217"/>
      <c r="L886" s="217"/>
      <c r="M886" s="217"/>
      <c r="N886" s="217"/>
      <c r="O886" s="217"/>
      <c r="P886" s="217"/>
      <c r="Q886" s="217"/>
      <c r="R886" s="217"/>
      <c r="S886" s="217"/>
      <c r="T886" s="217"/>
      <c r="U886" s="217"/>
      <c r="V886" s="217"/>
      <c r="W886" s="217"/>
      <c r="X886" s="217"/>
      <c r="Y886" s="217"/>
      <c r="Z886" s="217"/>
    </row>
    <row r="887" ht="15.75" customHeight="1">
      <c r="A887" s="217"/>
      <c r="B887" s="217"/>
      <c r="C887" s="217"/>
      <c r="D887" s="217"/>
      <c r="E887" s="217"/>
      <c r="F887" s="217"/>
      <c r="G887" s="217"/>
      <c r="H887" s="217"/>
      <c r="I887" s="217"/>
      <c r="J887" s="217"/>
      <c r="K887" s="217"/>
      <c r="L887" s="217"/>
      <c r="M887" s="217"/>
      <c r="N887" s="217"/>
      <c r="O887" s="217"/>
      <c r="P887" s="217"/>
      <c r="Q887" s="217"/>
      <c r="R887" s="217"/>
      <c r="S887" s="217"/>
      <c r="T887" s="217"/>
      <c r="U887" s="217"/>
      <c r="V887" s="217"/>
      <c r="W887" s="217"/>
      <c r="X887" s="217"/>
      <c r="Y887" s="217"/>
      <c r="Z887" s="217"/>
    </row>
    <row r="888" ht="15.75" customHeight="1">
      <c r="A888" s="217"/>
      <c r="B888" s="217"/>
      <c r="C888" s="217"/>
      <c r="D888" s="217"/>
      <c r="E888" s="217"/>
      <c r="F888" s="217"/>
      <c r="G888" s="217"/>
      <c r="H888" s="217"/>
      <c r="I888" s="217"/>
      <c r="J888" s="217"/>
      <c r="K888" s="217"/>
      <c r="L888" s="217"/>
      <c r="M888" s="217"/>
      <c r="N888" s="217"/>
      <c r="O888" s="217"/>
      <c r="P888" s="217"/>
      <c r="Q888" s="217"/>
      <c r="R888" s="217"/>
      <c r="S888" s="217"/>
      <c r="T888" s="217"/>
      <c r="U888" s="217"/>
      <c r="V888" s="217"/>
      <c r="W888" s="217"/>
      <c r="X888" s="217"/>
      <c r="Y888" s="217"/>
      <c r="Z888" s="217"/>
    </row>
    <row r="889" ht="15.75" customHeight="1">
      <c r="A889" s="217"/>
      <c r="B889" s="217"/>
      <c r="C889" s="217"/>
      <c r="D889" s="217"/>
      <c r="E889" s="217"/>
      <c r="F889" s="217"/>
      <c r="G889" s="217"/>
      <c r="H889" s="217"/>
      <c r="I889" s="217"/>
      <c r="J889" s="217"/>
      <c r="K889" s="217"/>
      <c r="L889" s="217"/>
      <c r="M889" s="217"/>
      <c r="N889" s="217"/>
      <c r="O889" s="217"/>
      <c r="P889" s="217"/>
      <c r="Q889" s="217"/>
      <c r="R889" s="217"/>
      <c r="S889" s="217"/>
      <c r="T889" s="217"/>
      <c r="U889" s="217"/>
      <c r="V889" s="217"/>
      <c r="W889" s="217"/>
      <c r="X889" s="217"/>
      <c r="Y889" s="217"/>
      <c r="Z889" s="217"/>
    </row>
    <row r="890" ht="15.75" customHeight="1">
      <c r="A890" s="217"/>
      <c r="B890" s="217"/>
      <c r="C890" s="217"/>
      <c r="D890" s="217"/>
      <c r="E890" s="217"/>
      <c r="F890" s="217"/>
      <c r="G890" s="217"/>
      <c r="H890" s="217"/>
      <c r="I890" s="217"/>
      <c r="J890" s="217"/>
      <c r="K890" s="217"/>
      <c r="L890" s="217"/>
      <c r="M890" s="217"/>
      <c r="N890" s="217"/>
      <c r="O890" s="217"/>
      <c r="P890" s="217"/>
      <c r="Q890" s="217"/>
      <c r="R890" s="217"/>
      <c r="S890" s="217"/>
      <c r="T890" s="217"/>
      <c r="U890" s="217"/>
      <c r="V890" s="217"/>
      <c r="W890" s="217"/>
      <c r="X890" s="217"/>
      <c r="Y890" s="217"/>
      <c r="Z890" s="217"/>
    </row>
    <row r="891" ht="15.75" customHeight="1">
      <c r="A891" s="217"/>
      <c r="B891" s="217"/>
      <c r="C891" s="217"/>
      <c r="D891" s="217"/>
      <c r="E891" s="217"/>
      <c r="F891" s="217"/>
      <c r="G891" s="217"/>
      <c r="H891" s="217"/>
      <c r="I891" s="217"/>
      <c r="J891" s="217"/>
      <c r="K891" s="217"/>
      <c r="L891" s="217"/>
      <c r="M891" s="217"/>
      <c r="N891" s="217"/>
      <c r="O891" s="217"/>
      <c r="P891" s="217"/>
      <c r="Q891" s="217"/>
      <c r="R891" s="217"/>
      <c r="S891" s="217"/>
      <c r="T891" s="217"/>
      <c r="U891" s="217"/>
      <c r="V891" s="217"/>
      <c r="W891" s="217"/>
      <c r="X891" s="217"/>
      <c r="Y891" s="217"/>
      <c r="Z891" s="217"/>
    </row>
    <row r="892" ht="15.75" customHeight="1">
      <c r="A892" s="217"/>
      <c r="B892" s="217"/>
      <c r="C892" s="217"/>
      <c r="D892" s="217"/>
      <c r="E892" s="217"/>
      <c r="F892" s="217"/>
      <c r="G892" s="217"/>
      <c r="H892" s="217"/>
      <c r="I892" s="217"/>
      <c r="J892" s="217"/>
      <c r="K892" s="217"/>
      <c r="L892" s="217"/>
      <c r="M892" s="217"/>
      <c r="N892" s="217"/>
      <c r="O892" s="217"/>
      <c r="P892" s="217"/>
      <c r="Q892" s="217"/>
      <c r="R892" s="217"/>
      <c r="S892" s="217"/>
      <c r="T892" s="217"/>
      <c r="U892" s="217"/>
      <c r="V892" s="217"/>
      <c r="W892" s="217"/>
      <c r="X892" s="217"/>
      <c r="Y892" s="217"/>
      <c r="Z892" s="217"/>
    </row>
    <row r="893" ht="15.75" customHeight="1">
      <c r="A893" s="217"/>
      <c r="B893" s="217"/>
      <c r="C893" s="217"/>
      <c r="D893" s="217"/>
      <c r="E893" s="217"/>
      <c r="F893" s="217"/>
      <c r="G893" s="217"/>
      <c r="H893" s="217"/>
      <c r="I893" s="217"/>
      <c r="J893" s="217"/>
      <c r="K893" s="217"/>
      <c r="L893" s="217"/>
      <c r="M893" s="217"/>
      <c r="N893" s="217"/>
      <c r="O893" s="217"/>
      <c r="P893" s="217"/>
      <c r="Q893" s="217"/>
      <c r="R893" s="217"/>
      <c r="S893" s="217"/>
      <c r="T893" s="217"/>
      <c r="U893" s="217"/>
      <c r="V893" s="217"/>
      <c r="W893" s="217"/>
      <c r="X893" s="217"/>
      <c r="Y893" s="217"/>
      <c r="Z893" s="217"/>
    </row>
    <row r="894" ht="15.75" customHeight="1">
      <c r="A894" s="217"/>
      <c r="B894" s="217"/>
      <c r="C894" s="217"/>
      <c r="D894" s="217"/>
      <c r="E894" s="217"/>
      <c r="F894" s="217"/>
      <c r="G894" s="217"/>
      <c r="H894" s="217"/>
      <c r="I894" s="217"/>
      <c r="J894" s="217"/>
      <c r="K894" s="217"/>
      <c r="L894" s="217"/>
      <c r="M894" s="217"/>
      <c r="N894" s="217"/>
      <c r="O894" s="217"/>
      <c r="P894" s="217"/>
      <c r="Q894" s="217"/>
      <c r="R894" s="217"/>
      <c r="S894" s="217"/>
      <c r="T894" s="217"/>
      <c r="U894" s="217"/>
      <c r="V894" s="217"/>
      <c r="W894" s="217"/>
      <c r="X894" s="217"/>
      <c r="Y894" s="217"/>
      <c r="Z894" s="217"/>
    </row>
    <row r="895" ht="15.75" customHeight="1">
      <c r="A895" s="217"/>
      <c r="B895" s="217"/>
      <c r="C895" s="217"/>
      <c r="D895" s="217"/>
      <c r="E895" s="217"/>
      <c r="F895" s="217"/>
      <c r="G895" s="217"/>
      <c r="H895" s="217"/>
      <c r="I895" s="217"/>
      <c r="J895" s="217"/>
      <c r="K895" s="217"/>
      <c r="L895" s="217"/>
      <c r="M895" s="217"/>
      <c r="N895" s="217"/>
      <c r="O895" s="217"/>
      <c r="P895" s="217"/>
      <c r="Q895" s="217"/>
      <c r="R895" s="217"/>
      <c r="S895" s="217"/>
      <c r="T895" s="217"/>
      <c r="U895" s="217"/>
      <c r="V895" s="217"/>
      <c r="W895" s="217"/>
      <c r="X895" s="217"/>
      <c r="Y895" s="217"/>
      <c r="Z895" s="217"/>
    </row>
    <row r="896" ht="15.75" customHeight="1">
      <c r="A896" s="217"/>
      <c r="B896" s="217"/>
      <c r="C896" s="217"/>
      <c r="D896" s="217"/>
      <c r="E896" s="217"/>
      <c r="F896" s="217"/>
      <c r="G896" s="217"/>
      <c r="H896" s="217"/>
      <c r="I896" s="217"/>
      <c r="J896" s="217"/>
      <c r="K896" s="217"/>
      <c r="L896" s="217"/>
      <c r="M896" s="217"/>
      <c r="N896" s="217"/>
      <c r="O896" s="217"/>
      <c r="P896" s="217"/>
      <c r="Q896" s="217"/>
      <c r="R896" s="217"/>
      <c r="S896" s="217"/>
      <c r="T896" s="217"/>
      <c r="U896" s="217"/>
      <c r="V896" s="217"/>
      <c r="W896" s="217"/>
      <c r="X896" s="217"/>
      <c r="Y896" s="217"/>
      <c r="Z896" s="217"/>
    </row>
    <row r="897" ht="15.75" customHeight="1">
      <c r="A897" s="217"/>
      <c r="B897" s="217"/>
      <c r="C897" s="217"/>
      <c r="D897" s="217"/>
      <c r="E897" s="217"/>
      <c r="F897" s="217"/>
      <c r="G897" s="217"/>
      <c r="H897" s="217"/>
      <c r="I897" s="217"/>
      <c r="J897" s="217"/>
      <c r="K897" s="217"/>
      <c r="L897" s="217"/>
      <c r="M897" s="217"/>
      <c r="N897" s="217"/>
      <c r="O897" s="217"/>
      <c r="P897" s="217"/>
      <c r="Q897" s="217"/>
      <c r="R897" s="217"/>
      <c r="S897" s="217"/>
      <c r="T897" s="217"/>
      <c r="U897" s="217"/>
      <c r="V897" s="217"/>
      <c r="W897" s="217"/>
      <c r="X897" s="217"/>
      <c r="Y897" s="217"/>
      <c r="Z897" s="217"/>
    </row>
    <row r="898" ht="15.75" customHeight="1">
      <c r="A898" s="217"/>
      <c r="B898" s="217"/>
      <c r="C898" s="217"/>
      <c r="D898" s="217"/>
      <c r="E898" s="217"/>
      <c r="F898" s="217"/>
      <c r="G898" s="217"/>
      <c r="H898" s="217"/>
      <c r="I898" s="217"/>
      <c r="J898" s="217"/>
      <c r="K898" s="217"/>
      <c r="L898" s="217"/>
      <c r="M898" s="217"/>
      <c r="N898" s="217"/>
      <c r="O898" s="217"/>
      <c r="P898" s="217"/>
      <c r="Q898" s="217"/>
      <c r="R898" s="217"/>
      <c r="S898" s="217"/>
      <c r="T898" s="217"/>
      <c r="U898" s="217"/>
      <c r="V898" s="217"/>
      <c r="W898" s="217"/>
      <c r="X898" s="217"/>
      <c r="Y898" s="217"/>
      <c r="Z898" s="217"/>
    </row>
    <row r="899" ht="15.75" customHeight="1">
      <c r="A899" s="217"/>
      <c r="B899" s="217"/>
      <c r="C899" s="217"/>
      <c r="D899" s="217"/>
      <c r="E899" s="217"/>
      <c r="F899" s="217"/>
      <c r="G899" s="217"/>
      <c r="H899" s="217"/>
      <c r="I899" s="217"/>
      <c r="J899" s="217"/>
      <c r="K899" s="217"/>
      <c r="L899" s="217"/>
      <c r="M899" s="217"/>
      <c r="N899" s="217"/>
      <c r="O899" s="217"/>
      <c r="P899" s="217"/>
      <c r="Q899" s="217"/>
      <c r="R899" s="217"/>
      <c r="S899" s="217"/>
      <c r="T899" s="217"/>
      <c r="U899" s="217"/>
      <c r="V899" s="217"/>
      <c r="W899" s="217"/>
      <c r="X899" s="217"/>
      <c r="Y899" s="217"/>
      <c r="Z899" s="217"/>
    </row>
    <row r="900" ht="15.75" customHeight="1">
      <c r="A900" s="217"/>
      <c r="B900" s="217"/>
      <c r="C900" s="217"/>
      <c r="D900" s="217"/>
      <c r="E900" s="217"/>
      <c r="F900" s="217"/>
      <c r="G900" s="217"/>
      <c r="H900" s="217"/>
      <c r="I900" s="217"/>
      <c r="J900" s="217"/>
      <c r="K900" s="217"/>
      <c r="L900" s="217"/>
      <c r="M900" s="217"/>
      <c r="N900" s="217"/>
      <c r="O900" s="217"/>
      <c r="P900" s="217"/>
      <c r="Q900" s="217"/>
      <c r="R900" s="217"/>
      <c r="S900" s="217"/>
      <c r="T900" s="217"/>
      <c r="U900" s="217"/>
      <c r="V900" s="217"/>
      <c r="W900" s="217"/>
      <c r="X900" s="217"/>
      <c r="Y900" s="217"/>
      <c r="Z900" s="217"/>
    </row>
    <row r="901" ht="15.75" customHeight="1">
      <c r="A901" s="217"/>
      <c r="B901" s="217"/>
      <c r="C901" s="217"/>
      <c r="D901" s="217"/>
      <c r="E901" s="217"/>
      <c r="F901" s="217"/>
      <c r="G901" s="217"/>
      <c r="H901" s="217"/>
      <c r="I901" s="217"/>
      <c r="J901" s="217"/>
      <c r="K901" s="217"/>
      <c r="L901" s="217"/>
      <c r="M901" s="217"/>
      <c r="N901" s="217"/>
      <c r="O901" s="217"/>
      <c r="P901" s="217"/>
      <c r="Q901" s="217"/>
      <c r="R901" s="217"/>
      <c r="S901" s="217"/>
      <c r="T901" s="217"/>
      <c r="U901" s="217"/>
      <c r="V901" s="217"/>
      <c r="W901" s="217"/>
      <c r="X901" s="217"/>
      <c r="Y901" s="217"/>
      <c r="Z901" s="217"/>
    </row>
    <row r="902" ht="15.75" customHeight="1">
      <c r="A902" s="217"/>
      <c r="B902" s="217"/>
      <c r="C902" s="217"/>
      <c r="D902" s="217"/>
      <c r="E902" s="217"/>
      <c r="F902" s="217"/>
      <c r="G902" s="217"/>
      <c r="H902" s="217"/>
      <c r="I902" s="217"/>
      <c r="J902" s="217"/>
      <c r="K902" s="217"/>
      <c r="L902" s="217"/>
      <c r="M902" s="217"/>
      <c r="N902" s="217"/>
      <c r="O902" s="217"/>
      <c r="P902" s="217"/>
      <c r="Q902" s="217"/>
      <c r="R902" s="217"/>
      <c r="S902" s="217"/>
      <c r="T902" s="217"/>
      <c r="U902" s="217"/>
      <c r="V902" s="217"/>
      <c r="W902" s="217"/>
      <c r="X902" s="217"/>
      <c r="Y902" s="217"/>
      <c r="Z902" s="217"/>
    </row>
    <row r="903" ht="15.75" customHeight="1">
      <c r="A903" s="217"/>
      <c r="B903" s="217"/>
      <c r="C903" s="217"/>
      <c r="D903" s="217"/>
      <c r="E903" s="217"/>
      <c r="F903" s="217"/>
      <c r="G903" s="217"/>
      <c r="H903" s="217"/>
      <c r="I903" s="217"/>
      <c r="J903" s="217"/>
      <c r="K903" s="217"/>
      <c r="L903" s="217"/>
      <c r="M903" s="217"/>
      <c r="N903" s="217"/>
      <c r="O903" s="217"/>
      <c r="P903" s="217"/>
      <c r="Q903" s="217"/>
      <c r="R903" s="217"/>
      <c r="S903" s="217"/>
      <c r="T903" s="217"/>
      <c r="U903" s="217"/>
      <c r="V903" s="217"/>
      <c r="W903" s="217"/>
      <c r="X903" s="217"/>
      <c r="Y903" s="217"/>
      <c r="Z903" s="217"/>
    </row>
    <row r="904" ht="15.75" customHeight="1">
      <c r="A904" s="217"/>
      <c r="B904" s="217"/>
      <c r="C904" s="217"/>
      <c r="D904" s="217"/>
      <c r="E904" s="217"/>
      <c r="F904" s="217"/>
      <c r="G904" s="217"/>
      <c r="H904" s="217"/>
      <c r="I904" s="217"/>
      <c r="J904" s="217"/>
      <c r="K904" s="217"/>
      <c r="L904" s="217"/>
      <c r="M904" s="217"/>
      <c r="N904" s="217"/>
      <c r="O904" s="217"/>
      <c r="P904" s="217"/>
      <c r="Q904" s="217"/>
      <c r="R904" s="217"/>
      <c r="S904" s="217"/>
      <c r="T904" s="217"/>
      <c r="U904" s="217"/>
      <c r="V904" s="217"/>
      <c r="W904" s="217"/>
      <c r="X904" s="217"/>
      <c r="Y904" s="217"/>
      <c r="Z904" s="217"/>
    </row>
    <row r="905" ht="15.75" customHeight="1">
      <c r="A905" s="217"/>
      <c r="B905" s="217"/>
      <c r="C905" s="217"/>
      <c r="D905" s="217"/>
      <c r="E905" s="217"/>
      <c r="F905" s="217"/>
      <c r="G905" s="217"/>
      <c r="H905" s="217"/>
      <c r="I905" s="217"/>
      <c r="J905" s="217"/>
      <c r="K905" s="217"/>
      <c r="L905" s="217"/>
      <c r="M905" s="217"/>
      <c r="N905" s="217"/>
      <c r="O905" s="217"/>
      <c r="P905" s="217"/>
      <c r="Q905" s="217"/>
      <c r="R905" s="217"/>
      <c r="S905" s="217"/>
      <c r="T905" s="217"/>
      <c r="U905" s="217"/>
      <c r="V905" s="217"/>
      <c r="W905" s="217"/>
      <c r="X905" s="217"/>
      <c r="Y905" s="217"/>
      <c r="Z905" s="217"/>
    </row>
    <row r="906" ht="15.75" customHeight="1">
      <c r="A906" s="217"/>
      <c r="B906" s="217"/>
      <c r="C906" s="217"/>
      <c r="D906" s="217"/>
      <c r="E906" s="217"/>
      <c r="F906" s="217"/>
      <c r="G906" s="217"/>
      <c r="H906" s="217"/>
      <c r="I906" s="217"/>
      <c r="J906" s="217"/>
      <c r="K906" s="217"/>
      <c r="L906" s="217"/>
      <c r="M906" s="217"/>
      <c r="N906" s="217"/>
      <c r="O906" s="217"/>
      <c r="P906" s="217"/>
      <c r="Q906" s="217"/>
      <c r="R906" s="217"/>
      <c r="S906" s="217"/>
      <c r="T906" s="217"/>
      <c r="U906" s="217"/>
      <c r="V906" s="217"/>
      <c r="W906" s="217"/>
      <c r="X906" s="217"/>
      <c r="Y906" s="217"/>
      <c r="Z906" s="217"/>
    </row>
    <row r="907" ht="15.75" customHeight="1">
      <c r="A907" s="217"/>
      <c r="B907" s="217"/>
      <c r="C907" s="217"/>
      <c r="D907" s="217"/>
      <c r="E907" s="217"/>
      <c r="F907" s="217"/>
      <c r="G907" s="217"/>
      <c r="H907" s="217"/>
      <c r="I907" s="217"/>
      <c r="J907" s="217"/>
      <c r="K907" s="217"/>
      <c r="L907" s="217"/>
      <c r="M907" s="217"/>
      <c r="N907" s="217"/>
      <c r="O907" s="217"/>
      <c r="P907" s="217"/>
      <c r="Q907" s="217"/>
      <c r="R907" s="217"/>
      <c r="S907" s="217"/>
      <c r="T907" s="217"/>
      <c r="U907" s="217"/>
      <c r="V907" s="217"/>
      <c r="W907" s="217"/>
      <c r="X907" s="217"/>
      <c r="Y907" s="217"/>
      <c r="Z907" s="217"/>
    </row>
    <row r="908" ht="15.75" customHeight="1">
      <c r="A908" s="217"/>
      <c r="B908" s="217"/>
      <c r="C908" s="217"/>
      <c r="D908" s="217"/>
      <c r="E908" s="217"/>
      <c r="F908" s="217"/>
      <c r="G908" s="217"/>
      <c r="H908" s="217"/>
      <c r="I908" s="217"/>
      <c r="J908" s="217"/>
      <c r="K908" s="217"/>
      <c r="L908" s="217"/>
      <c r="M908" s="217"/>
      <c r="N908" s="217"/>
      <c r="O908" s="217"/>
      <c r="P908" s="217"/>
      <c r="Q908" s="217"/>
      <c r="R908" s="217"/>
      <c r="S908" s="217"/>
      <c r="T908" s="217"/>
      <c r="U908" s="217"/>
      <c r="V908" s="217"/>
      <c r="W908" s="217"/>
      <c r="X908" s="217"/>
      <c r="Y908" s="217"/>
      <c r="Z908" s="217"/>
    </row>
    <row r="909" ht="15.75" customHeight="1">
      <c r="A909" s="217"/>
      <c r="B909" s="217"/>
      <c r="C909" s="217"/>
      <c r="D909" s="217"/>
      <c r="E909" s="217"/>
      <c r="F909" s="217"/>
      <c r="G909" s="217"/>
      <c r="H909" s="217"/>
      <c r="I909" s="217"/>
      <c r="J909" s="217"/>
      <c r="K909" s="217"/>
      <c r="L909" s="217"/>
      <c r="M909" s="217"/>
      <c r="N909" s="217"/>
      <c r="O909" s="217"/>
      <c r="P909" s="217"/>
      <c r="Q909" s="217"/>
      <c r="R909" s="217"/>
      <c r="S909" s="217"/>
      <c r="T909" s="217"/>
      <c r="U909" s="217"/>
      <c r="V909" s="217"/>
      <c r="W909" s="217"/>
      <c r="X909" s="217"/>
      <c r="Y909" s="217"/>
      <c r="Z909" s="217"/>
    </row>
    <row r="910" ht="15.75" customHeight="1">
      <c r="A910" s="217"/>
      <c r="B910" s="217"/>
      <c r="C910" s="217"/>
      <c r="D910" s="217"/>
      <c r="E910" s="217"/>
      <c r="F910" s="217"/>
      <c r="G910" s="217"/>
      <c r="H910" s="217"/>
      <c r="I910" s="217"/>
      <c r="J910" s="217"/>
      <c r="K910" s="217"/>
      <c r="L910" s="217"/>
      <c r="M910" s="217"/>
      <c r="N910" s="217"/>
      <c r="O910" s="217"/>
      <c r="P910" s="217"/>
      <c r="Q910" s="217"/>
      <c r="R910" s="217"/>
      <c r="S910" s="217"/>
      <c r="T910" s="217"/>
      <c r="U910" s="217"/>
      <c r="V910" s="217"/>
      <c r="W910" s="217"/>
      <c r="X910" s="217"/>
      <c r="Y910" s="217"/>
      <c r="Z910" s="217"/>
    </row>
    <row r="911" ht="15.75" customHeight="1">
      <c r="A911" s="217"/>
      <c r="B911" s="217"/>
      <c r="C911" s="217"/>
      <c r="D911" s="217"/>
      <c r="E911" s="217"/>
      <c r="F911" s="217"/>
      <c r="G911" s="217"/>
      <c r="H911" s="217"/>
      <c r="I911" s="217"/>
      <c r="J911" s="217"/>
      <c r="K911" s="217"/>
      <c r="L911" s="217"/>
      <c r="M911" s="217"/>
      <c r="N911" s="217"/>
      <c r="O911" s="217"/>
      <c r="P911" s="217"/>
      <c r="Q911" s="217"/>
      <c r="R911" s="217"/>
      <c r="S911" s="217"/>
      <c r="T911" s="217"/>
      <c r="U911" s="217"/>
      <c r="V911" s="217"/>
      <c r="W911" s="217"/>
      <c r="X911" s="217"/>
      <c r="Y911" s="217"/>
      <c r="Z911" s="217"/>
    </row>
    <row r="912" ht="15.75" customHeight="1">
      <c r="A912" s="217"/>
      <c r="B912" s="217"/>
      <c r="C912" s="217"/>
      <c r="D912" s="217"/>
      <c r="E912" s="217"/>
      <c r="F912" s="217"/>
      <c r="G912" s="217"/>
      <c r="H912" s="217"/>
      <c r="I912" s="217"/>
      <c r="J912" s="217"/>
      <c r="K912" s="217"/>
      <c r="L912" s="217"/>
      <c r="M912" s="217"/>
      <c r="N912" s="217"/>
      <c r="O912" s="217"/>
      <c r="P912" s="217"/>
      <c r="Q912" s="217"/>
      <c r="R912" s="217"/>
      <c r="S912" s="217"/>
      <c r="T912" s="217"/>
      <c r="U912" s="217"/>
      <c r="V912" s="217"/>
      <c r="W912" s="217"/>
      <c r="X912" s="217"/>
      <c r="Y912" s="217"/>
      <c r="Z912" s="217"/>
    </row>
    <row r="913" ht="15.75" customHeight="1">
      <c r="A913" s="217"/>
      <c r="B913" s="217"/>
      <c r="C913" s="217"/>
      <c r="D913" s="217"/>
      <c r="E913" s="217"/>
      <c r="F913" s="217"/>
      <c r="G913" s="217"/>
      <c r="H913" s="217"/>
      <c r="I913" s="217"/>
      <c r="J913" s="217"/>
      <c r="K913" s="217"/>
      <c r="L913" s="217"/>
      <c r="M913" s="217"/>
      <c r="N913" s="217"/>
      <c r="O913" s="217"/>
      <c r="P913" s="217"/>
      <c r="Q913" s="217"/>
      <c r="R913" s="217"/>
      <c r="S913" s="217"/>
      <c r="T913" s="217"/>
      <c r="U913" s="217"/>
      <c r="V913" s="217"/>
      <c r="W913" s="217"/>
      <c r="X913" s="217"/>
      <c r="Y913" s="217"/>
      <c r="Z913" s="217"/>
    </row>
    <row r="914" ht="15.75" customHeight="1">
      <c r="A914" s="217"/>
      <c r="B914" s="217"/>
      <c r="C914" s="217"/>
      <c r="D914" s="217"/>
      <c r="E914" s="217"/>
      <c r="F914" s="217"/>
      <c r="G914" s="217"/>
      <c r="H914" s="217"/>
      <c r="I914" s="217"/>
      <c r="J914" s="217"/>
      <c r="K914" s="217"/>
      <c r="L914" s="217"/>
      <c r="M914" s="217"/>
      <c r="N914" s="217"/>
      <c r="O914" s="217"/>
      <c r="P914" s="217"/>
      <c r="Q914" s="217"/>
      <c r="R914" s="217"/>
      <c r="S914" s="217"/>
      <c r="T914" s="217"/>
      <c r="U914" s="217"/>
      <c r="V914" s="217"/>
      <c r="W914" s="217"/>
      <c r="X914" s="217"/>
      <c r="Y914" s="217"/>
      <c r="Z914" s="217"/>
    </row>
    <row r="915" ht="15.75" customHeight="1">
      <c r="A915" s="217"/>
      <c r="B915" s="217"/>
      <c r="C915" s="217"/>
      <c r="D915" s="217"/>
      <c r="E915" s="217"/>
      <c r="F915" s="217"/>
      <c r="G915" s="217"/>
      <c r="H915" s="217"/>
      <c r="I915" s="217"/>
      <c r="J915" s="217"/>
      <c r="K915" s="217"/>
      <c r="L915" s="217"/>
      <c r="M915" s="217"/>
      <c r="N915" s="217"/>
      <c r="O915" s="217"/>
      <c r="P915" s="217"/>
      <c r="Q915" s="217"/>
      <c r="R915" s="217"/>
      <c r="S915" s="217"/>
      <c r="T915" s="217"/>
      <c r="U915" s="217"/>
      <c r="V915" s="217"/>
      <c r="W915" s="217"/>
      <c r="X915" s="217"/>
      <c r="Y915" s="217"/>
      <c r="Z915" s="217"/>
    </row>
    <row r="916" ht="15.75" customHeight="1">
      <c r="A916" s="217"/>
      <c r="B916" s="217"/>
      <c r="C916" s="217"/>
      <c r="D916" s="217"/>
      <c r="E916" s="217"/>
      <c r="F916" s="217"/>
      <c r="G916" s="217"/>
      <c r="H916" s="217"/>
      <c r="I916" s="217"/>
      <c r="J916" s="217"/>
      <c r="K916" s="217"/>
      <c r="L916" s="217"/>
      <c r="M916" s="217"/>
      <c r="N916" s="217"/>
      <c r="O916" s="217"/>
      <c r="P916" s="217"/>
      <c r="Q916" s="217"/>
      <c r="R916" s="217"/>
      <c r="S916" s="217"/>
      <c r="T916" s="217"/>
      <c r="U916" s="217"/>
      <c r="V916" s="217"/>
      <c r="W916" s="217"/>
      <c r="X916" s="217"/>
      <c r="Y916" s="217"/>
      <c r="Z916" s="217"/>
    </row>
    <row r="917" ht="15.75" customHeight="1">
      <c r="A917" s="217"/>
      <c r="B917" s="217"/>
      <c r="C917" s="217"/>
      <c r="D917" s="217"/>
      <c r="E917" s="217"/>
      <c r="F917" s="217"/>
      <c r="G917" s="217"/>
      <c r="H917" s="217"/>
      <c r="I917" s="217"/>
      <c r="J917" s="217"/>
      <c r="K917" s="217"/>
      <c r="L917" s="217"/>
      <c r="M917" s="217"/>
      <c r="N917" s="217"/>
      <c r="O917" s="217"/>
      <c r="P917" s="217"/>
      <c r="Q917" s="217"/>
      <c r="R917" s="217"/>
      <c r="S917" s="217"/>
      <c r="T917" s="217"/>
      <c r="U917" s="217"/>
      <c r="V917" s="217"/>
      <c r="W917" s="217"/>
      <c r="X917" s="217"/>
      <c r="Y917" s="217"/>
      <c r="Z917" s="217"/>
    </row>
    <row r="918" ht="15.75" customHeight="1">
      <c r="A918" s="217"/>
      <c r="B918" s="217"/>
      <c r="C918" s="217"/>
      <c r="D918" s="217"/>
      <c r="E918" s="217"/>
      <c r="F918" s="217"/>
      <c r="G918" s="217"/>
      <c r="H918" s="217"/>
      <c r="I918" s="217"/>
      <c r="J918" s="217"/>
      <c r="K918" s="217"/>
      <c r="L918" s="217"/>
      <c r="M918" s="217"/>
      <c r="N918" s="217"/>
      <c r="O918" s="217"/>
      <c r="P918" s="217"/>
      <c r="Q918" s="217"/>
      <c r="R918" s="217"/>
      <c r="S918" s="217"/>
      <c r="T918" s="217"/>
      <c r="U918" s="217"/>
      <c r="V918" s="217"/>
      <c r="W918" s="217"/>
      <c r="X918" s="217"/>
      <c r="Y918" s="217"/>
      <c r="Z918" s="217"/>
    </row>
    <row r="919" ht="15.75" customHeight="1">
      <c r="A919" s="217"/>
      <c r="B919" s="217"/>
      <c r="C919" s="217"/>
      <c r="D919" s="217"/>
      <c r="E919" s="217"/>
      <c r="F919" s="217"/>
      <c r="G919" s="217"/>
      <c r="H919" s="217"/>
      <c r="I919" s="217"/>
      <c r="J919" s="217"/>
      <c r="K919" s="217"/>
      <c r="L919" s="217"/>
      <c r="M919" s="217"/>
      <c r="N919" s="217"/>
      <c r="O919" s="217"/>
      <c r="P919" s="217"/>
      <c r="Q919" s="217"/>
      <c r="R919" s="217"/>
      <c r="S919" s="217"/>
      <c r="T919" s="217"/>
      <c r="U919" s="217"/>
      <c r="V919" s="217"/>
      <c r="W919" s="217"/>
      <c r="X919" s="217"/>
      <c r="Y919" s="217"/>
      <c r="Z919" s="217"/>
    </row>
    <row r="920" ht="15.75" customHeight="1">
      <c r="A920" s="217"/>
      <c r="B920" s="217"/>
      <c r="C920" s="217"/>
      <c r="D920" s="217"/>
      <c r="E920" s="217"/>
      <c r="F920" s="217"/>
      <c r="G920" s="217"/>
      <c r="H920" s="217"/>
      <c r="I920" s="217"/>
      <c r="J920" s="217"/>
      <c r="K920" s="217"/>
      <c r="L920" s="217"/>
      <c r="M920" s="217"/>
      <c r="N920" s="217"/>
      <c r="O920" s="217"/>
      <c r="P920" s="217"/>
      <c r="Q920" s="217"/>
      <c r="R920" s="217"/>
      <c r="S920" s="217"/>
      <c r="T920" s="217"/>
      <c r="U920" s="217"/>
      <c r="V920" s="217"/>
      <c r="W920" s="217"/>
      <c r="X920" s="217"/>
      <c r="Y920" s="217"/>
      <c r="Z920" s="217"/>
    </row>
    <row r="921" ht="15.75" customHeight="1">
      <c r="A921" s="217"/>
      <c r="B921" s="217"/>
      <c r="C921" s="217"/>
      <c r="D921" s="217"/>
      <c r="E921" s="217"/>
      <c r="F921" s="217"/>
      <c r="G921" s="217"/>
      <c r="H921" s="217"/>
      <c r="I921" s="217"/>
      <c r="J921" s="217"/>
      <c r="K921" s="217"/>
      <c r="L921" s="217"/>
      <c r="M921" s="217"/>
      <c r="N921" s="217"/>
      <c r="O921" s="217"/>
      <c r="P921" s="217"/>
      <c r="Q921" s="217"/>
      <c r="R921" s="217"/>
      <c r="S921" s="217"/>
      <c r="T921" s="217"/>
      <c r="U921" s="217"/>
      <c r="V921" s="217"/>
      <c r="W921" s="217"/>
      <c r="X921" s="217"/>
      <c r="Y921" s="217"/>
      <c r="Z921" s="217"/>
    </row>
    <row r="922" ht="15.75" customHeight="1">
      <c r="A922" s="217"/>
      <c r="B922" s="217"/>
      <c r="C922" s="217"/>
      <c r="D922" s="217"/>
      <c r="E922" s="217"/>
      <c r="F922" s="217"/>
      <c r="G922" s="217"/>
      <c r="H922" s="217"/>
      <c r="I922" s="217"/>
      <c r="J922" s="217"/>
      <c r="K922" s="217"/>
      <c r="L922" s="217"/>
      <c r="M922" s="217"/>
      <c r="N922" s="217"/>
      <c r="O922" s="217"/>
      <c r="P922" s="217"/>
      <c r="Q922" s="217"/>
      <c r="R922" s="217"/>
      <c r="S922" s="217"/>
      <c r="T922" s="217"/>
      <c r="U922" s="217"/>
      <c r="V922" s="217"/>
      <c r="W922" s="217"/>
      <c r="X922" s="217"/>
      <c r="Y922" s="217"/>
      <c r="Z922" s="217"/>
    </row>
    <row r="923" ht="15.75" customHeight="1">
      <c r="A923" s="217"/>
      <c r="B923" s="217"/>
      <c r="C923" s="217"/>
      <c r="D923" s="217"/>
      <c r="E923" s="217"/>
      <c r="F923" s="217"/>
      <c r="G923" s="217"/>
      <c r="H923" s="217"/>
      <c r="I923" s="217"/>
      <c r="J923" s="217"/>
      <c r="K923" s="217"/>
      <c r="L923" s="217"/>
      <c r="M923" s="217"/>
      <c r="N923" s="217"/>
      <c r="O923" s="217"/>
      <c r="P923" s="217"/>
      <c r="Q923" s="217"/>
      <c r="R923" s="217"/>
      <c r="S923" s="217"/>
      <c r="T923" s="217"/>
      <c r="U923" s="217"/>
      <c r="V923" s="217"/>
      <c r="W923" s="217"/>
      <c r="X923" s="217"/>
      <c r="Y923" s="217"/>
      <c r="Z923" s="217"/>
    </row>
    <row r="924" ht="15.75" customHeight="1">
      <c r="A924" s="217"/>
      <c r="B924" s="217"/>
      <c r="C924" s="217"/>
      <c r="D924" s="217"/>
      <c r="E924" s="217"/>
      <c r="F924" s="217"/>
      <c r="G924" s="217"/>
      <c r="H924" s="217"/>
      <c r="I924" s="217"/>
      <c r="J924" s="217"/>
      <c r="K924" s="217"/>
      <c r="L924" s="217"/>
      <c r="M924" s="217"/>
      <c r="N924" s="217"/>
      <c r="O924" s="217"/>
      <c r="P924" s="217"/>
      <c r="Q924" s="217"/>
      <c r="R924" s="217"/>
      <c r="S924" s="217"/>
      <c r="T924" s="217"/>
      <c r="U924" s="217"/>
      <c r="V924" s="217"/>
      <c r="W924" s="217"/>
      <c r="X924" s="217"/>
      <c r="Y924" s="217"/>
      <c r="Z924" s="217"/>
    </row>
    <row r="925" ht="15.75" customHeight="1">
      <c r="A925" s="217"/>
      <c r="B925" s="217"/>
      <c r="C925" s="217"/>
      <c r="D925" s="217"/>
      <c r="E925" s="217"/>
      <c r="F925" s="217"/>
      <c r="G925" s="217"/>
      <c r="H925" s="217"/>
      <c r="I925" s="217"/>
      <c r="J925" s="217"/>
      <c r="K925" s="217"/>
      <c r="L925" s="217"/>
      <c r="M925" s="217"/>
      <c r="N925" s="217"/>
      <c r="O925" s="217"/>
      <c r="P925" s="217"/>
      <c r="Q925" s="217"/>
      <c r="R925" s="217"/>
      <c r="S925" s="217"/>
      <c r="T925" s="217"/>
      <c r="U925" s="217"/>
      <c r="V925" s="217"/>
      <c r="W925" s="217"/>
      <c r="X925" s="217"/>
      <c r="Y925" s="217"/>
      <c r="Z925" s="217"/>
    </row>
    <row r="926" ht="15.75" customHeight="1">
      <c r="A926" s="217"/>
      <c r="B926" s="217"/>
      <c r="C926" s="217"/>
      <c r="D926" s="217"/>
      <c r="E926" s="217"/>
      <c r="F926" s="217"/>
      <c r="G926" s="217"/>
      <c r="H926" s="217"/>
      <c r="I926" s="217"/>
      <c r="J926" s="217"/>
      <c r="K926" s="217"/>
      <c r="L926" s="217"/>
      <c r="M926" s="217"/>
      <c r="N926" s="217"/>
      <c r="O926" s="217"/>
      <c r="P926" s="217"/>
      <c r="Q926" s="217"/>
      <c r="R926" s="217"/>
      <c r="S926" s="217"/>
      <c r="T926" s="217"/>
      <c r="U926" s="217"/>
      <c r="V926" s="217"/>
      <c r="W926" s="217"/>
      <c r="X926" s="217"/>
      <c r="Y926" s="217"/>
      <c r="Z926" s="217"/>
    </row>
    <row r="927" ht="15.75" customHeight="1">
      <c r="A927" s="217"/>
      <c r="B927" s="217"/>
      <c r="C927" s="217"/>
      <c r="D927" s="217"/>
      <c r="E927" s="217"/>
      <c r="F927" s="217"/>
      <c r="G927" s="217"/>
      <c r="H927" s="217"/>
      <c r="I927" s="217"/>
      <c r="J927" s="217"/>
      <c r="K927" s="217"/>
      <c r="L927" s="217"/>
      <c r="M927" s="217"/>
      <c r="N927" s="217"/>
      <c r="O927" s="217"/>
      <c r="P927" s="217"/>
      <c r="Q927" s="217"/>
      <c r="R927" s="217"/>
      <c r="S927" s="217"/>
      <c r="T927" s="217"/>
      <c r="U927" s="217"/>
      <c r="V927" s="217"/>
      <c r="W927" s="217"/>
      <c r="X927" s="217"/>
      <c r="Y927" s="217"/>
      <c r="Z927" s="217"/>
    </row>
    <row r="928" ht="15.75" customHeight="1">
      <c r="A928" s="217"/>
      <c r="B928" s="217"/>
      <c r="C928" s="217"/>
      <c r="D928" s="217"/>
      <c r="E928" s="217"/>
      <c r="F928" s="217"/>
      <c r="G928" s="217"/>
      <c r="H928" s="217"/>
      <c r="I928" s="217"/>
      <c r="J928" s="217"/>
      <c r="K928" s="217"/>
      <c r="L928" s="217"/>
      <c r="M928" s="217"/>
      <c r="N928" s="217"/>
      <c r="O928" s="217"/>
      <c r="P928" s="217"/>
      <c r="Q928" s="217"/>
      <c r="R928" s="217"/>
      <c r="S928" s="217"/>
      <c r="T928" s="217"/>
      <c r="U928" s="217"/>
      <c r="V928" s="217"/>
      <c r="W928" s="217"/>
      <c r="X928" s="217"/>
      <c r="Y928" s="217"/>
      <c r="Z928" s="217"/>
    </row>
    <row r="929" ht="15.75" customHeight="1">
      <c r="A929" s="217"/>
      <c r="B929" s="217"/>
      <c r="C929" s="217"/>
      <c r="D929" s="217"/>
      <c r="E929" s="217"/>
      <c r="F929" s="217"/>
      <c r="G929" s="217"/>
      <c r="H929" s="217"/>
      <c r="I929" s="217"/>
      <c r="J929" s="217"/>
      <c r="K929" s="217"/>
      <c r="L929" s="217"/>
      <c r="M929" s="217"/>
      <c r="N929" s="217"/>
      <c r="O929" s="217"/>
      <c r="P929" s="217"/>
      <c r="Q929" s="217"/>
      <c r="R929" s="217"/>
      <c r="S929" s="217"/>
      <c r="T929" s="217"/>
      <c r="U929" s="217"/>
      <c r="V929" s="217"/>
      <c r="W929" s="217"/>
      <c r="X929" s="217"/>
      <c r="Y929" s="217"/>
      <c r="Z929" s="217"/>
    </row>
    <row r="930" ht="15.75" customHeight="1">
      <c r="A930" s="217"/>
      <c r="B930" s="217"/>
      <c r="C930" s="217"/>
      <c r="D930" s="217"/>
      <c r="E930" s="217"/>
      <c r="F930" s="217"/>
      <c r="G930" s="217"/>
      <c r="H930" s="217"/>
      <c r="I930" s="217"/>
      <c r="J930" s="217"/>
      <c r="K930" s="217"/>
      <c r="L930" s="217"/>
      <c r="M930" s="217"/>
      <c r="N930" s="217"/>
      <c r="O930" s="217"/>
      <c r="P930" s="217"/>
      <c r="Q930" s="217"/>
      <c r="R930" s="217"/>
      <c r="S930" s="217"/>
      <c r="T930" s="217"/>
      <c r="U930" s="217"/>
      <c r="V930" s="217"/>
      <c r="W930" s="217"/>
      <c r="X930" s="217"/>
      <c r="Y930" s="217"/>
      <c r="Z930" s="217"/>
    </row>
    <row r="931" ht="15.75" customHeight="1">
      <c r="A931" s="217"/>
      <c r="B931" s="217"/>
      <c r="C931" s="217"/>
      <c r="D931" s="217"/>
      <c r="E931" s="217"/>
      <c r="F931" s="217"/>
      <c r="G931" s="217"/>
      <c r="H931" s="217"/>
      <c r="I931" s="217"/>
      <c r="J931" s="217"/>
      <c r="K931" s="217"/>
      <c r="L931" s="217"/>
      <c r="M931" s="217"/>
      <c r="N931" s="217"/>
      <c r="O931" s="217"/>
      <c r="P931" s="217"/>
      <c r="Q931" s="217"/>
      <c r="R931" s="217"/>
      <c r="S931" s="217"/>
      <c r="T931" s="217"/>
      <c r="U931" s="217"/>
      <c r="V931" s="217"/>
      <c r="W931" s="217"/>
      <c r="X931" s="217"/>
      <c r="Y931" s="217"/>
      <c r="Z931" s="217"/>
    </row>
    <row r="932" ht="15.75" customHeight="1">
      <c r="A932" s="217"/>
      <c r="B932" s="217"/>
      <c r="C932" s="217"/>
      <c r="D932" s="217"/>
      <c r="E932" s="217"/>
      <c r="F932" s="217"/>
      <c r="G932" s="217"/>
      <c r="H932" s="217"/>
      <c r="I932" s="217"/>
      <c r="J932" s="217"/>
      <c r="K932" s="217"/>
      <c r="L932" s="217"/>
      <c r="M932" s="217"/>
      <c r="N932" s="217"/>
      <c r="O932" s="217"/>
      <c r="P932" s="217"/>
      <c r="Q932" s="217"/>
      <c r="R932" s="217"/>
      <c r="S932" s="217"/>
      <c r="T932" s="217"/>
      <c r="U932" s="217"/>
      <c r="V932" s="217"/>
      <c r="W932" s="217"/>
      <c r="X932" s="217"/>
      <c r="Y932" s="217"/>
      <c r="Z932" s="217"/>
    </row>
    <row r="933" ht="15.75" customHeight="1">
      <c r="A933" s="217"/>
      <c r="B933" s="217"/>
      <c r="C933" s="217"/>
      <c r="D933" s="217"/>
      <c r="E933" s="217"/>
      <c r="F933" s="217"/>
      <c r="G933" s="217"/>
      <c r="H933" s="217"/>
      <c r="I933" s="217"/>
      <c r="J933" s="217"/>
      <c r="K933" s="217"/>
      <c r="L933" s="217"/>
      <c r="M933" s="217"/>
      <c r="N933" s="217"/>
      <c r="O933" s="217"/>
      <c r="P933" s="217"/>
      <c r="Q933" s="217"/>
      <c r="R933" s="217"/>
      <c r="S933" s="217"/>
      <c r="T933" s="217"/>
      <c r="U933" s="217"/>
      <c r="V933" s="217"/>
      <c r="W933" s="217"/>
      <c r="X933" s="217"/>
      <c r="Y933" s="217"/>
      <c r="Z933" s="217"/>
    </row>
    <row r="934" ht="15.75" customHeight="1">
      <c r="A934" s="217"/>
      <c r="B934" s="217"/>
      <c r="C934" s="217"/>
      <c r="D934" s="217"/>
      <c r="E934" s="217"/>
      <c r="F934" s="217"/>
      <c r="G934" s="217"/>
      <c r="H934" s="217"/>
      <c r="I934" s="217"/>
      <c r="J934" s="217"/>
      <c r="K934" s="217"/>
      <c r="L934" s="217"/>
      <c r="M934" s="217"/>
      <c r="N934" s="217"/>
      <c r="O934" s="217"/>
      <c r="P934" s="217"/>
      <c r="Q934" s="217"/>
      <c r="R934" s="217"/>
      <c r="S934" s="217"/>
      <c r="T934" s="217"/>
      <c r="U934" s="217"/>
      <c r="V934" s="217"/>
      <c r="W934" s="217"/>
      <c r="X934" s="217"/>
      <c r="Y934" s="217"/>
      <c r="Z934" s="217"/>
    </row>
    <row r="935" ht="15.75" customHeight="1">
      <c r="A935" s="217"/>
      <c r="B935" s="217"/>
      <c r="C935" s="217"/>
      <c r="D935" s="217"/>
      <c r="E935" s="217"/>
      <c r="F935" s="217"/>
      <c r="G935" s="217"/>
      <c r="H935" s="217"/>
      <c r="I935" s="217"/>
      <c r="J935" s="217"/>
      <c r="K935" s="217"/>
      <c r="L935" s="217"/>
      <c r="M935" s="217"/>
      <c r="N935" s="217"/>
      <c r="O935" s="217"/>
      <c r="P935" s="217"/>
      <c r="Q935" s="217"/>
      <c r="R935" s="217"/>
      <c r="S935" s="217"/>
      <c r="T935" s="217"/>
      <c r="U935" s="217"/>
      <c r="V935" s="217"/>
      <c r="W935" s="217"/>
      <c r="X935" s="217"/>
      <c r="Y935" s="217"/>
      <c r="Z935" s="217"/>
    </row>
    <row r="936" ht="15.75" customHeight="1">
      <c r="A936" s="217"/>
      <c r="B936" s="217"/>
      <c r="C936" s="217"/>
      <c r="D936" s="217"/>
      <c r="E936" s="217"/>
      <c r="F936" s="217"/>
      <c r="G936" s="217"/>
      <c r="H936" s="217"/>
      <c r="I936" s="217"/>
      <c r="J936" s="217"/>
      <c r="K936" s="217"/>
      <c r="L936" s="217"/>
      <c r="M936" s="217"/>
      <c r="N936" s="217"/>
      <c r="O936" s="217"/>
      <c r="P936" s="217"/>
      <c r="Q936" s="217"/>
      <c r="R936" s="217"/>
      <c r="S936" s="217"/>
      <c r="T936" s="217"/>
      <c r="U936" s="217"/>
      <c r="V936" s="217"/>
      <c r="W936" s="217"/>
      <c r="X936" s="217"/>
      <c r="Y936" s="217"/>
      <c r="Z936" s="217"/>
    </row>
    <row r="937" ht="15.75" customHeight="1">
      <c r="A937" s="217"/>
      <c r="B937" s="217"/>
      <c r="C937" s="217"/>
      <c r="D937" s="217"/>
      <c r="E937" s="217"/>
      <c r="F937" s="217"/>
      <c r="G937" s="217"/>
      <c r="H937" s="217"/>
      <c r="I937" s="217"/>
      <c r="J937" s="217"/>
      <c r="K937" s="217"/>
      <c r="L937" s="217"/>
      <c r="M937" s="217"/>
      <c r="N937" s="217"/>
      <c r="O937" s="217"/>
      <c r="P937" s="217"/>
      <c r="Q937" s="217"/>
      <c r="R937" s="217"/>
      <c r="S937" s="217"/>
      <c r="T937" s="217"/>
      <c r="U937" s="217"/>
      <c r="V937" s="217"/>
      <c r="W937" s="217"/>
      <c r="X937" s="217"/>
      <c r="Y937" s="217"/>
      <c r="Z937" s="217"/>
    </row>
    <row r="938" ht="15.75" customHeight="1">
      <c r="A938" s="217"/>
      <c r="B938" s="217"/>
      <c r="C938" s="217"/>
      <c r="D938" s="217"/>
      <c r="E938" s="217"/>
      <c r="F938" s="217"/>
      <c r="G938" s="217"/>
      <c r="H938" s="217"/>
      <c r="I938" s="217"/>
      <c r="J938" s="217"/>
      <c r="K938" s="217"/>
      <c r="L938" s="217"/>
      <c r="M938" s="217"/>
      <c r="N938" s="217"/>
      <c r="O938" s="217"/>
      <c r="P938" s="217"/>
      <c r="Q938" s="217"/>
      <c r="R938" s="217"/>
      <c r="S938" s="217"/>
      <c r="T938" s="217"/>
      <c r="U938" s="217"/>
      <c r="V938" s="217"/>
      <c r="W938" s="217"/>
      <c r="X938" s="217"/>
      <c r="Y938" s="217"/>
      <c r="Z938" s="217"/>
    </row>
    <row r="939" ht="15.75" customHeight="1">
      <c r="A939" s="217"/>
      <c r="B939" s="217"/>
      <c r="C939" s="217"/>
      <c r="D939" s="217"/>
      <c r="E939" s="217"/>
      <c r="F939" s="217"/>
      <c r="G939" s="217"/>
      <c r="H939" s="217"/>
      <c r="I939" s="217"/>
      <c r="J939" s="217"/>
      <c r="K939" s="217"/>
      <c r="L939" s="217"/>
      <c r="M939" s="217"/>
      <c r="N939" s="217"/>
      <c r="O939" s="217"/>
      <c r="P939" s="217"/>
      <c r="Q939" s="217"/>
      <c r="R939" s="217"/>
      <c r="S939" s="217"/>
      <c r="T939" s="217"/>
      <c r="U939" s="217"/>
      <c r="V939" s="217"/>
      <c r="W939" s="217"/>
      <c r="X939" s="217"/>
      <c r="Y939" s="217"/>
      <c r="Z939" s="217"/>
    </row>
    <row r="940" ht="15.75" customHeight="1">
      <c r="A940" s="217"/>
      <c r="B940" s="217"/>
      <c r="C940" s="217"/>
      <c r="D940" s="217"/>
      <c r="E940" s="217"/>
      <c r="F940" s="217"/>
      <c r="G940" s="217"/>
      <c r="H940" s="217"/>
      <c r="I940" s="217"/>
      <c r="J940" s="217"/>
      <c r="K940" s="217"/>
      <c r="L940" s="217"/>
      <c r="M940" s="217"/>
      <c r="N940" s="217"/>
      <c r="O940" s="217"/>
      <c r="P940" s="217"/>
      <c r="Q940" s="217"/>
      <c r="R940" s="217"/>
      <c r="S940" s="217"/>
      <c r="T940" s="217"/>
      <c r="U940" s="217"/>
      <c r="V940" s="217"/>
      <c r="W940" s="217"/>
      <c r="X940" s="217"/>
      <c r="Y940" s="217"/>
      <c r="Z940" s="217"/>
    </row>
    <row r="941" ht="15.75" customHeight="1">
      <c r="A941" s="217"/>
      <c r="B941" s="217"/>
      <c r="C941" s="217"/>
      <c r="D941" s="217"/>
      <c r="E941" s="217"/>
      <c r="F941" s="217"/>
      <c r="G941" s="217"/>
      <c r="H941" s="217"/>
      <c r="I941" s="217"/>
      <c r="J941" s="217"/>
      <c r="K941" s="217"/>
      <c r="L941" s="217"/>
      <c r="M941" s="217"/>
      <c r="N941" s="217"/>
      <c r="O941" s="217"/>
      <c r="P941" s="217"/>
      <c r="Q941" s="217"/>
      <c r="R941" s="217"/>
      <c r="S941" s="217"/>
      <c r="T941" s="217"/>
      <c r="U941" s="217"/>
      <c r="V941" s="217"/>
      <c r="W941" s="217"/>
      <c r="X941" s="217"/>
      <c r="Y941" s="217"/>
      <c r="Z941" s="217"/>
    </row>
    <row r="942" ht="15.75" customHeight="1">
      <c r="A942" s="217"/>
      <c r="B942" s="217"/>
      <c r="C942" s="217"/>
      <c r="D942" s="217"/>
      <c r="E942" s="217"/>
      <c r="F942" s="217"/>
      <c r="G942" s="217"/>
      <c r="H942" s="217"/>
      <c r="I942" s="217"/>
      <c r="J942" s="217"/>
      <c r="K942" s="217"/>
      <c r="L942" s="217"/>
      <c r="M942" s="217"/>
      <c r="N942" s="217"/>
      <c r="O942" s="217"/>
      <c r="P942" s="217"/>
      <c r="Q942" s="217"/>
      <c r="R942" s="217"/>
      <c r="S942" s="217"/>
      <c r="T942" s="217"/>
      <c r="U942" s="217"/>
      <c r="V942" s="217"/>
      <c r="W942" s="217"/>
      <c r="X942" s="217"/>
      <c r="Y942" s="217"/>
      <c r="Z942" s="217"/>
    </row>
    <row r="943" ht="15.75" customHeight="1">
      <c r="A943" s="217"/>
      <c r="B943" s="217"/>
      <c r="C943" s="217"/>
      <c r="D943" s="217"/>
      <c r="E943" s="217"/>
      <c r="F943" s="217"/>
      <c r="G943" s="217"/>
      <c r="H943" s="217"/>
      <c r="I943" s="217"/>
      <c r="J943" s="217"/>
      <c r="K943" s="217"/>
      <c r="L943" s="217"/>
      <c r="M943" s="217"/>
      <c r="N943" s="217"/>
      <c r="O943" s="217"/>
      <c r="P943" s="217"/>
      <c r="Q943" s="217"/>
      <c r="R943" s="217"/>
      <c r="S943" s="217"/>
      <c r="T943" s="217"/>
      <c r="U943" s="217"/>
      <c r="V943" s="217"/>
      <c r="W943" s="217"/>
      <c r="X943" s="217"/>
      <c r="Y943" s="217"/>
      <c r="Z943" s="217"/>
    </row>
    <row r="944" ht="15.75" customHeight="1">
      <c r="A944" s="217"/>
      <c r="B944" s="217"/>
      <c r="C944" s="217"/>
      <c r="D944" s="217"/>
      <c r="E944" s="217"/>
      <c r="F944" s="217"/>
      <c r="G944" s="217"/>
      <c r="H944" s="217"/>
      <c r="I944" s="217"/>
      <c r="J944" s="217"/>
      <c r="K944" s="217"/>
      <c r="L944" s="217"/>
      <c r="M944" s="217"/>
      <c r="N944" s="217"/>
      <c r="O944" s="217"/>
      <c r="P944" s="217"/>
      <c r="Q944" s="217"/>
      <c r="R944" s="217"/>
      <c r="S944" s="217"/>
      <c r="T944" s="217"/>
      <c r="U944" s="217"/>
      <c r="V944" s="217"/>
      <c r="W944" s="217"/>
      <c r="X944" s="217"/>
      <c r="Y944" s="217"/>
      <c r="Z944" s="217"/>
    </row>
    <row r="945" ht="15.75" customHeight="1">
      <c r="A945" s="217"/>
      <c r="B945" s="217"/>
      <c r="C945" s="217"/>
      <c r="D945" s="217"/>
      <c r="E945" s="217"/>
      <c r="F945" s="217"/>
      <c r="G945" s="217"/>
      <c r="H945" s="217"/>
      <c r="I945" s="217"/>
      <c r="J945" s="217"/>
      <c r="K945" s="217"/>
      <c r="L945" s="217"/>
      <c r="M945" s="217"/>
      <c r="N945" s="217"/>
      <c r="O945" s="217"/>
      <c r="P945" s="217"/>
      <c r="Q945" s="217"/>
      <c r="R945" s="217"/>
      <c r="S945" s="217"/>
      <c r="T945" s="217"/>
      <c r="U945" s="217"/>
      <c r="V945" s="217"/>
      <c r="W945" s="217"/>
      <c r="X945" s="217"/>
      <c r="Y945" s="217"/>
      <c r="Z945" s="217"/>
    </row>
    <row r="946" ht="15.75" customHeight="1">
      <c r="A946" s="217"/>
      <c r="B946" s="217"/>
      <c r="C946" s="217"/>
      <c r="D946" s="217"/>
      <c r="E946" s="217"/>
      <c r="F946" s="217"/>
      <c r="G946" s="217"/>
      <c r="H946" s="217"/>
      <c r="I946" s="217"/>
      <c r="J946" s="217"/>
      <c r="K946" s="217"/>
      <c r="L946" s="217"/>
      <c r="M946" s="217"/>
      <c r="N946" s="217"/>
      <c r="O946" s="217"/>
      <c r="P946" s="217"/>
      <c r="Q946" s="217"/>
      <c r="R946" s="217"/>
      <c r="S946" s="217"/>
      <c r="T946" s="217"/>
      <c r="U946" s="217"/>
      <c r="V946" s="217"/>
      <c r="W946" s="217"/>
      <c r="X946" s="217"/>
      <c r="Y946" s="217"/>
      <c r="Z946" s="217"/>
    </row>
    <row r="947" ht="15.75" customHeight="1">
      <c r="A947" s="217"/>
      <c r="B947" s="217"/>
      <c r="C947" s="217"/>
      <c r="D947" s="217"/>
      <c r="E947" s="217"/>
      <c r="F947" s="217"/>
      <c r="G947" s="217"/>
      <c r="H947" s="217"/>
      <c r="I947" s="217"/>
      <c r="J947" s="217"/>
      <c r="K947" s="217"/>
      <c r="L947" s="217"/>
      <c r="M947" s="217"/>
      <c r="N947" s="217"/>
      <c r="O947" s="217"/>
      <c r="P947" s="217"/>
      <c r="Q947" s="217"/>
      <c r="R947" s="217"/>
      <c r="S947" s="217"/>
      <c r="T947" s="217"/>
      <c r="U947" s="217"/>
      <c r="V947" s="217"/>
      <c r="W947" s="217"/>
      <c r="X947" s="217"/>
      <c r="Y947" s="217"/>
      <c r="Z947" s="217"/>
    </row>
    <row r="948" ht="15.75" customHeight="1">
      <c r="A948" s="217"/>
      <c r="B948" s="217"/>
      <c r="C948" s="217"/>
      <c r="D948" s="217"/>
      <c r="E948" s="217"/>
      <c r="F948" s="217"/>
      <c r="G948" s="217"/>
      <c r="H948" s="217"/>
      <c r="I948" s="217"/>
      <c r="J948" s="217"/>
      <c r="K948" s="217"/>
      <c r="L948" s="217"/>
      <c r="M948" s="217"/>
      <c r="N948" s="217"/>
      <c r="O948" s="217"/>
      <c r="P948" s="217"/>
      <c r="Q948" s="217"/>
      <c r="R948" s="217"/>
      <c r="S948" s="217"/>
      <c r="T948" s="217"/>
      <c r="U948" s="217"/>
      <c r="V948" s="217"/>
      <c r="W948" s="217"/>
      <c r="X948" s="217"/>
      <c r="Y948" s="217"/>
      <c r="Z948" s="217"/>
    </row>
    <row r="949" ht="15.75" customHeight="1">
      <c r="A949" s="217"/>
      <c r="B949" s="217"/>
      <c r="C949" s="217"/>
      <c r="D949" s="217"/>
      <c r="E949" s="217"/>
      <c r="F949" s="217"/>
      <c r="G949" s="217"/>
      <c r="H949" s="217"/>
      <c r="I949" s="217"/>
      <c r="J949" s="217"/>
      <c r="K949" s="217"/>
      <c r="L949" s="217"/>
      <c r="M949" s="217"/>
      <c r="N949" s="217"/>
      <c r="O949" s="217"/>
      <c r="P949" s="217"/>
      <c r="Q949" s="217"/>
      <c r="R949" s="217"/>
      <c r="S949" s="217"/>
      <c r="T949" s="217"/>
      <c r="U949" s="217"/>
      <c r="V949" s="217"/>
      <c r="W949" s="217"/>
      <c r="X949" s="217"/>
      <c r="Y949" s="217"/>
      <c r="Z949" s="217"/>
    </row>
    <row r="950" ht="15.75" customHeight="1">
      <c r="A950" s="217"/>
      <c r="B950" s="217"/>
      <c r="C950" s="217"/>
      <c r="D950" s="217"/>
      <c r="E950" s="217"/>
      <c r="F950" s="217"/>
      <c r="G950" s="217"/>
      <c r="H950" s="217"/>
      <c r="I950" s="217"/>
      <c r="J950" s="217"/>
      <c r="K950" s="217"/>
      <c r="L950" s="217"/>
      <c r="M950" s="217"/>
      <c r="N950" s="217"/>
      <c r="O950" s="217"/>
      <c r="P950" s="217"/>
      <c r="Q950" s="217"/>
      <c r="R950" s="217"/>
      <c r="S950" s="217"/>
      <c r="T950" s="217"/>
      <c r="U950" s="217"/>
      <c r="V950" s="217"/>
      <c r="W950" s="217"/>
      <c r="X950" s="217"/>
      <c r="Y950" s="217"/>
      <c r="Z950" s="217"/>
    </row>
    <row r="951" ht="15.75" customHeight="1">
      <c r="A951" s="217"/>
      <c r="B951" s="217"/>
      <c r="C951" s="217"/>
      <c r="D951" s="217"/>
      <c r="E951" s="217"/>
      <c r="F951" s="217"/>
      <c r="G951" s="217"/>
      <c r="H951" s="217"/>
      <c r="I951" s="217"/>
      <c r="J951" s="217"/>
      <c r="K951" s="217"/>
      <c r="L951" s="217"/>
      <c r="M951" s="217"/>
      <c r="N951" s="217"/>
      <c r="O951" s="217"/>
      <c r="P951" s="217"/>
      <c r="Q951" s="217"/>
      <c r="R951" s="217"/>
      <c r="S951" s="217"/>
      <c r="T951" s="217"/>
      <c r="U951" s="217"/>
      <c r="V951" s="217"/>
      <c r="W951" s="217"/>
      <c r="X951" s="217"/>
      <c r="Y951" s="217"/>
      <c r="Z951" s="217"/>
    </row>
    <row r="952" ht="15.75" customHeight="1">
      <c r="A952" s="217"/>
      <c r="B952" s="217"/>
      <c r="C952" s="217"/>
      <c r="D952" s="217"/>
      <c r="E952" s="217"/>
      <c r="F952" s="217"/>
      <c r="G952" s="217"/>
      <c r="H952" s="217"/>
      <c r="I952" s="217"/>
      <c r="J952" s="217"/>
      <c r="K952" s="217"/>
      <c r="L952" s="217"/>
      <c r="M952" s="217"/>
      <c r="N952" s="217"/>
      <c r="O952" s="217"/>
      <c r="P952" s="217"/>
      <c r="Q952" s="217"/>
      <c r="R952" s="217"/>
      <c r="S952" s="217"/>
      <c r="T952" s="217"/>
      <c r="U952" s="217"/>
      <c r="V952" s="217"/>
      <c r="W952" s="217"/>
      <c r="X952" s="217"/>
      <c r="Y952" s="217"/>
      <c r="Z952" s="217"/>
    </row>
    <row r="953" ht="15.75" customHeight="1">
      <c r="A953" s="217"/>
      <c r="B953" s="217"/>
      <c r="C953" s="217"/>
      <c r="D953" s="217"/>
      <c r="E953" s="217"/>
      <c r="F953" s="217"/>
      <c r="G953" s="217"/>
      <c r="H953" s="217"/>
      <c r="I953" s="217"/>
      <c r="J953" s="217"/>
      <c r="K953" s="217"/>
      <c r="L953" s="217"/>
      <c r="M953" s="217"/>
      <c r="N953" s="217"/>
      <c r="O953" s="217"/>
      <c r="P953" s="217"/>
      <c r="Q953" s="217"/>
      <c r="R953" s="217"/>
      <c r="S953" s="217"/>
      <c r="T953" s="217"/>
      <c r="U953" s="217"/>
      <c r="V953" s="217"/>
      <c r="W953" s="217"/>
      <c r="X953" s="217"/>
      <c r="Y953" s="217"/>
      <c r="Z953" s="217"/>
    </row>
    <row r="954" ht="15.75" customHeight="1">
      <c r="A954" s="217"/>
      <c r="B954" s="217"/>
      <c r="C954" s="217"/>
      <c r="D954" s="217"/>
      <c r="E954" s="217"/>
      <c r="F954" s="217"/>
      <c r="G954" s="217"/>
      <c r="H954" s="217"/>
      <c r="I954" s="217"/>
      <c r="J954" s="217"/>
      <c r="K954" s="217"/>
      <c r="L954" s="217"/>
      <c r="M954" s="217"/>
      <c r="N954" s="217"/>
      <c r="O954" s="217"/>
      <c r="P954" s="217"/>
      <c r="Q954" s="217"/>
      <c r="R954" s="217"/>
      <c r="S954" s="217"/>
      <c r="T954" s="217"/>
      <c r="U954" s="217"/>
      <c r="V954" s="217"/>
      <c r="W954" s="217"/>
      <c r="X954" s="217"/>
      <c r="Y954" s="217"/>
      <c r="Z954" s="217"/>
    </row>
    <row r="955" ht="15.75" customHeight="1">
      <c r="A955" s="217"/>
      <c r="B955" s="217"/>
      <c r="C955" s="217"/>
      <c r="D955" s="217"/>
      <c r="E955" s="217"/>
      <c r="F955" s="217"/>
      <c r="G955" s="217"/>
      <c r="H955" s="217"/>
      <c r="I955" s="217"/>
      <c r="J955" s="217"/>
      <c r="K955" s="217"/>
      <c r="L955" s="217"/>
      <c r="M955" s="217"/>
      <c r="N955" s="217"/>
      <c r="O955" s="217"/>
      <c r="P955" s="217"/>
      <c r="Q955" s="217"/>
      <c r="R955" s="217"/>
      <c r="S955" s="217"/>
      <c r="T955" s="217"/>
      <c r="U955" s="217"/>
      <c r="V955" s="217"/>
      <c r="W955" s="217"/>
      <c r="X955" s="217"/>
      <c r="Y955" s="217"/>
      <c r="Z955" s="217"/>
    </row>
    <row r="956" ht="15.75" customHeight="1">
      <c r="A956" s="217"/>
      <c r="B956" s="217"/>
      <c r="C956" s="217"/>
      <c r="D956" s="217"/>
      <c r="E956" s="217"/>
      <c r="F956" s="217"/>
      <c r="G956" s="217"/>
      <c r="H956" s="217"/>
      <c r="I956" s="217"/>
      <c r="J956" s="217"/>
      <c r="K956" s="217"/>
      <c r="L956" s="217"/>
      <c r="M956" s="217"/>
      <c r="N956" s="217"/>
      <c r="O956" s="217"/>
      <c r="P956" s="217"/>
      <c r="Q956" s="217"/>
      <c r="R956" s="217"/>
      <c r="S956" s="217"/>
      <c r="T956" s="217"/>
      <c r="U956" s="217"/>
      <c r="V956" s="217"/>
      <c r="W956" s="217"/>
      <c r="X956" s="217"/>
      <c r="Y956" s="217"/>
      <c r="Z956" s="217"/>
    </row>
    <row r="957" ht="15.75" customHeight="1">
      <c r="A957" s="217"/>
      <c r="B957" s="217"/>
      <c r="C957" s="217"/>
      <c r="D957" s="217"/>
      <c r="E957" s="217"/>
      <c r="F957" s="217"/>
      <c r="G957" s="217"/>
      <c r="H957" s="217"/>
      <c r="I957" s="217"/>
      <c r="J957" s="217"/>
      <c r="K957" s="217"/>
      <c r="L957" s="217"/>
      <c r="M957" s="217"/>
      <c r="N957" s="217"/>
      <c r="O957" s="217"/>
      <c r="P957" s="217"/>
      <c r="Q957" s="217"/>
      <c r="R957" s="217"/>
      <c r="S957" s="217"/>
      <c r="T957" s="217"/>
      <c r="U957" s="217"/>
      <c r="V957" s="217"/>
      <c r="W957" s="217"/>
      <c r="X957" s="217"/>
      <c r="Y957" s="217"/>
      <c r="Z957" s="217"/>
    </row>
    <row r="958" ht="15.75" customHeight="1">
      <c r="A958" s="217"/>
      <c r="B958" s="217"/>
      <c r="C958" s="217"/>
      <c r="D958" s="217"/>
      <c r="E958" s="217"/>
      <c r="F958" s="217"/>
      <c r="G958" s="217"/>
      <c r="H958" s="217"/>
      <c r="I958" s="217"/>
      <c r="J958" s="217"/>
      <c r="K958" s="217"/>
      <c r="L958" s="217"/>
      <c r="M958" s="217"/>
      <c r="N958" s="217"/>
      <c r="O958" s="217"/>
      <c r="P958" s="217"/>
      <c r="Q958" s="217"/>
      <c r="R958" s="217"/>
      <c r="S958" s="217"/>
      <c r="T958" s="217"/>
      <c r="U958" s="217"/>
      <c r="V958" s="217"/>
      <c r="W958" s="217"/>
      <c r="X958" s="217"/>
      <c r="Y958" s="217"/>
      <c r="Z958" s="217"/>
    </row>
    <row r="959" ht="15.75" customHeight="1">
      <c r="A959" s="217"/>
      <c r="B959" s="217"/>
      <c r="C959" s="217"/>
      <c r="D959" s="217"/>
      <c r="E959" s="217"/>
      <c r="F959" s="217"/>
      <c r="G959" s="217"/>
      <c r="H959" s="217"/>
      <c r="I959" s="217"/>
      <c r="J959" s="217"/>
      <c r="K959" s="217"/>
      <c r="L959" s="217"/>
      <c r="M959" s="217"/>
      <c r="N959" s="217"/>
      <c r="O959" s="217"/>
      <c r="P959" s="217"/>
      <c r="Q959" s="217"/>
      <c r="R959" s="217"/>
      <c r="S959" s="217"/>
      <c r="T959" s="217"/>
      <c r="U959" s="217"/>
      <c r="V959" s="217"/>
      <c r="W959" s="217"/>
      <c r="X959" s="217"/>
      <c r="Y959" s="217"/>
      <c r="Z959" s="217"/>
    </row>
    <row r="960" ht="15.75" customHeight="1">
      <c r="A960" s="217"/>
      <c r="B960" s="217"/>
      <c r="C960" s="217"/>
      <c r="D960" s="217"/>
      <c r="E960" s="217"/>
      <c r="F960" s="217"/>
      <c r="G960" s="217"/>
      <c r="H960" s="217"/>
      <c r="I960" s="217"/>
      <c r="J960" s="217"/>
      <c r="K960" s="217"/>
      <c r="L960" s="217"/>
      <c r="M960" s="217"/>
      <c r="N960" s="217"/>
      <c r="O960" s="217"/>
      <c r="P960" s="217"/>
      <c r="Q960" s="217"/>
      <c r="R960" s="217"/>
      <c r="S960" s="217"/>
      <c r="T960" s="217"/>
      <c r="U960" s="217"/>
      <c r="V960" s="217"/>
      <c r="W960" s="217"/>
      <c r="X960" s="217"/>
      <c r="Y960" s="217"/>
      <c r="Z960" s="217"/>
    </row>
    <row r="961" ht="15.75" customHeight="1">
      <c r="A961" s="217"/>
      <c r="B961" s="217"/>
      <c r="C961" s="217"/>
      <c r="D961" s="217"/>
      <c r="E961" s="217"/>
      <c r="F961" s="217"/>
      <c r="G961" s="217"/>
      <c r="H961" s="217"/>
      <c r="I961" s="217"/>
      <c r="J961" s="217"/>
      <c r="K961" s="217"/>
      <c r="L961" s="217"/>
      <c r="M961" s="217"/>
      <c r="N961" s="217"/>
      <c r="O961" s="217"/>
      <c r="P961" s="217"/>
      <c r="Q961" s="217"/>
      <c r="R961" s="217"/>
      <c r="S961" s="217"/>
      <c r="T961" s="217"/>
      <c r="U961" s="217"/>
      <c r="V961" s="217"/>
      <c r="W961" s="217"/>
      <c r="X961" s="217"/>
      <c r="Y961" s="217"/>
      <c r="Z961" s="217"/>
    </row>
    <row r="962" ht="15.75" customHeight="1">
      <c r="A962" s="217"/>
      <c r="B962" s="217"/>
      <c r="C962" s="217"/>
      <c r="D962" s="217"/>
      <c r="E962" s="217"/>
      <c r="F962" s="217"/>
      <c r="G962" s="217"/>
      <c r="H962" s="217"/>
      <c r="I962" s="217"/>
      <c r="J962" s="217"/>
      <c r="K962" s="217"/>
      <c r="L962" s="217"/>
      <c r="M962" s="217"/>
      <c r="N962" s="217"/>
      <c r="O962" s="217"/>
      <c r="P962" s="217"/>
      <c r="Q962" s="217"/>
      <c r="R962" s="217"/>
      <c r="S962" s="217"/>
      <c r="T962" s="217"/>
      <c r="U962" s="217"/>
      <c r="V962" s="217"/>
      <c r="W962" s="217"/>
      <c r="X962" s="217"/>
      <c r="Y962" s="217"/>
      <c r="Z962" s="217"/>
    </row>
    <row r="963" ht="15.75" customHeight="1">
      <c r="A963" s="217"/>
      <c r="B963" s="217"/>
      <c r="C963" s="217"/>
      <c r="D963" s="217"/>
      <c r="E963" s="217"/>
      <c r="F963" s="217"/>
      <c r="G963" s="217"/>
      <c r="H963" s="217"/>
      <c r="I963" s="217"/>
      <c r="J963" s="217"/>
      <c r="K963" s="217"/>
      <c r="L963" s="217"/>
      <c r="M963" s="217"/>
      <c r="N963" s="217"/>
      <c r="O963" s="217"/>
      <c r="P963" s="217"/>
      <c r="Q963" s="217"/>
      <c r="R963" s="217"/>
      <c r="S963" s="217"/>
      <c r="T963" s="217"/>
      <c r="U963" s="217"/>
      <c r="V963" s="217"/>
      <c r="W963" s="217"/>
      <c r="X963" s="217"/>
      <c r="Y963" s="217"/>
      <c r="Z963" s="217"/>
    </row>
    <row r="964" ht="15.75" customHeight="1">
      <c r="A964" s="217"/>
      <c r="B964" s="217"/>
      <c r="C964" s="217"/>
      <c r="D964" s="217"/>
      <c r="E964" s="217"/>
      <c r="F964" s="217"/>
      <c r="G964" s="217"/>
      <c r="H964" s="217"/>
      <c r="I964" s="217"/>
      <c r="J964" s="217"/>
      <c r="K964" s="217"/>
      <c r="L964" s="217"/>
      <c r="M964" s="217"/>
      <c r="N964" s="217"/>
      <c r="O964" s="217"/>
      <c r="P964" s="217"/>
      <c r="Q964" s="217"/>
      <c r="R964" s="217"/>
      <c r="S964" s="217"/>
      <c r="T964" s="217"/>
      <c r="U964" s="217"/>
      <c r="V964" s="217"/>
      <c r="W964" s="217"/>
      <c r="X964" s="217"/>
      <c r="Y964" s="217"/>
      <c r="Z964" s="217"/>
    </row>
    <row r="965" ht="15.75" customHeight="1">
      <c r="A965" s="217"/>
      <c r="B965" s="217"/>
      <c r="C965" s="217"/>
      <c r="D965" s="217"/>
      <c r="E965" s="217"/>
      <c r="F965" s="217"/>
      <c r="G965" s="217"/>
      <c r="H965" s="217"/>
      <c r="I965" s="217"/>
      <c r="J965" s="217"/>
      <c r="K965" s="217"/>
      <c r="L965" s="217"/>
      <c r="M965" s="217"/>
      <c r="N965" s="217"/>
      <c r="O965" s="217"/>
      <c r="P965" s="217"/>
      <c r="Q965" s="217"/>
      <c r="R965" s="217"/>
      <c r="S965" s="217"/>
      <c r="T965" s="217"/>
      <c r="U965" s="217"/>
      <c r="V965" s="217"/>
      <c r="W965" s="217"/>
      <c r="X965" s="217"/>
      <c r="Y965" s="217"/>
      <c r="Z965" s="217"/>
    </row>
    <row r="966" ht="15.75" customHeight="1">
      <c r="A966" s="217"/>
      <c r="B966" s="217"/>
      <c r="C966" s="217"/>
      <c r="D966" s="217"/>
      <c r="E966" s="217"/>
      <c r="F966" s="217"/>
      <c r="G966" s="217"/>
      <c r="H966" s="217"/>
      <c r="I966" s="217"/>
      <c r="J966" s="217"/>
      <c r="K966" s="217"/>
      <c r="L966" s="217"/>
      <c r="M966" s="217"/>
      <c r="N966" s="217"/>
      <c r="O966" s="217"/>
      <c r="P966" s="217"/>
      <c r="Q966" s="217"/>
      <c r="R966" s="217"/>
      <c r="S966" s="217"/>
      <c r="T966" s="217"/>
      <c r="U966" s="217"/>
      <c r="V966" s="217"/>
      <c r="W966" s="217"/>
      <c r="X966" s="217"/>
      <c r="Y966" s="217"/>
      <c r="Z966" s="217"/>
    </row>
    <row r="967" ht="15.75" customHeight="1">
      <c r="A967" s="217"/>
      <c r="B967" s="217"/>
      <c r="C967" s="217"/>
      <c r="D967" s="217"/>
      <c r="E967" s="217"/>
      <c r="F967" s="217"/>
      <c r="G967" s="217"/>
      <c r="H967" s="217"/>
      <c r="I967" s="217"/>
      <c r="J967" s="217"/>
      <c r="K967" s="217"/>
      <c r="L967" s="217"/>
      <c r="M967" s="217"/>
      <c r="N967" s="217"/>
      <c r="O967" s="217"/>
      <c r="P967" s="217"/>
      <c r="Q967" s="217"/>
      <c r="R967" s="217"/>
      <c r="S967" s="217"/>
      <c r="T967" s="217"/>
      <c r="U967" s="217"/>
      <c r="V967" s="217"/>
      <c r="W967" s="217"/>
      <c r="X967" s="217"/>
      <c r="Y967" s="217"/>
      <c r="Z967" s="217"/>
    </row>
    <row r="968" ht="15.75" customHeight="1">
      <c r="A968" s="217"/>
      <c r="B968" s="217"/>
      <c r="C968" s="217"/>
      <c r="D968" s="217"/>
      <c r="E968" s="217"/>
      <c r="F968" s="217"/>
      <c r="G968" s="217"/>
      <c r="H968" s="217"/>
      <c r="I968" s="217"/>
      <c r="J968" s="217"/>
      <c r="K968" s="217"/>
      <c r="L968" s="217"/>
      <c r="M968" s="217"/>
      <c r="N968" s="217"/>
      <c r="O968" s="217"/>
      <c r="P968" s="217"/>
      <c r="Q968" s="217"/>
      <c r="R968" s="217"/>
      <c r="S968" s="217"/>
      <c r="T968" s="217"/>
      <c r="U968" s="217"/>
      <c r="V968" s="217"/>
      <c r="W968" s="217"/>
      <c r="X968" s="217"/>
      <c r="Y968" s="217"/>
      <c r="Z968" s="217"/>
    </row>
    <row r="969" ht="15.75" customHeight="1">
      <c r="A969" s="217"/>
      <c r="B969" s="217"/>
      <c r="C969" s="217"/>
      <c r="D969" s="217"/>
      <c r="E969" s="217"/>
      <c r="F969" s="217"/>
      <c r="G969" s="217"/>
      <c r="H969" s="217"/>
      <c r="I969" s="217"/>
      <c r="J969" s="217"/>
      <c r="K969" s="217"/>
      <c r="L969" s="217"/>
      <c r="M969" s="217"/>
      <c r="N969" s="217"/>
      <c r="O969" s="217"/>
      <c r="P969" s="217"/>
      <c r="Q969" s="217"/>
      <c r="R969" s="217"/>
      <c r="S969" s="217"/>
      <c r="T969" s="217"/>
      <c r="U969" s="217"/>
      <c r="V969" s="217"/>
      <c r="W969" s="217"/>
      <c r="X969" s="217"/>
      <c r="Y969" s="217"/>
      <c r="Z969" s="217"/>
    </row>
    <row r="970" ht="15.75" customHeight="1">
      <c r="A970" s="217"/>
      <c r="B970" s="217"/>
      <c r="C970" s="217"/>
      <c r="D970" s="217"/>
      <c r="E970" s="217"/>
      <c r="F970" s="217"/>
      <c r="G970" s="217"/>
      <c r="H970" s="217"/>
      <c r="I970" s="217"/>
      <c r="J970" s="217"/>
      <c r="K970" s="217"/>
      <c r="L970" s="217"/>
      <c r="M970" s="217"/>
      <c r="N970" s="217"/>
      <c r="O970" s="217"/>
      <c r="P970" s="217"/>
      <c r="Q970" s="217"/>
      <c r="R970" s="217"/>
      <c r="S970" s="217"/>
      <c r="T970" s="217"/>
      <c r="U970" s="217"/>
      <c r="V970" s="217"/>
      <c r="W970" s="217"/>
      <c r="X970" s="217"/>
      <c r="Y970" s="217"/>
      <c r="Z970" s="217"/>
    </row>
    <row r="971" ht="15.75" customHeight="1">
      <c r="A971" s="217"/>
      <c r="B971" s="217"/>
      <c r="C971" s="217"/>
      <c r="D971" s="217"/>
      <c r="E971" s="217"/>
      <c r="F971" s="217"/>
      <c r="G971" s="217"/>
      <c r="H971" s="217"/>
      <c r="I971" s="217"/>
      <c r="J971" s="217"/>
      <c r="K971" s="217"/>
      <c r="L971" s="217"/>
      <c r="M971" s="217"/>
      <c r="N971" s="217"/>
      <c r="O971" s="217"/>
      <c r="P971" s="217"/>
      <c r="Q971" s="217"/>
      <c r="R971" s="217"/>
      <c r="S971" s="217"/>
      <c r="T971" s="217"/>
      <c r="U971" s="217"/>
      <c r="V971" s="217"/>
      <c r="W971" s="217"/>
      <c r="X971" s="217"/>
      <c r="Y971" s="217"/>
      <c r="Z971" s="217"/>
    </row>
    <row r="972" ht="15.75" customHeight="1">
      <c r="A972" s="217"/>
      <c r="B972" s="217"/>
      <c r="C972" s="217"/>
      <c r="D972" s="217"/>
      <c r="E972" s="217"/>
      <c r="F972" s="217"/>
      <c r="G972" s="217"/>
      <c r="H972" s="217"/>
      <c r="I972" s="217"/>
      <c r="J972" s="217"/>
      <c r="K972" s="217"/>
      <c r="L972" s="217"/>
      <c r="M972" s="217"/>
      <c r="N972" s="217"/>
      <c r="O972" s="217"/>
      <c r="P972" s="217"/>
      <c r="Q972" s="217"/>
      <c r="R972" s="217"/>
      <c r="S972" s="217"/>
      <c r="T972" s="217"/>
      <c r="U972" s="217"/>
      <c r="V972" s="217"/>
      <c r="W972" s="217"/>
      <c r="X972" s="217"/>
      <c r="Y972" s="217"/>
      <c r="Z972" s="217"/>
    </row>
    <row r="973" ht="15.75" customHeight="1">
      <c r="A973" s="217"/>
      <c r="B973" s="217"/>
      <c r="C973" s="217"/>
      <c r="D973" s="217"/>
      <c r="E973" s="217"/>
      <c r="F973" s="217"/>
      <c r="G973" s="217"/>
      <c r="H973" s="217"/>
      <c r="I973" s="217"/>
      <c r="J973" s="217"/>
      <c r="K973" s="217"/>
      <c r="L973" s="217"/>
      <c r="M973" s="217"/>
      <c r="N973" s="217"/>
      <c r="O973" s="217"/>
      <c r="P973" s="217"/>
      <c r="Q973" s="217"/>
      <c r="R973" s="217"/>
      <c r="S973" s="217"/>
      <c r="T973" s="217"/>
      <c r="U973" s="217"/>
      <c r="V973" s="217"/>
      <c r="W973" s="217"/>
      <c r="X973" s="217"/>
      <c r="Y973" s="217"/>
      <c r="Z973" s="217"/>
    </row>
    <row r="974" ht="15.75" customHeight="1">
      <c r="A974" s="217"/>
      <c r="B974" s="217"/>
      <c r="C974" s="217"/>
      <c r="D974" s="217"/>
      <c r="E974" s="217"/>
      <c r="F974" s="217"/>
      <c r="G974" s="217"/>
      <c r="H974" s="217"/>
      <c r="I974" s="217"/>
      <c r="J974" s="217"/>
      <c r="K974" s="217"/>
      <c r="L974" s="217"/>
      <c r="M974" s="217"/>
      <c r="N974" s="217"/>
      <c r="O974" s="217"/>
      <c r="P974" s="217"/>
      <c r="Q974" s="217"/>
      <c r="R974" s="217"/>
      <c r="S974" s="217"/>
      <c r="T974" s="217"/>
      <c r="U974" s="217"/>
      <c r="V974" s="217"/>
      <c r="W974" s="217"/>
      <c r="X974" s="217"/>
      <c r="Y974" s="217"/>
      <c r="Z974" s="217"/>
    </row>
    <row r="975" ht="15.75" customHeight="1">
      <c r="A975" s="217"/>
      <c r="B975" s="217"/>
      <c r="C975" s="217"/>
      <c r="D975" s="217"/>
      <c r="E975" s="217"/>
      <c r="F975" s="217"/>
      <c r="G975" s="217"/>
      <c r="H975" s="217"/>
      <c r="I975" s="217"/>
      <c r="J975" s="217"/>
      <c r="K975" s="217"/>
      <c r="L975" s="217"/>
      <c r="M975" s="217"/>
      <c r="N975" s="217"/>
      <c r="O975" s="217"/>
      <c r="P975" s="217"/>
      <c r="Q975" s="217"/>
      <c r="R975" s="217"/>
      <c r="S975" s="217"/>
      <c r="T975" s="217"/>
      <c r="U975" s="217"/>
      <c r="V975" s="217"/>
      <c r="W975" s="217"/>
      <c r="X975" s="217"/>
      <c r="Y975" s="217"/>
      <c r="Z975" s="217"/>
    </row>
    <row r="976" ht="15.75" customHeight="1">
      <c r="A976" s="217"/>
      <c r="B976" s="217"/>
      <c r="C976" s="217"/>
      <c r="D976" s="217"/>
      <c r="E976" s="217"/>
      <c r="F976" s="217"/>
      <c r="G976" s="217"/>
      <c r="H976" s="217"/>
      <c r="I976" s="217"/>
      <c r="J976" s="217"/>
      <c r="K976" s="217"/>
      <c r="L976" s="217"/>
      <c r="M976" s="217"/>
      <c r="N976" s="217"/>
      <c r="O976" s="217"/>
      <c r="P976" s="217"/>
      <c r="Q976" s="217"/>
      <c r="R976" s="217"/>
      <c r="S976" s="217"/>
      <c r="T976" s="217"/>
      <c r="U976" s="217"/>
      <c r="V976" s="217"/>
      <c r="W976" s="217"/>
      <c r="X976" s="217"/>
      <c r="Y976" s="217"/>
      <c r="Z976" s="217"/>
    </row>
    <row r="977" ht="15.75" customHeight="1">
      <c r="A977" s="217"/>
      <c r="B977" s="217"/>
      <c r="C977" s="217"/>
      <c r="D977" s="217"/>
      <c r="E977" s="217"/>
      <c r="F977" s="217"/>
      <c r="G977" s="217"/>
      <c r="H977" s="217"/>
      <c r="I977" s="217"/>
      <c r="J977" s="217"/>
      <c r="K977" s="217"/>
      <c r="L977" s="217"/>
      <c r="M977" s="217"/>
      <c r="N977" s="217"/>
      <c r="O977" s="217"/>
      <c r="P977" s="217"/>
      <c r="Q977" s="217"/>
      <c r="R977" s="217"/>
      <c r="S977" s="217"/>
      <c r="T977" s="217"/>
      <c r="U977" s="217"/>
      <c r="V977" s="217"/>
      <c r="W977" s="217"/>
      <c r="X977" s="217"/>
      <c r="Y977" s="217"/>
      <c r="Z977" s="217"/>
    </row>
    <row r="978" ht="15.75" customHeight="1">
      <c r="A978" s="217"/>
      <c r="B978" s="217"/>
      <c r="C978" s="217"/>
      <c r="D978" s="217"/>
      <c r="E978" s="217"/>
      <c r="F978" s="217"/>
      <c r="G978" s="217"/>
      <c r="H978" s="217"/>
      <c r="I978" s="217"/>
      <c r="J978" s="217"/>
      <c r="K978" s="217"/>
      <c r="L978" s="217"/>
      <c r="M978" s="217"/>
      <c r="N978" s="217"/>
      <c r="O978" s="217"/>
      <c r="P978" s="217"/>
      <c r="Q978" s="217"/>
      <c r="R978" s="217"/>
      <c r="S978" s="217"/>
      <c r="T978" s="217"/>
      <c r="U978" s="217"/>
      <c r="V978" s="217"/>
      <c r="W978" s="217"/>
      <c r="X978" s="217"/>
      <c r="Y978" s="217"/>
      <c r="Z978" s="217"/>
    </row>
    <row r="979" ht="15.75" customHeight="1">
      <c r="A979" s="217"/>
      <c r="B979" s="217"/>
      <c r="C979" s="217"/>
      <c r="D979" s="217"/>
      <c r="E979" s="217"/>
      <c r="F979" s="217"/>
      <c r="G979" s="217"/>
      <c r="H979" s="217"/>
      <c r="I979" s="217"/>
      <c r="J979" s="217"/>
      <c r="K979" s="217"/>
      <c r="L979" s="217"/>
      <c r="M979" s="217"/>
      <c r="N979" s="217"/>
      <c r="O979" s="217"/>
      <c r="P979" s="217"/>
      <c r="Q979" s="217"/>
      <c r="R979" s="217"/>
      <c r="S979" s="217"/>
      <c r="T979" s="217"/>
      <c r="U979" s="217"/>
      <c r="V979" s="217"/>
      <c r="W979" s="217"/>
      <c r="X979" s="217"/>
      <c r="Y979" s="217"/>
      <c r="Z979" s="217"/>
    </row>
    <row r="980" ht="15.75" customHeight="1">
      <c r="A980" s="217"/>
      <c r="B980" s="217"/>
      <c r="C980" s="217"/>
      <c r="D980" s="217"/>
      <c r="E980" s="217"/>
      <c r="F980" s="217"/>
      <c r="G980" s="217"/>
      <c r="H980" s="217"/>
      <c r="I980" s="217"/>
      <c r="J980" s="217"/>
      <c r="K980" s="217"/>
      <c r="L980" s="217"/>
      <c r="M980" s="217"/>
      <c r="N980" s="217"/>
      <c r="O980" s="217"/>
      <c r="P980" s="217"/>
      <c r="Q980" s="217"/>
      <c r="R980" s="217"/>
      <c r="S980" s="217"/>
      <c r="T980" s="217"/>
      <c r="U980" s="217"/>
      <c r="V980" s="217"/>
      <c r="W980" s="217"/>
      <c r="X980" s="217"/>
      <c r="Y980" s="217"/>
      <c r="Z980" s="217"/>
    </row>
    <row r="981" ht="15.75" customHeight="1">
      <c r="A981" s="217"/>
      <c r="B981" s="217"/>
      <c r="C981" s="217"/>
      <c r="D981" s="217"/>
      <c r="E981" s="217"/>
      <c r="F981" s="217"/>
      <c r="G981" s="217"/>
      <c r="H981" s="217"/>
      <c r="I981" s="217"/>
      <c r="J981" s="217"/>
      <c r="K981" s="217"/>
      <c r="L981" s="217"/>
      <c r="M981" s="217"/>
      <c r="N981" s="217"/>
      <c r="O981" s="217"/>
      <c r="P981" s="217"/>
      <c r="Q981" s="217"/>
      <c r="R981" s="217"/>
      <c r="S981" s="217"/>
      <c r="T981" s="217"/>
      <c r="U981" s="217"/>
      <c r="V981" s="217"/>
      <c r="W981" s="217"/>
      <c r="X981" s="217"/>
      <c r="Y981" s="217"/>
      <c r="Z981" s="217"/>
    </row>
    <row r="982" ht="15.75" customHeight="1">
      <c r="A982" s="217"/>
      <c r="B982" s="217"/>
      <c r="C982" s="217"/>
      <c r="D982" s="217"/>
      <c r="E982" s="217"/>
      <c r="F982" s="217"/>
      <c r="G982" s="217"/>
      <c r="H982" s="217"/>
      <c r="I982" s="217"/>
      <c r="J982" s="217"/>
      <c r="K982" s="217"/>
      <c r="L982" s="217"/>
      <c r="M982" s="217"/>
      <c r="N982" s="217"/>
      <c r="O982" s="217"/>
      <c r="P982" s="217"/>
      <c r="Q982" s="217"/>
      <c r="R982" s="217"/>
      <c r="S982" s="217"/>
      <c r="T982" s="217"/>
      <c r="U982" s="217"/>
      <c r="V982" s="217"/>
      <c r="W982" s="217"/>
      <c r="X982" s="217"/>
      <c r="Y982" s="217"/>
      <c r="Z982" s="217"/>
    </row>
    <row r="983" ht="15.75" customHeight="1">
      <c r="A983" s="217"/>
      <c r="B983" s="217"/>
      <c r="C983" s="217"/>
      <c r="D983" s="217"/>
      <c r="E983" s="217"/>
      <c r="F983" s="217"/>
      <c r="G983" s="217"/>
      <c r="H983" s="217"/>
      <c r="I983" s="217"/>
      <c r="J983" s="217"/>
      <c r="K983" s="217"/>
      <c r="L983" s="217"/>
      <c r="M983" s="217"/>
      <c r="N983" s="217"/>
      <c r="O983" s="217"/>
      <c r="P983" s="217"/>
      <c r="Q983" s="217"/>
      <c r="R983" s="217"/>
      <c r="S983" s="217"/>
      <c r="T983" s="217"/>
      <c r="U983" s="217"/>
      <c r="V983" s="217"/>
      <c r="W983" s="217"/>
      <c r="X983" s="217"/>
      <c r="Y983" s="217"/>
      <c r="Z983" s="217"/>
    </row>
    <row r="984" ht="15.75" customHeight="1">
      <c r="A984" s="217"/>
      <c r="B984" s="217"/>
      <c r="C984" s="217"/>
      <c r="D984" s="217"/>
      <c r="E984" s="217"/>
      <c r="F984" s="217"/>
      <c r="G984" s="217"/>
      <c r="H984" s="217"/>
      <c r="I984" s="217"/>
      <c r="J984" s="217"/>
      <c r="K984" s="217"/>
      <c r="L984" s="217"/>
      <c r="M984" s="217"/>
      <c r="N984" s="217"/>
      <c r="O984" s="217"/>
      <c r="P984" s="217"/>
      <c r="Q984" s="217"/>
      <c r="R984" s="217"/>
      <c r="S984" s="217"/>
      <c r="T984" s="217"/>
      <c r="U984" s="217"/>
      <c r="V984" s="217"/>
      <c r="W984" s="217"/>
      <c r="X984" s="217"/>
      <c r="Y984" s="217"/>
      <c r="Z984" s="217"/>
    </row>
    <row r="985" ht="15.75" customHeight="1">
      <c r="A985" s="217"/>
      <c r="B985" s="217"/>
      <c r="C985" s="217"/>
      <c r="D985" s="217"/>
      <c r="E985" s="217"/>
      <c r="F985" s="217"/>
      <c r="G985" s="217"/>
      <c r="H985" s="217"/>
      <c r="I985" s="217"/>
      <c r="J985" s="217"/>
      <c r="K985" s="217"/>
      <c r="L985" s="217"/>
      <c r="M985" s="217"/>
      <c r="N985" s="217"/>
      <c r="O985" s="217"/>
      <c r="P985" s="217"/>
      <c r="Q985" s="217"/>
      <c r="R985" s="217"/>
      <c r="S985" s="217"/>
      <c r="T985" s="217"/>
      <c r="U985" s="217"/>
      <c r="V985" s="217"/>
      <c r="W985" s="217"/>
      <c r="X985" s="217"/>
      <c r="Y985" s="217"/>
      <c r="Z985" s="217"/>
    </row>
    <row r="986" ht="15.75" customHeight="1">
      <c r="A986" s="217"/>
      <c r="B986" s="217"/>
      <c r="C986" s="217"/>
      <c r="D986" s="217"/>
      <c r="E986" s="217"/>
      <c r="F986" s="217"/>
      <c r="G986" s="217"/>
      <c r="H986" s="217"/>
      <c r="I986" s="217"/>
      <c r="J986" s="217"/>
      <c r="K986" s="217"/>
      <c r="L986" s="217"/>
      <c r="M986" s="217"/>
      <c r="N986" s="217"/>
      <c r="O986" s="217"/>
      <c r="P986" s="217"/>
      <c r="Q986" s="217"/>
      <c r="R986" s="217"/>
      <c r="S986" s="217"/>
      <c r="T986" s="217"/>
      <c r="U986" s="217"/>
      <c r="V986" s="217"/>
      <c r="W986" s="217"/>
      <c r="X986" s="217"/>
      <c r="Y986" s="217"/>
      <c r="Z986" s="217"/>
    </row>
    <row r="987" ht="15.75" customHeight="1">
      <c r="A987" s="217"/>
      <c r="B987" s="217"/>
      <c r="C987" s="217"/>
      <c r="D987" s="217"/>
      <c r="E987" s="217"/>
      <c r="F987" s="217"/>
      <c r="G987" s="217"/>
      <c r="H987" s="217"/>
      <c r="I987" s="217"/>
      <c r="J987" s="217"/>
      <c r="K987" s="217"/>
      <c r="L987" s="217"/>
      <c r="M987" s="217"/>
      <c r="N987" s="217"/>
      <c r="O987" s="217"/>
      <c r="P987" s="217"/>
      <c r="Q987" s="217"/>
      <c r="R987" s="217"/>
      <c r="S987" s="217"/>
      <c r="T987" s="217"/>
      <c r="U987" s="217"/>
      <c r="V987" s="217"/>
      <c r="W987" s="217"/>
      <c r="X987" s="217"/>
      <c r="Y987" s="217"/>
      <c r="Z987" s="217"/>
    </row>
    <row r="988" ht="15.75" customHeight="1">
      <c r="A988" s="217"/>
      <c r="B988" s="217"/>
      <c r="C988" s="217"/>
      <c r="D988" s="217"/>
      <c r="E988" s="217"/>
      <c r="F988" s="217"/>
      <c r="G988" s="217"/>
      <c r="H988" s="217"/>
      <c r="I988" s="217"/>
      <c r="J988" s="217"/>
      <c r="K988" s="217"/>
      <c r="L988" s="217"/>
      <c r="M988" s="217"/>
      <c r="N988" s="217"/>
      <c r="O988" s="217"/>
      <c r="P988" s="217"/>
      <c r="Q988" s="217"/>
      <c r="R988" s="217"/>
      <c r="S988" s="217"/>
      <c r="T988" s="217"/>
      <c r="U988" s="217"/>
      <c r="V988" s="217"/>
      <c r="W988" s="217"/>
      <c r="X988" s="217"/>
      <c r="Y988" s="217"/>
      <c r="Z988" s="217"/>
    </row>
    <row r="989" ht="15.75" customHeight="1">
      <c r="A989" s="217"/>
      <c r="B989" s="217"/>
      <c r="C989" s="217"/>
      <c r="D989" s="217"/>
      <c r="E989" s="217"/>
      <c r="F989" s="217"/>
      <c r="G989" s="217"/>
      <c r="H989" s="217"/>
      <c r="I989" s="217"/>
      <c r="J989" s="217"/>
      <c r="K989" s="217"/>
      <c r="L989" s="217"/>
      <c r="M989" s="217"/>
      <c r="N989" s="217"/>
      <c r="O989" s="217"/>
      <c r="P989" s="217"/>
      <c r="Q989" s="217"/>
      <c r="R989" s="217"/>
      <c r="S989" s="217"/>
      <c r="T989" s="217"/>
      <c r="U989" s="217"/>
      <c r="V989" s="217"/>
      <c r="W989" s="217"/>
      <c r="X989" s="217"/>
      <c r="Y989" s="217"/>
      <c r="Z989" s="217"/>
    </row>
    <row r="990" ht="15.75" customHeight="1">
      <c r="A990" s="217"/>
      <c r="B990" s="217"/>
      <c r="C990" s="217"/>
      <c r="D990" s="217"/>
      <c r="E990" s="217"/>
      <c r="F990" s="217"/>
      <c r="G990" s="217"/>
      <c r="H990" s="217"/>
      <c r="I990" s="217"/>
      <c r="J990" s="217"/>
      <c r="K990" s="217"/>
      <c r="L990" s="217"/>
      <c r="M990" s="217"/>
      <c r="N990" s="217"/>
      <c r="O990" s="217"/>
      <c r="P990" s="217"/>
      <c r="Q990" s="217"/>
      <c r="R990" s="217"/>
      <c r="S990" s="217"/>
      <c r="T990" s="217"/>
      <c r="U990" s="217"/>
      <c r="V990" s="217"/>
      <c r="W990" s="217"/>
      <c r="X990" s="217"/>
      <c r="Y990" s="217"/>
      <c r="Z990" s="217"/>
    </row>
    <row r="991" ht="15.75" customHeight="1">
      <c r="A991" s="217"/>
      <c r="B991" s="217"/>
      <c r="C991" s="217"/>
      <c r="D991" s="217"/>
      <c r="E991" s="217"/>
      <c r="F991" s="217"/>
      <c r="G991" s="217"/>
      <c r="H991" s="217"/>
      <c r="I991" s="217"/>
      <c r="J991" s="217"/>
      <c r="K991" s="217"/>
      <c r="L991" s="217"/>
      <c r="M991" s="217"/>
      <c r="N991" s="217"/>
      <c r="O991" s="217"/>
      <c r="P991" s="217"/>
      <c r="Q991" s="217"/>
      <c r="R991" s="217"/>
      <c r="S991" s="217"/>
      <c r="T991" s="217"/>
      <c r="U991" s="217"/>
      <c r="V991" s="217"/>
      <c r="W991" s="217"/>
      <c r="X991" s="217"/>
      <c r="Y991" s="217"/>
      <c r="Z991" s="217"/>
    </row>
    <row r="992" ht="15.75" customHeight="1">
      <c r="A992" s="217"/>
      <c r="B992" s="217"/>
      <c r="C992" s="217"/>
      <c r="D992" s="217"/>
      <c r="E992" s="217"/>
      <c r="F992" s="217"/>
      <c r="G992" s="217"/>
      <c r="H992" s="217"/>
      <c r="I992" s="217"/>
      <c r="J992" s="217"/>
      <c r="K992" s="217"/>
      <c r="L992" s="217"/>
      <c r="M992" s="217"/>
      <c r="N992" s="217"/>
      <c r="O992" s="217"/>
      <c r="P992" s="217"/>
      <c r="Q992" s="217"/>
      <c r="R992" s="217"/>
      <c r="S992" s="217"/>
      <c r="T992" s="217"/>
      <c r="U992" s="217"/>
      <c r="V992" s="217"/>
      <c r="W992" s="217"/>
      <c r="X992" s="217"/>
      <c r="Y992" s="217"/>
      <c r="Z992" s="217"/>
    </row>
    <row r="993" ht="15.75" customHeight="1">
      <c r="A993" s="217"/>
      <c r="B993" s="217"/>
      <c r="C993" s="217"/>
      <c r="D993" s="217"/>
      <c r="E993" s="217"/>
      <c r="F993" s="217"/>
      <c r="G993" s="217"/>
      <c r="H993" s="217"/>
      <c r="I993" s="217"/>
      <c r="J993" s="217"/>
      <c r="K993" s="217"/>
      <c r="L993" s="217"/>
      <c r="M993" s="217"/>
      <c r="N993" s="217"/>
      <c r="O993" s="217"/>
      <c r="P993" s="217"/>
      <c r="Q993" s="217"/>
      <c r="R993" s="217"/>
      <c r="S993" s="217"/>
      <c r="T993" s="217"/>
      <c r="U993" s="217"/>
      <c r="V993" s="217"/>
      <c r="W993" s="217"/>
      <c r="X993" s="217"/>
      <c r="Y993" s="217"/>
      <c r="Z993" s="217"/>
    </row>
    <row r="994" ht="15.75" customHeight="1">
      <c r="A994" s="217"/>
      <c r="B994" s="217"/>
      <c r="C994" s="217"/>
      <c r="D994" s="217"/>
      <c r="E994" s="217"/>
      <c r="F994" s="217"/>
      <c r="G994" s="217"/>
      <c r="H994" s="217"/>
      <c r="I994" s="217"/>
      <c r="J994" s="217"/>
      <c r="K994" s="217"/>
      <c r="L994" s="217"/>
      <c r="M994" s="217"/>
      <c r="N994" s="217"/>
      <c r="O994" s="217"/>
      <c r="P994" s="217"/>
      <c r="Q994" s="217"/>
      <c r="R994" s="217"/>
      <c r="S994" s="217"/>
      <c r="T994" s="217"/>
      <c r="U994" s="217"/>
      <c r="V994" s="217"/>
      <c r="W994" s="217"/>
      <c r="X994" s="217"/>
      <c r="Y994" s="217"/>
      <c r="Z994" s="217"/>
    </row>
    <row r="995" ht="15.75" customHeight="1">
      <c r="A995" s="217"/>
      <c r="B995" s="217"/>
      <c r="C995" s="217"/>
      <c r="D995" s="217"/>
      <c r="E995" s="217"/>
      <c r="F995" s="217"/>
      <c r="G995" s="217"/>
      <c r="H995" s="217"/>
      <c r="I995" s="217"/>
      <c r="J995" s="217"/>
      <c r="K995" s="217"/>
      <c r="L995" s="217"/>
      <c r="M995" s="217"/>
      <c r="N995" s="217"/>
      <c r="O995" s="217"/>
      <c r="P995" s="217"/>
      <c r="Q995" s="217"/>
      <c r="R995" s="217"/>
      <c r="S995" s="217"/>
      <c r="T995" s="217"/>
      <c r="U995" s="217"/>
      <c r="V995" s="217"/>
      <c r="W995" s="217"/>
      <c r="X995" s="217"/>
      <c r="Y995" s="217"/>
      <c r="Z995" s="217"/>
    </row>
    <row r="996" ht="15.75" customHeight="1">
      <c r="A996" s="217"/>
      <c r="B996" s="217"/>
      <c r="C996" s="217"/>
      <c r="D996" s="217"/>
      <c r="E996" s="217"/>
      <c r="F996" s="217"/>
      <c r="G996" s="217"/>
      <c r="H996" s="217"/>
      <c r="I996" s="217"/>
      <c r="J996" s="217"/>
      <c r="K996" s="217"/>
      <c r="L996" s="217"/>
      <c r="M996" s="217"/>
      <c r="N996" s="217"/>
      <c r="O996" s="217"/>
      <c r="P996" s="217"/>
      <c r="Q996" s="217"/>
      <c r="R996" s="217"/>
      <c r="S996" s="217"/>
      <c r="T996" s="217"/>
      <c r="U996" s="217"/>
      <c r="V996" s="217"/>
      <c r="W996" s="217"/>
      <c r="X996" s="217"/>
      <c r="Y996" s="217"/>
      <c r="Z996" s="217"/>
    </row>
    <row r="997" ht="15.75" customHeight="1">
      <c r="A997" s="217"/>
      <c r="B997" s="217"/>
      <c r="C997" s="217"/>
      <c r="D997" s="217"/>
      <c r="E997" s="217"/>
      <c r="F997" s="217"/>
      <c r="G997" s="217"/>
      <c r="H997" s="217"/>
      <c r="I997" s="217"/>
      <c r="J997" s="217"/>
      <c r="K997" s="217"/>
      <c r="L997" s="217"/>
      <c r="M997" s="217"/>
      <c r="N997" s="217"/>
      <c r="O997" s="217"/>
      <c r="P997" s="217"/>
      <c r="Q997" s="217"/>
      <c r="R997" s="217"/>
      <c r="S997" s="217"/>
      <c r="T997" s="217"/>
      <c r="U997" s="217"/>
      <c r="V997" s="217"/>
      <c r="W997" s="217"/>
      <c r="X997" s="217"/>
      <c r="Y997" s="217"/>
      <c r="Z997" s="217"/>
    </row>
    <row r="998" ht="15.75" customHeight="1">
      <c r="A998" s="217"/>
      <c r="B998" s="217"/>
      <c r="C998" s="217"/>
      <c r="D998" s="217"/>
      <c r="E998" s="217"/>
      <c r="F998" s="217"/>
      <c r="G998" s="217"/>
      <c r="H998" s="217"/>
      <c r="I998" s="217"/>
      <c r="J998" s="217"/>
      <c r="K998" s="217"/>
      <c r="L998" s="217"/>
      <c r="M998" s="217"/>
      <c r="N998" s="217"/>
      <c r="O998" s="217"/>
      <c r="P998" s="217"/>
      <c r="Q998" s="217"/>
      <c r="R998" s="217"/>
      <c r="S998" s="217"/>
      <c r="T998" s="217"/>
      <c r="U998" s="217"/>
      <c r="V998" s="217"/>
      <c r="W998" s="217"/>
      <c r="X998" s="217"/>
      <c r="Y998" s="217"/>
      <c r="Z998" s="217"/>
    </row>
    <row r="999" ht="15.75" customHeight="1">
      <c r="A999" s="217"/>
      <c r="B999" s="217"/>
      <c r="C999" s="217"/>
      <c r="D999" s="217"/>
      <c r="E999" s="217"/>
      <c r="F999" s="217"/>
      <c r="G999" s="217"/>
      <c r="H999" s="217"/>
      <c r="I999" s="217"/>
      <c r="J999" s="217"/>
      <c r="K999" s="217"/>
      <c r="L999" s="217"/>
      <c r="M999" s="217"/>
      <c r="N999" s="217"/>
      <c r="O999" s="217"/>
      <c r="P999" s="217"/>
      <c r="Q999" s="217"/>
      <c r="R999" s="217"/>
      <c r="S999" s="217"/>
      <c r="T999" s="217"/>
      <c r="U999" s="217"/>
      <c r="V999" s="217"/>
      <c r="W999" s="217"/>
      <c r="X999" s="217"/>
      <c r="Y999" s="217"/>
      <c r="Z999" s="217"/>
    </row>
    <row r="1000" ht="15.75" customHeight="1">
      <c r="A1000" s="217"/>
      <c r="B1000" s="217"/>
      <c r="C1000" s="217"/>
      <c r="D1000" s="217"/>
      <c r="E1000" s="217"/>
      <c r="F1000" s="217"/>
      <c r="G1000" s="217"/>
      <c r="H1000" s="217"/>
      <c r="I1000" s="217"/>
      <c r="J1000" s="217"/>
      <c r="K1000" s="217"/>
      <c r="L1000" s="217"/>
      <c r="M1000" s="217"/>
      <c r="N1000" s="217"/>
      <c r="O1000" s="217"/>
      <c r="P1000" s="217"/>
      <c r="Q1000" s="217"/>
      <c r="R1000" s="217"/>
      <c r="S1000" s="217"/>
      <c r="T1000" s="217"/>
      <c r="U1000" s="217"/>
      <c r="V1000" s="217"/>
      <c r="W1000" s="217"/>
      <c r="X1000" s="217"/>
      <c r="Y1000" s="217"/>
      <c r="Z1000" s="217"/>
    </row>
  </sheetData>
  <mergeCells count="4">
    <mergeCell ref="D2:G2"/>
    <mergeCell ref="D3:G3"/>
    <mergeCell ref="D4:G4"/>
    <mergeCell ref="H25:O25"/>
  </mergeCells>
  <dataValidations>
    <dataValidation type="list" allowBlank="1" showErrorMessage="1" sqref="D13:D15 D19">
      <formula1>Data!$N$2:$N$12</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hidden="1" min="2" max="2" width="11.38"/>
    <col customWidth="1" hidden="1" min="3" max="3" width="12.0"/>
    <col customWidth="1" hidden="1" min="4" max="6" width="11.38"/>
    <col customWidth="1" min="7" max="7" width="16.5"/>
    <col customWidth="1" min="9" max="10" width="12.38"/>
    <col customWidth="1" min="11" max="11" width="12.25"/>
    <col customWidth="1" min="12" max="12" width="12.5"/>
    <col customWidth="1" min="13" max="13" width="24.13"/>
    <col customWidth="1" min="14" max="14" width="50.38"/>
  </cols>
  <sheetData>
    <row r="1" ht="27.75" customHeight="1">
      <c r="A1" s="271" t="s">
        <v>286</v>
      </c>
      <c r="B1" s="272" t="s">
        <v>328</v>
      </c>
      <c r="C1" s="272" t="s">
        <v>329</v>
      </c>
      <c r="D1" s="273" t="s">
        <v>330</v>
      </c>
      <c r="E1" s="273" t="s">
        <v>331</v>
      </c>
      <c r="F1" s="273" t="s">
        <v>332</v>
      </c>
      <c r="G1" s="274" t="s">
        <v>333</v>
      </c>
      <c r="H1" s="275"/>
      <c r="I1" s="276" t="s">
        <v>334</v>
      </c>
      <c r="J1" s="35"/>
      <c r="N1" s="277" t="s">
        <v>334</v>
      </c>
      <c r="O1" s="35"/>
      <c r="P1" s="35"/>
      <c r="Q1" s="35"/>
      <c r="R1" s="35"/>
      <c r="S1" s="35"/>
      <c r="T1" s="35"/>
      <c r="U1" s="35"/>
      <c r="V1" s="35"/>
      <c r="W1" s="35"/>
      <c r="X1" s="35"/>
      <c r="Y1" s="35"/>
      <c r="Z1" s="35"/>
      <c r="AA1" s="35"/>
    </row>
    <row r="2" ht="15.75" customHeight="1">
      <c r="A2" s="35" t="s">
        <v>95</v>
      </c>
      <c r="B2" s="278">
        <f t="shared" ref="B2:B11" si="1">C2/8</f>
        <v>30.625</v>
      </c>
      <c r="C2" s="278">
        <v>245.0</v>
      </c>
      <c r="D2" s="278">
        <v>12.0</v>
      </c>
      <c r="E2" s="279">
        <f t="shared" ref="E2:E11" si="2">D2*8</f>
        <v>96</v>
      </c>
      <c r="F2" s="280">
        <f t="shared" ref="F2:F11" si="3">(C2-E2)/C2*100</f>
        <v>60.81632653</v>
      </c>
      <c r="G2" s="35" t="s">
        <v>335</v>
      </c>
      <c r="H2" s="275"/>
      <c r="I2" s="281">
        <v>0.0</v>
      </c>
      <c r="J2" s="35"/>
      <c r="N2" s="282">
        <v>0.0</v>
      </c>
      <c r="O2" s="35"/>
      <c r="P2" s="35"/>
      <c r="Q2" s="35"/>
      <c r="R2" s="35"/>
      <c r="S2" s="35"/>
      <c r="T2" s="35"/>
      <c r="U2" s="35"/>
      <c r="V2" s="35"/>
      <c r="W2" s="35"/>
      <c r="X2" s="35"/>
      <c r="Y2" s="35"/>
      <c r="Z2" s="35"/>
      <c r="AA2" s="35"/>
    </row>
    <row r="3" ht="15.75" customHeight="1">
      <c r="A3" s="35" t="s">
        <v>336</v>
      </c>
      <c r="B3" s="278">
        <f t="shared" si="1"/>
        <v>37.5</v>
      </c>
      <c r="C3" s="278">
        <v>300.0</v>
      </c>
      <c r="D3" s="278">
        <v>16.0</v>
      </c>
      <c r="E3" s="279">
        <f t="shared" si="2"/>
        <v>128</v>
      </c>
      <c r="F3" s="280">
        <f t="shared" si="3"/>
        <v>57.33333333</v>
      </c>
      <c r="G3" s="142" t="s">
        <v>337</v>
      </c>
      <c r="H3" s="275"/>
      <c r="I3" s="281">
        <v>0.05</v>
      </c>
      <c r="J3" s="35"/>
      <c r="N3" s="282">
        <v>0.05</v>
      </c>
      <c r="O3" s="35"/>
      <c r="P3" s="35"/>
      <c r="Q3" s="35"/>
      <c r="R3" s="35"/>
      <c r="S3" s="35"/>
      <c r="T3" s="35"/>
      <c r="U3" s="35"/>
      <c r="V3" s="35"/>
      <c r="W3" s="35"/>
      <c r="X3" s="35"/>
      <c r="Y3" s="35"/>
      <c r="Z3" s="35"/>
      <c r="AA3" s="35"/>
    </row>
    <row r="4" ht="15.75" customHeight="1">
      <c r="A4" s="35" t="s">
        <v>338</v>
      </c>
      <c r="B4" s="278">
        <f t="shared" si="1"/>
        <v>37.5</v>
      </c>
      <c r="C4" s="278">
        <v>300.0</v>
      </c>
      <c r="D4" s="278">
        <v>15.0</v>
      </c>
      <c r="E4" s="279">
        <f t="shared" si="2"/>
        <v>120</v>
      </c>
      <c r="F4" s="280">
        <f t="shared" si="3"/>
        <v>60</v>
      </c>
      <c r="G4" s="35" t="s">
        <v>339</v>
      </c>
      <c r="H4" s="275"/>
      <c r="I4" s="281">
        <v>0.1</v>
      </c>
      <c r="J4" s="35"/>
      <c r="N4" s="282">
        <v>0.1</v>
      </c>
      <c r="O4" s="35"/>
      <c r="P4" s="35"/>
      <c r="Q4" s="35"/>
      <c r="R4" s="35"/>
      <c r="S4" s="35"/>
      <c r="T4" s="35"/>
      <c r="U4" s="35"/>
      <c r="V4" s="35"/>
      <c r="W4" s="35"/>
      <c r="X4" s="35"/>
      <c r="Y4" s="35"/>
      <c r="Z4" s="35"/>
      <c r="AA4" s="35"/>
    </row>
    <row r="5" ht="15.75" customHeight="1">
      <c r="A5" s="35" t="s">
        <v>290</v>
      </c>
      <c r="B5" s="278">
        <f t="shared" si="1"/>
        <v>30.625</v>
      </c>
      <c r="C5" s="278">
        <v>245.0</v>
      </c>
      <c r="D5" s="278">
        <v>13.0</v>
      </c>
      <c r="E5" s="279">
        <f t="shared" si="2"/>
        <v>104</v>
      </c>
      <c r="F5" s="280">
        <f t="shared" si="3"/>
        <v>57.55102041</v>
      </c>
      <c r="G5" s="35" t="s">
        <v>340</v>
      </c>
      <c r="H5" s="275"/>
      <c r="I5" s="281">
        <v>0.125</v>
      </c>
      <c r="J5" s="35"/>
      <c r="N5" s="282">
        <v>0.125</v>
      </c>
      <c r="O5" s="35"/>
      <c r="P5" s="35"/>
      <c r="Q5" s="35"/>
      <c r="R5" s="35"/>
      <c r="S5" s="35"/>
      <c r="T5" s="35"/>
      <c r="U5" s="35"/>
      <c r="V5" s="35"/>
      <c r="W5" s="35"/>
      <c r="X5" s="35"/>
      <c r="Y5" s="35"/>
      <c r="Z5" s="35"/>
      <c r="AA5" s="35"/>
    </row>
    <row r="6" ht="15.75" customHeight="1">
      <c r="A6" s="35" t="s">
        <v>326</v>
      </c>
      <c r="B6" s="278">
        <f t="shared" si="1"/>
        <v>31.25</v>
      </c>
      <c r="C6" s="278">
        <v>250.0</v>
      </c>
      <c r="D6" s="278">
        <v>13.0</v>
      </c>
      <c r="E6" s="279">
        <f t="shared" si="2"/>
        <v>104</v>
      </c>
      <c r="F6" s="280">
        <f t="shared" si="3"/>
        <v>58.4</v>
      </c>
      <c r="G6" s="142" t="s">
        <v>341</v>
      </c>
      <c r="H6" s="275"/>
      <c r="I6" s="281">
        <v>0.15</v>
      </c>
      <c r="J6" s="35"/>
      <c r="N6" s="282">
        <v>0.15</v>
      </c>
      <c r="O6" s="35"/>
      <c r="P6" s="35"/>
      <c r="Q6" s="35"/>
      <c r="R6" s="35"/>
      <c r="S6" s="35"/>
      <c r="T6" s="35"/>
      <c r="U6" s="35"/>
      <c r="V6" s="35"/>
      <c r="W6" s="35"/>
      <c r="X6" s="35"/>
      <c r="Y6" s="35"/>
      <c r="Z6" s="35"/>
      <c r="AA6" s="35"/>
    </row>
    <row r="7" ht="15.75" customHeight="1">
      <c r="A7" s="35" t="s">
        <v>291</v>
      </c>
      <c r="B7" s="278">
        <f t="shared" si="1"/>
        <v>40.625</v>
      </c>
      <c r="C7" s="278">
        <v>325.0</v>
      </c>
      <c r="D7" s="278">
        <v>18.0</v>
      </c>
      <c r="E7" s="279">
        <f t="shared" si="2"/>
        <v>144</v>
      </c>
      <c r="F7" s="280">
        <f t="shared" si="3"/>
        <v>55.69230769</v>
      </c>
      <c r="G7" s="35" t="s">
        <v>291</v>
      </c>
      <c r="H7" s="275"/>
      <c r="I7" s="281">
        <v>0.2</v>
      </c>
      <c r="J7" s="35"/>
      <c r="N7" s="282">
        <v>0.2</v>
      </c>
      <c r="O7" s="35"/>
      <c r="P7" s="35"/>
      <c r="Q7" s="35"/>
      <c r="R7" s="35"/>
      <c r="S7" s="35"/>
      <c r="T7" s="35"/>
      <c r="U7" s="35"/>
      <c r="V7" s="35"/>
      <c r="W7" s="35"/>
      <c r="X7" s="35"/>
      <c r="Y7" s="35"/>
      <c r="Z7" s="35"/>
      <c r="AA7" s="35"/>
    </row>
    <row r="8" ht="15.75" customHeight="1">
      <c r="A8" s="35" t="s">
        <v>289</v>
      </c>
      <c r="B8" s="278">
        <f t="shared" si="1"/>
        <v>45</v>
      </c>
      <c r="C8" s="278">
        <v>360.0</v>
      </c>
      <c r="D8" s="278">
        <v>28.0</v>
      </c>
      <c r="E8" s="279">
        <f t="shared" si="2"/>
        <v>224</v>
      </c>
      <c r="F8" s="280">
        <f t="shared" si="3"/>
        <v>37.77777778</v>
      </c>
      <c r="G8" s="35" t="s">
        <v>289</v>
      </c>
      <c r="H8" s="275"/>
      <c r="I8" s="281">
        <v>0.25</v>
      </c>
      <c r="J8" s="35"/>
      <c r="N8" s="282">
        <v>0.25</v>
      </c>
      <c r="O8" s="35"/>
      <c r="P8" s="35"/>
      <c r="Q8" s="35"/>
      <c r="R8" s="35"/>
      <c r="S8" s="35"/>
      <c r="T8" s="35"/>
      <c r="U8" s="35"/>
      <c r="V8" s="35"/>
      <c r="W8" s="35"/>
      <c r="X8" s="35"/>
      <c r="Y8" s="35"/>
      <c r="Z8" s="35"/>
      <c r="AA8" s="35"/>
    </row>
    <row r="9" ht="15.75" customHeight="1">
      <c r="A9" s="35" t="s">
        <v>342</v>
      </c>
      <c r="B9" s="278">
        <f t="shared" si="1"/>
        <v>37.5</v>
      </c>
      <c r="C9" s="278">
        <v>300.0</v>
      </c>
      <c r="D9" s="278">
        <v>20.0</v>
      </c>
      <c r="E9" s="279">
        <f t="shared" si="2"/>
        <v>160</v>
      </c>
      <c r="F9" s="280">
        <f t="shared" si="3"/>
        <v>46.66666667</v>
      </c>
      <c r="G9" s="142" t="s">
        <v>343</v>
      </c>
      <c r="H9" s="275"/>
      <c r="I9" s="281">
        <v>0.3</v>
      </c>
      <c r="J9" s="35"/>
      <c r="K9" s="27"/>
      <c r="L9" s="27"/>
      <c r="M9" s="27"/>
      <c r="N9" s="282">
        <v>0.3</v>
      </c>
      <c r="O9" s="35"/>
      <c r="P9" s="35"/>
      <c r="Q9" s="35"/>
      <c r="R9" s="35"/>
      <c r="S9" s="35"/>
      <c r="T9" s="35"/>
      <c r="U9" s="35"/>
      <c r="V9" s="35"/>
      <c r="W9" s="35"/>
      <c r="X9" s="35"/>
      <c r="Y9" s="35"/>
      <c r="Z9" s="35"/>
      <c r="AA9" s="35"/>
    </row>
    <row r="10" ht="15.75" customHeight="1">
      <c r="A10" s="35" t="s">
        <v>344</v>
      </c>
      <c r="B10" s="278">
        <f t="shared" si="1"/>
        <v>30.625</v>
      </c>
      <c r="C10" s="278">
        <v>245.0</v>
      </c>
      <c r="D10" s="278">
        <v>12.0</v>
      </c>
      <c r="E10" s="279">
        <f t="shared" si="2"/>
        <v>96</v>
      </c>
      <c r="F10" s="280">
        <f t="shared" si="3"/>
        <v>60.81632653</v>
      </c>
      <c r="G10" s="142" t="s">
        <v>345</v>
      </c>
      <c r="H10" s="275"/>
      <c r="I10" s="281">
        <v>0.35</v>
      </c>
      <c r="J10" s="35"/>
      <c r="K10" s="27"/>
      <c r="L10" s="27"/>
      <c r="M10" s="27"/>
      <c r="N10" s="282">
        <v>0.35</v>
      </c>
      <c r="O10" s="35"/>
      <c r="P10" s="35"/>
      <c r="Q10" s="35"/>
      <c r="R10" s="35"/>
      <c r="S10" s="35"/>
      <c r="T10" s="35"/>
      <c r="U10" s="35"/>
      <c r="V10" s="35"/>
      <c r="W10" s="35"/>
      <c r="X10" s="35"/>
      <c r="Y10" s="35"/>
      <c r="Z10" s="35"/>
      <c r="AA10" s="35"/>
    </row>
    <row r="11" ht="15.75" customHeight="1">
      <c r="A11" s="35" t="s">
        <v>346</v>
      </c>
      <c r="B11" s="278">
        <f t="shared" si="1"/>
        <v>37.5</v>
      </c>
      <c r="C11" s="278">
        <v>300.0</v>
      </c>
      <c r="D11" s="278">
        <v>14.0</v>
      </c>
      <c r="E11" s="279">
        <f t="shared" si="2"/>
        <v>112</v>
      </c>
      <c r="F11" s="280">
        <f t="shared" si="3"/>
        <v>62.66666667</v>
      </c>
      <c r="G11" s="35" t="s">
        <v>347</v>
      </c>
      <c r="H11" s="275"/>
      <c r="I11" s="281">
        <v>0.4</v>
      </c>
      <c r="J11" s="35"/>
      <c r="K11" s="27"/>
      <c r="L11" s="27"/>
      <c r="M11" s="27"/>
      <c r="N11" s="282">
        <v>0.4</v>
      </c>
      <c r="O11" s="35"/>
      <c r="P11" s="35"/>
      <c r="Q11" s="35"/>
      <c r="R11" s="35"/>
      <c r="S11" s="35"/>
      <c r="T11" s="35"/>
      <c r="U11" s="35"/>
      <c r="V11" s="35"/>
      <c r="W11" s="35"/>
      <c r="X11" s="35"/>
      <c r="Y11" s="35"/>
      <c r="Z11" s="35"/>
      <c r="AA11" s="35"/>
    </row>
    <row r="12" ht="15.75" customHeight="1">
      <c r="A12" s="35"/>
      <c r="B12" s="35"/>
      <c r="C12" s="27"/>
      <c r="D12" s="35"/>
      <c r="E12" s="35"/>
      <c r="F12" s="35"/>
      <c r="G12" s="35"/>
      <c r="H12" s="275"/>
      <c r="I12" s="35"/>
      <c r="J12" s="35"/>
      <c r="K12" s="27"/>
      <c r="L12" s="27"/>
      <c r="M12" s="27"/>
      <c r="N12" s="35"/>
      <c r="O12" s="35"/>
      <c r="P12" s="35"/>
      <c r="Q12" s="35"/>
      <c r="R12" s="35"/>
      <c r="S12" s="35"/>
      <c r="T12" s="35"/>
      <c r="U12" s="35"/>
      <c r="V12" s="35"/>
      <c r="W12" s="35"/>
      <c r="X12" s="35"/>
      <c r="Y12" s="35"/>
      <c r="Z12" s="35"/>
      <c r="AA12" s="35"/>
    </row>
    <row r="13" ht="15.75" customHeight="1">
      <c r="A13" s="35"/>
      <c r="B13" s="35"/>
      <c r="C13" s="27"/>
      <c r="D13" s="35"/>
      <c r="E13" s="35"/>
      <c r="F13" s="35"/>
      <c r="G13" s="35"/>
      <c r="H13" s="275"/>
      <c r="I13" s="35"/>
      <c r="J13" s="35"/>
      <c r="K13" s="27"/>
      <c r="L13" s="27"/>
      <c r="M13" s="27"/>
      <c r="N13" s="35"/>
      <c r="O13" s="35"/>
      <c r="P13" s="35"/>
      <c r="Q13" s="35"/>
      <c r="R13" s="35"/>
      <c r="S13" s="35"/>
      <c r="T13" s="35"/>
      <c r="U13" s="35"/>
      <c r="V13" s="35"/>
      <c r="W13" s="35"/>
      <c r="X13" s="35"/>
      <c r="Y13" s="35"/>
      <c r="Z13" s="35"/>
      <c r="AA13" s="35"/>
    </row>
    <row r="14" ht="15.75" customHeight="1">
      <c r="A14" s="35"/>
      <c r="B14" s="35"/>
      <c r="C14" s="27"/>
      <c r="D14" s="35"/>
      <c r="E14" s="35"/>
      <c r="F14" s="35"/>
      <c r="G14" s="35"/>
      <c r="H14" s="275"/>
      <c r="K14" s="33"/>
      <c r="L14" s="27"/>
      <c r="M14" s="27"/>
      <c r="N14" s="35"/>
      <c r="O14" s="35"/>
      <c r="P14" s="35"/>
      <c r="Q14" s="35"/>
      <c r="R14" s="35"/>
      <c r="S14" s="35"/>
      <c r="T14" s="35"/>
      <c r="U14" s="35"/>
      <c r="V14" s="35"/>
      <c r="W14" s="35"/>
      <c r="X14" s="35"/>
      <c r="Y14" s="35"/>
      <c r="Z14" s="35"/>
      <c r="AA14" s="35"/>
    </row>
    <row r="15" ht="30.0" customHeight="1">
      <c r="A15" s="283"/>
      <c r="B15" s="284" t="s">
        <v>348</v>
      </c>
      <c r="C15" s="285" t="s">
        <v>349</v>
      </c>
      <c r="D15" s="285" t="s">
        <v>350</v>
      </c>
      <c r="E15" s="27"/>
      <c r="F15" s="27"/>
      <c r="G15" s="27"/>
      <c r="H15" s="286"/>
      <c r="I15" s="33"/>
      <c r="J15" s="33"/>
      <c r="K15" s="33"/>
      <c r="L15" s="287" t="s">
        <v>351</v>
      </c>
      <c r="O15" s="27"/>
      <c r="P15" s="27"/>
      <c r="Q15" s="27"/>
      <c r="R15" s="27"/>
      <c r="S15" s="27"/>
      <c r="T15" s="27"/>
      <c r="U15" s="27"/>
      <c r="V15" s="27"/>
      <c r="W15" s="27"/>
      <c r="X15" s="27"/>
      <c r="Y15" s="27"/>
      <c r="Z15" s="27"/>
      <c r="AA15" s="27"/>
    </row>
    <row r="16" ht="29.25" customHeight="1">
      <c r="A16" s="57" t="s">
        <v>95</v>
      </c>
      <c r="B16" s="288">
        <v>290.0</v>
      </c>
      <c r="C16" s="289">
        <f t="shared" ref="C16:C25" si="4">B16/8</f>
        <v>36.25</v>
      </c>
      <c r="D16" s="289">
        <f t="shared" ref="D16:D25" si="5">C16*1.39</f>
        <v>50.3875</v>
      </c>
      <c r="E16" s="35"/>
      <c r="F16" s="35"/>
      <c r="G16" s="35"/>
      <c r="H16" s="275"/>
      <c r="K16" s="33"/>
      <c r="L16" s="290" t="s">
        <v>352</v>
      </c>
      <c r="M16" s="290" t="s">
        <v>353</v>
      </c>
      <c r="N16" s="290" t="s">
        <v>354</v>
      </c>
      <c r="O16" s="35"/>
      <c r="P16" s="35"/>
      <c r="Q16" s="35"/>
      <c r="R16" s="35"/>
      <c r="S16" s="35"/>
      <c r="T16" s="35"/>
      <c r="U16" s="35"/>
      <c r="V16" s="35"/>
      <c r="W16" s="35"/>
      <c r="X16" s="35"/>
      <c r="Y16" s="35"/>
      <c r="Z16" s="35"/>
      <c r="AA16" s="35"/>
    </row>
    <row r="17" ht="30.0" customHeight="1">
      <c r="A17" s="57" t="s">
        <v>336</v>
      </c>
      <c r="B17" s="288">
        <v>290.0</v>
      </c>
      <c r="C17" s="289">
        <f t="shared" si="4"/>
        <v>36.25</v>
      </c>
      <c r="D17" s="289">
        <f t="shared" si="5"/>
        <v>50.3875</v>
      </c>
      <c r="E17" s="35"/>
      <c r="F17" s="35"/>
      <c r="G17" s="35"/>
      <c r="H17" s="275"/>
      <c r="K17" s="33"/>
      <c r="L17" s="291" t="s">
        <v>355</v>
      </c>
      <c r="M17" s="292" t="s">
        <v>356</v>
      </c>
      <c r="N17" s="293" t="s">
        <v>357</v>
      </c>
      <c r="O17" s="35"/>
      <c r="P17" s="35"/>
      <c r="Q17" s="35"/>
      <c r="R17" s="35"/>
      <c r="S17" s="35"/>
      <c r="T17" s="35"/>
      <c r="U17" s="35"/>
      <c r="V17" s="35"/>
      <c r="W17" s="35"/>
      <c r="X17" s="35"/>
      <c r="Y17" s="35"/>
      <c r="Z17" s="35"/>
      <c r="AA17" s="35"/>
    </row>
    <row r="18" ht="30.0" customHeight="1">
      <c r="A18" s="57" t="s">
        <v>338</v>
      </c>
      <c r="B18" s="288">
        <v>290.0</v>
      </c>
      <c r="C18" s="289">
        <f t="shared" si="4"/>
        <v>36.25</v>
      </c>
      <c r="D18" s="289">
        <f t="shared" si="5"/>
        <v>50.3875</v>
      </c>
      <c r="E18" s="35"/>
      <c r="F18" s="35"/>
      <c r="G18" s="35"/>
      <c r="H18" s="275"/>
      <c r="K18" s="33"/>
      <c r="L18" s="294" t="s">
        <v>358</v>
      </c>
      <c r="M18" s="295" t="s">
        <v>359</v>
      </c>
      <c r="N18" s="296" t="s">
        <v>360</v>
      </c>
      <c r="O18" s="35"/>
      <c r="P18" s="35"/>
      <c r="Q18" s="35"/>
      <c r="R18" s="35"/>
      <c r="S18" s="35"/>
      <c r="T18" s="35"/>
      <c r="U18" s="35"/>
      <c r="V18" s="35"/>
      <c r="W18" s="35"/>
      <c r="X18" s="35"/>
      <c r="Y18" s="35"/>
      <c r="Z18" s="35"/>
      <c r="AA18" s="35"/>
    </row>
    <row r="19" ht="30.0" customHeight="1">
      <c r="A19" s="57" t="s">
        <v>290</v>
      </c>
      <c r="B19" s="288">
        <v>290.0</v>
      </c>
      <c r="C19" s="289">
        <f t="shared" si="4"/>
        <v>36.25</v>
      </c>
      <c r="D19" s="289">
        <f t="shared" si="5"/>
        <v>50.3875</v>
      </c>
      <c r="E19" s="35"/>
      <c r="F19" s="35"/>
      <c r="G19" s="35"/>
      <c r="H19" s="275"/>
      <c r="K19" s="33"/>
      <c r="L19" s="297" t="s">
        <v>361</v>
      </c>
      <c r="M19" s="298" t="s">
        <v>362</v>
      </c>
      <c r="N19" s="299" t="s">
        <v>363</v>
      </c>
      <c r="O19" s="35"/>
      <c r="P19" s="35"/>
      <c r="Q19" s="35"/>
      <c r="R19" s="35"/>
      <c r="S19" s="35"/>
      <c r="T19" s="35"/>
      <c r="U19" s="35"/>
      <c r="V19" s="35"/>
      <c r="W19" s="35"/>
      <c r="X19" s="35"/>
      <c r="Y19" s="35"/>
      <c r="Z19" s="35"/>
      <c r="AA19" s="35"/>
    </row>
    <row r="20" ht="30.0" customHeight="1">
      <c r="A20" s="57" t="s">
        <v>326</v>
      </c>
      <c r="B20" s="288">
        <v>290.0</v>
      </c>
      <c r="C20" s="289">
        <f t="shared" si="4"/>
        <v>36.25</v>
      </c>
      <c r="D20" s="289">
        <f t="shared" si="5"/>
        <v>50.3875</v>
      </c>
      <c r="E20" s="35"/>
      <c r="F20" s="35"/>
      <c r="G20" s="35"/>
      <c r="H20" s="275"/>
      <c r="K20" s="33"/>
      <c r="L20" s="300" t="s">
        <v>364</v>
      </c>
      <c r="M20" s="301" t="s">
        <v>365</v>
      </c>
      <c r="N20" s="302" t="s">
        <v>366</v>
      </c>
      <c r="O20" s="35"/>
      <c r="P20" s="35"/>
      <c r="Q20" s="35"/>
      <c r="R20" s="35"/>
      <c r="S20" s="35"/>
      <c r="T20" s="35"/>
      <c r="U20" s="35"/>
      <c r="V20" s="35"/>
      <c r="W20" s="35"/>
      <c r="X20" s="35"/>
      <c r="Y20" s="35"/>
      <c r="Z20" s="35"/>
      <c r="AA20" s="35"/>
    </row>
    <row r="21" ht="30.0" customHeight="1">
      <c r="A21" s="57" t="s">
        <v>291</v>
      </c>
      <c r="B21" s="288">
        <v>290.0</v>
      </c>
      <c r="C21" s="289">
        <f t="shared" si="4"/>
        <v>36.25</v>
      </c>
      <c r="D21" s="289">
        <f t="shared" si="5"/>
        <v>50.3875</v>
      </c>
      <c r="E21" s="35"/>
      <c r="F21" s="35"/>
      <c r="G21" s="35"/>
      <c r="H21" s="275"/>
      <c r="K21" s="33"/>
      <c r="L21" s="303" t="s">
        <v>367</v>
      </c>
      <c r="M21" s="304" t="s">
        <v>368</v>
      </c>
      <c r="N21" s="305" t="s">
        <v>369</v>
      </c>
      <c r="O21" s="35"/>
      <c r="P21" s="35"/>
      <c r="Q21" s="35"/>
      <c r="R21" s="35"/>
      <c r="S21" s="35"/>
      <c r="T21" s="35"/>
      <c r="U21" s="35"/>
      <c r="V21" s="35"/>
      <c r="W21" s="35"/>
      <c r="X21" s="35"/>
      <c r="Y21" s="35"/>
      <c r="Z21" s="35"/>
      <c r="AA21" s="35"/>
    </row>
    <row r="22" ht="30.0" customHeight="1">
      <c r="A22" s="57" t="s">
        <v>289</v>
      </c>
      <c r="B22" s="288">
        <v>290.0</v>
      </c>
      <c r="C22" s="289">
        <f t="shared" si="4"/>
        <v>36.25</v>
      </c>
      <c r="D22" s="289">
        <f t="shared" si="5"/>
        <v>50.3875</v>
      </c>
      <c r="E22" s="35"/>
      <c r="F22" s="35"/>
      <c r="G22" s="35"/>
      <c r="H22" s="275"/>
      <c r="I22" s="35"/>
      <c r="J22" s="35"/>
      <c r="K22" s="27"/>
      <c r="L22" s="306">
        <v>1.0</v>
      </c>
      <c r="M22" s="307" t="s">
        <v>370</v>
      </c>
      <c r="N22" s="308" t="s">
        <v>371</v>
      </c>
      <c r="O22" s="35"/>
      <c r="P22" s="35"/>
      <c r="Q22" s="35"/>
      <c r="R22" s="35"/>
      <c r="S22" s="35"/>
      <c r="T22" s="35"/>
      <c r="U22" s="35"/>
      <c r="V22" s="35"/>
      <c r="W22" s="35"/>
      <c r="X22" s="35"/>
      <c r="Y22" s="35"/>
      <c r="Z22" s="35"/>
      <c r="AA22" s="35"/>
    </row>
    <row r="23" ht="15.75" customHeight="1">
      <c r="A23" s="57" t="s">
        <v>342</v>
      </c>
      <c r="B23" s="288">
        <v>290.0</v>
      </c>
      <c r="C23" s="289">
        <f t="shared" si="4"/>
        <v>36.25</v>
      </c>
      <c r="D23" s="289">
        <f t="shared" si="5"/>
        <v>50.3875</v>
      </c>
      <c r="E23" s="35"/>
      <c r="F23" s="35"/>
      <c r="G23" s="35"/>
      <c r="H23" s="275"/>
      <c r="I23" s="35"/>
      <c r="J23" s="35"/>
      <c r="K23" s="27"/>
      <c r="L23" s="27"/>
      <c r="M23" s="27"/>
      <c r="N23" s="35"/>
      <c r="O23" s="35"/>
      <c r="P23" s="35"/>
      <c r="Q23" s="35"/>
      <c r="R23" s="35"/>
      <c r="S23" s="35"/>
      <c r="T23" s="35"/>
      <c r="U23" s="35"/>
      <c r="V23" s="35"/>
      <c r="W23" s="35"/>
      <c r="X23" s="35"/>
      <c r="Y23" s="35"/>
      <c r="Z23" s="35"/>
      <c r="AA23" s="35"/>
    </row>
    <row r="24" ht="15.75" customHeight="1">
      <c r="A24" s="57" t="s">
        <v>344</v>
      </c>
      <c r="B24" s="288">
        <v>290.0</v>
      </c>
      <c r="C24" s="289">
        <f t="shared" si="4"/>
        <v>36.25</v>
      </c>
      <c r="D24" s="289">
        <f t="shared" si="5"/>
        <v>50.3875</v>
      </c>
      <c r="E24" s="35"/>
      <c r="F24" s="35"/>
      <c r="G24" s="35"/>
      <c r="H24" s="275"/>
      <c r="I24" s="35"/>
      <c r="J24" s="35"/>
      <c r="K24" s="27"/>
      <c r="L24" s="27"/>
      <c r="M24" s="27"/>
      <c r="N24" s="35"/>
      <c r="O24" s="35"/>
      <c r="P24" s="35"/>
      <c r="Q24" s="35"/>
      <c r="R24" s="35"/>
      <c r="S24" s="35"/>
      <c r="T24" s="35"/>
      <c r="U24" s="35"/>
      <c r="V24" s="35"/>
      <c r="W24" s="35"/>
      <c r="X24" s="35"/>
      <c r="Y24" s="35"/>
      <c r="Z24" s="35"/>
      <c r="AA24" s="35"/>
    </row>
    <row r="25" ht="15.75" customHeight="1">
      <c r="A25" s="57" t="s">
        <v>346</v>
      </c>
      <c r="B25" s="288">
        <v>290.0</v>
      </c>
      <c r="C25" s="289">
        <f t="shared" si="4"/>
        <v>36.25</v>
      </c>
      <c r="D25" s="289">
        <f t="shared" si="5"/>
        <v>50.3875</v>
      </c>
      <c r="E25" s="35"/>
      <c r="F25" s="35"/>
      <c r="G25" s="35"/>
      <c r="H25" s="275"/>
      <c r="I25" s="35"/>
      <c r="J25" s="35"/>
      <c r="K25" s="27"/>
      <c r="L25" s="27"/>
      <c r="M25" s="27"/>
      <c r="N25" s="35"/>
      <c r="O25" s="35"/>
      <c r="P25" s="35"/>
      <c r="Q25" s="35"/>
      <c r="R25" s="35"/>
      <c r="S25" s="35"/>
      <c r="T25" s="35"/>
      <c r="U25" s="35"/>
      <c r="V25" s="35"/>
      <c r="W25" s="35"/>
      <c r="X25" s="35"/>
      <c r="Y25" s="35"/>
      <c r="Z25" s="35"/>
      <c r="AA25" s="35"/>
    </row>
    <row r="26" ht="15.75" customHeight="1">
      <c r="A26" s="309"/>
      <c r="B26" s="310"/>
      <c r="C26" s="310"/>
      <c r="D26" s="310"/>
      <c r="E26" s="35"/>
      <c r="F26" s="35"/>
      <c r="G26" s="35"/>
      <c r="K26" s="33"/>
      <c r="L26" s="27"/>
      <c r="M26" s="27"/>
      <c r="N26" s="35"/>
      <c r="O26" s="35"/>
      <c r="P26" s="35"/>
      <c r="Q26" s="35"/>
      <c r="R26" s="35"/>
      <c r="S26" s="35"/>
      <c r="T26" s="35"/>
      <c r="U26" s="35"/>
      <c r="V26" s="35"/>
      <c r="W26" s="35"/>
      <c r="X26" s="35"/>
      <c r="Y26" s="35"/>
      <c r="Z26" s="35"/>
      <c r="AA26" s="35"/>
    </row>
    <row r="27" ht="15.75" customHeight="1">
      <c r="A27" s="309"/>
      <c r="B27" s="310"/>
      <c r="C27" s="310"/>
      <c r="D27" s="310"/>
      <c r="E27" s="35"/>
      <c r="F27" s="35"/>
      <c r="G27" s="35"/>
      <c r="K27" s="33"/>
      <c r="L27" s="27"/>
      <c r="M27" s="27"/>
      <c r="N27" s="35"/>
      <c r="O27" s="35"/>
      <c r="P27" s="35"/>
      <c r="Q27" s="35"/>
      <c r="R27" s="35"/>
      <c r="S27" s="35"/>
      <c r="T27" s="35"/>
      <c r="U27" s="35"/>
      <c r="V27" s="35"/>
      <c r="W27" s="35"/>
      <c r="X27" s="35"/>
      <c r="Y27" s="35"/>
      <c r="Z27" s="35"/>
      <c r="AA27" s="35"/>
    </row>
    <row r="28" ht="15.75" customHeight="1">
      <c r="A28" s="57" t="s">
        <v>95</v>
      </c>
      <c r="B28" s="288">
        <v>12.0</v>
      </c>
      <c r="C28" s="289">
        <f t="shared" ref="C28:C37" si="6">B28*1.39</f>
        <v>16.68</v>
      </c>
      <c r="D28" s="310"/>
      <c r="E28" s="35"/>
      <c r="F28" s="35"/>
      <c r="G28" s="35"/>
      <c r="H28" s="275"/>
      <c r="L28" s="27"/>
      <c r="M28" s="27"/>
      <c r="N28" s="35"/>
      <c r="O28" s="35"/>
      <c r="P28" s="35"/>
      <c r="Q28" s="35"/>
      <c r="R28" s="35"/>
      <c r="S28" s="35"/>
      <c r="T28" s="35"/>
      <c r="U28" s="35"/>
      <c r="V28" s="35"/>
      <c r="W28" s="35"/>
      <c r="X28" s="35"/>
      <c r="Y28" s="35"/>
      <c r="Z28" s="35"/>
      <c r="AA28" s="35"/>
    </row>
    <row r="29" ht="15.75" customHeight="1">
      <c r="A29" s="57" t="s">
        <v>336</v>
      </c>
      <c r="B29" s="288">
        <v>16.0</v>
      </c>
      <c r="C29" s="289">
        <f t="shared" si="6"/>
        <v>22.24</v>
      </c>
      <c r="D29" s="310"/>
      <c r="E29" s="35"/>
      <c r="F29" s="35"/>
      <c r="G29" s="35"/>
      <c r="L29" s="27"/>
      <c r="M29" s="27"/>
      <c r="N29" s="35"/>
      <c r="O29" s="35"/>
      <c r="P29" s="35"/>
      <c r="Q29" s="35"/>
      <c r="R29" s="35"/>
      <c r="S29" s="35"/>
      <c r="T29" s="35"/>
      <c r="U29" s="35"/>
      <c r="V29" s="35"/>
      <c r="W29" s="35"/>
      <c r="X29" s="35"/>
      <c r="Y29" s="35"/>
      <c r="Z29" s="35"/>
      <c r="AA29" s="35"/>
    </row>
    <row r="30" ht="15.75" customHeight="1">
      <c r="A30" s="57" t="s">
        <v>338</v>
      </c>
      <c r="B30" s="288">
        <v>15.0</v>
      </c>
      <c r="C30" s="289">
        <f t="shared" si="6"/>
        <v>20.85</v>
      </c>
      <c r="D30" s="310"/>
      <c r="E30" s="35"/>
      <c r="F30" s="35"/>
      <c r="G30" s="35"/>
      <c r="H30" s="275"/>
      <c r="I30" s="35"/>
      <c r="J30" s="35"/>
      <c r="K30" s="27"/>
      <c r="L30" s="27"/>
      <c r="M30" s="27"/>
      <c r="N30" s="35"/>
      <c r="O30" s="35"/>
      <c r="P30" s="35"/>
      <c r="Q30" s="35"/>
      <c r="R30" s="35"/>
      <c r="S30" s="35"/>
      <c r="T30" s="35"/>
      <c r="U30" s="35"/>
      <c r="V30" s="35"/>
      <c r="W30" s="35"/>
      <c r="X30" s="35"/>
      <c r="Y30" s="35"/>
      <c r="Z30" s="35"/>
      <c r="AA30" s="35"/>
    </row>
    <row r="31" ht="15.75" customHeight="1">
      <c r="A31" s="57" t="s">
        <v>290</v>
      </c>
      <c r="B31" s="288">
        <v>13.0</v>
      </c>
      <c r="C31" s="289">
        <f t="shared" si="6"/>
        <v>18.07</v>
      </c>
      <c r="D31" s="310"/>
      <c r="E31" s="35"/>
      <c r="F31" s="35"/>
      <c r="G31" s="35"/>
      <c r="H31" s="275"/>
      <c r="I31" s="35"/>
      <c r="J31" s="35"/>
      <c r="K31" s="27"/>
      <c r="L31" s="27"/>
      <c r="M31" s="27"/>
      <c r="N31" s="35"/>
      <c r="O31" s="35"/>
      <c r="P31" s="35"/>
      <c r="Q31" s="35"/>
      <c r="R31" s="35"/>
      <c r="S31" s="35"/>
      <c r="T31" s="35"/>
      <c r="U31" s="35"/>
      <c r="V31" s="35"/>
      <c r="W31" s="35"/>
      <c r="X31" s="35"/>
      <c r="Y31" s="35"/>
      <c r="Z31" s="35"/>
      <c r="AA31" s="35"/>
    </row>
    <row r="32" ht="15.75" customHeight="1">
      <c r="A32" s="57" t="s">
        <v>326</v>
      </c>
      <c r="B32" s="288">
        <v>13.0</v>
      </c>
      <c r="C32" s="289">
        <f t="shared" si="6"/>
        <v>18.07</v>
      </c>
      <c r="D32" s="310"/>
      <c r="E32" s="35"/>
      <c r="F32" s="35"/>
      <c r="G32" s="35"/>
      <c r="H32" s="275"/>
      <c r="I32" s="35"/>
      <c r="J32" s="35"/>
      <c r="K32" s="27"/>
      <c r="L32" s="27"/>
      <c r="M32" s="27"/>
      <c r="N32" s="35"/>
      <c r="O32" s="35"/>
      <c r="P32" s="35"/>
      <c r="Q32" s="35"/>
      <c r="R32" s="35"/>
      <c r="S32" s="35"/>
      <c r="T32" s="35"/>
      <c r="U32" s="35"/>
      <c r="V32" s="35"/>
      <c r="W32" s="35"/>
      <c r="X32" s="35"/>
      <c r="Y32" s="35"/>
      <c r="Z32" s="35"/>
      <c r="AA32" s="35"/>
    </row>
    <row r="33" ht="15.75" customHeight="1">
      <c r="A33" s="57" t="s">
        <v>291</v>
      </c>
      <c r="B33" s="288">
        <v>18.0</v>
      </c>
      <c r="C33" s="289">
        <f t="shared" si="6"/>
        <v>25.02</v>
      </c>
      <c r="D33" s="310"/>
      <c r="E33" s="35"/>
      <c r="F33" s="35"/>
      <c r="G33" s="35"/>
      <c r="H33" s="275"/>
      <c r="I33" s="35"/>
      <c r="J33" s="35"/>
      <c r="K33" s="27"/>
      <c r="L33" s="27"/>
      <c r="M33" s="27"/>
      <c r="N33" s="35"/>
      <c r="O33" s="35"/>
      <c r="P33" s="35"/>
      <c r="Q33" s="35"/>
      <c r="R33" s="35"/>
      <c r="S33" s="35"/>
      <c r="T33" s="35"/>
      <c r="U33" s="35"/>
      <c r="V33" s="35"/>
      <c r="W33" s="35"/>
      <c r="X33" s="35"/>
      <c r="Y33" s="35"/>
      <c r="Z33" s="35"/>
      <c r="AA33" s="35"/>
    </row>
    <row r="34" ht="15.75" customHeight="1">
      <c r="A34" s="57" t="s">
        <v>289</v>
      </c>
      <c r="B34" s="288">
        <v>28.0</v>
      </c>
      <c r="C34" s="289">
        <f t="shared" si="6"/>
        <v>38.92</v>
      </c>
      <c r="D34" s="310"/>
      <c r="E34" s="35"/>
      <c r="F34" s="35"/>
      <c r="G34" s="35"/>
      <c r="H34" s="275"/>
      <c r="I34" s="35"/>
      <c r="J34" s="35"/>
      <c r="K34" s="27"/>
      <c r="L34" s="27"/>
      <c r="M34" s="27"/>
      <c r="N34" s="35"/>
      <c r="O34" s="35"/>
      <c r="P34" s="35"/>
      <c r="Q34" s="35"/>
      <c r="R34" s="35"/>
      <c r="S34" s="35"/>
      <c r="T34" s="35"/>
      <c r="U34" s="35"/>
      <c r="V34" s="35"/>
      <c r="W34" s="35"/>
      <c r="X34" s="35"/>
      <c r="Y34" s="35"/>
      <c r="Z34" s="35"/>
      <c r="AA34" s="35"/>
    </row>
    <row r="35" ht="15.75" customHeight="1">
      <c r="A35" s="57" t="s">
        <v>342</v>
      </c>
      <c r="B35" s="288">
        <v>20.0</v>
      </c>
      <c r="C35" s="289">
        <f t="shared" si="6"/>
        <v>27.8</v>
      </c>
      <c r="D35" s="310"/>
      <c r="E35" s="35"/>
      <c r="F35" s="35"/>
      <c r="G35" s="35"/>
      <c r="H35" s="275"/>
      <c r="I35" s="35"/>
      <c r="J35" s="35"/>
      <c r="K35" s="27"/>
      <c r="L35" s="27"/>
      <c r="M35" s="27"/>
      <c r="N35" s="35"/>
      <c r="O35" s="35"/>
      <c r="P35" s="35"/>
      <c r="Q35" s="35"/>
      <c r="R35" s="35"/>
      <c r="S35" s="35"/>
      <c r="T35" s="35"/>
      <c r="U35" s="35"/>
      <c r="V35" s="35"/>
      <c r="W35" s="35"/>
      <c r="X35" s="35"/>
      <c r="Y35" s="35"/>
      <c r="Z35" s="35"/>
      <c r="AA35" s="35"/>
    </row>
    <row r="36" ht="15.75" customHeight="1">
      <c r="A36" s="57" t="s">
        <v>344</v>
      </c>
      <c r="B36" s="288">
        <v>12.0</v>
      </c>
      <c r="C36" s="289">
        <f t="shared" si="6"/>
        <v>16.68</v>
      </c>
      <c r="D36" s="310"/>
      <c r="E36" s="35"/>
      <c r="F36" s="35"/>
      <c r="G36" s="35"/>
      <c r="H36" s="275"/>
      <c r="I36" s="35"/>
      <c r="J36" s="35"/>
      <c r="K36" s="27"/>
      <c r="L36" s="27"/>
      <c r="M36" s="27"/>
      <c r="N36" s="35"/>
      <c r="O36" s="35"/>
      <c r="P36" s="35"/>
      <c r="Q36" s="35"/>
      <c r="R36" s="35"/>
      <c r="S36" s="35"/>
      <c r="T36" s="35"/>
      <c r="U36" s="35"/>
      <c r="V36" s="35"/>
      <c r="W36" s="35"/>
      <c r="X36" s="35"/>
      <c r="Y36" s="35"/>
      <c r="Z36" s="35"/>
      <c r="AA36" s="35"/>
    </row>
    <row r="37" ht="15.75" customHeight="1">
      <c r="A37" s="57" t="s">
        <v>346</v>
      </c>
      <c r="B37" s="288">
        <v>14.0</v>
      </c>
      <c r="C37" s="289">
        <f t="shared" si="6"/>
        <v>19.46</v>
      </c>
      <c r="D37" s="310"/>
      <c r="E37" s="35"/>
      <c r="F37" s="35"/>
      <c r="G37" s="35"/>
      <c r="H37" s="275"/>
      <c r="I37" s="35"/>
      <c r="J37" s="35"/>
      <c r="K37" s="27"/>
      <c r="L37" s="27"/>
      <c r="M37" s="27"/>
      <c r="N37" s="35"/>
      <c r="O37" s="35"/>
      <c r="P37" s="35"/>
      <c r="Q37" s="35"/>
      <c r="R37" s="35"/>
      <c r="S37" s="35"/>
      <c r="T37" s="35"/>
      <c r="U37" s="35"/>
      <c r="V37" s="35"/>
      <c r="W37" s="35"/>
      <c r="X37" s="35"/>
      <c r="Y37" s="35"/>
      <c r="Z37" s="35"/>
      <c r="AA37" s="35"/>
    </row>
    <row r="38" ht="15.75" customHeight="1">
      <c r="A38" s="35"/>
      <c r="B38" s="35"/>
      <c r="C38" s="27"/>
      <c r="D38" s="35"/>
      <c r="E38" s="35"/>
      <c r="F38" s="35"/>
      <c r="G38" s="35"/>
      <c r="H38" s="275"/>
      <c r="I38" s="35"/>
      <c r="J38" s="35"/>
      <c r="K38" s="27"/>
      <c r="L38" s="27"/>
      <c r="M38" s="27"/>
      <c r="N38" s="35"/>
      <c r="O38" s="35"/>
      <c r="P38" s="35"/>
      <c r="Q38" s="35"/>
      <c r="R38" s="35"/>
      <c r="S38" s="35"/>
      <c r="T38" s="35"/>
      <c r="U38" s="35"/>
      <c r="V38" s="35"/>
      <c r="W38" s="35"/>
      <c r="X38" s="35"/>
      <c r="Y38" s="35"/>
      <c r="Z38" s="35"/>
      <c r="AA38" s="35"/>
    </row>
    <row r="39" ht="15.75" customHeight="1">
      <c r="A39" s="35"/>
      <c r="B39" s="35"/>
      <c r="C39" s="27"/>
      <c r="D39" s="35"/>
      <c r="E39" s="35"/>
      <c r="F39" s="35"/>
      <c r="G39" s="35"/>
      <c r="H39" s="275"/>
      <c r="I39" s="35"/>
      <c r="J39" s="35"/>
      <c r="K39" s="27"/>
      <c r="L39" s="27"/>
      <c r="M39" s="27"/>
      <c r="N39" s="35"/>
      <c r="O39" s="35"/>
      <c r="P39" s="35"/>
      <c r="Q39" s="35"/>
      <c r="R39" s="35"/>
      <c r="S39" s="35"/>
      <c r="T39" s="35"/>
      <c r="U39" s="35"/>
      <c r="V39" s="35"/>
      <c r="W39" s="35"/>
      <c r="X39" s="35"/>
      <c r="Y39" s="35"/>
      <c r="Z39" s="35"/>
      <c r="AA39" s="35"/>
    </row>
    <row r="40" ht="15.75" customHeight="1">
      <c r="A40" s="35"/>
      <c r="B40" s="35"/>
      <c r="C40" s="27"/>
      <c r="D40" s="35"/>
      <c r="E40" s="35"/>
      <c r="F40" s="35"/>
      <c r="G40" s="35"/>
      <c r="H40" s="275"/>
      <c r="I40" s="35"/>
      <c r="J40" s="35"/>
      <c r="K40" s="27"/>
      <c r="L40" s="27"/>
      <c r="M40" s="27"/>
      <c r="N40" s="35"/>
      <c r="O40" s="35"/>
      <c r="P40" s="35"/>
      <c r="Q40" s="35"/>
      <c r="R40" s="35"/>
      <c r="S40" s="35"/>
      <c r="T40" s="35"/>
      <c r="U40" s="35"/>
      <c r="V40" s="35"/>
      <c r="W40" s="35"/>
      <c r="X40" s="35"/>
      <c r="Y40" s="35"/>
      <c r="Z40" s="35"/>
      <c r="AA40" s="35"/>
    </row>
    <row r="41" ht="15.75" customHeight="1">
      <c r="A41" s="35"/>
      <c r="B41" s="35"/>
      <c r="C41" s="27"/>
      <c r="D41" s="35"/>
      <c r="E41" s="35"/>
      <c r="F41" s="35"/>
      <c r="G41" s="35"/>
      <c r="H41" s="275"/>
      <c r="I41" s="35"/>
      <c r="J41" s="35"/>
      <c r="K41" s="27"/>
      <c r="L41" s="27"/>
      <c r="M41" s="27"/>
      <c r="N41" s="35"/>
      <c r="O41" s="35"/>
      <c r="P41" s="35"/>
      <c r="Q41" s="35"/>
      <c r="R41" s="35"/>
      <c r="S41" s="35"/>
      <c r="T41" s="35"/>
      <c r="U41" s="35"/>
      <c r="V41" s="35"/>
      <c r="W41" s="35"/>
      <c r="X41" s="35"/>
      <c r="Y41" s="35"/>
      <c r="Z41" s="35"/>
      <c r="AA41" s="35"/>
    </row>
    <row r="42" ht="15.75" customHeight="1">
      <c r="A42" s="35"/>
      <c r="B42" s="35"/>
      <c r="C42" s="27"/>
      <c r="D42" s="35"/>
      <c r="E42" s="35"/>
      <c r="F42" s="35"/>
      <c r="G42" s="35"/>
      <c r="H42" s="275"/>
      <c r="I42" s="35"/>
      <c r="J42" s="35"/>
      <c r="K42" s="27"/>
      <c r="L42" s="27"/>
      <c r="M42" s="27"/>
      <c r="N42" s="35"/>
      <c r="O42" s="35"/>
      <c r="P42" s="35"/>
      <c r="Q42" s="35"/>
      <c r="R42" s="35"/>
      <c r="S42" s="35"/>
      <c r="T42" s="35"/>
      <c r="U42" s="35"/>
      <c r="V42" s="35"/>
      <c r="W42" s="35"/>
      <c r="X42" s="35"/>
      <c r="Y42" s="35"/>
      <c r="Z42" s="35"/>
      <c r="AA42" s="35"/>
    </row>
    <row r="43" ht="15.75" customHeight="1">
      <c r="A43" s="35"/>
      <c r="B43" s="35"/>
      <c r="C43" s="27"/>
      <c r="D43" s="35"/>
      <c r="E43" s="35"/>
      <c r="F43" s="35"/>
      <c r="G43" s="35"/>
      <c r="H43" s="275"/>
      <c r="I43" s="35"/>
      <c r="J43" s="35"/>
      <c r="K43" s="27"/>
      <c r="L43" s="27"/>
      <c r="M43" s="27"/>
      <c r="N43" s="35"/>
      <c r="O43" s="35"/>
      <c r="P43" s="35"/>
      <c r="Q43" s="35"/>
      <c r="R43" s="35"/>
      <c r="S43" s="35"/>
      <c r="T43" s="35"/>
      <c r="U43" s="35"/>
      <c r="V43" s="35"/>
      <c r="W43" s="35"/>
      <c r="X43" s="35"/>
      <c r="Y43" s="35"/>
      <c r="Z43" s="35"/>
      <c r="AA43" s="35"/>
    </row>
    <row r="44" ht="15.75" customHeight="1">
      <c r="A44" s="35"/>
      <c r="B44" s="35"/>
      <c r="C44" s="27"/>
      <c r="D44" s="35"/>
      <c r="E44" s="35"/>
      <c r="F44" s="35"/>
      <c r="G44" s="35"/>
      <c r="H44" s="275"/>
      <c r="I44" s="35"/>
      <c r="J44" s="35"/>
      <c r="K44" s="27"/>
      <c r="L44" s="27"/>
      <c r="M44" s="27"/>
      <c r="N44" s="35"/>
      <c r="O44" s="35"/>
      <c r="P44" s="35"/>
      <c r="Q44" s="35"/>
      <c r="R44" s="35"/>
      <c r="S44" s="35"/>
      <c r="T44" s="35"/>
      <c r="U44" s="35"/>
      <c r="V44" s="35"/>
      <c r="W44" s="35"/>
      <c r="X44" s="35"/>
      <c r="Y44" s="35"/>
      <c r="Z44" s="35"/>
      <c r="AA44" s="35"/>
    </row>
    <row r="45" ht="15.75" customHeight="1">
      <c r="A45" s="35"/>
      <c r="B45" s="35"/>
      <c r="C45" s="27"/>
      <c r="D45" s="35"/>
      <c r="E45" s="35"/>
      <c r="F45" s="35"/>
      <c r="G45" s="35"/>
      <c r="H45" s="275"/>
      <c r="I45" s="35"/>
      <c r="J45" s="35"/>
      <c r="K45" s="27"/>
      <c r="L45" s="27"/>
      <c r="M45" s="27"/>
      <c r="N45" s="35"/>
      <c r="O45" s="35"/>
      <c r="P45" s="35"/>
      <c r="Q45" s="35"/>
      <c r="R45" s="35"/>
      <c r="S45" s="35"/>
      <c r="T45" s="35"/>
      <c r="U45" s="35"/>
      <c r="V45" s="35"/>
      <c r="W45" s="35"/>
      <c r="X45" s="35"/>
      <c r="Y45" s="35"/>
      <c r="Z45" s="35"/>
      <c r="AA45" s="35"/>
    </row>
    <row r="46" ht="15.75" customHeight="1">
      <c r="A46" s="35"/>
      <c r="B46" s="35"/>
      <c r="C46" s="27"/>
      <c r="D46" s="35"/>
      <c r="E46" s="35"/>
      <c r="F46" s="35"/>
      <c r="G46" s="35"/>
      <c r="H46" s="275"/>
      <c r="I46" s="35"/>
      <c r="J46" s="35"/>
      <c r="K46" s="27"/>
      <c r="L46" s="27"/>
      <c r="M46" s="27"/>
      <c r="N46" s="35"/>
      <c r="O46" s="35"/>
      <c r="P46" s="35"/>
      <c r="Q46" s="35"/>
      <c r="R46" s="35"/>
      <c r="S46" s="35"/>
      <c r="T46" s="35"/>
      <c r="U46" s="35"/>
      <c r="V46" s="35"/>
      <c r="W46" s="35"/>
      <c r="X46" s="35"/>
      <c r="Y46" s="35"/>
      <c r="Z46" s="35"/>
      <c r="AA46" s="35"/>
    </row>
    <row r="47" ht="15.75" customHeight="1">
      <c r="A47" s="35"/>
      <c r="B47" s="35"/>
      <c r="C47" s="27"/>
      <c r="D47" s="35"/>
      <c r="E47" s="35"/>
      <c r="F47" s="35"/>
      <c r="G47" s="35"/>
      <c r="H47" s="275"/>
      <c r="I47" s="35"/>
      <c r="J47" s="35"/>
      <c r="K47" s="27"/>
      <c r="L47" s="27"/>
      <c r="M47" s="27"/>
      <c r="N47" s="35"/>
      <c r="O47" s="35"/>
      <c r="P47" s="35"/>
      <c r="Q47" s="35"/>
      <c r="R47" s="35"/>
      <c r="S47" s="35"/>
      <c r="T47" s="35"/>
      <c r="U47" s="35"/>
      <c r="V47" s="35"/>
      <c r="W47" s="35"/>
      <c r="X47" s="35"/>
      <c r="Y47" s="35"/>
      <c r="Z47" s="35"/>
      <c r="AA47" s="35"/>
    </row>
    <row r="48" ht="15.75" customHeight="1">
      <c r="A48" s="35"/>
      <c r="B48" s="35"/>
      <c r="C48" s="27"/>
      <c r="D48" s="35"/>
      <c r="E48" s="35"/>
      <c r="F48" s="35"/>
      <c r="G48" s="35"/>
      <c r="H48" s="275"/>
      <c r="I48" s="35"/>
      <c r="J48" s="35"/>
      <c r="K48" s="27"/>
      <c r="L48" s="27"/>
      <c r="M48" s="27"/>
      <c r="N48" s="35"/>
      <c r="O48" s="35"/>
      <c r="P48" s="35"/>
      <c r="Q48" s="35"/>
      <c r="R48" s="35"/>
      <c r="S48" s="35"/>
      <c r="T48" s="35"/>
      <c r="U48" s="35"/>
      <c r="V48" s="35"/>
      <c r="W48" s="35"/>
      <c r="X48" s="35"/>
      <c r="Y48" s="35"/>
      <c r="Z48" s="35"/>
      <c r="AA48" s="35"/>
    </row>
    <row r="49" ht="15.75" customHeight="1">
      <c r="A49" s="35"/>
      <c r="B49" s="35"/>
      <c r="C49" s="27"/>
      <c r="D49" s="35"/>
      <c r="E49" s="35"/>
      <c r="F49" s="35"/>
      <c r="G49" s="35"/>
      <c r="H49" s="275"/>
      <c r="I49" s="35"/>
      <c r="J49" s="35"/>
      <c r="K49" s="27"/>
      <c r="L49" s="27"/>
      <c r="M49" s="27"/>
      <c r="N49" s="35"/>
      <c r="O49" s="35"/>
      <c r="P49" s="35"/>
      <c r="Q49" s="35"/>
      <c r="R49" s="35"/>
      <c r="S49" s="35"/>
      <c r="T49" s="35"/>
      <c r="U49" s="35"/>
      <c r="V49" s="35"/>
      <c r="W49" s="35"/>
      <c r="X49" s="35"/>
      <c r="Y49" s="35"/>
      <c r="Z49" s="35"/>
      <c r="AA49" s="35"/>
    </row>
    <row r="50" ht="15.75" customHeight="1">
      <c r="A50" s="35"/>
      <c r="B50" s="35"/>
      <c r="C50" s="27"/>
      <c r="D50" s="35"/>
      <c r="E50" s="35"/>
      <c r="F50" s="35"/>
      <c r="G50" s="35"/>
      <c r="H50" s="275"/>
      <c r="I50" s="35"/>
      <c r="J50" s="35"/>
      <c r="K50" s="27"/>
      <c r="L50" s="27"/>
      <c r="M50" s="27"/>
      <c r="N50" s="35"/>
      <c r="O50" s="35"/>
      <c r="P50" s="35"/>
      <c r="Q50" s="35"/>
      <c r="R50" s="35"/>
      <c r="S50" s="35"/>
      <c r="T50" s="35"/>
      <c r="U50" s="35"/>
      <c r="V50" s="35"/>
      <c r="W50" s="35"/>
      <c r="X50" s="35"/>
      <c r="Y50" s="35"/>
      <c r="Z50" s="35"/>
      <c r="AA50" s="35"/>
    </row>
    <row r="51" ht="15.75" customHeight="1">
      <c r="A51" s="35"/>
      <c r="B51" s="35"/>
      <c r="C51" s="27"/>
      <c r="D51" s="35"/>
      <c r="E51" s="35"/>
      <c r="F51" s="35"/>
      <c r="G51" s="35"/>
      <c r="H51" s="275"/>
      <c r="I51" s="35"/>
      <c r="J51" s="35"/>
      <c r="K51" s="27"/>
      <c r="L51" s="27"/>
      <c r="M51" s="27"/>
      <c r="N51" s="35"/>
      <c r="O51" s="35"/>
      <c r="P51" s="35"/>
      <c r="Q51" s="35"/>
      <c r="R51" s="35"/>
      <c r="S51" s="35"/>
      <c r="T51" s="35"/>
      <c r="U51" s="35"/>
      <c r="V51" s="35"/>
      <c r="W51" s="35"/>
      <c r="X51" s="35"/>
      <c r="Y51" s="35"/>
      <c r="Z51" s="35"/>
      <c r="AA51" s="35"/>
    </row>
    <row r="52" ht="15.75" customHeight="1">
      <c r="A52" s="35"/>
      <c r="B52" s="35"/>
      <c r="C52" s="27"/>
      <c r="D52" s="35"/>
      <c r="E52" s="35"/>
      <c r="F52" s="35"/>
      <c r="G52" s="35"/>
      <c r="H52" s="275"/>
      <c r="I52" s="35"/>
      <c r="J52" s="35"/>
      <c r="K52" s="27"/>
      <c r="L52" s="27"/>
      <c r="M52" s="27"/>
      <c r="N52" s="35"/>
      <c r="O52" s="35"/>
      <c r="P52" s="35"/>
      <c r="Q52" s="35"/>
      <c r="R52" s="35"/>
      <c r="S52" s="35"/>
      <c r="T52" s="35"/>
      <c r="U52" s="35"/>
      <c r="V52" s="35"/>
      <c r="W52" s="35"/>
      <c r="X52" s="35"/>
      <c r="Y52" s="35"/>
      <c r="Z52" s="35"/>
      <c r="AA52" s="35"/>
    </row>
    <row r="53" ht="15.75" customHeight="1">
      <c r="A53" s="35"/>
      <c r="B53" s="35"/>
      <c r="C53" s="27"/>
      <c r="D53" s="35"/>
      <c r="E53" s="35"/>
      <c r="F53" s="35"/>
      <c r="G53" s="35"/>
      <c r="H53" s="275"/>
      <c r="I53" s="35"/>
      <c r="J53" s="35"/>
      <c r="K53" s="27"/>
      <c r="L53" s="27"/>
      <c r="M53" s="27"/>
      <c r="N53" s="35"/>
      <c r="O53" s="35"/>
      <c r="P53" s="35"/>
      <c r="Q53" s="35"/>
      <c r="R53" s="35"/>
      <c r="S53" s="35"/>
      <c r="T53" s="35"/>
      <c r="U53" s="35"/>
      <c r="V53" s="35"/>
      <c r="W53" s="35"/>
      <c r="X53" s="35"/>
      <c r="Y53" s="35"/>
      <c r="Z53" s="35"/>
      <c r="AA53" s="35"/>
    </row>
    <row r="54" ht="15.75" customHeight="1">
      <c r="A54" s="35"/>
      <c r="B54" s="35"/>
      <c r="C54" s="27"/>
      <c r="D54" s="35"/>
      <c r="E54" s="35"/>
      <c r="F54" s="35"/>
      <c r="G54" s="35"/>
      <c r="H54" s="275"/>
      <c r="I54" s="35"/>
      <c r="J54" s="35"/>
      <c r="K54" s="27"/>
      <c r="L54" s="27"/>
      <c r="M54" s="27"/>
      <c r="N54" s="35"/>
      <c r="O54" s="35"/>
      <c r="P54" s="35"/>
      <c r="Q54" s="35"/>
      <c r="R54" s="35"/>
      <c r="S54" s="35"/>
      <c r="T54" s="35"/>
      <c r="U54" s="35"/>
      <c r="V54" s="35"/>
      <c r="W54" s="35"/>
      <c r="X54" s="35"/>
      <c r="Y54" s="35"/>
      <c r="Z54" s="35"/>
      <c r="AA54" s="35"/>
    </row>
    <row r="55" ht="15.75" customHeight="1">
      <c r="A55" s="35"/>
      <c r="B55" s="35"/>
      <c r="C55" s="27"/>
      <c r="D55" s="35"/>
      <c r="E55" s="35"/>
      <c r="F55" s="35"/>
      <c r="G55" s="35"/>
      <c r="H55" s="275"/>
      <c r="I55" s="35"/>
      <c r="J55" s="35"/>
      <c r="K55" s="27"/>
      <c r="L55" s="27"/>
      <c r="M55" s="27"/>
      <c r="N55" s="35"/>
      <c r="O55" s="35"/>
      <c r="P55" s="35"/>
      <c r="Q55" s="35"/>
      <c r="R55" s="35"/>
      <c r="S55" s="35"/>
      <c r="T55" s="35"/>
      <c r="U55" s="35"/>
      <c r="V55" s="35"/>
      <c r="W55" s="35"/>
      <c r="X55" s="35"/>
      <c r="Y55" s="35"/>
      <c r="Z55" s="35"/>
      <c r="AA55" s="35"/>
    </row>
    <row r="56" ht="15.75" customHeight="1">
      <c r="A56" s="35"/>
      <c r="B56" s="35"/>
      <c r="C56" s="27"/>
      <c r="D56" s="35"/>
      <c r="E56" s="35"/>
      <c r="F56" s="35"/>
      <c r="G56" s="35"/>
      <c r="H56" s="275"/>
      <c r="I56" s="35"/>
      <c r="J56" s="35"/>
      <c r="K56" s="27"/>
      <c r="L56" s="27"/>
      <c r="M56" s="27"/>
      <c r="N56" s="35"/>
      <c r="O56" s="35"/>
      <c r="P56" s="35"/>
      <c r="Q56" s="35"/>
      <c r="R56" s="35"/>
      <c r="S56" s="35"/>
      <c r="T56" s="35"/>
      <c r="U56" s="35"/>
      <c r="V56" s="35"/>
      <c r="W56" s="35"/>
      <c r="X56" s="35"/>
      <c r="Y56" s="35"/>
      <c r="Z56" s="35"/>
      <c r="AA56" s="35"/>
    </row>
    <row r="57" ht="15.75" customHeight="1">
      <c r="A57" s="35"/>
      <c r="B57" s="35"/>
      <c r="C57" s="27"/>
      <c r="D57" s="35"/>
      <c r="E57" s="35"/>
      <c r="F57" s="35"/>
      <c r="G57" s="35"/>
      <c r="H57" s="275"/>
      <c r="I57" s="35"/>
      <c r="J57" s="35"/>
      <c r="K57" s="27"/>
      <c r="L57" s="27"/>
      <c r="M57" s="27"/>
      <c r="N57" s="35"/>
      <c r="O57" s="35"/>
      <c r="P57" s="35"/>
      <c r="Q57" s="35"/>
      <c r="R57" s="35"/>
      <c r="S57" s="35"/>
      <c r="T57" s="35"/>
      <c r="U57" s="35"/>
      <c r="V57" s="35"/>
      <c r="W57" s="35"/>
      <c r="X57" s="35"/>
      <c r="Y57" s="35"/>
      <c r="Z57" s="35"/>
      <c r="AA57" s="35"/>
    </row>
    <row r="58" ht="15.75" customHeight="1">
      <c r="A58" s="35"/>
      <c r="B58" s="35"/>
      <c r="C58" s="27"/>
      <c r="D58" s="35"/>
      <c r="E58" s="35"/>
      <c r="F58" s="35"/>
      <c r="G58" s="35"/>
      <c r="H58" s="275"/>
      <c r="I58" s="35"/>
      <c r="J58" s="35"/>
      <c r="K58" s="27"/>
      <c r="L58" s="27"/>
      <c r="M58" s="27"/>
      <c r="N58" s="35"/>
      <c r="O58" s="35"/>
      <c r="P58" s="35"/>
      <c r="Q58" s="35"/>
      <c r="R58" s="35"/>
      <c r="S58" s="35"/>
      <c r="T58" s="35"/>
      <c r="U58" s="35"/>
      <c r="V58" s="35"/>
      <c r="W58" s="35"/>
      <c r="X58" s="35"/>
      <c r="Y58" s="35"/>
      <c r="Z58" s="35"/>
      <c r="AA58" s="35"/>
    </row>
    <row r="59" ht="15.75" customHeight="1">
      <c r="A59" s="35"/>
      <c r="B59" s="35"/>
      <c r="C59" s="27"/>
      <c r="D59" s="35"/>
      <c r="E59" s="35"/>
      <c r="F59" s="35"/>
      <c r="G59" s="35"/>
      <c r="H59" s="275"/>
      <c r="I59" s="35"/>
      <c r="J59" s="35"/>
      <c r="K59" s="27"/>
      <c r="L59" s="27"/>
      <c r="M59" s="27"/>
      <c r="N59" s="35"/>
      <c r="O59" s="35"/>
      <c r="P59" s="35"/>
      <c r="Q59" s="35"/>
      <c r="R59" s="35"/>
      <c r="S59" s="35"/>
      <c r="T59" s="35"/>
      <c r="U59" s="35"/>
      <c r="V59" s="35"/>
      <c r="W59" s="35"/>
      <c r="X59" s="35"/>
      <c r="Y59" s="35"/>
      <c r="Z59" s="35"/>
      <c r="AA59" s="35"/>
    </row>
    <row r="60" ht="15.75" customHeight="1">
      <c r="A60" s="35"/>
      <c r="B60" s="35"/>
      <c r="C60" s="27"/>
      <c r="D60" s="35"/>
      <c r="E60" s="35"/>
      <c r="F60" s="35"/>
      <c r="G60" s="35"/>
      <c r="H60" s="275"/>
      <c r="I60" s="35"/>
      <c r="J60" s="35"/>
      <c r="K60" s="27"/>
      <c r="L60" s="27"/>
      <c r="M60" s="27"/>
      <c r="N60" s="35"/>
      <c r="O60" s="35"/>
      <c r="P60" s="35"/>
      <c r="Q60" s="35"/>
      <c r="R60" s="35"/>
      <c r="S60" s="35"/>
      <c r="T60" s="35"/>
      <c r="U60" s="35"/>
      <c r="V60" s="35"/>
      <c r="W60" s="35"/>
      <c r="X60" s="35"/>
      <c r="Y60" s="35"/>
      <c r="Z60" s="35"/>
      <c r="AA60" s="35"/>
    </row>
    <row r="61" ht="15.75" customHeight="1">
      <c r="A61" s="35"/>
      <c r="B61" s="35"/>
      <c r="C61" s="27"/>
      <c r="D61" s="35"/>
      <c r="E61" s="35"/>
      <c r="F61" s="35"/>
      <c r="G61" s="35"/>
      <c r="H61" s="275"/>
      <c r="I61" s="35"/>
      <c r="J61" s="35"/>
      <c r="K61" s="27"/>
      <c r="L61" s="27"/>
      <c r="M61" s="27"/>
      <c r="N61" s="35"/>
      <c r="O61" s="35"/>
      <c r="P61" s="35"/>
      <c r="Q61" s="35"/>
      <c r="R61" s="35"/>
      <c r="S61" s="35"/>
      <c r="T61" s="35"/>
      <c r="U61" s="35"/>
      <c r="V61" s="35"/>
      <c r="W61" s="35"/>
      <c r="X61" s="35"/>
      <c r="Y61" s="35"/>
      <c r="Z61" s="35"/>
      <c r="AA61" s="35"/>
    </row>
    <row r="62" ht="15.75" customHeight="1">
      <c r="A62" s="35"/>
      <c r="B62" s="35"/>
      <c r="C62" s="27"/>
      <c r="D62" s="35"/>
      <c r="E62" s="35"/>
      <c r="F62" s="35"/>
      <c r="G62" s="35"/>
      <c r="H62" s="275"/>
      <c r="I62" s="35"/>
      <c r="J62" s="35"/>
      <c r="K62" s="27"/>
      <c r="L62" s="27"/>
      <c r="M62" s="27"/>
      <c r="N62" s="35"/>
      <c r="O62" s="35"/>
      <c r="P62" s="35"/>
      <c r="Q62" s="35"/>
      <c r="R62" s="35"/>
      <c r="S62" s="35"/>
      <c r="T62" s="35"/>
      <c r="U62" s="35"/>
      <c r="V62" s="35"/>
      <c r="W62" s="35"/>
      <c r="X62" s="35"/>
      <c r="Y62" s="35"/>
      <c r="Z62" s="35"/>
      <c r="AA62" s="35"/>
    </row>
    <row r="63" ht="15.75" customHeight="1">
      <c r="A63" s="35"/>
      <c r="B63" s="35"/>
      <c r="C63" s="27"/>
      <c r="D63" s="35"/>
      <c r="E63" s="35"/>
      <c r="F63" s="35"/>
      <c r="G63" s="35"/>
      <c r="H63" s="275"/>
      <c r="I63" s="35"/>
      <c r="J63" s="35"/>
      <c r="K63" s="27"/>
      <c r="L63" s="27"/>
      <c r="M63" s="27"/>
      <c r="N63" s="35"/>
      <c r="O63" s="35"/>
      <c r="P63" s="35"/>
      <c r="Q63" s="35"/>
      <c r="R63" s="35"/>
      <c r="S63" s="35"/>
      <c r="T63" s="35"/>
      <c r="U63" s="35"/>
      <c r="V63" s="35"/>
      <c r="W63" s="35"/>
      <c r="X63" s="35"/>
      <c r="Y63" s="35"/>
      <c r="Z63" s="35"/>
      <c r="AA63" s="35"/>
    </row>
    <row r="64" ht="15.75" customHeight="1">
      <c r="A64" s="35"/>
      <c r="B64" s="35"/>
      <c r="C64" s="27"/>
      <c r="D64" s="35"/>
      <c r="E64" s="35"/>
      <c r="F64" s="35"/>
      <c r="G64" s="35"/>
      <c r="H64" s="275"/>
      <c r="I64" s="35"/>
      <c r="J64" s="35"/>
      <c r="K64" s="27"/>
      <c r="L64" s="27"/>
      <c r="M64" s="27"/>
      <c r="N64" s="35"/>
      <c r="O64" s="35"/>
      <c r="P64" s="35"/>
      <c r="Q64" s="35"/>
      <c r="R64" s="35"/>
      <c r="S64" s="35"/>
      <c r="T64" s="35"/>
      <c r="U64" s="35"/>
      <c r="V64" s="35"/>
      <c r="W64" s="35"/>
      <c r="X64" s="35"/>
      <c r="Y64" s="35"/>
      <c r="Z64" s="35"/>
      <c r="AA64" s="35"/>
    </row>
    <row r="65" ht="15.75" customHeight="1">
      <c r="A65" s="35"/>
      <c r="B65" s="35"/>
      <c r="C65" s="27"/>
      <c r="D65" s="35"/>
      <c r="E65" s="35"/>
      <c r="F65" s="35"/>
      <c r="G65" s="35"/>
      <c r="H65" s="275"/>
      <c r="I65" s="35"/>
      <c r="J65" s="35"/>
      <c r="K65" s="27"/>
      <c r="L65" s="27"/>
      <c r="M65" s="27"/>
      <c r="N65" s="35"/>
      <c r="O65" s="35"/>
      <c r="P65" s="35"/>
      <c r="Q65" s="35"/>
      <c r="R65" s="35"/>
      <c r="S65" s="35"/>
      <c r="T65" s="35"/>
      <c r="U65" s="35"/>
      <c r="V65" s="35"/>
      <c r="W65" s="35"/>
      <c r="X65" s="35"/>
      <c r="Y65" s="35"/>
      <c r="Z65" s="35"/>
      <c r="AA65" s="35"/>
    </row>
    <row r="66" ht="15.75" customHeight="1">
      <c r="A66" s="35"/>
      <c r="B66" s="35"/>
      <c r="C66" s="27"/>
      <c r="D66" s="35"/>
      <c r="E66" s="35"/>
      <c r="F66" s="35"/>
      <c r="G66" s="35"/>
      <c r="H66" s="275"/>
      <c r="I66" s="35"/>
      <c r="J66" s="35"/>
      <c r="K66" s="27"/>
      <c r="L66" s="27"/>
      <c r="M66" s="27"/>
      <c r="N66" s="35"/>
      <c r="O66" s="35"/>
      <c r="P66" s="35"/>
      <c r="Q66" s="35"/>
      <c r="R66" s="35"/>
      <c r="S66" s="35"/>
      <c r="T66" s="35"/>
      <c r="U66" s="35"/>
      <c r="V66" s="35"/>
      <c r="W66" s="35"/>
      <c r="X66" s="35"/>
      <c r="Y66" s="35"/>
      <c r="Z66" s="35"/>
      <c r="AA66" s="35"/>
    </row>
    <row r="67" ht="15.75" customHeight="1">
      <c r="A67" s="35"/>
      <c r="B67" s="35"/>
      <c r="C67" s="27"/>
      <c r="D67" s="35"/>
      <c r="E67" s="35"/>
      <c r="F67" s="35"/>
      <c r="G67" s="35"/>
      <c r="H67" s="275"/>
      <c r="I67" s="35"/>
      <c r="J67" s="35"/>
      <c r="K67" s="27"/>
      <c r="L67" s="27"/>
      <c r="M67" s="27"/>
      <c r="N67" s="35"/>
      <c r="O67" s="35"/>
      <c r="P67" s="35"/>
      <c r="Q67" s="35"/>
      <c r="R67" s="35"/>
      <c r="S67" s="35"/>
      <c r="T67" s="35"/>
      <c r="U67" s="35"/>
      <c r="V67" s="35"/>
      <c r="W67" s="35"/>
      <c r="X67" s="35"/>
      <c r="Y67" s="35"/>
      <c r="Z67" s="35"/>
      <c r="AA67" s="35"/>
    </row>
    <row r="68" ht="15.75" customHeight="1">
      <c r="A68" s="35"/>
      <c r="B68" s="35"/>
      <c r="C68" s="27"/>
      <c r="D68" s="35"/>
      <c r="E68" s="35"/>
      <c r="F68" s="35"/>
      <c r="G68" s="35"/>
      <c r="H68" s="275"/>
      <c r="I68" s="35"/>
      <c r="J68" s="35"/>
      <c r="K68" s="27"/>
      <c r="L68" s="27"/>
      <c r="M68" s="27"/>
      <c r="N68" s="35"/>
      <c r="O68" s="35"/>
      <c r="P68" s="35"/>
      <c r="Q68" s="35"/>
      <c r="R68" s="35"/>
      <c r="S68" s="35"/>
      <c r="T68" s="35"/>
      <c r="U68" s="35"/>
      <c r="V68" s="35"/>
      <c r="W68" s="35"/>
      <c r="X68" s="35"/>
      <c r="Y68" s="35"/>
      <c r="Z68" s="35"/>
      <c r="AA68" s="35"/>
    </row>
    <row r="69" ht="15.75" customHeight="1">
      <c r="A69" s="35"/>
      <c r="B69" s="35"/>
      <c r="C69" s="27"/>
      <c r="D69" s="35"/>
      <c r="E69" s="35"/>
      <c r="F69" s="35"/>
      <c r="G69" s="35"/>
      <c r="H69" s="275"/>
      <c r="I69" s="35"/>
      <c r="J69" s="35"/>
      <c r="K69" s="27"/>
      <c r="L69" s="27"/>
      <c r="M69" s="27"/>
      <c r="N69" s="35"/>
      <c r="O69" s="35"/>
      <c r="P69" s="35"/>
      <c r="Q69" s="35"/>
      <c r="R69" s="35"/>
      <c r="S69" s="35"/>
      <c r="T69" s="35"/>
      <c r="U69" s="35"/>
      <c r="V69" s="35"/>
      <c r="W69" s="35"/>
      <c r="X69" s="35"/>
      <c r="Y69" s="35"/>
      <c r="Z69" s="35"/>
      <c r="AA69" s="35"/>
    </row>
    <row r="70" ht="15.75" customHeight="1">
      <c r="A70" s="35"/>
      <c r="B70" s="35"/>
      <c r="C70" s="27"/>
      <c r="D70" s="35"/>
      <c r="E70" s="35"/>
      <c r="F70" s="35"/>
      <c r="G70" s="35"/>
      <c r="H70" s="275"/>
      <c r="I70" s="35"/>
      <c r="J70" s="35"/>
      <c r="K70" s="27"/>
      <c r="L70" s="27"/>
      <c r="M70" s="27"/>
      <c r="N70" s="35"/>
      <c r="O70" s="35"/>
      <c r="P70" s="35"/>
      <c r="Q70" s="35"/>
      <c r="R70" s="35"/>
      <c r="S70" s="35"/>
      <c r="T70" s="35"/>
      <c r="U70" s="35"/>
      <c r="V70" s="35"/>
      <c r="W70" s="35"/>
      <c r="X70" s="35"/>
      <c r="Y70" s="35"/>
      <c r="Z70" s="35"/>
      <c r="AA70" s="35"/>
    </row>
    <row r="71" ht="15.75" customHeight="1">
      <c r="A71" s="35"/>
      <c r="B71" s="35"/>
      <c r="C71" s="27"/>
      <c r="D71" s="35"/>
      <c r="E71" s="35"/>
      <c r="F71" s="35"/>
      <c r="G71" s="35"/>
      <c r="H71" s="275"/>
      <c r="I71" s="35"/>
      <c r="J71" s="35"/>
      <c r="K71" s="27"/>
      <c r="L71" s="27"/>
      <c r="M71" s="27"/>
      <c r="N71" s="35"/>
      <c r="O71" s="35"/>
      <c r="P71" s="35"/>
      <c r="Q71" s="35"/>
      <c r="R71" s="35"/>
      <c r="S71" s="35"/>
      <c r="T71" s="35"/>
      <c r="U71" s="35"/>
      <c r="V71" s="35"/>
      <c r="W71" s="35"/>
      <c r="X71" s="35"/>
      <c r="Y71" s="35"/>
      <c r="Z71" s="35"/>
      <c r="AA71" s="35"/>
    </row>
    <row r="72" ht="15.75" customHeight="1">
      <c r="A72" s="35"/>
      <c r="B72" s="35"/>
      <c r="C72" s="27"/>
      <c r="D72" s="35"/>
      <c r="E72" s="35"/>
      <c r="F72" s="35"/>
      <c r="G72" s="35"/>
      <c r="H72" s="275"/>
      <c r="I72" s="35"/>
      <c r="J72" s="35"/>
      <c r="K72" s="27"/>
      <c r="L72" s="27"/>
      <c r="M72" s="27"/>
      <c r="N72" s="35"/>
      <c r="O72" s="35"/>
      <c r="P72" s="35"/>
      <c r="Q72" s="35"/>
      <c r="R72" s="35"/>
      <c r="S72" s="35"/>
      <c r="T72" s="35"/>
      <c r="U72" s="35"/>
      <c r="V72" s="35"/>
      <c r="W72" s="35"/>
      <c r="X72" s="35"/>
      <c r="Y72" s="35"/>
      <c r="Z72" s="35"/>
      <c r="AA72" s="35"/>
    </row>
    <row r="73" ht="15.75" customHeight="1">
      <c r="A73" s="35"/>
      <c r="B73" s="35"/>
      <c r="C73" s="27"/>
      <c r="D73" s="35"/>
      <c r="E73" s="35"/>
      <c r="F73" s="35"/>
      <c r="G73" s="35"/>
      <c r="H73" s="275"/>
      <c r="I73" s="35"/>
      <c r="J73" s="35"/>
      <c r="K73" s="27"/>
      <c r="L73" s="27"/>
      <c r="M73" s="27"/>
      <c r="N73" s="35"/>
      <c r="O73" s="35"/>
      <c r="P73" s="35"/>
      <c r="Q73" s="35"/>
      <c r="R73" s="35"/>
      <c r="S73" s="35"/>
      <c r="T73" s="35"/>
      <c r="U73" s="35"/>
      <c r="V73" s="35"/>
      <c r="W73" s="35"/>
      <c r="X73" s="35"/>
      <c r="Y73" s="35"/>
      <c r="Z73" s="35"/>
      <c r="AA73" s="35"/>
    </row>
    <row r="74" ht="15.75" customHeight="1">
      <c r="A74" s="35"/>
      <c r="B74" s="35"/>
      <c r="C74" s="27"/>
      <c r="D74" s="35"/>
      <c r="E74" s="35"/>
      <c r="F74" s="35"/>
      <c r="G74" s="35"/>
      <c r="H74" s="275"/>
      <c r="I74" s="35"/>
      <c r="J74" s="35"/>
      <c r="K74" s="27"/>
      <c r="L74" s="27"/>
      <c r="M74" s="27"/>
      <c r="N74" s="35"/>
      <c r="O74" s="35"/>
      <c r="P74" s="35"/>
      <c r="Q74" s="35"/>
      <c r="R74" s="35"/>
      <c r="S74" s="35"/>
      <c r="T74" s="35"/>
      <c r="U74" s="35"/>
      <c r="V74" s="35"/>
      <c r="W74" s="35"/>
      <c r="X74" s="35"/>
      <c r="Y74" s="35"/>
      <c r="Z74" s="35"/>
      <c r="AA74" s="35"/>
    </row>
    <row r="75" ht="15.75" customHeight="1">
      <c r="A75" s="35"/>
      <c r="B75" s="35"/>
      <c r="C75" s="27"/>
      <c r="D75" s="35"/>
      <c r="E75" s="35"/>
      <c r="F75" s="35"/>
      <c r="G75" s="35"/>
      <c r="H75" s="275"/>
      <c r="I75" s="35"/>
      <c r="J75" s="35"/>
      <c r="K75" s="27"/>
      <c r="L75" s="27"/>
      <c r="M75" s="27"/>
      <c r="N75" s="35"/>
      <c r="O75" s="35"/>
      <c r="P75" s="35"/>
      <c r="Q75" s="35"/>
      <c r="R75" s="35"/>
      <c r="S75" s="35"/>
      <c r="T75" s="35"/>
      <c r="U75" s="35"/>
      <c r="V75" s="35"/>
      <c r="W75" s="35"/>
      <c r="X75" s="35"/>
      <c r="Y75" s="35"/>
      <c r="Z75" s="35"/>
      <c r="AA75" s="35"/>
    </row>
    <row r="76" ht="15.75" customHeight="1">
      <c r="A76" s="35"/>
      <c r="B76" s="35"/>
      <c r="C76" s="27"/>
      <c r="D76" s="35"/>
      <c r="E76" s="35"/>
      <c r="F76" s="35"/>
      <c r="G76" s="35"/>
      <c r="H76" s="275"/>
      <c r="I76" s="35"/>
      <c r="J76" s="35"/>
      <c r="K76" s="27"/>
      <c r="L76" s="27"/>
      <c r="M76" s="27"/>
      <c r="N76" s="35"/>
      <c r="O76" s="35"/>
      <c r="P76" s="35"/>
      <c r="Q76" s="35"/>
      <c r="R76" s="35"/>
      <c r="S76" s="35"/>
      <c r="T76" s="35"/>
      <c r="U76" s="35"/>
      <c r="V76" s="35"/>
      <c r="W76" s="35"/>
      <c r="X76" s="35"/>
      <c r="Y76" s="35"/>
      <c r="Z76" s="35"/>
      <c r="AA76" s="35"/>
    </row>
    <row r="77" ht="15.75" customHeight="1">
      <c r="A77" s="35"/>
      <c r="B77" s="35"/>
      <c r="C77" s="27"/>
      <c r="D77" s="35"/>
      <c r="E77" s="35"/>
      <c r="F77" s="35"/>
      <c r="G77" s="35"/>
      <c r="H77" s="275"/>
      <c r="I77" s="35"/>
      <c r="J77" s="35"/>
      <c r="K77" s="27"/>
      <c r="L77" s="27"/>
      <c r="M77" s="27"/>
      <c r="N77" s="35"/>
      <c r="O77" s="35"/>
      <c r="P77" s="35"/>
      <c r="Q77" s="35"/>
      <c r="R77" s="35"/>
      <c r="S77" s="35"/>
      <c r="T77" s="35"/>
      <c r="U77" s="35"/>
      <c r="V77" s="35"/>
      <c r="W77" s="35"/>
      <c r="X77" s="35"/>
      <c r="Y77" s="35"/>
      <c r="Z77" s="35"/>
      <c r="AA77" s="35"/>
    </row>
    <row r="78" ht="15.75" customHeight="1">
      <c r="A78" s="35"/>
      <c r="B78" s="35"/>
      <c r="C78" s="27"/>
      <c r="D78" s="35"/>
      <c r="E78" s="35"/>
      <c r="F78" s="35"/>
      <c r="G78" s="35"/>
      <c r="H78" s="275"/>
      <c r="I78" s="35"/>
      <c r="J78" s="35"/>
      <c r="K78" s="27"/>
      <c r="L78" s="27"/>
      <c r="M78" s="27"/>
      <c r="N78" s="35"/>
      <c r="O78" s="35"/>
      <c r="P78" s="35"/>
      <c r="Q78" s="35"/>
      <c r="R78" s="35"/>
      <c r="S78" s="35"/>
      <c r="T78" s="35"/>
      <c r="U78" s="35"/>
      <c r="V78" s="35"/>
      <c r="W78" s="35"/>
      <c r="X78" s="35"/>
      <c r="Y78" s="35"/>
      <c r="Z78" s="35"/>
      <c r="AA78" s="35"/>
    </row>
    <row r="79" ht="15.75" customHeight="1">
      <c r="A79" s="35"/>
      <c r="B79" s="35"/>
      <c r="C79" s="27"/>
      <c r="D79" s="35"/>
      <c r="E79" s="35"/>
      <c r="F79" s="35"/>
      <c r="G79" s="35"/>
      <c r="H79" s="275"/>
      <c r="I79" s="35"/>
      <c r="J79" s="35"/>
      <c r="K79" s="27"/>
      <c r="L79" s="27"/>
      <c r="M79" s="27"/>
      <c r="N79" s="35"/>
      <c r="O79" s="35"/>
      <c r="P79" s="35"/>
      <c r="Q79" s="35"/>
      <c r="R79" s="35"/>
      <c r="S79" s="35"/>
      <c r="T79" s="35"/>
      <c r="U79" s="35"/>
      <c r="V79" s="35"/>
      <c r="W79" s="35"/>
      <c r="X79" s="35"/>
      <c r="Y79" s="35"/>
      <c r="Z79" s="35"/>
      <c r="AA79" s="35"/>
    </row>
    <row r="80" ht="15.75" customHeight="1">
      <c r="A80" s="35"/>
      <c r="B80" s="35"/>
      <c r="C80" s="27"/>
      <c r="D80" s="35"/>
      <c r="E80" s="35"/>
      <c r="F80" s="35"/>
      <c r="G80" s="35"/>
      <c r="H80" s="275"/>
      <c r="I80" s="35"/>
      <c r="J80" s="35"/>
      <c r="K80" s="27"/>
      <c r="L80" s="27"/>
      <c r="M80" s="27"/>
      <c r="N80" s="35"/>
      <c r="O80" s="35"/>
      <c r="P80" s="35"/>
      <c r="Q80" s="35"/>
      <c r="R80" s="35"/>
      <c r="S80" s="35"/>
      <c r="T80" s="35"/>
      <c r="U80" s="35"/>
      <c r="V80" s="35"/>
      <c r="W80" s="35"/>
      <c r="X80" s="35"/>
      <c r="Y80" s="35"/>
      <c r="Z80" s="35"/>
      <c r="AA80" s="35"/>
    </row>
    <row r="81" ht="15.75" customHeight="1">
      <c r="A81" s="35"/>
      <c r="B81" s="35"/>
      <c r="C81" s="27"/>
      <c r="D81" s="35"/>
      <c r="E81" s="35"/>
      <c r="F81" s="35"/>
      <c r="G81" s="35"/>
      <c r="H81" s="275"/>
      <c r="I81" s="35"/>
      <c r="J81" s="35"/>
      <c r="K81" s="27"/>
      <c r="L81" s="27"/>
      <c r="M81" s="27"/>
      <c r="N81" s="35"/>
      <c r="O81" s="35"/>
      <c r="P81" s="35"/>
      <c r="Q81" s="35"/>
      <c r="R81" s="35"/>
      <c r="S81" s="35"/>
      <c r="T81" s="35"/>
      <c r="U81" s="35"/>
      <c r="V81" s="35"/>
      <c r="W81" s="35"/>
      <c r="X81" s="35"/>
      <c r="Y81" s="35"/>
      <c r="Z81" s="35"/>
      <c r="AA81" s="35"/>
    </row>
    <row r="82" ht="15.75" customHeight="1">
      <c r="A82" s="35"/>
      <c r="B82" s="35"/>
      <c r="C82" s="27"/>
      <c r="D82" s="35"/>
      <c r="E82" s="35"/>
      <c r="F82" s="35"/>
      <c r="G82" s="35"/>
      <c r="H82" s="275"/>
      <c r="I82" s="35"/>
      <c r="J82" s="35"/>
      <c r="K82" s="27"/>
      <c r="L82" s="27"/>
      <c r="M82" s="27"/>
      <c r="N82" s="35"/>
      <c r="O82" s="35"/>
      <c r="P82" s="35"/>
      <c r="Q82" s="35"/>
      <c r="R82" s="35"/>
      <c r="S82" s="35"/>
      <c r="T82" s="35"/>
      <c r="U82" s="35"/>
      <c r="V82" s="35"/>
      <c r="W82" s="35"/>
      <c r="X82" s="35"/>
      <c r="Y82" s="35"/>
      <c r="Z82" s="35"/>
      <c r="AA82" s="35"/>
    </row>
    <row r="83" ht="15.75" customHeight="1">
      <c r="A83" s="35"/>
      <c r="B83" s="35"/>
      <c r="C83" s="27"/>
      <c r="D83" s="35"/>
      <c r="E83" s="35"/>
      <c r="F83" s="35"/>
      <c r="G83" s="35"/>
      <c r="H83" s="275"/>
      <c r="I83" s="35"/>
      <c r="J83" s="35"/>
      <c r="K83" s="27"/>
      <c r="L83" s="27"/>
      <c r="M83" s="27"/>
      <c r="N83" s="35"/>
      <c r="O83" s="35"/>
      <c r="P83" s="35"/>
      <c r="Q83" s="35"/>
      <c r="R83" s="35"/>
      <c r="S83" s="35"/>
      <c r="T83" s="35"/>
      <c r="U83" s="35"/>
      <c r="V83" s="35"/>
      <c r="W83" s="35"/>
      <c r="X83" s="35"/>
      <c r="Y83" s="35"/>
      <c r="Z83" s="35"/>
      <c r="AA83" s="35"/>
    </row>
    <row r="84" ht="15.75" customHeight="1">
      <c r="A84" s="35"/>
      <c r="B84" s="35"/>
      <c r="C84" s="27"/>
      <c r="D84" s="35"/>
      <c r="E84" s="35"/>
      <c r="F84" s="35"/>
      <c r="G84" s="35"/>
      <c r="H84" s="275"/>
      <c r="I84" s="35"/>
      <c r="J84" s="35"/>
      <c r="K84" s="27"/>
      <c r="L84" s="27"/>
      <c r="M84" s="27"/>
      <c r="N84" s="35"/>
      <c r="O84" s="35"/>
      <c r="P84" s="35"/>
      <c r="Q84" s="35"/>
      <c r="R84" s="35"/>
      <c r="S84" s="35"/>
      <c r="T84" s="35"/>
      <c r="U84" s="35"/>
      <c r="V84" s="35"/>
      <c r="W84" s="35"/>
      <c r="X84" s="35"/>
      <c r="Y84" s="35"/>
      <c r="Z84" s="35"/>
      <c r="AA84" s="35"/>
    </row>
    <row r="85" ht="15.75" customHeight="1">
      <c r="A85" s="35"/>
      <c r="B85" s="35"/>
      <c r="C85" s="27"/>
      <c r="D85" s="35"/>
      <c r="E85" s="35"/>
      <c r="F85" s="35"/>
      <c r="G85" s="35"/>
      <c r="H85" s="275"/>
      <c r="I85" s="35"/>
      <c r="J85" s="35"/>
      <c r="K85" s="27"/>
      <c r="L85" s="27"/>
      <c r="M85" s="27"/>
      <c r="N85" s="35"/>
      <c r="O85" s="35"/>
      <c r="P85" s="35"/>
      <c r="Q85" s="35"/>
      <c r="R85" s="35"/>
      <c r="S85" s="35"/>
      <c r="T85" s="35"/>
      <c r="U85" s="35"/>
      <c r="V85" s="35"/>
      <c r="W85" s="35"/>
      <c r="X85" s="35"/>
      <c r="Y85" s="35"/>
      <c r="Z85" s="35"/>
      <c r="AA85" s="35"/>
    </row>
    <row r="86" ht="15.75" customHeight="1">
      <c r="A86" s="35"/>
      <c r="B86" s="35"/>
      <c r="C86" s="27"/>
      <c r="D86" s="35"/>
      <c r="E86" s="35"/>
      <c r="F86" s="35"/>
      <c r="G86" s="35"/>
      <c r="H86" s="275"/>
      <c r="I86" s="35"/>
      <c r="J86" s="35"/>
      <c r="K86" s="27"/>
      <c r="L86" s="27"/>
      <c r="M86" s="27"/>
      <c r="N86" s="35"/>
      <c r="O86" s="35"/>
      <c r="P86" s="35"/>
      <c r="Q86" s="35"/>
      <c r="R86" s="35"/>
      <c r="S86" s="35"/>
      <c r="T86" s="35"/>
      <c r="U86" s="35"/>
      <c r="V86" s="35"/>
      <c r="W86" s="35"/>
      <c r="X86" s="35"/>
      <c r="Y86" s="35"/>
      <c r="Z86" s="35"/>
      <c r="AA86" s="35"/>
    </row>
    <row r="87" ht="15.75" customHeight="1">
      <c r="A87" s="35"/>
      <c r="B87" s="35"/>
      <c r="C87" s="27"/>
      <c r="D87" s="35"/>
      <c r="E87" s="35"/>
      <c r="F87" s="35"/>
      <c r="G87" s="35"/>
      <c r="H87" s="275"/>
      <c r="I87" s="35"/>
      <c r="J87" s="35"/>
      <c r="K87" s="27"/>
      <c r="L87" s="27"/>
      <c r="M87" s="27"/>
      <c r="N87" s="35"/>
      <c r="O87" s="35"/>
      <c r="P87" s="35"/>
      <c r="Q87" s="35"/>
      <c r="R87" s="35"/>
      <c r="S87" s="35"/>
      <c r="T87" s="35"/>
      <c r="U87" s="35"/>
      <c r="V87" s="35"/>
      <c r="W87" s="35"/>
      <c r="X87" s="35"/>
      <c r="Y87" s="35"/>
      <c r="Z87" s="35"/>
      <c r="AA87" s="35"/>
    </row>
    <row r="88" ht="15.75" customHeight="1">
      <c r="A88" s="35"/>
      <c r="B88" s="35"/>
      <c r="C88" s="27"/>
      <c r="D88" s="35"/>
      <c r="E88" s="35"/>
      <c r="F88" s="35"/>
      <c r="G88" s="35"/>
      <c r="H88" s="275"/>
      <c r="I88" s="35"/>
      <c r="J88" s="35"/>
      <c r="K88" s="27"/>
      <c r="L88" s="27"/>
      <c r="M88" s="27"/>
      <c r="N88" s="35"/>
      <c r="O88" s="35"/>
      <c r="P88" s="35"/>
      <c r="Q88" s="35"/>
      <c r="R88" s="35"/>
      <c r="S88" s="35"/>
      <c r="T88" s="35"/>
      <c r="U88" s="35"/>
      <c r="V88" s="35"/>
      <c r="W88" s="35"/>
      <c r="X88" s="35"/>
      <c r="Y88" s="35"/>
      <c r="Z88" s="35"/>
      <c r="AA88" s="35"/>
    </row>
    <row r="89" ht="15.75" customHeight="1">
      <c r="A89" s="35"/>
      <c r="B89" s="35"/>
      <c r="C89" s="27"/>
      <c r="D89" s="35"/>
      <c r="E89" s="35"/>
      <c r="F89" s="35"/>
      <c r="G89" s="35"/>
      <c r="H89" s="275"/>
      <c r="I89" s="35"/>
      <c r="J89" s="35"/>
      <c r="K89" s="27"/>
      <c r="L89" s="27"/>
      <c r="M89" s="27"/>
      <c r="N89" s="35"/>
      <c r="O89" s="35"/>
      <c r="P89" s="35"/>
      <c r="Q89" s="35"/>
      <c r="R89" s="35"/>
      <c r="S89" s="35"/>
      <c r="T89" s="35"/>
      <c r="U89" s="35"/>
      <c r="V89" s="35"/>
      <c r="W89" s="35"/>
      <c r="X89" s="35"/>
      <c r="Y89" s="35"/>
      <c r="Z89" s="35"/>
      <c r="AA89" s="35"/>
    </row>
    <row r="90" ht="15.75" customHeight="1">
      <c r="A90" s="35"/>
      <c r="B90" s="35"/>
      <c r="C90" s="27"/>
      <c r="D90" s="35"/>
      <c r="E90" s="35"/>
      <c r="F90" s="35"/>
      <c r="G90" s="35"/>
      <c r="H90" s="275"/>
      <c r="I90" s="35"/>
      <c r="J90" s="35"/>
      <c r="K90" s="27"/>
      <c r="L90" s="27"/>
      <c r="M90" s="27"/>
      <c r="N90" s="35"/>
      <c r="O90" s="35"/>
      <c r="P90" s="35"/>
      <c r="Q90" s="35"/>
      <c r="R90" s="35"/>
      <c r="S90" s="35"/>
      <c r="T90" s="35"/>
      <c r="U90" s="35"/>
      <c r="V90" s="35"/>
      <c r="W90" s="35"/>
      <c r="X90" s="35"/>
      <c r="Y90" s="35"/>
      <c r="Z90" s="35"/>
      <c r="AA90" s="35"/>
    </row>
    <row r="91" ht="15.75" customHeight="1">
      <c r="A91" s="35"/>
      <c r="B91" s="35"/>
      <c r="C91" s="27"/>
      <c r="D91" s="35"/>
      <c r="E91" s="35"/>
      <c r="F91" s="35"/>
      <c r="G91" s="35"/>
      <c r="H91" s="275"/>
      <c r="I91" s="35"/>
      <c r="J91" s="35"/>
      <c r="K91" s="27"/>
      <c r="L91" s="27"/>
      <c r="M91" s="27"/>
      <c r="N91" s="35"/>
      <c r="O91" s="35"/>
      <c r="P91" s="35"/>
      <c r="Q91" s="35"/>
      <c r="R91" s="35"/>
      <c r="S91" s="35"/>
      <c r="T91" s="35"/>
      <c r="U91" s="35"/>
      <c r="V91" s="35"/>
      <c r="W91" s="35"/>
      <c r="X91" s="35"/>
      <c r="Y91" s="35"/>
      <c r="Z91" s="35"/>
      <c r="AA91" s="35"/>
    </row>
    <row r="92" ht="15.75" customHeight="1">
      <c r="A92" s="35"/>
      <c r="B92" s="35"/>
      <c r="C92" s="27"/>
      <c r="D92" s="35"/>
      <c r="E92" s="35"/>
      <c r="F92" s="35"/>
      <c r="G92" s="35"/>
      <c r="H92" s="275"/>
      <c r="I92" s="35"/>
      <c r="J92" s="35"/>
      <c r="K92" s="27"/>
      <c r="L92" s="27"/>
      <c r="M92" s="27"/>
      <c r="N92" s="35"/>
      <c r="O92" s="35"/>
      <c r="P92" s="35"/>
      <c r="Q92" s="35"/>
      <c r="R92" s="35"/>
      <c r="S92" s="35"/>
      <c r="T92" s="35"/>
      <c r="U92" s="35"/>
      <c r="V92" s="35"/>
      <c r="W92" s="35"/>
      <c r="X92" s="35"/>
      <c r="Y92" s="35"/>
      <c r="Z92" s="35"/>
      <c r="AA92" s="35"/>
    </row>
    <row r="93" ht="15.75" customHeight="1">
      <c r="A93" s="35"/>
      <c r="B93" s="35"/>
      <c r="C93" s="27"/>
      <c r="D93" s="35"/>
      <c r="E93" s="35"/>
      <c r="F93" s="35"/>
      <c r="G93" s="35"/>
      <c r="H93" s="275"/>
      <c r="I93" s="35"/>
      <c r="J93" s="35"/>
      <c r="K93" s="27"/>
      <c r="L93" s="27"/>
      <c r="M93" s="27"/>
      <c r="N93" s="35"/>
      <c r="O93" s="35"/>
      <c r="P93" s="35"/>
      <c r="Q93" s="35"/>
      <c r="R93" s="35"/>
      <c r="S93" s="35"/>
      <c r="T93" s="35"/>
      <c r="U93" s="35"/>
      <c r="V93" s="35"/>
      <c r="W93" s="35"/>
      <c r="X93" s="35"/>
      <c r="Y93" s="35"/>
      <c r="Z93" s="35"/>
      <c r="AA93" s="35"/>
    </row>
    <row r="94" ht="15.75" customHeight="1">
      <c r="A94" s="35"/>
      <c r="B94" s="35"/>
      <c r="C94" s="27"/>
      <c r="D94" s="35"/>
      <c r="E94" s="35"/>
      <c r="F94" s="35"/>
      <c r="G94" s="35"/>
      <c r="H94" s="275"/>
      <c r="I94" s="35"/>
      <c r="J94" s="35"/>
      <c r="K94" s="27"/>
      <c r="L94" s="27"/>
      <c r="M94" s="27"/>
      <c r="N94" s="35"/>
      <c r="O94" s="35"/>
      <c r="P94" s="35"/>
      <c r="Q94" s="35"/>
      <c r="R94" s="35"/>
      <c r="S94" s="35"/>
      <c r="T94" s="35"/>
      <c r="U94" s="35"/>
      <c r="V94" s="35"/>
      <c r="W94" s="35"/>
      <c r="X94" s="35"/>
      <c r="Y94" s="35"/>
      <c r="Z94" s="35"/>
      <c r="AA94" s="35"/>
    </row>
    <row r="95" ht="15.75" customHeight="1">
      <c r="A95" s="35"/>
      <c r="B95" s="35"/>
      <c r="C95" s="27"/>
      <c r="D95" s="35"/>
      <c r="E95" s="35"/>
      <c r="F95" s="35"/>
      <c r="G95" s="35"/>
      <c r="H95" s="275"/>
      <c r="I95" s="35"/>
      <c r="J95" s="35"/>
      <c r="K95" s="27"/>
      <c r="L95" s="27"/>
      <c r="M95" s="27"/>
      <c r="N95" s="35"/>
      <c r="O95" s="35"/>
      <c r="P95" s="35"/>
      <c r="Q95" s="35"/>
      <c r="R95" s="35"/>
      <c r="S95" s="35"/>
      <c r="T95" s="35"/>
      <c r="U95" s="35"/>
      <c r="V95" s="35"/>
      <c r="W95" s="35"/>
      <c r="X95" s="35"/>
      <c r="Y95" s="35"/>
      <c r="Z95" s="35"/>
      <c r="AA95" s="35"/>
    </row>
    <row r="96" ht="15.75" customHeight="1">
      <c r="A96" s="35"/>
      <c r="B96" s="35"/>
      <c r="C96" s="27"/>
      <c r="D96" s="35"/>
      <c r="E96" s="35"/>
      <c r="F96" s="35"/>
      <c r="G96" s="35"/>
      <c r="H96" s="275"/>
      <c r="I96" s="35"/>
      <c r="J96" s="35"/>
      <c r="K96" s="27"/>
      <c r="L96" s="27"/>
      <c r="M96" s="27"/>
      <c r="N96" s="35"/>
      <c r="O96" s="35"/>
      <c r="P96" s="35"/>
      <c r="Q96" s="35"/>
      <c r="R96" s="35"/>
      <c r="S96" s="35"/>
      <c r="T96" s="35"/>
      <c r="U96" s="35"/>
      <c r="V96" s="35"/>
      <c r="W96" s="35"/>
      <c r="X96" s="35"/>
      <c r="Y96" s="35"/>
      <c r="Z96" s="35"/>
      <c r="AA96" s="35"/>
    </row>
    <row r="97" ht="15.75" customHeight="1">
      <c r="A97" s="35"/>
      <c r="B97" s="35"/>
      <c r="C97" s="27"/>
      <c r="D97" s="35"/>
      <c r="E97" s="35"/>
      <c r="F97" s="35"/>
      <c r="G97" s="35"/>
      <c r="H97" s="275"/>
      <c r="I97" s="35"/>
      <c r="J97" s="35"/>
      <c r="K97" s="27"/>
      <c r="L97" s="27"/>
      <c r="M97" s="27"/>
      <c r="N97" s="35"/>
      <c r="O97" s="35"/>
      <c r="P97" s="35"/>
      <c r="Q97" s="35"/>
      <c r="R97" s="35"/>
      <c r="S97" s="35"/>
      <c r="T97" s="35"/>
      <c r="U97" s="35"/>
      <c r="V97" s="35"/>
      <c r="W97" s="35"/>
      <c r="X97" s="35"/>
      <c r="Y97" s="35"/>
      <c r="Z97" s="35"/>
      <c r="AA97" s="35"/>
    </row>
    <row r="98" ht="15.75" customHeight="1">
      <c r="A98" s="35"/>
      <c r="B98" s="35"/>
      <c r="C98" s="27"/>
      <c r="D98" s="35"/>
      <c r="E98" s="35"/>
      <c r="F98" s="35"/>
      <c r="G98" s="35"/>
      <c r="H98" s="275"/>
      <c r="I98" s="35"/>
      <c r="J98" s="35"/>
      <c r="K98" s="27"/>
      <c r="L98" s="27"/>
      <c r="M98" s="27"/>
      <c r="N98" s="35"/>
      <c r="O98" s="35"/>
      <c r="P98" s="35"/>
      <c r="Q98" s="35"/>
      <c r="R98" s="35"/>
      <c r="S98" s="35"/>
      <c r="T98" s="35"/>
      <c r="U98" s="35"/>
      <c r="V98" s="35"/>
      <c r="W98" s="35"/>
      <c r="X98" s="35"/>
      <c r="Y98" s="35"/>
      <c r="Z98" s="35"/>
      <c r="AA98" s="35"/>
    </row>
    <row r="99" ht="15.75" customHeight="1">
      <c r="A99" s="35"/>
      <c r="B99" s="35"/>
      <c r="C99" s="27"/>
      <c r="D99" s="35"/>
      <c r="E99" s="35"/>
      <c r="F99" s="35"/>
      <c r="G99" s="35"/>
      <c r="H99" s="275"/>
      <c r="I99" s="35"/>
      <c r="J99" s="35"/>
      <c r="K99" s="27"/>
      <c r="L99" s="27"/>
      <c r="M99" s="27"/>
      <c r="N99" s="35"/>
      <c r="O99" s="35"/>
      <c r="P99" s="35"/>
      <c r="Q99" s="35"/>
      <c r="R99" s="35"/>
      <c r="S99" s="35"/>
      <c r="T99" s="35"/>
      <c r="U99" s="35"/>
      <c r="V99" s="35"/>
      <c r="W99" s="35"/>
      <c r="X99" s="35"/>
      <c r="Y99" s="35"/>
      <c r="Z99" s="35"/>
      <c r="AA99" s="35"/>
    </row>
    <row r="100" ht="15.75" customHeight="1">
      <c r="A100" s="35"/>
      <c r="B100" s="35"/>
      <c r="C100" s="27"/>
      <c r="D100" s="35"/>
      <c r="E100" s="35"/>
      <c r="F100" s="35"/>
      <c r="G100" s="35"/>
      <c r="H100" s="275"/>
      <c r="I100" s="35"/>
      <c r="J100" s="35"/>
      <c r="K100" s="27"/>
      <c r="L100" s="27"/>
      <c r="M100" s="27"/>
      <c r="N100" s="35"/>
      <c r="O100" s="35"/>
      <c r="P100" s="35"/>
      <c r="Q100" s="35"/>
      <c r="R100" s="35"/>
      <c r="S100" s="35"/>
      <c r="T100" s="35"/>
      <c r="U100" s="35"/>
      <c r="V100" s="35"/>
      <c r="W100" s="35"/>
      <c r="X100" s="35"/>
      <c r="Y100" s="35"/>
      <c r="Z100" s="35"/>
      <c r="AA100" s="35"/>
    </row>
    <row r="101" ht="15.75" customHeight="1">
      <c r="A101" s="35"/>
      <c r="B101" s="35"/>
      <c r="C101" s="27"/>
      <c r="D101" s="35"/>
      <c r="E101" s="35"/>
      <c r="F101" s="35"/>
      <c r="G101" s="35"/>
      <c r="H101" s="275"/>
      <c r="I101" s="35"/>
      <c r="J101" s="35"/>
      <c r="K101" s="27"/>
      <c r="L101" s="27"/>
      <c r="M101" s="27"/>
      <c r="N101" s="35"/>
      <c r="O101" s="35"/>
      <c r="P101" s="35"/>
      <c r="Q101" s="35"/>
      <c r="R101" s="35"/>
      <c r="S101" s="35"/>
      <c r="T101" s="35"/>
      <c r="U101" s="35"/>
      <c r="V101" s="35"/>
      <c r="W101" s="35"/>
      <c r="X101" s="35"/>
      <c r="Y101" s="35"/>
      <c r="Z101" s="35"/>
      <c r="AA101" s="35"/>
    </row>
    <row r="102" ht="15.75" customHeight="1">
      <c r="A102" s="35"/>
      <c r="B102" s="35"/>
      <c r="C102" s="27"/>
      <c r="D102" s="35"/>
      <c r="E102" s="35"/>
      <c r="F102" s="35"/>
      <c r="G102" s="35"/>
      <c r="H102" s="275"/>
      <c r="I102" s="35"/>
      <c r="J102" s="35"/>
      <c r="K102" s="27"/>
      <c r="L102" s="27"/>
      <c r="M102" s="27"/>
      <c r="N102" s="35"/>
      <c r="O102" s="35"/>
      <c r="P102" s="35"/>
      <c r="Q102" s="35"/>
      <c r="R102" s="35"/>
      <c r="S102" s="35"/>
      <c r="T102" s="35"/>
      <c r="U102" s="35"/>
      <c r="V102" s="35"/>
      <c r="W102" s="35"/>
      <c r="X102" s="35"/>
      <c r="Y102" s="35"/>
      <c r="Z102" s="35"/>
      <c r="AA102" s="35"/>
    </row>
    <row r="103" ht="15.75" customHeight="1">
      <c r="A103" s="35"/>
      <c r="B103" s="35"/>
      <c r="C103" s="27"/>
      <c r="D103" s="35"/>
      <c r="E103" s="35"/>
      <c r="F103" s="35"/>
      <c r="G103" s="35"/>
      <c r="H103" s="275"/>
      <c r="I103" s="35"/>
      <c r="J103" s="35"/>
      <c r="K103" s="27"/>
      <c r="L103" s="27"/>
      <c r="M103" s="27"/>
      <c r="N103" s="35"/>
      <c r="O103" s="35"/>
      <c r="P103" s="35"/>
      <c r="Q103" s="35"/>
      <c r="R103" s="35"/>
      <c r="S103" s="35"/>
      <c r="T103" s="35"/>
      <c r="U103" s="35"/>
      <c r="V103" s="35"/>
      <c r="W103" s="35"/>
      <c r="X103" s="35"/>
      <c r="Y103" s="35"/>
      <c r="Z103" s="35"/>
      <c r="AA103" s="35"/>
    </row>
    <row r="104" ht="15.75" customHeight="1">
      <c r="A104" s="35"/>
      <c r="B104" s="35"/>
      <c r="C104" s="27"/>
      <c r="D104" s="35"/>
      <c r="E104" s="35"/>
      <c r="F104" s="35"/>
      <c r="G104" s="35"/>
      <c r="H104" s="275"/>
      <c r="I104" s="35"/>
      <c r="J104" s="35"/>
      <c r="K104" s="27"/>
      <c r="L104" s="27"/>
      <c r="M104" s="27"/>
      <c r="N104" s="35"/>
      <c r="O104" s="35"/>
      <c r="P104" s="35"/>
      <c r="Q104" s="35"/>
      <c r="R104" s="35"/>
      <c r="S104" s="35"/>
      <c r="T104" s="35"/>
      <c r="U104" s="35"/>
      <c r="V104" s="35"/>
      <c r="W104" s="35"/>
      <c r="X104" s="35"/>
      <c r="Y104" s="35"/>
      <c r="Z104" s="35"/>
      <c r="AA104" s="35"/>
    </row>
    <row r="105" ht="15.75" customHeight="1">
      <c r="A105" s="35"/>
      <c r="B105" s="35"/>
      <c r="C105" s="27"/>
      <c r="D105" s="35"/>
      <c r="E105" s="35"/>
      <c r="F105" s="35"/>
      <c r="G105" s="35"/>
      <c r="H105" s="275"/>
      <c r="I105" s="35"/>
      <c r="J105" s="35"/>
      <c r="K105" s="27"/>
      <c r="L105" s="27"/>
      <c r="M105" s="27"/>
      <c r="N105" s="35"/>
      <c r="O105" s="35"/>
      <c r="P105" s="35"/>
      <c r="Q105" s="35"/>
      <c r="R105" s="35"/>
      <c r="S105" s="35"/>
      <c r="T105" s="35"/>
      <c r="U105" s="35"/>
      <c r="V105" s="35"/>
      <c r="W105" s="35"/>
      <c r="X105" s="35"/>
      <c r="Y105" s="35"/>
      <c r="Z105" s="35"/>
      <c r="AA105" s="35"/>
    </row>
    <row r="106" ht="15.75" customHeight="1">
      <c r="A106" s="35"/>
      <c r="B106" s="35"/>
      <c r="C106" s="27"/>
      <c r="D106" s="35"/>
      <c r="E106" s="35"/>
      <c r="F106" s="35"/>
      <c r="G106" s="35"/>
      <c r="H106" s="275"/>
      <c r="I106" s="35"/>
      <c r="J106" s="35"/>
      <c r="K106" s="27"/>
      <c r="L106" s="27"/>
      <c r="M106" s="27"/>
      <c r="N106" s="35"/>
      <c r="O106" s="35"/>
      <c r="P106" s="35"/>
      <c r="Q106" s="35"/>
      <c r="R106" s="35"/>
      <c r="S106" s="35"/>
      <c r="T106" s="35"/>
      <c r="U106" s="35"/>
      <c r="V106" s="35"/>
      <c r="W106" s="35"/>
      <c r="X106" s="35"/>
      <c r="Y106" s="35"/>
      <c r="Z106" s="35"/>
      <c r="AA106" s="35"/>
    </row>
    <row r="107" ht="15.75" customHeight="1">
      <c r="A107" s="35"/>
      <c r="B107" s="35"/>
      <c r="C107" s="27"/>
      <c r="D107" s="35"/>
      <c r="E107" s="35"/>
      <c r="F107" s="35"/>
      <c r="G107" s="35"/>
      <c r="H107" s="275"/>
      <c r="I107" s="35"/>
      <c r="J107" s="35"/>
      <c r="K107" s="27"/>
      <c r="L107" s="27"/>
      <c r="M107" s="27"/>
      <c r="N107" s="35"/>
      <c r="O107" s="35"/>
      <c r="P107" s="35"/>
      <c r="Q107" s="35"/>
      <c r="R107" s="35"/>
      <c r="S107" s="35"/>
      <c r="T107" s="35"/>
      <c r="U107" s="35"/>
      <c r="V107" s="35"/>
      <c r="W107" s="35"/>
      <c r="X107" s="35"/>
      <c r="Y107" s="35"/>
      <c r="Z107" s="35"/>
      <c r="AA107" s="35"/>
    </row>
    <row r="108" ht="15.75" customHeight="1">
      <c r="A108" s="35"/>
      <c r="B108" s="35"/>
      <c r="C108" s="27"/>
      <c r="D108" s="35"/>
      <c r="E108" s="35"/>
      <c r="F108" s="35"/>
      <c r="G108" s="35"/>
      <c r="H108" s="275"/>
      <c r="I108" s="35"/>
      <c r="J108" s="35"/>
      <c r="K108" s="27"/>
      <c r="L108" s="27"/>
      <c r="M108" s="27"/>
      <c r="N108" s="35"/>
      <c r="O108" s="35"/>
      <c r="P108" s="35"/>
      <c r="Q108" s="35"/>
      <c r="R108" s="35"/>
      <c r="S108" s="35"/>
      <c r="T108" s="35"/>
      <c r="U108" s="35"/>
      <c r="V108" s="35"/>
      <c r="W108" s="35"/>
      <c r="X108" s="35"/>
      <c r="Y108" s="35"/>
      <c r="Z108" s="35"/>
      <c r="AA108" s="35"/>
    </row>
    <row r="109" ht="15.75" customHeight="1">
      <c r="A109" s="35"/>
      <c r="B109" s="35"/>
      <c r="C109" s="27"/>
      <c r="D109" s="35"/>
      <c r="E109" s="35"/>
      <c r="F109" s="35"/>
      <c r="G109" s="35"/>
      <c r="H109" s="275"/>
      <c r="I109" s="35"/>
      <c r="J109" s="35"/>
      <c r="K109" s="27"/>
      <c r="L109" s="27"/>
      <c r="M109" s="27"/>
      <c r="N109" s="35"/>
      <c r="O109" s="35"/>
      <c r="P109" s="35"/>
      <c r="Q109" s="35"/>
      <c r="R109" s="35"/>
      <c r="S109" s="35"/>
      <c r="T109" s="35"/>
      <c r="U109" s="35"/>
      <c r="V109" s="35"/>
      <c r="W109" s="35"/>
      <c r="X109" s="35"/>
      <c r="Y109" s="35"/>
      <c r="Z109" s="35"/>
      <c r="AA109" s="35"/>
    </row>
    <row r="110" ht="15.75" customHeight="1">
      <c r="A110" s="35"/>
      <c r="B110" s="35"/>
      <c r="C110" s="27"/>
      <c r="D110" s="35"/>
      <c r="E110" s="35"/>
      <c r="F110" s="35"/>
      <c r="G110" s="35"/>
      <c r="H110" s="275"/>
      <c r="I110" s="35"/>
      <c r="J110" s="35"/>
      <c r="K110" s="27"/>
      <c r="L110" s="27"/>
      <c r="M110" s="27"/>
      <c r="N110" s="35"/>
      <c r="O110" s="35"/>
      <c r="P110" s="35"/>
      <c r="Q110" s="35"/>
      <c r="R110" s="35"/>
      <c r="S110" s="35"/>
      <c r="T110" s="35"/>
      <c r="U110" s="35"/>
      <c r="V110" s="35"/>
      <c r="W110" s="35"/>
      <c r="X110" s="35"/>
      <c r="Y110" s="35"/>
      <c r="Z110" s="35"/>
      <c r="AA110" s="35"/>
    </row>
    <row r="111" ht="15.75" customHeight="1">
      <c r="A111" s="35"/>
      <c r="B111" s="35"/>
      <c r="C111" s="27"/>
      <c r="D111" s="35"/>
      <c r="E111" s="35"/>
      <c r="F111" s="35"/>
      <c r="G111" s="35"/>
      <c r="H111" s="275"/>
      <c r="I111" s="35"/>
      <c r="J111" s="35"/>
      <c r="K111" s="27"/>
      <c r="L111" s="27"/>
      <c r="M111" s="27"/>
      <c r="N111" s="35"/>
      <c r="O111" s="35"/>
      <c r="P111" s="35"/>
      <c r="Q111" s="35"/>
      <c r="R111" s="35"/>
      <c r="S111" s="35"/>
      <c r="T111" s="35"/>
      <c r="U111" s="35"/>
      <c r="V111" s="35"/>
      <c r="W111" s="35"/>
      <c r="X111" s="35"/>
      <c r="Y111" s="35"/>
      <c r="Z111" s="35"/>
      <c r="AA111" s="35"/>
    </row>
    <row r="112" ht="15.75" customHeight="1">
      <c r="A112" s="35"/>
      <c r="B112" s="35"/>
      <c r="C112" s="27"/>
      <c r="D112" s="35"/>
      <c r="E112" s="35"/>
      <c r="F112" s="35"/>
      <c r="G112" s="35"/>
      <c r="H112" s="275"/>
      <c r="I112" s="35"/>
      <c r="J112" s="35"/>
      <c r="K112" s="27"/>
      <c r="L112" s="27"/>
      <c r="M112" s="27"/>
      <c r="N112" s="35"/>
      <c r="O112" s="35"/>
      <c r="P112" s="35"/>
      <c r="Q112" s="35"/>
      <c r="R112" s="35"/>
      <c r="S112" s="35"/>
      <c r="T112" s="35"/>
      <c r="U112" s="35"/>
      <c r="V112" s="35"/>
      <c r="W112" s="35"/>
      <c r="X112" s="35"/>
      <c r="Y112" s="35"/>
      <c r="Z112" s="35"/>
      <c r="AA112" s="35"/>
    </row>
    <row r="113" ht="15.75" customHeight="1">
      <c r="A113" s="35"/>
      <c r="B113" s="35"/>
      <c r="C113" s="27"/>
      <c r="D113" s="35"/>
      <c r="E113" s="35"/>
      <c r="F113" s="35"/>
      <c r="G113" s="35"/>
      <c r="H113" s="275"/>
      <c r="I113" s="35"/>
      <c r="J113" s="35"/>
      <c r="K113" s="27"/>
      <c r="L113" s="27"/>
      <c r="M113" s="27"/>
      <c r="N113" s="35"/>
      <c r="O113" s="35"/>
      <c r="P113" s="35"/>
      <c r="Q113" s="35"/>
      <c r="R113" s="35"/>
      <c r="S113" s="35"/>
      <c r="T113" s="35"/>
      <c r="U113" s="35"/>
      <c r="V113" s="35"/>
      <c r="W113" s="35"/>
      <c r="X113" s="35"/>
      <c r="Y113" s="35"/>
      <c r="Z113" s="35"/>
      <c r="AA113" s="35"/>
    </row>
    <row r="114" ht="15.75" customHeight="1">
      <c r="A114" s="35"/>
      <c r="B114" s="35"/>
      <c r="C114" s="27"/>
      <c r="D114" s="35"/>
      <c r="E114" s="35"/>
      <c r="F114" s="35"/>
      <c r="G114" s="35"/>
      <c r="H114" s="275"/>
      <c r="I114" s="35"/>
      <c r="J114" s="35"/>
      <c r="K114" s="27"/>
      <c r="L114" s="27"/>
      <c r="M114" s="27"/>
      <c r="N114" s="35"/>
      <c r="O114" s="35"/>
      <c r="P114" s="35"/>
      <c r="Q114" s="35"/>
      <c r="R114" s="35"/>
      <c r="S114" s="35"/>
      <c r="T114" s="35"/>
      <c r="U114" s="35"/>
      <c r="V114" s="35"/>
      <c r="W114" s="35"/>
      <c r="X114" s="35"/>
      <c r="Y114" s="35"/>
      <c r="Z114" s="35"/>
      <c r="AA114" s="35"/>
    </row>
    <row r="115" ht="15.75" customHeight="1">
      <c r="A115" s="35"/>
      <c r="B115" s="35"/>
      <c r="C115" s="27"/>
      <c r="D115" s="35"/>
      <c r="E115" s="35"/>
      <c r="F115" s="35"/>
      <c r="G115" s="35"/>
      <c r="H115" s="275"/>
      <c r="I115" s="35"/>
      <c r="J115" s="35"/>
      <c r="K115" s="27"/>
      <c r="L115" s="27"/>
      <c r="M115" s="27"/>
      <c r="N115" s="35"/>
      <c r="O115" s="35"/>
      <c r="P115" s="35"/>
      <c r="Q115" s="35"/>
      <c r="R115" s="35"/>
      <c r="S115" s="35"/>
      <c r="T115" s="35"/>
      <c r="U115" s="35"/>
      <c r="V115" s="35"/>
      <c r="W115" s="35"/>
      <c r="X115" s="35"/>
      <c r="Y115" s="35"/>
      <c r="Z115" s="35"/>
      <c r="AA115" s="35"/>
    </row>
    <row r="116" ht="15.75" customHeight="1">
      <c r="A116" s="35"/>
      <c r="B116" s="35"/>
      <c r="C116" s="27"/>
      <c r="D116" s="35"/>
      <c r="E116" s="35"/>
      <c r="F116" s="35"/>
      <c r="G116" s="35"/>
      <c r="H116" s="275"/>
      <c r="I116" s="35"/>
      <c r="J116" s="35"/>
      <c r="K116" s="27"/>
      <c r="L116" s="27"/>
      <c r="M116" s="27"/>
      <c r="N116" s="35"/>
      <c r="O116" s="35"/>
      <c r="P116" s="35"/>
      <c r="Q116" s="35"/>
      <c r="R116" s="35"/>
      <c r="S116" s="35"/>
      <c r="T116" s="35"/>
      <c r="U116" s="35"/>
      <c r="V116" s="35"/>
      <c r="W116" s="35"/>
      <c r="X116" s="35"/>
      <c r="Y116" s="35"/>
      <c r="Z116" s="35"/>
      <c r="AA116" s="35"/>
    </row>
    <row r="117" ht="15.75" customHeight="1">
      <c r="A117" s="35"/>
      <c r="B117" s="35"/>
      <c r="C117" s="27"/>
      <c r="D117" s="35"/>
      <c r="E117" s="35"/>
      <c r="F117" s="35"/>
      <c r="G117" s="35"/>
      <c r="H117" s="275"/>
      <c r="I117" s="35"/>
      <c r="J117" s="35"/>
      <c r="K117" s="27"/>
      <c r="L117" s="27"/>
      <c r="M117" s="27"/>
      <c r="N117" s="35"/>
      <c r="O117" s="35"/>
      <c r="P117" s="35"/>
      <c r="Q117" s="35"/>
      <c r="R117" s="35"/>
      <c r="S117" s="35"/>
      <c r="T117" s="35"/>
      <c r="U117" s="35"/>
      <c r="V117" s="35"/>
      <c r="W117" s="35"/>
      <c r="X117" s="35"/>
      <c r="Y117" s="35"/>
      <c r="Z117" s="35"/>
      <c r="AA117" s="35"/>
    </row>
    <row r="118" ht="15.75" customHeight="1">
      <c r="A118" s="35"/>
      <c r="B118" s="35"/>
      <c r="C118" s="27"/>
      <c r="D118" s="35"/>
      <c r="E118" s="35"/>
      <c r="F118" s="35"/>
      <c r="G118" s="35"/>
      <c r="H118" s="275"/>
      <c r="I118" s="35"/>
      <c r="J118" s="35"/>
      <c r="K118" s="27"/>
      <c r="L118" s="27"/>
      <c r="M118" s="27"/>
      <c r="N118" s="35"/>
      <c r="O118" s="35"/>
      <c r="P118" s="35"/>
      <c r="Q118" s="35"/>
      <c r="R118" s="35"/>
      <c r="S118" s="35"/>
      <c r="T118" s="35"/>
      <c r="U118" s="35"/>
      <c r="V118" s="35"/>
      <c r="W118" s="35"/>
      <c r="X118" s="35"/>
      <c r="Y118" s="35"/>
      <c r="Z118" s="35"/>
      <c r="AA118" s="35"/>
    </row>
    <row r="119" ht="15.75" customHeight="1">
      <c r="A119" s="35"/>
      <c r="B119" s="35"/>
      <c r="C119" s="27"/>
      <c r="D119" s="35"/>
      <c r="E119" s="35"/>
      <c r="F119" s="35"/>
      <c r="G119" s="35"/>
      <c r="H119" s="275"/>
      <c r="I119" s="35"/>
      <c r="J119" s="35"/>
      <c r="K119" s="27"/>
      <c r="L119" s="27"/>
      <c r="M119" s="27"/>
      <c r="N119" s="35"/>
      <c r="O119" s="35"/>
      <c r="P119" s="35"/>
      <c r="Q119" s="35"/>
      <c r="R119" s="35"/>
      <c r="S119" s="35"/>
      <c r="T119" s="35"/>
      <c r="U119" s="35"/>
      <c r="V119" s="35"/>
      <c r="W119" s="35"/>
      <c r="X119" s="35"/>
      <c r="Y119" s="35"/>
      <c r="Z119" s="35"/>
      <c r="AA119" s="35"/>
    </row>
    <row r="120" ht="15.75" customHeight="1">
      <c r="A120" s="35"/>
      <c r="B120" s="35"/>
      <c r="C120" s="27"/>
      <c r="D120" s="35"/>
      <c r="E120" s="35"/>
      <c r="F120" s="35"/>
      <c r="G120" s="35"/>
      <c r="H120" s="275"/>
      <c r="I120" s="35"/>
      <c r="J120" s="35"/>
      <c r="K120" s="27"/>
      <c r="L120" s="27"/>
      <c r="M120" s="27"/>
      <c r="N120" s="35"/>
      <c r="O120" s="35"/>
      <c r="P120" s="35"/>
      <c r="Q120" s="35"/>
      <c r="R120" s="35"/>
      <c r="S120" s="35"/>
      <c r="T120" s="35"/>
      <c r="U120" s="35"/>
      <c r="V120" s="35"/>
      <c r="W120" s="35"/>
      <c r="X120" s="35"/>
      <c r="Y120" s="35"/>
      <c r="Z120" s="35"/>
      <c r="AA120" s="35"/>
    </row>
    <row r="121" ht="15.75" customHeight="1">
      <c r="A121" s="35"/>
      <c r="B121" s="35"/>
      <c r="C121" s="27"/>
      <c r="D121" s="35"/>
      <c r="E121" s="35"/>
      <c r="F121" s="35"/>
      <c r="G121" s="35"/>
      <c r="H121" s="275"/>
      <c r="I121" s="35"/>
      <c r="J121" s="35"/>
      <c r="K121" s="27"/>
      <c r="L121" s="27"/>
      <c r="M121" s="27"/>
      <c r="N121" s="35"/>
      <c r="O121" s="35"/>
      <c r="P121" s="35"/>
      <c r="Q121" s="35"/>
      <c r="R121" s="35"/>
      <c r="S121" s="35"/>
      <c r="T121" s="35"/>
      <c r="U121" s="35"/>
      <c r="V121" s="35"/>
      <c r="W121" s="35"/>
      <c r="X121" s="35"/>
      <c r="Y121" s="35"/>
      <c r="Z121" s="35"/>
      <c r="AA121" s="35"/>
    </row>
    <row r="122" ht="15.75" customHeight="1">
      <c r="A122" s="35"/>
      <c r="B122" s="35"/>
      <c r="C122" s="27"/>
      <c r="D122" s="35"/>
      <c r="E122" s="35"/>
      <c r="F122" s="35"/>
      <c r="G122" s="35"/>
      <c r="H122" s="275"/>
      <c r="I122" s="35"/>
      <c r="J122" s="35"/>
      <c r="K122" s="27"/>
      <c r="L122" s="27"/>
      <c r="M122" s="27"/>
      <c r="N122" s="35"/>
      <c r="O122" s="35"/>
      <c r="P122" s="35"/>
      <c r="Q122" s="35"/>
      <c r="R122" s="35"/>
      <c r="S122" s="35"/>
      <c r="T122" s="35"/>
      <c r="U122" s="35"/>
      <c r="V122" s="35"/>
      <c r="W122" s="35"/>
      <c r="X122" s="35"/>
      <c r="Y122" s="35"/>
      <c r="Z122" s="35"/>
      <c r="AA122" s="35"/>
    </row>
    <row r="123" ht="15.75" customHeight="1">
      <c r="A123" s="35"/>
      <c r="B123" s="35"/>
      <c r="C123" s="27"/>
      <c r="D123" s="35"/>
      <c r="E123" s="35"/>
      <c r="F123" s="35"/>
      <c r="G123" s="35"/>
      <c r="H123" s="275"/>
      <c r="I123" s="35"/>
      <c r="J123" s="35"/>
      <c r="K123" s="27"/>
      <c r="L123" s="27"/>
      <c r="M123" s="27"/>
      <c r="N123" s="35"/>
      <c r="O123" s="35"/>
      <c r="P123" s="35"/>
      <c r="Q123" s="35"/>
      <c r="R123" s="35"/>
      <c r="S123" s="35"/>
      <c r="T123" s="35"/>
      <c r="U123" s="35"/>
      <c r="V123" s="35"/>
      <c r="W123" s="35"/>
      <c r="X123" s="35"/>
      <c r="Y123" s="35"/>
      <c r="Z123" s="35"/>
      <c r="AA123" s="35"/>
    </row>
    <row r="124" ht="15.75" customHeight="1">
      <c r="A124" s="35"/>
      <c r="B124" s="35"/>
      <c r="C124" s="27"/>
      <c r="D124" s="35"/>
      <c r="E124" s="35"/>
      <c r="F124" s="35"/>
      <c r="G124" s="35"/>
      <c r="H124" s="275"/>
      <c r="I124" s="35"/>
      <c r="J124" s="35"/>
      <c r="K124" s="27"/>
      <c r="L124" s="27"/>
      <c r="M124" s="27"/>
      <c r="N124" s="35"/>
      <c r="O124" s="35"/>
      <c r="P124" s="35"/>
      <c r="Q124" s="35"/>
      <c r="R124" s="35"/>
      <c r="S124" s="35"/>
      <c r="T124" s="35"/>
      <c r="U124" s="35"/>
      <c r="V124" s="35"/>
      <c r="W124" s="35"/>
      <c r="X124" s="35"/>
      <c r="Y124" s="35"/>
      <c r="Z124" s="35"/>
      <c r="AA124" s="35"/>
    </row>
    <row r="125" ht="15.75" customHeight="1">
      <c r="A125" s="35"/>
      <c r="B125" s="35"/>
      <c r="C125" s="27"/>
      <c r="D125" s="35"/>
      <c r="E125" s="35"/>
      <c r="F125" s="35"/>
      <c r="G125" s="35"/>
      <c r="H125" s="275"/>
      <c r="I125" s="35"/>
      <c r="J125" s="35"/>
      <c r="K125" s="27"/>
      <c r="L125" s="27"/>
      <c r="M125" s="27"/>
      <c r="N125" s="35"/>
      <c r="O125" s="35"/>
      <c r="P125" s="35"/>
      <c r="Q125" s="35"/>
      <c r="R125" s="35"/>
      <c r="S125" s="35"/>
      <c r="T125" s="35"/>
      <c r="U125" s="35"/>
      <c r="V125" s="35"/>
      <c r="W125" s="35"/>
      <c r="X125" s="35"/>
      <c r="Y125" s="35"/>
      <c r="Z125" s="35"/>
      <c r="AA125" s="35"/>
    </row>
    <row r="126" ht="15.75" customHeight="1">
      <c r="A126" s="35"/>
      <c r="B126" s="35"/>
      <c r="C126" s="27"/>
      <c r="D126" s="35"/>
      <c r="E126" s="35"/>
      <c r="F126" s="35"/>
      <c r="G126" s="35"/>
      <c r="H126" s="275"/>
      <c r="I126" s="35"/>
      <c r="J126" s="35"/>
      <c r="K126" s="27"/>
      <c r="L126" s="27"/>
      <c r="M126" s="27"/>
      <c r="N126" s="35"/>
      <c r="O126" s="35"/>
      <c r="P126" s="35"/>
      <c r="Q126" s="35"/>
      <c r="R126" s="35"/>
      <c r="S126" s="35"/>
      <c r="T126" s="35"/>
      <c r="U126" s="35"/>
      <c r="V126" s="35"/>
      <c r="W126" s="35"/>
      <c r="X126" s="35"/>
      <c r="Y126" s="35"/>
      <c r="Z126" s="35"/>
      <c r="AA126" s="35"/>
    </row>
    <row r="127" ht="15.75" customHeight="1">
      <c r="A127" s="35"/>
      <c r="B127" s="35"/>
      <c r="C127" s="27"/>
      <c r="D127" s="35"/>
      <c r="E127" s="35"/>
      <c r="F127" s="35"/>
      <c r="G127" s="35"/>
      <c r="H127" s="275"/>
      <c r="I127" s="35"/>
      <c r="J127" s="35"/>
      <c r="K127" s="27"/>
      <c r="L127" s="27"/>
      <c r="M127" s="27"/>
      <c r="N127" s="35"/>
      <c r="O127" s="35"/>
      <c r="P127" s="35"/>
      <c r="Q127" s="35"/>
      <c r="R127" s="35"/>
      <c r="S127" s="35"/>
      <c r="T127" s="35"/>
      <c r="U127" s="35"/>
      <c r="V127" s="35"/>
      <c r="W127" s="35"/>
      <c r="X127" s="35"/>
      <c r="Y127" s="35"/>
      <c r="Z127" s="35"/>
      <c r="AA127" s="35"/>
    </row>
    <row r="128" ht="15.75" customHeight="1">
      <c r="A128" s="35"/>
      <c r="B128" s="35"/>
      <c r="C128" s="27"/>
      <c r="D128" s="35"/>
      <c r="E128" s="35"/>
      <c r="F128" s="35"/>
      <c r="G128" s="35"/>
      <c r="H128" s="275"/>
      <c r="I128" s="35"/>
      <c r="J128" s="35"/>
      <c r="K128" s="27"/>
      <c r="L128" s="27"/>
      <c r="M128" s="27"/>
      <c r="N128" s="35"/>
      <c r="O128" s="35"/>
      <c r="P128" s="35"/>
      <c r="Q128" s="35"/>
      <c r="R128" s="35"/>
      <c r="S128" s="35"/>
      <c r="T128" s="35"/>
      <c r="U128" s="35"/>
      <c r="V128" s="35"/>
      <c r="W128" s="35"/>
      <c r="X128" s="35"/>
      <c r="Y128" s="35"/>
      <c r="Z128" s="35"/>
      <c r="AA128" s="35"/>
    </row>
    <row r="129" ht="15.75" customHeight="1">
      <c r="A129" s="35"/>
      <c r="B129" s="35"/>
      <c r="C129" s="27"/>
      <c r="D129" s="35"/>
      <c r="E129" s="35"/>
      <c r="F129" s="35"/>
      <c r="G129" s="35"/>
      <c r="H129" s="275"/>
      <c r="I129" s="35"/>
      <c r="J129" s="35"/>
      <c r="K129" s="27"/>
      <c r="L129" s="27"/>
      <c r="M129" s="27"/>
      <c r="N129" s="35"/>
      <c r="O129" s="35"/>
      <c r="P129" s="35"/>
      <c r="Q129" s="35"/>
      <c r="R129" s="35"/>
      <c r="S129" s="35"/>
      <c r="T129" s="35"/>
      <c r="U129" s="35"/>
      <c r="V129" s="35"/>
      <c r="W129" s="35"/>
      <c r="X129" s="35"/>
      <c r="Y129" s="35"/>
      <c r="Z129" s="35"/>
      <c r="AA129" s="35"/>
    </row>
    <row r="130" ht="15.75" customHeight="1">
      <c r="A130" s="35"/>
      <c r="B130" s="35"/>
      <c r="C130" s="27"/>
      <c r="D130" s="35"/>
      <c r="E130" s="35"/>
      <c r="F130" s="35"/>
      <c r="G130" s="35"/>
      <c r="H130" s="275"/>
      <c r="I130" s="35"/>
      <c r="J130" s="35"/>
      <c r="K130" s="27"/>
      <c r="L130" s="27"/>
      <c r="M130" s="27"/>
      <c r="N130" s="35"/>
      <c r="O130" s="35"/>
      <c r="P130" s="35"/>
      <c r="Q130" s="35"/>
      <c r="R130" s="35"/>
      <c r="S130" s="35"/>
      <c r="T130" s="35"/>
      <c r="U130" s="35"/>
      <c r="V130" s="35"/>
      <c r="W130" s="35"/>
      <c r="X130" s="35"/>
      <c r="Y130" s="35"/>
      <c r="Z130" s="35"/>
      <c r="AA130" s="35"/>
    </row>
    <row r="131" ht="15.75" customHeight="1">
      <c r="A131" s="35"/>
      <c r="B131" s="35"/>
      <c r="C131" s="27"/>
      <c r="D131" s="35"/>
      <c r="E131" s="35"/>
      <c r="F131" s="35"/>
      <c r="G131" s="35"/>
      <c r="H131" s="275"/>
      <c r="I131" s="35"/>
      <c r="J131" s="35"/>
      <c r="K131" s="27"/>
      <c r="L131" s="27"/>
      <c r="M131" s="27"/>
      <c r="N131" s="35"/>
      <c r="O131" s="35"/>
      <c r="P131" s="35"/>
      <c r="Q131" s="35"/>
      <c r="R131" s="35"/>
      <c r="S131" s="35"/>
      <c r="T131" s="35"/>
      <c r="U131" s="35"/>
      <c r="V131" s="35"/>
      <c r="W131" s="35"/>
      <c r="X131" s="35"/>
      <c r="Y131" s="35"/>
      <c r="Z131" s="35"/>
      <c r="AA131" s="35"/>
    </row>
    <row r="132" ht="15.75" customHeight="1">
      <c r="A132" s="35"/>
      <c r="B132" s="35"/>
      <c r="C132" s="27"/>
      <c r="D132" s="35"/>
      <c r="E132" s="35"/>
      <c r="F132" s="35"/>
      <c r="G132" s="35"/>
      <c r="H132" s="275"/>
      <c r="I132" s="35"/>
      <c r="J132" s="35"/>
      <c r="K132" s="27"/>
      <c r="L132" s="27"/>
      <c r="M132" s="27"/>
      <c r="N132" s="35"/>
      <c r="O132" s="35"/>
      <c r="P132" s="35"/>
      <c r="Q132" s="35"/>
      <c r="R132" s="35"/>
      <c r="S132" s="35"/>
      <c r="T132" s="35"/>
      <c r="U132" s="35"/>
      <c r="V132" s="35"/>
      <c r="W132" s="35"/>
      <c r="X132" s="35"/>
      <c r="Y132" s="35"/>
      <c r="Z132" s="35"/>
      <c r="AA132" s="35"/>
    </row>
    <row r="133" ht="15.75" customHeight="1">
      <c r="A133" s="35"/>
      <c r="B133" s="35"/>
      <c r="C133" s="27"/>
      <c r="D133" s="35"/>
      <c r="E133" s="35"/>
      <c r="F133" s="35"/>
      <c r="G133" s="35"/>
      <c r="H133" s="275"/>
      <c r="I133" s="35"/>
      <c r="J133" s="35"/>
      <c r="K133" s="27"/>
      <c r="L133" s="27"/>
      <c r="M133" s="27"/>
      <c r="N133" s="35"/>
      <c r="O133" s="35"/>
      <c r="P133" s="35"/>
      <c r="Q133" s="35"/>
      <c r="R133" s="35"/>
      <c r="S133" s="35"/>
      <c r="T133" s="35"/>
      <c r="U133" s="35"/>
      <c r="V133" s="35"/>
      <c r="W133" s="35"/>
      <c r="X133" s="35"/>
      <c r="Y133" s="35"/>
      <c r="Z133" s="35"/>
      <c r="AA133" s="35"/>
    </row>
    <row r="134" ht="15.75" customHeight="1">
      <c r="A134" s="35"/>
      <c r="B134" s="35"/>
      <c r="C134" s="27"/>
      <c r="D134" s="35"/>
      <c r="E134" s="35"/>
      <c r="F134" s="35"/>
      <c r="G134" s="35"/>
      <c r="H134" s="275"/>
      <c r="I134" s="35"/>
      <c r="J134" s="35"/>
      <c r="K134" s="27"/>
      <c r="L134" s="27"/>
      <c r="M134" s="27"/>
      <c r="N134" s="35"/>
      <c r="O134" s="35"/>
      <c r="P134" s="35"/>
      <c r="Q134" s="35"/>
      <c r="R134" s="35"/>
      <c r="S134" s="35"/>
      <c r="T134" s="35"/>
      <c r="U134" s="35"/>
      <c r="V134" s="35"/>
      <c r="W134" s="35"/>
      <c r="X134" s="35"/>
      <c r="Y134" s="35"/>
      <c r="Z134" s="35"/>
      <c r="AA134" s="35"/>
    </row>
    <row r="135" ht="15.75" customHeight="1">
      <c r="A135" s="35"/>
      <c r="B135" s="35"/>
      <c r="C135" s="27"/>
      <c r="D135" s="35"/>
      <c r="E135" s="35"/>
      <c r="F135" s="35"/>
      <c r="G135" s="35"/>
      <c r="H135" s="275"/>
      <c r="I135" s="35"/>
      <c r="J135" s="35"/>
      <c r="K135" s="27"/>
      <c r="L135" s="27"/>
      <c r="M135" s="27"/>
      <c r="N135" s="35"/>
      <c r="O135" s="35"/>
      <c r="P135" s="35"/>
      <c r="Q135" s="35"/>
      <c r="R135" s="35"/>
      <c r="S135" s="35"/>
      <c r="T135" s="35"/>
      <c r="U135" s="35"/>
      <c r="V135" s="35"/>
      <c r="W135" s="35"/>
      <c r="X135" s="35"/>
      <c r="Y135" s="35"/>
      <c r="Z135" s="35"/>
      <c r="AA135" s="35"/>
    </row>
    <row r="136" ht="15.75" customHeight="1">
      <c r="A136" s="35"/>
      <c r="B136" s="35"/>
      <c r="C136" s="27"/>
      <c r="D136" s="35"/>
      <c r="E136" s="35"/>
      <c r="F136" s="35"/>
      <c r="G136" s="35"/>
      <c r="H136" s="275"/>
      <c r="I136" s="35"/>
      <c r="J136" s="35"/>
      <c r="K136" s="27"/>
      <c r="L136" s="27"/>
      <c r="M136" s="27"/>
      <c r="N136" s="35"/>
      <c r="O136" s="35"/>
      <c r="P136" s="35"/>
      <c r="Q136" s="35"/>
      <c r="R136" s="35"/>
      <c r="S136" s="35"/>
      <c r="T136" s="35"/>
      <c r="U136" s="35"/>
      <c r="V136" s="35"/>
      <c r="W136" s="35"/>
      <c r="X136" s="35"/>
      <c r="Y136" s="35"/>
      <c r="Z136" s="35"/>
      <c r="AA136" s="35"/>
    </row>
    <row r="137" ht="15.75" customHeight="1">
      <c r="A137" s="35"/>
      <c r="B137" s="35"/>
      <c r="C137" s="27"/>
      <c r="D137" s="35"/>
      <c r="E137" s="35"/>
      <c r="F137" s="35"/>
      <c r="G137" s="35"/>
      <c r="H137" s="275"/>
      <c r="I137" s="35"/>
      <c r="J137" s="35"/>
      <c r="K137" s="27"/>
      <c r="L137" s="27"/>
      <c r="M137" s="27"/>
      <c r="N137" s="35"/>
      <c r="O137" s="35"/>
      <c r="P137" s="35"/>
      <c r="Q137" s="35"/>
      <c r="R137" s="35"/>
      <c r="S137" s="35"/>
      <c r="T137" s="35"/>
      <c r="U137" s="35"/>
      <c r="V137" s="35"/>
      <c r="W137" s="35"/>
      <c r="X137" s="35"/>
      <c r="Y137" s="35"/>
      <c r="Z137" s="35"/>
      <c r="AA137" s="35"/>
    </row>
    <row r="138" ht="15.75" customHeight="1">
      <c r="A138" s="35"/>
      <c r="B138" s="35"/>
      <c r="C138" s="27"/>
      <c r="D138" s="35"/>
      <c r="E138" s="35"/>
      <c r="F138" s="35"/>
      <c r="G138" s="35"/>
      <c r="H138" s="275"/>
      <c r="I138" s="35"/>
      <c r="J138" s="35"/>
      <c r="K138" s="27"/>
      <c r="L138" s="27"/>
      <c r="M138" s="27"/>
      <c r="N138" s="35"/>
      <c r="O138" s="35"/>
      <c r="P138" s="35"/>
      <c r="Q138" s="35"/>
      <c r="R138" s="35"/>
      <c r="S138" s="35"/>
      <c r="T138" s="35"/>
      <c r="U138" s="35"/>
      <c r="V138" s="35"/>
      <c r="W138" s="35"/>
      <c r="X138" s="35"/>
      <c r="Y138" s="35"/>
      <c r="Z138" s="35"/>
      <c r="AA138" s="35"/>
    </row>
    <row r="139" ht="15.75" customHeight="1">
      <c r="A139" s="35"/>
      <c r="B139" s="35"/>
      <c r="C139" s="27"/>
      <c r="D139" s="35"/>
      <c r="E139" s="35"/>
      <c r="F139" s="35"/>
      <c r="G139" s="35"/>
      <c r="H139" s="275"/>
      <c r="I139" s="35"/>
      <c r="J139" s="35"/>
      <c r="K139" s="27"/>
      <c r="L139" s="27"/>
      <c r="M139" s="27"/>
      <c r="N139" s="35"/>
      <c r="O139" s="35"/>
      <c r="P139" s="35"/>
      <c r="Q139" s="35"/>
      <c r="R139" s="35"/>
      <c r="S139" s="35"/>
      <c r="T139" s="35"/>
      <c r="U139" s="35"/>
      <c r="V139" s="35"/>
      <c r="W139" s="35"/>
      <c r="X139" s="35"/>
      <c r="Y139" s="35"/>
      <c r="Z139" s="35"/>
      <c r="AA139" s="35"/>
    </row>
    <row r="140" ht="15.75" customHeight="1">
      <c r="A140" s="35"/>
      <c r="B140" s="35"/>
      <c r="C140" s="27"/>
      <c r="D140" s="35"/>
      <c r="E140" s="35"/>
      <c r="F140" s="35"/>
      <c r="G140" s="35"/>
      <c r="H140" s="275"/>
      <c r="I140" s="35"/>
      <c r="J140" s="35"/>
      <c r="K140" s="27"/>
      <c r="L140" s="27"/>
      <c r="M140" s="27"/>
      <c r="N140" s="35"/>
      <c r="O140" s="35"/>
      <c r="P140" s="35"/>
      <c r="Q140" s="35"/>
      <c r="R140" s="35"/>
      <c r="S140" s="35"/>
      <c r="T140" s="35"/>
      <c r="U140" s="35"/>
      <c r="V140" s="35"/>
      <c r="W140" s="35"/>
      <c r="X140" s="35"/>
      <c r="Y140" s="35"/>
      <c r="Z140" s="35"/>
      <c r="AA140" s="35"/>
    </row>
    <row r="141" ht="15.75" customHeight="1">
      <c r="A141" s="35"/>
      <c r="B141" s="35"/>
      <c r="C141" s="27"/>
      <c r="D141" s="35"/>
      <c r="E141" s="35"/>
      <c r="F141" s="35"/>
      <c r="G141" s="35"/>
      <c r="H141" s="275"/>
      <c r="I141" s="35"/>
      <c r="J141" s="35"/>
      <c r="K141" s="27"/>
      <c r="L141" s="27"/>
      <c r="M141" s="27"/>
      <c r="N141" s="35"/>
      <c r="O141" s="35"/>
      <c r="P141" s="35"/>
      <c r="Q141" s="35"/>
      <c r="R141" s="35"/>
      <c r="S141" s="35"/>
      <c r="T141" s="35"/>
      <c r="U141" s="35"/>
      <c r="V141" s="35"/>
      <c r="W141" s="35"/>
      <c r="X141" s="35"/>
      <c r="Y141" s="35"/>
      <c r="Z141" s="35"/>
      <c r="AA141" s="35"/>
    </row>
    <row r="142" ht="15.75" customHeight="1">
      <c r="A142" s="35"/>
      <c r="B142" s="35"/>
      <c r="C142" s="27"/>
      <c r="D142" s="35"/>
      <c r="E142" s="35"/>
      <c r="F142" s="35"/>
      <c r="G142" s="35"/>
      <c r="H142" s="275"/>
      <c r="I142" s="35"/>
      <c r="J142" s="35"/>
      <c r="K142" s="27"/>
      <c r="L142" s="27"/>
      <c r="M142" s="27"/>
      <c r="N142" s="35"/>
      <c r="O142" s="35"/>
      <c r="P142" s="35"/>
      <c r="Q142" s="35"/>
      <c r="R142" s="35"/>
      <c r="S142" s="35"/>
      <c r="T142" s="35"/>
      <c r="U142" s="35"/>
      <c r="V142" s="35"/>
      <c r="W142" s="35"/>
      <c r="X142" s="35"/>
      <c r="Y142" s="35"/>
      <c r="Z142" s="35"/>
      <c r="AA142" s="35"/>
    </row>
    <row r="143" ht="15.75" customHeight="1">
      <c r="A143" s="35"/>
      <c r="B143" s="35"/>
      <c r="C143" s="27"/>
      <c r="D143" s="35"/>
      <c r="E143" s="35"/>
      <c r="F143" s="35"/>
      <c r="G143" s="35"/>
      <c r="H143" s="275"/>
      <c r="I143" s="35"/>
      <c r="J143" s="35"/>
      <c r="K143" s="27"/>
      <c r="L143" s="27"/>
      <c r="M143" s="27"/>
      <c r="N143" s="35"/>
      <c r="O143" s="35"/>
      <c r="P143" s="35"/>
      <c r="Q143" s="35"/>
      <c r="R143" s="35"/>
      <c r="S143" s="35"/>
      <c r="T143" s="35"/>
      <c r="U143" s="35"/>
      <c r="V143" s="35"/>
      <c r="W143" s="35"/>
      <c r="X143" s="35"/>
      <c r="Y143" s="35"/>
      <c r="Z143" s="35"/>
      <c r="AA143" s="35"/>
    </row>
    <row r="144" ht="15.75" customHeight="1">
      <c r="A144" s="35"/>
      <c r="B144" s="35"/>
      <c r="C144" s="27"/>
      <c r="D144" s="35"/>
      <c r="E144" s="35"/>
      <c r="F144" s="35"/>
      <c r="G144" s="35"/>
      <c r="H144" s="275"/>
      <c r="I144" s="35"/>
      <c r="J144" s="35"/>
      <c r="K144" s="27"/>
      <c r="L144" s="27"/>
      <c r="M144" s="27"/>
      <c r="N144" s="35"/>
      <c r="O144" s="35"/>
      <c r="P144" s="35"/>
      <c r="Q144" s="35"/>
      <c r="R144" s="35"/>
      <c r="S144" s="35"/>
      <c r="T144" s="35"/>
      <c r="U144" s="35"/>
      <c r="V144" s="35"/>
      <c r="W144" s="35"/>
      <c r="X144" s="35"/>
      <c r="Y144" s="35"/>
      <c r="Z144" s="35"/>
      <c r="AA144" s="35"/>
    </row>
    <row r="145" ht="15.75" customHeight="1">
      <c r="A145" s="35"/>
      <c r="B145" s="35"/>
      <c r="C145" s="27"/>
      <c r="D145" s="35"/>
      <c r="E145" s="35"/>
      <c r="F145" s="35"/>
      <c r="G145" s="35"/>
      <c r="H145" s="275"/>
      <c r="I145" s="35"/>
      <c r="J145" s="35"/>
      <c r="K145" s="27"/>
      <c r="L145" s="27"/>
      <c r="M145" s="27"/>
      <c r="N145" s="35"/>
      <c r="O145" s="35"/>
      <c r="P145" s="35"/>
      <c r="Q145" s="35"/>
      <c r="R145" s="35"/>
      <c r="S145" s="35"/>
      <c r="T145" s="35"/>
      <c r="U145" s="35"/>
      <c r="V145" s="35"/>
      <c r="W145" s="35"/>
      <c r="X145" s="35"/>
      <c r="Y145" s="35"/>
      <c r="Z145" s="35"/>
      <c r="AA145" s="35"/>
    </row>
    <row r="146" ht="15.75" customHeight="1">
      <c r="A146" s="35"/>
      <c r="B146" s="35"/>
      <c r="C146" s="27"/>
      <c r="D146" s="35"/>
      <c r="E146" s="35"/>
      <c r="F146" s="35"/>
      <c r="G146" s="35"/>
      <c r="H146" s="275"/>
      <c r="I146" s="35"/>
      <c r="J146" s="35"/>
      <c r="K146" s="27"/>
      <c r="L146" s="27"/>
      <c r="M146" s="27"/>
      <c r="N146" s="35"/>
      <c r="O146" s="35"/>
      <c r="P146" s="35"/>
      <c r="Q146" s="35"/>
      <c r="R146" s="35"/>
      <c r="S146" s="35"/>
      <c r="T146" s="35"/>
      <c r="U146" s="35"/>
      <c r="V146" s="35"/>
      <c r="W146" s="35"/>
      <c r="X146" s="35"/>
      <c r="Y146" s="35"/>
      <c r="Z146" s="35"/>
      <c r="AA146" s="35"/>
    </row>
    <row r="147" ht="15.75" customHeight="1">
      <c r="A147" s="35"/>
      <c r="B147" s="35"/>
      <c r="C147" s="27"/>
      <c r="D147" s="35"/>
      <c r="E147" s="35"/>
      <c r="F147" s="35"/>
      <c r="G147" s="35"/>
      <c r="H147" s="275"/>
      <c r="I147" s="35"/>
      <c r="J147" s="35"/>
      <c r="K147" s="27"/>
      <c r="L147" s="27"/>
      <c r="M147" s="27"/>
      <c r="N147" s="35"/>
      <c r="O147" s="35"/>
      <c r="P147" s="35"/>
      <c r="Q147" s="35"/>
      <c r="R147" s="35"/>
      <c r="S147" s="35"/>
      <c r="T147" s="35"/>
      <c r="U147" s="35"/>
      <c r="V147" s="35"/>
      <c r="W147" s="35"/>
      <c r="X147" s="35"/>
      <c r="Y147" s="35"/>
      <c r="Z147" s="35"/>
      <c r="AA147" s="35"/>
    </row>
    <row r="148" ht="15.75" customHeight="1">
      <c r="A148" s="35"/>
      <c r="B148" s="35"/>
      <c r="C148" s="27"/>
      <c r="D148" s="35"/>
      <c r="E148" s="35"/>
      <c r="F148" s="35"/>
      <c r="G148" s="35"/>
      <c r="H148" s="275"/>
      <c r="I148" s="35"/>
      <c r="J148" s="35"/>
      <c r="K148" s="27"/>
      <c r="L148" s="27"/>
      <c r="M148" s="27"/>
      <c r="N148" s="35"/>
      <c r="O148" s="35"/>
      <c r="P148" s="35"/>
      <c r="Q148" s="35"/>
      <c r="R148" s="35"/>
      <c r="S148" s="35"/>
      <c r="T148" s="35"/>
      <c r="U148" s="35"/>
      <c r="V148" s="35"/>
      <c r="W148" s="35"/>
      <c r="X148" s="35"/>
      <c r="Y148" s="35"/>
      <c r="Z148" s="35"/>
      <c r="AA148" s="35"/>
    </row>
    <row r="149" ht="15.75" customHeight="1">
      <c r="A149" s="35"/>
      <c r="B149" s="35"/>
      <c r="C149" s="27"/>
      <c r="D149" s="35"/>
      <c r="E149" s="35"/>
      <c r="F149" s="35"/>
      <c r="G149" s="35"/>
      <c r="H149" s="275"/>
      <c r="I149" s="35"/>
      <c r="J149" s="35"/>
      <c r="K149" s="27"/>
      <c r="L149" s="27"/>
      <c r="M149" s="27"/>
      <c r="N149" s="35"/>
      <c r="O149" s="35"/>
      <c r="P149" s="35"/>
      <c r="Q149" s="35"/>
      <c r="R149" s="35"/>
      <c r="S149" s="35"/>
      <c r="T149" s="35"/>
      <c r="U149" s="35"/>
      <c r="V149" s="35"/>
      <c r="W149" s="35"/>
      <c r="X149" s="35"/>
      <c r="Y149" s="35"/>
      <c r="Z149" s="35"/>
      <c r="AA149" s="35"/>
    </row>
    <row r="150" ht="15.75" customHeight="1">
      <c r="A150" s="35"/>
      <c r="B150" s="35"/>
      <c r="C150" s="27"/>
      <c r="D150" s="35"/>
      <c r="E150" s="35"/>
      <c r="F150" s="35"/>
      <c r="G150" s="35"/>
      <c r="H150" s="275"/>
      <c r="I150" s="35"/>
      <c r="J150" s="35"/>
      <c r="K150" s="27"/>
      <c r="L150" s="27"/>
      <c r="M150" s="27"/>
      <c r="N150" s="35"/>
      <c r="O150" s="35"/>
      <c r="P150" s="35"/>
      <c r="Q150" s="35"/>
      <c r="R150" s="35"/>
      <c r="S150" s="35"/>
      <c r="T150" s="35"/>
      <c r="U150" s="35"/>
      <c r="V150" s="35"/>
      <c r="W150" s="35"/>
      <c r="X150" s="35"/>
      <c r="Y150" s="35"/>
      <c r="Z150" s="35"/>
      <c r="AA150" s="35"/>
    </row>
    <row r="151" ht="15.75" customHeight="1">
      <c r="A151" s="35"/>
      <c r="B151" s="35"/>
      <c r="C151" s="27"/>
      <c r="D151" s="35"/>
      <c r="E151" s="35"/>
      <c r="F151" s="35"/>
      <c r="G151" s="35"/>
      <c r="H151" s="275"/>
      <c r="I151" s="35"/>
      <c r="J151" s="35"/>
      <c r="K151" s="27"/>
      <c r="L151" s="27"/>
      <c r="M151" s="27"/>
      <c r="N151" s="35"/>
      <c r="O151" s="35"/>
      <c r="P151" s="35"/>
      <c r="Q151" s="35"/>
      <c r="R151" s="35"/>
      <c r="S151" s="35"/>
      <c r="T151" s="35"/>
      <c r="U151" s="35"/>
      <c r="V151" s="35"/>
      <c r="W151" s="35"/>
      <c r="X151" s="35"/>
      <c r="Y151" s="35"/>
      <c r="Z151" s="35"/>
      <c r="AA151" s="35"/>
    </row>
    <row r="152" ht="15.75" customHeight="1">
      <c r="A152" s="35"/>
      <c r="B152" s="35"/>
      <c r="C152" s="27"/>
      <c r="D152" s="35"/>
      <c r="E152" s="35"/>
      <c r="F152" s="35"/>
      <c r="G152" s="35"/>
      <c r="H152" s="275"/>
      <c r="I152" s="35"/>
      <c r="J152" s="35"/>
      <c r="K152" s="27"/>
      <c r="L152" s="27"/>
      <c r="M152" s="27"/>
      <c r="N152" s="35"/>
      <c r="O152" s="35"/>
      <c r="P152" s="35"/>
      <c r="Q152" s="35"/>
      <c r="R152" s="35"/>
      <c r="S152" s="35"/>
      <c r="T152" s="35"/>
      <c r="U152" s="35"/>
      <c r="V152" s="35"/>
      <c r="W152" s="35"/>
      <c r="X152" s="35"/>
      <c r="Y152" s="35"/>
      <c r="Z152" s="35"/>
      <c r="AA152" s="35"/>
    </row>
    <row r="153" ht="15.75" customHeight="1">
      <c r="A153" s="35"/>
      <c r="B153" s="35"/>
      <c r="C153" s="27"/>
      <c r="D153" s="35"/>
      <c r="E153" s="35"/>
      <c r="F153" s="35"/>
      <c r="G153" s="35"/>
      <c r="H153" s="275"/>
      <c r="I153" s="35"/>
      <c r="J153" s="35"/>
      <c r="K153" s="27"/>
      <c r="L153" s="27"/>
      <c r="M153" s="27"/>
      <c r="N153" s="35"/>
      <c r="O153" s="35"/>
      <c r="P153" s="35"/>
      <c r="Q153" s="35"/>
      <c r="R153" s="35"/>
      <c r="S153" s="35"/>
      <c r="T153" s="35"/>
      <c r="U153" s="35"/>
      <c r="V153" s="35"/>
      <c r="W153" s="35"/>
      <c r="X153" s="35"/>
      <c r="Y153" s="35"/>
      <c r="Z153" s="35"/>
      <c r="AA153" s="35"/>
    </row>
    <row r="154" ht="15.75" customHeight="1">
      <c r="A154" s="35"/>
      <c r="B154" s="35"/>
      <c r="C154" s="27"/>
      <c r="D154" s="35"/>
      <c r="E154" s="35"/>
      <c r="F154" s="35"/>
      <c r="G154" s="35"/>
      <c r="H154" s="275"/>
      <c r="I154" s="35"/>
      <c r="J154" s="35"/>
      <c r="K154" s="27"/>
      <c r="L154" s="27"/>
      <c r="M154" s="27"/>
      <c r="N154" s="35"/>
      <c r="O154" s="35"/>
      <c r="P154" s="35"/>
      <c r="Q154" s="35"/>
      <c r="R154" s="35"/>
      <c r="S154" s="35"/>
      <c r="T154" s="35"/>
      <c r="U154" s="35"/>
      <c r="V154" s="35"/>
      <c r="W154" s="35"/>
      <c r="X154" s="35"/>
      <c r="Y154" s="35"/>
      <c r="Z154" s="35"/>
      <c r="AA154" s="35"/>
    </row>
    <row r="155" ht="15.75" customHeight="1">
      <c r="A155" s="35"/>
      <c r="B155" s="35"/>
      <c r="C155" s="27"/>
      <c r="D155" s="35"/>
      <c r="E155" s="35"/>
      <c r="F155" s="35"/>
      <c r="G155" s="35"/>
      <c r="H155" s="275"/>
      <c r="I155" s="35"/>
      <c r="J155" s="35"/>
      <c r="K155" s="27"/>
      <c r="L155" s="27"/>
      <c r="M155" s="27"/>
      <c r="N155" s="35"/>
      <c r="O155" s="35"/>
      <c r="P155" s="35"/>
      <c r="Q155" s="35"/>
      <c r="R155" s="35"/>
      <c r="S155" s="35"/>
      <c r="T155" s="35"/>
      <c r="U155" s="35"/>
      <c r="V155" s="35"/>
      <c r="W155" s="35"/>
      <c r="X155" s="35"/>
      <c r="Y155" s="35"/>
      <c r="Z155" s="35"/>
      <c r="AA155" s="35"/>
    </row>
    <row r="156" ht="15.75" customHeight="1">
      <c r="A156" s="35"/>
      <c r="B156" s="35"/>
      <c r="C156" s="27"/>
      <c r="D156" s="35"/>
      <c r="E156" s="35"/>
      <c r="F156" s="35"/>
      <c r="G156" s="35"/>
      <c r="H156" s="275"/>
      <c r="I156" s="35"/>
      <c r="J156" s="35"/>
      <c r="K156" s="27"/>
      <c r="L156" s="27"/>
      <c r="M156" s="27"/>
      <c r="N156" s="35"/>
      <c r="O156" s="35"/>
      <c r="P156" s="35"/>
      <c r="Q156" s="35"/>
      <c r="R156" s="35"/>
      <c r="S156" s="35"/>
      <c r="T156" s="35"/>
      <c r="U156" s="35"/>
      <c r="V156" s="35"/>
      <c r="W156" s="35"/>
      <c r="X156" s="35"/>
      <c r="Y156" s="35"/>
      <c r="Z156" s="35"/>
      <c r="AA156" s="35"/>
    </row>
    <row r="157" ht="15.75" customHeight="1">
      <c r="A157" s="35"/>
      <c r="B157" s="35"/>
      <c r="C157" s="27"/>
      <c r="D157" s="35"/>
      <c r="E157" s="35"/>
      <c r="F157" s="35"/>
      <c r="G157" s="35"/>
      <c r="H157" s="275"/>
      <c r="I157" s="35"/>
      <c r="J157" s="35"/>
      <c r="K157" s="27"/>
      <c r="L157" s="27"/>
      <c r="M157" s="27"/>
      <c r="N157" s="35"/>
      <c r="O157" s="35"/>
      <c r="P157" s="35"/>
      <c r="Q157" s="35"/>
      <c r="R157" s="35"/>
      <c r="S157" s="35"/>
      <c r="T157" s="35"/>
      <c r="U157" s="35"/>
      <c r="V157" s="35"/>
      <c r="W157" s="35"/>
      <c r="X157" s="35"/>
      <c r="Y157" s="35"/>
      <c r="Z157" s="35"/>
      <c r="AA157" s="35"/>
    </row>
    <row r="158" ht="15.75" customHeight="1">
      <c r="A158" s="35"/>
      <c r="B158" s="35"/>
      <c r="C158" s="27"/>
      <c r="D158" s="35"/>
      <c r="E158" s="35"/>
      <c r="F158" s="35"/>
      <c r="G158" s="35"/>
      <c r="H158" s="275"/>
      <c r="I158" s="35"/>
      <c r="J158" s="35"/>
      <c r="K158" s="27"/>
      <c r="L158" s="27"/>
      <c r="M158" s="27"/>
      <c r="N158" s="35"/>
      <c r="O158" s="35"/>
      <c r="P158" s="35"/>
      <c r="Q158" s="35"/>
      <c r="R158" s="35"/>
      <c r="S158" s="35"/>
      <c r="T158" s="35"/>
      <c r="U158" s="35"/>
      <c r="V158" s="35"/>
      <c r="W158" s="35"/>
      <c r="X158" s="35"/>
      <c r="Y158" s="35"/>
      <c r="Z158" s="35"/>
      <c r="AA158" s="35"/>
    </row>
    <row r="159" ht="15.75" customHeight="1">
      <c r="A159" s="35"/>
      <c r="B159" s="35"/>
      <c r="C159" s="27"/>
      <c r="D159" s="35"/>
      <c r="E159" s="35"/>
      <c r="F159" s="35"/>
      <c r="G159" s="35"/>
      <c r="H159" s="275"/>
      <c r="I159" s="35"/>
      <c r="J159" s="35"/>
      <c r="K159" s="27"/>
      <c r="L159" s="27"/>
      <c r="M159" s="27"/>
      <c r="N159" s="35"/>
      <c r="O159" s="35"/>
      <c r="P159" s="35"/>
      <c r="Q159" s="35"/>
      <c r="R159" s="35"/>
      <c r="S159" s="35"/>
      <c r="T159" s="35"/>
      <c r="U159" s="35"/>
      <c r="V159" s="35"/>
      <c r="W159" s="35"/>
      <c r="X159" s="35"/>
      <c r="Y159" s="35"/>
      <c r="Z159" s="35"/>
      <c r="AA159" s="35"/>
    </row>
    <row r="160" ht="15.75" customHeight="1">
      <c r="A160" s="35"/>
      <c r="B160" s="35"/>
      <c r="C160" s="27"/>
      <c r="D160" s="35"/>
      <c r="E160" s="35"/>
      <c r="F160" s="35"/>
      <c r="G160" s="35"/>
      <c r="H160" s="275"/>
      <c r="I160" s="35"/>
      <c r="J160" s="35"/>
      <c r="K160" s="27"/>
      <c r="L160" s="27"/>
      <c r="M160" s="27"/>
      <c r="N160" s="35"/>
      <c r="O160" s="35"/>
      <c r="P160" s="35"/>
      <c r="Q160" s="35"/>
      <c r="R160" s="35"/>
      <c r="S160" s="35"/>
      <c r="T160" s="35"/>
      <c r="U160" s="35"/>
      <c r="V160" s="35"/>
      <c r="W160" s="35"/>
      <c r="X160" s="35"/>
      <c r="Y160" s="35"/>
      <c r="Z160" s="35"/>
      <c r="AA160" s="35"/>
    </row>
    <row r="161" ht="15.75" customHeight="1">
      <c r="A161" s="35"/>
      <c r="B161" s="35"/>
      <c r="C161" s="27"/>
      <c r="D161" s="35"/>
      <c r="E161" s="35"/>
      <c r="F161" s="35"/>
      <c r="G161" s="35"/>
      <c r="H161" s="275"/>
      <c r="I161" s="35"/>
      <c r="J161" s="35"/>
      <c r="K161" s="27"/>
      <c r="L161" s="27"/>
      <c r="M161" s="27"/>
      <c r="N161" s="35"/>
      <c r="O161" s="35"/>
      <c r="P161" s="35"/>
      <c r="Q161" s="35"/>
      <c r="R161" s="35"/>
      <c r="S161" s="35"/>
      <c r="T161" s="35"/>
      <c r="U161" s="35"/>
      <c r="V161" s="35"/>
      <c r="W161" s="35"/>
      <c r="X161" s="35"/>
      <c r="Y161" s="35"/>
      <c r="Z161" s="35"/>
      <c r="AA161" s="35"/>
    </row>
    <row r="162" ht="15.75" customHeight="1">
      <c r="A162" s="35"/>
      <c r="B162" s="35"/>
      <c r="C162" s="27"/>
      <c r="D162" s="35"/>
      <c r="E162" s="35"/>
      <c r="F162" s="35"/>
      <c r="G162" s="35"/>
      <c r="H162" s="275"/>
      <c r="I162" s="35"/>
      <c r="J162" s="35"/>
      <c r="K162" s="27"/>
      <c r="L162" s="27"/>
      <c r="M162" s="27"/>
      <c r="N162" s="35"/>
      <c r="O162" s="35"/>
      <c r="P162" s="35"/>
      <c r="Q162" s="35"/>
      <c r="R162" s="35"/>
      <c r="S162" s="35"/>
      <c r="T162" s="35"/>
      <c r="U162" s="35"/>
      <c r="V162" s="35"/>
      <c r="W162" s="35"/>
      <c r="X162" s="35"/>
      <c r="Y162" s="35"/>
      <c r="Z162" s="35"/>
      <c r="AA162" s="35"/>
    </row>
    <row r="163" ht="15.75" customHeight="1">
      <c r="A163" s="35"/>
      <c r="B163" s="35"/>
      <c r="C163" s="27"/>
      <c r="D163" s="35"/>
      <c r="E163" s="35"/>
      <c r="F163" s="35"/>
      <c r="G163" s="35"/>
      <c r="H163" s="275"/>
      <c r="I163" s="35"/>
      <c r="J163" s="35"/>
      <c r="K163" s="27"/>
      <c r="L163" s="27"/>
      <c r="M163" s="27"/>
      <c r="N163" s="35"/>
      <c r="O163" s="35"/>
      <c r="P163" s="35"/>
      <c r="Q163" s="35"/>
      <c r="R163" s="35"/>
      <c r="S163" s="35"/>
      <c r="T163" s="35"/>
      <c r="U163" s="35"/>
      <c r="V163" s="35"/>
      <c r="W163" s="35"/>
      <c r="X163" s="35"/>
      <c r="Y163" s="35"/>
      <c r="Z163" s="35"/>
      <c r="AA163" s="35"/>
    </row>
    <row r="164" ht="15.75" customHeight="1">
      <c r="A164" s="35"/>
      <c r="B164" s="35"/>
      <c r="C164" s="27"/>
      <c r="D164" s="35"/>
      <c r="E164" s="35"/>
      <c r="F164" s="35"/>
      <c r="G164" s="35"/>
      <c r="H164" s="275"/>
      <c r="I164" s="35"/>
      <c r="J164" s="35"/>
      <c r="K164" s="27"/>
      <c r="L164" s="27"/>
      <c r="M164" s="27"/>
      <c r="N164" s="35"/>
      <c r="O164" s="35"/>
      <c r="P164" s="35"/>
      <c r="Q164" s="35"/>
      <c r="R164" s="35"/>
      <c r="S164" s="35"/>
      <c r="T164" s="35"/>
      <c r="U164" s="35"/>
      <c r="V164" s="35"/>
      <c r="W164" s="35"/>
      <c r="X164" s="35"/>
      <c r="Y164" s="35"/>
      <c r="Z164" s="35"/>
      <c r="AA164" s="35"/>
    </row>
    <row r="165" ht="15.75" customHeight="1">
      <c r="A165" s="35"/>
      <c r="B165" s="35"/>
      <c r="C165" s="27"/>
      <c r="D165" s="35"/>
      <c r="E165" s="35"/>
      <c r="F165" s="35"/>
      <c r="G165" s="35"/>
      <c r="H165" s="275"/>
      <c r="I165" s="35"/>
      <c r="J165" s="35"/>
      <c r="K165" s="27"/>
      <c r="L165" s="27"/>
      <c r="M165" s="27"/>
      <c r="N165" s="35"/>
      <c r="O165" s="35"/>
      <c r="P165" s="35"/>
      <c r="Q165" s="35"/>
      <c r="R165" s="35"/>
      <c r="S165" s="35"/>
      <c r="T165" s="35"/>
      <c r="U165" s="35"/>
      <c r="V165" s="35"/>
      <c r="W165" s="35"/>
      <c r="X165" s="35"/>
      <c r="Y165" s="35"/>
      <c r="Z165" s="35"/>
      <c r="AA165" s="35"/>
    </row>
    <row r="166" ht="15.75" customHeight="1">
      <c r="A166" s="35"/>
      <c r="B166" s="35"/>
      <c r="C166" s="27"/>
      <c r="D166" s="35"/>
      <c r="E166" s="35"/>
      <c r="F166" s="35"/>
      <c r="G166" s="35"/>
      <c r="H166" s="275"/>
      <c r="I166" s="35"/>
      <c r="J166" s="35"/>
      <c r="K166" s="27"/>
      <c r="L166" s="27"/>
      <c r="M166" s="27"/>
      <c r="N166" s="35"/>
      <c r="O166" s="35"/>
      <c r="P166" s="35"/>
      <c r="Q166" s="35"/>
      <c r="R166" s="35"/>
      <c r="S166" s="35"/>
      <c r="T166" s="35"/>
      <c r="U166" s="35"/>
      <c r="V166" s="35"/>
      <c r="W166" s="35"/>
      <c r="X166" s="35"/>
      <c r="Y166" s="35"/>
      <c r="Z166" s="35"/>
      <c r="AA166" s="35"/>
    </row>
    <row r="167" ht="15.75" customHeight="1">
      <c r="A167" s="35"/>
      <c r="B167" s="35"/>
      <c r="C167" s="27"/>
      <c r="D167" s="35"/>
      <c r="E167" s="35"/>
      <c r="F167" s="35"/>
      <c r="G167" s="35"/>
      <c r="H167" s="275"/>
      <c r="I167" s="35"/>
      <c r="J167" s="35"/>
      <c r="K167" s="27"/>
      <c r="L167" s="27"/>
      <c r="M167" s="27"/>
      <c r="N167" s="35"/>
      <c r="O167" s="35"/>
      <c r="P167" s="35"/>
      <c r="Q167" s="35"/>
      <c r="R167" s="35"/>
      <c r="S167" s="35"/>
      <c r="T167" s="35"/>
      <c r="U167" s="35"/>
      <c r="V167" s="35"/>
      <c r="W167" s="35"/>
      <c r="X167" s="35"/>
      <c r="Y167" s="35"/>
      <c r="Z167" s="35"/>
      <c r="AA167" s="35"/>
    </row>
    <row r="168" ht="15.75" customHeight="1">
      <c r="A168" s="35"/>
      <c r="B168" s="35"/>
      <c r="C168" s="27"/>
      <c r="D168" s="35"/>
      <c r="E168" s="35"/>
      <c r="F168" s="35"/>
      <c r="G168" s="35"/>
      <c r="H168" s="275"/>
      <c r="I168" s="35"/>
      <c r="J168" s="35"/>
      <c r="K168" s="27"/>
      <c r="L168" s="27"/>
      <c r="M168" s="27"/>
      <c r="N168" s="35"/>
      <c r="O168" s="35"/>
      <c r="P168" s="35"/>
      <c r="Q168" s="35"/>
      <c r="R168" s="35"/>
      <c r="S168" s="35"/>
      <c r="T168" s="35"/>
      <c r="U168" s="35"/>
      <c r="V168" s="35"/>
      <c r="W168" s="35"/>
      <c r="X168" s="35"/>
      <c r="Y168" s="35"/>
      <c r="Z168" s="35"/>
      <c r="AA168" s="35"/>
    </row>
    <row r="169" ht="15.75" customHeight="1">
      <c r="A169" s="35"/>
      <c r="B169" s="35"/>
      <c r="C169" s="27"/>
      <c r="D169" s="35"/>
      <c r="E169" s="35"/>
      <c r="F169" s="35"/>
      <c r="G169" s="35"/>
      <c r="H169" s="275"/>
      <c r="I169" s="35"/>
      <c r="J169" s="35"/>
      <c r="K169" s="27"/>
      <c r="L169" s="27"/>
      <c r="M169" s="27"/>
      <c r="N169" s="35"/>
      <c r="O169" s="35"/>
      <c r="P169" s="35"/>
      <c r="Q169" s="35"/>
      <c r="R169" s="35"/>
      <c r="S169" s="35"/>
      <c r="T169" s="35"/>
      <c r="U169" s="35"/>
      <c r="V169" s="35"/>
      <c r="W169" s="35"/>
      <c r="X169" s="35"/>
      <c r="Y169" s="35"/>
      <c r="Z169" s="35"/>
      <c r="AA169" s="35"/>
    </row>
    <row r="170" ht="15.75" customHeight="1">
      <c r="A170" s="35"/>
      <c r="B170" s="35"/>
      <c r="C170" s="27"/>
      <c r="D170" s="35"/>
      <c r="E170" s="35"/>
      <c r="F170" s="35"/>
      <c r="G170" s="35"/>
      <c r="H170" s="275"/>
      <c r="I170" s="35"/>
      <c r="J170" s="35"/>
      <c r="K170" s="27"/>
      <c r="L170" s="27"/>
      <c r="M170" s="27"/>
      <c r="N170" s="35"/>
      <c r="O170" s="35"/>
      <c r="P170" s="35"/>
      <c r="Q170" s="35"/>
      <c r="R170" s="35"/>
      <c r="S170" s="35"/>
      <c r="T170" s="35"/>
      <c r="U170" s="35"/>
      <c r="V170" s="35"/>
      <c r="W170" s="35"/>
      <c r="X170" s="35"/>
      <c r="Y170" s="35"/>
      <c r="Z170" s="35"/>
      <c r="AA170" s="35"/>
    </row>
    <row r="171" ht="15.75" customHeight="1">
      <c r="A171" s="35"/>
      <c r="B171" s="35"/>
      <c r="C171" s="27"/>
      <c r="D171" s="35"/>
      <c r="E171" s="35"/>
      <c r="F171" s="35"/>
      <c r="G171" s="35"/>
      <c r="H171" s="275"/>
      <c r="I171" s="35"/>
      <c r="J171" s="35"/>
      <c r="K171" s="27"/>
      <c r="L171" s="27"/>
      <c r="M171" s="27"/>
      <c r="N171" s="35"/>
      <c r="O171" s="35"/>
      <c r="P171" s="35"/>
      <c r="Q171" s="35"/>
      <c r="R171" s="35"/>
      <c r="S171" s="35"/>
      <c r="T171" s="35"/>
      <c r="U171" s="35"/>
      <c r="V171" s="35"/>
      <c r="W171" s="35"/>
      <c r="X171" s="35"/>
      <c r="Y171" s="35"/>
      <c r="Z171" s="35"/>
      <c r="AA171" s="35"/>
    </row>
    <row r="172" ht="15.75" customHeight="1">
      <c r="A172" s="35"/>
      <c r="B172" s="35"/>
      <c r="C172" s="27"/>
      <c r="D172" s="35"/>
      <c r="E172" s="35"/>
      <c r="F172" s="35"/>
      <c r="G172" s="35"/>
      <c r="H172" s="275"/>
      <c r="I172" s="35"/>
      <c r="J172" s="35"/>
      <c r="K172" s="27"/>
      <c r="L172" s="27"/>
      <c r="M172" s="27"/>
      <c r="N172" s="35"/>
      <c r="O172" s="35"/>
      <c r="P172" s="35"/>
      <c r="Q172" s="35"/>
      <c r="R172" s="35"/>
      <c r="S172" s="35"/>
      <c r="T172" s="35"/>
      <c r="U172" s="35"/>
      <c r="V172" s="35"/>
      <c r="W172" s="35"/>
      <c r="X172" s="35"/>
      <c r="Y172" s="35"/>
      <c r="Z172" s="35"/>
      <c r="AA172" s="35"/>
    </row>
    <row r="173" ht="15.75" customHeight="1">
      <c r="A173" s="35"/>
      <c r="B173" s="35"/>
      <c r="C173" s="27"/>
      <c r="D173" s="35"/>
      <c r="E173" s="35"/>
      <c r="F173" s="35"/>
      <c r="G173" s="35"/>
      <c r="H173" s="275"/>
      <c r="I173" s="35"/>
      <c r="J173" s="35"/>
      <c r="K173" s="27"/>
      <c r="L173" s="27"/>
      <c r="M173" s="27"/>
      <c r="N173" s="35"/>
      <c r="O173" s="35"/>
      <c r="P173" s="35"/>
      <c r="Q173" s="35"/>
      <c r="R173" s="35"/>
      <c r="S173" s="35"/>
      <c r="T173" s="35"/>
      <c r="U173" s="35"/>
      <c r="V173" s="35"/>
      <c r="W173" s="35"/>
      <c r="X173" s="35"/>
      <c r="Y173" s="35"/>
      <c r="Z173" s="35"/>
      <c r="AA173" s="35"/>
    </row>
    <row r="174" ht="15.75" customHeight="1">
      <c r="A174" s="35"/>
      <c r="B174" s="35"/>
      <c r="C174" s="27"/>
      <c r="D174" s="35"/>
      <c r="E174" s="35"/>
      <c r="F174" s="35"/>
      <c r="G174" s="35"/>
      <c r="H174" s="275"/>
      <c r="I174" s="35"/>
      <c r="J174" s="35"/>
      <c r="K174" s="27"/>
      <c r="L174" s="27"/>
      <c r="M174" s="27"/>
      <c r="N174" s="35"/>
      <c r="O174" s="35"/>
      <c r="P174" s="35"/>
      <c r="Q174" s="35"/>
      <c r="R174" s="35"/>
      <c r="S174" s="35"/>
      <c r="T174" s="35"/>
      <c r="U174" s="35"/>
      <c r="V174" s="35"/>
      <c r="W174" s="35"/>
      <c r="X174" s="35"/>
      <c r="Y174" s="35"/>
      <c r="Z174" s="35"/>
      <c r="AA174" s="35"/>
    </row>
    <row r="175" ht="15.75" customHeight="1">
      <c r="A175" s="35"/>
      <c r="B175" s="35"/>
      <c r="C175" s="27"/>
      <c r="D175" s="35"/>
      <c r="E175" s="35"/>
      <c r="F175" s="35"/>
      <c r="G175" s="35"/>
      <c r="H175" s="275"/>
      <c r="I175" s="35"/>
      <c r="J175" s="35"/>
      <c r="K175" s="27"/>
      <c r="L175" s="27"/>
      <c r="M175" s="27"/>
      <c r="N175" s="35"/>
      <c r="O175" s="35"/>
      <c r="P175" s="35"/>
      <c r="Q175" s="35"/>
      <c r="R175" s="35"/>
      <c r="S175" s="35"/>
      <c r="T175" s="35"/>
      <c r="U175" s="35"/>
      <c r="V175" s="35"/>
      <c r="W175" s="35"/>
      <c r="X175" s="35"/>
      <c r="Y175" s="35"/>
      <c r="Z175" s="35"/>
      <c r="AA175" s="35"/>
    </row>
    <row r="176" ht="15.75" customHeight="1">
      <c r="A176" s="35"/>
      <c r="B176" s="35"/>
      <c r="C176" s="27"/>
      <c r="D176" s="35"/>
      <c r="E176" s="35"/>
      <c r="F176" s="35"/>
      <c r="G176" s="35"/>
      <c r="H176" s="275"/>
      <c r="I176" s="35"/>
      <c r="J176" s="35"/>
      <c r="K176" s="27"/>
      <c r="L176" s="27"/>
      <c r="M176" s="27"/>
      <c r="N176" s="35"/>
      <c r="O176" s="35"/>
      <c r="P176" s="35"/>
      <c r="Q176" s="35"/>
      <c r="R176" s="35"/>
      <c r="S176" s="35"/>
      <c r="T176" s="35"/>
      <c r="U176" s="35"/>
      <c r="V176" s="35"/>
      <c r="W176" s="35"/>
      <c r="X176" s="35"/>
      <c r="Y176" s="35"/>
      <c r="Z176" s="35"/>
      <c r="AA176" s="35"/>
    </row>
    <row r="177" ht="15.75" customHeight="1">
      <c r="A177" s="35"/>
      <c r="B177" s="35"/>
      <c r="C177" s="27"/>
      <c r="D177" s="35"/>
      <c r="E177" s="35"/>
      <c r="F177" s="35"/>
      <c r="G177" s="35"/>
      <c r="H177" s="275"/>
      <c r="I177" s="35"/>
      <c r="J177" s="35"/>
      <c r="K177" s="27"/>
      <c r="L177" s="27"/>
      <c r="M177" s="27"/>
      <c r="N177" s="35"/>
      <c r="O177" s="35"/>
      <c r="P177" s="35"/>
      <c r="Q177" s="35"/>
      <c r="R177" s="35"/>
      <c r="S177" s="35"/>
      <c r="T177" s="35"/>
      <c r="U177" s="35"/>
      <c r="V177" s="35"/>
      <c r="W177" s="35"/>
      <c r="X177" s="35"/>
      <c r="Y177" s="35"/>
      <c r="Z177" s="35"/>
      <c r="AA177" s="35"/>
    </row>
    <row r="178" ht="15.75" customHeight="1">
      <c r="A178" s="35"/>
      <c r="B178" s="35"/>
      <c r="C178" s="27"/>
      <c r="D178" s="35"/>
      <c r="E178" s="35"/>
      <c r="F178" s="35"/>
      <c r="G178" s="35"/>
      <c r="H178" s="275"/>
      <c r="I178" s="35"/>
      <c r="J178" s="35"/>
      <c r="K178" s="27"/>
      <c r="L178" s="27"/>
      <c r="M178" s="27"/>
      <c r="N178" s="35"/>
      <c r="O178" s="35"/>
      <c r="P178" s="35"/>
      <c r="Q178" s="35"/>
      <c r="R178" s="35"/>
      <c r="S178" s="35"/>
      <c r="T178" s="35"/>
      <c r="U178" s="35"/>
      <c r="V178" s="35"/>
      <c r="W178" s="35"/>
      <c r="X178" s="35"/>
      <c r="Y178" s="35"/>
      <c r="Z178" s="35"/>
      <c r="AA178" s="35"/>
    </row>
    <row r="179" ht="15.75" customHeight="1">
      <c r="A179" s="35"/>
      <c r="B179" s="35"/>
      <c r="C179" s="27"/>
      <c r="D179" s="35"/>
      <c r="E179" s="35"/>
      <c r="F179" s="35"/>
      <c r="G179" s="35"/>
      <c r="H179" s="275"/>
      <c r="I179" s="35"/>
      <c r="J179" s="35"/>
      <c r="K179" s="27"/>
      <c r="L179" s="27"/>
      <c r="M179" s="27"/>
      <c r="N179" s="35"/>
      <c r="O179" s="35"/>
      <c r="P179" s="35"/>
      <c r="Q179" s="35"/>
      <c r="R179" s="35"/>
      <c r="S179" s="35"/>
      <c r="T179" s="35"/>
      <c r="U179" s="35"/>
      <c r="V179" s="35"/>
      <c r="W179" s="35"/>
      <c r="X179" s="35"/>
      <c r="Y179" s="35"/>
      <c r="Z179" s="35"/>
      <c r="AA179" s="35"/>
    </row>
    <row r="180" ht="15.75" customHeight="1">
      <c r="A180" s="35"/>
      <c r="B180" s="35"/>
      <c r="C180" s="27"/>
      <c r="D180" s="35"/>
      <c r="E180" s="35"/>
      <c r="F180" s="35"/>
      <c r="G180" s="35"/>
      <c r="H180" s="275"/>
      <c r="I180" s="35"/>
      <c r="J180" s="35"/>
      <c r="K180" s="27"/>
      <c r="L180" s="27"/>
      <c r="M180" s="27"/>
      <c r="N180" s="35"/>
      <c r="O180" s="35"/>
      <c r="P180" s="35"/>
      <c r="Q180" s="35"/>
      <c r="R180" s="35"/>
      <c r="S180" s="35"/>
      <c r="T180" s="35"/>
      <c r="U180" s="35"/>
      <c r="V180" s="35"/>
      <c r="W180" s="35"/>
      <c r="X180" s="35"/>
      <c r="Y180" s="35"/>
      <c r="Z180" s="35"/>
      <c r="AA180" s="35"/>
    </row>
    <row r="181" ht="15.75" customHeight="1">
      <c r="A181" s="35"/>
      <c r="B181" s="35"/>
      <c r="C181" s="27"/>
      <c r="D181" s="35"/>
      <c r="E181" s="35"/>
      <c r="F181" s="35"/>
      <c r="G181" s="35"/>
      <c r="H181" s="275"/>
      <c r="I181" s="35"/>
      <c r="J181" s="35"/>
      <c r="K181" s="27"/>
      <c r="L181" s="27"/>
      <c r="M181" s="27"/>
      <c r="N181" s="35"/>
      <c r="O181" s="35"/>
      <c r="P181" s="35"/>
      <c r="Q181" s="35"/>
      <c r="R181" s="35"/>
      <c r="S181" s="35"/>
      <c r="T181" s="35"/>
      <c r="U181" s="35"/>
      <c r="V181" s="35"/>
      <c r="W181" s="35"/>
      <c r="X181" s="35"/>
      <c r="Y181" s="35"/>
      <c r="Z181" s="35"/>
      <c r="AA181" s="35"/>
    </row>
    <row r="182" ht="15.75" customHeight="1">
      <c r="A182" s="35"/>
      <c r="B182" s="35"/>
      <c r="C182" s="27"/>
      <c r="D182" s="35"/>
      <c r="E182" s="35"/>
      <c r="F182" s="35"/>
      <c r="G182" s="35"/>
      <c r="H182" s="275"/>
      <c r="I182" s="35"/>
      <c r="J182" s="35"/>
      <c r="K182" s="27"/>
      <c r="L182" s="27"/>
      <c r="M182" s="27"/>
      <c r="N182" s="35"/>
      <c r="O182" s="35"/>
      <c r="P182" s="35"/>
      <c r="Q182" s="35"/>
      <c r="R182" s="35"/>
      <c r="S182" s="35"/>
      <c r="T182" s="35"/>
      <c r="U182" s="35"/>
      <c r="V182" s="35"/>
      <c r="W182" s="35"/>
      <c r="X182" s="35"/>
      <c r="Y182" s="35"/>
      <c r="Z182" s="35"/>
      <c r="AA182" s="35"/>
    </row>
    <row r="183" ht="15.75" customHeight="1">
      <c r="A183" s="35"/>
      <c r="B183" s="35"/>
      <c r="C183" s="27"/>
      <c r="D183" s="35"/>
      <c r="E183" s="35"/>
      <c r="F183" s="35"/>
      <c r="G183" s="35"/>
      <c r="H183" s="275"/>
      <c r="I183" s="35"/>
      <c r="J183" s="35"/>
      <c r="K183" s="27"/>
      <c r="L183" s="27"/>
      <c r="M183" s="27"/>
      <c r="N183" s="35"/>
      <c r="O183" s="35"/>
      <c r="P183" s="35"/>
      <c r="Q183" s="35"/>
      <c r="R183" s="35"/>
      <c r="S183" s="35"/>
      <c r="T183" s="35"/>
      <c r="U183" s="35"/>
      <c r="V183" s="35"/>
      <c r="W183" s="35"/>
      <c r="X183" s="35"/>
      <c r="Y183" s="35"/>
      <c r="Z183" s="35"/>
      <c r="AA183" s="35"/>
    </row>
    <row r="184" ht="15.75" customHeight="1">
      <c r="A184" s="35"/>
      <c r="B184" s="35"/>
      <c r="C184" s="27"/>
      <c r="D184" s="35"/>
      <c r="E184" s="35"/>
      <c r="F184" s="35"/>
      <c r="G184" s="35"/>
      <c r="H184" s="275"/>
      <c r="I184" s="35"/>
      <c r="J184" s="35"/>
      <c r="K184" s="27"/>
      <c r="L184" s="27"/>
      <c r="M184" s="27"/>
      <c r="N184" s="35"/>
      <c r="O184" s="35"/>
      <c r="P184" s="35"/>
      <c r="Q184" s="35"/>
      <c r="R184" s="35"/>
      <c r="S184" s="35"/>
      <c r="T184" s="35"/>
      <c r="U184" s="35"/>
      <c r="V184" s="35"/>
      <c r="W184" s="35"/>
      <c r="X184" s="35"/>
      <c r="Y184" s="35"/>
      <c r="Z184" s="35"/>
      <c r="AA184" s="35"/>
    </row>
    <row r="185" ht="15.75" customHeight="1">
      <c r="A185" s="35"/>
      <c r="B185" s="35"/>
      <c r="C185" s="27"/>
      <c r="D185" s="35"/>
      <c r="E185" s="35"/>
      <c r="F185" s="35"/>
      <c r="G185" s="35"/>
      <c r="H185" s="275"/>
      <c r="I185" s="35"/>
      <c r="J185" s="35"/>
      <c r="K185" s="27"/>
      <c r="L185" s="27"/>
      <c r="M185" s="27"/>
      <c r="N185" s="35"/>
      <c r="O185" s="35"/>
      <c r="P185" s="35"/>
      <c r="Q185" s="35"/>
      <c r="R185" s="35"/>
      <c r="S185" s="35"/>
      <c r="T185" s="35"/>
      <c r="U185" s="35"/>
      <c r="V185" s="35"/>
      <c r="W185" s="35"/>
      <c r="X185" s="35"/>
      <c r="Y185" s="35"/>
      <c r="Z185" s="35"/>
      <c r="AA185" s="35"/>
    </row>
    <row r="186" ht="15.75" customHeight="1">
      <c r="A186" s="35"/>
      <c r="B186" s="35"/>
      <c r="C186" s="27"/>
      <c r="D186" s="35"/>
      <c r="E186" s="35"/>
      <c r="F186" s="35"/>
      <c r="G186" s="35"/>
      <c r="H186" s="275"/>
      <c r="I186" s="35"/>
      <c r="J186" s="35"/>
      <c r="K186" s="27"/>
      <c r="L186" s="27"/>
      <c r="M186" s="27"/>
      <c r="N186" s="35"/>
      <c r="O186" s="35"/>
      <c r="P186" s="35"/>
      <c r="Q186" s="35"/>
      <c r="R186" s="35"/>
      <c r="S186" s="35"/>
      <c r="T186" s="35"/>
      <c r="U186" s="35"/>
      <c r="V186" s="35"/>
      <c r="W186" s="35"/>
      <c r="X186" s="35"/>
      <c r="Y186" s="35"/>
      <c r="Z186" s="35"/>
      <c r="AA186" s="35"/>
    </row>
    <row r="187" ht="15.75" customHeight="1">
      <c r="A187" s="35"/>
      <c r="B187" s="35"/>
      <c r="C187" s="27"/>
      <c r="D187" s="35"/>
      <c r="E187" s="35"/>
      <c r="F187" s="35"/>
      <c r="G187" s="35"/>
      <c r="H187" s="275"/>
      <c r="I187" s="35"/>
      <c r="J187" s="35"/>
      <c r="K187" s="27"/>
      <c r="L187" s="27"/>
      <c r="M187" s="27"/>
      <c r="N187" s="35"/>
      <c r="O187" s="35"/>
      <c r="P187" s="35"/>
      <c r="Q187" s="35"/>
      <c r="R187" s="35"/>
      <c r="S187" s="35"/>
      <c r="T187" s="35"/>
      <c r="U187" s="35"/>
      <c r="V187" s="35"/>
      <c r="W187" s="35"/>
      <c r="X187" s="35"/>
      <c r="Y187" s="35"/>
      <c r="Z187" s="35"/>
      <c r="AA187" s="35"/>
    </row>
    <row r="188" ht="15.75" customHeight="1">
      <c r="A188" s="35"/>
      <c r="B188" s="35"/>
      <c r="C188" s="27"/>
      <c r="D188" s="35"/>
      <c r="E188" s="35"/>
      <c r="F188" s="35"/>
      <c r="G188" s="35"/>
      <c r="H188" s="275"/>
      <c r="I188" s="35"/>
      <c r="J188" s="35"/>
      <c r="K188" s="27"/>
      <c r="L188" s="27"/>
      <c r="M188" s="27"/>
      <c r="N188" s="35"/>
      <c r="O188" s="35"/>
      <c r="P188" s="35"/>
      <c r="Q188" s="35"/>
      <c r="R188" s="35"/>
      <c r="S188" s="35"/>
      <c r="T188" s="35"/>
      <c r="U188" s="35"/>
      <c r="V188" s="35"/>
      <c r="W188" s="35"/>
      <c r="X188" s="35"/>
      <c r="Y188" s="35"/>
      <c r="Z188" s="35"/>
      <c r="AA188" s="35"/>
    </row>
    <row r="189" ht="15.75" customHeight="1">
      <c r="A189" s="35"/>
      <c r="B189" s="35"/>
      <c r="C189" s="27"/>
      <c r="D189" s="35"/>
      <c r="E189" s="35"/>
      <c r="F189" s="35"/>
      <c r="G189" s="35"/>
      <c r="H189" s="275"/>
      <c r="I189" s="35"/>
      <c r="J189" s="35"/>
      <c r="K189" s="27"/>
      <c r="L189" s="27"/>
      <c r="M189" s="27"/>
      <c r="N189" s="35"/>
      <c r="O189" s="35"/>
      <c r="P189" s="35"/>
      <c r="Q189" s="35"/>
      <c r="R189" s="35"/>
      <c r="S189" s="35"/>
      <c r="T189" s="35"/>
      <c r="U189" s="35"/>
      <c r="V189" s="35"/>
      <c r="W189" s="35"/>
      <c r="X189" s="35"/>
      <c r="Y189" s="35"/>
      <c r="Z189" s="35"/>
      <c r="AA189" s="35"/>
    </row>
    <row r="190" ht="15.75" customHeight="1">
      <c r="A190" s="35"/>
      <c r="B190" s="35"/>
      <c r="C190" s="27"/>
      <c r="D190" s="35"/>
      <c r="E190" s="35"/>
      <c r="F190" s="35"/>
      <c r="G190" s="35"/>
      <c r="H190" s="275"/>
      <c r="I190" s="35"/>
      <c r="J190" s="35"/>
      <c r="K190" s="27"/>
      <c r="L190" s="27"/>
      <c r="M190" s="27"/>
      <c r="N190" s="35"/>
      <c r="O190" s="35"/>
      <c r="P190" s="35"/>
      <c r="Q190" s="35"/>
      <c r="R190" s="35"/>
      <c r="S190" s="35"/>
      <c r="T190" s="35"/>
      <c r="U190" s="35"/>
      <c r="V190" s="35"/>
      <c r="W190" s="35"/>
      <c r="X190" s="35"/>
      <c r="Y190" s="35"/>
      <c r="Z190" s="35"/>
      <c r="AA190" s="35"/>
    </row>
    <row r="191" ht="15.75" customHeight="1">
      <c r="A191" s="35"/>
      <c r="B191" s="35"/>
      <c r="C191" s="27"/>
      <c r="D191" s="35"/>
      <c r="E191" s="35"/>
      <c r="F191" s="35"/>
      <c r="G191" s="35"/>
      <c r="H191" s="275"/>
      <c r="I191" s="35"/>
      <c r="J191" s="35"/>
      <c r="K191" s="27"/>
      <c r="L191" s="27"/>
      <c r="M191" s="27"/>
      <c r="N191" s="35"/>
      <c r="O191" s="35"/>
      <c r="P191" s="35"/>
      <c r="Q191" s="35"/>
      <c r="R191" s="35"/>
      <c r="S191" s="35"/>
      <c r="T191" s="35"/>
      <c r="U191" s="35"/>
      <c r="V191" s="35"/>
      <c r="W191" s="35"/>
      <c r="X191" s="35"/>
      <c r="Y191" s="35"/>
      <c r="Z191" s="35"/>
      <c r="AA191" s="35"/>
    </row>
    <row r="192" ht="15.75" customHeight="1">
      <c r="A192" s="35"/>
      <c r="B192" s="35"/>
      <c r="C192" s="27"/>
      <c r="D192" s="35"/>
      <c r="E192" s="35"/>
      <c r="F192" s="35"/>
      <c r="G192" s="35"/>
      <c r="H192" s="275"/>
      <c r="I192" s="35"/>
      <c r="J192" s="35"/>
      <c r="K192" s="27"/>
      <c r="L192" s="27"/>
      <c r="M192" s="27"/>
      <c r="N192" s="35"/>
      <c r="O192" s="35"/>
      <c r="P192" s="35"/>
      <c r="Q192" s="35"/>
      <c r="R192" s="35"/>
      <c r="S192" s="35"/>
      <c r="T192" s="35"/>
      <c r="U192" s="35"/>
      <c r="V192" s="35"/>
      <c r="W192" s="35"/>
      <c r="X192" s="35"/>
      <c r="Y192" s="35"/>
      <c r="Z192" s="35"/>
      <c r="AA192" s="35"/>
    </row>
    <row r="193" ht="15.75" customHeight="1">
      <c r="A193" s="35"/>
      <c r="B193" s="35"/>
      <c r="C193" s="27"/>
      <c r="D193" s="35"/>
      <c r="E193" s="35"/>
      <c r="F193" s="35"/>
      <c r="G193" s="35"/>
      <c r="H193" s="275"/>
      <c r="I193" s="35"/>
      <c r="J193" s="35"/>
      <c r="K193" s="27"/>
      <c r="L193" s="27"/>
      <c r="M193" s="27"/>
      <c r="N193" s="35"/>
      <c r="O193" s="35"/>
      <c r="P193" s="35"/>
      <c r="Q193" s="35"/>
      <c r="R193" s="35"/>
      <c r="S193" s="35"/>
      <c r="T193" s="35"/>
      <c r="U193" s="35"/>
      <c r="V193" s="35"/>
      <c r="W193" s="35"/>
      <c r="X193" s="35"/>
      <c r="Y193" s="35"/>
      <c r="Z193" s="35"/>
      <c r="AA193" s="35"/>
    </row>
    <row r="194" ht="15.75" customHeight="1">
      <c r="A194" s="35"/>
      <c r="B194" s="35"/>
      <c r="C194" s="27"/>
      <c r="D194" s="35"/>
      <c r="E194" s="35"/>
      <c r="F194" s="35"/>
      <c r="G194" s="35"/>
      <c r="H194" s="275"/>
      <c r="I194" s="35"/>
      <c r="J194" s="35"/>
      <c r="K194" s="27"/>
      <c r="L194" s="27"/>
      <c r="M194" s="27"/>
      <c r="N194" s="35"/>
      <c r="O194" s="35"/>
      <c r="P194" s="35"/>
      <c r="Q194" s="35"/>
      <c r="R194" s="35"/>
      <c r="S194" s="35"/>
      <c r="T194" s="35"/>
      <c r="U194" s="35"/>
      <c r="V194" s="35"/>
      <c r="W194" s="35"/>
      <c r="X194" s="35"/>
      <c r="Y194" s="35"/>
      <c r="Z194" s="35"/>
      <c r="AA194" s="35"/>
    </row>
    <row r="195" ht="15.75" customHeight="1">
      <c r="A195" s="35"/>
      <c r="B195" s="35"/>
      <c r="C195" s="27"/>
      <c r="D195" s="35"/>
      <c r="E195" s="35"/>
      <c r="F195" s="35"/>
      <c r="G195" s="35"/>
      <c r="H195" s="275"/>
      <c r="I195" s="35"/>
      <c r="J195" s="35"/>
      <c r="K195" s="27"/>
      <c r="L195" s="27"/>
      <c r="M195" s="27"/>
      <c r="N195" s="35"/>
      <c r="O195" s="35"/>
      <c r="P195" s="35"/>
      <c r="Q195" s="35"/>
      <c r="R195" s="35"/>
      <c r="S195" s="35"/>
      <c r="T195" s="35"/>
      <c r="U195" s="35"/>
      <c r="V195" s="35"/>
      <c r="W195" s="35"/>
      <c r="X195" s="35"/>
      <c r="Y195" s="35"/>
      <c r="Z195" s="35"/>
      <c r="AA195" s="35"/>
    </row>
    <row r="196" ht="15.75" customHeight="1">
      <c r="A196" s="35"/>
      <c r="B196" s="35"/>
      <c r="C196" s="27"/>
      <c r="D196" s="35"/>
      <c r="E196" s="35"/>
      <c r="F196" s="35"/>
      <c r="G196" s="35"/>
      <c r="H196" s="275"/>
      <c r="I196" s="35"/>
      <c r="J196" s="35"/>
      <c r="K196" s="27"/>
      <c r="L196" s="27"/>
      <c r="M196" s="27"/>
      <c r="N196" s="35"/>
      <c r="O196" s="35"/>
      <c r="P196" s="35"/>
      <c r="Q196" s="35"/>
      <c r="R196" s="35"/>
      <c r="S196" s="35"/>
      <c r="T196" s="35"/>
      <c r="U196" s="35"/>
      <c r="V196" s="35"/>
      <c r="W196" s="35"/>
      <c r="X196" s="35"/>
      <c r="Y196" s="35"/>
      <c r="Z196" s="35"/>
      <c r="AA196" s="35"/>
    </row>
    <row r="197" ht="15.75" customHeight="1">
      <c r="A197" s="35"/>
      <c r="B197" s="35"/>
      <c r="C197" s="27"/>
      <c r="D197" s="35"/>
      <c r="E197" s="35"/>
      <c r="F197" s="35"/>
      <c r="G197" s="35"/>
      <c r="H197" s="275"/>
      <c r="I197" s="35"/>
      <c r="J197" s="35"/>
      <c r="K197" s="27"/>
      <c r="L197" s="27"/>
      <c r="M197" s="27"/>
      <c r="N197" s="35"/>
      <c r="O197" s="35"/>
      <c r="P197" s="35"/>
      <c r="Q197" s="35"/>
      <c r="R197" s="35"/>
      <c r="S197" s="35"/>
      <c r="T197" s="35"/>
      <c r="U197" s="35"/>
      <c r="V197" s="35"/>
      <c r="W197" s="35"/>
      <c r="X197" s="35"/>
      <c r="Y197" s="35"/>
      <c r="Z197" s="35"/>
      <c r="AA197" s="35"/>
    </row>
    <row r="198" ht="15.75" customHeight="1">
      <c r="A198" s="35"/>
      <c r="B198" s="35"/>
      <c r="C198" s="27"/>
      <c r="D198" s="35"/>
      <c r="E198" s="35"/>
      <c r="F198" s="35"/>
      <c r="G198" s="35"/>
      <c r="H198" s="275"/>
      <c r="I198" s="35"/>
      <c r="J198" s="35"/>
      <c r="K198" s="27"/>
      <c r="L198" s="27"/>
      <c r="M198" s="27"/>
      <c r="N198" s="35"/>
      <c r="O198" s="35"/>
      <c r="P198" s="35"/>
      <c r="Q198" s="35"/>
      <c r="R198" s="35"/>
      <c r="S198" s="35"/>
      <c r="T198" s="35"/>
      <c r="U198" s="35"/>
      <c r="V198" s="35"/>
      <c r="W198" s="35"/>
      <c r="X198" s="35"/>
      <c r="Y198" s="35"/>
      <c r="Z198" s="35"/>
      <c r="AA198" s="35"/>
    </row>
    <row r="199" ht="15.75" customHeight="1">
      <c r="A199" s="35"/>
      <c r="B199" s="35"/>
      <c r="C199" s="27"/>
      <c r="D199" s="35"/>
      <c r="E199" s="35"/>
      <c r="F199" s="35"/>
      <c r="G199" s="35"/>
      <c r="H199" s="275"/>
      <c r="I199" s="35"/>
      <c r="J199" s="35"/>
      <c r="K199" s="27"/>
      <c r="L199" s="27"/>
      <c r="M199" s="27"/>
      <c r="N199" s="35"/>
      <c r="O199" s="35"/>
      <c r="P199" s="35"/>
      <c r="Q199" s="35"/>
      <c r="R199" s="35"/>
      <c r="S199" s="35"/>
      <c r="T199" s="35"/>
      <c r="U199" s="35"/>
      <c r="V199" s="35"/>
      <c r="W199" s="35"/>
      <c r="X199" s="35"/>
      <c r="Y199" s="35"/>
      <c r="Z199" s="35"/>
      <c r="AA199" s="35"/>
    </row>
    <row r="200" ht="15.75" customHeight="1">
      <c r="A200" s="35"/>
      <c r="B200" s="35"/>
      <c r="C200" s="27"/>
      <c r="D200" s="35"/>
      <c r="E200" s="35"/>
      <c r="F200" s="35"/>
      <c r="G200" s="35"/>
      <c r="H200" s="275"/>
      <c r="I200" s="35"/>
      <c r="J200" s="35"/>
      <c r="K200" s="27"/>
      <c r="L200" s="27"/>
      <c r="M200" s="27"/>
      <c r="N200" s="35"/>
      <c r="O200" s="35"/>
      <c r="P200" s="35"/>
      <c r="Q200" s="35"/>
      <c r="R200" s="35"/>
      <c r="S200" s="35"/>
      <c r="T200" s="35"/>
      <c r="U200" s="35"/>
      <c r="V200" s="35"/>
      <c r="W200" s="35"/>
      <c r="X200" s="35"/>
      <c r="Y200" s="35"/>
      <c r="Z200" s="35"/>
      <c r="AA200" s="35"/>
    </row>
    <row r="201" ht="15.75" customHeight="1">
      <c r="A201" s="35"/>
      <c r="B201" s="35"/>
      <c r="C201" s="27"/>
      <c r="D201" s="35"/>
      <c r="E201" s="35"/>
      <c r="F201" s="35"/>
      <c r="G201" s="35"/>
      <c r="H201" s="275"/>
      <c r="I201" s="35"/>
      <c r="J201" s="35"/>
      <c r="K201" s="27"/>
      <c r="L201" s="27"/>
      <c r="M201" s="27"/>
      <c r="N201" s="35"/>
      <c r="O201" s="35"/>
      <c r="P201" s="35"/>
      <c r="Q201" s="35"/>
      <c r="R201" s="35"/>
      <c r="S201" s="35"/>
      <c r="T201" s="35"/>
      <c r="U201" s="35"/>
      <c r="V201" s="35"/>
      <c r="W201" s="35"/>
      <c r="X201" s="35"/>
      <c r="Y201" s="35"/>
      <c r="Z201" s="35"/>
      <c r="AA201" s="35"/>
    </row>
    <row r="202" ht="15.75" customHeight="1">
      <c r="A202" s="35"/>
      <c r="B202" s="35"/>
      <c r="C202" s="27"/>
      <c r="D202" s="35"/>
      <c r="E202" s="35"/>
      <c r="F202" s="35"/>
      <c r="G202" s="35"/>
      <c r="H202" s="275"/>
      <c r="I202" s="35"/>
      <c r="J202" s="35"/>
      <c r="K202" s="27"/>
      <c r="L202" s="27"/>
      <c r="M202" s="27"/>
      <c r="N202" s="35"/>
      <c r="O202" s="35"/>
      <c r="P202" s="35"/>
      <c r="Q202" s="35"/>
      <c r="R202" s="35"/>
      <c r="S202" s="35"/>
      <c r="T202" s="35"/>
      <c r="U202" s="35"/>
      <c r="V202" s="35"/>
      <c r="W202" s="35"/>
      <c r="X202" s="35"/>
      <c r="Y202" s="35"/>
      <c r="Z202" s="35"/>
      <c r="AA202" s="35"/>
    </row>
    <row r="203" ht="15.75" customHeight="1">
      <c r="A203" s="35"/>
      <c r="B203" s="35"/>
      <c r="C203" s="27"/>
      <c r="D203" s="35"/>
      <c r="E203" s="35"/>
      <c r="F203" s="35"/>
      <c r="G203" s="35"/>
      <c r="H203" s="275"/>
      <c r="I203" s="35"/>
      <c r="J203" s="35"/>
      <c r="K203" s="27"/>
      <c r="L203" s="27"/>
      <c r="M203" s="27"/>
      <c r="N203" s="35"/>
      <c r="O203" s="35"/>
      <c r="P203" s="35"/>
      <c r="Q203" s="35"/>
      <c r="R203" s="35"/>
      <c r="S203" s="35"/>
      <c r="T203" s="35"/>
      <c r="U203" s="35"/>
      <c r="V203" s="35"/>
      <c r="W203" s="35"/>
      <c r="X203" s="35"/>
      <c r="Y203" s="35"/>
      <c r="Z203" s="35"/>
      <c r="AA203" s="35"/>
    </row>
    <row r="204" ht="15.75" customHeight="1">
      <c r="A204" s="35"/>
      <c r="B204" s="35"/>
      <c r="C204" s="27"/>
      <c r="D204" s="35"/>
      <c r="E204" s="35"/>
      <c r="F204" s="35"/>
      <c r="G204" s="35"/>
      <c r="H204" s="275"/>
      <c r="I204" s="35"/>
      <c r="J204" s="35"/>
      <c r="K204" s="27"/>
      <c r="L204" s="27"/>
      <c r="M204" s="27"/>
      <c r="N204" s="35"/>
      <c r="O204" s="35"/>
      <c r="P204" s="35"/>
      <c r="Q204" s="35"/>
      <c r="R204" s="35"/>
      <c r="S204" s="35"/>
      <c r="T204" s="35"/>
      <c r="U204" s="35"/>
      <c r="V204" s="35"/>
      <c r="W204" s="35"/>
      <c r="X204" s="35"/>
      <c r="Y204" s="35"/>
      <c r="Z204" s="35"/>
      <c r="AA204" s="35"/>
    </row>
    <row r="205" ht="15.75" customHeight="1">
      <c r="A205" s="35"/>
      <c r="B205" s="35"/>
      <c r="C205" s="27"/>
      <c r="D205" s="35"/>
      <c r="E205" s="35"/>
      <c r="F205" s="35"/>
      <c r="G205" s="35"/>
      <c r="H205" s="275"/>
      <c r="I205" s="35"/>
      <c r="J205" s="35"/>
      <c r="K205" s="27"/>
      <c r="L205" s="27"/>
      <c r="M205" s="27"/>
      <c r="N205" s="35"/>
      <c r="O205" s="35"/>
      <c r="P205" s="35"/>
      <c r="Q205" s="35"/>
      <c r="R205" s="35"/>
      <c r="S205" s="35"/>
      <c r="T205" s="35"/>
      <c r="U205" s="35"/>
      <c r="V205" s="35"/>
      <c r="W205" s="35"/>
      <c r="X205" s="35"/>
      <c r="Y205" s="35"/>
      <c r="Z205" s="35"/>
      <c r="AA205" s="35"/>
    </row>
    <row r="206" ht="15.75" customHeight="1">
      <c r="A206" s="35"/>
      <c r="B206" s="35"/>
      <c r="C206" s="27"/>
      <c r="D206" s="35"/>
      <c r="E206" s="35"/>
      <c r="F206" s="35"/>
      <c r="G206" s="35"/>
      <c r="H206" s="275"/>
      <c r="I206" s="35"/>
      <c r="J206" s="35"/>
      <c r="K206" s="27"/>
      <c r="L206" s="27"/>
      <c r="M206" s="27"/>
      <c r="N206" s="35"/>
      <c r="O206" s="35"/>
      <c r="P206" s="35"/>
      <c r="Q206" s="35"/>
      <c r="R206" s="35"/>
      <c r="S206" s="35"/>
      <c r="T206" s="35"/>
      <c r="U206" s="35"/>
      <c r="V206" s="35"/>
      <c r="W206" s="35"/>
      <c r="X206" s="35"/>
      <c r="Y206" s="35"/>
      <c r="Z206" s="35"/>
      <c r="AA206" s="35"/>
    </row>
    <row r="207" ht="15.75" customHeight="1">
      <c r="A207" s="35"/>
      <c r="B207" s="35"/>
      <c r="C207" s="27"/>
      <c r="D207" s="35"/>
      <c r="E207" s="35"/>
      <c r="F207" s="35"/>
      <c r="G207" s="35"/>
      <c r="H207" s="275"/>
      <c r="I207" s="35"/>
      <c r="J207" s="35"/>
      <c r="K207" s="27"/>
      <c r="L207" s="27"/>
      <c r="M207" s="27"/>
      <c r="N207" s="35"/>
      <c r="O207" s="35"/>
      <c r="P207" s="35"/>
      <c r="Q207" s="35"/>
      <c r="R207" s="35"/>
      <c r="S207" s="35"/>
      <c r="T207" s="35"/>
      <c r="U207" s="35"/>
      <c r="V207" s="35"/>
      <c r="W207" s="35"/>
      <c r="X207" s="35"/>
      <c r="Y207" s="35"/>
      <c r="Z207" s="35"/>
      <c r="AA207" s="35"/>
    </row>
    <row r="208" ht="15.75" customHeight="1">
      <c r="A208" s="35"/>
      <c r="B208" s="35"/>
      <c r="C208" s="27"/>
      <c r="D208" s="35"/>
      <c r="E208" s="35"/>
      <c r="F208" s="35"/>
      <c r="G208" s="35"/>
      <c r="H208" s="275"/>
      <c r="I208" s="35"/>
      <c r="J208" s="35"/>
      <c r="K208" s="27"/>
      <c r="L208" s="27"/>
      <c r="M208" s="27"/>
      <c r="N208" s="35"/>
      <c r="O208" s="35"/>
      <c r="P208" s="35"/>
      <c r="Q208" s="35"/>
      <c r="R208" s="35"/>
      <c r="S208" s="35"/>
      <c r="T208" s="35"/>
      <c r="U208" s="35"/>
      <c r="V208" s="35"/>
      <c r="W208" s="35"/>
      <c r="X208" s="35"/>
      <c r="Y208" s="35"/>
      <c r="Z208" s="35"/>
      <c r="AA208" s="35"/>
    </row>
    <row r="209" ht="15.75" customHeight="1">
      <c r="A209" s="35"/>
      <c r="B209" s="35"/>
      <c r="C209" s="27"/>
      <c r="D209" s="35"/>
      <c r="E209" s="35"/>
      <c r="F209" s="35"/>
      <c r="G209" s="35"/>
      <c r="H209" s="275"/>
      <c r="I209" s="35"/>
      <c r="J209" s="35"/>
      <c r="K209" s="27"/>
      <c r="L209" s="27"/>
      <c r="M209" s="27"/>
      <c r="N209" s="35"/>
      <c r="O209" s="35"/>
      <c r="P209" s="35"/>
      <c r="Q209" s="35"/>
      <c r="R209" s="35"/>
      <c r="S209" s="35"/>
      <c r="T209" s="35"/>
      <c r="U209" s="35"/>
      <c r="V209" s="35"/>
      <c r="W209" s="35"/>
      <c r="X209" s="35"/>
      <c r="Y209" s="35"/>
      <c r="Z209" s="35"/>
      <c r="AA209" s="35"/>
    </row>
    <row r="210" ht="15.75" customHeight="1">
      <c r="A210" s="35"/>
      <c r="B210" s="35"/>
      <c r="C210" s="27"/>
      <c r="D210" s="35"/>
      <c r="E210" s="35"/>
      <c r="F210" s="35"/>
      <c r="G210" s="35"/>
      <c r="H210" s="275"/>
      <c r="I210" s="35"/>
      <c r="J210" s="35"/>
      <c r="K210" s="27"/>
      <c r="L210" s="27"/>
      <c r="M210" s="27"/>
      <c r="N210" s="35"/>
      <c r="O210" s="35"/>
      <c r="P210" s="35"/>
      <c r="Q210" s="35"/>
      <c r="R210" s="35"/>
      <c r="S210" s="35"/>
      <c r="T210" s="35"/>
      <c r="U210" s="35"/>
      <c r="V210" s="35"/>
      <c r="W210" s="35"/>
      <c r="X210" s="35"/>
      <c r="Y210" s="35"/>
      <c r="Z210" s="35"/>
      <c r="AA210" s="35"/>
    </row>
    <row r="211" ht="15.75" customHeight="1">
      <c r="A211" s="35"/>
      <c r="B211" s="35"/>
      <c r="C211" s="27"/>
      <c r="D211" s="35"/>
      <c r="E211" s="35"/>
      <c r="F211" s="35"/>
      <c r="G211" s="35"/>
      <c r="H211" s="275"/>
      <c r="I211" s="35"/>
      <c r="J211" s="35"/>
      <c r="K211" s="27"/>
      <c r="L211" s="27"/>
      <c r="M211" s="27"/>
      <c r="N211" s="35"/>
      <c r="O211" s="35"/>
      <c r="P211" s="35"/>
      <c r="Q211" s="35"/>
      <c r="R211" s="35"/>
      <c r="S211" s="35"/>
      <c r="T211" s="35"/>
      <c r="U211" s="35"/>
      <c r="V211" s="35"/>
      <c r="W211" s="35"/>
      <c r="X211" s="35"/>
      <c r="Y211" s="35"/>
      <c r="Z211" s="35"/>
      <c r="AA211" s="35"/>
    </row>
    <row r="212" ht="15.75" customHeight="1">
      <c r="A212" s="35"/>
      <c r="B212" s="35"/>
      <c r="C212" s="27"/>
      <c r="D212" s="35"/>
      <c r="E212" s="35"/>
      <c r="F212" s="35"/>
      <c r="G212" s="35"/>
      <c r="H212" s="275"/>
      <c r="I212" s="35"/>
      <c r="J212" s="35"/>
      <c r="K212" s="27"/>
      <c r="L212" s="27"/>
      <c r="M212" s="27"/>
      <c r="N212" s="35"/>
      <c r="O212" s="35"/>
      <c r="P212" s="35"/>
      <c r="Q212" s="35"/>
      <c r="R212" s="35"/>
      <c r="S212" s="35"/>
      <c r="T212" s="35"/>
      <c r="U212" s="35"/>
      <c r="V212" s="35"/>
      <c r="W212" s="35"/>
      <c r="X212" s="35"/>
      <c r="Y212" s="35"/>
      <c r="Z212" s="35"/>
      <c r="AA212" s="35"/>
    </row>
    <row r="213" ht="15.75" customHeight="1">
      <c r="A213" s="35"/>
      <c r="B213" s="35"/>
      <c r="C213" s="27"/>
      <c r="D213" s="35"/>
      <c r="E213" s="35"/>
      <c r="F213" s="35"/>
      <c r="G213" s="35"/>
      <c r="H213" s="275"/>
      <c r="I213" s="35"/>
      <c r="J213" s="35"/>
      <c r="K213" s="27"/>
      <c r="L213" s="27"/>
      <c r="M213" s="27"/>
      <c r="N213" s="35"/>
      <c r="O213" s="35"/>
      <c r="P213" s="35"/>
      <c r="Q213" s="35"/>
      <c r="R213" s="35"/>
      <c r="S213" s="35"/>
      <c r="T213" s="35"/>
      <c r="U213" s="35"/>
      <c r="V213" s="35"/>
      <c r="W213" s="35"/>
      <c r="X213" s="35"/>
      <c r="Y213" s="35"/>
      <c r="Z213" s="35"/>
      <c r="AA213" s="35"/>
    </row>
    <row r="214" ht="15.75" customHeight="1">
      <c r="A214" s="35"/>
      <c r="B214" s="35"/>
      <c r="C214" s="27"/>
      <c r="D214" s="35"/>
      <c r="E214" s="35"/>
      <c r="F214" s="35"/>
      <c r="G214" s="35"/>
      <c r="H214" s="275"/>
      <c r="I214" s="35"/>
      <c r="J214" s="35"/>
      <c r="K214" s="27"/>
      <c r="L214" s="27"/>
      <c r="M214" s="27"/>
      <c r="N214" s="35"/>
      <c r="O214" s="35"/>
      <c r="P214" s="35"/>
      <c r="Q214" s="35"/>
      <c r="R214" s="35"/>
      <c r="S214" s="35"/>
      <c r="T214" s="35"/>
      <c r="U214" s="35"/>
      <c r="V214" s="35"/>
      <c r="W214" s="35"/>
      <c r="X214" s="35"/>
      <c r="Y214" s="35"/>
      <c r="Z214" s="35"/>
      <c r="AA214" s="35"/>
    </row>
    <row r="215" ht="15.75" customHeight="1">
      <c r="A215" s="35"/>
      <c r="B215" s="35"/>
      <c r="C215" s="27"/>
      <c r="D215" s="35"/>
      <c r="E215" s="35"/>
      <c r="F215" s="35"/>
      <c r="G215" s="35"/>
      <c r="H215" s="275"/>
      <c r="I215" s="35"/>
      <c r="J215" s="35"/>
      <c r="K215" s="27"/>
      <c r="L215" s="27"/>
      <c r="M215" s="27"/>
      <c r="N215" s="35"/>
      <c r="O215" s="35"/>
      <c r="P215" s="35"/>
      <c r="Q215" s="35"/>
      <c r="R215" s="35"/>
      <c r="S215" s="35"/>
      <c r="T215" s="35"/>
      <c r="U215" s="35"/>
      <c r="V215" s="35"/>
      <c r="W215" s="35"/>
      <c r="X215" s="35"/>
      <c r="Y215" s="35"/>
      <c r="Z215" s="35"/>
      <c r="AA215" s="35"/>
    </row>
    <row r="216" ht="15.75" customHeight="1">
      <c r="A216" s="35"/>
      <c r="B216" s="35"/>
      <c r="C216" s="27"/>
      <c r="D216" s="35"/>
      <c r="E216" s="35"/>
      <c r="F216" s="35"/>
      <c r="G216" s="35"/>
      <c r="H216" s="275"/>
      <c r="I216" s="35"/>
      <c r="J216" s="35"/>
      <c r="K216" s="27"/>
      <c r="L216" s="27"/>
      <c r="M216" s="27"/>
      <c r="N216" s="35"/>
      <c r="O216" s="35"/>
      <c r="P216" s="35"/>
      <c r="Q216" s="35"/>
      <c r="R216" s="35"/>
      <c r="S216" s="35"/>
      <c r="T216" s="35"/>
      <c r="U216" s="35"/>
      <c r="V216" s="35"/>
      <c r="W216" s="35"/>
      <c r="X216" s="35"/>
      <c r="Y216" s="35"/>
      <c r="Z216" s="35"/>
      <c r="AA216" s="35"/>
    </row>
    <row r="217" ht="15.75" customHeight="1">
      <c r="A217" s="275"/>
      <c r="B217" s="275"/>
      <c r="C217" s="286"/>
      <c r="D217" s="275"/>
      <c r="E217" s="275"/>
      <c r="F217" s="275"/>
      <c r="G217" s="275"/>
      <c r="H217" s="275"/>
      <c r="I217" s="275"/>
      <c r="J217" s="275"/>
      <c r="K217" s="286"/>
      <c r="L217" s="286"/>
      <c r="M217" s="286"/>
      <c r="N217" s="275"/>
      <c r="O217" s="275"/>
      <c r="P217" s="275"/>
      <c r="Q217" s="275"/>
      <c r="R217" s="275"/>
      <c r="S217" s="275"/>
      <c r="T217" s="275"/>
      <c r="U217" s="275"/>
      <c r="V217" s="275"/>
      <c r="W217" s="275"/>
      <c r="X217" s="275"/>
      <c r="Y217" s="275"/>
      <c r="Z217" s="275"/>
      <c r="AA217" s="275"/>
    </row>
    <row r="218" ht="15.75" customHeight="1">
      <c r="A218" s="275"/>
      <c r="B218" s="275"/>
      <c r="C218" s="286"/>
      <c r="D218" s="275"/>
      <c r="E218" s="275"/>
      <c r="F218" s="275"/>
      <c r="G218" s="275"/>
      <c r="H218" s="275"/>
      <c r="I218" s="275"/>
      <c r="J218" s="275"/>
      <c r="K218" s="286"/>
      <c r="L218" s="286"/>
      <c r="M218" s="286"/>
      <c r="N218" s="275"/>
      <c r="O218" s="275"/>
      <c r="P218" s="275"/>
      <c r="Q218" s="275"/>
      <c r="R218" s="275"/>
      <c r="S218" s="275"/>
      <c r="T218" s="275"/>
      <c r="U218" s="275"/>
      <c r="V218" s="275"/>
      <c r="W218" s="275"/>
      <c r="X218" s="275"/>
      <c r="Y218" s="275"/>
      <c r="Z218" s="275"/>
      <c r="AA218" s="275"/>
    </row>
    <row r="219" ht="15.75" customHeight="1">
      <c r="A219" s="275"/>
      <c r="B219" s="275"/>
      <c r="C219" s="286"/>
      <c r="D219" s="275"/>
      <c r="E219" s="275"/>
      <c r="F219" s="275"/>
      <c r="G219" s="275"/>
      <c r="H219" s="275"/>
      <c r="I219" s="275"/>
      <c r="J219" s="275"/>
      <c r="K219" s="286"/>
      <c r="L219" s="286"/>
      <c r="M219" s="286"/>
      <c r="N219" s="275"/>
      <c r="O219" s="275"/>
      <c r="P219" s="275"/>
      <c r="Q219" s="275"/>
      <c r="R219" s="275"/>
      <c r="S219" s="275"/>
      <c r="T219" s="275"/>
      <c r="U219" s="275"/>
      <c r="V219" s="275"/>
      <c r="W219" s="275"/>
      <c r="X219" s="275"/>
      <c r="Y219" s="275"/>
      <c r="Z219" s="275"/>
      <c r="AA219" s="275"/>
    </row>
    <row r="220" ht="15.75" customHeight="1">
      <c r="A220" s="275"/>
      <c r="B220" s="275"/>
      <c r="C220" s="286"/>
      <c r="D220" s="275"/>
      <c r="E220" s="275"/>
      <c r="F220" s="275"/>
      <c r="G220" s="275"/>
      <c r="H220" s="275"/>
      <c r="I220" s="275"/>
      <c r="J220" s="275"/>
      <c r="K220" s="286"/>
      <c r="L220" s="286"/>
      <c r="M220" s="286"/>
      <c r="N220" s="275"/>
      <c r="O220" s="275"/>
      <c r="P220" s="275"/>
      <c r="Q220" s="275"/>
      <c r="R220" s="275"/>
      <c r="S220" s="275"/>
      <c r="T220" s="275"/>
      <c r="U220" s="275"/>
      <c r="V220" s="275"/>
      <c r="W220" s="275"/>
      <c r="X220" s="275"/>
      <c r="Y220" s="275"/>
      <c r="Z220" s="275"/>
      <c r="AA220" s="275"/>
    </row>
    <row r="221" ht="15.75" customHeight="1">
      <c r="A221" s="275"/>
      <c r="B221" s="275"/>
      <c r="C221" s="286"/>
      <c r="D221" s="275"/>
      <c r="E221" s="275"/>
      <c r="F221" s="275"/>
      <c r="G221" s="275"/>
      <c r="H221" s="275"/>
      <c r="I221" s="275"/>
      <c r="J221" s="275"/>
      <c r="K221" s="286"/>
      <c r="L221" s="286"/>
      <c r="M221" s="286"/>
      <c r="N221" s="275"/>
      <c r="O221" s="275"/>
      <c r="P221" s="275"/>
      <c r="Q221" s="275"/>
      <c r="R221" s="275"/>
      <c r="S221" s="275"/>
      <c r="T221" s="275"/>
      <c r="U221" s="275"/>
      <c r="V221" s="275"/>
      <c r="W221" s="275"/>
      <c r="X221" s="275"/>
      <c r="Y221" s="275"/>
      <c r="Z221" s="275"/>
      <c r="AA221" s="275"/>
    </row>
    <row r="222" ht="15.75" customHeight="1">
      <c r="A222" s="275"/>
      <c r="B222" s="275"/>
      <c r="C222" s="286"/>
      <c r="D222" s="275"/>
      <c r="E222" s="275"/>
      <c r="F222" s="275"/>
      <c r="G222" s="275"/>
      <c r="H222" s="275"/>
      <c r="I222" s="275"/>
      <c r="J222" s="275"/>
      <c r="K222" s="286"/>
      <c r="L222" s="286"/>
      <c r="M222" s="286"/>
      <c r="N222" s="275"/>
      <c r="O222" s="275"/>
      <c r="P222" s="275"/>
      <c r="Q222" s="275"/>
      <c r="R222" s="275"/>
      <c r="S222" s="275"/>
      <c r="T222" s="275"/>
      <c r="U222" s="275"/>
      <c r="V222" s="275"/>
      <c r="W222" s="275"/>
      <c r="X222" s="275"/>
      <c r="Y222" s="275"/>
      <c r="Z222" s="275"/>
      <c r="AA222" s="275"/>
    </row>
    <row r="223" ht="15.75" customHeight="1">
      <c r="A223" s="275"/>
      <c r="B223" s="275"/>
      <c r="C223" s="286"/>
      <c r="D223" s="275"/>
      <c r="E223" s="275"/>
      <c r="F223" s="275"/>
      <c r="G223" s="275"/>
      <c r="H223" s="275"/>
      <c r="I223" s="275"/>
      <c r="J223" s="275"/>
      <c r="K223" s="286"/>
      <c r="L223" s="286"/>
      <c r="M223" s="286"/>
      <c r="N223" s="275"/>
      <c r="O223" s="275"/>
      <c r="P223" s="275"/>
      <c r="Q223" s="275"/>
      <c r="R223" s="275"/>
      <c r="S223" s="275"/>
      <c r="T223" s="275"/>
      <c r="U223" s="275"/>
      <c r="V223" s="275"/>
      <c r="W223" s="275"/>
      <c r="X223" s="275"/>
      <c r="Y223" s="275"/>
      <c r="Z223" s="275"/>
      <c r="AA223" s="275"/>
    </row>
    <row r="224" ht="15.75" customHeight="1">
      <c r="A224" s="275"/>
      <c r="B224" s="275"/>
      <c r="C224" s="286"/>
      <c r="D224" s="275"/>
      <c r="E224" s="275"/>
      <c r="F224" s="275"/>
      <c r="G224" s="275"/>
      <c r="H224" s="275"/>
      <c r="I224" s="275"/>
      <c r="J224" s="275"/>
      <c r="K224" s="286"/>
      <c r="L224" s="286"/>
      <c r="M224" s="286"/>
      <c r="N224" s="275"/>
      <c r="O224" s="275"/>
      <c r="P224" s="275"/>
      <c r="Q224" s="275"/>
      <c r="R224" s="275"/>
      <c r="S224" s="275"/>
      <c r="T224" s="275"/>
      <c r="U224" s="275"/>
      <c r="V224" s="275"/>
      <c r="W224" s="275"/>
      <c r="X224" s="275"/>
      <c r="Y224" s="275"/>
      <c r="Z224" s="275"/>
      <c r="AA224" s="275"/>
    </row>
    <row r="225" ht="15.75" customHeight="1">
      <c r="A225" s="275"/>
      <c r="B225" s="275"/>
      <c r="C225" s="286"/>
      <c r="D225" s="275"/>
      <c r="E225" s="275"/>
      <c r="F225" s="275"/>
      <c r="G225" s="275"/>
      <c r="H225" s="275"/>
      <c r="I225" s="275"/>
      <c r="J225" s="275"/>
      <c r="K225" s="286"/>
      <c r="L225" s="286"/>
      <c r="M225" s="286"/>
      <c r="N225" s="275"/>
      <c r="O225" s="275"/>
      <c r="P225" s="275"/>
      <c r="Q225" s="275"/>
      <c r="R225" s="275"/>
      <c r="S225" s="275"/>
      <c r="T225" s="275"/>
      <c r="U225" s="275"/>
      <c r="V225" s="275"/>
      <c r="W225" s="275"/>
      <c r="X225" s="275"/>
      <c r="Y225" s="275"/>
      <c r="Z225" s="275"/>
      <c r="AA225" s="275"/>
    </row>
    <row r="226" ht="15.75" customHeight="1">
      <c r="A226" s="275"/>
      <c r="B226" s="275"/>
      <c r="C226" s="286"/>
      <c r="D226" s="275"/>
      <c r="E226" s="275"/>
      <c r="F226" s="275"/>
      <c r="G226" s="275"/>
      <c r="H226" s="275"/>
      <c r="I226" s="275"/>
      <c r="J226" s="275"/>
      <c r="K226" s="286"/>
      <c r="L226" s="286"/>
      <c r="M226" s="286"/>
      <c r="N226" s="275"/>
      <c r="O226" s="275"/>
      <c r="P226" s="275"/>
      <c r="Q226" s="275"/>
      <c r="R226" s="275"/>
      <c r="S226" s="275"/>
      <c r="T226" s="275"/>
      <c r="U226" s="275"/>
      <c r="V226" s="275"/>
      <c r="W226" s="275"/>
      <c r="X226" s="275"/>
      <c r="Y226" s="275"/>
      <c r="Z226" s="275"/>
      <c r="AA226" s="275"/>
    </row>
    <row r="227" ht="15.75" customHeight="1">
      <c r="A227" s="275"/>
      <c r="B227" s="275"/>
      <c r="C227" s="286"/>
      <c r="D227" s="275"/>
      <c r="E227" s="275"/>
      <c r="F227" s="275"/>
      <c r="G227" s="275"/>
      <c r="H227" s="275"/>
      <c r="I227" s="275"/>
      <c r="J227" s="275"/>
      <c r="K227" s="286"/>
      <c r="L227" s="286"/>
      <c r="M227" s="286"/>
      <c r="N227" s="275"/>
      <c r="O227" s="275"/>
      <c r="P227" s="275"/>
      <c r="Q227" s="275"/>
      <c r="R227" s="275"/>
      <c r="S227" s="275"/>
      <c r="T227" s="275"/>
      <c r="U227" s="275"/>
      <c r="V227" s="275"/>
      <c r="W227" s="275"/>
      <c r="X227" s="275"/>
      <c r="Y227" s="275"/>
      <c r="Z227" s="275"/>
      <c r="AA227" s="275"/>
    </row>
    <row r="228" ht="15.75" customHeight="1">
      <c r="A228" s="275"/>
      <c r="B228" s="275"/>
      <c r="C228" s="286"/>
      <c r="D228" s="275"/>
      <c r="E228" s="275"/>
      <c r="F228" s="275"/>
      <c r="G228" s="275"/>
      <c r="H228" s="275"/>
      <c r="I228" s="275"/>
      <c r="J228" s="275"/>
      <c r="K228" s="286"/>
      <c r="L228" s="286"/>
      <c r="M228" s="286"/>
      <c r="N228" s="275"/>
      <c r="O228" s="275"/>
      <c r="P228" s="275"/>
      <c r="Q228" s="275"/>
      <c r="R228" s="275"/>
      <c r="S228" s="275"/>
      <c r="T228" s="275"/>
      <c r="U228" s="275"/>
      <c r="V228" s="275"/>
      <c r="W228" s="275"/>
      <c r="X228" s="275"/>
      <c r="Y228" s="275"/>
      <c r="Z228" s="275"/>
      <c r="AA228" s="275"/>
    </row>
    <row r="229" ht="15.75" customHeight="1">
      <c r="A229" s="275"/>
      <c r="B229" s="275"/>
      <c r="C229" s="286"/>
      <c r="D229" s="275"/>
      <c r="E229" s="275"/>
      <c r="F229" s="275"/>
      <c r="G229" s="275"/>
      <c r="H229" s="275"/>
      <c r="I229" s="275"/>
      <c r="J229" s="275"/>
      <c r="K229" s="286"/>
      <c r="L229" s="286"/>
      <c r="M229" s="286"/>
      <c r="N229" s="275"/>
      <c r="O229" s="275"/>
      <c r="P229" s="275"/>
      <c r="Q229" s="275"/>
      <c r="R229" s="275"/>
      <c r="S229" s="275"/>
      <c r="T229" s="275"/>
      <c r="U229" s="275"/>
      <c r="V229" s="275"/>
      <c r="W229" s="275"/>
      <c r="X229" s="275"/>
      <c r="Y229" s="275"/>
      <c r="Z229" s="275"/>
      <c r="AA229" s="275"/>
    </row>
    <row r="230" ht="15.75" customHeight="1">
      <c r="A230" s="275"/>
      <c r="B230" s="275"/>
      <c r="C230" s="286"/>
      <c r="D230" s="275"/>
      <c r="E230" s="275"/>
      <c r="F230" s="275"/>
      <c r="G230" s="275"/>
      <c r="H230" s="275"/>
      <c r="I230" s="275"/>
      <c r="J230" s="275"/>
      <c r="K230" s="286"/>
      <c r="L230" s="286"/>
      <c r="M230" s="286"/>
      <c r="N230" s="275"/>
      <c r="O230" s="275"/>
      <c r="P230" s="275"/>
      <c r="Q230" s="275"/>
      <c r="R230" s="275"/>
      <c r="S230" s="275"/>
      <c r="T230" s="275"/>
      <c r="U230" s="275"/>
      <c r="V230" s="275"/>
      <c r="W230" s="275"/>
      <c r="X230" s="275"/>
      <c r="Y230" s="275"/>
      <c r="Z230" s="275"/>
      <c r="AA230" s="275"/>
    </row>
    <row r="231" ht="15.75" customHeight="1">
      <c r="A231" s="275"/>
      <c r="B231" s="275"/>
      <c r="C231" s="286"/>
      <c r="D231" s="275"/>
      <c r="E231" s="275"/>
      <c r="F231" s="275"/>
      <c r="G231" s="275"/>
      <c r="H231" s="275"/>
      <c r="I231" s="275"/>
      <c r="J231" s="275"/>
      <c r="K231" s="286"/>
      <c r="L231" s="286"/>
      <c r="M231" s="286"/>
      <c r="N231" s="275"/>
      <c r="O231" s="275"/>
      <c r="P231" s="275"/>
      <c r="Q231" s="275"/>
      <c r="R231" s="275"/>
      <c r="S231" s="275"/>
      <c r="T231" s="275"/>
      <c r="U231" s="275"/>
      <c r="V231" s="275"/>
      <c r="W231" s="275"/>
      <c r="X231" s="275"/>
      <c r="Y231" s="275"/>
      <c r="Z231" s="275"/>
      <c r="AA231" s="275"/>
    </row>
    <row r="232" ht="15.75" customHeight="1">
      <c r="A232" s="275"/>
      <c r="B232" s="275"/>
      <c r="C232" s="286"/>
      <c r="D232" s="275"/>
      <c r="E232" s="275"/>
      <c r="F232" s="275"/>
      <c r="G232" s="275"/>
      <c r="H232" s="275"/>
      <c r="I232" s="275"/>
      <c r="J232" s="275"/>
      <c r="K232" s="286"/>
      <c r="L232" s="286"/>
      <c r="M232" s="286"/>
      <c r="N232" s="275"/>
      <c r="O232" s="275"/>
      <c r="P232" s="275"/>
      <c r="Q232" s="275"/>
      <c r="R232" s="275"/>
      <c r="S232" s="275"/>
      <c r="T232" s="275"/>
      <c r="U232" s="275"/>
      <c r="V232" s="275"/>
      <c r="W232" s="275"/>
      <c r="X232" s="275"/>
      <c r="Y232" s="275"/>
      <c r="Z232" s="275"/>
      <c r="AA232" s="275"/>
    </row>
    <row r="233" ht="15.75" customHeight="1">
      <c r="A233" s="275"/>
      <c r="B233" s="275"/>
      <c r="C233" s="286"/>
      <c r="D233" s="275"/>
      <c r="E233" s="275"/>
      <c r="F233" s="275"/>
      <c r="G233" s="275"/>
      <c r="H233" s="275"/>
      <c r="I233" s="275"/>
      <c r="J233" s="275"/>
      <c r="K233" s="286"/>
      <c r="L233" s="286"/>
      <c r="M233" s="286"/>
      <c r="N233" s="275"/>
      <c r="O233" s="275"/>
      <c r="P233" s="275"/>
      <c r="Q233" s="275"/>
      <c r="R233" s="275"/>
      <c r="S233" s="275"/>
      <c r="T233" s="275"/>
      <c r="U233" s="275"/>
      <c r="V233" s="275"/>
      <c r="W233" s="275"/>
      <c r="X233" s="275"/>
      <c r="Y233" s="275"/>
      <c r="Z233" s="275"/>
      <c r="AA233" s="275"/>
    </row>
    <row r="234" ht="15.75" customHeight="1">
      <c r="A234" s="275"/>
      <c r="B234" s="275"/>
      <c r="C234" s="286"/>
      <c r="D234" s="275"/>
      <c r="E234" s="275"/>
      <c r="F234" s="275"/>
      <c r="G234" s="275"/>
      <c r="H234" s="275"/>
      <c r="I234" s="275"/>
      <c r="J234" s="275"/>
      <c r="K234" s="286"/>
      <c r="L234" s="286"/>
      <c r="M234" s="286"/>
      <c r="N234" s="275"/>
      <c r="O234" s="275"/>
      <c r="P234" s="275"/>
      <c r="Q234" s="275"/>
      <c r="R234" s="275"/>
      <c r="S234" s="275"/>
      <c r="T234" s="275"/>
      <c r="U234" s="275"/>
      <c r="V234" s="275"/>
      <c r="W234" s="275"/>
      <c r="X234" s="275"/>
      <c r="Y234" s="275"/>
      <c r="Z234" s="275"/>
      <c r="AA234" s="275"/>
    </row>
    <row r="235" ht="15.75" customHeight="1">
      <c r="A235" s="275"/>
      <c r="B235" s="275"/>
      <c r="C235" s="286"/>
      <c r="D235" s="275"/>
      <c r="E235" s="275"/>
      <c r="F235" s="275"/>
      <c r="G235" s="275"/>
      <c r="H235" s="275"/>
      <c r="I235" s="275"/>
      <c r="J235" s="275"/>
      <c r="K235" s="286"/>
      <c r="L235" s="286"/>
      <c r="M235" s="286"/>
      <c r="N235" s="275"/>
      <c r="O235" s="275"/>
      <c r="P235" s="275"/>
      <c r="Q235" s="275"/>
      <c r="R235" s="275"/>
      <c r="S235" s="275"/>
      <c r="T235" s="275"/>
      <c r="U235" s="275"/>
      <c r="V235" s="275"/>
      <c r="W235" s="275"/>
      <c r="X235" s="275"/>
      <c r="Y235" s="275"/>
      <c r="Z235" s="275"/>
      <c r="AA235" s="275"/>
    </row>
    <row r="236" ht="15.75" customHeight="1">
      <c r="A236" s="275"/>
      <c r="B236" s="275"/>
      <c r="C236" s="286"/>
      <c r="D236" s="275"/>
      <c r="E236" s="275"/>
      <c r="F236" s="275"/>
      <c r="G236" s="275"/>
      <c r="H236" s="275"/>
      <c r="I236" s="275"/>
      <c r="J236" s="275"/>
      <c r="K236" s="286"/>
      <c r="L236" s="286"/>
      <c r="M236" s="286"/>
      <c r="N236" s="275"/>
      <c r="O236" s="275"/>
      <c r="P236" s="275"/>
      <c r="Q236" s="275"/>
      <c r="R236" s="275"/>
      <c r="S236" s="275"/>
      <c r="T236" s="275"/>
      <c r="U236" s="275"/>
      <c r="V236" s="275"/>
      <c r="W236" s="275"/>
      <c r="X236" s="275"/>
      <c r="Y236" s="275"/>
      <c r="Z236" s="275"/>
      <c r="AA236" s="275"/>
    </row>
    <row r="237" ht="15.75" customHeight="1">
      <c r="A237" s="275"/>
      <c r="B237" s="275"/>
      <c r="C237" s="286"/>
      <c r="D237" s="275"/>
      <c r="E237" s="275"/>
      <c r="F237" s="275"/>
      <c r="G237" s="275"/>
      <c r="H237" s="275"/>
      <c r="I237" s="275"/>
      <c r="J237" s="275"/>
      <c r="K237" s="286"/>
      <c r="L237" s="286"/>
      <c r="M237" s="286"/>
      <c r="N237" s="275"/>
      <c r="O237" s="275"/>
      <c r="P237" s="275"/>
      <c r="Q237" s="275"/>
      <c r="R237" s="275"/>
      <c r="S237" s="275"/>
      <c r="T237" s="275"/>
      <c r="U237" s="275"/>
      <c r="V237" s="275"/>
      <c r="W237" s="275"/>
      <c r="X237" s="275"/>
      <c r="Y237" s="275"/>
      <c r="Z237" s="275"/>
      <c r="AA237" s="275"/>
    </row>
    <row r="238" ht="15.75" customHeight="1">
      <c r="A238" s="275"/>
      <c r="B238" s="275"/>
      <c r="C238" s="286"/>
      <c r="D238" s="275"/>
      <c r="E238" s="275"/>
      <c r="F238" s="275"/>
      <c r="G238" s="275"/>
      <c r="H238" s="275"/>
      <c r="I238" s="275"/>
      <c r="J238" s="275"/>
      <c r="K238" s="286"/>
      <c r="L238" s="286"/>
      <c r="M238" s="286"/>
      <c r="N238" s="275"/>
      <c r="O238" s="275"/>
      <c r="P238" s="275"/>
      <c r="Q238" s="275"/>
      <c r="R238" s="275"/>
      <c r="S238" s="275"/>
      <c r="T238" s="275"/>
      <c r="U238" s="275"/>
      <c r="V238" s="275"/>
      <c r="W238" s="275"/>
      <c r="X238" s="275"/>
      <c r="Y238" s="275"/>
      <c r="Z238" s="275"/>
      <c r="AA238" s="275"/>
    </row>
    <row r="239" ht="15.75" customHeight="1">
      <c r="A239" s="275"/>
      <c r="B239" s="275"/>
      <c r="C239" s="286"/>
      <c r="D239" s="275"/>
      <c r="E239" s="275"/>
      <c r="F239" s="275"/>
      <c r="G239" s="275"/>
      <c r="H239" s="275"/>
      <c r="I239" s="275"/>
      <c r="J239" s="275"/>
      <c r="K239" s="286"/>
      <c r="L239" s="286"/>
      <c r="M239" s="286"/>
      <c r="N239" s="275"/>
      <c r="O239" s="275"/>
      <c r="P239" s="275"/>
      <c r="Q239" s="275"/>
      <c r="R239" s="275"/>
      <c r="S239" s="275"/>
      <c r="T239" s="275"/>
      <c r="U239" s="275"/>
      <c r="V239" s="275"/>
      <c r="W239" s="275"/>
      <c r="X239" s="275"/>
      <c r="Y239" s="275"/>
      <c r="Z239" s="275"/>
      <c r="AA239" s="275"/>
    </row>
    <row r="240" ht="15.75" customHeight="1">
      <c r="A240" s="275"/>
      <c r="B240" s="275"/>
      <c r="C240" s="286"/>
      <c r="D240" s="275"/>
      <c r="E240" s="275"/>
      <c r="F240" s="275"/>
      <c r="G240" s="275"/>
      <c r="H240" s="275"/>
      <c r="I240" s="275"/>
      <c r="J240" s="275"/>
      <c r="K240" s="286"/>
      <c r="L240" s="286"/>
      <c r="M240" s="286"/>
      <c r="N240" s="275"/>
      <c r="O240" s="275"/>
      <c r="P240" s="275"/>
      <c r="Q240" s="275"/>
      <c r="R240" s="275"/>
      <c r="S240" s="275"/>
      <c r="T240" s="275"/>
      <c r="U240" s="275"/>
      <c r="V240" s="275"/>
      <c r="W240" s="275"/>
      <c r="X240" s="275"/>
      <c r="Y240" s="275"/>
      <c r="Z240" s="275"/>
      <c r="AA240" s="275"/>
    </row>
    <row r="241" ht="15.75" customHeight="1">
      <c r="A241" s="275"/>
      <c r="B241" s="275"/>
      <c r="C241" s="286"/>
      <c r="D241" s="275"/>
      <c r="E241" s="275"/>
      <c r="F241" s="275"/>
      <c r="G241" s="275"/>
      <c r="H241" s="275"/>
      <c r="I241" s="275"/>
      <c r="J241" s="275"/>
      <c r="K241" s="286"/>
      <c r="L241" s="286"/>
      <c r="M241" s="286"/>
      <c r="N241" s="275"/>
      <c r="O241" s="275"/>
      <c r="P241" s="275"/>
      <c r="Q241" s="275"/>
      <c r="R241" s="275"/>
      <c r="S241" s="275"/>
      <c r="T241" s="275"/>
      <c r="U241" s="275"/>
      <c r="V241" s="275"/>
      <c r="W241" s="275"/>
      <c r="X241" s="275"/>
      <c r="Y241" s="275"/>
      <c r="Z241" s="275"/>
      <c r="AA241" s="275"/>
    </row>
    <row r="242" ht="15.75" customHeight="1">
      <c r="A242" s="275"/>
      <c r="B242" s="275"/>
      <c r="C242" s="286"/>
      <c r="D242" s="275"/>
      <c r="E242" s="275"/>
      <c r="F242" s="275"/>
      <c r="G242" s="275"/>
      <c r="H242" s="275"/>
      <c r="I242" s="275"/>
      <c r="J242" s="275"/>
      <c r="K242" s="286"/>
      <c r="L242" s="286"/>
      <c r="M242" s="286"/>
      <c r="N242" s="275"/>
      <c r="O242" s="275"/>
      <c r="P242" s="275"/>
      <c r="Q242" s="275"/>
      <c r="R242" s="275"/>
      <c r="S242" s="275"/>
      <c r="T242" s="275"/>
      <c r="U242" s="275"/>
      <c r="V242" s="275"/>
      <c r="W242" s="275"/>
      <c r="X242" s="275"/>
      <c r="Y242" s="275"/>
      <c r="Z242" s="275"/>
      <c r="AA242" s="275"/>
    </row>
    <row r="243" ht="15.75" customHeight="1">
      <c r="A243" s="275"/>
      <c r="B243" s="275"/>
      <c r="C243" s="286"/>
      <c r="D243" s="275"/>
      <c r="E243" s="275"/>
      <c r="F243" s="275"/>
      <c r="G243" s="275"/>
      <c r="H243" s="275"/>
      <c r="I243" s="275"/>
      <c r="J243" s="275"/>
      <c r="K243" s="286"/>
      <c r="L243" s="286"/>
      <c r="M243" s="286"/>
      <c r="N243" s="275"/>
      <c r="O243" s="275"/>
      <c r="P243" s="275"/>
      <c r="Q243" s="275"/>
      <c r="R243" s="275"/>
      <c r="S243" s="275"/>
      <c r="T243" s="275"/>
      <c r="U243" s="275"/>
      <c r="V243" s="275"/>
      <c r="W243" s="275"/>
      <c r="X243" s="275"/>
      <c r="Y243" s="275"/>
      <c r="Z243" s="275"/>
      <c r="AA243" s="275"/>
    </row>
    <row r="244" ht="15.75" customHeight="1">
      <c r="A244" s="275"/>
      <c r="B244" s="275"/>
      <c r="C244" s="286"/>
      <c r="D244" s="275"/>
      <c r="E244" s="275"/>
      <c r="F244" s="275"/>
      <c r="G244" s="275"/>
      <c r="H244" s="275"/>
      <c r="I244" s="275"/>
      <c r="J244" s="275"/>
      <c r="K244" s="286"/>
      <c r="L244" s="286"/>
      <c r="M244" s="286"/>
      <c r="N244" s="275"/>
      <c r="O244" s="275"/>
      <c r="P244" s="275"/>
      <c r="Q244" s="275"/>
      <c r="R244" s="275"/>
      <c r="S244" s="275"/>
      <c r="T244" s="275"/>
      <c r="U244" s="275"/>
      <c r="V244" s="275"/>
      <c r="W244" s="275"/>
      <c r="X244" s="275"/>
      <c r="Y244" s="275"/>
      <c r="Z244" s="275"/>
      <c r="AA244" s="275"/>
    </row>
    <row r="245" ht="15.75" customHeight="1">
      <c r="A245" s="275"/>
      <c r="B245" s="275"/>
      <c r="C245" s="286"/>
      <c r="D245" s="275"/>
      <c r="E245" s="275"/>
      <c r="F245" s="275"/>
      <c r="G245" s="275"/>
      <c r="H245" s="275"/>
      <c r="I245" s="275"/>
      <c r="J245" s="275"/>
      <c r="K245" s="286"/>
      <c r="L245" s="286"/>
      <c r="M245" s="286"/>
      <c r="N245" s="275"/>
      <c r="O245" s="275"/>
      <c r="P245" s="275"/>
      <c r="Q245" s="275"/>
      <c r="R245" s="275"/>
      <c r="S245" s="275"/>
      <c r="T245" s="275"/>
      <c r="U245" s="275"/>
      <c r="V245" s="275"/>
      <c r="W245" s="275"/>
      <c r="X245" s="275"/>
      <c r="Y245" s="275"/>
      <c r="Z245" s="275"/>
      <c r="AA245" s="275"/>
    </row>
    <row r="246" ht="15.75" customHeight="1">
      <c r="A246" s="275"/>
      <c r="B246" s="275"/>
      <c r="C246" s="286"/>
      <c r="D246" s="275"/>
      <c r="E246" s="275"/>
      <c r="F246" s="275"/>
      <c r="G246" s="275"/>
      <c r="H246" s="275"/>
      <c r="I246" s="275"/>
      <c r="J246" s="275"/>
      <c r="K246" s="286"/>
      <c r="L246" s="286"/>
      <c r="M246" s="286"/>
      <c r="N246" s="275"/>
      <c r="O246" s="275"/>
      <c r="P246" s="275"/>
      <c r="Q246" s="275"/>
      <c r="R246" s="275"/>
      <c r="S246" s="275"/>
      <c r="T246" s="275"/>
      <c r="U246" s="275"/>
      <c r="V246" s="275"/>
      <c r="W246" s="275"/>
      <c r="X246" s="275"/>
      <c r="Y246" s="275"/>
      <c r="Z246" s="275"/>
      <c r="AA246" s="275"/>
    </row>
    <row r="247" ht="15.75" customHeight="1">
      <c r="A247" s="275"/>
      <c r="B247" s="275"/>
      <c r="C247" s="286"/>
      <c r="D247" s="275"/>
      <c r="E247" s="275"/>
      <c r="F247" s="275"/>
      <c r="G247" s="275"/>
      <c r="H247" s="275"/>
      <c r="I247" s="275"/>
      <c r="J247" s="275"/>
      <c r="K247" s="286"/>
      <c r="L247" s="286"/>
      <c r="M247" s="286"/>
      <c r="N247" s="275"/>
      <c r="O247" s="275"/>
      <c r="P247" s="275"/>
      <c r="Q247" s="275"/>
      <c r="R247" s="275"/>
      <c r="S247" s="275"/>
      <c r="T247" s="275"/>
      <c r="U247" s="275"/>
      <c r="V247" s="275"/>
      <c r="W247" s="275"/>
      <c r="X247" s="275"/>
      <c r="Y247" s="275"/>
      <c r="Z247" s="275"/>
      <c r="AA247" s="275"/>
    </row>
    <row r="248" ht="15.75" customHeight="1">
      <c r="A248" s="275"/>
      <c r="B248" s="275"/>
      <c r="C248" s="286"/>
      <c r="D248" s="275"/>
      <c r="E248" s="275"/>
      <c r="F248" s="275"/>
      <c r="G248" s="275"/>
      <c r="H248" s="275"/>
      <c r="I248" s="275"/>
      <c r="J248" s="275"/>
      <c r="K248" s="286"/>
      <c r="L248" s="286"/>
      <c r="M248" s="286"/>
      <c r="N248" s="275"/>
      <c r="O248" s="275"/>
      <c r="P248" s="275"/>
      <c r="Q248" s="275"/>
      <c r="R248" s="275"/>
      <c r="S248" s="275"/>
      <c r="T248" s="275"/>
      <c r="U248" s="275"/>
      <c r="V248" s="275"/>
      <c r="W248" s="275"/>
      <c r="X248" s="275"/>
      <c r="Y248" s="275"/>
      <c r="Z248" s="275"/>
      <c r="AA248" s="275"/>
    </row>
    <row r="249" ht="15.75" customHeight="1">
      <c r="A249" s="275"/>
      <c r="B249" s="275"/>
      <c r="C249" s="286"/>
      <c r="D249" s="275"/>
      <c r="E249" s="275"/>
      <c r="F249" s="275"/>
      <c r="G249" s="275"/>
      <c r="H249" s="275"/>
      <c r="I249" s="275"/>
      <c r="J249" s="275"/>
      <c r="K249" s="286"/>
      <c r="L249" s="286"/>
      <c r="M249" s="286"/>
      <c r="N249" s="275"/>
      <c r="O249" s="275"/>
      <c r="P249" s="275"/>
      <c r="Q249" s="275"/>
      <c r="R249" s="275"/>
      <c r="S249" s="275"/>
      <c r="T249" s="275"/>
      <c r="U249" s="275"/>
      <c r="V249" s="275"/>
      <c r="W249" s="275"/>
      <c r="X249" s="275"/>
      <c r="Y249" s="275"/>
      <c r="Z249" s="275"/>
      <c r="AA249" s="275"/>
    </row>
    <row r="250" ht="15.75" customHeight="1">
      <c r="A250" s="275"/>
      <c r="B250" s="275"/>
      <c r="C250" s="286"/>
      <c r="D250" s="275"/>
      <c r="E250" s="275"/>
      <c r="F250" s="275"/>
      <c r="G250" s="275"/>
      <c r="H250" s="275"/>
      <c r="I250" s="275"/>
      <c r="J250" s="275"/>
      <c r="K250" s="286"/>
      <c r="L250" s="286"/>
      <c r="M250" s="286"/>
      <c r="N250" s="275"/>
      <c r="O250" s="275"/>
      <c r="P250" s="275"/>
      <c r="Q250" s="275"/>
      <c r="R250" s="275"/>
      <c r="S250" s="275"/>
      <c r="T250" s="275"/>
      <c r="U250" s="275"/>
      <c r="V250" s="275"/>
      <c r="W250" s="275"/>
      <c r="X250" s="275"/>
      <c r="Y250" s="275"/>
      <c r="Z250" s="275"/>
      <c r="AA250" s="275"/>
    </row>
    <row r="251" ht="15.75" customHeight="1">
      <c r="A251" s="275"/>
      <c r="B251" s="275"/>
      <c r="C251" s="286"/>
      <c r="D251" s="275"/>
      <c r="E251" s="275"/>
      <c r="F251" s="275"/>
      <c r="G251" s="275"/>
      <c r="H251" s="275"/>
      <c r="I251" s="275"/>
      <c r="J251" s="275"/>
      <c r="K251" s="286"/>
      <c r="L251" s="286"/>
      <c r="M251" s="286"/>
      <c r="N251" s="275"/>
      <c r="O251" s="275"/>
      <c r="P251" s="275"/>
      <c r="Q251" s="275"/>
      <c r="R251" s="275"/>
      <c r="S251" s="275"/>
      <c r="T251" s="275"/>
      <c r="U251" s="275"/>
      <c r="V251" s="275"/>
      <c r="W251" s="275"/>
      <c r="X251" s="275"/>
      <c r="Y251" s="275"/>
      <c r="Z251" s="275"/>
      <c r="AA251" s="275"/>
    </row>
    <row r="252" ht="15.75" customHeight="1">
      <c r="A252" s="275"/>
      <c r="B252" s="275"/>
      <c r="C252" s="286"/>
      <c r="D252" s="275"/>
      <c r="E252" s="275"/>
      <c r="F252" s="275"/>
      <c r="G252" s="275"/>
      <c r="H252" s="275"/>
      <c r="I252" s="275"/>
      <c r="J252" s="275"/>
      <c r="K252" s="286"/>
      <c r="L252" s="286"/>
      <c r="M252" s="286"/>
      <c r="N252" s="275"/>
      <c r="O252" s="275"/>
      <c r="P252" s="275"/>
      <c r="Q252" s="275"/>
      <c r="R252" s="275"/>
      <c r="S252" s="275"/>
      <c r="T252" s="275"/>
      <c r="U252" s="275"/>
      <c r="V252" s="275"/>
      <c r="W252" s="275"/>
      <c r="X252" s="275"/>
      <c r="Y252" s="275"/>
      <c r="Z252" s="275"/>
      <c r="AA252" s="275"/>
    </row>
    <row r="253" ht="15.75" customHeight="1">
      <c r="A253" s="275"/>
      <c r="B253" s="275"/>
      <c r="C253" s="286"/>
      <c r="D253" s="275"/>
      <c r="E253" s="275"/>
      <c r="F253" s="275"/>
      <c r="G253" s="275"/>
      <c r="H253" s="275"/>
      <c r="I253" s="275"/>
      <c r="J253" s="275"/>
      <c r="K253" s="286"/>
      <c r="L253" s="286"/>
      <c r="M253" s="286"/>
      <c r="N253" s="275"/>
      <c r="O253" s="275"/>
      <c r="P253" s="275"/>
      <c r="Q253" s="275"/>
      <c r="R253" s="275"/>
      <c r="S253" s="275"/>
      <c r="T253" s="275"/>
      <c r="U253" s="275"/>
      <c r="V253" s="275"/>
      <c r="W253" s="275"/>
      <c r="X253" s="275"/>
      <c r="Y253" s="275"/>
      <c r="Z253" s="275"/>
      <c r="AA253" s="275"/>
    </row>
    <row r="254" ht="15.75" customHeight="1">
      <c r="A254" s="275"/>
      <c r="B254" s="275"/>
      <c r="C254" s="286"/>
      <c r="D254" s="275"/>
      <c r="E254" s="275"/>
      <c r="F254" s="275"/>
      <c r="G254" s="275"/>
      <c r="H254" s="275"/>
      <c r="I254" s="275"/>
      <c r="J254" s="275"/>
      <c r="K254" s="286"/>
      <c r="L254" s="286"/>
      <c r="M254" s="286"/>
      <c r="N254" s="275"/>
      <c r="O254" s="275"/>
      <c r="P254" s="275"/>
      <c r="Q254" s="275"/>
      <c r="R254" s="275"/>
      <c r="S254" s="275"/>
      <c r="T254" s="275"/>
      <c r="U254" s="275"/>
      <c r="V254" s="275"/>
      <c r="W254" s="275"/>
      <c r="X254" s="275"/>
      <c r="Y254" s="275"/>
      <c r="Z254" s="275"/>
      <c r="AA254" s="275"/>
    </row>
    <row r="255" ht="15.75" customHeight="1">
      <c r="A255" s="275"/>
      <c r="B255" s="275"/>
      <c r="C255" s="286"/>
      <c r="D255" s="275"/>
      <c r="E255" s="275"/>
      <c r="F255" s="275"/>
      <c r="G255" s="275"/>
      <c r="H255" s="275"/>
      <c r="I255" s="275"/>
      <c r="J255" s="275"/>
      <c r="K255" s="286"/>
      <c r="L255" s="286"/>
      <c r="M255" s="286"/>
      <c r="N255" s="275"/>
      <c r="O255" s="275"/>
      <c r="P255" s="275"/>
      <c r="Q255" s="275"/>
      <c r="R255" s="275"/>
      <c r="S255" s="275"/>
      <c r="T255" s="275"/>
      <c r="U255" s="275"/>
      <c r="V255" s="275"/>
      <c r="W255" s="275"/>
      <c r="X255" s="275"/>
      <c r="Y255" s="275"/>
      <c r="Z255" s="275"/>
      <c r="AA255" s="275"/>
    </row>
    <row r="256" ht="15.75" customHeight="1">
      <c r="A256" s="275"/>
      <c r="B256" s="275"/>
      <c r="C256" s="286"/>
      <c r="D256" s="275"/>
      <c r="E256" s="275"/>
      <c r="F256" s="275"/>
      <c r="G256" s="275"/>
      <c r="H256" s="275"/>
      <c r="I256" s="275"/>
      <c r="J256" s="275"/>
      <c r="K256" s="286"/>
      <c r="L256" s="286"/>
      <c r="M256" s="286"/>
      <c r="N256" s="275"/>
      <c r="O256" s="275"/>
      <c r="P256" s="275"/>
      <c r="Q256" s="275"/>
      <c r="R256" s="275"/>
      <c r="S256" s="275"/>
      <c r="T256" s="275"/>
      <c r="U256" s="275"/>
      <c r="V256" s="275"/>
      <c r="W256" s="275"/>
      <c r="X256" s="275"/>
      <c r="Y256" s="275"/>
      <c r="Z256" s="275"/>
      <c r="AA256" s="275"/>
    </row>
    <row r="257" ht="15.75" customHeight="1">
      <c r="A257" s="275"/>
      <c r="B257" s="275"/>
      <c r="C257" s="286"/>
      <c r="D257" s="275"/>
      <c r="E257" s="275"/>
      <c r="F257" s="275"/>
      <c r="G257" s="275"/>
      <c r="H257" s="275"/>
      <c r="I257" s="275"/>
      <c r="J257" s="275"/>
      <c r="K257" s="286"/>
      <c r="L257" s="286"/>
      <c r="M257" s="286"/>
      <c r="N257" s="275"/>
      <c r="O257" s="275"/>
      <c r="P257" s="275"/>
      <c r="Q257" s="275"/>
      <c r="R257" s="275"/>
      <c r="S257" s="275"/>
      <c r="T257" s="275"/>
      <c r="U257" s="275"/>
      <c r="V257" s="275"/>
      <c r="W257" s="275"/>
      <c r="X257" s="275"/>
      <c r="Y257" s="275"/>
      <c r="Z257" s="275"/>
      <c r="AA257" s="275"/>
    </row>
    <row r="258" ht="15.75" customHeight="1">
      <c r="A258" s="275"/>
      <c r="B258" s="275"/>
      <c r="C258" s="286"/>
      <c r="D258" s="275"/>
      <c r="E258" s="275"/>
      <c r="F258" s="275"/>
      <c r="G258" s="275"/>
      <c r="H258" s="275"/>
      <c r="I258" s="275"/>
      <c r="J258" s="275"/>
      <c r="K258" s="286"/>
      <c r="L258" s="286"/>
      <c r="M258" s="286"/>
      <c r="N258" s="275"/>
      <c r="O258" s="275"/>
      <c r="P258" s="275"/>
      <c r="Q258" s="275"/>
      <c r="R258" s="275"/>
      <c r="S258" s="275"/>
      <c r="T258" s="275"/>
      <c r="U258" s="275"/>
      <c r="V258" s="275"/>
      <c r="W258" s="275"/>
      <c r="X258" s="275"/>
      <c r="Y258" s="275"/>
      <c r="Z258" s="275"/>
      <c r="AA258" s="275"/>
    </row>
    <row r="259" ht="15.75" customHeight="1">
      <c r="A259" s="275"/>
      <c r="B259" s="275"/>
      <c r="C259" s="286"/>
      <c r="D259" s="275"/>
      <c r="E259" s="275"/>
      <c r="F259" s="275"/>
      <c r="G259" s="275"/>
      <c r="H259" s="275"/>
      <c r="I259" s="275"/>
      <c r="J259" s="275"/>
      <c r="K259" s="286"/>
      <c r="L259" s="286"/>
      <c r="M259" s="286"/>
      <c r="N259" s="275"/>
      <c r="O259" s="275"/>
      <c r="P259" s="275"/>
      <c r="Q259" s="275"/>
      <c r="R259" s="275"/>
      <c r="S259" s="275"/>
      <c r="T259" s="275"/>
      <c r="U259" s="275"/>
      <c r="V259" s="275"/>
      <c r="W259" s="275"/>
      <c r="X259" s="275"/>
      <c r="Y259" s="275"/>
      <c r="Z259" s="275"/>
      <c r="AA259" s="275"/>
    </row>
    <row r="260" ht="15.75" customHeight="1">
      <c r="A260" s="275"/>
      <c r="B260" s="275"/>
      <c r="C260" s="286"/>
      <c r="D260" s="275"/>
      <c r="E260" s="275"/>
      <c r="F260" s="275"/>
      <c r="G260" s="275"/>
      <c r="H260" s="275"/>
      <c r="I260" s="275"/>
      <c r="J260" s="275"/>
      <c r="K260" s="286"/>
      <c r="L260" s="286"/>
      <c r="M260" s="286"/>
      <c r="N260" s="275"/>
      <c r="O260" s="275"/>
      <c r="P260" s="275"/>
      <c r="Q260" s="275"/>
      <c r="R260" s="275"/>
      <c r="S260" s="275"/>
      <c r="T260" s="275"/>
      <c r="U260" s="275"/>
      <c r="V260" s="275"/>
      <c r="W260" s="275"/>
      <c r="X260" s="275"/>
      <c r="Y260" s="275"/>
      <c r="Z260" s="275"/>
      <c r="AA260" s="275"/>
    </row>
    <row r="261" ht="15.75" customHeight="1">
      <c r="A261" s="275"/>
      <c r="B261" s="275"/>
      <c r="C261" s="286"/>
      <c r="D261" s="275"/>
      <c r="E261" s="275"/>
      <c r="F261" s="275"/>
      <c r="G261" s="275"/>
      <c r="H261" s="275"/>
      <c r="I261" s="275"/>
      <c r="J261" s="275"/>
      <c r="K261" s="286"/>
      <c r="L261" s="286"/>
      <c r="M261" s="286"/>
      <c r="N261" s="275"/>
      <c r="O261" s="275"/>
      <c r="P261" s="275"/>
      <c r="Q261" s="275"/>
      <c r="R261" s="275"/>
      <c r="S261" s="275"/>
      <c r="T261" s="275"/>
      <c r="U261" s="275"/>
      <c r="V261" s="275"/>
      <c r="W261" s="275"/>
      <c r="X261" s="275"/>
      <c r="Y261" s="275"/>
      <c r="Z261" s="275"/>
      <c r="AA261" s="275"/>
    </row>
    <row r="262" ht="15.75" customHeight="1">
      <c r="A262" s="275"/>
      <c r="B262" s="275"/>
      <c r="C262" s="286"/>
      <c r="D262" s="275"/>
      <c r="E262" s="275"/>
      <c r="F262" s="275"/>
      <c r="G262" s="275"/>
      <c r="H262" s="275"/>
      <c r="I262" s="275"/>
      <c r="J262" s="275"/>
      <c r="K262" s="286"/>
      <c r="L262" s="286"/>
      <c r="M262" s="286"/>
      <c r="N262" s="275"/>
      <c r="O262" s="275"/>
      <c r="P262" s="275"/>
      <c r="Q262" s="275"/>
      <c r="R262" s="275"/>
      <c r="S262" s="275"/>
      <c r="T262" s="275"/>
      <c r="U262" s="275"/>
      <c r="V262" s="275"/>
      <c r="W262" s="275"/>
      <c r="X262" s="275"/>
      <c r="Y262" s="275"/>
      <c r="Z262" s="275"/>
      <c r="AA262" s="275"/>
    </row>
    <row r="263" ht="15.75" customHeight="1">
      <c r="A263" s="275"/>
      <c r="B263" s="275"/>
      <c r="C263" s="286"/>
      <c r="D263" s="275"/>
      <c r="E263" s="275"/>
      <c r="F263" s="275"/>
      <c r="G263" s="275"/>
      <c r="H263" s="275"/>
      <c r="I263" s="275"/>
      <c r="J263" s="275"/>
      <c r="K263" s="286"/>
      <c r="L263" s="286"/>
      <c r="M263" s="286"/>
      <c r="N263" s="275"/>
      <c r="O263" s="275"/>
      <c r="P263" s="275"/>
      <c r="Q263" s="275"/>
      <c r="R263" s="275"/>
      <c r="S263" s="275"/>
      <c r="T263" s="275"/>
      <c r="U263" s="275"/>
      <c r="V263" s="275"/>
      <c r="W263" s="275"/>
      <c r="X263" s="275"/>
      <c r="Y263" s="275"/>
      <c r="Z263" s="275"/>
      <c r="AA263" s="275"/>
    </row>
    <row r="264" ht="15.75" customHeight="1">
      <c r="A264" s="275"/>
      <c r="B264" s="275"/>
      <c r="C264" s="286"/>
      <c r="D264" s="275"/>
      <c r="E264" s="275"/>
      <c r="F264" s="275"/>
      <c r="G264" s="275"/>
      <c r="H264" s="275"/>
      <c r="I264" s="275"/>
      <c r="J264" s="275"/>
      <c r="K264" s="286"/>
      <c r="L264" s="286"/>
      <c r="M264" s="286"/>
      <c r="N264" s="275"/>
      <c r="O264" s="275"/>
      <c r="P264" s="275"/>
      <c r="Q264" s="275"/>
      <c r="R264" s="275"/>
      <c r="S264" s="275"/>
      <c r="T264" s="275"/>
      <c r="U264" s="275"/>
      <c r="V264" s="275"/>
      <c r="W264" s="275"/>
      <c r="X264" s="275"/>
      <c r="Y264" s="275"/>
      <c r="Z264" s="275"/>
      <c r="AA264" s="275"/>
    </row>
    <row r="265" ht="15.75" customHeight="1">
      <c r="A265" s="275"/>
      <c r="B265" s="275"/>
      <c r="C265" s="286"/>
      <c r="D265" s="275"/>
      <c r="E265" s="275"/>
      <c r="F265" s="275"/>
      <c r="G265" s="275"/>
      <c r="H265" s="275"/>
      <c r="I265" s="275"/>
      <c r="J265" s="275"/>
      <c r="K265" s="286"/>
      <c r="L265" s="286"/>
      <c r="M265" s="286"/>
      <c r="N265" s="275"/>
      <c r="O265" s="275"/>
      <c r="P265" s="275"/>
      <c r="Q265" s="275"/>
      <c r="R265" s="275"/>
      <c r="S265" s="275"/>
      <c r="T265" s="275"/>
      <c r="U265" s="275"/>
      <c r="V265" s="275"/>
      <c r="W265" s="275"/>
      <c r="X265" s="275"/>
      <c r="Y265" s="275"/>
      <c r="Z265" s="275"/>
      <c r="AA265" s="275"/>
    </row>
    <row r="266" ht="15.75" customHeight="1">
      <c r="A266" s="275"/>
      <c r="B266" s="275"/>
      <c r="C266" s="286"/>
      <c r="D266" s="275"/>
      <c r="E266" s="275"/>
      <c r="F266" s="275"/>
      <c r="G266" s="275"/>
      <c r="H266" s="275"/>
      <c r="I266" s="275"/>
      <c r="J266" s="275"/>
      <c r="K266" s="286"/>
      <c r="L266" s="286"/>
      <c r="M266" s="286"/>
      <c r="N266" s="275"/>
      <c r="O266" s="275"/>
      <c r="P266" s="275"/>
      <c r="Q266" s="275"/>
      <c r="R266" s="275"/>
      <c r="S266" s="275"/>
      <c r="T266" s="275"/>
      <c r="U266" s="275"/>
      <c r="V266" s="275"/>
      <c r="W266" s="275"/>
      <c r="X266" s="275"/>
      <c r="Y266" s="275"/>
      <c r="Z266" s="275"/>
      <c r="AA266" s="275"/>
    </row>
    <row r="267" ht="15.75" customHeight="1">
      <c r="A267" s="275"/>
      <c r="B267" s="275"/>
      <c r="C267" s="286"/>
      <c r="D267" s="275"/>
      <c r="E267" s="275"/>
      <c r="F267" s="275"/>
      <c r="G267" s="275"/>
      <c r="H267" s="275"/>
      <c r="I267" s="275"/>
      <c r="J267" s="275"/>
      <c r="K267" s="286"/>
      <c r="L267" s="286"/>
      <c r="M267" s="286"/>
      <c r="N267" s="275"/>
      <c r="O267" s="275"/>
      <c r="P267" s="275"/>
      <c r="Q267" s="275"/>
      <c r="R267" s="275"/>
      <c r="S267" s="275"/>
      <c r="T267" s="275"/>
      <c r="U267" s="275"/>
      <c r="V267" s="275"/>
      <c r="W267" s="275"/>
      <c r="X267" s="275"/>
      <c r="Y267" s="275"/>
      <c r="Z267" s="275"/>
      <c r="AA267" s="275"/>
    </row>
    <row r="268" ht="15.75" customHeight="1">
      <c r="A268" s="275"/>
      <c r="B268" s="275"/>
      <c r="C268" s="286"/>
      <c r="D268" s="275"/>
      <c r="E268" s="275"/>
      <c r="F268" s="275"/>
      <c r="G268" s="275"/>
      <c r="H268" s="275"/>
      <c r="I268" s="275"/>
      <c r="J268" s="275"/>
      <c r="K268" s="286"/>
      <c r="L268" s="286"/>
      <c r="M268" s="286"/>
      <c r="N268" s="275"/>
      <c r="O268" s="275"/>
      <c r="P268" s="275"/>
      <c r="Q268" s="275"/>
      <c r="R268" s="275"/>
      <c r="S268" s="275"/>
      <c r="T268" s="275"/>
      <c r="U268" s="275"/>
      <c r="V268" s="275"/>
      <c r="W268" s="275"/>
      <c r="X268" s="275"/>
      <c r="Y268" s="275"/>
      <c r="Z268" s="275"/>
      <c r="AA268" s="275"/>
    </row>
    <row r="269" ht="15.75" customHeight="1">
      <c r="A269" s="275"/>
      <c r="B269" s="275"/>
      <c r="C269" s="286"/>
      <c r="D269" s="275"/>
      <c r="E269" s="275"/>
      <c r="F269" s="275"/>
      <c r="G269" s="275"/>
      <c r="H269" s="275"/>
      <c r="I269" s="275"/>
      <c r="J269" s="275"/>
      <c r="K269" s="286"/>
      <c r="L269" s="286"/>
      <c r="M269" s="286"/>
      <c r="N269" s="275"/>
      <c r="O269" s="275"/>
      <c r="P269" s="275"/>
      <c r="Q269" s="275"/>
      <c r="R269" s="275"/>
      <c r="S269" s="275"/>
      <c r="T269" s="275"/>
      <c r="U269" s="275"/>
      <c r="V269" s="275"/>
      <c r="W269" s="275"/>
      <c r="X269" s="275"/>
      <c r="Y269" s="275"/>
      <c r="Z269" s="275"/>
      <c r="AA269" s="275"/>
    </row>
    <row r="270" ht="15.75" customHeight="1">
      <c r="A270" s="275"/>
      <c r="B270" s="275"/>
      <c r="C270" s="286"/>
      <c r="D270" s="275"/>
      <c r="E270" s="275"/>
      <c r="F270" s="275"/>
      <c r="G270" s="275"/>
      <c r="H270" s="275"/>
      <c r="I270" s="275"/>
      <c r="J270" s="275"/>
      <c r="K270" s="286"/>
      <c r="L270" s="286"/>
      <c r="M270" s="286"/>
      <c r="N270" s="275"/>
      <c r="O270" s="275"/>
      <c r="P270" s="275"/>
      <c r="Q270" s="275"/>
      <c r="R270" s="275"/>
      <c r="S270" s="275"/>
      <c r="T270" s="275"/>
      <c r="U270" s="275"/>
      <c r="V270" s="275"/>
      <c r="W270" s="275"/>
      <c r="X270" s="275"/>
      <c r="Y270" s="275"/>
      <c r="Z270" s="275"/>
      <c r="AA270" s="275"/>
    </row>
    <row r="271" ht="15.75" customHeight="1">
      <c r="A271" s="275"/>
      <c r="B271" s="275"/>
      <c r="C271" s="286"/>
      <c r="D271" s="275"/>
      <c r="E271" s="275"/>
      <c r="F271" s="275"/>
      <c r="G271" s="275"/>
      <c r="H271" s="275"/>
      <c r="I271" s="275"/>
      <c r="J271" s="275"/>
      <c r="K271" s="286"/>
      <c r="L271" s="286"/>
      <c r="M271" s="286"/>
      <c r="N271" s="275"/>
      <c r="O271" s="275"/>
      <c r="P271" s="275"/>
      <c r="Q271" s="275"/>
      <c r="R271" s="275"/>
      <c r="S271" s="275"/>
      <c r="T271" s="275"/>
      <c r="U271" s="275"/>
      <c r="V271" s="275"/>
      <c r="W271" s="275"/>
      <c r="X271" s="275"/>
      <c r="Y271" s="275"/>
      <c r="Z271" s="275"/>
      <c r="AA271" s="275"/>
    </row>
    <row r="272" ht="15.75" customHeight="1">
      <c r="A272" s="275"/>
      <c r="B272" s="275"/>
      <c r="C272" s="286"/>
      <c r="D272" s="275"/>
      <c r="E272" s="275"/>
      <c r="F272" s="275"/>
      <c r="G272" s="275"/>
      <c r="H272" s="275"/>
      <c r="I272" s="275"/>
      <c r="J272" s="275"/>
      <c r="K272" s="286"/>
      <c r="L272" s="286"/>
      <c r="M272" s="286"/>
      <c r="N272" s="275"/>
      <c r="O272" s="275"/>
      <c r="P272" s="275"/>
      <c r="Q272" s="275"/>
      <c r="R272" s="275"/>
      <c r="S272" s="275"/>
      <c r="T272" s="275"/>
      <c r="U272" s="275"/>
      <c r="V272" s="275"/>
      <c r="W272" s="275"/>
      <c r="X272" s="275"/>
      <c r="Y272" s="275"/>
      <c r="Z272" s="275"/>
      <c r="AA272" s="275"/>
    </row>
    <row r="273" ht="15.75" customHeight="1">
      <c r="A273" s="275"/>
      <c r="B273" s="275"/>
      <c r="C273" s="286"/>
      <c r="D273" s="275"/>
      <c r="E273" s="275"/>
      <c r="F273" s="275"/>
      <c r="G273" s="275"/>
      <c r="H273" s="275"/>
      <c r="I273" s="275"/>
      <c r="J273" s="275"/>
      <c r="K273" s="286"/>
      <c r="L273" s="286"/>
      <c r="M273" s="286"/>
      <c r="N273" s="275"/>
      <c r="O273" s="275"/>
      <c r="P273" s="275"/>
      <c r="Q273" s="275"/>
      <c r="R273" s="275"/>
      <c r="S273" s="275"/>
      <c r="T273" s="275"/>
      <c r="U273" s="275"/>
      <c r="V273" s="275"/>
      <c r="W273" s="275"/>
      <c r="X273" s="275"/>
      <c r="Y273" s="275"/>
      <c r="Z273" s="275"/>
      <c r="AA273" s="275"/>
    </row>
    <row r="274" ht="15.75" customHeight="1">
      <c r="A274" s="275"/>
      <c r="B274" s="275"/>
      <c r="C274" s="286"/>
      <c r="D274" s="275"/>
      <c r="E274" s="275"/>
      <c r="F274" s="275"/>
      <c r="G274" s="275"/>
      <c r="H274" s="275"/>
      <c r="I274" s="275"/>
      <c r="J274" s="275"/>
      <c r="K274" s="286"/>
      <c r="L274" s="286"/>
      <c r="M274" s="286"/>
      <c r="N274" s="275"/>
      <c r="O274" s="275"/>
      <c r="P274" s="275"/>
      <c r="Q274" s="275"/>
      <c r="R274" s="275"/>
      <c r="S274" s="275"/>
      <c r="T274" s="275"/>
      <c r="U274" s="275"/>
      <c r="V274" s="275"/>
      <c r="W274" s="275"/>
      <c r="X274" s="275"/>
      <c r="Y274" s="275"/>
      <c r="Z274" s="275"/>
      <c r="AA274" s="275"/>
    </row>
    <row r="275" ht="15.75" customHeight="1">
      <c r="A275" s="275"/>
      <c r="B275" s="275"/>
      <c r="C275" s="286"/>
      <c r="D275" s="275"/>
      <c r="E275" s="275"/>
      <c r="F275" s="275"/>
      <c r="G275" s="275"/>
      <c r="H275" s="275"/>
      <c r="I275" s="275"/>
      <c r="J275" s="275"/>
      <c r="K275" s="286"/>
      <c r="L275" s="286"/>
      <c r="M275" s="286"/>
      <c r="N275" s="275"/>
      <c r="O275" s="275"/>
      <c r="P275" s="275"/>
      <c r="Q275" s="275"/>
      <c r="R275" s="275"/>
      <c r="S275" s="275"/>
      <c r="T275" s="275"/>
      <c r="U275" s="275"/>
      <c r="V275" s="275"/>
      <c r="W275" s="275"/>
      <c r="X275" s="275"/>
      <c r="Y275" s="275"/>
      <c r="Z275" s="275"/>
      <c r="AA275" s="275"/>
    </row>
    <row r="276" ht="15.75" customHeight="1">
      <c r="A276" s="275"/>
      <c r="B276" s="275"/>
      <c r="C276" s="286"/>
      <c r="D276" s="275"/>
      <c r="E276" s="275"/>
      <c r="F276" s="275"/>
      <c r="G276" s="275"/>
      <c r="H276" s="275"/>
      <c r="I276" s="275"/>
      <c r="J276" s="275"/>
      <c r="K276" s="286"/>
      <c r="L276" s="286"/>
      <c r="M276" s="286"/>
      <c r="N276" s="275"/>
      <c r="O276" s="275"/>
      <c r="P276" s="275"/>
      <c r="Q276" s="275"/>
      <c r="R276" s="275"/>
      <c r="S276" s="275"/>
      <c r="T276" s="275"/>
      <c r="U276" s="275"/>
      <c r="V276" s="275"/>
      <c r="W276" s="275"/>
      <c r="X276" s="275"/>
      <c r="Y276" s="275"/>
      <c r="Z276" s="275"/>
      <c r="AA276" s="275"/>
    </row>
    <row r="277" ht="15.75" customHeight="1">
      <c r="A277" s="275"/>
      <c r="B277" s="275"/>
      <c r="C277" s="286"/>
      <c r="D277" s="275"/>
      <c r="E277" s="275"/>
      <c r="F277" s="275"/>
      <c r="G277" s="275"/>
      <c r="H277" s="275"/>
      <c r="I277" s="275"/>
      <c r="J277" s="275"/>
      <c r="K277" s="286"/>
      <c r="L277" s="286"/>
      <c r="M277" s="286"/>
      <c r="N277" s="275"/>
      <c r="O277" s="275"/>
      <c r="P277" s="275"/>
      <c r="Q277" s="275"/>
      <c r="R277" s="275"/>
      <c r="S277" s="275"/>
      <c r="T277" s="275"/>
      <c r="U277" s="275"/>
      <c r="V277" s="275"/>
      <c r="W277" s="275"/>
      <c r="X277" s="275"/>
      <c r="Y277" s="275"/>
      <c r="Z277" s="275"/>
      <c r="AA277" s="275"/>
    </row>
    <row r="278" ht="15.75" customHeight="1">
      <c r="A278" s="275"/>
      <c r="B278" s="275"/>
      <c r="C278" s="286"/>
      <c r="D278" s="275"/>
      <c r="E278" s="275"/>
      <c r="F278" s="275"/>
      <c r="G278" s="275"/>
      <c r="H278" s="275"/>
      <c r="I278" s="275"/>
      <c r="J278" s="275"/>
      <c r="K278" s="286"/>
      <c r="L278" s="286"/>
      <c r="M278" s="286"/>
      <c r="N278" s="275"/>
      <c r="O278" s="275"/>
      <c r="P278" s="275"/>
      <c r="Q278" s="275"/>
      <c r="R278" s="275"/>
      <c r="S278" s="275"/>
      <c r="T278" s="275"/>
      <c r="U278" s="275"/>
      <c r="V278" s="275"/>
      <c r="W278" s="275"/>
      <c r="X278" s="275"/>
      <c r="Y278" s="275"/>
      <c r="Z278" s="275"/>
      <c r="AA278" s="275"/>
    </row>
    <row r="279" ht="15.75" customHeight="1">
      <c r="A279" s="275"/>
      <c r="B279" s="275"/>
      <c r="C279" s="286"/>
      <c r="D279" s="275"/>
      <c r="E279" s="275"/>
      <c r="F279" s="275"/>
      <c r="G279" s="275"/>
      <c r="H279" s="275"/>
      <c r="I279" s="275"/>
      <c r="J279" s="275"/>
      <c r="K279" s="286"/>
      <c r="L279" s="286"/>
      <c r="M279" s="286"/>
      <c r="N279" s="275"/>
      <c r="O279" s="275"/>
      <c r="P279" s="275"/>
      <c r="Q279" s="275"/>
      <c r="R279" s="275"/>
      <c r="S279" s="275"/>
      <c r="T279" s="275"/>
      <c r="U279" s="275"/>
      <c r="V279" s="275"/>
      <c r="W279" s="275"/>
      <c r="X279" s="275"/>
      <c r="Y279" s="275"/>
      <c r="Z279" s="275"/>
      <c r="AA279" s="275"/>
    </row>
    <row r="280" ht="15.75" customHeight="1">
      <c r="A280" s="275"/>
      <c r="B280" s="275"/>
      <c r="C280" s="286"/>
      <c r="D280" s="275"/>
      <c r="E280" s="275"/>
      <c r="F280" s="275"/>
      <c r="G280" s="275"/>
      <c r="H280" s="275"/>
      <c r="I280" s="275"/>
      <c r="J280" s="275"/>
      <c r="K280" s="286"/>
      <c r="L280" s="286"/>
      <c r="M280" s="286"/>
      <c r="N280" s="275"/>
      <c r="O280" s="275"/>
      <c r="P280" s="275"/>
      <c r="Q280" s="275"/>
      <c r="R280" s="275"/>
      <c r="S280" s="275"/>
      <c r="T280" s="275"/>
      <c r="U280" s="275"/>
      <c r="V280" s="275"/>
      <c r="W280" s="275"/>
      <c r="X280" s="275"/>
      <c r="Y280" s="275"/>
      <c r="Z280" s="275"/>
      <c r="AA280" s="275"/>
    </row>
    <row r="281" ht="15.75" customHeight="1">
      <c r="A281" s="275"/>
      <c r="B281" s="275"/>
      <c r="C281" s="286"/>
      <c r="D281" s="275"/>
      <c r="E281" s="275"/>
      <c r="F281" s="275"/>
      <c r="G281" s="275"/>
      <c r="H281" s="275"/>
      <c r="I281" s="275"/>
      <c r="J281" s="275"/>
      <c r="K281" s="286"/>
      <c r="L281" s="286"/>
      <c r="M281" s="286"/>
      <c r="N281" s="275"/>
      <c r="O281" s="275"/>
      <c r="P281" s="275"/>
      <c r="Q281" s="275"/>
      <c r="R281" s="275"/>
      <c r="S281" s="275"/>
      <c r="T281" s="275"/>
      <c r="U281" s="275"/>
      <c r="V281" s="275"/>
      <c r="W281" s="275"/>
      <c r="X281" s="275"/>
      <c r="Y281" s="275"/>
      <c r="Z281" s="275"/>
      <c r="AA281" s="275"/>
    </row>
    <row r="282" ht="15.75" customHeight="1">
      <c r="A282" s="275"/>
      <c r="B282" s="275"/>
      <c r="C282" s="286"/>
      <c r="D282" s="275"/>
      <c r="E282" s="275"/>
      <c r="F282" s="275"/>
      <c r="G282" s="275"/>
      <c r="H282" s="275"/>
      <c r="I282" s="275"/>
      <c r="J282" s="275"/>
      <c r="K282" s="286"/>
      <c r="L282" s="286"/>
      <c r="M282" s="286"/>
      <c r="N282" s="275"/>
      <c r="O282" s="275"/>
      <c r="P282" s="275"/>
      <c r="Q282" s="275"/>
      <c r="R282" s="275"/>
      <c r="S282" s="275"/>
      <c r="T282" s="275"/>
      <c r="U282" s="275"/>
      <c r="V282" s="275"/>
      <c r="W282" s="275"/>
      <c r="X282" s="275"/>
      <c r="Y282" s="275"/>
      <c r="Z282" s="275"/>
      <c r="AA282" s="275"/>
    </row>
    <row r="283" ht="15.75" customHeight="1">
      <c r="A283" s="275"/>
      <c r="B283" s="275"/>
      <c r="C283" s="286"/>
      <c r="D283" s="275"/>
      <c r="E283" s="275"/>
      <c r="F283" s="275"/>
      <c r="G283" s="275"/>
      <c r="H283" s="275"/>
      <c r="I283" s="275"/>
      <c r="J283" s="275"/>
      <c r="K283" s="286"/>
      <c r="L283" s="286"/>
      <c r="M283" s="286"/>
      <c r="N283" s="275"/>
      <c r="O283" s="275"/>
      <c r="P283" s="275"/>
      <c r="Q283" s="275"/>
      <c r="R283" s="275"/>
      <c r="S283" s="275"/>
      <c r="T283" s="275"/>
      <c r="U283" s="275"/>
      <c r="V283" s="275"/>
      <c r="W283" s="275"/>
      <c r="X283" s="275"/>
      <c r="Y283" s="275"/>
      <c r="Z283" s="275"/>
      <c r="AA283" s="275"/>
    </row>
    <row r="284" ht="15.75" customHeight="1">
      <c r="A284" s="275"/>
      <c r="B284" s="275"/>
      <c r="C284" s="286"/>
      <c r="D284" s="275"/>
      <c r="E284" s="275"/>
      <c r="F284" s="275"/>
      <c r="G284" s="275"/>
      <c r="H284" s="275"/>
      <c r="I284" s="275"/>
      <c r="J284" s="275"/>
      <c r="K284" s="286"/>
      <c r="L284" s="286"/>
      <c r="M284" s="286"/>
      <c r="N284" s="275"/>
      <c r="O284" s="275"/>
      <c r="P284" s="275"/>
      <c r="Q284" s="275"/>
      <c r="R284" s="275"/>
      <c r="S284" s="275"/>
      <c r="T284" s="275"/>
      <c r="U284" s="275"/>
      <c r="V284" s="275"/>
      <c r="W284" s="275"/>
      <c r="X284" s="275"/>
      <c r="Y284" s="275"/>
      <c r="Z284" s="275"/>
      <c r="AA284" s="275"/>
    </row>
    <row r="285" ht="15.75" customHeight="1">
      <c r="A285" s="275"/>
      <c r="B285" s="275"/>
      <c r="C285" s="286"/>
      <c r="D285" s="275"/>
      <c r="E285" s="275"/>
      <c r="F285" s="275"/>
      <c r="G285" s="275"/>
      <c r="H285" s="275"/>
      <c r="I285" s="275"/>
      <c r="J285" s="275"/>
      <c r="K285" s="286"/>
      <c r="L285" s="286"/>
      <c r="M285" s="286"/>
      <c r="N285" s="275"/>
      <c r="O285" s="275"/>
      <c r="P285" s="275"/>
      <c r="Q285" s="275"/>
      <c r="R285" s="275"/>
      <c r="S285" s="275"/>
      <c r="T285" s="275"/>
      <c r="U285" s="275"/>
      <c r="V285" s="275"/>
      <c r="W285" s="275"/>
      <c r="X285" s="275"/>
      <c r="Y285" s="275"/>
      <c r="Z285" s="275"/>
      <c r="AA285" s="275"/>
    </row>
    <row r="286" ht="15.75" customHeight="1">
      <c r="A286" s="275"/>
      <c r="B286" s="275"/>
      <c r="C286" s="286"/>
      <c r="D286" s="275"/>
      <c r="E286" s="275"/>
      <c r="F286" s="275"/>
      <c r="G286" s="275"/>
      <c r="H286" s="275"/>
      <c r="I286" s="275"/>
      <c r="J286" s="275"/>
      <c r="K286" s="286"/>
      <c r="L286" s="286"/>
      <c r="M286" s="286"/>
      <c r="N286" s="275"/>
      <c r="O286" s="275"/>
      <c r="P286" s="275"/>
      <c r="Q286" s="275"/>
      <c r="R286" s="275"/>
      <c r="S286" s="275"/>
      <c r="T286" s="275"/>
      <c r="U286" s="275"/>
      <c r="V286" s="275"/>
      <c r="W286" s="275"/>
      <c r="X286" s="275"/>
      <c r="Y286" s="275"/>
      <c r="Z286" s="275"/>
      <c r="AA286" s="275"/>
    </row>
    <row r="287" ht="15.75" customHeight="1">
      <c r="A287" s="275"/>
      <c r="B287" s="275"/>
      <c r="C287" s="286"/>
      <c r="D287" s="275"/>
      <c r="E287" s="275"/>
      <c r="F287" s="275"/>
      <c r="G287" s="275"/>
      <c r="H287" s="275"/>
      <c r="I287" s="275"/>
      <c r="J287" s="275"/>
      <c r="K287" s="286"/>
      <c r="L287" s="286"/>
      <c r="M287" s="286"/>
      <c r="N287" s="275"/>
      <c r="O287" s="275"/>
      <c r="P287" s="275"/>
      <c r="Q287" s="275"/>
      <c r="R287" s="275"/>
      <c r="S287" s="275"/>
      <c r="T287" s="275"/>
      <c r="U287" s="275"/>
      <c r="V287" s="275"/>
      <c r="W287" s="275"/>
      <c r="X287" s="275"/>
      <c r="Y287" s="275"/>
      <c r="Z287" s="275"/>
      <c r="AA287" s="275"/>
    </row>
    <row r="288" ht="15.75" customHeight="1">
      <c r="A288" s="275"/>
      <c r="B288" s="275"/>
      <c r="C288" s="286"/>
      <c r="D288" s="275"/>
      <c r="E288" s="275"/>
      <c r="F288" s="275"/>
      <c r="G288" s="275"/>
      <c r="H288" s="275"/>
      <c r="I288" s="275"/>
      <c r="J288" s="275"/>
      <c r="K288" s="286"/>
      <c r="L288" s="286"/>
      <c r="M288" s="286"/>
      <c r="N288" s="275"/>
      <c r="O288" s="275"/>
      <c r="P288" s="275"/>
      <c r="Q288" s="275"/>
      <c r="R288" s="275"/>
      <c r="S288" s="275"/>
      <c r="T288" s="275"/>
      <c r="U288" s="275"/>
      <c r="V288" s="275"/>
      <c r="W288" s="275"/>
      <c r="X288" s="275"/>
      <c r="Y288" s="275"/>
      <c r="Z288" s="275"/>
      <c r="AA288" s="275"/>
    </row>
    <row r="289" ht="15.75" customHeight="1">
      <c r="A289" s="275"/>
      <c r="B289" s="275"/>
      <c r="C289" s="286"/>
      <c r="D289" s="275"/>
      <c r="E289" s="275"/>
      <c r="F289" s="275"/>
      <c r="G289" s="275"/>
      <c r="H289" s="275"/>
      <c r="I289" s="275"/>
      <c r="J289" s="275"/>
      <c r="K289" s="286"/>
      <c r="L289" s="286"/>
      <c r="M289" s="286"/>
      <c r="N289" s="275"/>
      <c r="O289" s="275"/>
      <c r="P289" s="275"/>
      <c r="Q289" s="275"/>
      <c r="R289" s="275"/>
      <c r="S289" s="275"/>
      <c r="T289" s="275"/>
      <c r="U289" s="275"/>
      <c r="V289" s="275"/>
      <c r="W289" s="275"/>
      <c r="X289" s="275"/>
      <c r="Y289" s="275"/>
      <c r="Z289" s="275"/>
      <c r="AA289" s="275"/>
    </row>
    <row r="290" ht="15.75" customHeight="1">
      <c r="A290" s="275"/>
      <c r="B290" s="275"/>
      <c r="C290" s="286"/>
      <c r="D290" s="275"/>
      <c r="E290" s="275"/>
      <c r="F290" s="275"/>
      <c r="G290" s="275"/>
      <c r="H290" s="275"/>
      <c r="I290" s="275"/>
      <c r="J290" s="275"/>
      <c r="K290" s="286"/>
      <c r="L290" s="286"/>
      <c r="M290" s="286"/>
      <c r="N290" s="275"/>
      <c r="O290" s="275"/>
      <c r="P290" s="275"/>
      <c r="Q290" s="275"/>
      <c r="R290" s="275"/>
      <c r="S290" s="275"/>
      <c r="T290" s="275"/>
      <c r="U290" s="275"/>
      <c r="V290" s="275"/>
      <c r="W290" s="275"/>
      <c r="X290" s="275"/>
      <c r="Y290" s="275"/>
      <c r="Z290" s="275"/>
      <c r="AA290" s="275"/>
    </row>
    <row r="291" ht="15.75" customHeight="1">
      <c r="A291" s="275"/>
      <c r="B291" s="275"/>
      <c r="C291" s="286"/>
      <c r="D291" s="275"/>
      <c r="E291" s="275"/>
      <c r="F291" s="275"/>
      <c r="G291" s="275"/>
      <c r="H291" s="275"/>
      <c r="I291" s="275"/>
      <c r="J291" s="275"/>
      <c r="K291" s="286"/>
      <c r="L291" s="286"/>
      <c r="M291" s="286"/>
      <c r="N291" s="275"/>
      <c r="O291" s="275"/>
      <c r="P291" s="275"/>
      <c r="Q291" s="275"/>
      <c r="R291" s="275"/>
      <c r="S291" s="275"/>
      <c r="T291" s="275"/>
      <c r="U291" s="275"/>
      <c r="V291" s="275"/>
      <c r="W291" s="275"/>
      <c r="X291" s="275"/>
      <c r="Y291" s="275"/>
      <c r="Z291" s="275"/>
      <c r="AA291" s="275"/>
    </row>
    <row r="292" ht="15.75" customHeight="1">
      <c r="A292" s="275"/>
      <c r="B292" s="275"/>
      <c r="C292" s="286"/>
      <c r="D292" s="275"/>
      <c r="E292" s="275"/>
      <c r="F292" s="275"/>
      <c r="G292" s="275"/>
      <c r="H292" s="275"/>
      <c r="I292" s="275"/>
      <c r="J292" s="275"/>
      <c r="K292" s="286"/>
      <c r="L292" s="286"/>
      <c r="M292" s="286"/>
      <c r="N292" s="275"/>
      <c r="O292" s="275"/>
      <c r="P292" s="275"/>
      <c r="Q292" s="275"/>
      <c r="R292" s="275"/>
      <c r="S292" s="275"/>
      <c r="T292" s="275"/>
      <c r="U292" s="275"/>
      <c r="V292" s="275"/>
      <c r="W292" s="275"/>
      <c r="X292" s="275"/>
      <c r="Y292" s="275"/>
      <c r="Z292" s="275"/>
      <c r="AA292" s="275"/>
    </row>
    <row r="293" ht="15.75" customHeight="1">
      <c r="A293" s="275"/>
      <c r="B293" s="275"/>
      <c r="C293" s="286"/>
      <c r="D293" s="275"/>
      <c r="E293" s="275"/>
      <c r="F293" s="275"/>
      <c r="G293" s="275"/>
      <c r="H293" s="275"/>
      <c r="I293" s="275"/>
      <c r="J293" s="275"/>
      <c r="K293" s="286"/>
      <c r="L293" s="286"/>
      <c r="M293" s="286"/>
      <c r="N293" s="275"/>
      <c r="O293" s="275"/>
      <c r="P293" s="275"/>
      <c r="Q293" s="275"/>
      <c r="R293" s="275"/>
      <c r="S293" s="275"/>
      <c r="T293" s="275"/>
      <c r="U293" s="275"/>
      <c r="V293" s="275"/>
      <c r="W293" s="275"/>
      <c r="X293" s="275"/>
      <c r="Y293" s="275"/>
      <c r="Z293" s="275"/>
      <c r="AA293" s="275"/>
    </row>
    <row r="294" ht="15.75" customHeight="1">
      <c r="A294" s="275"/>
      <c r="B294" s="275"/>
      <c r="C294" s="286"/>
      <c r="D294" s="275"/>
      <c r="E294" s="275"/>
      <c r="F294" s="275"/>
      <c r="G294" s="275"/>
      <c r="H294" s="275"/>
      <c r="I294" s="275"/>
      <c r="J294" s="275"/>
      <c r="K294" s="286"/>
      <c r="L294" s="286"/>
      <c r="M294" s="286"/>
      <c r="N294" s="275"/>
      <c r="O294" s="275"/>
      <c r="P294" s="275"/>
      <c r="Q294" s="275"/>
      <c r="R294" s="275"/>
      <c r="S294" s="275"/>
      <c r="T294" s="275"/>
      <c r="U294" s="275"/>
      <c r="V294" s="275"/>
      <c r="W294" s="275"/>
      <c r="X294" s="275"/>
      <c r="Y294" s="275"/>
      <c r="Z294" s="275"/>
      <c r="AA294" s="275"/>
    </row>
    <row r="295" ht="15.75" customHeight="1">
      <c r="A295" s="275"/>
      <c r="B295" s="275"/>
      <c r="C295" s="286"/>
      <c r="D295" s="275"/>
      <c r="E295" s="275"/>
      <c r="F295" s="275"/>
      <c r="G295" s="275"/>
      <c r="H295" s="275"/>
      <c r="I295" s="275"/>
      <c r="J295" s="275"/>
      <c r="K295" s="286"/>
      <c r="L295" s="286"/>
      <c r="M295" s="286"/>
      <c r="N295" s="275"/>
      <c r="O295" s="275"/>
      <c r="P295" s="275"/>
      <c r="Q295" s="275"/>
      <c r="R295" s="275"/>
      <c r="S295" s="275"/>
      <c r="T295" s="275"/>
      <c r="U295" s="275"/>
      <c r="V295" s="275"/>
      <c r="W295" s="275"/>
      <c r="X295" s="275"/>
      <c r="Y295" s="275"/>
      <c r="Z295" s="275"/>
      <c r="AA295" s="275"/>
    </row>
    <row r="296" ht="15.75" customHeight="1">
      <c r="A296" s="275"/>
      <c r="B296" s="275"/>
      <c r="C296" s="286"/>
      <c r="D296" s="275"/>
      <c r="E296" s="275"/>
      <c r="F296" s="275"/>
      <c r="G296" s="275"/>
      <c r="H296" s="275"/>
      <c r="I296" s="275"/>
      <c r="J296" s="275"/>
      <c r="K296" s="286"/>
      <c r="L296" s="286"/>
      <c r="M296" s="286"/>
      <c r="N296" s="275"/>
      <c r="O296" s="275"/>
      <c r="P296" s="275"/>
      <c r="Q296" s="275"/>
      <c r="R296" s="275"/>
      <c r="S296" s="275"/>
      <c r="T296" s="275"/>
      <c r="U296" s="275"/>
      <c r="V296" s="275"/>
      <c r="W296" s="275"/>
      <c r="X296" s="275"/>
      <c r="Y296" s="275"/>
      <c r="Z296" s="275"/>
      <c r="AA296" s="275"/>
    </row>
    <row r="297" ht="15.75" customHeight="1">
      <c r="A297" s="275"/>
      <c r="B297" s="275"/>
      <c r="C297" s="286"/>
      <c r="D297" s="275"/>
      <c r="E297" s="275"/>
      <c r="F297" s="275"/>
      <c r="G297" s="275"/>
      <c r="H297" s="275"/>
      <c r="I297" s="275"/>
      <c r="J297" s="275"/>
      <c r="K297" s="286"/>
      <c r="L297" s="286"/>
      <c r="M297" s="286"/>
      <c r="N297" s="275"/>
      <c r="O297" s="275"/>
      <c r="P297" s="275"/>
      <c r="Q297" s="275"/>
      <c r="R297" s="275"/>
      <c r="S297" s="275"/>
      <c r="T297" s="275"/>
      <c r="U297" s="275"/>
      <c r="V297" s="275"/>
      <c r="W297" s="275"/>
      <c r="X297" s="275"/>
      <c r="Y297" s="275"/>
      <c r="Z297" s="275"/>
      <c r="AA297" s="275"/>
    </row>
    <row r="298" ht="15.75" customHeight="1">
      <c r="A298" s="275"/>
      <c r="B298" s="275"/>
      <c r="C298" s="286"/>
      <c r="D298" s="275"/>
      <c r="E298" s="275"/>
      <c r="F298" s="275"/>
      <c r="G298" s="275"/>
      <c r="H298" s="275"/>
      <c r="I298" s="275"/>
      <c r="J298" s="275"/>
      <c r="K298" s="286"/>
      <c r="L298" s="286"/>
      <c r="M298" s="286"/>
      <c r="N298" s="275"/>
      <c r="O298" s="275"/>
      <c r="P298" s="275"/>
      <c r="Q298" s="275"/>
      <c r="R298" s="275"/>
      <c r="S298" s="275"/>
      <c r="T298" s="275"/>
      <c r="U298" s="275"/>
      <c r="V298" s="275"/>
      <c r="W298" s="275"/>
      <c r="X298" s="275"/>
      <c r="Y298" s="275"/>
      <c r="Z298" s="275"/>
      <c r="AA298" s="275"/>
    </row>
    <row r="299" ht="15.75" customHeight="1">
      <c r="A299" s="275"/>
      <c r="B299" s="275"/>
      <c r="C299" s="286"/>
      <c r="D299" s="275"/>
      <c r="E299" s="275"/>
      <c r="F299" s="275"/>
      <c r="G299" s="275"/>
      <c r="H299" s="275"/>
      <c r="I299" s="275"/>
      <c r="J299" s="275"/>
      <c r="K299" s="286"/>
      <c r="L299" s="286"/>
      <c r="M299" s="286"/>
      <c r="N299" s="275"/>
      <c r="O299" s="275"/>
      <c r="P299" s="275"/>
      <c r="Q299" s="275"/>
      <c r="R299" s="275"/>
      <c r="S299" s="275"/>
      <c r="T299" s="275"/>
      <c r="U299" s="275"/>
      <c r="V299" s="275"/>
      <c r="W299" s="275"/>
      <c r="X299" s="275"/>
      <c r="Y299" s="275"/>
      <c r="Z299" s="275"/>
      <c r="AA299" s="275"/>
    </row>
    <row r="300" ht="15.75" customHeight="1">
      <c r="A300" s="275"/>
      <c r="B300" s="275"/>
      <c r="C300" s="286"/>
      <c r="D300" s="275"/>
      <c r="E300" s="275"/>
      <c r="F300" s="275"/>
      <c r="G300" s="275"/>
      <c r="H300" s="275"/>
      <c r="I300" s="275"/>
      <c r="J300" s="275"/>
      <c r="K300" s="286"/>
      <c r="L300" s="286"/>
      <c r="M300" s="286"/>
      <c r="N300" s="275"/>
      <c r="O300" s="275"/>
      <c r="P300" s="275"/>
      <c r="Q300" s="275"/>
      <c r="R300" s="275"/>
      <c r="S300" s="275"/>
      <c r="T300" s="275"/>
      <c r="U300" s="275"/>
      <c r="V300" s="275"/>
      <c r="W300" s="275"/>
      <c r="X300" s="275"/>
      <c r="Y300" s="275"/>
      <c r="Z300" s="275"/>
      <c r="AA300" s="275"/>
    </row>
    <row r="301" ht="15.75" customHeight="1">
      <c r="A301" s="275"/>
      <c r="B301" s="275"/>
      <c r="C301" s="286"/>
      <c r="D301" s="275"/>
      <c r="E301" s="275"/>
      <c r="F301" s="275"/>
      <c r="G301" s="275"/>
      <c r="H301" s="275"/>
      <c r="I301" s="275"/>
      <c r="J301" s="275"/>
      <c r="K301" s="286"/>
      <c r="L301" s="286"/>
      <c r="M301" s="286"/>
      <c r="N301" s="275"/>
      <c r="O301" s="275"/>
      <c r="P301" s="275"/>
      <c r="Q301" s="275"/>
      <c r="R301" s="275"/>
      <c r="S301" s="275"/>
      <c r="T301" s="275"/>
      <c r="U301" s="275"/>
      <c r="V301" s="275"/>
      <c r="W301" s="275"/>
      <c r="X301" s="275"/>
      <c r="Y301" s="275"/>
      <c r="Z301" s="275"/>
      <c r="AA301" s="275"/>
    </row>
    <row r="302" ht="15.75" customHeight="1">
      <c r="A302" s="275"/>
      <c r="B302" s="275"/>
      <c r="C302" s="286"/>
      <c r="D302" s="275"/>
      <c r="E302" s="275"/>
      <c r="F302" s="275"/>
      <c r="G302" s="275"/>
      <c r="H302" s="275"/>
      <c r="I302" s="275"/>
      <c r="J302" s="275"/>
      <c r="K302" s="286"/>
      <c r="L302" s="286"/>
      <c r="M302" s="286"/>
      <c r="N302" s="275"/>
      <c r="O302" s="275"/>
      <c r="P302" s="275"/>
      <c r="Q302" s="275"/>
      <c r="R302" s="275"/>
      <c r="S302" s="275"/>
      <c r="T302" s="275"/>
      <c r="U302" s="275"/>
      <c r="V302" s="275"/>
      <c r="W302" s="275"/>
      <c r="X302" s="275"/>
      <c r="Y302" s="275"/>
      <c r="Z302" s="275"/>
      <c r="AA302" s="275"/>
    </row>
    <row r="303" ht="15.75" customHeight="1">
      <c r="A303" s="275"/>
      <c r="B303" s="275"/>
      <c r="C303" s="286"/>
      <c r="D303" s="275"/>
      <c r="E303" s="275"/>
      <c r="F303" s="275"/>
      <c r="G303" s="275"/>
      <c r="H303" s="275"/>
      <c r="I303" s="275"/>
      <c r="J303" s="275"/>
      <c r="K303" s="286"/>
      <c r="L303" s="286"/>
      <c r="M303" s="286"/>
      <c r="N303" s="275"/>
      <c r="O303" s="275"/>
      <c r="P303" s="275"/>
      <c r="Q303" s="275"/>
      <c r="R303" s="275"/>
      <c r="S303" s="275"/>
      <c r="T303" s="275"/>
      <c r="U303" s="275"/>
      <c r="V303" s="275"/>
      <c r="W303" s="275"/>
      <c r="X303" s="275"/>
      <c r="Y303" s="275"/>
      <c r="Z303" s="275"/>
      <c r="AA303" s="275"/>
    </row>
    <row r="304" ht="15.75" customHeight="1">
      <c r="A304" s="275"/>
      <c r="B304" s="275"/>
      <c r="C304" s="286"/>
      <c r="D304" s="275"/>
      <c r="E304" s="275"/>
      <c r="F304" s="275"/>
      <c r="G304" s="275"/>
      <c r="H304" s="275"/>
      <c r="I304" s="275"/>
      <c r="J304" s="275"/>
      <c r="K304" s="286"/>
      <c r="L304" s="286"/>
      <c r="M304" s="286"/>
      <c r="N304" s="275"/>
      <c r="O304" s="275"/>
      <c r="P304" s="275"/>
      <c r="Q304" s="275"/>
      <c r="R304" s="275"/>
      <c r="S304" s="275"/>
      <c r="T304" s="275"/>
      <c r="U304" s="275"/>
      <c r="V304" s="275"/>
      <c r="W304" s="275"/>
      <c r="X304" s="275"/>
      <c r="Y304" s="275"/>
      <c r="Z304" s="275"/>
      <c r="AA304" s="275"/>
    </row>
    <row r="305" ht="15.75" customHeight="1">
      <c r="A305" s="275"/>
      <c r="B305" s="275"/>
      <c r="C305" s="286"/>
      <c r="D305" s="275"/>
      <c r="E305" s="275"/>
      <c r="F305" s="275"/>
      <c r="G305" s="275"/>
      <c r="H305" s="275"/>
      <c r="I305" s="275"/>
      <c r="J305" s="275"/>
      <c r="K305" s="286"/>
      <c r="L305" s="286"/>
      <c r="M305" s="286"/>
      <c r="N305" s="275"/>
      <c r="O305" s="275"/>
      <c r="P305" s="275"/>
      <c r="Q305" s="275"/>
      <c r="R305" s="275"/>
      <c r="S305" s="275"/>
      <c r="T305" s="275"/>
      <c r="U305" s="275"/>
      <c r="V305" s="275"/>
      <c r="W305" s="275"/>
      <c r="X305" s="275"/>
      <c r="Y305" s="275"/>
      <c r="Z305" s="275"/>
      <c r="AA305" s="275"/>
    </row>
    <row r="306" ht="15.75" customHeight="1">
      <c r="A306" s="275"/>
      <c r="B306" s="275"/>
      <c r="C306" s="286"/>
      <c r="D306" s="275"/>
      <c r="E306" s="275"/>
      <c r="F306" s="275"/>
      <c r="G306" s="275"/>
      <c r="H306" s="275"/>
      <c r="I306" s="275"/>
      <c r="J306" s="275"/>
      <c r="K306" s="286"/>
      <c r="L306" s="286"/>
      <c r="M306" s="286"/>
      <c r="N306" s="275"/>
      <c r="O306" s="275"/>
      <c r="P306" s="275"/>
      <c r="Q306" s="275"/>
      <c r="R306" s="275"/>
      <c r="S306" s="275"/>
      <c r="T306" s="275"/>
      <c r="U306" s="275"/>
      <c r="V306" s="275"/>
      <c r="W306" s="275"/>
      <c r="X306" s="275"/>
      <c r="Y306" s="275"/>
      <c r="Z306" s="275"/>
      <c r="AA306" s="275"/>
    </row>
    <row r="307" ht="15.75" customHeight="1">
      <c r="A307" s="275"/>
      <c r="B307" s="275"/>
      <c r="C307" s="286"/>
      <c r="D307" s="275"/>
      <c r="E307" s="275"/>
      <c r="F307" s="275"/>
      <c r="G307" s="275"/>
      <c r="H307" s="275"/>
      <c r="I307" s="275"/>
      <c r="J307" s="275"/>
      <c r="K307" s="286"/>
      <c r="L307" s="286"/>
      <c r="M307" s="286"/>
      <c r="N307" s="275"/>
      <c r="O307" s="275"/>
      <c r="P307" s="275"/>
      <c r="Q307" s="275"/>
      <c r="R307" s="275"/>
      <c r="S307" s="275"/>
      <c r="T307" s="275"/>
      <c r="U307" s="275"/>
      <c r="V307" s="275"/>
      <c r="W307" s="275"/>
      <c r="X307" s="275"/>
      <c r="Y307" s="275"/>
      <c r="Z307" s="275"/>
      <c r="AA307" s="275"/>
    </row>
    <row r="308" ht="15.75" customHeight="1">
      <c r="A308" s="275"/>
      <c r="B308" s="275"/>
      <c r="C308" s="286"/>
      <c r="D308" s="275"/>
      <c r="E308" s="275"/>
      <c r="F308" s="275"/>
      <c r="G308" s="275"/>
      <c r="H308" s="275"/>
      <c r="I308" s="275"/>
      <c r="J308" s="275"/>
      <c r="K308" s="286"/>
      <c r="L308" s="286"/>
      <c r="M308" s="286"/>
      <c r="N308" s="275"/>
      <c r="O308" s="275"/>
      <c r="P308" s="275"/>
      <c r="Q308" s="275"/>
      <c r="R308" s="275"/>
      <c r="S308" s="275"/>
      <c r="T308" s="275"/>
      <c r="U308" s="275"/>
      <c r="V308" s="275"/>
      <c r="W308" s="275"/>
      <c r="X308" s="275"/>
      <c r="Y308" s="275"/>
      <c r="Z308" s="275"/>
      <c r="AA308" s="275"/>
    </row>
    <row r="309" ht="15.75" customHeight="1">
      <c r="A309" s="275"/>
      <c r="B309" s="275"/>
      <c r="C309" s="286"/>
      <c r="D309" s="275"/>
      <c r="E309" s="275"/>
      <c r="F309" s="275"/>
      <c r="G309" s="275"/>
      <c r="H309" s="275"/>
      <c r="I309" s="275"/>
      <c r="J309" s="275"/>
      <c r="K309" s="286"/>
      <c r="L309" s="286"/>
      <c r="M309" s="286"/>
      <c r="N309" s="275"/>
      <c r="O309" s="275"/>
      <c r="P309" s="275"/>
      <c r="Q309" s="275"/>
      <c r="R309" s="275"/>
      <c r="S309" s="275"/>
      <c r="T309" s="275"/>
      <c r="U309" s="275"/>
      <c r="V309" s="275"/>
      <c r="W309" s="275"/>
      <c r="X309" s="275"/>
      <c r="Y309" s="275"/>
      <c r="Z309" s="275"/>
      <c r="AA309" s="275"/>
    </row>
    <row r="310" ht="15.75" customHeight="1">
      <c r="A310" s="275"/>
      <c r="B310" s="275"/>
      <c r="C310" s="286"/>
      <c r="D310" s="275"/>
      <c r="E310" s="275"/>
      <c r="F310" s="275"/>
      <c r="G310" s="275"/>
      <c r="H310" s="275"/>
      <c r="I310" s="275"/>
      <c r="J310" s="275"/>
      <c r="K310" s="286"/>
      <c r="L310" s="286"/>
      <c r="M310" s="286"/>
      <c r="N310" s="275"/>
      <c r="O310" s="275"/>
      <c r="P310" s="275"/>
      <c r="Q310" s="275"/>
      <c r="R310" s="275"/>
      <c r="S310" s="275"/>
      <c r="T310" s="275"/>
      <c r="U310" s="275"/>
      <c r="V310" s="275"/>
      <c r="W310" s="275"/>
      <c r="X310" s="275"/>
      <c r="Y310" s="275"/>
      <c r="Z310" s="275"/>
      <c r="AA310" s="275"/>
    </row>
    <row r="311" ht="15.75" customHeight="1">
      <c r="A311" s="275"/>
      <c r="B311" s="275"/>
      <c r="C311" s="286"/>
      <c r="D311" s="275"/>
      <c r="E311" s="275"/>
      <c r="F311" s="275"/>
      <c r="G311" s="275"/>
      <c r="H311" s="275"/>
      <c r="I311" s="275"/>
      <c r="J311" s="275"/>
      <c r="K311" s="286"/>
      <c r="L311" s="286"/>
      <c r="M311" s="286"/>
      <c r="N311" s="275"/>
      <c r="O311" s="275"/>
      <c r="P311" s="275"/>
      <c r="Q311" s="275"/>
      <c r="R311" s="275"/>
      <c r="S311" s="275"/>
      <c r="T311" s="275"/>
      <c r="U311" s="275"/>
      <c r="V311" s="275"/>
      <c r="W311" s="275"/>
      <c r="X311" s="275"/>
      <c r="Y311" s="275"/>
      <c r="Z311" s="275"/>
      <c r="AA311" s="275"/>
    </row>
    <row r="312" ht="15.75" customHeight="1">
      <c r="A312" s="275"/>
      <c r="B312" s="275"/>
      <c r="C312" s="286"/>
      <c r="D312" s="275"/>
      <c r="E312" s="275"/>
      <c r="F312" s="275"/>
      <c r="G312" s="275"/>
      <c r="H312" s="275"/>
      <c r="I312" s="275"/>
      <c r="J312" s="275"/>
      <c r="K312" s="286"/>
      <c r="L312" s="286"/>
      <c r="M312" s="286"/>
      <c r="N312" s="275"/>
      <c r="O312" s="275"/>
      <c r="P312" s="275"/>
      <c r="Q312" s="275"/>
      <c r="R312" s="275"/>
      <c r="S312" s="275"/>
      <c r="T312" s="275"/>
      <c r="U312" s="275"/>
      <c r="V312" s="275"/>
      <c r="W312" s="275"/>
      <c r="X312" s="275"/>
      <c r="Y312" s="275"/>
      <c r="Z312" s="275"/>
      <c r="AA312" s="275"/>
    </row>
    <row r="313" ht="15.75" customHeight="1">
      <c r="A313" s="275"/>
      <c r="B313" s="275"/>
      <c r="C313" s="286"/>
      <c r="D313" s="275"/>
      <c r="E313" s="275"/>
      <c r="F313" s="275"/>
      <c r="G313" s="275"/>
      <c r="H313" s="275"/>
      <c r="I313" s="275"/>
      <c r="J313" s="275"/>
      <c r="K313" s="286"/>
      <c r="L313" s="286"/>
      <c r="M313" s="286"/>
      <c r="N313" s="275"/>
      <c r="O313" s="275"/>
      <c r="P313" s="275"/>
      <c r="Q313" s="275"/>
      <c r="R313" s="275"/>
      <c r="S313" s="275"/>
      <c r="T313" s="275"/>
      <c r="U313" s="275"/>
      <c r="V313" s="275"/>
      <c r="W313" s="275"/>
      <c r="X313" s="275"/>
      <c r="Y313" s="275"/>
      <c r="Z313" s="275"/>
      <c r="AA313" s="275"/>
    </row>
    <row r="314" ht="15.75" customHeight="1">
      <c r="A314" s="275"/>
      <c r="B314" s="275"/>
      <c r="C314" s="286"/>
      <c r="D314" s="275"/>
      <c r="E314" s="275"/>
      <c r="F314" s="275"/>
      <c r="G314" s="275"/>
      <c r="H314" s="275"/>
      <c r="I314" s="275"/>
      <c r="J314" s="275"/>
      <c r="K314" s="286"/>
      <c r="L314" s="286"/>
      <c r="M314" s="286"/>
      <c r="N314" s="275"/>
      <c r="O314" s="275"/>
      <c r="P314" s="275"/>
      <c r="Q314" s="275"/>
      <c r="R314" s="275"/>
      <c r="S314" s="275"/>
      <c r="T314" s="275"/>
      <c r="U314" s="275"/>
      <c r="V314" s="275"/>
      <c r="W314" s="275"/>
      <c r="X314" s="275"/>
      <c r="Y314" s="275"/>
      <c r="Z314" s="275"/>
      <c r="AA314" s="275"/>
    </row>
    <row r="315" ht="15.75" customHeight="1">
      <c r="A315" s="275"/>
      <c r="B315" s="275"/>
      <c r="C315" s="286"/>
      <c r="D315" s="275"/>
      <c r="E315" s="275"/>
      <c r="F315" s="275"/>
      <c r="G315" s="275"/>
      <c r="H315" s="275"/>
      <c r="I315" s="275"/>
      <c r="J315" s="275"/>
      <c r="K315" s="286"/>
      <c r="L315" s="286"/>
      <c r="M315" s="286"/>
      <c r="N315" s="275"/>
      <c r="O315" s="275"/>
      <c r="P315" s="275"/>
      <c r="Q315" s="275"/>
      <c r="R315" s="275"/>
      <c r="S315" s="275"/>
      <c r="T315" s="275"/>
      <c r="U315" s="275"/>
      <c r="V315" s="275"/>
      <c r="W315" s="275"/>
      <c r="X315" s="275"/>
      <c r="Y315" s="275"/>
      <c r="Z315" s="275"/>
      <c r="AA315" s="275"/>
    </row>
    <row r="316" ht="15.75" customHeight="1">
      <c r="A316" s="275"/>
      <c r="B316" s="275"/>
      <c r="C316" s="286"/>
      <c r="D316" s="275"/>
      <c r="E316" s="275"/>
      <c r="F316" s="275"/>
      <c r="G316" s="275"/>
      <c r="H316" s="275"/>
      <c r="I316" s="275"/>
      <c r="J316" s="275"/>
      <c r="K316" s="286"/>
      <c r="L316" s="286"/>
      <c r="M316" s="286"/>
      <c r="N316" s="275"/>
      <c r="O316" s="275"/>
      <c r="P316" s="275"/>
      <c r="Q316" s="275"/>
      <c r="R316" s="275"/>
      <c r="S316" s="275"/>
      <c r="T316" s="275"/>
      <c r="U316" s="275"/>
      <c r="V316" s="275"/>
      <c r="W316" s="275"/>
      <c r="X316" s="275"/>
      <c r="Y316" s="275"/>
      <c r="Z316" s="275"/>
      <c r="AA316" s="275"/>
    </row>
    <row r="317" ht="15.75" customHeight="1">
      <c r="A317" s="275"/>
      <c r="B317" s="275"/>
      <c r="C317" s="286"/>
      <c r="D317" s="275"/>
      <c r="E317" s="275"/>
      <c r="F317" s="275"/>
      <c r="G317" s="275"/>
      <c r="H317" s="275"/>
      <c r="I317" s="275"/>
      <c r="J317" s="275"/>
      <c r="K317" s="286"/>
      <c r="L317" s="286"/>
      <c r="M317" s="286"/>
      <c r="N317" s="275"/>
      <c r="O317" s="275"/>
      <c r="P317" s="275"/>
      <c r="Q317" s="275"/>
      <c r="R317" s="275"/>
      <c r="S317" s="275"/>
      <c r="T317" s="275"/>
      <c r="U317" s="275"/>
      <c r="V317" s="275"/>
      <c r="W317" s="275"/>
      <c r="X317" s="275"/>
      <c r="Y317" s="275"/>
      <c r="Z317" s="275"/>
      <c r="AA317" s="275"/>
    </row>
    <row r="318" ht="15.75" customHeight="1">
      <c r="A318" s="275"/>
      <c r="B318" s="275"/>
      <c r="C318" s="286"/>
      <c r="D318" s="275"/>
      <c r="E318" s="275"/>
      <c r="F318" s="275"/>
      <c r="G318" s="275"/>
      <c r="H318" s="275"/>
      <c r="I318" s="275"/>
      <c r="J318" s="275"/>
      <c r="K318" s="286"/>
      <c r="L318" s="286"/>
      <c r="M318" s="286"/>
      <c r="N318" s="275"/>
      <c r="O318" s="275"/>
      <c r="P318" s="275"/>
      <c r="Q318" s="275"/>
      <c r="R318" s="275"/>
      <c r="S318" s="275"/>
      <c r="T318" s="275"/>
      <c r="U318" s="275"/>
      <c r="V318" s="275"/>
      <c r="W318" s="275"/>
      <c r="X318" s="275"/>
      <c r="Y318" s="275"/>
      <c r="Z318" s="275"/>
      <c r="AA318" s="275"/>
    </row>
    <row r="319" ht="15.75" customHeight="1">
      <c r="A319" s="275"/>
      <c r="B319" s="275"/>
      <c r="C319" s="286"/>
      <c r="D319" s="275"/>
      <c r="E319" s="275"/>
      <c r="F319" s="275"/>
      <c r="G319" s="275"/>
      <c r="H319" s="275"/>
      <c r="I319" s="275"/>
      <c r="J319" s="275"/>
      <c r="K319" s="286"/>
      <c r="L319" s="286"/>
      <c r="M319" s="286"/>
      <c r="N319" s="275"/>
      <c r="O319" s="275"/>
      <c r="P319" s="275"/>
      <c r="Q319" s="275"/>
      <c r="R319" s="275"/>
      <c r="S319" s="275"/>
      <c r="T319" s="275"/>
      <c r="U319" s="275"/>
      <c r="V319" s="275"/>
      <c r="W319" s="275"/>
      <c r="X319" s="275"/>
      <c r="Y319" s="275"/>
      <c r="Z319" s="275"/>
      <c r="AA319" s="275"/>
    </row>
    <row r="320" ht="15.75" customHeight="1">
      <c r="A320" s="275"/>
      <c r="B320" s="275"/>
      <c r="C320" s="286"/>
      <c r="D320" s="275"/>
      <c r="E320" s="275"/>
      <c r="F320" s="275"/>
      <c r="G320" s="275"/>
      <c r="H320" s="275"/>
      <c r="I320" s="275"/>
      <c r="J320" s="275"/>
      <c r="K320" s="286"/>
      <c r="L320" s="286"/>
      <c r="M320" s="286"/>
      <c r="N320" s="275"/>
      <c r="O320" s="275"/>
      <c r="P320" s="275"/>
      <c r="Q320" s="275"/>
      <c r="R320" s="275"/>
      <c r="S320" s="275"/>
      <c r="T320" s="275"/>
      <c r="U320" s="275"/>
      <c r="V320" s="275"/>
      <c r="W320" s="275"/>
      <c r="X320" s="275"/>
      <c r="Y320" s="275"/>
      <c r="Z320" s="275"/>
      <c r="AA320" s="275"/>
    </row>
    <row r="321" ht="15.75" customHeight="1">
      <c r="A321" s="275"/>
      <c r="B321" s="275"/>
      <c r="C321" s="286"/>
      <c r="D321" s="275"/>
      <c r="E321" s="275"/>
      <c r="F321" s="275"/>
      <c r="G321" s="275"/>
      <c r="H321" s="275"/>
      <c r="I321" s="275"/>
      <c r="J321" s="275"/>
      <c r="K321" s="286"/>
      <c r="L321" s="286"/>
      <c r="M321" s="286"/>
      <c r="N321" s="275"/>
      <c r="O321" s="275"/>
      <c r="P321" s="275"/>
      <c r="Q321" s="275"/>
      <c r="R321" s="275"/>
      <c r="S321" s="275"/>
      <c r="T321" s="275"/>
      <c r="U321" s="275"/>
      <c r="V321" s="275"/>
      <c r="W321" s="275"/>
      <c r="X321" s="275"/>
      <c r="Y321" s="275"/>
      <c r="Z321" s="275"/>
      <c r="AA321" s="275"/>
    </row>
    <row r="322" ht="15.75" customHeight="1">
      <c r="A322" s="275"/>
      <c r="B322" s="275"/>
      <c r="C322" s="286"/>
      <c r="D322" s="275"/>
      <c r="E322" s="275"/>
      <c r="F322" s="275"/>
      <c r="G322" s="275"/>
      <c r="H322" s="275"/>
      <c r="I322" s="275"/>
      <c r="J322" s="275"/>
      <c r="K322" s="286"/>
      <c r="L322" s="286"/>
      <c r="M322" s="286"/>
      <c r="N322" s="275"/>
      <c r="O322" s="275"/>
      <c r="P322" s="275"/>
      <c r="Q322" s="275"/>
      <c r="R322" s="275"/>
      <c r="S322" s="275"/>
      <c r="T322" s="275"/>
      <c r="U322" s="275"/>
      <c r="V322" s="275"/>
      <c r="W322" s="275"/>
      <c r="X322" s="275"/>
      <c r="Y322" s="275"/>
      <c r="Z322" s="275"/>
      <c r="AA322" s="275"/>
    </row>
    <row r="323" ht="15.75" customHeight="1">
      <c r="A323" s="275"/>
      <c r="B323" s="275"/>
      <c r="C323" s="286"/>
      <c r="D323" s="275"/>
      <c r="E323" s="275"/>
      <c r="F323" s="275"/>
      <c r="G323" s="275"/>
      <c r="H323" s="275"/>
      <c r="I323" s="275"/>
      <c r="J323" s="275"/>
      <c r="K323" s="286"/>
      <c r="L323" s="286"/>
      <c r="M323" s="286"/>
      <c r="N323" s="275"/>
      <c r="O323" s="275"/>
      <c r="P323" s="275"/>
      <c r="Q323" s="275"/>
      <c r="R323" s="275"/>
      <c r="S323" s="275"/>
      <c r="T323" s="275"/>
      <c r="U323" s="275"/>
      <c r="V323" s="275"/>
      <c r="W323" s="275"/>
      <c r="X323" s="275"/>
      <c r="Y323" s="275"/>
      <c r="Z323" s="275"/>
      <c r="AA323" s="275"/>
    </row>
    <row r="324" ht="15.75" customHeight="1">
      <c r="A324" s="275"/>
      <c r="B324" s="275"/>
      <c r="C324" s="286"/>
      <c r="D324" s="275"/>
      <c r="E324" s="275"/>
      <c r="F324" s="275"/>
      <c r="G324" s="275"/>
      <c r="H324" s="275"/>
      <c r="I324" s="275"/>
      <c r="J324" s="275"/>
      <c r="K324" s="286"/>
      <c r="L324" s="286"/>
      <c r="M324" s="286"/>
      <c r="N324" s="275"/>
      <c r="O324" s="275"/>
      <c r="P324" s="275"/>
      <c r="Q324" s="275"/>
      <c r="R324" s="275"/>
      <c r="S324" s="275"/>
      <c r="T324" s="275"/>
      <c r="U324" s="275"/>
      <c r="V324" s="275"/>
      <c r="W324" s="275"/>
      <c r="X324" s="275"/>
      <c r="Y324" s="275"/>
      <c r="Z324" s="275"/>
      <c r="AA324" s="275"/>
    </row>
    <row r="325" ht="15.75" customHeight="1">
      <c r="A325" s="275"/>
      <c r="B325" s="275"/>
      <c r="C325" s="286"/>
      <c r="D325" s="275"/>
      <c r="E325" s="275"/>
      <c r="F325" s="275"/>
      <c r="G325" s="275"/>
      <c r="H325" s="275"/>
      <c r="I325" s="275"/>
      <c r="J325" s="275"/>
      <c r="K325" s="286"/>
      <c r="L325" s="286"/>
      <c r="M325" s="286"/>
      <c r="N325" s="275"/>
      <c r="O325" s="275"/>
      <c r="P325" s="275"/>
      <c r="Q325" s="275"/>
      <c r="R325" s="275"/>
      <c r="S325" s="275"/>
      <c r="T325" s="275"/>
      <c r="U325" s="275"/>
      <c r="V325" s="275"/>
      <c r="W325" s="275"/>
      <c r="X325" s="275"/>
      <c r="Y325" s="275"/>
      <c r="Z325" s="275"/>
      <c r="AA325" s="275"/>
    </row>
    <row r="326" ht="15.75" customHeight="1">
      <c r="A326" s="275"/>
      <c r="B326" s="275"/>
      <c r="C326" s="286"/>
      <c r="D326" s="275"/>
      <c r="E326" s="275"/>
      <c r="F326" s="275"/>
      <c r="G326" s="275"/>
      <c r="H326" s="275"/>
      <c r="I326" s="275"/>
      <c r="J326" s="275"/>
      <c r="K326" s="286"/>
      <c r="L326" s="286"/>
      <c r="M326" s="286"/>
      <c r="N326" s="275"/>
      <c r="O326" s="275"/>
      <c r="P326" s="275"/>
      <c r="Q326" s="275"/>
      <c r="R326" s="275"/>
      <c r="S326" s="275"/>
      <c r="T326" s="275"/>
      <c r="U326" s="275"/>
      <c r="V326" s="275"/>
      <c r="W326" s="275"/>
      <c r="X326" s="275"/>
      <c r="Y326" s="275"/>
      <c r="Z326" s="275"/>
      <c r="AA326" s="275"/>
    </row>
    <row r="327" ht="15.75" customHeight="1">
      <c r="A327" s="275"/>
      <c r="B327" s="275"/>
      <c r="C327" s="286"/>
      <c r="D327" s="275"/>
      <c r="E327" s="275"/>
      <c r="F327" s="275"/>
      <c r="G327" s="275"/>
      <c r="H327" s="275"/>
      <c r="I327" s="275"/>
      <c r="J327" s="275"/>
      <c r="K327" s="286"/>
      <c r="L327" s="286"/>
      <c r="M327" s="286"/>
      <c r="N327" s="275"/>
      <c r="O327" s="275"/>
      <c r="P327" s="275"/>
      <c r="Q327" s="275"/>
      <c r="R327" s="275"/>
      <c r="S327" s="275"/>
      <c r="T327" s="275"/>
      <c r="U327" s="275"/>
      <c r="V327" s="275"/>
      <c r="W327" s="275"/>
      <c r="X327" s="275"/>
      <c r="Y327" s="275"/>
      <c r="Z327" s="275"/>
      <c r="AA327" s="275"/>
    </row>
    <row r="328" ht="15.75" customHeight="1">
      <c r="A328" s="275"/>
      <c r="B328" s="275"/>
      <c r="C328" s="286"/>
      <c r="D328" s="275"/>
      <c r="E328" s="275"/>
      <c r="F328" s="275"/>
      <c r="G328" s="275"/>
      <c r="H328" s="275"/>
      <c r="I328" s="275"/>
      <c r="J328" s="275"/>
      <c r="K328" s="286"/>
      <c r="L328" s="286"/>
      <c r="M328" s="286"/>
      <c r="N328" s="275"/>
      <c r="O328" s="275"/>
      <c r="P328" s="275"/>
      <c r="Q328" s="275"/>
      <c r="R328" s="275"/>
      <c r="S328" s="275"/>
      <c r="T328" s="275"/>
      <c r="U328" s="275"/>
      <c r="V328" s="275"/>
      <c r="W328" s="275"/>
      <c r="X328" s="275"/>
      <c r="Y328" s="275"/>
      <c r="Z328" s="275"/>
      <c r="AA328" s="275"/>
    </row>
    <row r="329" ht="15.75" customHeight="1">
      <c r="A329" s="275"/>
      <c r="B329" s="275"/>
      <c r="C329" s="286"/>
      <c r="D329" s="275"/>
      <c r="E329" s="275"/>
      <c r="F329" s="275"/>
      <c r="G329" s="275"/>
      <c r="H329" s="275"/>
      <c r="I329" s="275"/>
      <c r="J329" s="275"/>
      <c r="K329" s="286"/>
      <c r="L329" s="286"/>
      <c r="M329" s="286"/>
      <c r="N329" s="275"/>
      <c r="O329" s="275"/>
      <c r="P329" s="275"/>
      <c r="Q329" s="275"/>
      <c r="R329" s="275"/>
      <c r="S329" s="275"/>
      <c r="T329" s="275"/>
      <c r="U329" s="275"/>
      <c r="V329" s="275"/>
      <c r="W329" s="275"/>
      <c r="X329" s="275"/>
      <c r="Y329" s="275"/>
      <c r="Z329" s="275"/>
      <c r="AA329" s="275"/>
    </row>
    <row r="330" ht="15.75" customHeight="1">
      <c r="A330" s="275"/>
      <c r="B330" s="275"/>
      <c r="C330" s="286"/>
      <c r="D330" s="275"/>
      <c r="E330" s="275"/>
      <c r="F330" s="275"/>
      <c r="G330" s="275"/>
      <c r="H330" s="275"/>
      <c r="I330" s="275"/>
      <c r="J330" s="275"/>
      <c r="K330" s="286"/>
      <c r="L330" s="286"/>
      <c r="M330" s="286"/>
      <c r="N330" s="275"/>
      <c r="O330" s="275"/>
      <c r="P330" s="275"/>
      <c r="Q330" s="275"/>
      <c r="R330" s="275"/>
      <c r="S330" s="275"/>
      <c r="T330" s="275"/>
      <c r="U330" s="275"/>
      <c r="V330" s="275"/>
      <c r="W330" s="275"/>
      <c r="X330" s="275"/>
      <c r="Y330" s="275"/>
      <c r="Z330" s="275"/>
      <c r="AA330" s="275"/>
    </row>
    <row r="331" ht="15.75" customHeight="1">
      <c r="A331" s="275"/>
      <c r="B331" s="275"/>
      <c r="C331" s="286"/>
      <c r="D331" s="275"/>
      <c r="E331" s="275"/>
      <c r="F331" s="275"/>
      <c r="G331" s="275"/>
      <c r="H331" s="275"/>
      <c r="I331" s="275"/>
      <c r="J331" s="275"/>
      <c r="K331" s="286"/>
      <c r="L331" s="286"/>
      <c r="M331" s="286"/>
      <c r="N331" s="275"/>
      <c r="O331" s="275"/>
      <c r="P331" s="275"/>
      <c r="Q331" s="275"/>
      <c r="R331" s="275"/>
      <c r="S331" s="275"/>
      <c r="T331" s="275"/>
      <c r="U331" s="275"/>
      <c r="V331" s="275"/>
      <c r="W331" s="275"/>
      <c r="X331" s="275"/>
      <c r="Y331" s="275"/>
      <c r="Z331" s="275"/>
      <c r="AA331" s="275"/>
    </row>
    <row r="332" ht="15.75" customHeight="1">
      <c r="A332" s="275"/>
      <c r="B332" s="275"/>
      <c r="C332" s="286"/>
      <c r="D332" s="275"/>
      <c r="E332" s="275"/>
      <c r="F332" s="275"/>
      <c r="G332" s="275"/>
      <c r="H332" s="275"/>
      <c r="I332" s="275"/>
      <c r="J332" s="275"/>
      <c r="K332" s="286"/>
      <c r="L332" s="286"/>
      <c r="M332" s="286"/>
      <c r="N332" s="275"/>
      <c r="O332" s="275"/>
      <c r="P332" s="275"/>
      <c r="Q332" s="275"/>
      <c r="R332" s="275"/>
      <c r="S332" s="275"/>
      <c r="T332" s="275"/>
      <c r="U332" s="275"/>
      <c r="V332" s="275"/>
      <c r="W332" s="275"/>
      <c r="X332" s="275"/>
      <c r="Y332" s="275"/>
      <c r="Z332" s="275"/>
      <c r="AA332" s="275"/>
    </row>
    <row r="333" ht="15.75" customHeight="1">
      <c r="A333" s="275"/>
      <c r="B333" s="275"/>
      <c r="C333" s="286"/>
      <c r="D333" s="275"/>
      <c r="E333" s="275"/>
      <c r="F333" s="275"/>
      <c r="G333" s="275"/>
      <c r="H333" s="275"/>
      <c r="I333" s="275"/>
      <c r="J333" s="275"/>
      <c r="K333" s="286"/>
      <c r="L333" s="286"/>
      <c r="M333" s="286"/>
      <c r="N333" s="275"/>
      <c r="O333" s="275"/>
      <c r="P333" s="275"/>
      <c r="Q333" s="275"/>
      <c r="R333" s="275"/>
      <c r="S333" s="275"/>
      <c r="T333" s="275"/>
      <c r="U333" s="275"/>
      <c r="V333" s="275"/>
      <c r="W333" s="275"/>
      <c r="X333" s="275"/>
      <c r="Y333" s="275"/>
      <c r="Z333" s="275"/>
      <c r="AA333" s="275"/>
    </row>
    <row r="334" ht="15.75" customHeight="1">
      <c r="A334" s="275"/>
      <c r="B334" s="275"/>
      <c r="C334" s="286"/>
      <c r="D334" s="275"/>
      <c r="E334" s="275"/>
      <c r="F334" s="275"/>
      <c r="G334" s="275"/>
      <c r="H334" s="275"/>
      <c r="I334" s="275"/>
      <c r="J334" s="275"/>
      <c r="K334" s="286"/>
      <c r="L334" s="286"/>
      <c r="M334" s="286"/>
      <c r="N334" s="275"/>
      <c r="O334" s="275"/>
      <c r="P334" s="275"/>
      <c r="Q334" s="275"/>
      <c r="R334" s="275"/>
      <c r="S334" s="275"/>
      <c r="T334" s="275"/>
      <c r="U334" s="275"/>
      <c r="V334" s="275"/>
      <c r="W334" s="275"/>
      <c r="X334" s="275"/>
      <c r="Y334" s="275"/>
      <c r="Z334" s="275"/>
      <c r="AA334" s="275"/>
    </row>
    <row r="335" ht="15.75" customHeight="1">
      <c r="A335" s="275"/>
      <c r="B335" s="275"/>
      <c r="C335" s="286"/>
      <c r="D335" s="275"/>
      <c r="E335" s="275"/>
      <c r="F335" s="275"/>
      <c r="G335" s="275"/>
      <c r="H335" s="275"/>
      <c r="I335" s="275"/>
      <c r="J335" s="275"/>
      <c r="K335" s="286"/>
      <c r="L335" s="286"/>
      <c r="M335" s="286"/>
      <c r="N335" s="275"/>
      <c r="O335" s="275"/>
      <c r="P335" s="275"/>
      <c r="Q335" s="275"/>
      <c r="R335" s="275"/>
      <c r="S335" s="275"/>
      <c r="T335" s="275"/>
      <c r="U335" s="275"/>
      <c r="V335" s="275"/>
      <c r="W335" s="275"/>
      <c r="X335" s="275"/>
      <c r="Y335" s="275"/>
      <c r="Z335" s="275"/>
      <c r="AA335" s="275"/>
    </row>
    <row r="336" ht="15.75" customHeight="1">
      <c r="A336" s="275"/>
      <c r="B336" s="275"/>
      <c r="C336" s="286"/>
      <c r="D336" s="275"/>
      <c r="E336" s="275"/>
      <c r="F336" s="275"/>
      <c r="G336" s="275"/>
      <c r="H336" s="275"/>
      <c r="I336" s="275"/>
      <c r="J336" s="275"/>
      <c r="K336" s="286"/>
      <c r="L336" s="286"/>
      <c r="M336" s="286"/>
      <c r="N336" s="275"/>
      <c r="O336" s="275"/>
      <c r="P336" s="275"/>
      <c r="Q336" s="275"/>
      <c r="R336" s="275"/>
      <c r="S336" s="275"/>
      <c r="T336" s="275"/>
      <c r="U336" s="275"/>
      <c r="V336" s="275"/>
      <c r="W336" s="275"/>
      <c r="X336" s="275"/>
      <c r="Y336" s="275"/>
      <c r="Z336" s="275"/>
      <c r="AA336" s="275"/>
    </row>
    <row r="337" ht="15.75" customHeight="1">
      <c r="A337" s="275"/>
      <c r="B337" s="275"/>
      <c r="C337" s="286"/>
      <c r="D337" s="275"/>
      <c r="E337" s="275"/>
      <c r="F337" s="275"/>
      <c r="G337" s="275"/>
      <c r="H337" s="275"/>
      <c r="I337" s="275"/>
      <c r="J337" s="275"/>
      <c r="K337" s="286"/>
      <c r="L337" s="286"/>
      <c r="M337" s="286"/>
      <c r="N337" s="275"/>
      <c r="O337" s="275"/>
      <c r="P337" s="275"/>
      <c r="Q337" s="275"/>
      <c r="R337" s="275"/>
      <c r="S337" s="275"/>
      <c r="T337" s="275"/>
      <c r="U337" s="275"/>
      <c r="V337" s="275"/>
      <c r="W337" s="275"/>
      <c r="X337" s="275"/>
      <c r="Y337" s="275"/>
      <c r="Z337" s="275"/>
      <c r="AA337" s="275"/>
    </row>
    <row r="338" ht="15.75" customHeight="1">
      <c r="A338" s="275"/>
      <c r="B338" s="275"/>
      <c r="C338" s="286"/>
      <c r="D338" s="275"/>
      <c r="E338" s="275"/>
      <c r="F338" s="275"/>
      <c r="G338" s="275"/>
      <c r="H338" s="275"/>
      <c r="I338" s="275"/>
      <c r="J338" s="275"/>
      <c r="K338" s="286"/>
      <c r="L338" s="286"/>
      <c r="M338" s="286"/>
      <c r="N338" s="275"/>
      <c r="O338" s="275"/>
      <c r="P338" s="275"/>
      <c r="Q338" s="275"/>
      <c r="R338" s="275"/>
      <c r="S338" s="275"/>
      <c r="T338" s="275"/>
      <c r="U338" s="275"/>
      <c r="V338" s="275"/>
      <c r="W338" s="275"/>
      <c r="X338" s="275"/>
      <c r="Y338" s="275"/>
      <c r="Z338" s="275"/>
      <c r="AA338" s="275"/>
    </row>
    <row r="339" ht="15.75" customHeight="1">
      <c r="A339" s="275"/>
      <c r="B339" s="275"/>
      <c r="C339" s="286"/>
      <c r="D339" s="275"/>
      <c r="E339" s="275"/>
      <c r="F339" s="275"/>
      <c r="G339" s="275"/>
      <c r="H339" s="275"/>
      <c r="I339" s="275"/>
      <c r="J339" s="275"/>
      <c r="K339" s="286"/>
      <c r="L339" s="286"/>
      <c r="M339" s="286"/>
      <c r="N339" s="275"/>
      <c r="O339" s="275"/>
      <c r="P339" s="275"/>
      <c r="Q339" s="275"/>
      <c r="R339" s="275"/>
      <c r="S339" s="275"/>
      <c r="T339" s="275"/>
      <c r="U339" s="275"/>
      <c r="V339" s="275"/>
      <c r="W339" s="275"/>
      <c r="X339" s="275"/>
      <c r="Y339" s="275"/>
      <c r="Z339" s="275"/>
      <c r="AA339" s="275"/>
    </row>
    <row r="340" ht="15.75" customHeight="1">
      <c r="A340" s="275"/>
      <c r="B340" s="275"/>
      <c r="C340" s="286"/>
      <c r="D340" s="275"/>
      <c r="E340" s="275"/>
      <c r="F340" s="275"/>
      <c r="G340" s="275"/>
      <c r="H340" s="275"/>
      <c r="I340" s="275"/>
      <c r="J340" s="275"/>
      <c r="K340" s="286"/>
      <c r="L340" s="286"/>
      <c r="M340" s="286"/>
      <c r="N340" s="275"/>
      <c r="O340" s="275"/>
      <c r="P340" s="275"/>
      <c r="Q340" s="275"/>
      <c r="R340" s="275"/>
      <c r="S340" s="275"/>
      <c r="T340" s="275"/>
      <c r="U340" s="275"/>
      <c r="V340" s="275"/>
      <c r="W340" s="275"/>
      <c r="X340" s="275"/>
      <c r="Y340" s="275"/>
      <c r="Z340" s="275"/>
      <c r="AA340" s="275"/>
    </row>
    <row r="341" ht="15.75" customHeight="1">
      <c r="A341" s="275"/>
      <c r="B341" s="275"/>
      <c r="C341" s="286"/>
      <c r="D341" s="275"/>
      <c r="E341" s="275"/>
      <c r="F341" s="275"/>
      <c r="G341" s="275"/>
      <c r="H341" s="275"/>
      <c r="I341" s="275"/>
      <c r="J341" s="275"/>
      <c r="K341" s="286"/>
      <c r="L341" s="286"/>
      <c r="M341" s="286"/>
      <c r="N341" s="275"/>
      <c r="O341" s="275"/>
      <c r="P341" s="275"/>
      <c r="Q341" s="275"/>
      <c r="R341" s="275"/>
      <c r="S341" s="275"/>
      <c r="T341" s="275"/>
      <c r="U341" s="275"/>
      <c r="V341" s="275"/>
      <c r="W341" s="275"/>
      <c r="X341" s="275"/>
      <c r="Y341" s="275"/>
      <c r="Z341" s="275"/>
      <c r="AA341" s="275"/>
    </row>
    <row r="342" ht="15.75" customHeight="1">
      <c r="A342" s="275"/>
      <c r="B342" s="275"/>
      <c r="C342" s="286"/>
      <c r="D342" s="275"/>
      <c r="E342" s="275"/>
      <c r="F342" s="275"/>
      <c r="G342" s="275"/>
      <c r="H342" s="275"/>
      <c r="I342" s="275"/>
      <c r="J342" s="275"/>
      <c r="K342" s="286"/>
      <c r="L342" s="286"/>
      <c r="M342" s="286"/>
      <c r="N342" s="275"/>
      <c r="O342" s="275"/>
      <c r="P342" s="275"/>
      <c r="Q342" s="275"/>
      <c r="R342" s="275"/>
      <c r="S342" s="275"/>
      <c r="T342" s="275"/>
      <c r="U342" s="275"/>
      <c r="V342" s="275"/>
      <c r="W342" s="275"/>
      <c r="X342" s="275"/>
      <c r="Y342" s="275"/>
      <c r="Z342" s="275"/>
      <c r="AA342" s="275"/>
    </row>
    <row r="343" ht="15.75" customHeight="1">
      <c r="A343" s="275"/>
      <c r="B343" s="275"/>
      <c r="C343" s="286"/>
      <c r="D343" s="275"/>
      <c r="E343" s="275"/>
      <c r="F343" s="275"/>
      <c r="G343" s="275"/>
      <c r="H343" s="275"/>
      <c r="I343" s="275"/>
      <c r="J343" s="275"/>
      <c r="K343" s="286"/>
      <c r="L343" s="286"/>
      <c r="M343" s="286"/>
      <c r="N343" s="275"/>
      <c r="O343" s="275"/>
      <c r="P343" s="275"/>
      <c r="Q343" s="275"/>
      <c r="R343" s="275"/>
      <c r="S343" s="275"/>
      <c r="T343" s="275"/>
      <c r="U343" s="275"/>
      <c r="V343" s="275"/>
      <c r="W343" s="275"/>
      <c r="X343" s="275"/>
      <c r="Y343" s="275"/>
      <c r="Z343" s="275"/>
      <c r="AA343" s="275"/>
    </row>
    <row r="344" ht="15.75" customHeight="1">
      <c r="A344" s="275"/>
      <c r="B344" s="275"/>
      <c r="C344" s="286"/>
      <c r="D344" s="275"/>
      <c r="E344" s="275"/>
      <c r="F344" s="275"/>
      <c r="G344" s="275"/>
      <c r="H344" s="275"/>
      <c r="I344" s="275"/>
      <c r="J344" s="275"/>
      <c r="K344" s="286"/>
      <c r="L344" s="286"/>
      <c r="M344" s="286"/>
      <c r="N344" s="275"/>
      <c r="O344" s="275"/>
      <c r="P344" s="275"/>
      <c r="Q344" s="275"/>
      <c r="R344" s="275"/>
      <c r="S344" s="275"/>
      <c r="T344" s="275"/>
      <c r="U344" s="275"/>
      <c r="V344" s="275"/>
      <c r="W344" s="275"/>
      <c r="X344" s="275"/>
      <c r="Y344" s="275"/>
      <c r="Z344" s="275"/>
      <c r="AA344" s="275"/>
    </row>
    <row r="345" ht="15.75" customHeight="1">
      <c r="A345" s="275"/>
      <c r="B345" s="275"/>
      <c r="C345" s="286"/>
      <c r="D345" s="275"/>
      <c r="E345" s="275"/>
      <c r="F345" s="275"/>
      <c r="G345" s="275"/>
      <c r="H345" s="275"/>
      <c r="I345" s="275"/>
      <c r="J345" s="275"/>
      <c r="K345" s="286"/>
      <c r="L345" s="286"/>
      <c r="M345" s="286"/>
      <c r="N345" s="275"/>
      <c r="O345" s="275"/>
      <c r="P345" s="275"/>
      <c r="Q345" s="275"/>
      <c r="R345" s="275"/>
      <c r="S345" s="275"/>
      <c r="T345" s="275"/>
      <c r="U345" s="275"/>
      <c r="V345" s="275"/>
      <c r="W345" s="275"/>
      <c r="X345" s="275"/>
      <c r="Y345" s="275"/>
      <c r="Z345" s="275"/>
      <c r="AA345" s="275"/>
    </row>
    <row r="346" ht="15.75" customHeight="1">
      <c r="A346" s="275"/>
      <c r="B346" s="275"/>
      <c r="C346" s="286"/>
      <c r="D346" s="275"/>
      <c r="E346" s="275"/>
      <c r="F346" s="275"/>
      <c r="G346" s="275"/>
      <c r="H346" s="275"/>
      <c r="I346" s="275"/>
      <c r="J346" s="275"/>
      <c r="K346" s="286"/>
      <c r="L346" s="286"/>
      <c r="M346" s="286"/>
      <c r="N346" s="275"/>
      <c r="O346" s="275"/>
      <c r="P346" s="275"/>
      <c r="Q346" s="275"/>
      <c r="R346" s="275"/>
      <c r="S346" s="275"/>
      <c r="T346" s="275"/>
      <c r="U346" s="275"/>
      <c r="V346" s="275"/>
      <c r="W346" s="275"/>
      <c r="X346" s="275"/>
      <c r="Y346" s="275"/>
      <c r="Z346" s="275"/>
      <c r="AA346" s="275"/>
    </row>
    <row r="347" ht="15.75" customHeight="1">
      <c r="A347" s="275"/>
      <c r="B347" s="275"/>
      <c r="C347" s="286"/>
      <c r="D347" s="275"/>
      <c r="E347" s="275"/>
      <c r="F347" s="275"/>
      <c r="G347" s="275"/>
      <c r="H347" s="275"/>
      <c r="I347" s="275"/>
      <c r="J347" s="275"/>
      <c r="K347" s="286"/>
      <c r="L347" s="286"/>
      <c r="M347" s="286"/>
      <c r="N347" s="275"/>
      <c r="O347" s="275"/>
      <c r="P347" s="275"/>
      <c r="Q347" s="275"/>
      <c r="R347" s="275"/>
      <c r="S347" s="275"/>
      <c r="T347" s="275"/>
      <c r="U347" s="275"/>
      <c r="V347" s="275"/>
      <c r="W347" s="275"/>
      <c r="X347" s="275"/>
      <c r="Y347" s="275"/>
      <c r="Z347" s="275"/>
      <c r="AA347" s="275"/>
    </row>
    <row r="348" ht="15.75" customHeight="1">
      <c r="A348" s="275"/>
      <c r="B348" s="275"/>
      <c r="C348" s="286"/>
      <c r="D348" s="275"/>
      <c r="E348" s="275"/>
      <c r="F348" s="275"/>
      <c r="G348" s="275"/>
      <c r="H348" s="275"/>
      <c r="I348" s="275"/>
      <c r="J348" s="275"/>
      <c r="K348" s="286"/>
      <c r="L348" s="286"/>
      <c r="M348" s="286"/>
      <c r="N348" s="275"/>
      <c r="O348" s="275"/>
      <c r="P348" s="275"/>
      <c r="Q348" s="275"/>
      <c r="R348" s="275"/>
      <c r="S348" s="275"/>
      <c r="T348" s="275"/>
      <c r="U348" s="275"/>
      <c r="V348" s="275"/>
      <c r="W348" s="275"/>
      <c r="X348" s="275"/>
      <c r="Y348" s="275"/>
      <c r="Z348" s="275"/>
      <c r="AA348" s="275"/>
    </row>
    <row r="349" ht="15.75" customHeight="1">
      <c r="A349" s="275"/>
      <c r="B349" s="275"/>
      <c r="C349" s="286"/>
      <c r="D349" s="275"/>
      <c r="E349" s="275"/>
      <c r="F349" s="275"/>
      <c r="G349" s="275"/>
      <c r="H349" s="275"/>
      <c r="I349" s="275"/>
      <c r="J349" s="275"/>
      <c r="K349" s="286"/>
      <c r="L349" s="286"/>
      <c r="M349" s="286"/>
      <c r="N349" s="275"/>
      <c r="O349" s="275"/>
      <c r="P349" s="275"/>
      <c r="Q349" s="275"/>
      <c r="R349" s="275"/>
      <c r="S349" s="275"/>
      <c r="T349" s="275"/>
      <c r="U349" s="275"/>
      <c r="V349" s="275"/>
      <c r="W349" s="275"/>
      <c r="X349" s="275"/>
      <c r="Y349" s="275"/>
      <c r="Z349" s="275"/>
      <c r="AA349" s="275"/>
    </row>
    <row r="350" ht="15.75" customHeight="1">
      <c r="A350" s="275"/>
      <c r="B350" s="275"/>
      <c r="C350" s="286"/>
      <c r="D350" s="275"/>
      <c r="E350" s="275"/>
      <c r="F350" s="275"/>
      <c r="G350" s="275"/>
      <c r="H350" s="275"/>
      <c r="I350" s="275"/>
      <c r="J350" s="275"/>
      <c r="K350" s="286"/>
      <c r="L350" s="286"/>
      <c r="M350" s="286"/>
      <c r="N350" s="275"/>
      <c r="O350" s="275"/>
      <c r="P350" s="275"/>
      <c r="Q350" s="275"/>
      <c r="R350" s="275"/>
      <c r="S350" s="275"/>
      <c r="T350" s="275"/>
      <c r="U350" s="275"/>
      <c r="V350" s="275"/>
      <c r="W350" s="275"/>
      <c r="X350" s="275"/>
      <c r="Y350" s="275"/>
      <c r="Z350" s="275"/>
      <c r="AA350" s="275"/>
    </row>
    <row r="351" ht="15.75" customHeight="1">
      <c r="A351" s="275"/>
      <c r="B351" s="275"/>
      <c r="C351" s="286"/>
      <c r="D351" s="275"/>
      <c r="E351" s="275"/>
      <c r="F351" s="275"/>
      <c r="G351" s="275"/>
      <c r="H351" s="275"/>
      <c r="I351" s="275"/>
      <c r="J351" s="275"/>
      <c r="K351" s="286"/>
      <c r="L351" s="286"/>
      <c r="M351" s="286"/>
      <c r="N351" s="275"/>
      <c r="O351" s="275"/>
      <c r="P351" s="275"/>
      <c r="Q351" s="275"/>
      <c r="R351" s="275"/>
      <c r="S351" s="275"/>
      <c r="T351" s="275"/>
      <c r="U351" s="275"/>
      <c r="V351" s="275"/>
      <c r="W351" s="275"/>
      <c r="X351" s="275"/>
      <c r="Y351" s="275"/>
      <c r="Z351" s="275"/>
      <c r="AA351" s="275"/>
    </row>
    <row r="352" ht="15.75" customHeight="1">
      <c r="A352" s="275"/>
      <c r="B352" s="275"/>
      <c r="C352" s="286"/>
      <c r="D352" s="275"/>
      <c r="E352" s="275"/>
      <c r="F352" s="275"/>
      <c r="G352" s="275"/>
      <c r="H352" s="275"/>
      <c r="I352" s="275"/>
      <c r="J352" s="275"/>
      <c r="K352" s="286"/>
      <c r="L352" s="286"/>
      <c r="M352" s="286"/>
      <c r="N352" s="275"/>
      <c r="O352" s="275"/>
      <c r="P352" s="275"/>
      <c r="Q352" s="275"/>
      <c r="R352" s="275"/>
      <c r="S352" s="275"/>
      <c r="T352" s="275"/>
      <c r="U352" s="275"/>
      <c r="V352" s="275"/>
      <c r="W352" s="275"/>
      <c r="X352" s="275"/>
      <c r="Y352" s="275"/>
      <c r="Z352" s="275"/>
      <c r="AA352" s="275"/>
    </row>
    <row r="353" ht="15.75" customHeight="1">
      <c r="A353" s="275"/>
      <c r="B353" s="275"/>
      <c r="C353" s="286"/>
      <c r="D353" s="275"/>
      <c r="E353" s="275"/>
      <c r="F353" s="275"/>
      <c r="G353" s="275"/>
      <c r="H353" s="275"/>
      <c r="I353" s="275"/>
      <c r="J353" s="275"/>
      <c r="K353" s="286"/>
      <c r="L353" s="286"/>
      <c r="M353" s="286"/>
      <c r="N353" s="275"/>
      <c r="O353" s="275"/>
      <c r="P353" s="275"/>
      <c r="Q353" s="275"/>
      <c r="R353" s="275"/>
      <c r="S353" s="275"/>
      <c r="T353" s="275"/>
      <c r="U353" s="275"/>
      <c r="V353" s="275"/>
      <c r="W353" s="275"/>
      <c r="X353" s="275"/>
      <c r="Y353" s="275"/>
      <c r="Z353" s="275"/>
      <c r="AA353" s="275"/>
    </row>
    <row r="354" ht="15.75" customHeight="1">
      <c r="A354" s="275"/>
      <c r="B354" s="275"/>
      <c r="C354" s="286"/>
      <c r="D354" s="275"/>
      <c r="E354" s="275"/>
      <c r="F354" s="275"/>
      <c r="G354" s="275"/>
      <c r="H354" s="275"/>
      <c r="I354" s="275"/>
      <c r="J354" s="275"/>
      <c r="K354" s="286"/>
      <c r="L354" s="286"/>
      <c r="M354" s="286"/>
      <c r="N354" s="275"/>
      <c r="O354" s="275"/>
      <c r="P354" s="275"/>
      <c r="Q354" s="275"/>
      <c r="R354" s="275"/>
      <c r="S354" s="275"/>
      <c r="T354" s="275"/>
      <c r="U354" s="275"/>
      <c r="V354" s="275"/>
      <c r="W354" s="275"/>
      <c r="X354" s="275"/>
      <c r="Y354" s="275"/>
      <c r="Z354" s="275"/>
      <c r="AA354" s="275"/>
    </row>
    <row r="355" ht="15.75" customHeight="1">
      <c r="A355" s="275"/>
      <c r="B355" s="275"/>
      <c r="C355" s="286"/>
      <c r="D355" s="275"/>
      <c r="E355" s="275"/>
      <c r="F355" s="275"/>
      <c r="G355" s="275"/>
      <c r="H355" s="275"/>
      <c r="I355" s="275"/>
      <c r="J355" s="275"/>
      <c r="K355" s="286"/>
      <c r="L355" s="286"/>
      <c r="M355" s="286"/>
      <c r="N355" s="275"/>
      <c r="O355" s="275"/>
      <c r="P355" s="275"/>
      <c r="Q355" s="275"/>
      <c r="R355" s="275"/>
      <c r="S355" s="275"/>
      <c r="T355" s="275"/>
      <c r="U355" s="275"/>
      <c r="V355" s="275"/>
      <c r="W355" s="275"/>
      <c r="X355" s="275"/>
      <c r="Y355" s="275"/>
      <c r="Z355" s="275"/>
      <c r="AA355" s="275"/>
    </row>
    <row r="356" ht="15.75" customHeight="1">
      <c r="A356" s="275"/>
      <c r="B356" s="275"/>
      <c r="C356" s="286"/>
      <c r="D356" s="275"/>
      <c r="E356" s="275"/>
      <c r="F356" s="275"/>
      <c r="G356" s="275"/>
      <c r="H356" s="275"/>
      <c r="I356" s="275"/>
      <c r="J356" s="275"/>
      <c r="K356" s="286"/>
      <c r="L356" s="286"/>
      <c r="M356" s="286"/>
      <c r="N356" s="275"/>
      <c r="O356" s="275"/>
      <c r="P356" s="275"/>
      <c r="Q356" s="275"/>
      <c r="R356" s="275"/>
      <c r="S356" s="275"/>
      <c r="T356" s="275"/>
      <c r="U356" s="275"/>
      <c r="V356" s="275"/>
      <c r="W356" s="275"/>
      <c r="X356" s="275"/>
      <c r="Y356" s="275"/>
      <c r="Z356" s="275"/>
      <c r="AA356" s="275"/>
    </row>
    <row r="357" ht="15.75" customHeight="1">
      <c r="A357" s="275"/>
      <c r="B357" s="275"/>
      <c r="C357" s="286"/>
      <c r="D357" s="275"/>
      <c r="E357" s="275"/>
      <c r="F357" s="275"/>
      <c r="G357" s="275"/>
      <c r="H357" s="275"/>
      <c r="I357" s="275"/>
      <c r="J357" s="275"/>
      <c r="K357" s="286"/>
      <c r="L357" s="286"/>
      <c r="M357" s="286"/>
      <c r="N357" s="275"/>
      <c r="O357" s="275"/>
      <c r="P357" s="275"/>
      <c r="Q357" s="275"/>
      <c r="R357" s="275"/>
      <c r="S357" s="275"/>
      <c r="T357" s="275"/>
      <c r="U357" s="275"/>
      <c r="V357" s="275"/>
      <c r="W357" s="275"/>
      <c r="X357" s="275"/>
      <c r="Y357" s="275"/>
      <c r="Z357" s="275"/>
      <c r="AA357" s="275"/>
    </row>
    <row r="358" ht="15.75" customHeight="1">
      <c r="A358" s="275"/>
      <c r="B358" s="275"/>
      <c r="C358" s="286"/>
      <c r="D358" s="275"/>
      <c r="E358" s="275"/>
      <c r="F358" s="275"/>
      <c r="G358" s="275"/>
      <c r="H358" s="275"/>
      <c r="I358" s="275"/>
      <c r="J358" s="275"/>
      <c r="K358" s="286"/>
      <c r="L358" s="286"/>
      <c r="M358" s="286"/>
      <c r="N358" s="275"/>
      <c r="O358" s="275"/>
      <c r="P358" s="275"/>
      <c r="Q358" s="275"/>
      <c r="R358" s="275"/>
      <c r="S358" s="275"/>
      <c r="T358" s="275"/>
      <c r="U358" s="275"/>
      <c r="V358" s="275"/>
      <c r="W358" s="275"/>
      <c r="X358" s="275"/>
      <c r="Y358" s="275"/>
      <c r="Z358" s="275"/>
      <c r="AA358" s="275"/>
    </row>
    <row r="359" ht="15.75" customHeight="1">
      <c r="A359" s="275"/>
      <c r="B359" s="275"/>
      <c r="C359" s="286"/>
      <c r="D359" s="275"/>
      <c r="E359" s="275"/>
      <c r="F359" s="275"/>
      <c r="G359" s="275"/>
      <c r="H359" s="275"/>
      <c r="I359" s="275"/>
      <c r="J359" s="275"/>
      <c r="K359" s="286"/>
      <c r="L359" s="286"/>
      <c r="M359" s="286"/>
      <c r="N359" s="275"/>
      <c r="O359" s="275"/>
      <c r="P359" s="275"/>
      <c r="Q359" s="275"/>
      <c r="R359" s="275"/>
      <c r="S359" s="275"/>
      <c r="T359" s="275"/>
      <c r="U359" s="275"/>
      <c r="V359" s="275"/>
      <c r="W359" s="275"/>
      <c r="X359" s="275"/>
      <c r="Y359" s="275"/>
      <c r="Z359" s="275"/>
      <c r="AA359" s="275"/>
    </row>
    <row r="360" ht="15.75" customHeight="1">
      <c r="A360" s="275"/>
      <c r="B360" s="275"/>
      <c r="C360" s="286"/>
      <c r="D360" s="275"/>
      <c r="E360" s="275"/>
      <c r="F360" s="275"/>
      <c r="G360" s="275"/>
      <c r="H360" s="275"/>
      <c r="I360" s="275"/>
      <c r="J360" s="275"/>
      <c r="K360" s="286"/>
      <c r="L360" s="286"/>
      <c r="M360" s="286"/>
      <c r="N360" s="275"/>
      <c r="O360" s="275"/>
      <c r="P360" s="275"/>
      <c r="Q360" s="275"/>
      <c r="R360" s="275"/>
      <c r="S360" s="275"/>
      <c r="T360" s="275"/>
      <c r="U360" s="275"/>
      <c r="V360" s="275"/>
      <c r="W360" s="275"/>
      <c r="X360" s="275"/>
      <c r="Y360" s="275"/>
      <c r="Z360" s="275"/>
      <c r="AA360" s="275"/>
    </row>
    <row r="361" ht="15.75" customHeight="1">
      <c r="A361" s="275"/>
      <c r="B361" s="275"/>
      <c r="C361" s="286"/>
      <c r="D361" s="275"/>
      <c r="E361" s="275"/>
      <c r="F361" s="275"/>
      <c r="G361" s="275"/>
      <c r="H361" s="275"/>
      <c r="I361" s="275"/>
      <c r="J361" s="275"/>
      <c r="K361" s="286"/>
      <c r="L361" s="286"/>
      <c r="M361" s="286"/>
      <c r="N361" s="275"/>
      <c r="O361" s="275"/>
      <c r="P361" s="275"/>
      <c r="Q361" s="275"/>
      <c r="R361" s="275"/>
      <c r="S361" s="275"/>
      <c r="T361" s="275"/>
      <c r="U361" s="275"/>
      <c r="V361" s="275"/>
      <c r="W361" s="275"/>
      <c r="X361" s="275"/>
      <c r="Y361" s="275"/>
      <c r="Z361" s="275"/>
      <c r="AA361" s="275"/>
    </row>
    <row r="362" ht="15.75" customHeight="1">
      <c r="A362" s="275"/>
      <c r="B362" s="275"/>
      <c r="C362" s="286"/>
      <c r="D362" s="275"/>
      <c r="E362" s="275"/>
      <c r="F362" s="275"/>
      <c r="G362" s="275"/>
      <c r="H362" s="275"/>
      <c r="I362" s="275"/>
      <c r="J362" s="275"/>
      <c r="K362" s="286"/>
      <c r="L362" s="286"/>
      <c r="M362" s="286"/>
      <c r="N362" s="275"/>
      <c r="O362" s="275"/>
      <c r="P362" s="275"/>
      <c r="Q362" s="275"/>
      <c r="R362" s="275"/>
      <c r="S362" s="275"/>
      <c r="T362" s="275"/>
      <c r="U362" s="275"/>
      <c r="V362" s="275"/>
      <c r="W362" s="275"/>
      <c r="X362" s="275"/>
      <c r="Y362" s="275"/>
      <c r="Z362" s="275"/>
      <c r="AA362" s="275"/>
    </row>
    <row r="363" ht="15.75" customHeight="1">
      <c r="A363" s="275"/>
      <c r="B363" s="275"/>
      <c r="C363" s="286"/>
      <c r="D363" s="275"/>
      <c r="E363" s="275"/>
      <c r="F363" s="275"/>
      <c r="G363" s="275"/>
      <c r="H363" s="275"/>
      <c r="I363" s="275"/>
      <c r="J363" s="275"/>
      <c r="K363" s="286"/>
      <c r="L363" s="286"/>
      <c r="M363" s="286"/>
      <c r="N363" s="275"/>
      <c r="O363" s="275"/>
      <c r="P363" s="275"/>
      <c r="Q363" s="275"/>
      <c r="R363" s="275"/>
      <c r="S363" s="275"/>
      <c r="T363" s="275"/>
      <c r="U363" s="275"/>
      <c r="V363" s="275"/>
      <c r="W363" s="275"/>
      <c r="X363" s="275"/>
      <c r="Y363" s="275"/>
      <c r="Z363" s="275"/>
      <c r="AA363" s="275"/>
    </row>
    <row r="364" ht="15.75" customHeight="1">
      <c r="A364" s="275"/>
      <c r="B364" s="275"/>
      <c r="C364" s="286"/>
      <c r="D364" s="275"/>
      <c r="E364" s="275"/>
      <c r="F364" s="275"/>
      <c r="G364" s="275"/>
      <c r="H364" s="275"/>
      <c r="I364" s="275"/>
      <c r="J364" s="275"/>
      <c r="K364" s="286"/>
      <c r="L364" s="286"/>
      <c r="M364" s="286"/>
      <c r="N364" s="275"/>
      <c r="O364" s="275"/>
      <c r="P364" s="275"/>
      <c r="Q364" s="275"/>
      <c r="R364" s="275"/>
      <c r="S364" s="275"/>
      <c r="T364" s="275"/>
      <c r="U364" s="275"/>
      <c r="V364" s="275"/>
      <c r="W364" s="275"/>
      <c r="X364" s="275"/>
      <c r="Y364" s="275"/>
      <c r="Z364" s="275"/>
      <c r="AA364" s="275"/>
    </row>
    <row r="365" ht="15.75" customHeight="1">
      <c r="A365" s="275"/>
      <c r="B365" s="275"/>
      <c r="C365" s="286"/>
      <c r="D365" s="275"/>
      <c r="E365" s="275"/>
      <c r="F365" s="275"/>
      <c r="G365" s="275"/>
      <c r="H365" s="275"/>
      <c r="I365" s="275"/>
      <c r="J365" s="275"/>
      <c r="K365" s="286"/>
      <c r="L365" s="286"/>
      <c r="M365" s="286"/>
      <c r="N365" s="275"/>
      <c r="O365" s="275"/>
      <c r="P365" s="275"/>
      <c r="Q365" s="275"/>
      <c r="R365" s="275"/>
      <c r="S365" s="275"/>
      <c r="T365" s="275"/>
      <c r="U365" s="275"/>
      <c r="V365" s="275"/>
      <c r="W365" s="275"/>
      <c r="X365" s="275"/>
      <c r="Y365" s="275"/>
      <c r="Z365" s="275"/>
      <c r="AA365" s="275"/>
    </row>
    <row r="366" ht="15.75" customHeight="1">
      <c r="A366" s="275"/>
      <c r="B366" s="275"/>
      <c r="C366" s="286"/>
      <c r="D366" s="275"/>
      <c r="E366" s="275"/>
      <c r="F366" s="275"/>
      <c r="G366" s="275"/>
      <c r="H366" s="275"/>
      <c r="I366" s="275"/>
      <c r="J366" s="275"/>
      <c r="K366" s="286"/>
      <c r="L366" s="286"/>
      <c r="M366" s="286"/>
      <c r="N366" s="275"/>
      <c r="O366" s="275"/>
      <c r="P366" s="275"/>
      <c r="Q366" s="275"/>
      <c r="R366" s="275"/>
      <c r="S366" s="275"/>
      <c r="T366" s="275"/>
      <c r="U366" s="275"/>
      <c r="V366" s="275"/>
      <c r="W366" s="275"/>
      <c r="X366" s="275"/>
      <c r="Y366" s="275"/>
      <c r="Z366" s="275"/>
      <c r="AA366" s="275"/>
    </row>
    <row r="367" ht="15.75" customHeight="1">
      <c r="A367" s="275"/>
      <c r="B367" s="275"/>
      <c r="C367" s="286"/>
      <c r="D367" s="275"/>
      <c r="E367" s="275"/>
      <c r="F367" s="275"/>
      <c r="G367" s="275"/>
      <c r="H367" s="275"/>
      <c r="I367" s="275"/>
      <c r="J367" s="275"/>
      <c r="K367" s="286"/>
      <c r="L367" s="286"/>
      <c r="M367" s="286"/>
      <c r="N367" s="275"/>
      <c r="O367" s="275"/>
      <c r="P367" s="275"/>
      <c r="Q367" s="275"/>
      <c r="R367" s="275"/>
      <c r="S367" s="275"/>
      <c r="T367" s="275"/>
      <c r="U367" s="275"/>
      <c r="V367" s="275"/>
      <c r="W367" s="275"/>
      <c r="X367" s="275"/>
      <c r="Y367" s="275"/>
      <c r="Z367" s="275"/>
      <c r="AA367" s="275"/>
    </row>
    <row r="368" ht="15.75" customHeight="1">
      <c r="A368" s="275"/>
      <c r="B368" s="275"/>
      <c r="C368" s="286"/>
      <c r="D368" s="275"/>
      <c r="E368" s="275"/>
      <c r="F368" s="275"/>
      <c r="G368" s="275"/>
      <c r="H368" s="275"/>
      <c r="I368" s="275"/>
      <c r="J368" s="275"/>
      <c r="K368" s="286"/>
      <c r="L368" s="286"/>
      <c r="M368" s="286"/>
      <c r="N368" s="275"/>
      <c r="O368" s="275"/>
      <c r="P368" s="275"/>
      <c r="Q368" s="275"/>
      <c r="R368" s="275"/>
      <c r="S368" s="275"/>
      <c r="T368" s="275"/>
      <c r="U368" s="275"/>
      <c r="V368" s="275"/>
      <c r="W368" s="275"/>
      <c r="X368" s="275"/>
      <c r="Y368" s="275"/>
      <c r="Z368" s="275"/>
      <c r="AA368" s="275"/>
    </row>
    <row r="369" ht="15.75" customHeight="1">
      <c r="A369" s="275"/>
      <c r="B369" s="275"/>
      <c r="C369" s="286"/>
      <c r="D369" s="275"/>
      <c r="E369" s="275"/>
      <c r="F369" s="275"/>
      <c r="G369" s="275"/>
      <c r="H369" s="275"/>
      <c r="I369" s="275"/>
      <c r="J369" s="275"/>
      <c r="K369" s="286"/>
      <c r="L369" s="286"/>
      <c r="M369" s="286"/>
      <c r="N369" s="275"/>
      <c r="O369" s="275"/>
      <c r="P369" s="275"/>
      <c r="Q369" s="275"/>
      <c r="R369" s="275"/>
      <c r="S369" s="275"/>
      <c r="T369" s="275"/>
      <c r="U369" s="275"/>
      <c r="V369" s="275"/>
      <c r="W369" s="275"/>
      <c r="X369" s="275"/>
      <c r="Y369" s="275"/>
      <c r="Z369" s="275"/>
      <c r="AA369" s="275"/>
    </row>
    <row r="370" ht="15.75" customHeight="1">
      <c r="A370" s="275"/>
      <c r="B370" s="275"/>
      <c r="C370" s="286"/>
      <c r="D370" s="275"/>
      <c r="E370" s="275"/>
      <c r="F370" s="275"/>
      <c r="G370" s="275"/>
      <c r="H370" s="275"/>
      <c r="I370" s="275"/>
      <c r="J370" s="275"/>
      <c r="K370" s="286"/>
      <c r="L370" s="286"/>
      <c r="M370" s="286"/>
      <c r="N370" s="275"/>
      <c r="O370" s="275"/>
      <c r="P370" s="275"/>
      <c r="Q370" s="275"/>
      <c r="R370" s="275"/>
      <c r="S370" s="275"/>
      <c r="T370" s="275"/>
      <c r="U370" s="275"/>
      <c r="V370" s="275"/>
      <c r="W370" s="275"/>
      <c r="X370" s="275"/>
      <c r="Y370" s="275"/>
      <c r="Z370" s="275"/>
      <c r="AA370" s="275"/>
    </row>
    <row r="371" ht="15.75" customHeight="1">
      <c r="A371" s="275"/>
      <c r="B371" s="275"/>
      <c r="C371" s="286"/>
      <c r="D371" s="275"/>
      <c r="E371" s="275"/>
      <c r="F371" s="275"/>
      <c r="G371" s="275"/>
      <c r="H371" s="275"/>
      <c r="I371" s="275"/>
      <c r="J371" s="275"/>
      <c r="K371" s="286"/>
      <c r="L371" s="286"/>
      <c r="M371" s="286"/>
      <c r="N371" s="275"/>
      <c r="O371" s="275"/>
      <c r="P371" s="275"/>
      <c r="Q371" s="275"/>
      <c r="R371" s="275"/>
      <c r="S371" s="275"/>
      <c r="T371" s="275"/>
      <c r="U371" s="275"/>
      <c r="V371" s="275"/>
      <c r="W371" s="275"/>
      <c r="X371" s="275"/>
      <c r="Y371" s="275"/>
      <c r="Z371" s="275"/>
      <c r="AA371" s="275"/>
    </row>
    <row r="372" ht="15.75" customHeight="1">
      <c r="A372" s="275"/>
      <c r="B372" s="275"/>
      <c r="C372" s="286"/>
      <c r="D372" s="275"/>
      <c r="E372" s="275"/>
      <c r="F372" s="275"/>
      <c r="G372" s="275"/>
      <c r="H372" s="275"/>
      <c r="I372" s="275"/>
      <c r="J372" s="275"/>
      <c r="K372" s="286"/>
      <c r="L372" s="286"/>
      <c r="M372" s="286"/>
      <c r="N372" s="275"/>
      <c r="O372" s="275"/>
      <c r="P372" s="275"/>
      <c r="Q372" s="275"/>
      <c r="R372" s="275"/>
      <c r="S372" s="275"/>
      <c r="T372" s="275"/>
      <c r="U372" s="275"/>
      <c r="V372" s="275"/>
      <c r="W372" s="275"/>
      <c r="X372" s="275"/>
      <c r="Y372" s="275"/>
      <c r="Z372" s="275"/>
      <c r="AA372" s="275"/>
    </row>
    <row r="373" ht="15.75" customHeight="1">
      <c r="A373" s="275"/>
      <c r="B373" s="275"/>
      <c r="C373" s="286"/>
      <c r="D373" s="275"/>
      <c r="E373" s="275"/>
      <c r="F373" s="275"/>
      <c r="G373" s="275"/>
      <c r="H373" s="275"/>
      <c r="I373" s="275"/>
      <c r="J373" s="275"/>
      <c r="K373" s="286"/>
      <c r="L373" s="286"/>
      <c r="M373" s="286"/>
      <c r="N373" s="275"/>
      <c r="O373" s="275"/>
      <c r="P373" s="275"/>
      <c r="Q373" s="275"/>
      <c r="R373" s="275"/>
      <c r="S373" s="275"/>
      <c r="T373" s="275"/>
      <c r="U373" s="275"/>
      <c r="V373" s="275"/>
      <c r="W373" s="275"/>
      <c r="X373" s="275"/>
      <c r="Y373" s="275"/>
      <c r="Z373" s="275"/>
      <c r="AA373" s="275"/>
    </row>
    <row r="374" ht="15.75" customHeight="1">
      <c r="A374" s="275"/>
      <c r="B374" s="275"/>
      <c r="C374" s="286"/>
      <c r="D374" s="275"/>
      <c r="E374" s="275"/>
      <c r="F374" s="275"/>
      <c r="G374" s="275"/>
      <c r="H374" s="275"/>
      <c r="I374" s="275"/>
      <c r="J374" s="275"/>
      <c r="K374" s="286"/>
      <c r="L374" s="286"/>
      <c r="M374" s="286"/>
      <c r="N374" s="275"/>
      <c r="O374" s="275"/>
      <c r="P374" s="275"/>
      <c r="Q374" s="275"/>
      <c r="R374" s="275"/>
      <c r="S374" s="275"/>
      <c r="T374" s="275"/>
      <c r="U374" s="275"/>
      <c r="V374" s="275"/>
      <c r="W374" s="275"/>
      <c r="X374" s="275"/>
      <c r="Y374" s="275"/>
      <c r="Z374" s="275"/>
      <c r="AA374" s="275"/>
    </row>
    <row r="375" ht="15.75" customHeight="1">
      <c r="A375" s="275"/>
      <c r="B375" s="275"/>
      <c r="C375" s="286"/>
      <c r="D375" s="275"/>
      <c r="E375" s="275"/>
      <c r="F375" s="275"/>
      <c r="G375" s="275"/>
      <c r="H375" s="275"/>
      <c r="I375" s="275"/>
      <c r="J375" s="275"/>
      <c r="K375" s="286"/>
      <c r="L375" s="286"/>
      <c r="M375" s="286"/>
      <c r="N375" s="275"/>
      <c r="O375" s="275"/>
      <c r="P375" s="275"/>
      <c r="Q375" s="275"/>
      <c r="R375" s="275"/>
      <c r="S375" s="275"/>
      <c r="T375" s="275"/>
      <c r="U375" s="275"/>
      <c r="V375" s="275"/>
      <c r="W375" s="275"/>
      <c r="X375" s="275"/>
      <c r="Y375" s="275"/>
      <c r="Z375" s="275"/>
      <c r="AA375" s="275"/>
    </row>
    <row r="376" ht="15.75" customHeight="1">
      <c r="A376" s="275"/>
      <c r="B376" s="275"/>
      <c r="C376" s="286"/>
      <c r="D376" s="275"/>
      <c r="E376" s="275"/>
      <c r="F376" s="275"/>
      <c r="G376" s="275"/>
      <c r="H376" s="275"/>
      <c r="I376" s="275"/>
      <c r="J376" s="275"/>
      <c r="K376" s="286"/>
      <c r="L376" s="286"/>
      <c r="M376" s="286"/>
      <c r="N376" s="275"/>
      <c r="O376" s="275"/>
      <c r="P376" s="275"/>
      <c r="Q376" s="275"/>
      <c r="R376" s="275"/>
      <c r="S376" s="275"/>
      <c r="T376" s="275"/>
      <c r="U376" s="275"/>
      <c r="V376" s="275"/>
      <c r="W376" s="275"/>
      <c r="X376" s="275"/>
      <c r="Y376" s="275"/>
      <c r="Z376" s="275"/>
      <c r="AA376" s="275"/>
    </row>
    <row r="377" ht="15.75" customHeight="1">
      <c r="A377" s="275"/>
      <c r="B377" s="275"/>
      <c r="C377" s="286"/>
      <c r="D377" s="275"/>
      <c r="E377" s="275"/>
      <c r="F377" s="275"/>
      <c r="G377" s="275"/>
      <c r="H377" s="275"/>
      <c r="I377" s="275"/>
      <c r="J377" s="275"/>
      <c r="K377" s="286"/>
      <c r="L377" s="286"/>
      <c r="M377" s="286"/>
      <c r="N377" s="275"/>
      <c r="O377" s="275"/>
      <c r="P377" s="275"/>
      <c r="Q377" s="275"/>
      <c r="R377" s="275"/>
      <c r="S377" s="275"/>
      <c r="T377" s="275"/>
      <c r="U377" s="275"/>
      <c r="V377" s="275"/>
      <c r="W377" s="275"/>
      <c r="X377" s="275"/>
      <c r="Y377" s="275"/>
      <c r="Z377" s="275"/>
      <c r="AA377" s="275"/>
    </row>
    <row r="378" ht="15.75" customHeight="1">
      <c r="A378" s="275"/>
      <c r="B378" s="275"/>
      <c r="C378" s="286"/>
      <c r="D378" s="275"/>
      <c r="E378" s="275"/>
      <c r="F378" s="275"/>
      <c r="G378" s="275"/>
      <c r="H378" s="275"/>
      <c r="I378" s="275"/>
      <c r="J378" s="275"/>
      <c r="K378" s="286"/>
      <c r="L378" s="286"/>
      <c r="M378" s="286"/>
      <c r="N378" s="275"/>
      <c r="O378" s="275"/>
      <c r="P378" s="275"/>
      <c r="Q378" s="275"/>
      <c r="R378" s="275"/>
      <c r="S378" s="275"/>
      <c r="T378" s="275"/>
      <c r="U378" s="275"/>
      <c r="V378" s="275"/>
      <c r="W378" s="275"/>
      <c r="X378" s="275"/>
      <c r="Y378" s="275"/>
      <c r="Z378" s="275"/>
      <c r="AA378" s="275"/>
    </row>
    <row r="379" ht="15.75" customHeight="1">
      <c r="A379" s="275"/>
      <c r="B379" s="275"/>
      <c r="C379" s="286"/>
      <c r="D379" s="275"/>
      <c r="E379" s="275"/>
      <c r="F379" s="275"/>
      <c r="G379" s="275"/>
      <c r="H379" s="275"/>
      <c r="I379" s="275"/>
      <c r="J379" s="275"/>
      <c r="K379" s="286"/>
      <c r="L379" s="286"/>
      <c r="M379" s="286"/>
      <c r="N379" s="275"/>
      <c r="O379" s="275"/>
      <c r="P379" s="275"/>
      <c r="Q379" s="275"/>
      <c r="R379" s="275"/>
      <c r="S379" s="275"/>
      <c r="T379" s="275"/>
      <c r="U379" s="275"/>
      <c r="V379" s="275"/>
      <c r="W379" s="275"/>
      <c r="X379" s="275"/>
      <c r="Y379" s="275"/>
      <c r="Z379" s="275"/>
      <c r="AA379" s="275"/>
    </row>
    <row r="380" ht="15.75" customHeight="1">
      <c r="A380" s="275"/>
      <c r="B380" s="275"/>
      <c r="C380" s="286"/>
      <c r="D380" s="275"/>
      <c r="E380" s="275"/>
      <c r="F380" s="275"/>
      <c r="G380" s="275"/>
      <c r="H380" s="275"/>
      <c r="I380" s="275"/>
      <c r="J380" s="275"/>
      <c r="K380" s="286"/>
      <c r="L380" s="286"/>
      <c r="M380" s="286"/>
      <c r="N380" s="275"/>
      <c r="O380" s="275"/>
      <c r="P380" s="275"/>
      <c r="Q380" s="275"/>
      <c r="R380" s="275"/>
      <c r="S380" s="275"/>
      <c r="T380" s="275"/>
      <c r="U380" s="275"/>
      <c r="V380" s="275"/>
      <c r="W380" s="275"/>
      <c r="X380" s="275"/>
      <c r="Y380" s="275"/>
      <c r="Z380" s="275"/>
      <c r="AA380" s="275"/>
    </row>
    <row r="381" ht="15.75" customHeight="1">
      <c r="A381" s="275"/>
      <c r="B381" s="275"/>
      <c r="C381" s="286"/>
      <c r="D381" s="275"/>
      <c r="E381" s="275"/>
      <c r="F381" s="275"/>
      <c r="G381" s="275"/>
      <c r="H381" s="275"/>
      <c r="I381" s="275"/>
      <c r="J381" s="275"/>
      <c r="K381" s="286"/>
      <c r="L381" s="286"/>
      <c r="M381" s="286"/>
      <c r="N381" s="275"/>
      <c r="O381" s="275"/>
      <c r="P381" s="275"/>
      <c r="Q381" s="275"/>
      <c r="R381" s="275"/>
      <c r="S381" s="275"/>
      <c r="T381" s="275"/>
      <c r="U381" s="275"/>
      <c r="V381" s="275"/>
      <c r="W381" s="275"/>
      <c r="X381" s="275"/>
      <c r="Y381" s="275"/>
      <c r="Z381" s="275"/>
      <c r="AA381" s="275"/>
    </row>
    <row r="382" ht="15.75" customHeight="1">
      <c r="A382" s="275"/>
      <c r="B382" s="275"/>
      <c r="C382" s="286"/>
      <c r="D382" s="275"/>
      <c r="E382" s="275"/>
      <c r="F382" s="275"/>
      <c r="G382" s="275"/>
      <c r="H382" s="275"/>
      <c r="I382" s="275"/>
      <c r="J382" s="275"/>
      <c r="K382" s="286"/>
      <c r="L382" s="286"/>
      <c r="M382" s="286"/>
      <c r="N382" s="275"/>
      <c r="O382" s="275"/>
      <c r="P382" s="275"/>
      <c r="Q382" s="275"/>
      <c r="R382" s="275"/>
      <c r="S382" s="275"/>
      <c r="T382" s="275"/>
      <c r="U382" s="275"/>
      <c r="V382" s="275"/>
      <c r="W382" s="275"/>
      <c r="X382" s="275"/>
      <c r="Y382" s="275"/>
      <c r="Z382" s="275"/>
      <c r="AA382" s="275"/>
    </row>
    <row r="383" ht="15.75" customHeight="1">
      <c r="A383" s="275"/>
      <c r="B383" s="275"/>
      <c r="C383" s="286"/>
      <c r="D383" s="275"/>
      <c r="E383" s="275"/>
      <c r="F383" s="275"/>
      <c r="G383" s="275"/>
      <c r="H383" s="275"/>
      <c r="I383" s="275"/>
      <c r="J383" s="275"/>
      <c r="K383" s="286"/>
      <c r="L383" s="286"/>
      <c r="M383" s="286"/>
      <c r="N383" s="275"/>
      <c r="O383" s="275"/>
      <c r="P383" s="275"/>
      <c r="Q383" s="275"/>
      <c r="R383" s="275"/>
      <c r="S383" s="275"/>
      <c r="T383" s="275"/>
      <c r="U383" s="275"/>
      <c r="V383" s="275"/>
      <c r="W383" s="275"/>
      <c r="X383" s="275"/>
      <c r="Y383" s="275"/>
      <c r="Z383" s="275"/>
      <c r="AA383" s="275"/>
    </row>
    <row r="384" ht="15.75" customHeight="1">
      <c r="A384" s="275"/>
      <c r="B384" s="275"/>
      <c r="C384" s="286"/>
      <c r="D384" s="275"/>
      <c r="E384" s="275"/>
      <c r="F384" s="275"/>
      <c r="G384" s="275"/>
      <c r="H384" s="275"/>
      <c r="I384" s="275"/>
      <c r="J384" s="275"/>
      <c r="K384" s="286"/>
      <c r="L384" s="286"/>
      <c r="M384" s="286"/>
      <c r="N384" s="275"/>
      <c r="O384" s="275"/>
      <c r="P384" s="275"/>
      <c r="Q384" s="275"/>
      <c r="R384" s="275"/>
      <c r="S384" s="275"/>
      <c r="T384" s="275"/>
      <c r="U384" s="275"/>
      <c r="V384" s="275"/>
      <c r="W384" s="275"/>
      <c r="X384" s="275"/>
      <c r="Y384" s="275"/>
      <c r="Z384" s="275"/>
      <c r="AA384" s="275"/>
    </row>
    <row r="385" ht="15.75" customHeight="1">
      <c r="A385" s="275"/>
      <c r="B385" s="275"/>
      <c r="C385" s="286"/>
      <c r="D385" s="275"/>
      <c r="E385" s="275"/>
      <c r="F385" s="275"/>
      <c r="G385" s="275"/>
      <c r="H385" s="275"/>
      <c r="I385" s="275"/>
      <c r="J385" s="275"/>
      <c r="K385" s="286"/>
      <c r="L385" s="286"/>
      <c r="M385" s="286"/>
      <c r="N385" s="275"/>
      <c r="O385" s="275"/>
      <c r="P385" s="275"/>
      <c r="Q385" s="275"/>
      <c r="R385" s="275"/>
      <c r="S385" s="275"/>
      <c r="T385" s="275"/>
      <c r="U385" s="275"/>
      <c r="V385" s="275"/>
      <c r="W385" s="275"/>
      <c r="X385" s="275"/>
      <c r="Y385" s="275"/>
      <c r="Z385" s="275"/>
      <c r="AA385" s="275"/>
    </row>
    <row r="386" ht="15.75" customHeight="1">
      <c r="A386" s="275"/>
      <c r="B386" s="275"/>
      <c r="C386" s="286"/>
      <c r="D386" s="275"/>
      <c r="E386" s="275"/>
      <c r="F386" s="275"/>
      <c r="G386" s="275"/>
      <c r="H386" s="275"/>
      <c r="I386" s="275"/>
      <c r="J386" s="275"/>
      <c r="K386" s="286"/>
      <c r="L386" s="286"/>
      <c r="M386" s="286"/>
      <c r="N386" s="275"/>
      <c r="O386" s="275"/>
      <c r="P386" s="275"/>
      <c r="Q386" s="275"/>
      <c r="R386" s="275"/>
      <c r="S386" s="275"/>
      <c r="T386" s="275"/>
      <c r="U386" s="275"/>
      <c r="V386" s="275"/>
      <c r="W386" s="275"/>
      <c r="X386" s="275"/>
      <c r="Y386" s="275"/>
      <c r="Z386" s="275"/>
      <c r="AA386" s="275"/>
    </row>
    <row r="387" ht="15.75" customHeight="1">
      <c r="A387" s="275"/>
      <c r="B387" s="275"/>
      <c r="C387" s="286"/>
      <c r="D387" s="275"/>
      <c r="E387" s="275"/>
      <c r="F387" s="275"/>
      <c r="G387" s="275"/>
      <c r="H387" s="275"/>
      <c r="I387" s="275"/>
      <c r="J387" s="275"/>
      <c r="K387" s="286"/>
      <c r="L387" s="286"/>
      <c r="M387" s="286"/>
      <c r="N387" s="275"/>
      <c r="O387" s="275"/>
      <c r="P387" s="275"/>
      <c r="Q387" s="275"/>
      <c r="R387" s="275"/>
      <c r="S387" s="275"/>
      <c r="T387" s="275"/>
      <c r="U387" s="275"/>
      <c r="V387" s="275"/>
      <c r="W387" s="275"/>
      <c r="X387" s="275"/>
      <c r="Y387" s="275"/>
      <c r="Z387" s="275"/>
      <c r="AA387" s="275"/>
    </row>
    <row r="388" ht="15.75" customHeight="1">
      <c r="A388" s="275"/>
      <c r="B388" s="275"/>
      <c r="C388" s="286"/>
      <c r="D388" s="275"/>
      <c r="E388" s="275"/>
      <c r="F388" s="275"/>
      <c r="G388" s="275"/>
      <c r="H388" s="275"/>
      <c r="I388" s="275"/>
      <c r="J388" s="275"/>
      <c r="K388" s="286"/>
      <c r="L388" s="286"/>
      <c r="M388" s="286"/>
      <c r="N388" s="275"/>
      <c r="O388" s="275"/>
      <c r="P388" s="275"/>
      <c r="Q388" s="275"/>
      <c r="R388" s="275"/>
      <c r="S388" s="275"/>
      <c r="T388" s="275"/>
      <c r="U388" s="275"/>
      <c r="V388" s="275"/>
      <c r="W388" s="275"/>
      <c r="X388" s="275"/>
      <c r="Y388" s="275"/>
      <c r="Z388" s="275"/>
      <c r="AA388" s="275"/>
    </row>
    <row r="389" ht="15.75" customHeight="1">
      <c r="A389" s="275"/>
      <c r="B389" s="275"/>
      <c r="C389" s="286"/>
      <c r="D389" s="275"/>
      <c r="E389" s="275"/>
      <c r="F389" s="275"/>
      <c r="G389" s="275"/>
      <c r="H389" s="275"/>
      <c r="I389" s="275"/>
      <c r="J389" s="275"/>
      <c r="K389" s="286"/>
      <c r="L389" s="286"/>
      <c r="M389" s="286"/>
      <c r="N389" s="275"/>
      <c r="O389" s="275"/>
      <c r="P389" s="275"/>
      <c r="Q389" s="275"/>
      <c r="R389" s="275"/>
      <c r="S389" s="275"/>
      <c r="T389" s="275"/>
      <c r="U389" s="275"/>
      <c r="V389" s="275"/>
      <c r="W389" s="275"/>
      <c r="X389" s="275"/>
      <c r="Y389" s="275"/>
      <c r="Z389" s="275"/>
      <c r="AA389" s="275"/>
    </row>
    <row r="390" ht="15.75" customHeight="1">
      <c r="A390" s="275"/>
      <c r="B390" s="275"/>
      <c r="C390" s="286"/>
      <c r="D390" s="275"/>
      <c r="E390" s="275"/>
      <c r="F390" s="275"/>
      <c r="G390" s="275"/>
      <c r="H390" s="275"/>
      <c r="I390" s="275"/>
      <c r="J390" s="275"/>
      <c r="K390" s="286"/>
      <c r="L390" s="286"/>
      <c r="M390" s="286"/>
      <c r="N390" s="275"/>
      <c r="O390" s="275"/>
      <c r="P390" s="275"/>
      <c r="Q390" s="275"/>
      <c r="R390" s="275"/>
      <c r="S390" s="275"/>
      <c r="T390" s="275"/>
      <c r="U390" s="275"/>
      <c r="V390" s="275"/>
      <c r="W390" s="275"/>
      <c r="X390" s="275"/>
      <c r="Y390" s="275"/>
      <c r="Z390" s="275"/>
      <c r="AA390" s="275"/>
    </row>
    <row r="391" ht="15.75" customHeight="1">
      <c r="A391" s="275"/>
      <c r="B391" s="275"/>
      <c r="C391" s="286"/>
      <c r="D391" s="275"/>
      <c r="E391" s="275"/>
      <c r="F391" s="275"/>
      <c r="G391" s="275"/>
      <c r="H391" s="275"/>
      <c r="I391" s="275"/>
      <c r="J391" s="275"/>
      <c r="K391" s="286"/>
      <c r="L391" s="286"/>
      <c r="M391" s="286"/>
      <c r="N391" s="275"/>
      <c r="O391" s="275"/>
      <c r="P391" s="275"/>
      <c r="Q391" s="275"/>
      <c r="R391" s="275"/>
      <c r="S391" s="275"/>
      <c r="T391" s="275"/>
      <c r="U391" s="275"/>
      <c r="V391" s="275"/>
      <c r="W391" s="275"/>
      <c r="X391" s="275"/>
      <c r="Y391" s="275"/>
      <c r="Z391" s="275"/>
      <c r="AA391" s="275"/>
    </row>
    <row r="392" ht="15.75" customHeight="1">
      <c r="A392" s="275"/>
      <c r="B392" s="275"/>
      <c r="C392" s="286"/>
      <c r="D392" s="275"/>
      <c r="E392" s="275"/>
      <c r="F392" s="275"/>
      <c r="G392" s="275"/>
      <c r="H392" s="275"/>
      <c r="I392" s="275"/>
      <c r="J392" s="275"/>
      <c r="K392" s="286"/>
      <c r="L392" s="286"/>
      <c r="M392" s="286"/>
      <c r="N392" s="275"/>
      <c r="O392" s="275"/>
      <c r="P392" s="275"/>
      <c r="Q392" s="275"/>
      <c r="R392" s="275"/>
      <c r="S392" s="275"/>
      <c r="T392" s="275"/>
      <c r="U392" s="275"/>
      <c r="V392" s="275"/>
      <c r="W392" s="275"/>
      <c r="X392" s="275"/>
      <c r="Y392" s="275"/>
      <c r="Z392" s="275"/>
      <c r="AA392" s="275"/>
    </row>
    <row r="393" ht="15.75" customHeight="1">
      <c r="A393" s="275"/>
      <c r="B393" s="275"/>
      <c r="C393" s="286"/>
      <c r="D393" s="275"/>
      <c r="E393" s="275"/>
      <c r="F393" s="275"/>
      <c r="G393" s="275"/>
      <c r="H393" s="275"/>
      <c r="I393" s="275"/>
      <c r="J393" s="275"/>
      <c r="K393" s="286"/>
      <c r="L393" s="286"/>
      <c r="M393" s="286"/>
      <c r="N393" s="275"/>
      <c r="O393" s="275"/>
      <c r="P393" s="275"/>
      <c r="Q393" s="275"/>
      <c r="R393" s="275"/>
      <c r="S393" s="275"/>
      <c r="T393" s="275"/>
      <c r="U393" s="275"/>
      <c r="V393" s="275"/>
      <c r="W393" s="275"/>
      <c r="X393" s="275"/>
      <c r="Y393" s="275"/>
      <c r="Z393" s="275"/>
      <c r="AA393" s="275"/>
    </row>
    <row r="394" ht="15.75" customHeight="1">
      <c r="A394" s="275"/>
      <c r="B394" s="275"/>
      <c r="C394" s="286"/>
      <c r="D394" s="275"/>
      <c r="E394" s="275"/>
      <c r="F394" s="275"/>
      <c r="G394" s="275"/>
      <c r="H394" s="275"/>
      <c r="I394" s="275"/>
      <c r="J394" s="275"/>
      <c r="K394" s="286"/>
      <c r="L394" s="286"/>
      <c r="M394" s="286"/>
      <c r="N394" s="275"/>
      <c r="O394" s="275"/>
      <c r="P394" s="275"/>
      <c r="Q394" s="275"/>
      <c r="R394" s="275"/>
      <c r="S394" s="275"/>
      <c r="T394" s="275"/>
      <c r="U394" s="275"/>
      <c r="V394" s="275"/>
      <c r="W394" s="275"/>
      <c r="X394" s="275"/>
      <c r="Y394" s="275"/>
      <c r="Z394" s="275"/>
      <c r="AA394" s="275"/>
    </row>
    <row r="395" ht="15.75" customHeight="1">
      <c r="A395" s="275"/>
      <c r="B395" s="275"/>
      <c r="C395" s="286"/>
      <c r="D395" s="275"/>
      <c r="E395" s="275"/>
      <c r="F395" s="275"/>
      <c r="G395" s="275"/>
      <c r="H395" s="275"/>
      <c r="I395" s="275"/>
      <c r="J395" s="275"/>
      <c r="K395" s="286"/>
      <c r="L395" s="286"/>
      <c r="M395" s="286"/>
      <c r="N395" s="275"/>
      <c r="O395" s="275"/>
      <c r="P395" s="275"/>
      <c r="Q395" s="275"/>
      <c r="R395" s="275"/>
      <c r="S395" s="275"/>
      <c r="T395" s="275"/>
      <c r="U395" s="275"/>
      <c r="V395" s="275"/>
      <c r="W395" s="275"/>
      <c r="X395" s="275"/>
      <c r="Y395" s="275"/>
      <c r="Z395" s="275"/>
      <c r="AA395" s="275"/>
    </row>
    <row r="396" ht="15.75" customHeight="1">
      <c r="A396" s="275"/>
      <c r="B396" s="275"/>
      <c r="C396" s="286"/>
      <c r="D396" s="275"/>
      <c r="E396" s="275"/>
      <c r="F396" s="275"/>
      <c r="G396" s="275"/>
      <c r="H396" s="275"/>
      <c r="I396" s="275"/>
      <c r="J396" s="275"/>
      <c r="K396" s="286"/>
      <c r="L396" s="286"/>
      <c r="M396" s="286"/>
      <c r="N396" s="275"/>
      <c r="O396" s="275"/>
      <c r="P396" s="275"/>
      <c r="Q396" s="275"/>
      <c r="R396" s="275"/>
      <c r="S396" s="275"/>
      <c r="T396" s="275"/>
      <c r="U396" s="275"/>
      <c r="V396" s="275"/>
      <c r="W396" s="275"/>
      <c r="X396" s="275"/>
      <c r="Y396" s="275"/>
      <c r="Z396" s="275"/>
      <c r="AA396" s="275"/>
    </row>
    <row r="397" ht="15.75" customHeight="1">
      <c r="A397" s="275"/>
      <c r="B397" s="275"/>
      <c r="C397" s="286"/>
      <c r="D397" s="275"/>
      <c r="E397" s="275"/>
      <c r="F397" s="275"/>
      <c r="G397" s="275"/>
      <c r="H397" s="275"/>
      <c r="I397" s="275"/>
      <c r="J397" s="275"/>
      <c r="K397" s="286"/>
      <c r="L397" s="286"/>
      <c r="M397" s="286"/>
      <c r="N397" s="275"/>
      <c r="O397" s="275"/>
      <c r="P397" s="275"/>
      <c r="Q397" s="275"/>
      <c r="R397" s="275"/>
      <c r="S397" s="275"/>
      <c r="T397" s="275"/>
      <c r="U397" s="275"/>
      <c r="V397" s="275"/>
      <c r="W397" s="275"/>
      <c r="X397" s="275"/>
      <c r="Y397" s="275"/>
      <c r="Z397" s="275"/>
      <c r="AA397" s="275"/>
    </row>
    <row r="398" ht="15.75" customHeight="1">
      <c r="A398" s="275"/>
      <c r="B398" s="275"/>
      <c r="C398" s="286"/>
      <c r="D398" s="275"/>
      <c r="E398" s="275"/>
      <c r="F398" s="275"/>
      <c r="G398" s="275"/>
      <c r="H398" s="275"/>
      <c r="I398" s="275"/>
      <c r="J398" s="275"/>
      <c r="K398" s="286"/>
      <c r="L398" s="286"/>
      <c r="M398" s="286"/>
      <c r="N398" s="275"/>
      <c r="O398" s="275"/>
      <c r="P398" s="275"/>
      <c r="Q398" s="275"/>
      <c r="R398" s="275"/>
      <c r="S398" s="275"/>
      <c r="T398" s="275"/>
      <c r="U398" s="275"/>
      <c r="V398" s="275"/>
      <c r="W398" s="275"/>
      <c r="X398" s="275"/>
      <c r="Y398" s="275"/>
      <c r="Z398" s="275"/>
      <c r="AA398" s="275"/>
    </row>
    <row r="399" ht="15.75" customHeight="1">
      <c r="A399" s="275"/>
      <c r="B399" s="275"/>
      <c r="C399" s="286"/>
      <c r="D399" s="275"/>
      <c r="E399" s="275"/>
      <c r="F399" s="275"/>
      <c r="G399" s="275"/>
      <c r="H399" s="275"/>
      <c r="I399" s="275"/>
      <c r="J399" s="275"/>
      <c r="K399" s="286"/>
      <c r="L399" s="286"/>
      <c r="M399" s="286"/>
      <c r="N399" s="275"/>
      <c r="O399" s="275"/>
      <c r="P399" s="275"/>
      <c r="Q399" s="275"/>
      <c r="R399" s="275"/>
      <c r="S399" s="275"/>
      <c r="T399" s="275"/>
      <c r="U399" s="275"/>
      <c r="V399" s="275"/>
      <c r="W399" s="275"/>
      <c r="X399" s="275"/>
      <c r="Y399" s="275"/>
      <c r="Z399" s="275"/>
      <c r="AA399" s="275"/>
    </row>
    <row r="400" ht="15.75" customHeight="1">
      <c r="A400" s="275"/>
      <c r="B400" s="275"/>
      <c r="C400" s="286"/>
      <c r="D400" s="275"/>
      <c r="E400" s="275"/>
      <c r="F400" s="275"/>
      <c r="G400" s="275"/>
      <c r="H400" s="275"/>
      <c r="I400" s="275"/>
      <c r="J400" s="275"/>
      <c r="K400" s="286"/>
      <c r="L400" s="286"/>
      <c r="M400" s="286"/>
      <c r="N400" s="275"/>
      <c r="O400" s="275"/>
      <c r="P400" s="275"/>
      <c r="Q400" s="275"/>
      <c r="R400" s="275"/>
      <c r="S400" s="275"/>
      <c r="T400" s="275"/>
      <c r="U400" s="275"/>
      <c r="V400" s="275"/>
      <c r="W400" s="275"/>
      <c r="X400" s="275"/>
      <c r="Y400" s="275"/>
      <c r="Z400" s="275"/>
      <c r="AA400" s="275"/>
    </row>
    <row r="401" ht="15.75" customHeight="1">
      <c r="A401" s="275"/>
      <c r="B401" s="275"/>
      <c r="C401" s="286"/>
      <c r="D401" s="275"/>
      <c r="E401" s="275"/>
      <c r="F401" s="275"/>
      <c r="G401" s="275"/>
      <c r="H401" s="275"/>
      <c r="I401" s="275"/>
      <c r="J401" s="275"/>
      <c r="K401" s="286"/>
      <c r="L401" s="286"/>
      <c r="M401" s="286"/>
      <c r="N401" s="275"/>
      <c r="O401" s="275"/>
      <c r="P401" s="275"/>
      <c r="Q401" s="275"/>
      <c r="R401" s="275"/>
      <c r="S401" s="275"/>
      <c r="T401" s="275"/>
      <c r="U401" s="275"/>
      <c r="V401" s="275"/>
      <c r="W401" s="275"/>
      <c r="X401" s="275"/>
      <c r="Y401" s="275"/>
      <c r="Z401" s="275"/>
      <c r="AA401" s="275"/>
    </row>
    <row r="402" ht="15.75" customHeight="1">
      <c r="A402" s="275"/>
      <c r="B402" s="275"/>
      <c r="C402" s="286"/>
      <c r="D402" s="275"/>
      <c r="E402" s="275"/>
      <c r="F402" s="275"/>
      <c r="G402" s="275"/>
      <c r="H402" s="275"/>
      <c r="I402" s="275"/>
      <c r="J402" s="275"/>
      <c r="K402" s="286"/>
      <c r="L402" s="286"/>
      <c r="M402" s="286"/>
      <c r="N402" s="275"/>
      <c r="O402" s="275"/>
      <c r="P402" s="275"/>
      <c r="Q402" s="275"/>
      <c r="R402" s="275"/>
      <c r="S402" s="275"/>
      <c r="T402" s="275"/>
      <c r="U402" s="275"/>
      <c r="V402" s="275"/>
      <c r="W402" s="275"/>
      <c r="X402" s="275"/>
      <c r="Y402" s="275"/>
      <c r="Z402" s="275"/>
      <c r="AA402" s="275"/>
    </row>
    <row r="403" ht="15.75" customHeight="1">
      <c r="A403" s="275"/>
      <c r="B403" s="275"/>
      <c r="C403" s="286"/>
      <c r="D403" s="275"/>
      <c r="E403" s="275"/>
      <c r="F403" s="275"/>
      <c r="G403" s="275"/>
      <c r="H403" s="275"/>
      <c r="I403" s="275"/>
      <c r="J403" s="275"/>
      <c r="K403" s="286"/>
      <c r="L403" s="286"/>
      <c r="M403" s="286"/>
      <c r="N403" s="275"/>
      <c r="O403" s="275"/>
      <c r="P403" s="275"/>
      <c r="Q403" s="275"/>
      <c r="R403" s="275"/>
      <c r="S403" s="275"/>
      <c r="T403" s="275"/>
      <c r="U403" s="275"/>
      <c r="V403" s="275"/>
      <c r="W403" s="275"/>
      <c r="X403" s="275"/>
      <c r="Y403" s="275"/>
      <c r="Z403" s="275"/>
      <c r="AA403" s="275"/>
    </row>
    <row r="404" ht="15.75" customHeight="1">
      <c r="A404" s="275"/>
      <c r="B404" s="275"/>
      <c r="C404" s="286"/>
      <c r="D404" s="275"/>
      <c r="E404" s="275"/>
      <c r="F404" s="275"/>
      <c r="G404" s="275"/>
      <c r="H404" s="275"/>
      <c r="I404" s="275"/>
      <c r="J404" s="275"/>
      <c r="K404" s="286"/>
      <c r="L404" s="286"/>
      <c r="M404" s="286"/>
      <c r="N404" s="275"/>
      <c r="O404" s="275"/>
      <c r="P404" s="275"/>
      <c r="Q404" s="275"/>
      <c r="R404" s="275"/>
      <c r="S404" s="275"/>
      <c r="T404" s="275"/>
      <c r="U404" s="275"/>
      <c r="V404" s="275"/>
      <c r="W404" s="275"/>
      <c r="X404" s="275"/>
      <c r="Y404" s="275"/>
      <c r="Z404" s="275"/>
      <c r="AA404" s="275"/>
    </row>
    <row r="405" ht="15.75" customHeight="1">
      <c r="A405" s="275"/>
      <c r="B405" s="275"/>
      <c r="C405" s="286"/>
      <c r="D405" s="275"/>
      <c r="E405" s="275"/>
      <c r="F405" s="275"/>
      <c r="G405" s="275"/>
      <c r="H405" s="275"/>
      <c r="I405" s="275"/>
      <c r="J405" s="275"/>
      <c r="K405" s="286"/>
      <c r="L405" s="286"/>
      <c r="M405" s="286"/>
      <c r="N405" s="275"/>
      <c r="O405" s="275"/>
      <c r="P405" s="275"/>
      <c r="Q405" s="275"/>
      <c r="R405" s="275"/>
      <c r="S405" s="275"/>
      <c r="T405" s="275"/>
      <c r="U405" s="275"/>
      <c r="V405" s="275"/>
      <c r="W405" s="275"/>
      <c r="X405" s="275"/>
      <c r="Y405" s="275"/>
      <c r="Z405" s="275"/>
      <c r="AA405" s="275"/>
    </row>
    <row r="406" ht="15.75" customHeight="1">
      <c r="A406" s="275"/>
      <c r="B406" s="275"/>
      <c r="C406" s="286"/>
      <c r="D406" s="275"/>
      <c r="E406" s="275"/>
      <c r="F406" s="275"/>
      <c r="G406" s="275"/>
      <c r="H406" s="275"/>
      <c r="I406" s="275"/>
      <c r="J406" s="275"/>
      <c r="K406" s="286"/>
      <c r="L406" s="286"/>
      <c r="M406" s="286"/>
      <c r="N406" s="275"/>
      <c r="O406" s="275"/>
      <c r="P406" s="275"/>
      <c r="Q406" s="275"/>
      <c r="R406" s="275"/>
      <c r="S406" s="275"/>
      <c r="T406" s="275"/>
      <c r="U406" s="275"/>
      <c r="V406" s="275"/>
      <c r="W406" s="275"/>
      <c r="X406" s="275"/>
      <c r="Y406" s="275"/>
      <c r="Z406" s="275"/>
      <c r="AA406" s="275"/>
    </row>
    <row r="407" ht="15.75" customHeight="1">
      <c r="A407" s="275"/>
      <c r="B407" s="275"/>
      <c r="C407" s="286"/>
      <c r="D407" s="275"/>
      <c r="E407" s="275"/>
      <c r="F407" s="275"/>
      <c r="G407" s="275"/>
      <c r="H407" s="275"/>
      <c r="I407" s="275"/>
      <c r="J407" s="275"/>
      <c r="K407" s="286"/>
      <c r="L407" s="286"/>
      <c r="M407" s="286"/>
      <c r="N407" s="275"/>
      <c r="O407" s="275"/>
      <c r="P407" s="275"/>
      <c r="Q407" s="275"/>
      <c r="R407" s="275"/>
      <c r="S407" s="275"/>
      <c r="T407" s="275"/>
      <c r="U407" s="275"/>
      <c r="V407" s="275"/>
      <c r="W407" s="275"/>
      <c r="X407" s="275"/>
      <c r="Y407" s="275"/>
      <c r="Z407" s="275"/>
      <c r="AA407" s="275"/>
    </row>
    <row r="408" ht="15.75" customHeight="1">
      <c r="A408" s="275"/>
      <c r="B408" s="275"/>
      <c r="C408" s="286"/>
      <c r="D408" s="275"/>
      <c r="E408" s="275"/>
      <c r="F408" s="275"/>
      <c r="G408" s="275"/>
      <c r="H408" s="275"/>
      <c r="I408" s="275"/>
      <c r="J408" s="275"/>
      <c r="K408" s="286"/>
      <c r="L408" s="286"/>
      <c r="M408" s="286"/>
      <c r="N408" s="275"/>
      <c r="O408" s="275"/>
      <c r="P408" s="275"/>
      <c r="Q408" s="275"/>
      <c r="R408" s="275"/>
      <c r="S408" s="275"/>
      <c r="T408" s="275"/>
      <c r="U408" s="275"/>
      <c r="V408" s="275"/>
      <c r="W408" s="275"/>
      <c r="X408" s="275"/>
      <c r="Y408" s="275"/>
      <c r="Z408" s="275"/>
      <c r="AA408" s="275"/>
    </row>
    <row r="409" ht="15.75" customHeight="1">
      <c r="A409" s="275"/>
      <c r="B409" s="275"/>
      <c r="C409" s="286"/>
      <c r="D409" s="275"/>
      <c r="E409" s="275"/>
      <c r="F409" s="275"/>
      <c r="G409" s="275"/>
      <c r="H409" s="275"/>
      <c r="I409" s="275"/>
      <c r="J409" s="275"/>
      <c r="K409" s="286"/>
      <c r="L409" s="286"/>
      <c r="M409" s="286"/>
      <c r="N409" s="275"/>
      <c r="O409" s="275"/>
      <c r="P409" s="275"/>
      <c r="Q409" s="275"/>
      <c r="R409" s="275"/>
      <c r="S409" s="275"/>
      <c r="T409" s="275"/>
      <c r="U409" s="275"/>
      <c r="V409" s="275"/>
      <c r="W409" s="275"/>
      <c r="X409" s="275"/>
      <c r="Y409" s="275"/>
      <c r="Z409" s="275"/>
      <c r="AA409" s="275"/>
    </row>
    <row r="410" ht="15.75" customHeight="1">
      <c r="A410" s="275"/>
      <c r="B410" s="275"/>
      <c r="C410" s="286"/>
      <c r="D410" s="275"/>
      <c r="E410" s="275"/>
      <c r="F410" s="275"/>
      <c r="G410" s="275"/>
      <c r="H410" s="275"/>
      <c r="I410" s="275"/>
      <c r="J410" s="275"/>
      <c r="K410" s="286"/>
      <c r="L410" s="286"/>
      <c r="M410" s="286"/>
      <c r="N410" s="275"/>
      <c r="O410" s="275"/>
      <c r="P410" s="275"/>
      <c r="Q410" s="275"/>
      <c r="R410" s="275"/>
      <c r="S410" s="275"/>
      <c r="T410" s="275"/>
      <c r="U410" s="275"/>
      <c r="V410" s="275"/>
      <c r="W410" s="275"/>
      <c r="X410" s="275"/>
      <c r="Y410" s="275"/>
      <c r="Z410" s="275"/>
      <c r="AA410" s="275"/>
    </row>
    <row r="411" ht="15.75" customHeight="1">
      <c r="A411" s="275"/>
      <c r="B411" s="275"/>
      <c r="C411" s="286"/>
      <c r="D411" s="275"/>
      <c r="E411" s="275"/>
      <c r="F411" s="275"/>
      <c r="G411" s="275"/>
      <c r="H411" s="275"/>
      <c r="I411" s="275"/>
      <c r="J411" s="275"/>
      <c r="K411" s="286"/>
      <c r="L411" s="286"/>
      <c r="M411" s="286"/>
      <c r="N411" s="275"/>
      <c r="O411" s="275"/>
      <c r="P411" s="275"/>
      <c r="Q411" s="275"/>
      <c r="R411" s="275"/>
      <c r="S411" s="275"/>
      <c r="T411" s="275"/>
      <c r="U411" s="275"/>
      <c r="V411" s="275"/>
      <c r="W411" s="275"/>
      <c r="X411" s="275"/>
      <c r="Y411" s="275"/>
      <c r="Z411" s="275"/>
      <c r="AA411" s="275"/>
    </row>
    <row r="412" ht="15.75" customHeight="1">
      <c r="A412" s="275"/>
      <c r="B412" s="275"/>
      <c r="C412" s="286"/>
      <c r="D412" s="275"/>
      <c r="E412" s="275"/>
      <c r="F412" s="275"/>
      <c r="G412" s="275"/>
      <c r="H412" s="275"/>
      <c r="I412" s="275"/>
      <c r="J412" s="275"/>
      <c r="K412" s="286"/>
      <c r="L412" s="286"/>
      <c r="M412" s="286"/>
      <c r="N412" s="275"/>
      <c r="O412" s="275"/>
      <c r="P412" s="275"/>
      <c r="Q412" s="275"/>
      <c r="R412" s="275"/>
      <c r="S412" s="275"/>
      <c r="T412" s="275"/>
      <c r="U412" s="275"/>
      <c r="V412" s="275"/>
      <c r="W412" s="275"/>
      <c r="X412" s="275"/>
      <c r="Y412" s="275"/>
      <c r="Z412" s="275"/>
      <c r="AA412" s="275"/>
    </row>
    <row r="413" ht="15.75" customHeight="1">
      <c r="A413" s="275"/>
      <c r="B413" s="275"/>
      <c r="C413" s="286"/>
      <c r="D413" s="275"/>
      <c r="E413" s="275"/>
      <c r="F413" s="275"/>
      <c r="G413" s="275"/>
      <c r="H413" s="275"/>
      <c r="I413" s="275"/>
      <c r="J413" s="275"/>
      <c r="K413" s="286"/>
      <c r="L413" s="286"/>
      <c r="M413" s="286"/>
      <c r="N413" s="275"/>
      <c r="O413" s="275"/>
      <c r="P413" s="275"/>
      <c r="Q413" s="275"/>
      <c r="R413" s="275"/>
      <c r="S413" s="275"/>
      <c r="T413" s="275"/>
      <c r="U413" s="275"/>
      <c r="V413" s="275"/>
      <c r="W413" s="275"/>
      <c r="X413" s="275"/>
      <c r="Y413" s="275"/>
      <c r="Z413" s="275"/>
      <c r="AA413" s="275"/>
    </row>
    <row r="414" ht="15.75" customHeight="1">
      <c r="A414" s="275"/>
      <c r="B414" s="275"/>
      <c r="C414" s="286"/>
      <c r="D414" s="275"/>
      <c r="E414" s="275"/>
      <c r="F414" s="275"/>
      <c r="G414" s="275"/>
      <c r="H414" s="275"/>
      <c r="I414" s="275"/>
      <c r="J414" s="275"/>
      <c r="K414" s="286"/>
      <c r="L414" s="286"/>
      <c r="M414" s="286"/>
      <c r="N414" s="275"/>
      <c r="O414" s="275"/>
      <c r="P414" s="275"/>
      <c r="Q414" s="275"/>
      <c r="R414" s="275"/>
      <c r="S414" s="275"/>
      <c r="T414" s="275"/>
      <c r="U414" s="275"/>
      <c r="V414" s="275"/>
      <c r="W414" s="275"/>
      <c r="X414" s="275"/>
      <c r="Y414" s="275"/>
      <c r="Z414" s="275"/>
      <c r="AA414" s="275"/>
    </row>
    <row r="415" ht="15.75" customHeight="1">
      <c r="A415" s="275"/>
      <c r="B415" s="275"/>
      <c r="C415" s="286"/>
      <c r="D415" s="275"/>
      <c r="E415" s="275"/>
      <c r="F415" s="275"/>
      <c r="G415" s="275"/>
      <c r="H415" s="275"/>
      <c r="I415" s="275"/>
      <c r="J415" s="275"/>
      <c r="K415" s="286"/>
      <c r="L415" s="286"/>
      <c r="M415" s="286"/>
      <c r="N415" s="275"/>
      <c r="O415" s="275"/>
      <c r="P415" s="275"/>
      <c r="Q415" s="275"/>
      <c r="R415" s="275"/>
      <c r="S415" s="275"/>
      <c r="T415" s="275"/>
      <c r="U415" s="275"/>
      <c r="V415" s="275"/>
      <c r="W415" s="275"/>
      <c r="X415" s="275"/>
      <c r="Y415" s="275"/>
      <c r="Z415" s="275"/>
      <c r="AA415" s="275"/>
    </row>
    <row r="416" ht="15.75" customHeight="1">
      <c r="A416" s="275"/>
      <c r="B416" s="275"/>
      <c r="C416" s="286"/>
      <c r="D416" s="275"/>
      <c r="E416" s="275"/>
      <c r="F416" s="275"/>
      <c r="G416" s="275"/>
      <c r="H416" s="275"/>
      <c r="I416" s="275"/>
      <c r="J416" s="275"/>
      <c r="K416" s="286"/>
      <c r="L416" s="286"/>
      <c r="M416" s="286"/>
      <c r="N416" s="275"/>
      <c r="O416" s="275"/>
      <c r="P416" s="275"/>
      <c r="Q416" s="275"/>
      <c r="R416" s="275"/>
      <c r="S416" s="275"/>
      <c r="T416" s="275"/>
      <c r="U416" s="275"/>
      <c r="V416" s="275"/>
      <c r="W416" s="275"/>
      <c r="X416" s="275"/>
      <c r="Y416" s="275"/>
      <c r="Z416" s="275"/>
      <c r="AA416" s="275"/>
    </row>
    <row r="417" ht="15.75" customHeight="1">
      <c r="A417" s="275"/>
      <c r="B417" s="275"/>
      <c r="C417" s="286"/>
      <c r="D417" s="275"/>
      <c r="E417" s="275"/>
      <c r="F417" s="275"/>
      <c r="G417" s="275"/>
      <c r="H417" s="275"/>
      <c r="I417" s="275"/>
      <c r="J417" s="275"/>
      <c r="K417" s="286"/>
      <c r="L417" s="286"/>
      <c r="M417" s="286"/>
      <c r="N417" s="275"/>
      <c r="O417" s="275"/>
      <c r="P417" s="275"/>
      <c r="Q417" s="275"/>
      <c r="R417" s="275"/>
      <c r="S417" s="275"/>
      <c r="T417" s="275"/>
      <c r="U417" s="275"/>
      <c r="V417" s="275"/>
      <c r="W417" s="275"/>
      <c r="X417" s="275"/>
      <c r="Y417" s="275"/>
      <c r="Z417" s="275"/>
      <c r="AA417" s="275"/>
    </row>
    <row r="418" ht="15.75" customHeight="1">
      <c r="A418" s="275"/>
      <c r="B418" s="275"/>
      <c r="C418" s="286"/>
      <c r="D418" s="275"/>
      <c r="E418" s="275"/>
      <c r="F418" s="275"/>
      <c r="G418" s="275"/>
      <c r="H418" s="275"/>
      <c r="I418" s="275"/>
      <c r="J418" s="275"/>
      <c r="K418" s="286"/>
      <c r="L418" s="286"/>
      <c r="M418" s="286"/>
      <c r="N418" s="275"/>
      <c r="O418" s="275"/>
      <c r="P418" s="275"/>
      <c r="Q418" s="275"/>
      <c r="R418" s="275"/>
      <c r="S418" s="275"/>
      <c r="T418" s="275"/>
      <c r="U418" s="275"/>
      <c r="V418" s="275"/>
      <c r="W418" s="275"/>
      <c r="X418" s="275"/>
      <c r="Y418" s="275"/>
      <c r="Z418" s="275"/>
      <c r="AA418" s="275"/>
    </row>
    <row r="419" ht="15.75" customHeight="1">
      <c r="A419" s="275"/>
      <c r="B419" s="275"/>
      <c r="C419" s="286"/>
      <c r="D419" s="275"/>
      <c r="E419" s="275"/>
      <c r="F419" s="275"/>
      <c r="G419" s="275"/>
      <c r="H419" s="275"/>
      <c r="I419" s="275"/>
      <c r="J419" s="275"/>
      <c r="K419" s="286"/>
      <c r="L419" s="286"/>
      <c r="M419" s="286"/>
      <c r="N419" s="275"/>
      <c r="O419" s="275"/>
      <c r="P419" s="275"/>
      <c r="Q419" s="275"/>
      <c r="R419" s="275"/>
      <c r="S419" s="275"/>
      <c r="T419" s="275"/>
      <c r="U419" s="275"/>
      <c r="V419" s="275"/>
      <c r="W419" s="275"/>
      <c r="X419" s="275"/>
      <c r="Y419" s="275"/>
      <c r="Z419" s="275"/>
      <c r="AA419" s="275"/>
    </row>
    <row r="420" ht="15.75" customHeight="1">
      <c r="A420" s="275"/>
      <c r="B420" s="275"/>
      <c r="C420" s="286"/>
      <c r="D420" s="275"/>
      <c r="E420" s="275"/>
      <c r="F420" s="275"/>
      <c r="G420" s="275"/>
      <c r="H420" s="275"/>
      <c r="I420" s="275"/>
      <c r="J420" s="275"/>
      <c r="K420" s="286"/>
      <c r="L420" s="286"/>
      <c r="M420" s="286"/>
      <c r="N420" s="275"/>
      <c r="O420" s="275"/>
      <c r="P420" s="275"/>
      <c r="Q420" s="275"/>
      <c r="R420" s="275"/>
      <c r="S420" s="275"/>
      <c r="T420" s="275"/>
      <c r="U420" s="275"/>
      <c r="V420" s="275"/>
      <c r="W420" s="275"/>
      <c r="X420" s="275"/>
      <c r="Y420" s="275"/>
      <c r="Z420" s="275"/>
      <c r="AA420" s="275"/>
    </row>
    <row r="421" ht="15.75" customHeight="1">
      <c r="A421" s="275"/>
      <c r="B421" s="275"/>
      <c r="C421" s="286"/>
      <c r="D421" s="275"/>
      <c r="E421" s="275"/>
      <c r="F421" s="275"/>
      <c r="G421" s="275"/>
      <c r="H421" s="275"/>
      <c r="I421" s="275"/>
      <c r="J421" s="275"/>
      <c r="K421" s="286"/>
      <c r="L421" s="286"/>
      <c r="M421" s="286"/>
      <c r="N421" s="275"/>
      <c r="O421" s="275"/>
      <c r="P421" s="275"/>
      <c r="Q421" s="275"/>
      <c r="R421" s="275"/>
      <c r="S421" s="275"/>
      <c r="T421" s="275"/>
      <c r="U421" s="275"/>
      <c r="V421" s="275"/>
      <c r="W421" s="275"/>
      <c r="X421" s="275"/>
      <c r="Y421" s="275"/>
      <c r="Z421" s="275"/>
      <c r="AA421" s="275"/>
    </row>
    <row r="422" ht="15.75" customHeight="1">
      <c r="A422" s="275"/>
      <c r="B422" s="275"/>
      <c r="C422" s="286"/>
      <c r="D422" s="275"/>
      <c r="E422" s="275"/>
      <c r="F422" s="275"/>
      <c r="G422" s="275"/>
      <c r="H422" s="275"/>
      <c r="I422" s="275"/>
      <c r="J422" s="275"/>
      <c r="K422" s="286"/>
      <c r="L422" s="286"/>
      <c r="M422" s="286"/>
      <c r="N422" s="275"/>
      <c r="O422" s="275"/>
      <c r="P422" s="275"/>
      <c r="Q422" s="275"/>
      <c r="R422" s="275"/>
      <c r="S422" s="275"/>
      <c r="T422" s="275"/>
      <c r="U422" s="275"/>
      <c r="V422" s="275"/>
      <c r="W422" s="275"/>
      <c r="X422" s="275"/>
      <c r="Y422" s="275"/>
      <c r="Z422" s="275"/>
      <c r="AA422" s="275"/>
    </row>
    <row r="423" ht="15.75" customHeight="1">
      <c r="A423" s="275"/>
      <c r="B423" s="275"/>
      <c r="C423" s="286"/>
      <c r="D423" s="275"/>
      <c r="E423" s="275"/>
      <c r="F423" s="275"/>
      <c r="G423" s="275"/>
      <c r="H423" s="275"/>
      <c r="I423" s="275"/>
      <c r="J423" s="275"/>
      <c r="K423" s="286"/>
      <c r="L423" s="286"/>
      <c r="M423" s="286"/>
      <c r="N423" s="275"/>
      <c r="O423" s="275"/>
      <c r="P423" s="275"/>
      <c r="Q423" s="275"/>
      <c r="R423" s="275"/>
      <c r="S423" s="275"/>
      <c r="T423" s="275"/>
      <c r="U423" s="275"/>
      <c r="V423" s="275"/>
      <c r="W423" s="275"/>
      <c r="X423" s="275"/>
      <c r="Y423" s="275"/>
      <c r="Z423" s="275"/>
      <c r="AA423" s="275"/>
    </row>
    <row r="424" ht="15.75" customHeight="1">
      <c r="A424" s="275"/>
      <c r="B424" s="275"/>
      <c r="C424" s="286"/>
      <c r="D424" s="275"/>
      <c r="E424" s="275"/>
      <c r="F424" s="275"/>
      <c r="G424" s="275"/>
      <c r="H424" s="275"/>
      <c r="I424" s="275"/>
      <c r="J424" s="275"/>
      <c r="K424" s="286"/>
      <c r="L424" s="286"/>
      <c r="M424" s="286"/>
      <c r="N424" s="275"/>
      <c r="O424" s="275"/>
      <c r="P424" s="275"/>
      <c r="Q424" s="275"/>
      <c r="R424" s="275"/>
      <c r="S424" s="275"/>
      <c r="T424" s="275"/>
      <c r="U424" s="275"/>
      <c r="V424" s="275"/>
      <c r="W424" s="275"/>
      <c r="X424" s="275"/>
      <c r="Y424" s="275"/>
      <c r="Z424" s="275"/>
      <c r="AA424" s="275"/>
    </row>
    <row r="425" ht="15.75" customHeight="1">
      <c r="A425" s="275"/>
      <c r="B425" s="275"/>
      <c r="C425" s="286"/>
      <c r="D425" s="275"/>
      <c r="E425" s="275"/>
      <c r="F425" s="275"/>
      <c r="G425" s="275"/>
      <c r="H425" s="275"/>
      <c r="I425" s="275"/>
      <c r="J425" s="275"/>
      <c r="K425" s="286"/>
      <c r="L425" s="286"/>
      <c r="M425" s="286"/>
      <c r="N425" s="275"/>
      <c r="O425" s="275"/>
      <c r="P425" s="275"/>
      <c r="Q425" s="275"/>
      <c r="R425" s="275"/>
      <c r="S425" s="275"/>
      <c r="T425" s="275"/>
      <c r="U425" s="275"/>
      <c r="V425" s="275"/>
      <c r="W425" s="275"/>
      <c r="X425" s="275"/>
      <c r="Y425" s="275"/>
      <c r="Z425" s="275"/>
      <c r="AA425" s="275"/>
    </row>
    <row r="426" ht="15.75" customHeight="1">
      <c r="A426" s="275"/>
      <c r="B426" s="275"/>
      <c r="C426" s="286"/>
      <c r="D426" s="275"/>
      <c r="E426" s="275"/>
      <c r="F426" s="275"/>
      <c r="G426" s="275"/>
      <c r="H426" s="275"/>
      <c r="I426" s="275"/>
      <c r="J426" s="275"/>
      <c r="K426" s="286"/>
      <c r="L426" s="286"/>
      <c r="M426" s="286"/>
      <c r="N426" s="275"/>
      <c r="O426" s="275"/>
      <c r="P426" s="275"/>
      <c r="Q426" s="275"/>
      <c r="R426" s="275"/>
      <c r="S426" s="275"/>
      <c r="T426" s="275"/>
      <c r="U426" s="275"/>
      <c r="V426" s="275"/>
      <c r="W426" s="275"/>
      <c r="X426" s="275"/>
      <c r="Y426" s="275"/>
      <c r="Z426" s="275"/>
      <c r="AA426" s="275"/>
    </row>
    <row r="427" ht="15.75" customHeight="1">
      <c r="A427" s="275"/>
      <c r="B427" s="275"/>
      <c r="C427" s="286"/>
      <c r="D427" s="275"/>
      <c r="E427" s="275"/>
      <c r="F427" s="275"/>
      <c r="G427" s="275"/>
      <c r="H427" s="275"/>
      <c r="I427" s="275"/>
      <c r="J427" s="275"/>
      <c r="K427" s="286"/>
      <c r="L427" s="286"/>
      <c r="M427" s="286"/>
      <c r="N427" s="275"/>
      <c r="O427" s="275"/>
      <c r="P427" s="275"/>
      <c r="Q427" s="275"/>
      <c r="R427" s="275"/>
      <c r="S427" s="275"/>
      <c r="T427" s="275"/>
      <c r="U427" s="275"/>
      <c r="V427" s="275"/>
      <c r="W427" s="275"/>
      <c r="X427" s="275"/>
      <c r="Y427" s="275"/>
      <c r="Z427" s="275"/>
      <c r="AA427" s="275"/>
    </row>
    <row r="428" ht="15.75" customHeight="1">
      <c r="A428" s="275"/>
      <c r="B428" s="275"/>
      <c r="C428" s="286"/>
      <c r="D428" s="275"/>
      <c r="E428" s="275"/>
      <c r="F428" s="275"/>
      <c r="G428" s="275"/>
      <c r="H428" s="275"/>
      <c r="I428" s="275"/>
      <c r="J428" s="275"/>
      <c r="K428" s="286"/>
      <c r="L428" s="286"/>
      <c r="M428" s="286"/>
      <c r="N428" s="275"/>
      <c r="O428" s="275"/>
      <c r="P428" s="275"/>
      <c r="Q428" s="275"/>
      <c r="R428" s="275"/>
      <c r="S428" s="275"/>
      <c r="T428" s="275"/>
      <c r="U428" s="275"/>
      <c r="V428" s="275"/>
      <c r="W428" s="275"/>
      <c r="X428" s="275"/>
      <c r="Y428" s="275"/>
      <c r="Z428" s="275"/>
      <c r="AA428" s="275"/>
    </row>
    <row r="429" ht="15.75" customHeight="1">
      <c r="A429" s="275"/>
      <c r="B429" s="275"/>
      <c r="C429" s="286"/>
      <c r="D429" s="275"/>
      <c r="E429" s="275"/>
      <c r="F429" s="275"/>
      <c r="G429" s="275"/>
      <c r="H429" s="275"/>
      <c r="I429" s="275"/>
      <c r="J429" s="275"/>
      <c r="K429" s="286"/>
      <c r="L429" s="286"/>
      <c r="M429" s="286"/>
      <c r="N429" s="275"/>
      <c r="O429" s="275"/>
      <c r="P429" s="275"/>
      <c r="Q429" s="275"/>
      <c r="R429" s="275"/>
      <c r="S429" s="275"/>
      <c r="T429" s="275"/>
      <c r="U429" s="275"/>
      <c r="V429" s="275"/>
      <c r="W429" s="275"/>
      <c r="X429" s="275"/>
      <c r="Y429" s="275"/>
      <c r="Z429" s="275"/>
      <c r="AA429" s="275"/>
    </row>
    <row r="430" ht="15.75" customHeight="1">
      <c r="A430" s="275"/>
      <c r="B430" s="275"/>
      <c r="C430" s="286"/>
      <c r="D430" s="275"/>
      <c r="E430" s="275"/>
      <c r="F430" s="275"/>
      <c r="G430" s="275"/>
      <c r="H430" s="275"/>
      <c r="I430" s="275"/>
      <c r="J430" s="275"/>
      <c r="K430" s="286"/>
      <c r="L430" s="286"/>
      <c r="M430" s="286"/>
      <c r="N430" s="275"/>
      <c r="O430" s="275"/>
      <c r="P430" s="275"/>
      <c r="Q430" s="275"/>
      <c r="R430" s="275"/>
      <c r="S430" s="275"/>
      <c r="T430" s="275"/>
      <c r="U430" s="275"/>
      <c r="V430" s="275"/>
      <c r="W430" s="275"/>
      <c r="X430" s="275"/>
      <c r="Y430" s="275"/>
      <c r="Z430" s="275"/>
      <c r="AA430" s="275"/>
    </row>
    <row r="431" ht="15.75" customHeight="1">
      <c r="A431" s="275"/>
      <c r="B431" s="275"/>
      <c r="C431" s="286"/>
      <c r="D431" s="275"/>
      <c r="E431" s="275"/>
      <c r="F431" s="275"/>
      <c r="G431" s="275"/>
      <c r="H431" s="275"/>
      <c r="I431" s="275"/>
      <c r="J431" s="275"/>
      <c r="K431" s="286"/>
      <c r="L431" s="286"/>
      <c r="M431" s="286"/>
      <c r="N431" s="275"/>
      <c r="O431" s="275"/>
      <c r="P431" s="275"/>
      <c r="Q431" s="275"/>
      <c r="R431" s="275"/>
      <c r="S431" s="275"/>
      <c r="T431" s="275"/>
      <c r="U431" s="275"/>
      <c r="V431" s="275"/>
      <c r="W431" s="275"/>
      <c r="X431" s="275"/>
      <c r="Y431" s="275"/>
      <c r="Z431" s="275"/>
      <c r="AA431" s="275"/>
    </row>
    <row r="432" ht="15.75" customHeight="1">
      <c r="A432" s="275"/>
      <c r="B432" s="275"/>
      <c r="C432" s="286"/>
      <c r="D432" s="275"/>
      <c r="E432" s="275"/>
      <c r="F432" s="275"/>
      <c r="G432" s="275"/>
      <c r="H432" s="275"/>
      <c r="I432" s="275"/>
      <c r="J432" s="275"/>
      <c r="K432" s="286"/>
      <c r="L432" s="286"/>
      <c r="M432" s="286"/>
      <c r="N432" s="275"/>
      <c r="O432" s="275"/>
      <c r="P432" s="275"/>
      <c r="Q432" s="275"/>
      <c r="R432" s="275"/>
      <c r="S432" s="275"/>
      <c r="T432" s="275"/>
      <c r="U432" s="275"/>
      <c r="V432" s="275"/>
      <c r="W432" s="275"/>
      <c r="X432" s="275"/>
      <c r="Y432" s="275"/>
      <c r="Z432" s="275"/>
      <c r="AA432" s="275"/>
    </row>
    <row r="433" ht="15.75" customHeight="1">
      <c r="A433" s="275"/>
      <c r="B433" s="275"/>
      <c r="C433" s="286"/>
      <c r="D433" s="275"/>
      <c r="E433" s="275"/>
      <c r="F433" s="275"/>
      <c r="G433" s="275"/>
      <c r="H433" s="275"/>
      <c r="I433" s="275"/>
      <c r="J433" s="275"/>
      <c r="K433" s="286"/>
      <c r="L433" s="286"/>
      <c r="M433" s="286"/>
      <c r="N433" s="275"/>
      <c r="O433" s="275"/>
      <c r="P433" s="275"/>
      <c r="Q433" s="275"/>
      <c r="R433" s="275"/>
      <c r="S433" s="275"/>
      <c r="T433" s="275"/>
      <c r="U433" s="275"/>
      <c r="V433" s="275"/>
      <c r="W433" s="275"/>
      <c r="X433" s="275"/>
      <c r="Y433" s="275"/>
      <c r="Z433" s="275"/>
      <c r="AA433" s="275"/>
    </row>
    <row r="434" ht="15.75" customHeight="1">
      <c r="A434" s="275"/>
      <c r="B434" s="275"/>
      <c r="C434" s="286"/>
      <c r="D434" s="275"/>
      <c r="E434" s="275"/>
      <c r="F434" s="275"/>
      <c r="G434" s="275"/>
      <c r="H434" s="275"/>
      <c r="I434" s="275"/>
      <c r="J434" s="275"/>
      <c r="K434" s="286"/>
      <c r="L434" s="286"/>
      <c r="M434" s="286"/>
      <c r="N434" s="275"/>
      <c r="O434" s="275"/>
      <c r="P434" s="275"/>
      <c r="Q434" s="275"/>
      <c r="R434" s="275"/>
      <c r="S434" s="275"/>
      <c r="T434" s="275"/>
      <c r="U434" s="275"/>
      <c r="V434" s="275"/>
      <c r="W434" s="275"/>
      <c r="X434" s="275"/>
      <c r="Y434" s="275"/>
      <c r="Z434" s="275"/>
      <c r="AA434" s="275"/>
    </row>
    <row r="435" ht="15.75" customHeight="1">
      <c r="A435" s="275"/>
      <c r="B435" s="275"/>
      <c r="C435" s="286"/>
      <c r="D435" s="275"/>
      <c r="E435" s="275"/>
      <c r="F435" s="275"/>
      <c r="G435" s="275"/>
      <c r="H435" s="275"/>
      <c r="I435" s="275"/>
      <c r="J435" s="275"/>
      <c r="K435" s="286"/>
      <c r="L435" s="286"/>
      <c r="M435" s="286"/>
      <c r="N435" s="275"/>
      <c r="O435" s="275"/>
      <c r="P435" s="275"/>
      <c r="Q435" s="275"/>
      <c r="R435" s="275"/>
      <c r="S435" s="275"/>
      <c r="T435" s="275"/>
      <c r="U435" s="275"/>
      <c r="V435" s="275"/>
      <c r="W435" s="275"/>
      <c r="X435" s="275"/>
      <c r="Y435" s="275"/>
      <c r="Z435" s="275"/>
      <c r="AA435" s="275"/>
    </row>
    <row r="436" ht="15.75" customHeight="1">
      <c r="A436" s="275"/>
      <c r="B436" s="275"/>
      <c r="C436" s="286"/>
      <c r="D436" s="275"/>
      <c r="E436" s="275"/>
      <c r="F436" s="275"/>
      <c r="G436" s="275"/>
      <c r="H436" s="275"/>
      <c r="I436" s="275"/>
      <c r="J436" s="275"/>
      <c r="K436" s="286"/>
      <c r="L436" s="286"/>
      <c r="M436" s="286"/>
      <c r="N436" s="275"/>
      <c r="O436" s="275"/>
      <c r="P436" s="275"/>
      <c r="Q436" s="275"/>
      <c r="R436" s="275"/>
      <c r="S436" s="275"/>
      <c r="T436" s="275"/>
      <c r="U436" s="275"/>
      <c r="V436" s="275"/>
      <c r="W436" s="275"/>
      <c r="X436" s="275"/>
      <c r="Y436" s="275"/>
      <c r="Z436" s="275"/>
      <c r="AA436" s="275"/>
    </row>
    <row r="437" ht="15.75" customHeight="1">
      <c r="A437" s="275"/>
      <c r="B437" s="275"/>
      <c r="C437" s="286"/>
      <c r="D437" s="275"/>
      <c r="E437" s="275"/>
      <c r="F437" s="275"/>
      <c r="G437" s="275"/>
      <c r="H437" s="275"/>
      <c r="I437" s="275"/>
      <c r="J437" s="275"/>
      <c r="K437" s="286"/>
      <c r="L437" s="286"/>
      <c r="M437" s="286"/>
      <c r="N437" s="275"/>
      <c r="O437" s="275"/>
      <c r="P437" s="275"/>
      <c r="Q437" s="275"/>
      <c r="R437" s="275"/>
      <c r="S437" s="275"/>
      <c r="T437" s="275"/>
      <c r="U437" s="275"/>
      <c r="V437" s="275"/>
      <c r="W437" s="275"/>
      <c r="X437" s="275"/>
      <c r="Y437" s="275"/>
      <c r="Z437" s="275"/>
      <c r="AA437" s="275"/>
    </row>
    <row r="438" ht="15.75" customHeight="1">
      <c r="A438" s="275"/>
      <c r="B438" s="275"/>
      <c r="C438" s="286"/>
      <c r="D438" s="275"/>
      <c r="E438" s="275"/>
      <c r="F438" s="275"/>
      <c r="G438" s="275"/>
      <c r="H438" s="275"/>
      <c r="I438" s="275"/>
      <c r="J438" s="275"/>
      <c r="K438" s="286"/>
      <c r="L438" s="286"/>
      <c r="M438" s="286"/>
      <c r="N438" s="275"/>
      <c r="O438" s="275"/>
      <c r="P438" s="275"/>
      <c r="Q438" s="275"/>
      <c r="R438" s="275"/>
      <c r="S438" s="275"/>
      <c r="T438" s="275"/>
      <c r="U438" s="275"/>
      <c r="V438" s="275"/>
      <c r="W438" s="275"/>
      <c r="X438" s="275"/>
      <c r="Y438" s="275"/>
      <c r="Z438" s="275"/>
      <c r="AA438" s="275"/>
    </row>
    <row r="439" ht="15.75" customHeight="1">
      <c r="A439" s="275"/>
      <c r="B439" s="275"/>
      <c r="C439" s="286"/>
      <c r="D439" s="275"/>
      <c r="E439" s="275"/>
      <c r="F439" s="275"/>
      <c r="G439" s="275"/>
      <c r="H439" s="275"/>
      <c r="I439" s="275"/>
      <c r="J439" s="275"/>
      <c r="K439" s="286"/>
      <c r="L439" s="286"/>
      <c r="M439" s="286"/>
      <c r="N439" s="275"/>
      <c r="O439" s="275"/>
      <c r="P439" s="275"/>
      <c r="Q439" s="275"/>
      <c r="R439" s="275"/>
      <c r="S439" s="275"/>
      <c r="T439" s="275"/>
      <c r="U439" s="275"/>
      <c r="V439" s="275"/>
      <c r="W439" s="275"/>
      <c r="X439" s="275"/>
      <c r="Y439" s="275"/>
      <c r="Z439" s="275"/>
      <c r="AA439" s="275"/>
    </row>
    <row r="440" ht="15.75" customHeight="1">
      <c r="A440" s="275"/>
      <c r="B440" s="275"/>
      <c r="C440" s="286"/>
      <c r="D440" s="275"/>
      <c r="E440" s="275"/>
      <c r="F440" s="275"/>
      <c r="G440" s="275"/>
      <c r="H440" s="275"/>
      <c r="I440" s="275"/>
      <c r="J440" s="275"/>
      <c r="K440" s="286"/>
      <c r="L440" s="286"/>
      <c r="M440" s="286"/>
      <c r="N440" s="275"/>
      <c r="O440" s="275"/>
      <c r="P440" s="275"/>
      <c r="Q440" s="275"/>
      <c r="R440" s="275"/>
      <c r="S440" s="275"/>
      <c r="T440" s="275"/>
      <c r="U440" s="275"/>
      <c r="V440" s="275"/>
      <c r="W440" s="275"/>
      <c r="X440" s="275"/>
      <c r="Y440" s="275"/>
      <c r="Z440" s="275"/>
      <c r="AA440" s="275"/>
    </row>
    <row r="441" ht="15.75" customHeight="1">
      <c r="A441" s="275"/>
      <c r="B441" s="275"/>
      <c r="C441" s="286"/>
      <c r="D441" s="275"/>
      <c r="E441" s="275"/>
      <c r="F441" s="275"/>
      <c r="G441" s="275"/>
      <c r="H441" s="275"/>
      <c r="I441" s="275"/>
      <c r="J441" s="275"/>
      <c r="K441" s="286"/>
      <c r="L441" s="286"/>
      <c r="M441" s="286"/>
      <c r="N441" s="275"/>
      <c r="O441" s="275"/>
      <c r="P441" s="275"/>
      <c r="Q441" s="275"/>
      <c r="R441" s="275"/>
      <c r="S441" s="275"/>
      <c r="T441" s="275"/>
      <c r="U441" s="275"/>
      <c r="V441" s="275"/>
      <c r="W441" s="275"/>
      <c r="X441" s="275"/>
      <c r="Y441" s="275"/>
      <c r="Z441" s="275"/>
      <c r="AA441" s="275"/>
    </row>
    <row r="442" ht="15.75" customHeight="1">
      <c r="A442" s="275"/>
      <c r="B442" s="275"/>
      <c r="C442" s="286"/>
      <c r="D442" s="275"/>
      <c r="E442" s="275"/>
      <c r="F442" s="275"/>
      <c r="G442" s="275"/>
      <c r="H442" s="275"/>
      <c r="I442" s="275"/>
      <c r="J442" s="275"/>
      <c r="K442" s="286"/>
      <c r="L442" s="286"/>
      <c r="M442" s="286"/>
      <c r="N442" s="275"/>
      <c r="O442" s="275"/>
      <c r="P442" s="275"/>
      <c r="Q442" s="275"/>
      <c r="R442" s="275"/>
      <c r="S442" s="275"/>
      <c r="T442" s="275"/>
      <c r="U442" s="275"/>
      <c r="V442" s="275"/>
      <c r="W442" s="275"/>
      <c r="X442" s="275"/>
      <c r="Y442" s="275"/>
      <c r="Z442" s="275"/>
      <c r="AA442" s="275"/>
    </row>
    <row r="443" ht="15.75" customHeight="1">
      <c r="A443" s="275"/>
      <c r="B443" s="275"/>
      <c r="C443" s="286"/>
      <c r="D443" s="275"/>
      <c r="E443" s="275"/>
      <c r="F443" s="275"/>
      <c r="G443" s="275"/>
      <c r="H443" s="275"/>
      <c r="I443" s="275"/>
      <c r="J443" s="275"/>
      <c r="K443" s="286"/>
      <c r="L443" s="286"/>
      <c r="M443" s="286"/>
      <c r="N443" s="275"/>
      <c r="O443" s="275"/>
      <c r="P443" s="275"/>
      <c r="Q443" s="275"/>
      <c r="R443" s="275"/>
      <c r="S443" s="275"/>
      <c r="T443" s="275"/>
      <c r="U443" s="275"/>
      <c r="V443" s="275"/>
      <c r="W443" s="275"/>
      <c r="X443" s="275"/>
      <c r="Y443" s="275"/>
      <c r="Z443" s="275"/>
      <c r="AA443" s="275"/>
    </row>
    <row r="444" ht="15.75" customHeight="1">
      <c r="A444" s="275"/>
      <c r="B444" s="275"/>
      <c r="C444" s="286"/>
      <c r="D444" s="275"/>
      <c r="E444" s="275"/>
      <c r="F444" s="275"/>
      <c r="G444" s="275"/>
      <c r="H444" s="275"/>
      <c r="I444" s="275"/>
      <c r="J444" s="275"/>
      <c r="K444" s="286"/>
      <c r="L444" s="286"/>
      <c r="M444" s="286"/>
      <c r="N444" s="275"/>
      <c r="O444" s="275"/>
      <c r="P444" s="275"/>
      <c r="Q444" s="275"/>
      <c r="R444" s="275"/>
      <c r="S444" s="275"/>
      <c r="T444" s="275"/>
      <c r="U444" s="275"/>
      <c r="V444" s="275"/>
      <c r="W444" s="275"/>
      <c r="X444" s="275"/>
      <c r="Y444" s="275"/>
      <c r="Z444" s="275"/>
      <c r="AA444" s="275"/>
    </row>
    <row r="445" ht="15.75" customHeight="1">
      <c r="A445" s="275"/>
      <c r="B445" s="275"/>
      <c r="C445" s="286"/>
      <c r="D445" s="275"/>
      <c r="E445" s="275"/>
      <c r="F445" s="275"/>
      <c r="G445" s="275"/>
      <c r="H445" s="275"/>
      <c r="I445" s="275"/>
      <c r="J445" s="275"/>
      <c r="K445" s="286"/>
      <c r="L445" s="286"/>
      <c r="M445" s="286"/>
      <c r="N445" s="275"/>
      <c r="O445" s="275"/>
      <c r="P445" s="275"/>
      <c r="Q445" s="275"/>
      <c r="R445" s="275"/>
      <c r="S445" s="275"/>
      <c r="T445" s="275"/>
      <c r="U445" s="275"/>
      <c r="V445" s="275"/>
      <c r="W445" s="275"/>
      <c r="X445" s="275"/>
      <c r="Y445" s="275"/>
      <c r="Z445" s="275"/>
      <c r="AA445" s="275"/>
    </row>
    <row r="446" ht="15.75" customHeight="1">
      <c r="A446" s="275"/>
      <c r="B446" s="275"/>
      <c r="C446" s="286"/>
      <c r="D446" s="275"/>
      <c r="E446" s="275"/>
      <c r="F446" s="275"/>
      <c r="G446" s="275"/>
      <c r="H446" s="275"/>
      <c r="I446" s="275"/>
      <c r="J446" s="275"/>
      <c r="K446" s="286"/>
      <c r="L446" s="286"/>
      <c r="M446" s="286"/>
      <c r="N446" s="275"/>
      <c r="O446" s="275"/>
      <c r="P446" s="275"/>
      <c r="Q446" s="275"/>
      <c r="R446" s="275"/>
      <c r="S446" s="275"/>
      <c r="T446" s="275"/>
      <c r="U446" s="275"/>
      <c r="V446" s="275"/>
      <c r="W446" s="275"/>
      <c r="X446" s="275"/>
      <c r="Y446" s="275"/>
      <c r="Z446" s="275"/>
      <c r="AA446" s="275"/>
    </row>
    <row r="447" ht="15.75" customHeight="1">
      <c r="A447" s="275"/>
      <c r="B447" s="275"/>
      <c r="C447" s="286"/>
      <c r="D447" s="275"/>
      <c r="E447" s="275"/>
      <c r="F447" s="275"/>
      <c r="G447" s="275"/>
      <c r="H447" s="275"/>
      <c r="I447" s="275"/>
      <c r="J447" s="275"/>
      <c r="K447" s="286"/>
      <c r="L447" s="286"/>
      <c r="M447" s="286"/>
      <c r="N447" s="275"/>
      <c r="O447" s="275"/>
      <c r="P447" s="275"/>
      <c r="Q447" s="275"/>
      <c r="R447" s="275"/>
      <c r="S447" s="275"/>
      <c r="T447" s="275"/>
      <c r="U447" s="275"/>
      <c r="V447" s="275"/>
      <c r="W447" s="275"/>
      <c r="X447" s="275"/>
      <c r="Y447" s="275"/>
      <c r="Z447" s="275"/>
      <c r="AA447" s="275"/>
    </row>
    <row r="448" ht="15.75" customHeight="1">
      <c r="A448" s="275"/>
      <c r="B448" s="275"/>
      <c r="C448" s="286"/>
      <c r="D448" s="275"/>
      <c r="E448" s="275"/>
      <c r="F448" s="275"/>
      <c r="G448" s="275"/>
      <c r="H448" s="275"/>
      <c r="I448" s="275"/>
      <c r="J448" s="275"/>
      <c r="K448" s="286"/>
      <c r="L448" s="286"/>
      <c r="M448" s="286"/>
      <c r="N448" s="275"/>
      <c r="O448" s="275"/>
      <c r="P448" s="275"/>
      <c r="Q448" s="275"/>
      <c r="R448" s="275"/>
      <c r="S448" s="275"/>
      <c r="T448" s="275"/>
      <c r="U448" s="275"/>
      <c r="V448" s="275"/>
      <c r="W448" s="275"/>
      <c r="X448" s="275"/>
      <c r="Y448" s="275"/>
      <c r="Z448" s="275"/>
      <c r="AA448" s="275"/>
    </row>
    <row r="449" ht="15.75" customHeight="1">
      <c r="A449" s="275"/>
      <c r="B449" s="275"/>
      <c r="C449" s="286"/>
      <c r="D449" s="275"/>
      <c r="E449" s="275"/>
      <c r="F449" s="275"/>
      <c r="G449" s="275"/>
      <c r="H449" s="275"/>
      <c r="I449" s="275"/>
      <c r="J449" s="275"/>
      <c r="K449" s="286"/>
      <c r="L449" s="286"/>
      <c r="M449" s="286"/>
      <c r="N449" s="275"/>
      <c r="O449" s="275"/>
      <c r="P449" s="275"/>
      <c r="Q449" s="275"/>
      <c r="R449" s="275"/>
      <c r="S449" s="275"/>
      <c r="T449" s="275"/>
      <c r="U449" s="275"/>
      <c r="V449" s="275"/>
      <c r="W449" s="275"/>
      <c r="X449" s="275"/>
      <c r="Y449" s="275"/>
      <c r="Z449" s="275"/>
      <c r="AA449" s="275"/>
    </row>
    <row r="450" ht="15.75" customHeight="1">
      <c r="A450" s="275"/>
      <c r="B450" s="275"/>
      <c r="C450" s="286"/>
      <c r="D450" s="275"/>
      <c r="E450" s="275"/>
      <c r="F450" s="275"/>
      <c r="G450" s="275"/>
      <c r="H450" s="275"/>
      <c r="I450" s="275"/>
      <c r="J450" s="275"/>
      <c r="K450" s="286"/>
      <c r="L450" s="286"/>
      <c r="M450" s="286"/>
      <c r="N450" s="275"/>
      <c r="O450" s="275"/>
      <c r="P450" s="275"/>
      <c r="Q450" s="275"/>
      <c r="R450" s="275"/>
      <c r="S450" s="275"/>
      <c r="T450" s="275"/>
      <c r="U450" s="275"/>
      <c r="V450" s="275"/>
      <c r="W450" s="275"/>
      <c r="X450" s="275"/>
      <c r="Y450" s="275"/>
      <c r="Z450" s="275"/>
      <c r="AA450" s="275"/>
    </row>
    <row r="451" ht="15.75" customHeight="1">
      <c r="A451" s="275"/>
      <c r="B451" s="275"/>
      <c r="C451" s="286"/>
      <c r="D451" s="275"/>
      <c r="E451" s="275"/>
      <c r="F451" s="275"/>
      <c r="G451" s="275"/>
      <c r="H451" s="275"/>
      <c r="I451" s="275"/>
      <c r="J451" s="275"/>
      <c r="K451" s="286"/>
      <c r="L451" s="286"/>
      <c r="M451" s="286"/>
      <c r="N451" s="275"/>
      <c r="O451" s="275"/>
      <c r="P451" s="275"/>
      <c r="Q451" s="275"/>
      <c r="R451" s="275"/>
      <c r="S451" s="275"/>
      <c r="T451" s="275"/>
      <c r="U451" s="275"/>
      <c r="V451" s="275"/>
      <c r="W451" s="275"/>
      <c r="X451" s="275"/>
      <c r="Y451" s="275"/>
      <c r="Z451" s="275"/>
      <c r="AA451" s="275"/>
    </row>
    <row r="452" ht="15.75" customHeight="1">
      <c r="A452" s="275"/>
      <c r="B452" s="275"/>
      <c r="C452" s="286"/>
      <c r="D452" s="275"/>
      <c r="E452" s="275"/>
      <c r="F452" s="275"/>
      <c r="G452" s="275"/>
      <c r="H452" s="275"/>
      <c r="I452" s="275"/>
      <c r="J452" s="275"/>
      <c r="K452" s="286"/>
      <c r="L452" s="286"/>
      <c r="M452" s="286"/>
      <c r="N452" s="275"/>
      <c r="O452" s="275"/>
      <c r="P452" s="275"/>
      <c r="Q452" s="275"/>
      <c r="R452" s="275"/>
      <c r="S452" s="275"/>
      <c r="T452" s="275"/>
      <c r="U452" s="275"/>
      <c r="V452" s="275"/>
      <c r="W452" s="275"/>
      <c r="X452" s="275"/>
      <c r="Y452" s="275"/>
      <c r="Z452" s="275"/>
      <c r="AA452" s="275"/>
    </row>
    <row r="453" ht="15.75" customHeight="1">
      <c r="A453" s="275"/>
      <c r="B453" s="275"/>
      <c r="C453" s="286"/>
      <c r="D453" s="275"/>
      <c r="E453" s="275"/>
      <c r="F453" s="275"/>
      <c r="G453" s="275"/>
      <c r="H453" s="275"/>
      <c r="I453" s="275"/>
      <c r="J453" s="275"/>
      <c r="K453" s="286"/>
      <c r="L453" s="286"/>
      <c r="M453" s="286"/>
      <c r="N453" s="275"/>
      <c r="O453" s="275"/>
      <c r="P453" s="275"/>
      <c r="Q453" s="275"/>
      <c r="R453" s="275"/>
      <c r="S453" s="275"/>
      <c r="T453" s="275"/>
      <c r="U453" s="275"/>
      <c r="V453" s="275"/>
      <c r="W453" s="275"/>
      <c r="X453" s="275"/>
      <c r="Y453" s="275"/>
      <c r="Z453" s="275"/>
      <c r="AA453" s="275"/>
    </row>
    <row r="454" ht="15.75" customHeight="1">
      <c r="A454" s="275"/>
      <c r="B454" s="275"/>
      <c r="C454" s="286"/>
      <c r="D454" s="275"/>
      <c r="E454" s="275"/>
      <c r="F454" s="275"/>
      <c r="G454" s="275"/>
      <c r="H454" s="275"/>
      <c r="I454" s="275"/>
      <c r="J454" s="275"/>
      <c r="K454" s="286"/>
      <c r="L454" s="286"/>
      <c r="M454" s="286"/>
      <c r="N454" s="275"/>
      <c r="O454" s="275"/>
      <c r="P454" s="275"/>
      <c r="Q454" s="275"/>
      <c r="R454" s="275"/>
      <c r="S454" s="275"/>
      <c r="T454" s="275"/>
      <c r="U454" s="275"/>
      <c r="V454" s="275"/>
      <c r="W454" s="275"/>
      <c r="X454" s="275"/>
      <c r="Y454" s="275"/>
      <c r="Z454" s="275"/>
      <c r="AA454" s="275"/>
    </row>
    <row r="455" ht="15.75" customHeight="1">
      <c r="A455" s="275"/>
      <c r="B455" s="275"/>
      <c r="C455" s="286"/>
      <c r="D455" s="275"/>
      <c r="E455" s="275"/>
      <c r="F455" s="275"/>
      <c r="G455" s="275"/>
      <c r="H455" s="275"/>
      <c r="I455" s="275"/>
      <c r="J455" s="275"/>
      <c r="K455" s="286"/>
      <c r="L455" s="286"/>
      <c r="M455" s="286"/>
      <c r="N455" s="275"/>
      <c r="O455" s="275"/>
      <c r="P455" s="275"/>
      <c r="Q455" s="275"/>
      <c r="R455" s="275"/>
      <c r="S455" s="275"/>
      <c r="T455" s="275"/>
      <c r="U455" s="275"/>
      <c r="V455" s="275"/>
      <c r="W455" s="275"/>
      <c r="X455" s="275"/>
      <c r="Y455" s="275"/>
      <c r="Z455" s="275"/>
      <c r="AA455" s="275"/>
    </row>
    <row r="456" ht="15.75" customHeight="1">
      <c r="A456" s="275"/>
      <c r="B456" s="275"/>
      <c r="C456" s="286"/>
      <c r="D456" s="275"/>
      <c r="E456" s="275"/>
      <c r="F456" s="275"/>
      <c r="G456" s="275"/>
      <c r="H456" s="275"/>
      <c r="I456" s="275"/>
      <c r="J456" s="275"/>
      <c r="K456" s="286"/>
      <c r="L456" s="286"/>
      <c r="M456" s="286"/>
      <c r="N456" s="275"/>
      <c r="O456" s="275"/>
      <c r="P456" s="275"/>
      <c r="Q456" s="275"/>
      <c r="R456" s="275"/>
      <c r="S456" s="275"/>
      <c r="T456" s="275"/>
      <c r="U456" s="275"/>
      <c r="V456" s="275"/>
      <c r="W456" s="275"/>
      <c r="X456" s="275"/>
      <c r="Y456" s="275"/>
      <c r="Z456" s="275"/>
      <c r="AA456" s="275"/>
    </row>
    <row r="457" ht="15.75" customHeight="1">
      <c r="A457" s="275"/>
      <c r="B457" s="275"/>
      <c r="C457" s="286"/>
      <c r="D457" s="275"/>
      <c r="E457" s="275"/>
      <c r="F457" s="275"/>
      <c r="G457" s="275"/>
      <c r="H457" s="275"/>
      <c r="I457" s="275"/>
      <c r="J457" s="275"/>
      <c r="K457" s="286"/>
      <c r="L457" s="286"/>
      <c r="M457" s="286"/>
      <c r="N457" s="275"/>
      <c r="O457" s="275"/>
      <c r="P457" s="275"/>
      <c r="Q457" s="275"/>
      <c r="R457" s="275"/>
      <c r="S457" s="275"/>
      <c r="T457" s="275"/>
      <c r="U457" s="275"/>
      <c r="V457" s="275"/>
      <c r="W457" s="275"/>
      <c r="X457" s="275"/>
      <c r="Y457" s="275"/>
      <c r="Z457" s="275"/>
      <c r="AA457" s="275"/>
    </row>
    <row r="458" ht="15.75" customHeight="1">
      <c r="A458" s="275"/>
      <c r="B458" s="275"/>
      <c r="C458" s="286"/>
      <c r="D458" s="275"/>
      <c r="E458" s="275"/>
      <c r="F458" s="275"/>
      <c r="G458" s="275"/>
      <c r="H458" s="275"/>
      <c r="I458" s="275"/>
      <c r="J458" s="275"/>
      <c r="K458" s="286"/>
      <c r="L458" s="286"/>
      <c r="M458" s="286"/>
      <c r="N458" s="275"/>
      <c r="O458" s="275"/>
      <c r="P458" s="275"/>
      <c r="Q458" s="275"/>
      <c r="R458" s="275"/>
      <c r="S458" s="275"/>
      <c r="T458" s="275"/>
      <c r="U458" s="275"/>
      <c r="V458" s="275"/>
      <c r="W458" s="275"/>
      <c r="X458" s="275"/>
      <c r="Y458" s="275"/>
      <c r="Z458" s="275"/>
      <c r="AA458" s="275"/>
    </row>
    <row r="459" ht="15.75" customHeight="1">
      <c r="A459" s="275"/>
      <c r="B459" s="275"/>
      <c r="C459" s="286"/>
      <c r="D459" s="275"/>
      <c r="E459" s="275"/>
      <c r="F459" s="275"/>
      <c r="G459" s="275"/>
      <c r="H459" s="275"/>
      <c r="I459" s="275"/>
      <c r="J459" s="275"/>
      <c r="K459" s="286"/>
      <c r="L459" s="286"/>
      <c r="M459" s="286"/>
      <c r="N459" s="275"/>
      <c r="O459" s="275"/>
      <c r="P459" s="275"/>
      <c r="Q459" s="275"/>
      <c r="R459" s="275"/>
      <c r="S459" s="275"/>
      <c r="T459" s="275"/>
      <c r="U459" s="275"/>
      <c r="V459" s="275"/>
      <c r="W459" s="275"/>
      <c r="X459" s="275"/>
      <c r="Y459" s="275"/>
      <c r="Z459" s="275"/>
      <c r="AA459" s="275"/>
    </row>
    <row r="460" ht="15.75" customHeight="1">
      <c r="A460" s="275"/>
      <c r="B460" s="275"/>
      <c r="C460" s="286"/>
      <c r="D460" s="275"/>
      <c r="E460" s="275"/>
      <c r="F460" s="275"/>
      <c r="G460" s="275"/>
      <c r="H460" s="275"/>
      <c r="I460" s="275"/>
      <c r="J460" s="275"/>
      <c r="K460" s="286"/>
      <c r="L460" s="286"/>
      <c r="M460" s="286"/>
      <c r="N460" s="275"/>
      <c r="O460" s="275"/>
      <c r="P460" s="275"/>
      <c r="Q460" s="275"/>
      <c r="R460" s="275"/>
      <c r="S460" s="275"/>
      <c r="T460" s="275"/>
      <c r="U460" s="275"/>
      <c r="V460" s="275"/>
      <c r="W460" s="275"/>
      <c r="X460" s="275"/>
      <c r="Y460" s="275"/>
      <c r="Z460" s="275"/>
      <c r="AA460" s="275"/>
    </row>
    <row r="461" ht="15.75" customHeight="1">
      <c r="A461" s="275"/>
      <c r="B461" s="275"/>
      <c r="C461" s="286"/>
      <c r="D461" s="275"/>
      <c r="E461" s="275"/>
      <c r="F461" s="275"/>
      <c r="G461" s="275"/>
      <c r="H461" s="275"/>
      <c r="I461" s="275"/>
      <c r="J461" s="275"/>
      <c r="K461" s="286"/>
      <c r="L461" s="286"/>
      <c r="M461" s="286"/>
      <c r="N461" s="275"/>
      <c r="O461" s="275"/>
      <c r="P461" s="275"/>
      <c r="Q461" s="275"/>
      <c r="R461" s="275"/>
      <c r="S461" s="275"/>
      <c r="T461" s="275"/>
      <c r="U461" s="275"/>
      <c r="V461" s="275"/>
      <c r="W461" s="275"/>
      <c r="X461" s="275"/>
      <c r="Y461" s="275"/>
      <c r="Z461" s="275"/>
      <c r="AA461" s="275"/>
    </row>
    <row r="462" ht="15.75" customHeight="1">
      <c r="A462" s="275"/>
      <c r="B462" s="275"/>
      <c r="C462" s="286"/>
      <c r="D462" s="275"/>
      <c r="E462" s="275"/>
      <c r="F462" s="275"/>
      <c r="G462" s="275"/>
      <c r="H462" s="275"/>
      <c r="I462" s="275"/>
      <c r="J462" s="275"/>
      <c r="K462" s="286"/>
      <c r="L462" s="286"/>
      <c r="M462" s="286"/>
      <c r="N462" s="275"/>
      <c r="O462" s="275"/>
      <c r="P462" s="275"/>
      <c r="Q462" s="275"/>
      <c r="R462" s="275"/>
      <c r="S462" s="275"/>
      <c r="T462" s="275"/>
      <c r="U462" s="275"/>
      <c r="V462" s="275"/>
      <c r="W462" s="275"/>
      <c r="X462" s="275"/>
      <c r="Y462" s="275"/>
      <c r="Z462" s="275"/>
      <c r="AA462" s="275"/>
    </row>
    <row r="463" ht="15.75" customHeight="1">
      <c r="A463" s="275"/>
      <c r="B463" s="275"/>
      <c r="C463" s="286"/>
      <c r="D463" s="275"/>
      <c r="E463" s="275"/>
      <c r="F463" s="275"/>
      <c r="G463" s="275"/>
      <c r="H463" s="275"/>
      <c r="I463" s="275"/>
      <c r="J463" s="275"/>
      <c r="K463" s="286"/>
      <c r="L463" s="286"/>
      <c r="M463" s="286"/>
      <c r="N463" s="275"/>
      <c r="O463" s="275"/>
      <c r="P463" s="275"/>
      <c r="Q463" s="275"/>
      <c r="R463" s="275"/>
      <c r="S463" s="275"/>
      <c r="T463" s="275"/>
      <c r="U463" s="275"/>
      <c r="V463" s="275"/>
      <c r="W463" s="275"/>
      <c r="X463" s="275"/>
      <c r="Y463" s="275"/>
      <c r="Z463" s="275"/>
      <c r="AA463" s="275"/>
    </row>
    <row r="464" ht="15.75" customHeight="1">
      <c r="A464" s="275"/>
      <c r="B464" s="275"/>
      <c r="C464" s="286"/>
      <c r="D464" s="275"/>
      <c r="E464" s="275"/>
      <c r="F464" s="275"/>
      <c r="G464" s="275"/>
      <c r="H464" s="275"/>
      <c r="I464" s="275"/>
      <c r="J464" s="275"/>
      <c r="K464" s="286"/>
      <c r="L464" s="286"/>
      <c r="M464" s="286"/>
      <c r="N464" s="275"/>
      <c r="O464" s="275"/>
      <c r="P464" s="275"/>
      <c r="Q464" s="275"/>
      <c r="R464" s="275"/>
      <c r="S464" s="275"/>
      <c r="T464" s="275"/>
      <c r="U464" s="275"/>
      <c r="V464" s="275"/>
      <c r="W464" s="275"/>
      <c r="X464" s="275"/>
      <c r="Y464" s="275"/>
      <c r="Z464" s="275"/>
      <c r="AA464" s="275"/>
    </row>
    <row r="465" ht="15.75" customHeight="1">
      <c r="A465" s="275"/>
      <c r="B465" s="275"/>
      <c r="C465" s="286"/>
      <c r="D465" s="275"/>
      <c r="E465" s="275"/>
      <c r="F465" s="275"/>
      <c r="G465" s="275"/>
      <c r="H465" s="275"/>
      <c r="I465" s="275"/>
      <c r="J465" s="275"/>
      <c r="K465" s="286"/>
      <c r="L465" s="286"/>
      <c r="M465" s="286"/>
      <c r="N465" s="275"/>
      <c r="O465" s="275"/>
      <c r="P465" s="275"/>
      <c r="Q465" s="275"/>
      <c r="R465" s="275"/>
      <c r="S465" s="275"/>
      <c r="T465" s="275"/>
      <c r="U465" s="275"/>
      <c r="V465" s="275"/>
      <c r="W465" s="275"/>
      <c r="X465" s="275"/>
      <c r="Y465" s="275"/>
      <c r="Z465" s="275"/>
      <c r="AA465" s="275"/>
    </row>
    <row r="466" ht="15.75" customHeight="1">
      <c r="A466" s="275"/>
      <c r="B466" s="275"/>
      <c r="C466" s="286"/>
      <c r="D466" s="275"/>
      <c r="E466" s="275"/>
      <c r="F466" s="275"/>
      <c r="G466" s="275"/>
      <c r="H466" s="275"/>
      <c r="I466" s="275"/>
      <c r="J466" s="275"/>
      <c r="K466" s="286"/>
      <c r="L466" s="286"/>
      <c r="M466" s="286"/>
      <c r="N466" s="275"/>
      <c r="O466" s="275"/>
      <c r="P466" s="275"/>
      <c r="Q466" s="275"/>
      <c r="R466" s="275"/>
      <c r="S466" s="275"/>
      <c r="T466" s="275"/>
      <c r="U466" s="275"/>
      <c r="V466" s="275"/>
      <c r="W466" s="275"/>
      <c r="X466" s="275"/>
      <c r="Y466" s="275"/>
      <c r="Z466" s="275"/>
      <c r="AA466" s="275"/>
    </row>
    <row r="467" ht="15.75" customHeight="1">
      <c r="A467" s="275"/>
      <c r="B467" s="275"/>
      <c r="C467" s="286"/>
      <c r="D467" s="275"/>
      <c r="E467" s="275"/>
      <c r="F467" s="275"/>
      <c r="G467" s="275"/>
      <c r="H467" s="275"/>
      <c r="I467" s="275"/>
      <c r="J467" s="275"/>
      <c r="K467" s="286"/>
      <c r="L467" s="286"/>
      <c r="M467" s="286"/>
      <c r="N467" s="275"/>
      <c r="O467" s="275"/>
      <c r="P467" s="275"/>
      <c r="Q467" s="275"/>
      <c r="R467" s="275"/>
      <c r="S467" s="275"/>
      <c r="T467" s="275"/>
      <c r="U467" s="275"/>
      <c r="V467" s="275"/>
      <c r="W467" s="275"/>
      <c r="X467" s="275"/>
      <c r="Y467" s="275"/>
      <c r="Z467" s="275"/>
      <c r="AA467" s="275"/>
    </row>
    <row r="468" ht="15.75" customHeight="1">
      <c r="A468" s="275"/>
      <c r="B468" s="275"/>
      <c r="C468" s="286"/>
      <c r="D468" s="275"/>
      <c r="E468" s="275"/>
      <c r="F468" s="275"/>
      <c r="G468" s="275"/>
      <c r="H468" s="275"/>
      <c r="I468" s="275"/>
      <c r="J468" s="275"/>
      <c r="K468" s="286"/>
      <c r="L468" s="286"/>
      <c r="M468" s="286"/>
      <c r="N468" s="275"/>
      <c r="O468" s="275"/>
      <c r="P468" s="275"/>
      <c r="Q468" s="275"/>
      <c r="R468" s="275"/>
      <c r="S468" s="275"/>
      <c r="T468" s="275"/>
      <c r="U468" s="275"/>
      <c r="V468" s="275"/>
      <c r="W468" s="275"/>
      <c r="X468" s="275"/>
      <c r="Y468" s="275"/>
      <c r="Z468" s="275"/>
      <c r="AA468" s="275"/>
    </row>
    <row r="469" ht="15.75" customHeight="1">
      <c r="A469" s="275"/>
      <c r="B469" s="275"/>
      <c r="C469" s="286"/>
      <c r="D469" s="275"/>
      <c r="E469" s="275"/>
      <c r="F469" s="275"/>
      <c r="G469" s="275"/>
      <c r="H469" s="275"/>
      <c r="I469" s="275"/>
      <c r="J469" s="275"/>
      <c r="K469" s="286"/>
      <c r="L469" s="286"/>
      <c r="M469" s="286"/>
      <c r="N469" s="275"/>
      <c r="O469" s="275"/>
      <c r="P469" s="275"/>
      <c r="Q469" s="275"/>
      <c r="R469" s="275"/>
      <c r="S469" s="275"/>
      <c r="T469" s="275"/>
      <c r="U469" s="275"/>
      <c r="V469" s="275"/>
      <c r="W469" s="275"/>
      <c r="X469" s="275"/>
      <c r="Y469" s="275"/>
      <c r="Z469" s="275"/>
      <c r="AA469" s="275"/>
    </row>
    <row r="470" ht="15.75" customHeight="1">
      <c r="A470" s="275"/>
      <c r="B470" s="275"/>
      <c r="C470" s="286"/>
      <c r="D470" s="275"/>
      <c r="E470" s="275"/>
      <c r="F470" s="275"/>
      <c r="G470" s="275"/>
      <c r="H470" s="275"/>
      <c r="I470" s="275"/>
      <c r="J470" s="275"/>
      <c r="K470" s="286"/>
      <c r="L470" s="286"/>
      <c r="M470" s="286"/>
      <c r="N470" s="275"/>
      <c r="O470" s="275"/>
      <c r="P470" s="275"/>
      <c r="Q470" s="275"/>
      <c r="R470" s="275"/>
      <c r="S470" s="275"/>
      <c r="T470" s="275"/>
      <c r="U470" s="275"/>
      <c r="V470" s="275"/>
      <c r="W470" s="275"/>
      <c r="X470" s="275"/>
      <c r="Y470" s="275"/>
      <c r="Z470" s="275"/>
      <c r="AA470" s="275"/>
    </row>
    <row r="471" ht="15.75" customHeight="1">
      <c r="A471" s="275"/>
      <c r="B471" s="275"/>
      <c r="C471" s="286"/>
      <c r="D471" s="275"/>
      <c r="E471" s="275"/>
      <c r="F471" s="275"/>
      <c r="G471" s="275"/>
      <c r="H471" s="275"/>
      <c r="I471" s="275"/>
      <c r="J471" s="275"/>
      <c r="K471" s="286"/>
      <c r="L471" s="286"/>
      <c r="M471" s="286"/>
      <c r="N471" s="275"/>
      <c r="O471" s="275"/>
      <c r="P471" s="275"/>
      <c r="Q471" s="275"/>
      <c r="R471" s="275"/>
      <c r="S471" s="275"/>
      <c r="T471" s="275"/>
      <c r="U471" s="275"/>
      <c r="V471" s="275"/>
      <c r="W471" s="275"/>
      <c r="X471" s="275"/>
      <c r="Y471" s="275"/>
      <c r="Z471" s="275"/>
      <c r="AA471" s="275"/>
    </row>
    <row r="472" ht="15.75" customHeight="1">
      <c r="A472" s="275"/>
      <c r="B472" s="275"/>
      <c r="C472" s="286"/>
      <c r="D472" s="275"/>
      <c r="E472" s="275"/>
      <c r="F472" s="275"/>
      <c r="G472" s="275"/>
      <c r="H472" s="275"/>
      <c r="I472" s="275"/>
      <c r="J472" s="275"/>
      <c r="K472" s="286"/>
      <c r="L472" s="286"/>
      <c r="M472" s="286"/>
      <c r="N472" s="275"/>
      <c r="O472" s="275"/>
      <c r="P472" s="275"/>
      <c r="Q472" s="275"/>
      <c r="R472" s="275"/>
      <c r="S472" s="275"/>
      <c r="T472" s="275"/>
      <c r="U472" s="275"/>
      <c r="V472" s="275"/>
      <c r="W472" s="275"/>
      <c r="X472" s="275"/>
      <c r="Y472" s="275"/>
      <c r="Z472" s="275"/>
      <c r="AA472" s="275"/>
    </row>
    <row r="473" ht="15.75" customHeight="1">
      <c r="A473" s="275"/>
      <c r="B473" s="275"/>
      <c r="C473" s="286"/>
      <c r="D473" s="275"/>
      <c r="E473" s="275"/>
      <c r="F473" s="275"/>
      <c r="G473" s="275"/>
      <c r="H473" s="275"/>
      <c r="I473" s="275"/>
      <c r="J473" s="275"/>
      <c r="K473" s="286"/>
      <c r="L473" s="286"/>
      <c r="M473" s="286"/>
      <c r="N473" s="275"/>
      <c r="O473" s="275"/>
      <c r="P473" s="275"/>
      <c r="Q473" s="275"/>
      <c r="R473" s="275"/>
      <c r="S473" s="275"/>
      <c r="T473" s="275"/>
      <c r="U473" s="275"/>
      <c r="V473" s="275"/>
      <c r="W473" s="275"/>
      <c r="X473" s="275"/>
      <c r="Y473" s="275"/>
      <c r="Z473" s="275"/>
      <c r="AA473" s="275"/>
    </row>
    <row r="474" ht="15.75" customHeight="1">
      <c r="A474" s="275"/>
      <c r="B474" s="275"/>
      <c r="C474" s="286"/>
      <c r="D474" s="275"/>
      <c r="E474" s="275"/>
      <c r="F474" s="275"/>
      <c r="G474" s="275"/>
      <c r="H474" s="275"/>
      <c r="I474" s="275"/>
      <c r="J474" s="275"/>
      <c r="K474" s="286"/>
      <c r="L474" s="286"/>
      <c r="M474" s="286"/>
      <c r="N474" s="275"/>
      <c r="O474" s="275"/>
      <c r="P474" s="275"/>
      <c r="Q474" s="275"/>
      <c r="R474" s="275"/>
      <c r="S474" s="275"/>
      <c r="T474" s="275"/>
      <c r="U474" s="275"/>
      <c r="V474" s="275"/>
      <c r="W474" s="275"/>
      <c r="X474" s="275"/>
      <c r="Y474" s="275"/>
      <c r="Z474" s="275"/>
      <c r="AA474" s="275"/>
    </row>
    <row r="475" ht="15.75" customHeight="1">
      <c r="A475" s="275"/>
      <c r="B475" s="275"/>
      <c r="C475" s="286"/>
      <c r="D475" s="275"/>
      <c r="E475" s="275"/>
      <c r="F475" s="275"/>
      <c r="G475" s="275"/>
      <c r="H475" s="275"/>
      <c r="I475" s="275"/>
      <c r="J475" s="275"/>
      <c r="K475" s="286"/>
      <c r="L475" s="286"/>
      <c r="M475" s="286"/>
      <c r="N475" s="275"/>
      <c r="O475" s="275"/>
      <c r="P475" s="275"/>
      <c r="Q475" s="275"/>
      <c r="R475" s="275"/>
      <c r="S475" s="275"/>
      <c r="T475" s="275"/>
      <c r="U475" s="275"/>
      <c r="V475" s="275"/>
      <c r="W475" s="275"/>
      <c r="X475" s="275"/>
      <c r="Y475" s="275"/>
      <c r="Z475" s="275"/>
      <c r="AA475" s="275"/>
    </row>
    <row r="476" ht="15.75" customHeight="1">
      <c r="A476" s="275"/>
      <c r="B476" s="275"/>
      <c r="C476" s="286"/>
      <c r="D476" s="275"/>
      <c r="E476" s="275"/>
      <c r="F476" s="275"/>
      <c r="G476" s="275"/>
      <c r="H476" s="275"/>
      <c r="I476" s="275"/>
      <c r="J476" s="275"/>
      <c r="K476" s="286"/>
      <c r="L476" s="286"/>
      <c r="M476" s="286"/>
      <c r="N476" s="275"/>
      <c r="O476" s="275"/>
      <c r="P476" s="275"/>
      <c r="Q476" s="275"/>
      <c r="R476" s="275"/>
      <c r="S476" s="275"/>
      <c r="T476" s="275"/>
      <c r="U476" s="275"/>
      <c r="V476" s="275"/>
      <c r="W476" s="275"/>
      <c r="X476" s="275"/>
      <c r="Y476" s="275"/>
      <c r="Z476" s="275"/>
      <c r="AA476" s="275"/>
    </row>
    <row r="477" ht="15.75" customHeight="1">
      <c r="A477" s="275"/>
      <c r="B477" s="275"/>
      <c r="C477" s="286"/>
      <c r="D477" s="275"/>
      <c r="E477" s="275"/>
      <c r="F477" s="275"/>
      <c r="G477" s="275"/>
      <c r="H477" s="275"/>
      <c r="I477" s="275"/>
      <c r="J477" s="275"/>
      <c r="K477" s="286"/>
      <c r="L477" s="286"/>
      <c r="M477" s="286"/>
      <c r="N477" s="275"/>
      <c r="O477" s="275"/>
      <c r="P477" s="275"/>
      <c r="Q477" s="275"/>
      <c r="R477" s="275"/>
      <c r="S477" s="275"/>
      <c r="T477" s="275"/>
      <c r="U477" s="275"/>
      <c r="V477" s="275"/>
      <c r="W477" s="275"/>
      <c r="X477" s="275"/>
      <c r="Y477" s="275"/>
      <c r="Z477" s="275"/>
      <c r="AA477" s="275"/>
    </row>
    <row r="478" ht="15.75" customHeight="1">
      <c r="A478" s="275"/>
      <c r="B478" s="275"/>
      <c r="C478" s="286"/>
      <c r="D478" s="275"/>
      <c r="E478" s="275"/>
      <c r="F478" s="275"/>
      <c r="G478" s="275"/>
      <c r="H478" s="275"/>
      <c r="I478" s="275"/>
      <c r="J478" s="275"/>
      <c r="K478" s="286"/>
      <c r="L478" s="286"/>
      <c r="M478" s="286"/>
      <c r="N478" s="275"/>
      <c r="O478" s="275"/>
      <c r="P478" s="275"/>
      <c r="Q478" s="275"/>
      <c r="R478" s="275"/>
      <c r="S478" s="275"/>
      <c r="T478" s="275"/>
      <c r="U478" s="275"/>
      <c r="V478" s="275"/>
      <c r="W478" s="275"/>
      <c r="X478" s="275"/>
      <c r="Y478" s="275"/>
      <c r="Z478" s="275"/>
      <c r="AA478" s="275"/>
    </row>
    <row r="479" ht="15.75" customHeight="1">
      <c r="A479" s="275"/>
      <c r="B479" s="275"/>
      <c r="C479" s="286"/>
      <c r="D479" s="275"/>
      <c r="E479" s="275"/>
      <c r="F479" s="275"/>
      <c r="G479" s="275"/>
      <c r="H479" s="275"/>
      <c r="I479" s="275"/>
      <c r="J479" s="275"/>
      <c r="K479" s="286"/>
      <c r="L479" s="286"/>
      <c r="M479" s="286"/>
      <c r="N479" s="275"/>
      <c r="O479" s="275"/>
      <c r="P479" s="275"/>
      <c r="Q479" s="275"/>
      <c r="R479" s="275"/>
      <c r="S479" s="275"/>
      <c r="T479" s="275"/>
      <c r="U479" s="275"/>
      <c r="V479" s="275"/>
      <c r="W479" s="275"/>
      <c r="X479" s="275"/>
      <c r="Y479" s="275"/>
      <c r="Z479" s="275"/>
      <c r="AA479" s="275"/>
    </row>
    <row r="480" ht="15.75" customHeight="1">
      <c r="A480" s="275"/>
      <c r="B480" s="275"/>
      <c r="C480" s="286"/>
      <c r="D480" s="275"/>
      <c r="E480" s="275"/>
      <c r="F480" s="275"/>
      <c r="G480" s="275"/>
      <c r="H480" s="275"/>
      <c r="I480" s="275"/>
      <c r="J480" s="275"/>
      <c r="K480" s="286"/>
      <c r="L480" s="286"/>
      <c r="M480" s="286"/>
      <c r="N480" s="275"/>
      <c r="O480" s="275"/>
      <c r="P480" s="275"/>
      <c r="Q480" s="275"/>
      <c r="R480" s="275"/>
      <c r="S480" s="275"/>
      <c r="T480" s="275"/>
      <c r="U480" s="275"/>
      <c r="V480" s="275"/>
      <c r="W480" s="275"/>
      <c r="X480" s="275"/>
      <c r="Y480" s="275"/>
      <c r="Z480" s="275"/>
      <c r="AA480" s="275"/>
    </row>
    <row r="481" ht="15.75" customHeight="1">
      <c r="A481" s="275"/>
      <c r="B481" s="275"/>
      <c r="C481" s="286"/>
      <c r="D481" s="275"/>
      <c r="E481" s="275"/>
      <c r="F481" s="275"/>
      <c r="G481" s="275"/>
      <c r="H481" s="275"/>
      <c r="I481" s="275"/>
      <c r="J481" s="275"/>
      <c r="K481" s="286"/>
      <c r="L481" s="286"/>
      <c r="M481" s="286"/>
      <c r="N481" s="275"/>
      <c r="O481" s="275"/>
      <c r="P481" s="275"/>
      <c r="Q481" s="275"/>
      <c r="R481" s="275"/>
      <c r="S481" s="275"/>
      <c r="T481" s="275"/>
      <c r="U481" s="275"/>
      <c r="V481" s="275"/>
      <c r="W481" s="275"/>
      <c r="X481" s="275"/>
      <c r="Y481" s="275"/>
      <c r="Z481" s="275"/>
      <c r="AA481" s="275"/>
    </row>
    <row r="482" ht="15.75" customHeight="1">
      <c r="A482" s="275"/>
      <c r="B482" s="275"/>
      <c r="C482" s="286"/>
      <c r="D482" s="275"/>
      <c r="E482" s="275"/>
      <c r="F482" s="275"/>
      <c r="G482" s="275"/>
      <c r="H482" s="275"/>
      <c r="I482" s="275"/>
      <c r="J482" s="275"/>
      <c r="K482" s="286"/>
      <c r="L482" s="286"/>
      <c r="M482" s="286"/>
      <c r="N482" s="275"/>
      <c r="O482" s="275"/>
      <c r="P482" s="275"/>
      <c r="Q482" s="275"/>
      <c r="R482" s="275"/>
      <c r="S482" s="275"/>
      <c r="T482" s="275"/>
      <c r="U482" s="275"/>
      <c r="V482" s="275"/>
      <c r="W482" s="275"/>
      <c r="X482" s="275"/>
      <c r="Y482" s="275"/>
      <c r="Z482" s="275"/>
      <c r="AA482" s="275"/>
    </row>
    <row r="483" ht="15.75" customHeight="1">
      <c r="A483" s="275"/>
      <c r="B483" s="275"/>
      <c r="C483" s="286"/>
      <c r="D483" s="275"/>
      <c r="E483" s="275"/>
      <c r="F483" s="275"/>
      <c r="G483" s="275"/>
      <c r="H483" s="275"/>
      <c r="I483" s="275"/>
      <c r="J483" s="275"/>
      <c r="K483" s="286"/>
      <c r="L483" s="286"/>
      <c r="M483" s="286"/>
      <c r="N483" s="275"/>
      <c r="O483" s="275"/>
      <c r="P483" s="275"/>
      <c r="Q483" s="275"/>
      <c r="R483" s="275"/>
      <c r="S483" s="275"/>
      <c r="T483" s="275"/>
      <c r="U483" s="275"/>
      <c r="V483" s="275"/>
      <c r="W483" s="275"/>
      <c r="X483" s="275"/>
      <c r="Y483" s="275"/>
      <c r="Z483" s="275"/>
      <c r="AA483" s="275"/>
    </row>
    <row r="484" ht="15.75" customHeight="1">
      <c r="A484" s="275"/>
      <c r="B484" s="275"/>
      <c r="C484" s="286"/>
      <c r="D484" s="275"/>
      <c r="E484" s="275"/>
      <c r="F484" s="275"/>
      <c r="G484" s="275"/>
      <c r="H484" s="275"/>
      <c r="I484" s="275"/>
      <c r="J484" s="275"/>
      <c r="K484" s="286"/>
      <c r="L484" s="286"/>
      <c r="M484" s="286"/>
      <c r="N484" s="275"/>
      <c r="O484" s="275"/>
      <c r="P484" s="275"/>
      <c r="Q484" s="275"/>
      <c r="R484" s="275"/>
      <c r="S484" s="275"/>
      <c r="T484" s="275"/>
      <c r="U484" s="275"/>
      <c r="V484" s="275"/>
      <c r="W484" s="275"/>
      <c r="X484" s="275"/>
      <c r="Y484" s="275"/>
      <c r="Z484" s="275"/>
      <c r="AA484" s="275"/>
    </row>
    <row r="485" ht="15.75" customHeight="1">
      <c r="A485" s="275"/>
      <c r="B485" s="275"/>
      <c r="C485" s="286"/>
      <c r="D485" s="275"/>
      <c r="E485" s="275"/>
      <c r="F485" s="275"/>
      <c r="G485" s="275"/>
      <c r="H485" s="275"/>
      <c r="I485" s="275"/>
      <c r="J485" s="275"/>
      <c r="K485" s="286"/>
      <c r="L485" s="286"/>
      <c r="M485" s="286"/>
      <c r="N485" s="275"/>
      <c r="O485" s="275"/>
      <c r="P485" s="275"/>
      <c r="Q485" s="275"/>
      <c r="R485" s="275"/>
      <c r="S485" s="275"/>
      <c r="T485" s="275"/>
      <c r="U485" s="275"/>
      <c r="V485" s="275"/>
      <c r="W485" s="275"/>
      <c r="X485" s="275"/>
      <c r="Y485" s="275"/>
      <c r="Z485" s="275"/>
      <c r="AA485" s="275"/>
    </row>
    <row r="486" ht="15.75" customHeight="1">
      <c r="A486" s="275"/>
      <c r="B486" s="275"/>
      <c r="C486" s="286"/>
      <c r="D486" s="275"/>
      <c r="E486" s="275"/>
      <c r="F486" s="275"/>
      <c r="G486" s="275"/>
      <c r="H486" s="275"/>
      <c r="I486" s="275"/>
      <c r="J486" s="275"/>
      <c r="K486" s="286"/>
      <c r="L486" s="286"/>
      <c r="M486" s="286"/>
      <c r="N486" s="275"/>
      <c r="O486" s="275"/>
      <c r="P486" s="275"/>
      <c r="Q486" s="275"/>
      <c r="R486" s="275"/>
      <c r="S486" s="275"/>
      <c r="T486" s="275"/>
      <c r="U486" s="275"/>
      <c r="V486" s="275"/>
      <c r="W486" s="275"/>
      <c r="X486" s="275"/>
      <c r="Y486" s="275"/>
      <c r="Z486" s="275"/>
      <c r="AA486" s="275"/>
    </row>
    <row r="487" ht="15.75" customHeight="1">
      <c r="A487" s="275"/>
      <c r="B487" s="275"/>
      <c r="C487" s="286"/>
      <c r="D487" s="275"/>
      <c r="E487" s="275"/>
      <c r="F487" s="275"/>
      <c r="G487" s="275"/>
      <c r="H487" s="275"/>
      <c r="I487" s="275"/>
      <c r="J487" s="275"/>
      <c r="K487" s="286"/>
      <c r="L487" s="286"/>
      <c r="M487" s="286"/>
      <c r="N487" s="275"/>
      <c r="O487" s="275"/>
      <c r="P487" s="275"/>
      <c r="Q487" s="275"/>
      <c r="R487" s="275"/>
      <c r="S487" s="275"/>
      <c r="T487" s="275"/>
      <c r="U487" s="275"/>
      <c r="V487" s="275"/>
      <c r="W487" s="275"/>
      <c r="X487" s="275"/>
      <c r="Y487" s="275"/>
      <c r="Z487" s="275"/>
      <c r="AA487" s="275"/>
    </row>
    <row r="488" ht="15.75" customHeight="1">
      <c r="A488" s="275"/>
      <c r="B488" s="275"/>
      <c r="C488" s="286"/>
      <c r="D488" s="275"/>
      <c r="E488" s="275"/>
      <c r="F488" s="275"/>
      <c r="G488" s="275"/>
      <c r="H488" s="275"/>
      <c r="I488" s="275"/>
      <c r="J488" s="275"/>
      <c r="K488" s="286"/>
      <c r="L488" s="286"/>
      <c r="M488" s="286"/>
      <c r="N488" s="275"/>
      <c r="O488" s="275"/>
      <c r="P488" s="275"/>
      <c r="Q488" s="275"/>
      <c r="R488" s="275"/>
      <c r="S488" s="275"/>
      <c r="T488" s="275"/>
      <c r="U488" s="275"/>
      <c r="V488" s="275"/>
      <c r="W488" s="275"/>
      <c r="X488" s="275"/>
      <c r="Y488" s="275"/>
      <c r="Z488" s="275"/>
      <c r="AA488" s="275"/>
    </row>
    <row r="489" ht="15.75" customHeight="1">
      <c r="A489" s="275"/>
      <c r="B489" s="275"/>
      <c r="C489" s="286"/>
      <c r="D489" s="275"/>
      <c r="E489" s="275"/>
      <c r="F489" s="275"/>
      <c r="G489" s="275"/>
      <c r="H489" s="275"/>
      <c r="I489" s="275"/>
      <c r="J489" s="275"/>
      <c r="K489" s="286"/>
      <c r="L489" s="286"/>
      <c r="M489" s="286"/>
      <c r="N489" s="275"/>
      <c r="O489" s="275"/>
      <c r="P489" s="275"/>
      <c r="Q489" s="275"/>
      <c r="R489" s="275"/>
      <c r="S489" s="275"/>
      <c r="T489" s="275"/>
      <c r="U489" s="275"/>
      <c r="V489" s="275"/>
      <c r="W489" s="275"/>
      <c r="X489" s="275"/>
      <c r="Y489" s="275"/>
      <c r="Z489" s="275"/>
      <c r="AA489" s="275"/>
    </row>
    <row r="490" ht="15.75" customHeight="1">
      <c r="A490" s="275"/>
      <c r="B490" s="275"/>
      <c r="C490" s="286"/>
      <c r="D490" s="275"/>
      <c r="E490" s="275"/>
      <c r="F490" s="275"/>
      <c r="G490" s="275"/>
      <c r="H490" s="275"/>
      <c r="I490" s="275"/>
      <c r="J490" s="275"/>
      <c r="K490" s="286"/>
      <c r="L490" s="286"/>
      <c r="M490" s="286"/>
      <c r="N490" s="275"/>
      <c r="O490" s="275"/>
      <c r="P490" s="275"/>
      <c r="Q490" s="275"/>
      <c r="R490" s="275"/>
      <c r="S490" s="275"/>
      <c r="T490" s="275"/>
      <c r="U490" s="275"/>
      <c r="V490" s="275"/>
      <c r="W490" s="275"/>
      <c r="X490" s="275"/>
      <c r="Y490" s="275"/>
      <c r="Z490" s="275"/>
      <c r="AA490" s="275"/>
    </row>
    <row r="491" ht="15.75" customHeight="1">
      <c r="A491" s="275"/>
      <c r="B491" s="275"/>
      <c r="C491" s="286"/>
      <c r="D491" s="275"/>
      <c r="E491" s="275"/>
      <c r="F491" s="275"/>
      <c r="G491" s="275"/>
      <c r="H491" s="275"/>
      <c r="I491" s="275"/>
      <c r="J491" s="275"/>
      <c r="K491" s="286"/>
      <c r="L491" s="286"/>
      <c r="M491" s="286"/>
      <c r="N491" s="275"/>
      <c r="O491" s="275"/>
      <c r="P491" s="275"/>
      <c r="Q491" s="275"/>
      <c r="R491" s="275"/>
      <c r="S491" s="275"/>
      <c r="T491" s="275"/>
      <c r="U491" s="275"/>
      <c r="V491" s="275"/>
      <c r="W491" s="275"/>
      <c r="X491" s="275"/>
      <c r="Y491" s="275"/>
      <c r="Z491" s="275"/>
      <c r="AA491" s="275"/>
    </row>
    <row r="492" ht="15.75" customHeight="1">
      <c r="A492" s="275"/>
      <c r="B492" s="275"/>
      <c r="C492" s="286"/>
      <c r="D492" s="275"/>
      <c r="E492" s="275"/>
      <c r="F492" s="275"/>
      <c r="G492" s="275"/>
      <c r="H492" s="275"/>
      <c r="I492" s="275"/>
      <c r="J492" s="275"/>
      <c r="K492" s="286"/>
      <c r="L492" s="286"/>
      <c r="M492" s="286"/>
      <c r="N492" s="275"/>
      <c r="O492" s="275"/>
      <c r="P492" s="275"/>
      <c r="Q492" s="275"/>
      <c r="R492" s="275"/>
      <c r="S492" s="275"/>
      <c r="T492" s="275"/>
      <c r="U492" s="275"/>
      <c r="V492" s="275"/>
      <c r="W492" s="275"/>
      <c r="X492" s="275"/>
      <c r="Y492" s="275"/>
      <c r="Z492" s="275"/>
      <c r="AA492" s="275"/>
    </row>
    <row r="493" ht="15.75" customHeight="1">
      <c r="A493" s="275"/>
      <c r="B493" s="275"/>
      <c r="C493" s="286"/>
      <c r="D493" s="275"/>
      <c r="E493" s="275"/>
      <c r="F493" s="275"/>
      <c r="G493" s="275"/>
      <c r="H493" s="275"/>
      <c r="I493" s="275"/>
      <c r="J493" s="275"/>
      <c r="K493" s="286"/>
      <c r="L493" s="286"/>
      <c r="M493" s="286"/>
      <c r="N493" s="275"/>
      <c r="O493" s="275"/>
      <c r="P493" s="275"/>
      <c r="Q493" s="275"/>
      <c r="R493" s="275"/>
      <c r="S493" s="275"/>
      <c r="T493" s="275"/>
      <c r="U493" s="275"/>
      <c r="V493" s="275"/>
      <c r="W493" s="275"/>
      <c r="X493" s="275"/>
      <c r="Y493" s="275"/>
      <c r="Z493" s="275"/>
      <c r="AA493" s="275"/>
    </row>
    <row r="494" ht="15.75" customHeight="1">
      <c r="A494" s="275"/>
      <c r="B494" s="275"/>
      <c r="C494" s="286"/>
      <c r="D494" s="275"/>
      <c r="E494" s="275"/>
      <c r="F494" s="275"/>
      <c r="G494" s="275"/>
      <c r="H494" s="275"/>
      <c r="I494" s="275"/>
      <c r="J494" s="275"/>
      <c r="K494" s="286"/>
      <c r="L494" s="286"/>
      <c r="M494" s="286"/>
      <c r="N494" s="275"/>
      <c r="O494" s="275"/>
      <c r="P494" s="275"/>
      <c r="Q494" s="275"/>
      <c r="R494" s="275"/>
      <c r="S494" s="275"/>
      <c r="T494" s="275"/>
      <c r="U494" s="275"/>
      <c r="V494" s="275"/>
      <c r="W494" s="275"/>
      <c r="X494" s="275"/>
      <c r="Y494" s="275"/>
      <c r="Z494" s="275"/>
      <c r="AA494" s="275"/>
    </row>
    <row r="495" ht="15.75" customHeight="1">
      <c r="A495" s="275"/>
      <c r="B495" s="275"/>
      <c r="C495" s="286"/>
      <c r="D495" s="275"/>
      <c r="E495" s="275"/>
      <c r="F495" s="275"/>
      <c r="G495" s="275"/>
      <c r="H495" s="275"/>
      <c r="I495" s="275"/>
      <c r="J495" s="275"/>
      <c r="K495" s="286"/>
      <c r="L495" s="286"/>
      <c r="M495" s="286"/>
      <c r="N495" s="275"/>
      <c r="O495" s="275"/>
      <c r="P495" s="275"/>
      <c r="Q495" s="275"/>
      <c r="R495" s="275"/>
      <c r="S495" s="275"/>
      <c r="T495" s="275"/>
      <c r="U495" s="275"/>
      <c r="V495" s="275"/>
      <c r="W495" s="275"/>
      <c r="X495" s="275"/>
      <c r="Y495" s="275"/>
      <c r="Z495" s="275"/>
      <c r="AA495" s="275"/>
    </row>
    <row r="496" ht="15.75" customHeight="1">
      <c r="A496" s="275"/>
      <c r="B496" s="275"/>
      <c r="C496" s="286"/>
      <c r="D496" s="275"/>
      <c r="E496" s="275"/>
      <c r="F496" s="275"/>
      <c r="G496" s="275"/>
      <c r="H496" s="275"/>
      <c r="I496" s="275"/>
      <c r="J496" s="275"/>
      <c r="K496" s="286"/>
      <c r="L496" s="286"/>
      <c r="M496" s="286"/>
      <c r="N496" s="275"/>
      <c r="O496" s="275"/>
      <c r="P496" s="275"/>
      <c r="Q496" s="275"/>
      <c r="R496" s="275"/>
      <c r="S496" s="275"/>
      <c r="T496" s="275"/>
      <c r="U496" s="275"/>
      <c r="V496" s="275"/>
      <c r="W496" s="275"/>
      <c r="X496" s="275"/>
      <c r="Y496" s="275"/>
      <c r="Z496" s="275"/>
      <c r="AA496" s="275"/>
    </row>
    <row r="497" ht="15.75" customHeight="1">
      <c r="A497" s="275"/>
      <c r="B497" s="275"/>
      <c r="C497" s="286"/>
      <c r="D497" s="275"/>
      <c r="E497" s="275"/>
      <c r="F497" s="275"/>
      <c r="G497" s="275"/>
      <c r="H497" s="275"/>
      <c r="I497" s="275"/>
      <c r="J497" s="275"/>
      <c r="K497" s="286"/>
      <c r="L497" s="286"/>
      <c r="M497" s="286"/>
      <c r="N497" s="275"/>
      <c r="O497" s="275"/>
      <c r="P497" s="275"/>
      <c r="Q497" s="275"/>
      <c r="R497" s="275"/>
      <c r="S497" s="275"/>
      <c r="T497" s="275"/>
      <c r="U497" s="275"/>
      <c r="V497" s="275"/>
      <c r="W497" s="275"/>
      <c r="X497" s="275"/>
      <c r="Y497" s="275"/>
      <c r="Z497" s="275"/>
      <c r="AA497" s="275"/>
    </row>
    <row r="498" ht="15.75" customHeight="1">
      <c r="A498" s="275"/>
      <c r="B498" s="275"/>
      <c r="C498" s="286"/>
      <c r="D498" s="275"/>
      <c r="E498" s="275"/>
      <c r="F498" s="275"/>
      <c r="G498" s="275"/>
      <c r="H498" s="275"/>
      <c r="I498" s="275"/>
      <c r="J498" s="275"/>
      <c r="K498" s="286"/>
      <c r="L498" s="286"/>
      <c r="M498" s="286"/>
      <c r="N498" s="275"/>
      <c r="O498" s="275"/>
      <c r="P498" s="275"/>
      <c r="Q498" s="275"/>
      <c r="R498" s="275"/>
      <c r="S498" s="275"/>
      <c r="T498" s="275"/>
      <c r="U498" s="275"/>
      <c r="V498" s="275"/>
      <c r="W498" s="275"/>
      <c r="X498" s="275"/>
      <c r="Y498" s="275"/>
      <c r="Z498" s="275"/>
      <c r="AA498" s="275"/>
    </row>
    <row r="499" ht="15.75" customHeight="1">
      <c r="A499" s="275"/>
      <c r="B499" s="275"/>
      <c r="C499" s="286"/>
      <c r="D499" s="275"/>
      <c r="E499" s="275"/>
      <c r="F499" s="275"/>
      <c r="G499" s="275"/>
      <c r="H499" s="275"/>
      <c r="I499" s="275"/>
      <c r="J499" s="275"/>
      <c r="K499" s="286"/>
      <c r="L499" s="286"/>
      <c r="M499" s="286"/>
      <c r="N499" s="275"/>
      <c r="O499" s="275"/>
      <c r="P499" s="275"/>
      <c r="Q499" s="275"/>
      <c r="R499" s="275"/>
      <c r="S499" s="275"/>
      <c r="T499" s="275"/>
      <c r="U499" s="275"/>
      <c r="V499" s="275"/>
      <c r="W499" s="275"/>
      <c r="X499" s="275"/>
      <c r="Y499" s="275"/>
      <c r="Z499" s="275"/>
      <c r="AA499" s="275"/>
    </row>
    <row r="500" ht="15.75" customHeight="1">
      <c r="A500" s="275"/>
      <c r="B500" s="275"/>
      <c r="C500" s="286"/>
      <c r="D500" s="275"/>
      <c r="E500" s="275"/>
      <c r="F500" s="275"/>
      <c r="G500" s="275"/>
      <c r="H500" s="275"/>
      <c r="I500" s="275"/>
      <c r="J500" s="275"/>
      <c r="K500" s="286"/>
      <c r="L500" s="286"/>
      <c r="M500" s="286"/>
      <c r="N500" s="275"/>
      <c r="O500" s="275"/>
      <c r="P500" s="275"/>
      <c r="Q500" s="275"/>
      <c r="R500" s="275"/>
      <c r="S500" s="275"/>
      <c r="T500" s="275"/>
      <c r="U500" s="275"/>
      <c r="V500" s="275"/>
      <c r="W500" s="275"/>
      <c r="X500" s="275"/>
      <c r="Y500" s="275"/>
      <c r="Z500" s="275"/>
      <c r="AA500" s="275"/>
    </row>
    <row r="501" ht="15.75" customHeight="1">
      <c r="A501" s="275"/>
      <c r="B501" s="275"/>
      <c r="C501" s="286"/>
      <c r="D501" s="275"/>
      <c r="E501" s="275"/>
      <c r="F501" s="275"/>
      <c r="G501" s="275"/>
      <c r="H501" s="275"/>
      <c r="I501" s="275"/>
      <c r="J501" s="275"/>
      <c r="K501" s="286"/>
      <c r="L501" s="286"/>
      <c r="M501" s="286"/>
      <c r="N501" s="275"/>
      <c r="O501" s="275"/>
      <c r="P501" s="275"/>
      <c r="Q501" s="275"/>
      <c r="R501" s="275"/>
      <c r="S501" s="275"/>
      <c r="T501" s="275"/>
      <c r="U501" s="275"/>
      <c r="V501" s="275"/>
      <c r="W501" s="275"/>
      <c r="X501" s="275"/>
      <c r="Y501" s="275"/>
      <c r="Z501" s="275"/>
      <c r="AA501" s="275"/>
    </row>
    <row r="502" ht="15.75" customHeight="1">
      <c r="A502" s="275"/>
      <c r="B502" s="275"/>
      <c r="C502" s="286"/>
      <c r="D502" s="275"/>
      <c r="E502" s="275"/>
      <c r="F502" s="275"/>
      <c r="G502" s="275"/>
      <c r="H502" s="275"/>
      <c r="I502" s="275"/>
      <c r="J502" s="275"/>
      <c r="K502" s="286"/>
      <c r="L502" s="286"/>
      <c r="M502" s="286"/>
      <c r="N502" s="275"/>
      <c r="O502" s="275"/>
      <c r="P502" s="275"/>
      <c r="Q502" s="275"/>
      <c r="R502" s="275"/>
      <c r="S502" s="275"/>
      <c r="T502" s="275"/>
      <c r="U502" s="275"/>
      <c r="V502" s="275"/>
      <c r="W502" s="275"/>
      <c r="X502" s="275"/>
      <c r="Y502" s="275"/>
      <c r="Z502" s="275"/>
      <c r="AA502" s="275"/>
    </row>
    <row r="503" ht="15.75" customHeight="1">
      <c r="A503" s="275"/>
      <c r="B503" s="275"/>
      <c r="C503" s="286"/>
      <c r="D503" s="275"/>
      <c r="E503" s="275"/>
      <c r="F503" s="275"/>
      <c r="G503" s="275"/>
      <c r="H503" s="275"/>
      <c r="I503" s="275"/>
      <c r="J503" s="275"/>
      <c r="K503" s="286"/>
      <c r="L503" s="286"/>
      <c r="M503" s="286"/>
      <c r="N503" s="275"/>
      <c r="O503" s="275"/>
      <c r="P503" s="275"/>
      <c r="Q503" s="275"/>
      <c r="R503" s="275"/>
      <c r="S503" s="275"/>
      <c r="T503" s="275"/>
      <c r="U503" s="275"/>
      <c r="V503" s="275"/>
      <c r="W503" s="275"/>
      <c r="X503" s="275"/>
      <c r="Y503" s="275"/>
      <c r="Z503" s="275"/>
      <c r="AA503" s="275"/>
    </row>
    <row r="504" ht="15.75" customHeight="1">
      <c r="A504" s="275"/>
      <c r="B504" s="275"/>
      <c r="C504" s="286"/>
      <c r="D504" s="275"/>
      <c r="E504" s="275"/>
      <c r="F504" s="275"/>
      <c r="G504" s="275"/>
      <c r="H504" s="275"/>
      <c r="I504" s="275"/>
      <c r="J504" s="275"/>
      <c r="K504" s="286"/>
      <c r="L504" s="286"/>
      <c r="M504" s="286"/>
      <c r="N504" s="275"/>
      <c r="O504" s="275"/>
      <c r="P504" s="275"/>
      <c r="Q504" s="275"/>
      <c r="R504" s="275"/>
      <c r="S504" s="275"/>
      <c r="T504" s="275"/>
      <c r="U504" s="275"/>
      <c r="V504" s="275"/>
      <c r="W504" s="275"/>
      <c r="X504" s="275"/>
      <c r="Y504" s="275"/>
      <c r="Z504" s="275"/>
      <c r="AA504" s="275"/>
    </row>
    <row r="505" ht="15.75" customHeight="1">
      <c r="A505" s="275"/>
      <c r="B505" s="275"/>
      <c r="C505" s="286"/>
      <c r="D505" s="275"/>
      <c r="E505" s="275"/>
      <c r="F505" s="275"/>
      <c r="G505" s="275"/>
      <c r="H505" s="275"/>
      <c r="I505" s="275"/>
      <c r="J505" s="275"/>
      <c r="K505" s="286"/>
      <c r="L505" s="286"/>
      <c r="M505" s="286"/>
      <c r="N505" s="275"/>
      <c r="O505" s="275"/>
      <c r="P505" s="275"/>
      <c r="Q505" s="275"/>
      <c r="R505" s="275"/>
      <c r="S505" s="275"/>
      <c r="T505" s="275"/>
      <c r="U505" s="275"/>
      <c r="V505" s="275"/>
      <c r="W505" s="275"/>
      <c r="X505" s="275"/>
      <c r="Y505" s="275"/>
      <c r="Z505" s="275"/>
      <c r="AA505" s="275"/>
    </row>
    <row r="506" ht="15.75" customHeight="1">
      <c r="A506" s="275"/>
      <c r="B506" s="275"/>
      <c r="C506" s="286"/>
      <c r="D506" s="275"/>
      <c r="E506" s="275"/>
      <c r="F506" s="275"/>
      <c r="G506" s="275"/>
      <c r="H506" s="275"/>
      <c r="I506" s="275"/>
      <c r="J506" s="275"/>
      <c r="K506" s="286"/>
      <c r="L506" s="286"/>
      <c r="M506" s="286"/>
      <c r="N506" s="275"/>
      <c r="O506" s="275"/>
      <c r="P506" s="275"/>
      <c r="Q506" s="275"/>
      <c r="R506" s="275"/>
      <c r="S506" s="275"/>
      <c r="T506" s="275"/>
      <c r="U506" s="275"/>
      <c r="V506" s="275"/>
      <c r="W506" s="275"/>
      <c r="X506" s="275"/>
      <c r="Y506" s="275"/>
      <c r="Z506" s="275"/>
      <c r="AA506" s="275"/>
    </row>
    <row r="507" ht="15.75" customHeight="1">
      <c r="A507" s="275"/>
      <c r="B507" s="275"/>
      <c r="C507" s="286"/>
      <c r="D507" s="275"/>
      <c r="E507" s="275"/>
      <c r="F507" s="275"/>
      <c r="G507" s="275"/>
      <c r="H507" s="275"/>
      <c r="I507" s="275"/>
      <c r="J507" s="275"/>
      <c r="K507" s="286"/>
      <c r="L507" s="286"/>
      <c r="M507" s="286"/>
      <c r="N507" s="275"/>
      <c r="O507" s="275"/>
      <c r="P507" s="275"/>
      <c r="Q507" s="275"/>
      <c r="R507" s="275"/>
      <c r="S507" s="275"/>
      <c r="T507" s="275"/>
      <c r="U507" s="275"/>
      <c r="V507" s="275"/>
      <c r="W507" s="275"/>
      <c r="X507" s="275"/>
      <c r="Y507" s="275"/>
      <c r="Z507" s="275"/>
      <c r="AA507" s="275"/>
    </row>
    <row r="508" ht="15.75" customHeight="1">
      <c r="A508" s="275"/>
      <c r="B508" s="275"/>
      <c r="C508" s="286"/>
      <c r="D508" s="275"/>
      <c r="E508" s="275"/>
      <c r="F508" s="275"/>
      <c r="G508" s="275"/>
      <c r="H508" s="275"/>
      <c r="I508" s="275"/>
      <c r="J508" s="275"/>
      <c r="K508" s="286"/>
      <c r="L508" s="286"/>
      <c r="M508" s="286"/>
      <c r="N508" s="275"/>
      <c r="O508" s="275"/>
      <c r="P508" s="275"/>
      <c r="Q508" s="275"/>
      <c r="R508" s="275"/>
      <c r="S508" s="275"/>
      <c r="T508" s="275"/>
      <c r="U508" s="275"/>
      <c r="V508" s="275"/>
      <c r="W508" s="275"/>
      <c r="X508" s="275"/>
      <c r="Y508" s="275"/>
      <c r="Z508" s="275"/>
      <c r="AA508" s="275"/>
    </row>
    <row r="509" ht="15.75" customHeight="1">
      <c r="A509" s="275"/>
      <c r="B509" s="275"/>
      <c r="C509" s="286"/>
      <c r="D509" s="275"/>
      <c r="E509" s="275"/>
      <c r="F509" s="275"/>
      <c r="G509" s="275"/>
      <c r="H509" s="275"/>
      <c r="I509" s="275"/>
      <c r="J509" s="275"/>
      <c r="K509" s="286"/>
      <c r="L509" s="286"/>
      <c r="M509" s="286"/>
      <c r="N509" s="275"/>
      <c r="O509" s="275"/>
      <c r="P509" s="275"/>
      <c r="Q509" s="275"/>
      <c r="R509" s="275"/>
      <c r="S509" s="275"/>
      <c r="T509" s="275"/>
      <c r="U509" s="275"/>
      <c r="V509" s="275"/>
      <c r="W509" s="275"/>
      <c r="X509" s="275"/>
      <c r="Y509" s="275"/>
      <c r="Z509" s="275"/>
      <c r="AA509" s="275"/>
    </row>
    <row r="510" ht="15.75" customHeight="1">
      <c r="A510" s="275"/>
      <c r="B510" s="275"/>
      <c r="C510" s="286"/>
      <c r="D510" s="275"/>
      <c r="E510" s="275"/>
      <c r="F510" s="275"/>
      <c r="G510" s="275"/>
      <c r="H510" s="275"/>
      <c r="I510" s="275"/>
      <c r="J510" s="275"/>
      <c r="K510" s="286"/>
      <c r="L510" s="286"/>
      <c r="M510" s="286"/>
      <c r="N510" s="275"/>
      <c r="O510" s="275"/>
      <c r="P510" s="275"/>
      <c r="Q510" s="275"/>
      <c r="R510" s="275"/>
      <c r="S510" s="275"/>
      <c r="T510" s="275"/>
      <c r="U510" s="275"/>
      <c r="V510" s="275"/>
      <c r="W510" s="275"/>
      <c r="X510" s="275"/>
      <c r="Y510" s="275"/>
      <c r="Z510" s="275"/>
      <c r="AA510" s="275"/>
    </row>
    <row r="511" ht="15.75" customHeight="1">
      <c r="A511" s="275"/>
      <c r="B511" s="275"/>
      <c r="C511" s="286"/>
      <c r="D511" s="275"/>
      <c r="E511" s="275"/>
      <c r="F511" s="275"/>
      <c r="G511" s="275"/>
      <c r="H511" s="275"/>
      <c r="I511" s="275"/>
      <c r="J511" s="275"/>
      <c r="K511" s="286"/>
      <c r="L511" s="286"/>
      <c r="M511" s="286"/>
      <c r="N511" s="275"/>
      <c r="O511" s="275"/>
      <c r="P511" s="275"/>
      <c r="Q511" s="275"/>
      <c r="R511" s="275"/>
      <c r="S511" s="275"/>
      <c r="T511" s="275"/>
      <c r="U511" s="275"/>
      <c r="V511" s="275"/>
      <c r="W511" s="275"/>
      <c r="X511" s="275"/>
      <c r="Y511" s="275"/>
      <c r="Z511" s="275"/>
      <c r="AA511" s="275"/>
    </row>
    <row r="512" ht="15.75" customHeight="1">
      <c r="A512" s="275"/>
      <c r="B512" s="275"/>
      <c r="C512" s="286"/>
      <c r="D512" s="275"/>
      <c r="E512" s="275"/>
      <c r="F512" s="275"/>
      <c r="G512" s="275"/>
      <c r="H512" s="275"/>
      <c r="I512" s="275"/>
      <c r="J512" s="275"/>
      <c r="K512" s="286"/>
      <c r="L512" s="286"/>
      <c r="M512" s="286"/>
      <c r="N512" s="275"/>
      <c r="O512" s="275"/>
      <c r="P512" s="275"/>
      <c r="Q512" s="275"/>
      <c r="R512" s="275"/>
      <c r="S512" s="275"/>
      <c r="T512" s="275"/>
      <c r="U512" s="275"/>
      <c r="V512" s="275"/>
      <c r="W512" s="275"/>
      <c r="X512" s="275"/>
      <c r="Y512" s="275"/>
      <c r="Z512" s="275"/>
      <c r="AA512" s="275"/>
    </row>
    <row r="513" ht="15.75" customHeight="1">
      <c r="A513" s="275"/>
      <c r="B513" s="275"/>
      <c r="C513" s="286"/>
      <c r="D513" s="275"/>
      <c r="E513" s="275"/>
      <c r="F513" s="275"/>
      <c r="G513" s="275"/>
      <c r="H513" s="275"/>
      <c r="I513" s="275"/>
      <c r="J513" s="275"/>
      <c r="K513" s="286"/>
      <c r="L513" s="286"/>
      <c r="M513" s="286"/>
      <c r="N513" s="275"/>
      <c r="O513" s="275"/>
      <c r="P513" s="275"/>
      <c r="Q513" s="275"/>
      <c r="R513" s="275"/>
      <c r="S513" s="275"/>
      <c r="T513" s="275"/>
      <c r="U513" s="275"/>
      <c r="V513" s="275"/>
      <c r="W513" s="275"/>
      <c r="X513" s="275"/>
      <c r="Y513" s="275"/>
      <c r="Z513" s="275"/>
      <c r="AA513" s="275"/>
    </row>
    <row r="514" ht="15.75" customHeight="1">
      <c r="A514" s="275"/>
      <c r="B514" s="275"/>
      <c r="C514" s="286"/>
      <c r="D514" s="275"/>
      <c r="E514" s="275"/>
      <c r="F514" s="275"/>
      <c r="G514" s="275"/>
      <c r="H514" s="275"/>
      <c r="I514" s="275"/>
      <c r="J514" s="275"/>
      <c r="K514" s="286"/>
      <c r="L514" s="286"/>
      <c r="M514" s="286"/>
      <c r="N514" s="275"/>
      <c r="O514" s="275"/>
      <c r="P514" s="275"/>
      <c r="Q514" s="275"/>
      <c r="R514" s="275"/>
      <c r="S514" s="275"/>
      <c r="T514" s="275"/>
      <c r="U514" s="275"/>
      <c r="V514" s="275"/>
      <c r="W514" s="275"/>
      <c r="X514" s="275"/>
      <c r="Y514" s="275"/>
      <c r="Z514" s="275"/>
      <c r="AA514" s="275"/>
    </row>
    <row r="515" ht="15.75" customHeight="1">
      <c r="A515" s="275"/>
      <c r="B515" s="275"/>
      <c r="C515" s="286"/>
      <c r="D515" s="275"/>
      <c r="E515" s="275"/>
      <c r="F515" s="275"/>
      <c r="G515" s="275"/>
      <c r="H515" s="275"/>
      <c r="I515" s="275"/>
      <c r="J515" s="275"/>
      <c r="K515" s="286"/>
      <c r="L515" s="286"/>
      <c r="M515" s="286"/>
      <c r="N515" s="275"/>
      <c r="O515" s="275"/>
      <c r="P515" s="275"/>
      <c r="Q515" s="275"/>
      <c r="R515" s="275"/>
      <c r="S515" s="275"/>
      <c r="T515" s="275"/>
      <c r="U515" s="275"/>
      <c r="V515" s="275"/>
      <c r="W515" s="275"/>
      <c r="X515" s="275"/>
      <c r="Y515" s="275"/>
      <c r="Z515" s="275"/>
      <c r="AA515" s="275"/>
    </row>
    <row r="516" ht="15.75" customHeight="1">
      <c r="A516" s="275"/>
      <c r="B516" s="275"/>
      <c r="C516" s="286"/>
      <c r="D516" s="275"/>
      <c r="E516" s="275"/>
      <c r="F516" s="275"/>
      <c r="G516" s="275"/>
      <c r="H516" s="275"/>
      <c r="I516" s="275"/>
      <c r="J516" s="275"/>
      <c r="K516" s="286"/>
      <c r="L516" s="286"/>
      <c r="M516" s="286"/>
      <c r="N516" s="275"/>
      <c r="O516" s="275"/>
      <c r="P516" s="275"/>
      <c r="Q516" s="275"/>
      <c r="R516" s="275"/>
      <c r="S516" s="275"/>
      <c r="T516" s="275"/>
      <c r="U516" s="275"/>
      <c r="V516" s="275"/>
      <c r="W516" s="275"/>
      <c r="X516" s="275"/>
      <c r="Y516" s="275"/>
      <c r="Z516" s="275"/>
      <c r="AA516" s="275"/>
    </row>
    <row r="517" ht="15.75" customHeight="1">
      <c r="A517" s="275"/>
      <c r="B517" s="275"/>
      <c r="C517" s="286"/>
      <c r="D517" s="275"/>
      <c r="E517" s="275"/>
      <c r="F517" s="275"/>
      <c r="G517" s="275"/>
      <c r="H517" s="275"/>
      <c r="I517" s="275"/>
      <c r="J517" s="275"/>
      <c r="K517" s="286"/>
      <c r="L517" s="286"/>
      <c r="M517" s="286"/>
      <c r="N517" s="275"/>
      <c r="O517" s="275"/>
      <c r="P517" s="275"/>
      <c r="Q517" s="275"/>
      <c r="R517" s="275"/>
      <c r="S517" s="275"/>
      <c r="T517" s="275"/>
      <c r="U517" s="275"/>
      <c r="V517" s="275"/>
      <c r="W517" s="275"/>
      <c r="X517" s="275"/>
      <c r="Y517" s="275"/>
      <c r="Z517" s="275"/>
      <c r="AA517" s="275"/>
    </row>
    <row r="518" ht="15.75" customHeight="1">
      <c r="A518" s="275"/>
      <c r="B518" s="275"/>
      <c r="C518" s="286"/>
      <c r="D518" s="275"/>
      <c r="E518" s="275"/>
      <c r="F518" s="275"/>
      <c r="G518" s="275"/>
      <c r="H518" s="275"/>
      <c r="I518" s="275"/>
      <c r="J518" s="275"/>
      <c r="K518" s="286"/>
      <c r="L518" s="286"/>
      <c r="M518" s="286"/>
      <c r="N518" s="275"/>
      <c r="O518" s="275"/>
      <c r="P518" s="275"/>
      <c r="Q518" s="275"/>
      <c r="R518" s="275"/>
      <c r="S518" s="275"/>
      <c r="T518" s="275"/>
      <c r="U518" s="275"/>
      <c r="V518" s="275"/>
      <c r="W518" s="275"/>
      <c r="X518" s="275"/>
      <c r="Y518" s="275"/>
      <c r="Z518" s="275"/>
      <c r="AA518" s="275"/>
    </row>
    <row r="519" ht="15.75" customHeight="1">
      <c r="A519" s="275"/>
      <c r="B519" s="275"/>
      <c r="C519" s="286"/>
      <c r="D519" s="275"/>
      <c r="E519" s="275"/>
      <c r="F519" s="275"/>
      <c r="G519" s="275"/>
      <c r="H519" s="275"/>
      <c r="I519" s="275"/>
      <c r="J519" s="275"/>
      <c r="K519" s="286"/>
      <c r="L519" s="286"/>
      <c r="M519" s="286"/>
      <c r="N519" s="275"/>
      <c r="O519" s="275"/>
      <c r="P519" s="275"/>
      <c r="Q519" s="275"/>
      <c r="R519" s="275"/>
      <c r="S519" s="275"/>
      <c r="T519" s="275"/>
      <c r="U519" s="275"/>
      <c r="V519" s="275"/>
      <c r="W519" s="275"/>
      <c r="X519" s="275"/>
      <c r="Y519" s="275"/>
      <c r="Z519" s="275"/>
      <c r="AA519" s="275"/>
    </row>
    <row r="520" ht="15.75" customHeight="1">
      <c r="A520" s="275"/>
      <c r="B520" s="275"/>
      <c r="C520" s="286"/>
      <c r="D520" s="275"/>
      <c r="E520" s="275"/>
      <c r="F520" s="275"/>
      <c r="G520" s="275"/>
      <c r="H520" s="275"/>
      <c r="I520" s="275"/>
      <c r="J520" s="275"/>
      <c r="K520" s="286"/>
      <c r="L520" s="286"/>
      <c r="M520" s="286"/>
      <c r="N520" s="275"/>
      <c r="O520" s="275"/>
      <c r="P520" s="275"/>
      <c r="Q520" s="275"/>
      <c r="R520" s="275"/>
      <c r="S520" s="275"/>
      <c r="T520" s="275"/>
      <c r="U520" s="275"/>
      <c r="V520" s="275"/>
      <c r="W520" s="275"/>
      <c r="X520" s="275"/>
      <c r="Y520" s="275"/>
      <c r="Z520" s="275"/>
      <c r="AA520" s="275"/>
    </row>
    <row r="521" ht="15.75" customHeight="1">
      <c r="A521" s="275"/>
      <c r="B521" s="275"/>
      <c r="C521" s="286"/>
      <c r="D521" s="275"/>
      <c r="E521" s="275"/>
      <c r="F521" s="275"/>
      <c r="G521" s="275"/>
      <c r="H521" s="275"/>
      <c r="I521" s="275"/>
      <c r="J521" s="275"/>
      <c r="K521" s="286"/>
      <c r="L521" s="286"/>
      <c r="M521" s="286"/>
      <c r="N521" s="275"/>
      <c r="O521" s="275"/>
      <c r="P521" s="275"/>
      <c r="Q521" s="275"/>
      <c r="R521" s="275"/>
      <c r="S521" s="275"/>
      <c r="T521" s="275"/>
      <c r="U521" s="275"/>
      <c r="V521" s="275"/>
      <c r="W521" s="275"/>
      <c r="X521" s="275"/>
      <c r="Y521" s="275"/>
      <c r="Z521" s="275"/>
      <c r="AA521" s="275"/>
    </row>
    <row r="522" ht="15.75" customHeight="1">
      <c r="A522" s="275"/>
      <c r="B522" s="275"/>
      <c r="C522" s="286"/>
      <c r="D522" s="275"/>
      <c r="E522" s="275"/>
      <c r="F522" s="275"/>
      <c r="G522" s="275"/>
      <c r="H522" s="275"/>
      <c r="I522" s="275"/>
      <c r="J522" s="275"/>
      <c r="K522" s="286"/>
      <c r="L522" s="286"/>
      <c r="M522" s="286"/>
      <c r="N522" s="275"/>
      <c r="O522" s="275"/>
      <c r="P522" s="275"/>
      <c r="Q522" s="275"/>
      <c r="R522" s="275"/>
      <c r="S522" s="275"/>
      <c r="T522" s="275"/>
      <c r="U522" s="275"/>
      <c r="V522" s="275"/>
      <c r="W522" s="275"/>
      <c r="X522" s="275"/>
      <c r="Y522" s="275"/>
      <c r="Z522" s="275"/>
      <c r="AA522" s="275"/>
    </row>
    <row r="523" ht="15.75" customHeight="1">
      <c r="A523" s="275"/>
      <c r="B523" s="275"/>
      <c r="C523" s="286"/>
      <c r="D523" s="275"/>
      <c r="E523" s="275"/>
      <c r="F523" s="275"/>
      <c r="G523" s="275"/>
      <c r="H523" s="275"/>
      <c r="I523" s="275"/>
      <c r="J523" s="275"/>
      <c r="K523" s="286"/>
      <c r="L523" s="286"/>
      <c r="M523" s="286"/>
      <c r="N523" s="275"/>
      <c r="O523" s="275"/>
      <c r="P523" s="275"/>
      <c r="Q523" s="275"/>
      <c r="R523" s="275"/>
      <c r="S523" s="275"/>
      <c r="T523" s="275"/>
      <c r="U523" s="275"/>
      <c r="V523" s="275"/>
      <c r="W523" s="275"/>
      <c r="X523" s="275"/>
      <c r="Y523" s="275"/>
      <c r="Z523" s="275"/>
      <c r="AA523" s="275"/>
    </row>
    <row r="524" ht="15.75" customHeight="1">
      <c r="A524" s="275"/>
      <c r="B524" s="275"/>
      <c r="C524" s="286"/>
      <c r="D524" s="275"/>
      <c r="E524" s="275"/>
      <c r="F524" s="275"/>
      <c r="G524" s="275"/>
      <c r="H524" s="275"/>
      <c r="I524" s="275"/>
      <c r="J524" s="275"/>
      <c r="K524" s="286"/>
      <c r="L524" s="286"/>
      <c r="M524" s="286"/>
      <c r="N524" s="275"/>
      <c r="O524" s="275"/>
      <c r="P524" s="275"/>
      <c r="Q524" s="275"/>
      <c r="R524" s="275"/>
      <c r="S524" s="275"/>
      <c r="T524" s="275"/>
      <c r="U524" s="275"/>
      <c r="V524" s="275"/>
      <c r="W524" s="275"/>
      <c r="X524" s="275"/>
      <c r="Y524" s="275"/>
      <c r="Z524" s="275"/>
      <c r="AA524" s="275"/>
    </row>
    <row r="525" ht="15.75" customHeight="1">
      <c r="A525" s="275"/>
      <c r="B525" s="275"/>
      <c r="C525" s="286"/>
      <c r="D525" s="275"/>
      <c r="E525" s="275"/>
      <c r="F525" s="275"/>
      <c r="G525" s="275"/>
      <c r="H525" s="275"/>
      <c r="I525" s="275"/>
      <c r="J525" s="275"/>
      <c r="K525" s="286"/>
      <c r="L525" s="286"/>
      <c r="M525" s="286"/>
      <c r="N525" s="275"/>
      <c r="O525" s="275"/>
      <c r="P525" s="275"/>
      <c r="Q525" s="275"/>
      <c r="R525" s="275"/>
      <c r="S525" s="275"/>
      <c r="T525" s="275"/>
      <c r="U525" s="275"/>
      <c r="V525" s="275"/>
      <c r="W525" s="275"/>
      <c r="X525" s="275"/>
      <c r="Y525" s="275"/>
      <c r="Z525" s="275"/>
      <c r="AA525" s="275"/>
    </row>
    <row r="526" ht="15.75" customHeight="1">
      <c r="A526" s="275"/>
      <c r="B526" s="275"/>
      <c r="C526" s="286"/>
      <c r="D526" s="275"/>
      <c r="E526" s="275"/>
      <c r="F526" s="275"/>
      <c r="G526" s="275"/>
      <c r="H526" s="275"/>
      <c r="I526" s="275"/>
      <c r="J526" s="275"/>
      <c r="K526" s="286"/>
      <c r="L526" s="286"/>
      <c r="M526" s="286"/>
      <c r="N526" s="275"/>
      <c r="O526" s="275"/>
      <c r="P526" s="275"/>
      <c r="Q526" s="275"/>
      <c r="R526" s="275"/>
      <c r="S526" s="275"/>
      <c r="T526" s="275"/>
      <c r="U526" s="275"/>
      <c r="V526" s="275"/>
      <c r="W526" s="275"/>
      <c r="X526" s="275"/>
      <c r="Y526" s="275"/>
      <c r="Z526" s="275"/>
      <c r="AA526" s="275"/>
    </row>
    <row r="527" ht="15.75" customHeight="1">
      <c r="A527" s="275"/>
      <c r="B527" s="275"/>
      <c r="C527" s="286"/>
      <c r="D527" s="275"/>
      <c r="E527" s="275"/>
      <c r="F527" s="275"/>
      <c r="G527" s="275"/>
      <c r="H527" s="275"/>
      <c r="I527" s="275"/>
      <c r="J527" s="275"/>
      <c r="K527" s="286"/>
      <c r="L527" s="286"/>
      <c r="M527" s="286"/>
      <c r="N527" s="275"/>
      <c r="O527" s="275"/>
      <c r="P527" s="275"/>
      <c r="Q527" s="275"/>
      <c r="R527" s="275"/>
      <c r="S527" s="275"/>
      <c r="T527" s="275"/>
      <c r="U527" s="275"/>
      <c r="V527" s="275"/>
      <c r="W527" s="275"/>
      <c r="X527" s="275"/>
      <c r="Y527" s="275"/>
      <c r="Z527" s="275"/>
      <c r="AA527" s="275"/>
    </row>
    <row r="528" ht="15.75" customHeight="1">
      <c r="A528" s="275"/>
      <c r="B528" s="275"/>
      <c r="C528" s="286"/>
      <c r="D528" s="275"/>
      <c r="E528" s="275"/>
      <c r="F528" s="275"/>
      <c r="G528" s="275"/>
      <c r="H528" s="275"/>
      <c r="I528" s="275"/>
      <c r="J528" s="275"/>
      <c r="K528" s="286"/>
      <c r="L528" s="286"/>
      <c r="M528" s="286"/>
      <c r="N528" s="275"/>
      <c r="O528" s="275"/>
      <c r="P528" s="275"/>
      <c r="Q528" s="275"/>
      <c r="R528" s="275"/>
      <c r="S528" s="275"/>
      <c r="T528" s="275"/>
      <c r="U528" s="275"/>
      <c r="V528" s="275"/>
      <c r="W528" s="275"/>
      <c r="X528" s="275"/>
      <c r="Y528" s="275"/>
      <c r="Z528" s="275"/>
      <c r="AA528" s="275"/>
    </row>
    <row r="529" ht="15.75" customHeight="1">
      <c r="A529" s="275"/>
      <c r="B529" s="275"/>
      <c r="C529" s="286"/>
      <c r="D529" s="275"/>
      <c r="E529" s="275"/>
      <c r="F529" s="275"/>
      <c r="G529" s="275"/>
      <c r="H529" s="275"/>
      <c r="I529" s="275"/>
      <c r="J529" s="275"/>
      <c r="K529" s="286"/>
      <c r="L529" s="286"/>
      <c r="M529" s="286"/>
      <c r="N529" s="275"/>
      <c r="O529" s="275"/>
      <c r="P529" s="275"/>
      <c r="Q529" s="275"/>
      <c r="R529" s="275"/>
      <c r="S529" s="275"/>
      <c r="T529" s="275"/>
      <c r="U529" s="275"/>
      <c r="V529" s="275"/>
      <c r="W529" s="275"/>
      <c r="X529" s="275"/>
      <c r="Y529" s="275"/>
      <c r="Z529" s="275"/>
      <c r="AA529" s="275"/>
    </row>
    <row r="530" ht="15.75" customHeight="1">
      <c r="A530" s="275"/>
      <c r="B530" s="275"/>
      <c r="C530" s="286"/>
      <c r="D530" s="275"/>
      <c r="E530" s="275"/>
      <c r="F530" s="275"/>
      <c r="G530" s="275"/>
      <c r="H530" s="275"/>
      <c r="I530" s="275"/>
      <c r="J530" s="275"/>
      <c r="K530" s="286"/>
      <c r="L530" s="286"/>
      <c r="M530" s="286"/>
      <c r="N530" s="275"/>
      <c r="O530" s="275"/>
      <c r="P530" s="275"/>
      <c r="Q530" s="275"/>
      <c r="R530" s="275"/>
      <c r="S530" s="275"/>
      <c r="T530" s="275"/>
      <c r="U530" s="275"/>
      <c r="V530" s="275"/>
      <c r="W530" s="275"/>
      <c r="X530" s="275"/>
      <c r="Y530" s="275"/>
      <c r="Z530" s="275"/>
      <c r="AA530" s="275"/>
    </row>
    <row r="531" ht="15.75" customHeight="1">
      <c r="A531" s="275"/>
      <c r="B531" s="275"/>
      <c r="C531" s="286"/>
      <c r="D531" s="275"/>
      <c r="E531" s="275"/>
      <c r="F531" s="275"/>
      <c r="G531" s="275"/>
      <c r="H531" s="275"/>
      <c r="I531" s="275"/>
      <c r="J531" s="275"/>
      <c r="K531" s="286"/>
      <c r="L531" s="286"/>
      <c r="M531" s="286"/>
      <c r="N531" s="275"/>
      <c r="O531" s="275"/>
      <c r="P531" s="275"/>
      <c r="Q531" s="275"/>
      <c r="R531" s="275"/>
      <c r="S531" s="275"/>
      <c r="T531" s="275"/>
      <c r="U531" s="275"/>
      <c r="V531" s="275"/>
      <c r="W531" s="275"/>
      <c r="X531" s="275"/>
      <c r="Y531" s="275"/>
      <c r="Z531" s="275"/>
      <c r="AA531" s="275"/>
    </row>
    <row r="532" ht="15.75" customHeight="1">
      <c r="A532" s="275"/>
      <c r="B532" s="275"/>
      <c r="C532" s="286"/>
      <c r="D532" s="275"/>
      <c r="E532" s="275"/>
      <c r="F532" s="275"/>
      <c r="G532" s="275"/>
      <c r="H532" s="275"/>
      <c r="I532" s="275"/>
      <c r="J532" s="275"/>
      <c r="K532" s="286"/>
      <c r="L532" s="286"/>
      <c r="M532" s="286"/>
      <c r="N532" s="275"/>
      <c r="O532" s="275"/>
      <c r="P532" s="275"/>
      <c r="Q532" s="275"/>
      <c r="R532" s="275"/>
      <c r="S532" s="275"/>
      <c r="T532" s="275"/>
      <c r="U532" s="275"/>
      <c r="V532" s="275"/>
      <c r="W532" s="275"/>
      <c r="X532" s="275"/>
      <c r="Y532" s="275"/>
      <c r="Z532" s="275"/>
      <c r="AA532" s="275"/>
    </row>
    <row r="533" ht="15.75" customHeight="1">
      <c r="A533" s="275"/>
      <c r="B533" s="275"/>
      <c r="C533" s="286"/>
      <c r="D533" s="275"/>
      <c r="E533" s="275"/>
      <c r="F533" s="275"/>
      <c r="G533" s="275"/>
      <c r="H533" s="275"/>
      <c r="I533" s="275"/>
      <c r="J533" s="275"/>
      <c r="K533" s="286"/>
      <c r="L533" s="286"/>
      <c r="M533" s="286"/>
      <c r="N533" s="275"/>
      <c r="O533" s="275"/>
      <c r="P533" s="275"/>
      <c r="Q533" s="275"/>
      <c r="R533" s="275"/>
      <c r="S533" s="275"/>
      <c r="T533" s="275"/>
      <c r="U533" s="275"/>
      <c r="V533" s="275"/>
      <c r="W533" s="275"/>
      <c r="X533" s="275"/>
      <c r="Y533" s="275"/>
      <c r="Z533" s="275"/>
      <c r="AA533" s="275"/>
    </row>
    <row r="534" ht="15.75" customHeight="1">
      <c r="A534" s="275"/>
      <c r="B534" s="275"/>
      <c r="C534" s="286"/>
      <c r="D534" s="275"/>
      <c r="E534" s="275"/>
      <c r="F534" s="275"/>
      <c r="G534" s="275"/>
      <c r="H534" s="275"/>
      <c r="I534" s="275"/>
      <c r="J534" s="275"/>
      <c r="K534" s="286"/>
      <c r="L534" s="286"/>
      <c r="M534" s="286"/>
      <c r="N534" s="275"/>
      <c r="O534" s="275"/>
      <c r="P534" s="275"/>
      <c r="Q534" s="275"/>
      <c r="R534" s="275"/>
      <c r="S534" s="275"/>
      <c r="T534" s="275"/>
      <c r="U534" s="275"/>
      <c r="V534" s="275"/>
      <c r="W534" s="275"/>
      <c r="X534" s="275"/>
      <c r="Y534" s="275"/>
      <c r="Z534" s="275"/>
      <c r="AA534" s="275"/>
    </row>
    <row r="535" ht="15.75" customHeight="1">
      <c r="A535" s="275"/>
      <c r="B535" s="275"/>
      <c r="C535" s="286"/>
      <c r="D535" s="275"/>
      <c r="E535" s="275"/>
      <c r="F535" s="275"/>
      <c r="G535" s="275"/>
      <c r="H535" s="275"/>
      <c r="I535" s="275"/>
      <c r="J535" s="275"/>
      <c r="K535" s="286"/>
      <c r="L535" s="286"/>
      <c r="M535" s="286"/>
      <c r="N535" s="275"/>
      <c r="O535" s="275"/>
      <c r="P535" s="275"/>
      <c r="Q535" s="275"/>
      <c r="R535" s="275"/>
      <c r="S535" s="275"/>
      <c r="T535" s="275"/>
      <c r="U535" s="275"/>
      <c r="V535" s="275"/>
      <c r="W535" s="275"/>
      <c r="X535" s="275"/>
      <c r="Y535" s="275"/>
      <c r="Z535" s="275"/>
      <c r="AA535" s="275"/>
    </row>
    <row r="536" ht="15.75" customHeight="1">
      <c r="A536" s="275"/>
      <c r="B536" s="275"/>
      <c r="C536" s="286"/>
      <c r="D536" s="275"/>
      <c r="E536" s="275"/>
      <c r="F536" s="275"/>
      <c r="G536" s="275"/>
      <c r="H536" s="275"/>
      <c r="I536" s="275"/>
      <c r="J536" s="275"/>
      <c r="K536" s="286"/>
      <c r="L536" s="286"/>
      <c r="M536" s="286"/>
      <c r="N536" s="275"/>
      <c r="O536" s="275"/>
      <c r="P536" s="275"/>
      <c r="Q536" s="275"/>
      <c r="R536" s="275"/>
      <c r="S536" s="275"/>
      <c r="T536" s="275"/>
      <c r="U536" s="275"/>
      <c r="V536" s="275"/>
      <c r="W536" s="275"/>
      <c r="X536" s="275"/>
      <c r="Y536" s="275"/>
      <c r="Z536" s="275"/>
      <c r="AA536" s="275"/>
    </row>
    <row r="537" ht="15.75" customHeight="1">
      <c r="A537" s="275"/>
      <c r="B537" s="275"/>
      <c r="C537" s="286"/>
      <c r="D537" s="275"/>
      <c r="E537" s="275"/>
      <c r="F537" s="275"/>
      <c r="G537" s="275"/>
      <c r="H537" s="275"/>
      <c r="I537" s="275"/>
      <c r="J537" s="275"/>
      <c r="K537" s="286"/>
      <c r="L537" s="286"/>
      <c r="M537" s="286"/>
      <c r="N537" s="275"/>
      <c r="O537" s="275"/>
      <c r="P537" s="275"/>
      <c r="Q537" s="275"/>
      <c r="R537" s="275"/>
      <c r="S537" s="275"/>
      <c r="T537" s="275"/>
      <c r="U537" s="275"/>
      <c r="V537" s="275"/>
      <c r="W537" s="275"/>
      <c r="X537" s="275"/>
      <c r="Y537" s="275"/>
      <c r="Z537" s="275"/>
      <c r="AA537" s="275"/>
    </row>
    <row r="538" ht="15.75" customHeight="1">
      <c r="A538" s="275"/>
      <c r="B538" s="275"/>
      <c r="C538" s="286"/>
      <c r="D538" s="275"/>
      <c r="E538" s="275"/>
      <c r="F538" s="275"/>
      <c r="G538" s="275"/>
      <c r="H538" s="275"/>
      <c r="I538" s="275"/>
      <c r="J538" s="275"/>
      <c r="K538" s="286"/>
      <c r="L538" s="286"/>
      <c r="M538" s="286"/>
      <c r="N538" s="275"/>
      <c r="O538" s="275"/>
      <c r="P538" s="275"/>
      <c r="Q538" s="275"/>
      <c r="R538" s="275"/>
      <c r="S538" s="275"/>
      <c r="T538" s="275"/>
      <c r="U538" s="275"/>
      <c r="V538" s="275"/>
      <c r="W538" s="275"/>
      <c r="X538" s="275"/>
      <c r="Y538" s="275"/>
      <c r="Z538" s="275"/>
      <c r="AA538" s="275"/>
    </row>
    <row r="539" ht="15.75" customHeight="1">
      <c r="A539" s="275"/>
      <c r="B539" s="275"/>
      <c r="C539" s="286"/>
      <c r="D539" s="275"/>
      <c r="E539" s="275"/>
      <c r="F539" s="275"/>
      <c r="G539" s="275"/>
      <c r="H539" s="275"/>
      <c r="I539" s="275"/>
      <c r="J539" s="275"/>
      <c r="K539" s="286"/>
      <c r="L539" s="286"/>
      <c r="M539" s="286"/>
      <c r="N539" s="275"/>
      <c r="O539" s="275"/>
      <c r="P539" s="275"/>
      <c r="Q539" s="275"/>
      <c r="R539" s="275"/>
      <c r="S539" s="275"/>
      <c r="T539" s="275"/>
      <c r="U539" s="275"/>
      <c r="V539" s="275"/>
      <c r="W539" s="275"/>
      <c r="X539" s="275"/>
      <c r="Y539" s="275"/>
      <c r="Z539" s="275"/>
      <c r="AA539" s="275"/>
    </row>
    <row r="540" ht="15.75" customHeight="1">
      <c r="A540" s="275"/>
      <c r="B540" s="275"/>
      <c r="C540" s="286"/>
      <c r="D540" s="275"/>
      <c r="E540" s="275"/>
      <c r="F540" s="275"/>
      <c r="G540" s="275"/>
      <c r="H540" s="275"/>
      <c r="I540" s="275"/>
      <c r="J540" s="275"/>
      <c r="K540" s="286"/>
      <c r="L540" s="286"/>
      <c r="M540" s="286"/>
      <c r="N540" s="275"/>
      <c r="O540" s="275"/>
      <c r="P540" s="275"/>
      <c r="Q540" s="275"/>
      <c r="R540" s="275"/>
      <c r="S540" s="275"/>
      <c r="T540" s="275"/>
      <c r="U540" s="275"/>
      <c r="V540" s="275"/>
      <c r="W540" s="275"/>
      <c r="X540" s="275"/>
      <c r="Y540" s="275"/>
      <c r="Z540" s="275"/>
      <c r="AA540" s="275"/>
    </row>
    <row r="541" ht="15.75" customHeight="1">
      <c r="A541" s="275"/>
      <c r="B541" s="275"/>
      <c r="C541" s="286"/>
      <c r="D541" s="275"/>
      <c r="E541" s="275"/>
      <c r="F541" s="275"/>
      <c r="G541" s="275"/>
      <c r="H541" s="275"/>
      <c r="I541" s="275"/>
      <c r="J541" s="275"/>
      <c r="K541" s="286"/>
      <c r="L541" s="286"/>
      <c r="M541" s="286"/>
      <c r="N541" s="275"/>
      <c r="O541" s="275"/>
      <c r="P541" s="275"/>
      <c r="Q541" s="275"/>
      <c r="R541" s="275"/>
      <c r="S541" s="275"/>
      <c r="T541" s="275"/>
      <c r="U541" s="275"/>
      <c r="V541" s="275"/>
      <c r="W541" s="275"/>
      <c r="X541" s="275"/>
      <c r="Y541" s="275"/>
      <c r="Z541" s="275"/>
      <c r="AA541" s="275"/>
    </row>
    <row r="542" ht="15.75" customHeight="1">
      <c r="A542" s="275"/>
      <c r="B542" s="275"/>
      <c r="C542" s="286"/>
      <c r="D542" s="275"/>
      <c r="E542" s="275"/>
      <c r="F542" s="275"/>
      <c r="G542" s="275"/>
      <c r="H542" s="275"/>
      <c r="I542" s="275"/>
      <c r="J542" s="275"/>
      <c r="K542" s="286"/>
      <c r="L542" s="286"/>
      <c r="M542" s="286"/>
      <c r="N542" s="275"/>
      <c r="O542" s="275"/>
      <c r="P542" s="275"/>
      <c r="Q542" s="275"/>
      <c r="R542" s="275"/>
      <c r="S542" s="275"/>
      <c r="T542" s="275"/>
      <c r="U542" s="275"/>
      <c r="V542" s="275"/>
      <c r="W542" s="275"/>
      <c r="X542" s="275"/>
      <c r="Y542" s="275"/>
      <c r="Z542" s="275"/>
      <c r="AA542" s="275"/>
    </row>
    <row r="543" ht="15.75" customHeight="1">
      <c r="A543" s="275"/>
      <c r="B543" s="275"/>
      <c r="C543" s="286"/>
      <c r="D543" s="275"/>
      <c r="E543" s="275"/>
      <c r="F543" s="275"/>
      <c r="G543" s="275"/>
      <c r="H543" s="275"/>
      <c r="I543" s="275"/>
      <c r="J543" s="275"/>
      <c r="K543" s="286"/>
      <c r="L543" s="286"/>
      <c r="M543" s="286"/>
      <c r="N543" s="275"/>
      <c r="O543" s="275"/>
      <c r="P543" s="275"/>
      <c r="Q543" s="275"/>
      <c r="R543" s="275"/>
      <c r="S543" s="275"/>
      <c r="T543" s="275"/>
      <c r="U543" s="275"/>
      <c r="V543" s="275"/>
      <c r="W543" s="275"/>
      <c r="X543" s="275"/>
      <c r="Y543" s="275"/>
      <c r="Z543" s="275"/>
      <c r="AA543" s="275"/>
    </row>
    <row r="544" ht="15.75" customHeight="1">
      <c r="A544" s="275"/>
      <c r="B544" s="275"/>
      <c r="C544" s="286"/>
      <c r="D544" s="275"/>
      <c r="E544" s="275"/>
      <c r="F544" s="275"/>
      <c r="G544" s="275"/>
      <c r="H544" s="275"/>
      <c r="I544" s="275"/>
      <c r="J544" s="275"/>
      <c r="K544" s="286"/>
      <c r="L544" s="286"/>
      <c r="M544" s="286"/>
      <c r="N544" s="275"/>
      <c r="O544" s="275"/>
      <c r="P544" s="275"/>
      <c r="Q544" s="275"/>
      <c r="R544" s="275"/>
      <c r="S544" s="275"/>
      <c r="T544" s="275"/>
      <c r="U544" s="275"/>
      <c r="V544" s="275"/>
      <c r="W544" s="275"/>
      <c r="X544" s="275"/>
      <c r="Y544" s="275"/>
      <c r="Z544" s="275"/>
      <c r="AA544" s="275"/>
    </row>
    <row r="545" ht="15.75" customHeight="1">
      <c r="A545" s="275"/>
      <c r="B545" s="275"/>
      <c r="C545" s="286"/>
      <c r="D545" s="275"/>
      <c r="E545" s="275"/>
      <c r="F545" s="275"/>
      <c r="G545" s="275"/>
      <c r="H545" s="275"/>
      <c r="I545" s="275"/>
      <c r="J545" s="275"/>
      <c r="K545" s="286"/>
      <c r="L545" s="286"/>
      <c r="M545" s="286"/>
      <c r="N545" s="275"/>
      <c r="O545" s="275"/>
      <c r="P545" s="275"/>
      <c r="Q545" s="275"/>
      <c r="R545" s="275"/>
      <c r="S545" s="275"/>
      <c r="T545" s="275"/>
      <c r="U545" s="275"/>
      <c r="V545" s="275"/>
      <c r="W545" s="275"/>
      <c r="X545" s="275"/>
      <c r="Y545" s="275"/>
      <c r="Z545" s="275"/>
      <c r="AA545" s="275"/>
    </row>
    <row r="546" ht="15.75" customHeight="1">
      <c r="A546" s="275"/>
      <c r="B546" s="275"/>
      <c r="C546" s="286"/>
      <c r="D546" s="275"/>
      <c r="E546" s="275"/>
      <c r="F546" s="275"/>
      <c r="G546" s="275"/>
      <c r="H546" s="275"/>
      <c r="I546" s="275"/>
      <c r="J546" s="275"/>
      <c r="K546" s="286"/>
      <c r="L546" s="286"/>
      <c r="M546" s="286"/>
      <c r="N546" s="275"/>
      <c r="O546" s="275"/>
      <c r="P546" s="275"/>
      <c r="Q546" s="275"/>
      <c r="R546" s="275"/>
      <c r="S546" s="275"/>
      <c r="T546" s="275"/>
      <c r="U546" s="275"/>
      <c r="V546" s="275"/>
      <c r="W546" s="275"/>
      <c r="X546" s="275"/>
      <c r="Y546" s="275"/>
      <c r="Z546" s="275"/>
      <c r="AA546" s="275"/>
    </row>
    <row r="547" ht="15.75" customHeight="1">
      <c r="A547" s="275"/>
      <c r="B547" s="275"/>
      <c r="C547" s="286"/>
      <c r="D547" s="275"/>
      <c r="E547" s="275"/>
      <c r="F547" s="275"/>
      <c r="G547" s="275"/>
      <c r="H547" s="275"/>
      <c r="I547" s="275"/>
      <c r="J547" s="275"/>
      <c r="K547" s="286"/>
      <c r="L547" s="286"/>
      <c r="M547" s="286"/>
      <c r="N547" s="275"/>
      <c r="O547" s="275"/>
      <c r="P547" s="275"/>
      <c r="Q547" s="275"/>
      <c r="R547" s="275"/>
      <c r="S547" s="275"/>
      <c r="T547" s="275"/>
      <c r="U547" s="275"/>
      <c r="V547" s="275"/>
      <c r="W547" s="275"/>
      <c r="X547" s="275"/>
      <c r="Y547" s="275"/>
      <c r="Z547" s="275"/>
      <c r="AA547" s="275"/>
    </row>
    <row r="548" ht="15.75" customHeight="1">
      <c r="A548" s="275"/>
      <c r="B548" s="275"/>
      <c r="C548" s="286"/>
      <c r="D548" s="275"/>
      <c r="E548" s="275"/>
      <c r="F548" s="275"/>
      <c r="G548" s="275"/>
      <c r="H548" s="275"/>
      <c r="I548" s="275"/>
      <c r="J548" s="275"/>
      <c r="K548" s="286"/>
      <c r="L548" s="286"/>
      <c r="M548" s="286"/>
      <c r="N548" s="275"/>
      <c r="O548" s="275"/>
      <c r="P548" s="275"/>
      <c r="Q548" s="275"/>
      <c r="R548" s="275"/>
      <c r="S548" s="275"/>
      <c r="T548" s="275"/>
      <c r="U548" s="275"/>
      <c r="V548" s="275"/>
      <c r="W548" s="275"/>
      <c r="X548" s="275"/>
      <c r="Y548" s="275"/>
      <c r="Z548" s="275"/>
      <c r="AA548" s="275"/>
    </row>
    <row r="549" ht="15.75" customHeight="1">
      <c r="A549" s="275"/>
      <c r="B549" s="275"/>
      <c r="C549" s="286"/>
      <c r="D549" s="275"/>
      <c r="E549" s="275"/>
      <c r="F549" s="275"/>
      <c r="G549" s="275"/>
      <c r="H549" s="275"/>
      <c r="I549" s="275"/>
      <c r="J549" s="275"/>
      <c r="K549" s="286"/>
      <c r="L549" s="286"/>
      <c r="M549" s="286"/>
      <c r="N549" s="275"/>
      <c r="O549" s="275"/>
      <c r="P549" s="275"/>
      <c r="Q549" s="275"/>
      <c r="R549" s="275"/>
      <c r="S549" s="275"/>
      <c r="T549" s="275"/>
      <c r="U549" s="275"/>
      <c r="V549" s="275"/>
      <c r="W549" s="275"/>
      <c r="X549" s="275"/>
      <c r="Y549" s="275"/>
      <c r="Z549" s="275"/>
      <c r="AA549" s="275"/>
    </row>
    <row r="550" ht="15.75" customHeight="1">
      <c r="A550" s="275"/>
      <c r="B550" s="275"/>
      <c r="C550" s="286"/>
      <c r="D550" s="275"/>
      <c r="E550" s="275"/>
      <c r="F550" s="275"/>
      <c r="G550" s="275"/>
      <c r="H550" s="275"/>
      <c r="I550" s="275"/>
      <c r="J550" s="275"/>
      <c r="K550" s="286"/>
      <c r="L550" s="286"/>
      <c r="M550" s="286"/>
      <c r="N550" s="275"/>
      <c r="O550" s="275"/>
      <c r="P550" s="275"/>
      <c r="Q550" s="275"/>
      <c r="R550" s="275"/>
      <c r="S550" s="275"/>
      <c r="T550" s="275"/>
      <c r="U550" s="275"/>
      <c r="V550" s="275"/>
      <c r="W550" s="275"/>
      <c r="X550" s="275"/>
      <c r="Y550" s="275"/>
      <c r="Z550" s="275"/>
      <c r="AA550" s="275"/>
    </row>
    <row r="551" ht="15.75" customHeight="1">
      <c r="A551" s="275"/>
      <c r="B551" s="275"/>
      <c r="C551" s="286"/>
      <c r="D551" s="275"/>
      <c r="E551" s="275"/>
      <c r="F551" s="275"/>
      <c r="G551" s="275"/>
      <c r="H551" s="275"/>
      <c r="I551" s="275"/>
      <c r="J551" s="275"/>
      <c r="K551" s="286"/>
      <c r="L551" s="286"/>
      <c r="M551" s="286"/>
      <c r="N551" s="275"/>
      <c r="O551" s="275"/>
      <c r="P551" s="275"/>
      <c r="Q551" s="275"/>
      <c r="R551" s="275"/>
      <c r="S551" s="275"/>
      <c r="T551" s="275"/>
      <c r="U551" s="275"/>
      <c r="V551" s="275"/>
      <c r="W551" s="275"/>
      <c r="X551" s="275"/>
      <c r="Y551" s="275"/>
      <c r="Z551" s="275"/>
      <c r="AA551" s="275"/>
    </row>
    <row r="552" ht="15.75" customHeight="1">
      <c r="A552" s="275"/>
      <c r="B552" s="275"/>
      <c r="C552" s="286"/>
      <c r="D552" s="275"/>
      <c r="E552" s="275"/>
      <c r="F552" s="275"/>
      <c r="G552" s="275"/>
      <c r="H552" s="275"/>
      <c r="I552" s="275"/>
      <c r="J552" s="275"/>
      <c r="K552" s="286"/>
      <c r="L552" s="286"/>
      <c r="M552" s="286"/>
      <c r="N552" s="275"/>
      <c r="O552" s="275"/>
      <c r="P552" s="275"/>
      <c r="Q552" s="275"/>
      <c r="R552" s="275"/>
      <c r="S552" s="275"/>
      <c r="T552" s="275"/>
      <c r="U552" s="275"/>
      <c r="V552" s="275"/>
      <c r="W552" s="275"/>
      <c r="X552" s="275"/>
      <c r="Y552" s="275"/>
      <c r="Z552" s="275"/>
      <c r="AA552" s="275"/>
    </row>
    <row r="553" ht="15.75" customHeight="1">
      <c r="A553" s="275"/>
      <c r="B553" s="275"/>
      <c r="C553" s="286"/>
      <c r="D553" s="275"/>
      <c r="E553" s="275"/>
      <c r="F553" s="275"/>
      <c r="G553" s="275"/>
      <c r="H553" s="275"/>
      <c r="I553" s="275"/>
      <c r="J553" s="275"/>
      <c r="K553" s="286"/>
      <c r="L553" s="286"/>
      <c r="M553" s="286"/>
      <c r="N553" s="275"/>
      <c r="O553" s="275"/>
      <c r="P553" s="275"/>
      <c r="Q553" s="275"/>
      <c r="R553" s="275"/>
      <c r="S553" s="275"/>
      <c r="T553" s="275"/>
      <c r="U553" s="275"/>
      <c r="V553" s="275"/>
      <c r="W553" s="275"/>
      <c r="X553" s="275"/>
      <c r="Y553" s="275"/>
      <c r="Z553" s="275"/>
      <c r="AA553" s="275"/>
    </row>
    <row r="554" ht="15.75" customHeight="1">
      <c r="A554" s="275"/>
      <c r="B554" s="275"/>
      <c r="C554" s="286"/>
      <c r="D554" s="275"/>
      <c r="E554" s="275"/>
      <c r="F554" s="275"/>
      <c r="G554" s="275"/>
      <c r="H554" s="275"/>
      <c r="I554" s="275"/>
      <c r="J554" s="275"/>
      <c r="K554" s="286"/>
      <c r="L554" s="286"/>
      <c r="M554" s="286"/>
      <c r="N554" s="275"/>
      <c r="O554" s="275"/>
      <c r="P554" s="275"/>
      <c r="Q554" s="275"/>
      <c r="R554" s="275"/>
      <c r="S554" s="275"/>
      <c r="T554" s="275"/>
      <c r="U554" s="275"/>
      <c r="V554" s="275"/>
      <c r="W554" s="275"/>
      <c r="X554" s="275"/>
      <c r="Y554" s="275"/>
      <c r="Z554" s="275"/>
      <c r="AA554" s="275"/>
    </row>
    <row r="555" ht="15.75" customHeight="1">
      <c r="A555" s="275"/>
      <c r="B555" s="275"/>
      <c r="C555" s="286"/>
      <c r="D555" s="275"/>
      <c r="E555" s="275"/>
      <c r="F555" s="275"/>
      <c r="G555" s="275"/>
      <c r="H555" s="275"/>
      <c r="I555" s="275"/>
      <c r="J555" s="275"/>
      <c r="K555" s="286"/>
      <c r="L555" s="286"/>
      <c r="M555" s="286"/>
      <c r="N555" s="275"/>
      <c r="O555" s="275"/>
      <c r="P555" s="275"/>
      <c r="Q555" s="275"/>
      <c r="R555" s="275"/>
      <c r="S555" s="275"/>
      <c r="T555" s="275"/>
      <c r="U555" s="275"/>
      <c r="V555" s="275"/>
      <c r="W555" s="275"/>
      <c r="X555" s="275"/>
      <c r="Y555" s="275"/>
      <c r="Z555" s="275"/>
      <c r="AA555" s="275"/>
    </row>
    <row r="556" ht="15.75" customHeight="1">
      <c r="A556" s="275"/>
      <c r="B556" s="275"/>
      <c r="C556" s="286"/>
      <c r="D556" s="275"/>
      <c r="E556" s="275"/>
      <c r="F556" s="275"/>
      <c r="G556" s="275"/>
      <c r="H556" s="275"/>
      <c r="I556" s="275"/>
      <c r="J556" s="275"/>
      <c r="K556" s="286"/>
      <c r="L556" s="286"/>
      <c r="M556" s="286"/>
      <c r="N556" s="275"/>
      <c r="O556" s="275"/>
      <c r="P556" s="275"/>
      <c r="Q556" s="275"/>
      <c r="R556" s="275"/>
      <c r="S556" s="275"/>
      <c r="T556" s="275"/>
      <c r="U556" s="275"/>
      <c r="V556" s="275"/>
      <c r="W556" s="275"/>
      <c r="X556" s="275"/>
      <c r="Y556" s="275"/>
      <c r="Z556" s="275"/>
      <c r="AA556" s="275"/>
    </row>
    <row r="557" ht="15.75" customHeight="1">
      <c r="A557" s="275"/>
      <c r="B557" s="275"/>
      <c r="C557" s="286"/>
      <c r="D557" s="275"/>
      <c r="E557" s="275"/>
      <c r="F557" s="275"/>
      <c r="G557" s="275"/>
      <c r="H557" s="275"/>
      <c r="I557" s="275"/>
      <c r="J557" s="275"/>
      <c r="K557" s="286"/>
      <c r="L557" s="286"/>
      <c r="M557" s="286"/>
      <c r="N557" s="275"/>
      <c r="O557" s="275"/>
      <c r="P557" s="275"/>
      <c r="Q557" s="275"/>
      <c r="R557" s="275"/>
      <c r="S557" s="275"/>
      <c r="T557" s="275"/>
      <c r="U557" s="275"/>
      <c r="V557" s="275"/>
      <c r="W557" s="275"/>
      <c r="X557" s="275"/>
      <c r="Y557" s="275"/>
      <c r="Z557" s="275"/>
      <c r="AA557" s="275"/>
    </row>
    <row r="558" ht="15.75" customHeight="1">
      <c r="A558" s="275"/>
      <c r="B558" s="275"/>
      <c r="C558" s="286"/>
      <c r="D558" s="275"/>
      <c r="E558" s="275"/>
      <c r="F558" s="275"/>
      <c r="G558" s="275"/>
      <c r="H558" s="275"/>
      <c r="I558" s="275"/>
      <c r="J558" s="275"/>
      <c r="K558" s="286"/>
      <c r="L558" s="286"/>
      <c r="M558" s="286"/>
      <c r="N558" s="275"/>
      <c r="O558" s="275"/>
      <c r="P558" s="275"/>
      <c r="Q558" s="275"/>
      <c r="R558" s="275"/>
      <c r="S558" s="275"/>
      <c r="T558" s="275"/>
      <c r="U558" s="275"/>
      <c r="V558" s="275"/>
      <c r="W558" s="275"/>
      <c r="X558" s="275"/>
      <c r="Y558" s="275"/>
      <c r="Z558" s="275"/>
      <c r="AA558" s="275"/>
    </row>
    <row r="559" ht="15.75" customHeight="1">
      <c r="A559" s="275"/>
      <c r="B559" s="275"/>
      <c r="C559" s="286"/>
      <c r="D559" s="275"/>
      <c r="E559" s="275"/>
      <c r="F559" s="275"/>
      <c r="G559" s="275"/>
      <c r="H559" s="275"/>
      <c r="I559" s="275"/>
      <c r="J559" s="275"/>
      <c r="K559" s="286"/>
      <c r="L559" s="286"/>
      <c r="M559" s="286"/>
      <c r="N559" s="275"/>
      <c r="O559" s="275"/>
      <c r="P559" s="275"/>
      <c r="Q559" s="275"/>
      <c r="R559" s="275"/>
      <c r="S559" s="275"/>
      <c r="T559" s="275"/>
      <c r="U559" s="275"/>
      <c r="V559" s="275"/>
      <c r="W559" s="275"/>
      <c r="X559" s="275"/>
      <c r="Y559" s="275"/>
      <c r="Z559" s="275"/>
      <c r="AA559" s="275"/>
    </row>
    <row r="560" ht="15.75" customHeight="1">
      <c r="A560" s="275"/>
      <c r="B560" s="275"/>
      <c r="C560" s="286"/>
      <c r="D560" s="275"/>
      <c r="E560" s="275"/>
      <c r="F560" s="275"/>
      <c r="G560" s="275"/>
      <c r="H560" s="275"/>
      <c r="I560" s="275"/>
      <c r="J560" s="275"/>
      <c r="K560" s="286"/>
      <c r="L560" s="286"/>
      <c r="M560" s="286"/>
      <c r="N560" s="275"/>
      <c r="O560" s="275"/>
      <c r="P560" s="275"/>
      <c r="Q560" s="275"/>
      <c r="R560" s="275"/>
      <c r="S560" s="275"/>
      <c r="T560" s="275"/>
      <c r="U560" s="275"/>
      <c r="V560" s="275"/>
      <c r="W560" s="275"/>
      <c r="X560" s="275"/>
      <c r="Y560" s="275"/>
      <c r="Z560" s="275"/>
      <c r="AA560" s="275"/>
    </row>
    <row r="561" ht="15.75" customHeight="1">
      <c r="A561" s="275"/>
      <c r="B561" s="275"/>
      <c r="C561" s="286"/>
      <c r="D561" s="275"/>
      <c r="E561" s="275"/>
      <c r="F561" s="275"/>
      <c r="G561" s="275"/>
      <c r="H561" s="275"/>
      <c r="I561" s="275"/>
      <c r="J561" s="275"/>
      <c r="K561" s="286"/>
      <c r="L561" s="286"/>
      <c r="M561" s="286"/>
      <c r="N561" s="275"/>
      <c r="O561" s="275"/>
      <c r="P561" s="275"/>
      <c r="Q561" s="275"/>
      <c r="R561" s="275"/>
      <c r="S561" s="275"/>
      <c r="T561" s="275"/>
      <c r="U561" s="275"/>
      <c r="V561" s="275"/>
      <c r="W561" s="275"/>
      <c r="X561" s="275"/>
      <c r="Y561" s="275"/>
      <c r="Z561" s="275"/>
      <c r="AA561" s="275"/>
    </row>
    <row r="562" ht="15.75" customHeight="1">
      <c r="A562" s="275"/>
      <c r="B562" s="275"/>
      <c r="C562" s="286"/>
      <c r="D562" s="275"/>
      <c r="E562" s="275"/>
      <c r="F562" s="275"/>
      <c r="G562" s="275"/>
      <c r="H562" s="275"/>
      <c r="I562" s="275"/>
      <c r="J562" s="275"/>
      <c r="K562" s="286"/>
      <c r="L562" s="286"/>
      <c r="M562" s="286"/>
      <c r="N562" s="275"/>
      <c r="O562" s="275"/>
      <c r="P562" s="275"/>
      <c r="Q562" s="275"/>
      <c r="R562" s="275"/>
      <c r="S562" s="275"/>
      <c r="T562" s="275"/>
      <c r="U562" s="275"/>
      <c r="V562" s="275"/>
      <c r="W562" s="275"/>
      <c r="X562" s="275"/>
      <c r="Y562" s="275"/>
      <c r="Z562" s="275"/>
      <c r="AA562" s="275"/>
    </row>
    <row r="563" ht="15.75" customHeight="1">
      <c r="A563" s="275"/>
      <c r="B563" s="275"/>
      <c r="C563" s="286"/>
      <c r="D563" s="275"/>
      <c r="E563" s="275"/>
      <c r="F563" s="275"/>
      <c r="G563" s="275"/>
      <c r="H563" s="275"/>
      <c r="I563" s="275"/>
      <c r="J563" s="275"/>
      <c r="K563" s="286"/>
      <c r="L563" s="286"/>
      <c r="M563" s="286"/>
      <c r="N563" s="275"/>
      <c r="O563" s="275"/>
      <c r="P563" s="275"/>
      <c r="Q563" s="275"/>
      <c r="R563" s="275"/>
      <c r="S563" s="275"/>
      <c r="T563" s="275"/>
      <c r="U563" s="275"/>
      <c r="V563" s="275"/>
      <c r="W563" s="275"/>
      <c r="X563" s="275"/>
      <c r="Y563" s="275"/>
      <c r="Z563" s="275"/>
      <c r="AA563" s="275"/>
    </row>
    <row r="564" ht="15.75" customHeight="1">
      <c r="A564" s="275"/>
      <c r="B564" s="275"/>
      <c r="C564" s="286"/>
      <c r="D564" s="275"/>
      <c r="E564" s="275"/>
      <c r="F564" s="275"/>
      <c r="G564" s="275"/>
      <c r="H564" s="275"/>
      <c r="I564" s="275"/>
      <c r="J564" s="275"/>
      <c r="K564" s="286"/>
      <c r="L564" s="286"/>
      <c r="M564" s="286"/>
      <c r="N564" s="275"/>
      <c r="O564" s="275"/>
      <c r="P564" s="275"/>
      <c r="Q564" s="275"/>
      <c r="R564" s="275"/>
      <c r="S564" s="275"/>
      <c r="T564" s="275"/>
      <c r="U564" s="275"/>
      <c r="V564" s="275"/>
      <c r="W564" s="275"/>
      <c r="X564" s="275"/>
      <c r="Y564" s="275"/>
      <c r="Z564" s="275"/>
      <c r="AA564" s="275"/>
    </row>
    <row r="565" ht="15.75" customHeight="1">
      <c r="A565" s="275"/>
      <c r="B565" s="275"/>
      <c r="C565" s="286"/>
      <c r="D565" s="275"/>
      <c r="E565" s="275"/>
      <c r="F565" s="275"/>
      <c r="G565" s="275"/>
      <c r="H565" s="275"/>
      <c r="I565" s="275"/>
      <c r="J565" s="275"/>
      <c r="K565" s="286"/>
      <c r="L565" s="286"/>
      <c r="M565" s="286"/>
      <c r="N565" s="275"/>
      <c r="O565" s="275"/>
      <c r="P565" s="275"/>
      <c r="Q565" s="275"/>
      <c r="R565" s="275"/>
      <c r="S565" s="275"/>
      <c r="T565" s="275"/>
      <c r="U565" s="275"/>
      <c r="V565" s="275"/>
      <c r="W565" s="275"/>
      <c r="X565" s="275"/>
      <c r="Y565" s="275"/>
      <c r="Z565" s="275"/>
      <c r="AA565" s="275"/>
    </row>
    <row r="566" ht="15.75" customHeight="1">
      <c r="A566" s="275"/>
      <c r="B566" s="275"/>
      <c r="C566" s="286"/>
      <c r="D566" s="275"/>
      <c r="E566" s="275"/>
      <c r="F566" s="275"/>
      <c r="G566" s="275"/>
      <c r="H566" s="275"/>
      <c r="I566" s="275"/>
      <c r="J566" s="275"/>
      <c r="K566" s="286"/>
      <c r="L566" s="286"/>
      <c r="M566" s="286"/>
      <c r="N566" s="275"/>
      <c r="O566" s="275"/>
      <c r="P566" s="275"/>
      <c r="Q566" s="275"/>
      <c r="R566" s="275"/>
      <c r="S566" s="275"/>
      <c r="T566" s="275"/>
      <c r="U566" s="275"/>
      <c r="V566" s="275"/>
      <c r="W566" s="275"/>
      <c r="X566" s="275"/>
      <c r="Y566" s="275"/>
      <c r="Z566" s="275"/>
      <c r="AA566" s="275"/>
    </row>
    <row r="567" ht="15.75" customHeight="1">
      <c r="A567" s="275"/>
      <c r="B567" s="275"/>
      <c r="C567" s="286"/>
      <c r="D567" s="275"/>
      <c r="E567" s="275"/>
      <c r="F567" s="275"/>
      <c r="G567" s="275"/>
      <c r="H567" s="275"/>
      <c r="I567" s="275"/>
      <c r="J567" s="275"/>
      <c r="K567" s="286"/>
      <c r="L567" s="286"/>
      <c r="M567" s="286"/>
      <c r="N567" s="275"/>
      <c r="O567" s="275"/>
      <c r="P567" s="275"/>
      <c r="Q567" s="275"/>
      <c r="R567" s="275"/>
      <c r="S567" s="275"/>
      <c r="T567" s="275"/>
      <c r="U567" s="275"/>
      <c r="V567" s="275"/>
      <c r="W567" s="275"/>
      <c r="X567" s="275"/>
      <c r="Y567" s="275"/>
      <c r="Z567" s="275"/>
      <c r="AA567" s="275"/>
    </row>
    <row r="568" ht="15.75" customHeight="1">
      <c r="A568" s="275"/>
      <c r="B568" s="275"/>
      <c r="C568" s="286"/>
      <c r="D568" s="275"/>
      <c r="E568" s="275"/>
      <c r="F568" s="275"/>
      <c r="G568" s="275"/>
      <c r="H568" s="275"/>
      <c r="I568" s="275"/>
      <c r="J568" s="275"/>
      <c r="K568" s="286"/>
      <c r="L568" s="286"/>
      <c r="M568" s="286"/>
      <c r="N568" s="275"/>
      <c r="O568" s="275"/>
      <c r="P568" s="275"/>
      <c r="Q568" s="275"/>
      <c r="R568" s="275"/>
      <c r="S568" s="275"/>
      <c r="T568" s="275"/>
      <c r="U568" s="275"/>
      <c r="V568" s="275"/>
      <c r="W568" s="275"/>
      <c r="X568" s="275"/>
      <c r="Y568" s="275"/>
      <c r="Z568" s="275"/>
      <c r="AA568" s="275"/>
    </row>
    <row r="569" ht="15.75" customHeight="1">
      <c r="A569" s="275"/>
      <c r="B569" s="275"/>
      <c r="C569" s="286"/>
      <c r="D569" s="275"/>
      <c r="E569" s="275"/>
      <c r="F569" s="275"/>
      <c r="G569" s="275"/>
      <c r="H569" s="275"/>
      <c r="I569" s="275"/>
      <c r="J569" s="275"/>
      <c r="K569" s="286"/>
      <c r="L569" s="286"/>
      <c r="M569" s="286"/>
      <c r="N569" s="275"/>
      <c r="O569" s="275"/>
      <c r="P569" s="275"/>
      <c r="Q569" s="275"/>
      <c r="R569" s="275"/>
      <c r="S569" s="275"/>
      <c r="T569" s="275"/>
      <c r="U569" s="275"/>
      <c r="V569" s="275"/>
      <c r="W569" s="275"/>
      <c r="X569" s="275"/>
      <c r="Y569" s="275"/>
      <c r="Z569" s="275"/>
      <c r="AA569" s="275"/>
    </row>
    <row r="570" ht="15.75" customHeight="1">
      <c r="A570" s="275"/>
      <c r="B570" s="275"/>
      <c r="C570" s="286"/>
      <c r="D570" s="275"/>
      <c r="E570" s="275"/>
      <c r="F570" s="275"/>
      <c r="G570" s="275"/>
      <c r="H570" s="275"/>
      <c r="I570" s="275"/>
      <c r="J570" s="275"/>
      <c r="K570" s="286"/>
      <c r="L570" s="286"/>
      <c r="M570" s="286"/>
      <c r="N570" s="275"/>
      <c r="O570" s="275"/>
      <c r="P570" s="275"/>
      <c r="Q570" s="275"/>
      <c r="R570" s="275"/>
      <c r="S570" s="275"/>
      <c r="T570" s="275"/>
      <c r="U570" s="275"/>
      <c r="V570" s="275"/>
      <c r="W570" s="275"/>
      <c r="X570" s="275"/>
      <c r="Y570" s="275"/>
      <c r="Z570" s="275"/>
      <c r="AA570" s="275"/>
    </row>
    <row r="571" ht="15.75" customHeight="1">
      <c r="A571" s="275"/>
      <c r="B571" s="275"/>
      <c r="C571" s="286"/>
      <c r="D571" s="275"/>
      <c r="E571" s="275"/>
      <c r="F571" s="275"/>
      <c r="G571" s="275"/>
      <c r="H571" s="275"/>
      <c r="I571" s="275"/>
      <c r="J571" s="275"/>
      <c r="K571" s="286"/>
      <c r="L571" s="286"/>
      <c r="M571" s="286"/>
      <c r="N571" s="275"/>
      <c r="O571" s="275"/>
      <c r="P571" s="275"/>
      <c r="Q571" s="275"/>
      <c r="R571" s="275"/>
      <c r="S571" s="275"/>
      <c r="T571" s="275"/>
      <c r="U571" s="275"/>
      <c r="V571" s="275"/>
      <c r="W571" s="275"/>
      <c r="X571" s="275"/>
      <c r="Y571" s="275"/>
      <c r="Z571" s="275"/>
      <c r="AA571" s="275"/>
    </row>
    <row r="572" ht="15.75" customHeight="1">
      <c r="A572" s="275"/>
      <c r="B572" s="275"/>
      <c r="C572" s="286"/>
      <c r="D572" s="275"/>
      <c r="E572" s="275"/>
      <c r="F572" s="275"/>
      <c r="G572" s="275"/>
      <c r="H572" s="275"/>
      <c r="I572" s="275"/>
      <c r="J572" s="275"/>
      <c r="K572" s="286"/>
      <c r="L572" s="286"/>
      <c r="M572" s="286"/>
      <c r="N572" s="275"/>
      <c r="O572" s="275"/>
      <c r="P572" s="275"/>
      <c r="Q572" s="275"/>
      <c r="R572" s="275"/>
      <c r="S572" s="275"/>
      <c r="T572" s="275"/>
      <c r="U572" s="275"/>
      <c r="V572" s="275"/>
      <c r="W572" s="275"/>
      <c r="X572" s="275"/>
      <c r="Y572" s="275"/>
      <c r="Z572" s="275"/>
      <c r="AA572" s="275"/>
    </row>
    <row r="573" ht="15.75" customHeight="1">
      <c r="A573" s="275"/>
      <c r="B573" s="275"/>
      <c r="C573" s="286"/>
      <c r="D573" s="275"/>
      <c r="E573" s="275"/>
      <c r="F573" s="275"/>
      <c r="G573" s="275"/>
      <c r="H573" s="275"/>
      <c r="I573" s="275"/>
      <c r="J573" s="275"/>
      <c r="K573" s="286"/>
      <c r="L573" s="286"/>
      <c r="M573" s="286"/>
      <c r="N573" s="275"/>
      <c r="O573" s="275"/>
      <c r="P573" s="275"/>
      <c r="Q573" s="275"/>
      <c r="R573" s="275"/>
      <c r="S573" s="275"/>
      <c r="T573" s="275"/>
      <c r="U573" s="275"/>
      <c r="V573" s="275"/>
      <c r="W573" s="275"/>
      <c r="X573" s="275"/>
      <c r="Y573" s="275"/>
      <c r="Z573" s="275"/>
      <c r="AA573" s="275"/>
    </row>
    <row r="574" ht="15.75" customHeight="1">
      <c r="A574" s="275"/>
      <c r="B574" s="275"/>
      <c r="C574" s="286"/>
      <c r="D574" s="275"/>
      <c r="E574" s="275"/>
      <c r="F574" s="275"/>
      <c r="G574" s="275"/>
      <c r="H574" s="275"/>
      <c r="I574" s="275"/>
      <c r="J574" s="275"/>
      <c r="K574" s="286"/>
      <c r="L574" s="286"/>
      <c r="M574" s="286"/>
      <c r="N574" s="275"/>
      <c r="O574" s="275"/>
      <c r="P574" s="275"/>
      <c r="Q574" s="275"/>
      <c r="R574" s="275"/>
      <c r="S574" s="275"/>
      <c r="T574" s="275"/>
      <c r="U574" s="275"/>
      <c r="V574" s="275"/>
      <c r="W574" s="275"/>
      <c r="X574" s="275"/>
      <c r="Y574" s="275"/>
      <c r="Z574" s="275"/>
      <c r="AA574" s="275"/>
    </row>
    <row r="575" ht="15.75" customHeight="1">
      <c r="A575" s="275"/>
      <c r="B575" s="275"/>
      <c r="C575" s="286"/>
      <c r="D575" s="275"/>
      <c r="E575" s="275"/>
      <c r="F575" s="275"/>
      <c r="G575" s="275"/>
      <c r="H575" s="275"/>
      <c r="I575" s="275"/>
      <c r="J575" s="275"/>
      <c r="K575" s="286"/>
      <c r="L575" s="286"/>
      <c r="M575" s="286"/>
      <c r="N575" s="275"/>
      <c r="O575" s="275"/>
      <c r="P575" s="275"/>
      <c r="Q575" s="275"/>
      <c r="R575" s="275"/>
      <c r="S575" s="275"/>
      <c r="T575" s="275"/>
      <c r="U575" s="275"/>
      <c r="V575" s="275"/>
      <c r="W575" s="275"/>
      <c r="X575" s="275"/>
      <c r="Y575" s="275"/>
      <c r="Z575" s="275"/>
      <c r="AA575" s="275"/>
    </row>
    <row r="576" ht="15.75" customHeight="1">
      <c r="A576" s="275"/>
      <c r="B576" s="275"/>
      <c r="C576" s="286"/>
      <c r="D576" s="275"/>
      <c r="E576" s="275"/>
      <c r="F576" s="275"/>
      <c r="G576" s="275"/>
      <c r="H576" s="275"/>
      <c r="I576" s="275"/>
      <c r="J576" s="275"/>
      <c r="K576" s="286"/>
      <c r="L576" s="286"/>
      <c r="M576" s="286"/>
      <c r="N576" s="275"/>
      <c r="O576" s="275"/>
      <c r="P576" s="275"/>
      <c r="Q576" s="275"/>
      <c r="R576" s="275"/>
      <c r="S576" s="275"/>
      <c r="T576" s="275"/>
      <c r="U576" s="275"/>
      <c r="V576" s="275"/>
      <c r="W576" s="275"/>
      <c r="X576" s="275"/>
      <c r="Y576" s="275"/>
      <c r="Z576" s="275"/>
      <c r="AA576" s="275"/>
    </row>
    <row r="577" ht="15.75" customHeight="1">
      <c r="A577" s="275"/>
      <c r="B577" s="275"/>
      <c r="C577" s="286"/>
      <c r="D577" s="275"/>
      <c r="E577" s="275"/>
      <c r="F577" s="275"/>
      <c r="G577" s="275"/>
      <c r="H577" s="275"/>
      <c r="I577" s="275"/>
      <c r="J577" s="275"/>
      <c r="K577" s="286"/>
      <c r="L577" s="286"/>
      <c r="M577" s="286"/>
      <c r="N577" s="275"/>
      <c r="O577" s="275"/>
      <c r="P577" s="275"/>
      <c r="Q577" s="275"/>
      <c r="R577" s="275"/>
      <c r="S577" s="275"/>
      <c r="T577" s="275"/>
      <c r="U577" s="275"/>
      <c r="V577" s="275"/>
      <c r="W577" s="275"/>
      <c r="X577" s="275"/>
      <c r="Y577" s="275"/>
      <c r="Z577" s="275"/>
      <c r="AA577" s="275"/>
    </row>
    <row r="578" ht="15.75" customHeight="1">
      <c r="A578" s="275"/>
      <c r="B578" s="275"/>
      <c r="C578" s="286"/>
      <c r="D578" s="275"/>
      <c r="E578" s="275"/>
      <c r="F578" s="275"/>
      <c r="G578" s="275"/>
      <c r="H578" s="275"/>
      <c r="I578" s="275"/>
      <c r="J578" s="275"/>
      <c r="K578" s="286"/>
      <c r="L578" s="286"/>
      <c r="M578" s="286"/>
      <c r="N578" s="275"/>
      <c r="O578" s="275"/>
      <c r="P578" s="275"/>
      <c r="Q578" s="275"/>
      <c r="R578" s="275"/>
      <c r="S578" s="275"/>
      <c r="T578" s="275"/>
      <c r="U578" s="275"/>
      <c r="V578" s="275"/>
      <c r="W578" s="275"/>
      <c r="X578" s="275"/>
      <c r="Y578" s="275"/>
      <c r="Z578" s="275"/>
      <c r="AA578" s="275"/>
    </row>
    <row r="579" ht="15.75" customHeight="1">
      <c r="A579" s="275"/>
      <c r="B579" s="275"/>
      <c r="C579" s="286"/>
      <c r="D579" s="275"/>
      <c r="E579" s="275"/>
      <c r="F579" s="275"/>
      <c r="G579" s="275"/>
      <c r="H579" s="275"/>
      <c r="I579" s="275"/>
      <c r="J579" s="275"/>
      <c r="K579" s="286"/>
      <c r="L579" s="286"/>
      <c r="M579" s="286"/>
      <c r="N579" s="275"/>
      <c r="O579" s="275"/>
      <c r="P579" s="275"/>
      <c r="Q579" s="275"/>
      <c r="R579" s="275"/>
      <c r="S579" s="275"/>
      <c r="T579" s="275"/>
      <c r="U579" s="275"/>
      <c r="V579" s="275"/>
      <c r="W579" s="275"/>
      <c r="X579" s="275"/>
      <c r="Y579" s="275"/>
      <c r="Z579" s="275"/>
      <c r="AA579" s="275"/>
    </row>
    <row r="580" ht="15.75" customHeight="1">
      <c r="A580" s="275"/>
      <c r="B580" s="275"/>
      <c r="C580" s="286"/>
      <c r="D580" s="275"/>
      <c r="E580" s="275"/>
      <c r="F580" s="275"/>
      <c r="G580" s="275"/>
      <c r="H580" s="275"/>
      <c r="I580" s="275"/>
      <c r="J580" s="275"/>
      <c r="K580" s="286"/>
      <c r="L580" s="286"/>
      <c r="M580" s="286"/>
      <c r="N580" s="275"/>
      <c r="O580" s="275"/>
      <c r="P580" s="275"/>
      <c r="Q580" s="275"/>
      <c r="R580" s="275"/>
      <c r="S580" s="275"/>
      <c r="T580" s="275"/>
      <c r="U580" s="275"/>
      <c r="V580" s="275"/>
      <c r="W580" s="275"/>
      <c r="X580" s="275"/>
      <c r="Y580" s="275"/>
      <c r="Z580" s="275"/>
      <c r="AA580" s="275"/>
    </row>
    <row r="581" ht="15.75" customHeight="1">
      <c r="A581" s="275"/>
      <c r="B581" s="275"/>
      <c r="C581" s="286"/>
      <c r="D581" s="275"/>
      <c r="E581" s="275"/>
      <c r="F581" s="275"/>
      <c r="G581" s="275"/>
      <c r="H581" s="275"/>
      <c r="I581" s="275"/>
      <c r="J581" s="275"/>
      <c r="K581" s="286"/>
      <c r="L581" s="286"/>
      <c r="M581" s="286"/>
      <c r="N581" s="275"/>
      <c r="O581" s="275"/>
      <c r="P581" s="275"/>
      <c r="Q581" s="275"/>
      <c r="R581" s="275"/>
      <c r="S581" s="275"/>
      <c r="T581" s="275"/>
      <c r="U581" s="275"/>
      <c r="V581" s="275"/>
      <c r="W581" s="275"/>
      <c r="X581" s="275"/>
      <c r="Y581" s="275"/>
      <c r="Z581" s="275"/>
      <c r="AA581" s="275"/>
    </row>
    <row r="582" ht="15.75" customHeight="1">
      <c r="A582" s="275"/>
      <c r="B582" s="275"/>
      <c r="C582" s="286"/>
      <c r="D582" s="275"/>
      <c r="E582" s="275"/>
      <c r="F582" s="275"/>
      <c r="G582" s="275"/>
      <c r="H582" s="275"/>
      <c r="I582" s="275"/>
      <c r="J582" s="275"/>
      <c r="K582" s="286"/>
      <c r="L582" s="286"/>
      <c r="M582" s="286"/>
      <c r="N582" s="275"/>
      <c r="O582" s="275"/>
      <c r="P582" s="275"/>
      <c r="Q582" s="275"/>
      <c r="R582" s="275"/>
      <c r="S582" s="275"/>
      <c r="T582" s="275"/>
      <c r="U582" s="275"/>
      <c r="V582" s="275"/>
      <c r="W582" s="275"/>
      <c r="X582" s="275"/>
      <c r="Y582" s="275"/>
      <c r="Z582" s="275"/>
      <c r="AA582" s="275"/>
    </row>
    <row r="583" ht="15.75" customHeight="1">
      <c r="A583" s="275"/>
      <c r="B583" s="275"/>
      <c r="C583" s="286"/>
      <c r="D583" s="275"/>
      <c r="E583" s="275"/>
      <c r="F583" s="275"/>
      <c r="G583" s="275"/>
      <c r="H583" s="275"/>
      <c r="I583" s="275"/>
      <c r="J583" s="275"/>
      <c r="K583" s="286"/>
      <c r="L583" s="286"/>
      <c r="M583" s="286"/>
      <c r="N583" s="275"/>
      <c r="O583" s="275"/>
      <c r="P583" s="275"/>
      <c r="Q583" s="275"/>
      <c r="R583" s="275"/>
      <c r="S583" s="275"/>
      <c r="T583" s="275"/>
      <c r="U583" s="275"/>
      <c r="V583" s="275"/>
      <c r="W583" s="275"/>
      <c r="X583" s="275"/>
      <c r="Y583" s="275"/>
      <c r="Z583" s="275"/>
      <c r="AA583" s="275"/>
    </row>
    <row r="584" ht="15.75" customHeight="1">
      <c r="A584" s="275"/>
      <c r="B584" s="275"/>
      <c r="C584" s="286"/>
      <c r="D584" s="275"/>
      <c r="E584" s="275"/>
      <c r="F584" s="275"/>
      <c r="G584" s="275"/>
      <c r="H584" s="275"/>
      <c r="I584" s="275"/>
      <c r="J584" s="275"/>
      <c r="K584" s="286"/>
      <c r="L584" s="286"/>
      <c r="M584" s="286"/>
      <c r="N584" s="275"/>
      <c r="O584" s="275"/>
      <c r="P584" s="275"/>
      <c r="Q584" s="275"/>
      <c r="R584" s="275"/>
      <c r="S584" s="275"/>
      <c r="T584" s="275"/>
      <c r="U584" s="275"/>
      <c r="V584" s="275"/>
      <c r="W584" s="275"/>
      <c r="X584" s="275"/>
      <c r="Y584" s="275"/>
      <c r="Z584" s="275"/>
      <c r="AA584" s="275"/>
    </row>
    <row r="585" ht="15.75" customHeight="1">
      <c r="A585" s="275"/>
      <c r="B585" s="275"/>
      <c r="C585" s="286"/>
      <c r="D585" s="275"/>
      <c r="E585" s="275"/>
      <c r="F585" s="275"/>
      <c r="G585" s="275"/>
      <c r="H585" s="275"/>
      <c r="I585" s="275"/>
      <c r="J585" s="275"/>
      <c r="K585" s="286"/>
      <c r="L585" s="286"/>
      <c r="M585" s="286"/>
      <c r="N585" s="275"/>
      <c r="O585" s="275"/>
      <c r="P585" s="275"/>
      <c r="Q585" s="275"/>
      <c r="R585" s="275"/>
      <c r="S585" s="275"/>
      <c r="T585" s="275"/>
      <c r="U585" s="275"/>
      <c r="V585" s="275"/>
      <c r="W585" s="275"/>
      <c r="X585" s="275"/>
      <c r="Y585" s="275"/>
      <c r="Z585" s="275"/>
      <c r="AA585" s="275"/>
    </row>
    <row r="586" ht="15.75" customHeight="1">
      <c r="A586" s="275"/>
      <c r="B586" s="275"/>
      <c r="C586" s="286"/>
      <c r="D586" s="275"/>
      <c r="E586" s="275"/>
      <c r="F586" s="275"/>
      <c r="G586" s="275"/>
      <c r="H586" s="275"/>
      <c r="I586" s="275"/>
      <c r="J586" s="275"/>
      <c r="K586" s="286"/>
      <c r="L586" s="286"/>
      <c r="M586" s="286"/>
      <c r="N586" s="275"/>
      <c r="O586" s="275"/>
      <c r="P586" s="275"/>
      <c r="Q586" s="275"/>
      <c r="R586" s="275"/>
      <c r="S586" s="275"/>
      <c r="T586" s="275"/>
      <c r="U586" s="275"/>
      <c r="V586" s="275"/>
      <c r="W586" s="275"/>
      <c r="X586" s="275"/>
      <c r="Y586" s="275"/>
      <c r="Z586" s="275"/>
      <c r="AA586" s="275"/>
    </row>
    <row r="587" ht="15.75" customHeight="1">
      <c r="A587" s="275"/>
      <c r="B587" s="275"/>
      <c r="C587" s="286"/>
      <c r="D587" s="275"/>
      <c r="E587" s="275"/>
      <c r="F587" s="275"/>
      <c r="G587" s="275"/>
      <c r="H587" s="275"/>
      <c r="I587" s="275"/>
      <c r="J587" s="275"/>
      <c r="K587" s="286"/>
      <c r="L587" s="286"/>
      <c r="M587" s="286"/>
      <c r="N587" s="275"/>
      <c r="O587" s="275"/>
      <c r="P587" s="275"/>
      <c r="Q587" s="275"/>
      <c r="R587" s="275"/>
      <c r="S587" s="275"/>
      <c r="T587" s="275"/>
      <c r="U587" s="275"/>
      <c r="V587" s="275"/>
      <c r="W587" s="275"/>
      <c r="X587" s="275"/>
      <c r="Y587" s="275"/>
      <c r="Z587" s="275"/>
      <c r="AA587" s="275"/>
    </row>
    <row r="588" ht="15.75" customHeight="1">
      <c r="A588" s="275"/>
      <c r="B588" s="275"/>
      <c r="C588" s="286"/>
      <c r="D588" s="275"/>
      <c r="E588" s="275"/>
      <c r="F588" s="275"/>
      <c r="G588" s="275"/>
      <c r="H588" s="275"/>
      <c r="I588" s="275"/>
      <c r="J588" s="275"/>
      <c r="K588" s="286"/>
      <c r="L588" s="286"/>
      <c r="M588" s="286"/>
      <c r="N588" s="275"/>
      <c r="O588" s="275"/>
      <c r="P588" s="275"/>
      <c r="Q588" s="275"/>
      <c r="R588" s="275"/>
      <c r="S588" s="275"/>
      <c r="T588" s="275"/>
      <c r="U588" s="275"/>
      <c r="V588" s="275"/>
      <c r="W588" s="275"/>
      <c r="X588" s="275"/>
      <c r="Y588" s="275"/>
      <c r="Z588" s="275"/>
      <c r="AA588" s="275"/>
    </row>
    <row r="589" ht="15.75" customHeight="1">
      <c r="A589" s="275"/>
      <c r="B589" s="275"/>
      <c r="C589" s="286"/>
      <c r="D589" s="275"/>
      <c r="E589" s="275"/>
      <c r="F589" s="275"/>
      <c r="G589" s="275"/>
      <c r="H589" s="275"/>
      <c r="I589" s="275"/>
      <c r="J589" s="275"/>
      <c r="K589" s="286"/>
      <c r="L589" s="286"/>
      <c r="M589" s="286"/>
      <c r="N589" s="275"/>
      <c r="O589" s="275"/>
      <c r="P589" s="275"/>
      <c r="Q589" s="275"/>
      <c r="R589" s="275"/>
      <c r="S589" s="275"/>
      <c r="T589" s="275"/>
      <c r="U589" s="275"/>
      <c r="V589" s="275"/>
      <c r="W589" s="275"/>
      <c r="X589" s="275"/>
      <c r="Y589" s="275"/>
      <c r="Z589" s="275"/>
      <c r="AA589" s="275"/>
    </row>
    <row r="590" ht="15.75" customHeight="1">
      <c r="A590" s="275"/>
      <c r="B590" s="275"/>
      <c r="C590" s="286"/>
      <c r="D590" s="275"/>
      <c r="E590" s="275"/>
      <c r="F590" s="275"/>
      <c r="G590" s="275"/>
      <c r="H590" s="275"/>
      <c r="I590" s="275"/>
      <c r="J590" s="275"/>
      <c r="K590" s="286"/>
      <c r="L590" s="286"/>
      <c r="M590" s="286"/>
      <c r="N590" s="275"/>
      <c r="O590" s="275"/>
      <c r="P590" s="275"/>
      <c r="Q590" s="275"/>
      <c r="R590" s="275"/>
      <c r="S590" s="275"/>
      <c r="T590" s="275"/>
      <c r="U590" s="275"/>
      <c r="V590" s="275"/>
      <c r="W590" s="275"/>
      <c r="X590" s="275"/>
      <c r="Y590" s="275"/>
      <c r="Z590" s="275"/>
      <c r="AA590" s="275"/>
    </row>
    <row r="591" ht="15.75" customHeight="1">
      <c r="A591" s="275"/>
      <c r="B591" s="275"/>
      <c r="C591" s="286"/>
      <c r="D591" s="275"/>
      <c r="E591" s="275"/>
      <c r="F591" s="275"/>
      <c r="G591" s="275"/>
      <c r="H591" s="275"/>
      <c r="I591" s="275"/>
      <c r="J591" s="275"/>
      <c r="K591" s="286"/>
      <c r="L591" s="286"/>
      <c r="M591" s="286"/>
      <c r="N591" s="275"/>
      <c r="O591" s="275"/>
      <c r="P591" s="275"/>
      <c r="Q591" s="275"/>
      <c r="R591" s="275"/>
      <c r="S591" s="275"/>
      <c r="T591" s="275"/>
      <c r="U591" s="275"/>
      <c r="V591" s="275"/>
      <c r="W591" s="275"/>
      <c r="X591" s="275"/>
      <c r="Y591" s="275"/>
      <c r="Z591" s="275"/>
      <c r="AA591" s="275"/>
    </row>
    <row r="592" ht="15.75" customHeight="1">
      <c r="A592" s="275"/>
      <c r="B592" s="275"/>
      <c r="C592" s="286"/>
      <c r="D592" s="275"/>
      <c r="E592" s="275"/>
      <c r="F592" s="275"/>
      <c r="G592" s="275"/>
      <c r="H592" s="275"/>
      <c r="I592" s="275"/>
      <c r="J592" s="275"/>
      <c r="K592" s="286"/>
      <c r="L592" s="286"/>
      <c r="M592" s="286"/>
      <c r="N592" s="275"/>
      <c r="O592" s="275"/>
      <c r="P592" s="275"/>
      <c r="Q592" s="275"/>
      <c r="R592" s="275"/>
      <c r="S592" s="275"/>
      <c r="T592" s="275"/>
      <c r="U592" s="275"/>
      <c r="V592" s="275"/>
      <c r="W592" s="275"/>
      <c r="X592" s="275"/>
      <c r="Y592" s="275"/>
      <c r="Z592" s="275"/>
      <c r="AA592" s="275"/>
    </row>
    <row r="593" ht="15.75" customHeight="1">
      <c r="A593" s="275"/>
      <c r="B593" s="275"/>
      <c r="C593" s="286"/>
      <c r="D593" s="275"/>
      <c r="E593" s="275"/>
      <c r="F593" s="275"/>
      <c r="G593" s="275"/>
      <c r="H593" s="275"/>
      <c r="I593" s="275"/>
      <c r="J593" s="275"/>
      <c r="K593" s="286"/>
      <c r="L593" s="286"/>
      <c r="M593" s="286"/>
      <c r="N593" s="275"/>
      <c r="O593" s="275"/>
      <c r="P593" s="275"/>
      <c r="Q593" s="275"/>
      <c r="R593" s="275"/>
      <c r="S593" s="275"/>
      <c r="T593" s="275"/>
      <c r="U593" s="275"/>
      <c r="V593" s="275"/>
      <c r="W593" s="275"/>
      <c r="X593" s="275"/>
      <c r="Y593" s="275"/>
      <c r="Z593" s="275"/>
      <c r="AA593" s="275"/>
    </row>
    <row r="594" ht="15.75" customHeight="1">
      <c r="A594" s="275"/>
      <c r="B594" s="275"/>
      <c r="C594" s="286"/>
      <c r="D594" s="275"/>
      <c r="E594" s="275"/>
      <c r="F594" s="275"/>
      <c r="G594" s="275"/>
      <c r="H594" s="275"/>
      <c r="I594" s="275"/>
      <c r="J594" s="275"/>
      <c r="K594" s="286"/>
      <c r="L594" s="286"/>
      <c r="M594" s="286"/>
      <c r="N594" s="275"/>
      <c r="O594" s="275"/>
      <c r="P594" s="275"/>
      <c r="Q594" s="275"/>
      <c r="R594" s="275"/>
      <c r="S594" s="275"/>
      <c r="T594" s="275"/>
      <c r="U594" s="275"/>
      <c r="V594" s="275"/>
      <c r="W594" s="275"/>
      <c r="X594" s="275"/>
      <c r="Y594" s="275"/>
      <c r="Z594" s="275"/>
      <c r="AA594" s="275"/>
    </row>
    <row r="595" ht="15.75" customHeight="1">
      <c r="A595" s="275"/>
      <c r="B595" s="275"/>
      <c r="C595" s="286"/>
      <c r="D595" s="275"/>
      <c r="E595" s="275"/>
      <c r="F595" s="275"/>
      <c r="G595" s="275"/>
      <c r="H595" s="275"/>
      <c r="I595" s="275"/>
      <c r="J595" s="275"/>
      <c r="K595" s="286"/>
      <c r="L595" s="286"/>
      <c r="M595" s="286"/>
      <c r="N595" s="275"/>
      <c r="O595" s="275"/>
      <c r="P595" s="275"/>
      <c r="Q595" s="275"/>
      <c r="R595" s="275"/>
      <c r="S595" s="275"/>
      <c r="T595" s="275"/>
      <c r="U595" s="275"/>
      <c r="V595" s="275"/>
      <c r="W595" s="275"/>
      <c r="X595" s="275"/>
      <c r="Y595" s="275"/>
      <c r="Z595" s="275"/>
      <c r="AA595" s="275"/>
    </row>
    <row r="596" ht="15.75" customHeight="1">
      <c r="A596" s="275"/>
      <c r="B596" s="275"/>
      <c r="C596" s="286"/>
      <c r="D596" s="275"/>
      <c r="E596" s="275"/>
      <c r="F596" s="275"/>
      <c r="G596" s="275"/>
      <c r="H596" s="275"/>
      <c r="I596" s="275"/>
      <c r="J596" s="275"/>
      <c r="K596" s="286"/>
      <c r="L596" s="286"/>
      <c r="M596" s="286"/>
      <c r="N596" s="275"/>
      <c r="O596" s="275"/>
      <c r="P596" s="275"/>
      <c r="Q596" s="275"/>
      <c r="R596" s="275"/>
      <c r="S596" s="275"/>
      <c r="T596" s="275"/>
      <c r="U596" s="275"/>
      <c r="V596" s="275"/>
      <c r="W596" s="275"/>
      <c r="X596" s="275"/>
      <c r="Y596" s="275"/>
      <c r="Z596" s="275"/>
      <c r="AA596" s="275"/>
    </row>
    <row r="597" ht="15.75" customHeight="1">
      <c r="A597" s="275"/>
      <c r="B597" s="275"/>
      <c r="C597" s="286"/>
      <c r="D597" s="275"/>
      <c r="E597" s="275"/>
      <c r="F597" s="275"/>
      <c r="G597" s="275"/>
      <c r="H597" s="275"/>
      <c r="I597" s="275"/>
      <c r="J597" s="275"/>
      <c r="K597" s="286"/>
      <c r="L597" s="286"/>
      <c r="M597" s="286"/>
      <c r="N597" s="275"/>
      <c r="O597" s="275"/>
      <c r="P597" s="275"/>
      <c r="Q597" s="275"/>
      <c r="R597" s="275"/>
      <c r="S597" s="275"/>
      <c r="T597" s="275"/>
      <c r="U597" s="275"/>
      <c r="V597" s="275"/>
      <c r="W597" s="275"/>
      <c r="X597" s="275"/>
      <c r="Y597" s="275"/>
      <c r="Z597" s="275"/>
      <c r="AA597" s="275"/>
    </row>
    <row r="598" ht="15.75" customHeight="1">
      <c r="A598" s="275"/>
      <c r="B598" s="275"/>
      <c r="C598" s="286"/>
      <c r="D598" s="275"/>
      <c r="E598" s="275"/>
      <c r="F598" s="275"/>
      <c r="G598" s="275"/>
      <c r="H598" s="275"/>
      <c r="I598" s="275"/>
      <c r="J598" s="275"/>
      <c r="K598" s="286"/>
      <c r="L598" s="286"/>
      <c r="M598" s="286"/>
      <c r="N598" s="275"/>
      <c r="O598" s="275"/>
      <c r="P598" s="275"/>
      <c r="Q598" s="275"/>
      <c r="R598" s="275"/>
      <c r="S598" s="275"/>
      <c r="T598" s="275"/>
      <c r="U598" s="275"/>
      <c r="V598" s="275"/>
      <c r="W598" s="275"/>
      <c r="X598" s="275"/>
      <c r="Y598" s="275"/>
      <c r="Z598" s="275"/>
      <c r="AA598" s="275"/>
    </row>
    <row r="599" ht="15.75" customHeight="1">
      <c r="A599" s="275"/>
      <c r="B599" s="275"/>
      <c r="C599" s="286"/>
      <c r="D599" s="275"/>
      <c r="E599" s="275"/>
      <c r="F599" s="275"/>
      <c r="G599" s="275"/>
      <c r="H599" s="275"/>
      <c r="I599" s="275"/>
      <c r="J599" s="275"/>
      <c r="K599" s="286"/>
      <c r="L599" s="286"/>
      <c r="M599" s="286"/>
      <c r="N599" s="275"/>
      <c r="O599" s="275"/>
      <c r="P599" s="275"/>
      <c r="Q599" s="275"/>
      <c r="R599" s="275"/>
      <c r="S599" s="275"/>
      <c r="T599" s="275"/>
      <c r="U599" s="275"/>
      <c r="V599" s="275"/>
      <c r="W599" s="275"/>
      <c r="X599" s="275"/>
      <c r="Y599" s="275"/>
      <c r="Z599" s="275"/>
      <c r="AA599" s="275"/>
    </row>
    <row r="600" ht="15.75" customHeight="1">
      <c r="A600" s="275"/>
      <c r="B600" s="275"/>
      <c r="C600" s="286"/>
      <c r="D600" s="275"/>
      <c r="E600" s="275"/>
      <c r="F600" s="275"/>
      <c r="G600" s="275"/>
      <c r="H600" s="275"/>
      <c r="I600" s="275"/>
      <c r="J600" s="275"/>
      <c r="K600" s="286"/>
      <c r="L600" s="286"/>
      <c r="M600" s="286"/>
      <c r="N600" s="275"/>
      <c r="O600" s="275"/>
      <c r="P600" s="275"/>
      <c r="Q600" s="275"/>
      <c r="R600" s="275"/>
      <c r="S600" s="275"/>
      <c r="T600" s="275"/>
      <c r="U600" s="275"/>
      <c r="V600" s="275"/>
      <c r="W600" s="275"/>
      <c r="X600" s="275"/>
      <c r="Y600" s="275"/>
      <c r="Z600" s="275"/>
      <c r="AA600" s="275"/>
    </row>
    <row r="601" ht="15.75" customHeight="1">
      <c r="A601" s="275"/>
      <c r="B601" s="275"/>
      <c r="C601" s="286"/>
      <c r="D601" s="275"/>
      <c r="E601" s="275"/>
      <c r="F601" s="275"/>
      <c r="G601" s="275"/>
      <c r="H601" s="275"/>
      <c r="I601" s="275"/>
      <c r="J601" s="275"/>
      <c r="K601" s="286"/>
      <c r="L601" s="286"/>
      <c r="M601" s="286"/>
      <c r="N601" s="275"/>
      <c r="O601" s="275"/>
      <c r="P601" s="275"/>
      <c r="Q601" s="275"/>
      <c r="R601" s="275"/>
      <c r="S601" s="275"/>
      <c r="T601" s="275"/>
      <c r="U601" s="275"/>
      <c r="V601" s="275"/>
      <c r="W601" s="275"/>
      <c r="X601" s="275"/>
      <c r="Y601" s="275"/>
      <c r="Z601" s="275"/>
      <c r="AA601" s="275"/>
    </row>
    <row r="602" ht="15.75" customHeight="1">
      <c r="A602" s="275"/>
      <c r="B602" s="275"/>
      <c r="C602" s="286"/>
      <c r="D602" s="275"/>
      <c r="E602" s="275"/>
      <c r="F602" s="275"/>
      <c r="G602" s="275"/>
      <c r="H602" s="275"/>
      <c r="I602" s="275"/>
      <c r="J602" s="275"/>
      <c r="K602" s="286"/>
      <c r="L602" s="286"/>
      <c r="M602" s="286"/>
      <c r="N602" s="275"/>
      <c r="O602" s="275"/>
      <c r="P602" s="275"/>
      <c r="Q602" s="275"/>
      <c r="R602" s="275"/>
      <c r="S602" s="275"/>
      <c r="T602" s="275"/>
      <c r="U602" s="275"/>
      <c r="V602" s="275"/>
      <c r="W602" s="275"/>
      <c r="X602" s="275"/>
      <c r="Y602" s="275"/>
      <c r="Z602" s="275"/>
      <c r="AA602" s="275"/>
    </row>
    <row r="603" ht="15.75" customHeight="1">
      <c r="A603" s="275"/>
      <c r="B603" s="275"/>
      <c r="C603" s="286"/>
      <c r="D603" s="275"/>
      <c r="E603" s="275"/>
      <c r="F603" s="275"/>
      <c r="G603" s="275"/>
      <c r="H603" s="275"/>
      <c r="I603" s="275"/>
      <c r="J603" s="275"/>
      <c r="K603" s="286"/>
      <c r="L603" s="286"/>
      <c r="M603" s="286"/>
      <c r="N603" s="275"/>
      <c r="O603" s="275"/>
      <c r="P603" s="275"/>
      <c r="Q603" s="275"/>
      <c r="R603" s="275"/>
      <c r="S603" s="275"/>
      <c r="T603" s="275"/>
      <c r="U603" s="275"/>
      <c r="V603" s="275"/>
      <c r="W603" s="275"/>
      <c r="X603" s="275"/>
      <c r="Y603" s="275"/>
      <c r="Z603" s="275"/>
      <c r="AA603" s="275"/>
    </row>
    <row r="604" ht="15.75" customHeight="1">
      <c r="A604" s="275"/>
      <c r="B604" s="275"/>
      <c r="C604" s="286"/>
      <c r="D604" s="275"/>
      <c r="E604" s="275"/>
      <c r="F604" s="275"/>
      <c r="G604" s="275"/>
      <c r="H604" s="275"/>
      <c r="I604" s="275"/>
      <c r="J604" s="275"/>
      <c r="K604" s="286"/>
      <c r="L604" s="286"/>
      <c r="M604" s="286"/>
      <c r="N604" s="275"/>
      <c r="O604" s="275"/>
      <c r="P604" s="275"/>
      <c r="Q604" s="275"/>
      <c r="R604" s="275"/>
      <c r="S604" s="275"/>
      <c r="T604" s="275"/>
      <c r="U604" s="275"/>
      <c r="V604" s="275"/>
      <c r="W604" s="275"/>
      <c r="X604" s="275"/>
      <c r="Y604" s="275"/>
      <c r="Z604" s="275"/>
      <c r="AA604" s="275"/>
    </row>
    <row r="605" ht="15.75" customHeight="1">
      <c r="A605" s="275"/>
      <c r="B605" s="275"/>
      <c r="C605" s="286"/>
      <c r="D605" s="275"/>
      <c r="E605" s="275"/>
      <c r="F605" s="275"/>
      <c r="G605" s="275"/>
      <c r="H605" s="275"/>
      <c r="I605" s="275"/>
      <c r="J605" s="275"/>
      <c r="K605" s="286"/>
      <c r="L605" s="286"/>
      <c r="M605" s="286"/>
      <c r="N605" s="275"/>
      <c r="O605" s="275"/>
      <c r="P605" s="275"/>
      <c r="Q605" s="275"/>
      <c r="R605" s="275"/>
      <c r="S605" s="275"/>
      <c r="T605" s="275"/>
      <c r="U605" s="275"/>
      <c r="V605" s="275"/>
      <c r="W605" s="275"/>
      <c r="X605" s="275"/>
      <c r="Y605" s="275"/>
      <c r="Z605" s="275"/>
      <c r="AA605" s="275"/>
    </row>
    <row r="606" ht="15.75" customHeight="1">
      <c r="A606" s="275"/>
      <c r="B606" s="275"/>
      <c r="C606" s="286"/>
      <c r="D606" s="275"/>
      <c r="E606" s="275"/>
      <c r="F606" s="275"/>
      <c r="G606" s="275"/>
      <c r="H606" s="275"/>
      <c r="I606" s="275"/>
      <c r="J606" s="275"/>
      <c r="K606" s="286"/>
      <c r="L606" s="286"/>
      <c r="M606" s="286"/>
      <c r="N606" s="275"/>
      <c r="O606" s="275"/>
      <c r="P606" s="275"/>
      <c r="Q606" s="275"/>
      <c r="R606" s="275"/>
      <c r="S606" s="275"/>
      <c r="T606" s="275"/>
      <c r="U606" s="275"/>
      <c r="V606" s="275"/>
      <c r="W606" s="275"/>
      <c r="X606" s="275"/>
      <c r="Y606" s="275"/>
      <c r="Z606" s="275"/>
      <c r="AA606" s="275"/>
    </row>
    <row r="607" ht="15.75" customHeight="1">
      <c r="A607" s="275"/>
      <c r="B607" s="275"/>
      <c r="C607" s="286"/>
      <c r="D607" s="275"/>
      <c r="E607" s="275"/>
      <c r="F607" s="275"/>
      <c r="G607" s="275"/>
      <c r="H607" s="275"/>
      <c r="I607" s="275"/>
      <c r="J607" s="275"/>
      <c r="K607" s="286"/>
      <c r="L607" s="286"/>
      <c r="M607" s="286"/>
      <c r="N607" s="275"/>
      <c r="O607" s="275"/>
      <c r="P607" s="275"/>
      <c r="Q607" s="275"/>
      <c r="R607" s="275"/>
      <c r="S607" s="275"/>
      <c r="T607" s="275"/>
      <c r="U607" s="275"/>
      <c r="V607" s="275"/>
      <c r="W607" s="275"/>
      <c r="X607" s="275"/>
      <c r="Y607" s="275"/>
      <c r="Z607" s="275"/>
      <c r="AA607" s="275"/>
    </row>
    <row r="608" ht="15.75" customHeight="1">
      <c r="A608" s="275"/>
      <c r="B608" s="275"/>
      <c r="C608" s="286"/>
      <c r="D608" s="275"/>
      <c r="E608" s="275"/>
      <c r="F608" s="275"/>
      <c r="G608" s="275"/>
      <c r="H608" s="275"/>
      <c r="I608" s="275"/>
      <c r="J608" s="275"/>
      <c r="K608" s="286"/>
      <c r="L608" s="286"/>
      <c r="M608" s="286"/>
      <c r="N608" s="275"/>
      <c r="O608" s="275"/>
      <c r="P608" s="275"/>
      <c r="Q608" s="275"/>
      <c r="R608" s="275"/>
      <c r="S608" s="275"/>
      <c r="T608" s="275"/>
      <c r="U608" s="275"/>
      <c r="V608" s="275"/>
      <c r="W608" s="275"/>
      <c r="X608" s="275"/>
      <c r="Y608" s="275"/>
      <c r="Z608" s="275"/>
      <c r="AA608" s="275"/>
    </row>
    <row r="609" ht="15.75" customHeight="1">
      <c r="A609" s="275"/>
      <c r="B609" s="275"/>
      <c r="C609" s="286"/>
      <c r="D609" s="275"/>
      <c r="E609" s="275"/>
      <c r="F609" s="275"/>
      <c r="G609" s="275"/>
      <c r="H609" s="275"/>
      <c r="I609" s="275"/>
      <c r="J609" s="275"/>
      <c r="K609" s="286"/>
      <c r="L609" s="286"/>
      <c r="M609" s="286"/>
      <c r="N609" s="275"/>
      <c r="O609" s="275"/>
      <c r="P609" s="275"/>
      <c r="Q609" s="275"/>
      <c r="R609" s="275"/>
      <c r="S609" s="275"/>
      <c r="T609" s="275"/>
      <c r="U609" s="275"/>
      <c r="V609" s="275"/>
      <c r="W609" s="275"/>
      <c r="X609" s="275"/>
      <c r="Y609" s="275"/>
      <c r="Z609" s="275"/>
      <c r="AA609" s="275"/>
    </row>
    <row r="610" ht="15.75" customHeight="1">
      <c r="A610" s="275"/>
      <c r="B610" s="275"/>
      <c r="C610" s="286"/>
      <c r="D610" s="275"/>
      <c r="E610" s="275"/>
      <c r="F610" s="275"/>
      <c r="G610" s="275"/>
      <c r="H610" s="275"/>
      <c r="I610" s="275"/>
      <c r="J610" s="275"/>
      <c r="K610" s="286"/>
      <c r="L610" s="286"/>
      <c r="M610" s="286"/>
      <c r="N610" s="275"/>
      <c r="O610" s="275"/>
      <c r="P610" s="275"/>
      <c r="Q610" s="275"/>
      <c r="R610" s="275"/>
      <c r="S610" s="275"/>
      <c r="T610" s="275"/>
      <c r="U610" s="275"/>
      <c r="V610" s="275"/>
      <c r="W610" s="275"/>
      <c r="X610" s="275"/>
      <c r="Y610" s="275"/>
      <c r="Z610" s="275"/>
      <c r="AA610" s="275"/>
    </row>
    <row r="611" ht="15.75" customHeight="1">
      <c r="A611" s="275"/>
      <c r="B611" s="275"/>
      <c r="C611" s="286"/>
      <c r="D611" s="275"/>
      <c r="E611" s="275"/>
      <c r="F611" s="275"/>
      <c r="G611" s="275"/>
      <c r="H611" s="275"/>
      <c r="I611" s="275"/>
      <c r="J611" s="275"/>
      <c r="K611" s="286"/>
      <c r="L611" s="286"/>
      <c r="M611" s="286"/>
      <c r="N611" s="275"/>
      <c r="O611" s="275"/>
      <c r="P611" s="275"/>
      <c r="Q611" s="275"/>
      <c r="R611" s="275"/>
      <c r="S611" s="275"/>
      <c r="T611" s="275"/>
      <c r="U611" s="275"/>
      <c r="V611" s="275"/>
      <c r="W611" s="275"/>
      <c r="X611" s="275"/>
      <c r="Y611" s="275"/>
      <c r="Z611" s="275"/>
      <c r="AA611" s="275"/>
    </row>
    <row r="612" ht="15.75" customHeight="1">
      <c r="A612" s="275"/>
      <c r="B612" s="275"/>
      <c r="C612" s="286"/>
      <c r="D612" s="275"/>
      <c r="E612" s="275"/>
      <c r="F612" s="275"/>
      <c r="G612" s="275"/>
      <c r="H612" s="275"/>
      <c r="I612" s="275"/>
      <c r="J612" s="275"/>
      <c r="K612" s="286"/>
      <c r="L612" s="286"/>
      <c r="M612" s="286"/>
      <c r="N612" s="275"/>
      <c r="O612" s="275"/>
      <c r="P612" s="275"/>
      <c r="Q612" s="275"/>
      <c r="R612" s="275"/>
      <c r="S612" s="275"/>
      <c r="T612" s="275"/>
      <c r="U612" s="275"/>
      <c r="V612" s="275"/>
      <c r="W612" s="275"/>
      <c r="X612" s="275"/>
      <c r="Y612" s="275"/>
      <c r="Z612" s="275"/>
      <c r="AA612" s="275"/>
    </row>
    <row r="613" ht="15.75" customHeight="1">
      <c r="A613" s="275"/>
      <c r="B613" s="275"/>
      <c r="C613" s="286"/>
      <c r="D613" s="275"/>
      <c r="E613" s="275"/>
      <c r="F613" s="275"/>
      <c r="G613" s="275"/>
      <c r="H613" s="275"/>
      <c r="I613" s="275"/>
      <c r="J613" s="275"/>
      <c r="K613" s="286"/>
      <c r="L613" s="286"/>
      <c r="M613" s="286"/>
      <c r="N613" s="275"/>
      <c r="O613" s="275"/>
      <c r="P613" s="275"/>
      <c r="Q613" s="275"/>
      <c r="R613" s="275"/>
      <c r="S613" s="275"/>
      <c r="T613" s="275"/>
      <c r="U613" s="275"/>
      <c r="V613" s="275"/>
      <c r="W613" s="275"/>
      <c r="X613" s="275"/>
      <c r="Y613" s="275"/>
      <c r="Z613" s="275"/>
      <c r="AA613" s="275"/>
    </row>
    <row r="614" ht="15.75" customHeight="1">
      <c r="A614" s="275"/>
      <c r="B614" s="275"/>
      <c r="C614" s="286"/>
      <c r="D614" s="275"/>
      <c r="E614" s="275"/>
      <c r="F614" s="275"/>
      <c r="G614" s="275"/>
      <c r="H614" s="275"/>
      <c r="I614" s="275"/>
      <c r="J614" s="275"/>
      <c r="K614" s="286"/>
      <c r="L614" s="286"/>
      <c r="M614" s="286"/>
      <c r="N614" s="275"/>
      <c r="O614" s="275"/>
      <c r="P614" s="275"/>
      <c r="Q614" s="275"/>
      <c r="R614" s="275"/>
      <c r="S614" s="275"/>
      <c r="T614" s="275"/>
      <c r="U614" s="275"/>
      <c r="V614" s="275"/>
      <c r="W614" s="275"/>
      <c r="X614" s="275"/>
      <c r="Y614" s="275"/>
      <c r="Z614" s="275"/>
      <c r="AA614" s="275"/>
    </row>
    <row r="615" ht="15.75" customHeight="1">
      <c r="A615" s="275"/>
      <c r="B615" s="275"/>
      <c r="C615" s="286"/>
      <c r="D615" s="275"/>
      <c r="E615" s="275"/>
      <c r="F615" s="275"/>
      <c r="G615" s="275"/>
      <c r="H615" s="275"/>
      <c r="I615" s="275"/>
      <c r="J615" s="275"/>
      <c r="K615" s="286"/>
      <c r="L615" s="286"/>
      <c r="M615" s="286"/>
      <c r="N615" s="275"/>
      <c r="O615" s="275"/>
      <c r="P615" s="275"/>
      <c r="Q615" s="275"/>
      <c r="R615" s="275"/>
      <c r="S615" s="275"/>
      <c r="T615" s="275"/>
      <c r="U615" s="275"/>
      <c r="V615" s="275"/>
      <c r="W615" s="275"/>
      <c r="X615" s="275"/>
      <c r="Y615" s="275"/>
      <c r="Z615" s="275"/>
      <c r="AA615" s="275"/>
    </row>
    <row r="616" ht="15.75" customHeight="1">
      <c r="A616" s="275"/>
      <c r="B616" s="275"/>
      <c r="C616" s="286"/>
      <c r="D616" s="275"/>
      <c r="E616" s="275"/>
      <c r="F616" s="275"/>
      <c r="G616" s="275"/>
      <c r="H616" s="275"/>
      <c r="I616" s="275"/>
      <c r="J616" s="275"/>
      <c r="K616" s="286"/>
      <c r="L616" s="286"/>
      <c r="M616" s="286"/>
      <c r="N616" s="275"/>
      <c r="O616" s="275"/>
      <c r="P616" s="275"/>
      <c r="Q616" s="275"/>
      <c r="R616" s="275"/>
      <c r="S616" s="275"/>
      <c r="T616" s="275"/>
      <c r="U616" s="275"/>
      <c r="V616" s="275"/>
      <c r="W616" s="275"/>
      <c r="X616" s="275"/>
      <c r="Y616" s="275"/>
      <c r="Z616" s="275"/>
      <c r="AA616" s="275"/>
    </row>
    <row r="617" ht="15.75" customHeight="1">
      <c r="A617" s="275"/>
      <c r="B617" s="275"/>
      <c r="C617" s="286"/>
      <c r="D617" s="275"/>
      <c r="E617" s="275"/>
      <c r="F617" s="275"/>
      <c r="G617" s="275"/>
      <c r="H617" s="275"/>
      <c r="I617" s="275"/>
      <c r="J617" s="275"/>
      <c r="K617" s="286"/>
      <c r="L617" s="286"/>
      <c r="M617" s="286"/>
      <c r="N617" s="275"/>
      <c r="O617" s="275"/>
      <c r="P617" s="275"/>
      <c r="Q617" s="275"/>
      <c r="R617" s="275"/>
      <c r="S617" s="275"/>
      <c r="T617" s="275"/>
      <c r="U617" s="275"/>
      <c r="V617" s="275"/>
      <c r="W617" s="275"/>
      <c r="X617" s="275"/>
      <c r="Y617" s="275"/>
      <c r="Z617" s="275"/>
      <c r="AA617" s="275"/>
    </row>
    <row r="618" ht="15.75" customHeight="1">
      <c r="A618" s="275"/>
      <c r="B618" s="275"/>
      <c r="C618" s="286"/>
      <c r="D618" s="275"/>
      <c r="E618" s="275"/>
      <c r="F618" s="275"/>
      <c r="G618" s="275"/>
      <c r="H618" s="275"/>
      <c r="I618" s="275"/>
      <c r="J618" s="275"/>
      <c r="K618" s="286"/>
      <c r="L618" s="286"/>
      <c r="M618" s="286"/>
      <c r="N618" s="275"/>
      <c r="O618" s="275"/>
      <c r="P618" s="275"/>
      <c r="Q618" s="275"/>
      <c r="R618" s="275"/>
      <c r="S618" s="275"/>
      <c r="T618" s="275"/>
      <c r="U618" s="275"/>
      <c r="V618" s="275"/>
      <c r="W618" s="275"/>
      <c r="X618" s="275"/>
      <c r="Y618" s="275"/>
      <c r="Z618" s="275"/>
      <c r="AA618" s="275"/>
    </row>
    <row r="619" ht="15.75" customHeight="1">
      <c r="A619" s="275"/>
      <c r="B619" s="275"/>
      <c r="C619" s="286"/>
      <c r="D619" s="275"/>
      <c r="E619" s="275"/>
      <c r="F619" s="275"/>
      <c r="G619" s="275"/>
      <c r="H619" s="275"/>
      <c r="I619" s="275"/>
      <c r="J619" s="275"/>
      <c r="K619" s="286"/>
      <c r="L619" s="286"/>
      <c r="M619" s="286"/>
      <c r="N619" s="275"/>
      <c r="O619" s="275"/>
      <c r="P619" s="275"/>
      <c r="Q619" s="275"/>
      <c r="R619" s="275"/>
      <c r="S619" s="275"/>
      <c r="T619" s="275"/>
      <c r="U619" s="275"/>
      <c r="V619" s="275"/>
      <c r="W619" s="275"/>
      <c r="X619" s="275"/>
      <c r="Y619" s="275"/>
      <c r="Z619" s="275"/>
      <c r="AA619" s="275"/>
    </row>
    <row r="620" ht="15.75" customHeight="1">
      <c r="A620" s="275"/>
      <c r="B620" s="275"/>
      <c r="C620" s="286"/>
      <c r="D620" s="275"/>
      <c r="E620" s="275"/>
      <c r="F620" s="275"/>
      <c r="G620" s="275"/>
      <c r="H620" s="275"/>
      <c r="I620" s="275"/>
      <c r="J620" s="275"/>
      <c r="K620" s="286"/>
      <c r="L620" s="286"/>
      <c r="M620" s="286"/>
      <c r="N620" s="275"/>
      <c r="O620" s="275"/>
      <c r="P620" s="275"/>
      <c r="Q620" s="275"/>
      <c r="R620" s="275"/>
      <c r="S620" s="275"/>
      <c r="T620" s="275"/>
      <c r="U620" s="275"/>
      <c r="V620" s="275"/>
      <c r="W620" s="275"/>
      <c r="X620" s="275"/>
      <c r="Y620" s="275"/>
      <c r="Z620" s="275"/>
      <c r="AA620" s="275"/>
    </row>
    <row r="621" ht="15.75" customHeight="1">
      <c r="A621" s="275"/>
      <c r="B621" s="275"/>
      <c r="C621" s="286"/>
      <c r="D621" s="275"/>
      <c r="E621" s="275"/>
      <c r="F621" s="275"/>
      <c r="G621" s="275"/>
      <c r="H621" s="275"/>
      <c r="I621" s="275"/>
      <c r="J621" s="275"/>
      <c r="K621" s="286"/>
      <c r="L621" s="286"/>
      <c r="M621" s="286"/>
      <c r="N621" s="275"/>
      <c r="O621" s="275"/>
      <c r="P621" s="275"/>
      <c r="Q621" s="275"/>
      <c r="R621" s="275"/>
      <c r="S621" s="275"/>
      <c r="T621" s="275"/>
      <c r="U621" s="275"/>
      <c r="V621" s="275"/>
      <c r="W621" s="275"/>
      <c r="X621" s="275"/>
      <c r="Y621" s="275"/>
      <c r="Z621" s="275"/>
      <c r="AA621" s="275"/>
    </row>
    <row r="622" ht="15.75" customHeight="1">
      <c r="A622" s="275"/>
      <c r="B622" s="275"/>
      <c r="C622" s="286"/>
      <c r="D622" s="275"/>
      <c r="E622" s="275"/>
      <c r="F622" s="275"/>
      <c r="G622" s="275"/>
      <c r="H622" s="275"/>
      <c r="I622" s="275"/>
      <c r="J622" s="275"/>
      <c r="K622" s="286"/>
      <c r="L622" s="286"/>
      <c r="M622" s="286"/>
      <c r="N622" s="275"/>
      <c r="O622" s="275"/>
      <c r="P622" s="275"/>
      <c r="Q622" s="275"/>
      <c r="R622" s="275"/>
      <c r="S622" s="275"/>
      <c r="T622" s="275"/>
      <c r="U622" s="275"/>
      <c r="V622" s="275"/>
      <c r="W622" s="275"/>
      <c r="X622" s="275"/>
      <c r="Y622" s="275"/>
      <c r="Z622" s="275"/>
      <c r="AA622" s="275"/>
    </row>
    <row r="623" ht="15.75" customHeight="1">
      <c r="A623" s="275"/>
      <c r="B623" s="275"/>
      <c r="C623" s="286"/>
      <c r="D623" s="275"/>
      <c r="E623" s="275"/>
      <c r="F623" s="275"/>
      <c r="G623" s="275"/>
      <c r="H623" s="275"/>
      <c r="I623" s="275"/>
      <c r="J623" s="275"/>
      <c r="K623" s="286"/>
      <c r="L623" s="286"/>
      <c r="M623" s="286"/>
      <c r="N623" s="275"/>
      <c r="O623" s="275"/>
      <c r="P623" s="275"/>
      <c r="Q623" s="275"/>
      <c r="R623" s="275"/>
      <c r="S623" s="275"/>
      <c r="T623" s="275"/>
      <c r="U623" s="275"/>
      <c r="V623" s="275"/>
      <c r="W623" s="275"/>
      <c r="X623" s="275"/>
      <c r="Y623" s="275"/>
      <c r="Z623" s="275"/>
      <c r="AA623" s="275"/>
    </row>
    <row r="624" ht="15.75" customHeight="1">
      <c r="A624" s="275"/>
      <c r="B624" s="275"/>
      <c r="C624" s="286"/>
      <c r="D624" s="275"/>
      <c r="E624" s="275"/>
      <c r="F624" s="275"/>
      <c r="G624" s="275"/>
      <c r="H624" s="275"/>
      <c r="I624" s="275"/>
      <c r="J624" s="275"/>
      <c r="K624" s="286"/>
      <c r="L624" s="286"/>
      <c r="M624" s="286"/>
      <c r="N624" s="275"/>
      <c r="O624" s="275"/>
      <c r="P624" s="275"/>
      <c r="Q624" s="275"/>
      <c r="R624" s="275"/>
      <c r="S624" s="275"/>
      <c r="T624" s="275"/>
      <c r="U624" s="275"/>
      <c r="V624" s="275"/>
      <c r="W624" s="275"/>
      <c r="X624" s="275"/>
      <c r="Y624" s="275"/>
      <c r="Z624" s="275"/>
      <c r="AA624" s="275"/>
    </row>
    <row r="625" ht="15.75" customHeight="1">
      <c r="A625" s="275"/>
      <c r="B625" s="275"/>
      <c r="C625" s="286"/>
      <c r="D625" s="275"/>
      <c r="E625" s="275"/>
      <c r="F625" s="275"/>
      <c r="G625" s="275"/>
      <c r="H625" s="275"/>
      <c r="I625" s="275"/>
      <c r="J625" s="275"/>
      <c r="K625" s="286"/>
      <c r="L625" s="286"/>
      <c r="M625" s="286"/>
      <c r="N625" s="275"/>
      <c r="O625" s="275"/>
      <c r="P625" s="275"/>
      <c r="Q625" s="275"/>
      <c r="R625" s="275"/>
      <c r="S625" s="275"/>
      <c r="T625" s="275"/>
      <c r="U625" s="275"/>
      <c r="V625" s="275"/>
      <c r="W625" s="275"/>
      <c r="X625" s="275"/>
      <c r="Y625" s="275"/>
      <c r="Z625" s="275"/>
      <c r="AA625" s="275"/>
    </row>
    <row r="626" ht="15.75" customHeight="1">
      <c r="A626" s="275"/>
      <c r="B626" s="275"/>
      <c r="C626" s="286"/>
      <c r="D626" s="275"/>
      <c r="E626" s="275"/>
      <c r="F626" s="275"/>
      <c r="G626" s="275"/>
      <c r="H626" s="275"/>
      <c r="I626" s="275"/>
      <c r="J626" s="275"/>
      <c r="K626" s="286"/>
      <c r="L626" s="286"/>
      <c r="M626" s="286"/>
      <c r="N626" s="275"/>
      <c r="O626" s="275"/>
      <c r="P626" s="275"/>
      <c r="Q626" s="275"/>
      <c r="R626" s="275"/>
      <c r="S626" s="275"/>
      <c r="T626" s="275"/>
      <c r="U626" s="275"/>
      <c r="V626" s="275"/>
      <c r="W626" s="275"/>
      <c r="X626" s="275"/>
      <c r="Y626" s="275"/>
      <c r="Z626" s="275"/>
      <c r="AA626" s="275"/>
    </row>
    <row r="627" ht="15.75" customHeight="1">
      <c r="A627" s="275"/>
      <c r="B627" s="275"/>
      <c r="C627" s="286"/>
      <c r="D627" s="275"/>
      <c r="E627" s="275"/>
      <c r="F627" s="275"/>
      <c r="G627" s="275"/>
      <c r="H627" s="275"/>
      <c r="I627" s="275"/>
      <c r="J627" s="275"/>
      <c r="K627" s="286"/>
      <c r="L627" s="286"/>
      <c r="M627" s="286"/>
      <c r="N627" s="275"/>
      <c r="O627" s="275"/>
      <c r="P627" s="275"/>
      <c r="Q627" s="275"/>
      <c r="R627" s="275"/>
      <c r="S627" s="275"/>
      <c r="T627" s="275"/>
      <c r="U627" s="275"/>
      <c r="V627" s="275"/>
      <c r="W627" s="275"/>
      <c r="X627" s="275"/>
      <c r="Y627" s="275"/>
      <c r="Z627" s="275"/>
      <c r="AA627" s="275"/>
    </row>
    <row r="628" ht="15.75" customHeight="1">
      <c r="A628" s="275"/>
      <c r="B628" s="275"/>
      <c r="C628" s="286"/>
      <c r="D628" s="275"/>
      <c r="E628" s="275"/>
      <c r="F628" s="275"/>
      <c r="G628" s="275"/>
      <c r="H628" s="275"/>
      <c r="I628" s="275"/>
      <c r="J628" s="275"/>
      <c r="K628" s="286"/>
      <c r="L628" s="286"/>
      <c r="M628" s="286"/>
      <c r="N628" s="275"/>
      <c r="O628" s="275"/>
      <c r="P628" s="275"/>
      <c r="Q628" s="275"/>
      <c r="R628" s="275"/>
      <c r="S628" s="275"/>
      <c r="T628" s="275"/>
      <c r="U628" s="275"/>
      <c r="V628" s="275"/>
      <c r="W628" s="275"/>
      <c r="X628" s="275"/>
      <c r="Y628" s="275"/>
      <c r="Z628" s="275"/>
      <c r="AA628" s="275"/>
    </row>
    <row r="629" ht="15.75" customHeight="1">
      <c r="A629" s="275"/>
      <c r="B629" s="275"/>
      <c r="C629" s="286"/>
      <c r="D629" s="275"/>
      <c r="E629" s="275"/>
      <c r="F629" s="275"/>
      <c r="G629" s="275"/>
      <c r="H629" s="275"/>
      <c r="I629" s="275"/>
      <c r="J629" s="275"/>
      <c r="K629" s="286"/>
      <c r="L629" s="286"/>
      <c r="M629" s="286"/>
      <c r="N629" s="275"/>
      <c r="O629" s="275"/>
      <c r="P629" s="275"/>
      <c r="Q629" s="275"/>
      <c r="R629" s="275"/>
      <c r="S629" s="275"/>
      <c r="T629" s="275"/>
      <c r="U629" s="275"/>
      <c r="V629" s="275"/>
      <c r="W629" s="275"/>
      <c r="X629" s="275"/>
      <c r="Y629" s="275"/>
      <c r="Z629" s="275"/>
      <c r="AA629" s="275"/>
    </row>
    <row r="630" ht="15.75" customHeight="1">
      <c r="A630" s="275"/>
      <c r="B630" s="275"/>
      <c r="C630" s="286"/>
      <c r="D630" s="275"/>
      <c r="E630" s="275"/>
      <c r="F630" s="275"/>
      <c r="G630" s="275"/>
      <c r="H630" s="275"/>
      <c r="I630" s="275"/>
      <c r="J630" s="275"/>
      <c r="K630" s="286"/>
      <c r="L630" s="286"/>
      <c r="M630" s="286"/>
      <c r="N630" s="275"/>
      <c r="O630" s="275"/>
      <c r="P630" s="275"/>
      <c r="Q630" s="275"/>
      <c r="R630" s="275"/>
      <c r="S630" s="275"/>
      <c r="T630" s="275"/>
      <c r="U630" s="275"/>
      <c r="V630" s="275"/>
      <c r="W630" s="275"/>
      <c r="X630" s="275"/>
      <c r="Y630" s="275"/>
      <c r="Z630" s="275"/>
      <c r="AA630" s="275"/>
    </row>
    <row r="631" ht="15.75" customHeight="1">
      <c r="A631" s="275"/>
      <c r="B631" s="275"/>
      <c r="C631" s="286"/>
      <c r="D631" s="275"/>
      <c r="E631" s="275"/>
      <c r="F631" s="275"/>
      <c r="G631" s="275"/>
      <c r="H631" s="275"/>
      <c r="I631" s="275"/>
      <c r="J631" s="275"/>
      <c r="K631" s="286"/>
      <c r="L631" s="286"/>
      <c r="M631" s="286"/>
      <c r="N631" s="275"/>
      <c r="O631" s="275"/>
      <c r="P631" s="275"/>
      <c r="Q631" s="275"/>
      <c r="R631" s="275"/>
      <c r="S631" s="275"/>
      <c r="T631" s="275"/>
      <c r="U631" s="275"/>
      <c r="V631" s="275"/>
      <c r="W631" s="275"/>
      <c r="X631" s="275"/>
      <c r="Y631" s="275"/>
      <c r="Z631" s="275"/>
      <c r="AA631" s="275"/>
    </row>
    <row r="632" ht="15.75" customHeight="1">
      <c r="A632" s="275"/>
      <c r="B632" s="275"/>
      <c r="C632" s="286"/>
      <c r="D632" s="275"/>
      <c r="E632" s="275"/>
      <c r="F632" s="275"/>
      <c r="G632" s="275"/>
      <c r="H632" s="275"/>
      <c r="I632" s="275"/>
      <c r="J632" s="275"/>
      <c r="K632" s="286"/>
      <c r="L632" s="286"/>
      <c r="M632" s="286"/>
      <c r="N632" s="275"/>
      <c r="O632" s="275"/>
      <c r="P632" s="275"/>
      <c r="Q632" s="275"/>
      <c r="R632" s="275"/>
      <c r="S632" s="275"/>
      <c r="T632" s="275"/>
      <c r="U632" s="275"/>
      <c r="V632" s="275"/>
      <c r="W632" s="275"/>
      <c r="X632" s="275"/>
      <c r="Y632" s="275"/>
      <c r="Z632" s="275"/>
      <c r="AA632" s="275"/>
    </row>
    <row r="633" ht="15.75" customHeight="1">
      <c r="A633" s="275"/>
      <c r="B633" s="275"/>
      <c r="C633" s="286"/>
      <c r="D633" s="275"/>
      <c r="E633" s="275"/>
      <c r="F633" s="275"/>
      <c r="G633" s="275"/>
      <c r="H633" s="275"/>
      <c r="I633" s="275"/>
      <c r="J633" s="275"/>
      <c r="K633" s="286"/>
      <c r="L633" s="286"/>
      <c r="M633" s="286"/>
      <c r="N633" s="275"/>
      <c r="O633" s="275"/>
      <c r="P633" s="275"/>
      <c r="Q633" s="275"/>
      <c r="R633" s="275"/>
      <c r="S633" s="275"/>
      <c r="T633" s="275"/>
      <c r="U633" s="275"/>
      <c r="V633" s="275"/>
      <c r="W633" s="275"/>
      <c r="X633" s="275"/>
      <c r="Y633" s="275"/>
      <c r="Z633" s="275"/>
      <c r="AA633" s="275"/>
    </row>
    <row r="634" ht="15.75" customHeight="1">
      <c r="A634" s="275"/>
      <c r="B634" s="275"/>
      <c r="C634" s="286"/>
      <c r="D634" s="275"/>
      <c r="E634" s="275"/>
      <c r="F634" s="275"/>
      <c r="G634" s="275"/>
      <c r="H634" s="275"/>
      <c r="I634" s="275"/>
      <c r="J634" s="275"/>
      <c r="K634" s="286"/>
      <c r="L634" s="286"/>
      <c r="M634" s="286"/>
      <c r="N634" s="275"/>
      <c r="O634" s="275"/>
      <c r="P634" s="275"/>
      <c r="Q634" s="275"/>
      <c r="R634" s="275"/>
      <c r="S634" s="275"/>
      <c r="T634" s="275"/>
      <c r="U634" s="275"/>
      <c r="V634" s="275"/>
      <c r="W634" s="275"/>
      <c r="X634" s="275"/>
      <c r="Y634" s="275"/>
      <c r="Z634" s="275"/>
      <c r="AA634" s="275"/>
    </row>
    <row r="635" ht="15.75" customHeight="1">
      <c r="A635" s="275"/>
      <c r="B635" s="275"/>
      <c r="C635" s="286"/>
      <c r="D635" s="275"/>
      <c r="E635" s="275"/>
      <c r="F635" s="275"/>
      <c r="G635" s="275"/>
      <c r="H635" s="275"/>
      <c r="I635" s="275"/>
      <c r="J635" s="275"/>
      <c r="K635" s="286"/>
      <c r="L635" s="286"/>
      <c r="M635" s="286"/>
      <c r="N635" s="275"/>
      <c r="O635" s="275"/>
      <c r="P635" s="275"/>
      <c r="Q635" s="275"/>
      <c r="R635" s="275"/>
      <c r="S635" s="275"/>
      <c r="T635" s="275"/>
      <c r="U635" s="275"/>
      <c r="V635" s="275"/>
      <c r="W635" s="275"/>
      <c r="X635" s="275"/>
      <c r="Y635" s="275"/>
      <c r="Z635" s="275"/>
      <c r="AA635" s="275"/>
    </row>
    <row r="636" ht="15.75" customHeight="1">
      <c r="A636" s="275"/>
      <c r="B636" s="275"/>
      <c r="C636" s="286"/>
      <c r="D636" s="275"/>
      <c r="E636" s="275"/>
      <c r="F636" s="275"/>
      <c r="G636" s="275"/>
      <c r="H636" s="275"/>
      <c r="I636" s="275"/>
      <c r="J636" s="275"/>
      <c r="K636" s="286"/>
      <c r="L636" s="286"/>
      <c r="M636" s="286"/>
      <c r="N636" s="275"/>
      <c r="O636" s="275"/>
      <c r="P636" s="275"/>
      <c r="Q636" s="275"/>
      <c r="R636" s="275"/>
      <c r="S636" s="275"/>
      <c r="T636" s="275"/>
      <c r="U636" s="275"/>
      <c r="V636" s="275"/>
      <c r="W636" s="275"/>
      <c r="X636" s="275"/>
      <c r="Y636" s="275"/>
      <c r="Z636" s="275"/>
      <c r="AA636" s="275"/>
    </row>
    <row r="637" ht="15.75" customHeight="1">
      <c r="A637" s="275"/>
      <c r="B637" s="275"/>
      <c r="C637" s="286"/>
      <c r="D637" s="275"/>
      <c r="E637" s="275"/>
      <c r="F637" s="275"/>
      <c r="G637" s="275"/>
      <c r="H637" s="275"/>
      <c r="I637" s="275"/>
      <c r="J637" s="275"/>
      <c r="K637" s="286"/>
      <c r="L637" s="286"/>
      <c r="M637" s="286"/>
      <c r="N637" s="275"/>
      <c r="O637" s="275"/>
      <c r="P637" s="275"/>
      <c r="Q637" s="275"/>
      <c r="R637" s="275"/>
      <c r="S637" s="275"/>
      <c r="T637" s="275"/>
      <c r="U637" s="275"/>
      <c r="V637" s="275"/>
      <c r="W637" s="275"/>
      <c r="X637" s="275"/>
      <c r="Y637" s="275"/>
      <c r="Z637" s="275"/>
      <c r="AA637" s="275"/>
    </row>
    <row r="638" ht="15.75" customHeight="1">
      <c r="A638" s="275"/>
      <c r="B638" s="275"/>
      <c r="C638" s="286"/>
      <c r="D638" s="275"/>
      <c r="E638" s="275"/>
      <c r="F638" s="275"/>
      <c r="G638" s="275"/>
      <c r="H638" s="275"/>
      <c r="I638" s="275"/>
      <c r="J638" s="275"/>
      <c r="K638" s="286"/>
      <c r="L638" s="286"/>
      <c r="M638" s="286"/>
      <c r="N638" s="275"/>
      <c r="O638" s="275"/>
      <c r="P638" s="275"/>
      <c r="Q638" s="275"/>
      <c r="R638" s="275"/>
      <c r="S638" s="275"/>
      <c r="T638" s="275"/>
      <c r="U638" s="275"/>
      <c r="V638" s="275"/>
      <c r="W638" s="275"/>
      <c r="X638" s="275"/>
      <c r="Y638" s="275"/>
      <c r="Z638" s="275"/>
      <c r="AA638" s="275"/>
    </row>
    <row r="639" ht="15.75" customHeight="1">
      <c r="A639" s="275"/>
      <c r="B639" s="275"/>
      <c r="C639" s="286"/>
      <c r="D639" s="275"/>
      <c r="E639" s="275"/>
      <c r="F639" s="275"/>
      <c r="G639" s="275"/>
      <c r="H639" s="275"/>
      <c r="I639" s="275"/>
      <c r="J639" s="275"/>
      <c r="K639" s="286"/>
      <c r="L639" s="286"/>
      <c r="M639" s="286"/>
      <c r="N639" s="275"/>
      <c r="O639" s="275"/>
      <c r="P639" s="275"/>
      <c r="Q639" s="275"/>
      <c r="R639" s="275"/>
      <c r="S639" s="275"/>
      <c r="T639" s="275"/>
      <c r="U639" s="275"/>
      <c r="V639" s="275"/>
      <c r="W639" s="275"/>
      <c r="X639" s="275"/>
      <c r="Y639" s="275"/>
      <c r="Z639" s="275"/>
      <c r="AA639" s="275"/>
    </row>
    <row r="640" ht="15.75" customHeight="1">
      <c r="A640" s="275"/>
      <c r="B640" s="275"/>
      <c r="C640" s="286"/>
      <c r="D640" s="275"/>
      <c r="E640" s="275"/>
      <c r="F640" s="275"/>
      <c r="G640" s="275"/>
      <c r="H640" s="275"/>
      <c r="I640" s="275"/>
      <c r="J640" s="275"/>
      <c r="K640" s="286"/>
      <c r="L640" s="286"/>
      <c r="M640" s="286"/>
      <c r="N640" s="275"/>
      <c r="O640" s="275"/>
      <c r="P640" s="275"/>
      <c r="Q640" s="275"/>
      <c r="R640" s="275"/>
      <c r="S640" s="275"/>
      <c r="T640" s="275"/>
      <c r="U640" s="275"/>
      <c r="V640" s="275"/>
      <c r="W640" s="275"/>
      <c r="X640" s="275"/>
      <c r="Y640" s="275"/>
      <c r="Z640" s="275"/>
      <c r="AA640" s="275"/>
    </row>
    <row r="641" ht="15.75" customHeight="1">
      <c r="A641" s="275"/>
      <c r="B641" s="275"/>
      <c r="C641" s="286"/>
      <c r="D641" s="275"/>
      <c r="E641" s="275"/>
      <c r="F641" s="275"/>
      <c r="G641" s="275"/>
      <c r="H641" s="275"/>
      <c r="I641" s="275"/>
      <c r="J641" s="275"/>
      <c r="K641" s="286"/>
      <c r="L641" s="286"/>
      <c r="M641" s="286"/>
      <c r="N641" s="275"/>
      <c r="O641" s="275"/>
      <c r="P641" s="275"/>
      <c r="Q641" s="275"/>
      <c r="R641" s="275"/>
      <c r="S641" s="275"/>
      <c r="T641" s="275"/>
      <c r="U641" s="275"/>
      <c r="V641" s="275"/>
      <c r="W641" s="275"/>
      <c r="X641" s="275"/>
      <c r="Y641" s="275"/>
      <c r="Z641" s="275"/>
      <c r="AA641" s="275"/>
    </row>
    <row r="642" ht="15.75" customHeight="1">
      <c r="A642" s="275"/>
      <c r="B642" s="275"/>
      <c r="C642" s="286"/>
      <c r="D642" s="275"/>
      <c r="E642" s="275"/>
      <c r="F642" s="275"/>
      <c r="G642" s="275"/>
      <c r="H642" s="275"/>
      <c r="I642" s="275"/>
      <c r="J642" s="275"/>
      <c r="K642" s="286"/>
      <c r="L642" s="286"/>
      <c r="M642" s="286"/>
      <c r="N642" s="275"/>
      <c r="O642" s="275"/>
      <c r="P642" s="275"/>
      <c r="Q642" s="275"/>
      <c r="R642" s="275"/>
      <c r="S642" s="275"/>
      <c r="T642" s="275"/>
      <c r="U642" s="275"/>
      <c r="V642" s="275"/>
      <c r="W642" s="275"/>
      <c r="X642" s="275"/>
      <c r="Y642" s="275"/>
      <c r="Z642" s="275"/>
      <c r="AA642" s="275"/>
    </row>
    <row r="643" ht="15.75" customHeight="1">
      <c r="A643" s="275"/>
      <c r="B643" s="275"/>
      <c r="C643" s="286"/>
      <c r="D643" s="275"/>
      <c r="E643" s="275"/>
      <c r="F643" s="275"/>
      <c r="G643" s="275"/>
      <c r="H643" s="275"/>
      <c r="I643" s="275"/>
      <c r="J643" s="275"/>
      <c r="K643" s="286"/>
      <c r="L643" s="286"/>
      <c r="M643" s="286"/>
      <c r="N643" s="275"/>
      <c r="O643" s="275"/>
      <c r="P643" s="275"/>
      <c r="Q643" s="275"/>
      <c r="R643" s="275"/>
      <c r="S643" s="275"/>
      <c r="T643" s="275"/>
      <c r="U643" s="275"/>
      <c r="V643" s="275"/>
      <c r="W643" s="275"/>
      <c r="X643" s="275"/>
      <c r="Y643" s="275"/>
      <c r="Z643" s="275"/>
      <c r="AA643" s="275"/>
    </row>
    <row r="644" ht="15.75" customHeight="1">
      <c r="A644" s="275"/>
      <c r="B644" s="275"/>
      <c r="C644" s="286"/>
      <c r="D644" s="275"/>
      <c r="E644" s="275"/>
      <c r="F644" s="275"/>
      <c r="G644" s="275"/>
      <c r="H644" s="275"/>
      <c r="I644" s="275"/>
      <c r="J644" s="275"/>
      <c r="K644" s="286"/>
      <c r="L644" s="286"/>
      <c r="M644" s="286"/>
      <c r="N644" s="275"/>
      <c r="O644" s="275"/>
      <c r="P644" s="275"/>
      <c r="Q644" s="275"/>
      <c r="R644" s="275"/>
      <c r="S644" s="275"/>
      <c r="T644" s="275"/>
      <c r="U644" s="275"/>
      <c r="V644" s="275"/>
      <c r="W644" s="275"/>
      <c r="X644" s="275"/>
      <c r="Y644" s="275"/>
      <c r="Z644" s="275"/>
      <c r="AA644" s="275"/>
    </row>
    <row r="645" ht="15.75" customHeight="1">
      <c r="A645" s="275"/>
      <c r="B645" s="275"/>
      <c r="C645" s="286"/>
      <c r="D645" s="275"/>
      <c r="E645" s="275"/>
      <c r="F645" s="275"/>
      <c r="G645" s="275"/>
      <c r="H645" s="275"/>
      <c r="I645" s="275"/>
      <c r="J645" s="275"/>
      <c r="K645" s="286"/>
      <c r="L645" s="286"/>
      <c r="M645" s="286"/>
      <c r="N645" s="275"/>
      <c r="O645" s="275"/>
      <c r="P645" s="275"/>
      <c r="Q645" s="275"/>
      <c r="R645" s="275"/>
      <c r="S645" s="275"/>
      <c r="T645" s="275"/>
      <c r="U645" s="275"/>
      <c r="V645" s="275"/>
      <c r="W645" s="275"/>
      <c r="X645" s="275"/>
      <c r="Y645" s="275"/>
      <c r="Z645" s="275"/>
      <c r="AA645" s="275"/>
    </row>
    <row r="646" ht="15.75" customHeight="1">
      <c r="A646" s="275"/>
      <c r="B646" s="275"/>
      <c r="C646" s="286"/>
      <c r="D646" s="275"/>
      <c r="E646" s="275"/>
      <c r="F646" s="275"/>
      <c r="G646" s="275"/>
      <c r="H646" s="275"/>
      <c r="I646" s="275"/>
      <c r="J646" s="275"/>
      <c r="K646" s="286"/>
      <c r="L646" s="286"/>
      <c r="M646" s="286"/>
      <c r="N646" s="275"/>
      <c r="O646" s="275"/>
      <c r="P646" s="275"/>
      <c r="Q646" s="275"/>
      <c r="R646" s="275"/>
      <c r="S646" s="275"/>
      <c r="T646" s="275"/>
      <c r="U646" s="275"/>
      <c r="V646" s="275"/>
      <c r="W646" s="275"/>
      <c r="X646" s="275"/>
      <c r="Y646" s="275"/>
      <c r="Z646" s="275"/>
      <c r="AA646" s="275"/>
    </row>
    <row r="647" ht="15.75" customHeight="1">
      <c r="A647" s="275"/>
      <c r="B647" s="275"/>
      <c r="C647" s="286"/>
      <c r="D647" s="275"/>
      <c r="E647" s="275"/>
      <c r="F647" s="275"/>
      <c r="G647" s="275"/>
      <c r="H647" s="275"/>
      <c r="I647" s="275"/>
      <c r="J647" s="275"/>
      <c r="K647" s="286"/>
      <c r="L647" s="286"/>
      <c r="M647" s="286"/>
      <c r="N647" s="275"/>
      <c r="O647" s="275"/>
      <c r="P647" s="275"/>
      <c r="Q647" s="275"/>
      <c r="R647" s="275"/>
      <c r="S647" s="275"/>
      <c r="T647" s="275"/>
      <c r="U647" s="275"/>
      <c r="V647" s="275"/>
      <c r="W647" s="275"/>
      <c r="X647" s="275"/>
      <c r="Y647" s="275"/>
      <c r="Z647" s="275"/>
      <c r="AA647" s="275"/>
    </row>
    <row r="648" ht="15.75" customHeight="1">
      <c r="A648" s="275"/>
      <c r="B648" s="275"/>
      <c r="C648" s="286"/>
      <c r="D648" s="275"/>
      <c r="E648" s="275"/>
      <c r="F648" s="275"/>
      <c r="G648" s="275"/>
      <c r="H648" s="275"/>
      <c r="I648" s="275"/>
      <c r="J648" s="275"/>
      <c r="K648" s="286"/>
      <c r="L648" s="286"/>
      <c r="M648" s="286"/>
      <c r="N648" s="275"/>
      <c r="O648" s="275"/>
      <c r="P648" s="275"/>
      <c r="Q648" s="275"/>
      <c r="R648" s="275"/>
      <c r="S648" s="275"/>
      <c r="T648" s="275"/>
      <c r="U648" s="275"/>
      <c r="V648" s="275"/>
      <c r="W648" s="275"/>
      <c r="X648" s="275"/>
      <c r="Y648" s="275"/>
      <c r="Z648" s="275"/>
      <c r="AA648" s="275"/>
    </row>
    <row r="649" ht="15.75" customHeight="1">
      <c r="A649" s="275"/>
      <c r="B649" s="275"/>
      <c r="C649" s="286"/>
      <c r="D649" s="275"/>
      <c r="E649" s="275"/>
      <c r="F649" s="275"/>
      <c r="G649" s="275"/>
      <c r="H649" s="275"/>
      <c r="I649" s="275"/>
      <c r="J649" s="275"/>
      <c r="K649" s="286"/>
      <c r="L649" s="286"/>
      <c r="M649" s="286"/>
      <c r="N649" s="275"/>
      <c r="O649" s="275"/>
      <c r="P649" s="275"/>
      <c r="Q649" s="275"/>
      <c r="R649" s="275"/>
      <c r="S649" s="275"/>
      <c r="T649" s="275"/>
      <c r="U649" s="275"/>
      <c r="V649" s="275"/>
      <c r="W649" s="275"/>
      <c r="X649" s="275"/>
      <c r="Y649" s="275"/>
      <c r="Z649" s="275"/>
      <c r="AA649" s="275"/>
    </row>
    <row r="650" ht="15.75" customHeight="1">
      <c r="A650" s="275"/>
      <c r="B650" s="275"/>
      <c r="C650" s="286"/>
      <c r="D650" s="275"/>
      <c r="E650" s="275"/>
      <c r="F650" s="275"/>
      <c r="G650" s="275"/>
      <c r="H650" s="275"/>
      <c r="I650" s="275"/>
      <c r="J650" s="275"/>
      <c r="K650" s="286"/>
      <c r="L650" s="286"/>
      <c r="M650" s="286"/>
      <c r="N650" s="275"/>
      <c r="O650" s="275"/>
      <c r="P650" s="275"/>
      <c r="Q650" s="275"/>
      <c r="R650" s="275"/>
      <c r="S650" s="275"/>
      <c r="T650" s="275"/>
      <c r="U650" s="275"/>
      <c r="V650" s="275"/>
      <c r="W650" s="275"/>
      <c r="X650" s="275"/>
      <c r="Y650" s="275"/>
      <c r="Z650" s="275"/>
      <c r="AA650" s="275"/>
    </row>
    <row r="651" ht="15.75" customHeight="1">
      <c r="A651" s="275"/>
      <c r="B651" s="275"/>
      <c r="C651" s="286"/>
      <c r="D651" s="275"/>
      <c r="E651" s="275"/>
      <c r="F651" s="275"/>
      <c r="G651" s="275"/>
      <c r="H651" s="275"/>
      <c r="I651" s="275"/>
      <c r="J651" s="275"/>
      <c r="K651" s="286"/>
      <c r="L651" s="286"/>
      <c r="M651" s="286"/>
      <c r="N651" s="275"/>
      <c r="O651" s="275"/>
      <c r="P651" s="275"/>
      <c r="Q651" s="275"/>
      <c r="R651" s="275"/>
      <c r="S651" s="275"/>
      <c r="T651" s="275"/>
      <c r="U651" s="275"/>
      <c r="V651" s="275"/>
      <c r="W651" s="275"/>
      <c r="X651" s="275"/>
      <c r="Y651" s="275"/>
      <c r="Z651" s="275"/>
      <c r="AA651" s="275"/>
    </row>
    <row r="652" ht="15.75" customHeight="1">
      <c r="A652" s="275"/>
      <c r="B652" s="275"/>
      <c r="C652" s="286"/>
      <c r="D652" s="275"/>
      <c r="E652" s="275"/>
      <c r="F652" s="275"/>
      <c r="G652" s="275"/>
      <c r="H652" s="275"/>
      <c r="I652" s="275"/>
      <c r="J652" s="275"/>
      <c r="K652" s="286"/>
      <c r="L652" s="286"/>
      <c r="M652" s="286"/>
      <c r="N652" s="275"/>
      <c r="O652" s="275"/>
      <c r="P652" s="275"/>
      <c r="Q652" s="275"/>
      <c r="R652" s="275"/>
      <c r="S652" s="275"/>
      <c r="T652" s="275"/>
      <c r="U652" s="275"/>
      <c r="V652" s="275"/>
      <c r="W652" s="275"/>
      <c r="X652" s="275"/>
      <c r="Y652" s="275"/>
      <c r="Z652" s="275"/>
      <c r="AA652" s="275"/>
    </row>
    <row r="653" ht="15.75" customHeight="1">
      <c r="A653" s="275"/>
      <c r="B653" s="275"/>
      <c r="C653" s="286"/>
      <c r="D653" s="275"/>
      <c r="E653" s="275"/>
      <c r="F653" s="275"/>
      <c r="G653" s="275"/>
      <c r="H653" s="275"/>
      <c r="I653" s="275"/>
      <c r="J653" s="275"/>
      <c r="K653" s="286"/>
      <c r="L653" s="286"/>
      <c r="M653" s="286"/>
      <c r="N653" s="275"/>
      <c r="O653" s="275"/>
      <c r="P653" s="275"/>
      <c r="Q653" s="275"/>
      <c r="R653" s="275"/>
      <c r="S653" s="275"/>
      <c r="T653" s="275"/>
      <c r="U653" s="275"/>
      <c r="V653" s="275"/>
      <c r="W653" s="275"/>
      <c r="X653" s="275"/>
      <c r="Y653" s="275"/>
      <c r="Z653" s="275"/>
      <c r="AA653" s="275"/>
    </row>
    <row r="654" ht="15.75" customHeight="1">
      <c r="A654" s="275"/>
      <c r="B654" s="275"/>
      <c r="C654" s="286"/>
      <c r="D654" s="275"/>
      <c r="E654" s="275"/>
      <c r="F654" s="275"/>
      <c r="G654" s="275"/>
      <c r="H654" s="275"/>
      <c r="I654" s="275"/>
      <c r="J654" s="275"/>
      <c r="K654" s="286"/>
      <c r="L654" s="286"/>
      <c r="M654" s="286"/>
      <c r="N654" s="275"/>
      <c r="O654" s="275"/>
      <c r="P654" s="275"/>
      <c r="Q654" s="275"/>
      <c r="R654" s="275"/>
      <c r="S654" s="275"/>
      <c r="T654" s="275"/>
      <c r="U654" s="275"/>
      <c r="V654" s="275"/>
      <c r="W654" s="275"/>
      <c r="X654" s="275"/>
      <c r="Y654" s="275"/>
      <c r="Z654" s="275"/>
      <c r="AA654" s="275"/>
    </row>
    <row r="655" ht="15.75" customHeight="1">
      <c r="A655" s="275"/>
      <c r="B655" s="275"/>
      <c r="C655" s="286"/>
      <c r="D655" s="275"/>
      <c r="E655" s="275"/>
      <c r="F655" s="275"/>
      <c r="G655" s="275"/>
      <c r="H655" s="275"/>
      <c r="I655" s="275"/>
      <c r="J655" s="275"/>
      <c r="K655" s="286"/>
      <c r="L655" s="286"/>
      <c r="M655" s="286"/>
      <c r="N655" s="275"/>
      <c r="O655" s="275"/>
      <c r="P655" s="275"/>
      <c r="Q655" s="275"/>
      <c r="R655" s="275"/>
      <c r="S655" s="275"/>
      <c r="T655" s="275"/>
      <c r="U655" s="275"/>
      <c r="V655" s="275"/>
      <c r="W655" s="275"/>
      <c r="X655" s="275"/>
      <c r="Y655" s="275"/>
      <c r="Z655" s="275"/>
      <c r="AA655" s="275"/>
    </row>
    <row r="656" ht="15.75" customHeight="1">
      <c r="A656" s="275"/>
      <c r="B656" s="275"/>
      <c r="C656" s="286"/>
      <c r="D656" s="275"/>
      <c r="E656" s="275"/>
      <c r="F656" s="275"/>
      <c r="G656" s="275"/>
      <c r="H656" s="275"/>
      <c r="I656" s="275"/>
      <c r="J656" s="275"/>
      <c r="K656" s="286"/>
      <c r="L656" s="286"/>
      <c r="M656" s="286"/>
      <c r="N656" s="275"/>
      <c r="O656" s="275"/>
      <c r="P656" s="275"/>
      <c r="Q656" s="275"/>
      <c r="R656" s="275"/>
      <c r="S656" s="275"/>
      <c r="T656" s="275"/>
      <c r="U656" s="275"/>
      <c r="V656" s="275"/>
      <c r="W656" s="275"/>
      <c r="X656" s="275"/>
      <c r="Y656" s="275"/>
      <c r="Z656" s="275"/>
      <c r="AA656" s="275"/>
    </row>
    <row r="657" ht="15.75" customHeight="1">
      <c r="A657" s="275"/>
      <c r="B657" s="275"/>
      <c r="C657" s="286"/>
      <c r="D657" s="275"/>
      <c r="E657" s="275"/>
      <c r="F657" s="275"/>
      <c r="G657" s="275"/>
      <c r="H657" s="275"/>
      <c r="I657" s="275"/>
      <c r="J657" s="275"/>
      <c r="K657" s="286"/>
      <c r="L657" s="286"/>
      <c r="M657" s="286"/>
      <c r="N657" s="275"/>
      <c r="O657" s="275"/>
      <c r="P657" s="275"/>
      <c r="Q657" s="275"/>
      <c r="R657" s="275"/>
      <c r="S657" s="275"/>
      <c r="T657" s="275"/>
      <c r="U657" s="275"/>
      <c r="V657" s="275"/>
      <c r="W657" s="275"/>
      <c r="X657" s="275"/>
      <c r="Y657" s="275"/>
      <c r="Z657" s="275"/>
      <c r="AA657" s="275"/>
    </row>
    <row r="658" ht="15.75" customHeight="1">
      <c r="A658" s="275"/>
      <c r="B658" s="275"/>
      <c r="C658" s="286"/>
      <c r="D658" s="275"/>
      <c r="E658" s="275"/>
      <c r="F658" s="275"/>
      <c r="G658" s="275"/>
      <c r="H658" s="275"/>
      <c r="I658" s="275"/>
      <c r="J658" s="275"/>
      <c r="K658" s="286"/>
      <c r="L658" s="286"/>
      <c r="M658" s="286"/>
      <c r="N658" s="275"/>
      <c r="O658" s="275"/>
      <c r="P658" s="275"/>
      <c r="Q658" s="275"/>
      <c r="R658" s="275"/>
      <c r="S658" s="275"/>
      <c r="T658" s="275"/>
      <c r="U658" s="275"/>
      <c r="V658" s="275"/>
      <c r="W658" s="275"/>
      <c r="X658" s="275"/>
      <c r="Y658" s="275"/>
      <c r="Z658" s="275"/>
      <c r="AA658" s="275"/>
    </row>
    <row r="659" ht="15.75" customHeight="1">
      <c r="A659" s="275"/>
      <c r="B659" s="275"/>
      <c r="C659" s="286"/>
      <c r="D659" s="275"/>
      <c r="E659" s="275"/>
      <c r="F659" s="275"/>
      <c r="G659" s="275"/>
      <c r="H659" s="275"/>
      <c r="I659" s="275"/>
      <c r="J659" s="275"/>
      <c r="K659" s="286"/>
      <c r="L659" s="286"/>
      <c r="M659" s="286"/>
      <c r="N659" s="275"/>
      <c r="O659" s="275"/>
      <c r="P659" s="275"/>
      <c r="Q659" s="275"/>
      <c r="R659" s="275"/>
      <c r="S659" s="275"/>
      <c r="T659" s="275"/>
      <c r="U659" s="275"/>
      <c r="V659" s="275"/>
      <c r="W659" s="275"/>
      <c r="X659" s="275"/>
      <c r="Y659" s="275"/>
      <c r="Z659" s="275"/>
      <c r="AA659" s="275"/>
    </row>
    <row r="660" ht="15.75" customHeight="1">
      <c r="A660" s="275"/>
      <c r="B660" s="275"/>
      <c r="C660" s="286"/>
      <c r="D660" s="275"/>
      <c r="E660" s="275"/>
      <c r="F660" s="275"/>
      <c r="G660" s="275"/>
      <c r="H660" s="275"/>
      <c r="I660" s="275"/>
      <c r="J660" s="275"/>
      <c r="K660" s="286"/>
      <c r="L660" s="286"/>
      <c r="M660" s="286"/>
      <c r="N660" s="275"/>
      <c r="O660" s="275"/>
      <c r="P660" s="275"/>
      <c r="Q660" s="275"/>
      <c r="R660" s="275"/>
      <c r="S660" s="275"/>
      <c r="T660" s="275"/>
      <c r="U660" s="275"/>
      <c r="V660" s="275"/>
      <c r="W660" s="275"/>
      <c r="X660" s="275"/>
      <c r="Y660" s="275"/>
      <c r="Z660" s="275"/>
      <c r="AA660" s="275"/>
    </row>
    <row r="661" ht="15.75" customHeight="1">
      <c r="A661" s="275"/>
      <c r="B661" s="275"/>
      <c r="C661" s="286"/>
      <c r="D661" s="275"/>
      <c r="E661" s="275"/>
      <c r="F661" s="275"/>
      <c r="G661" s="275"/>
      <c r="H661" s="275"/>
      <c r="I661" s="275"/>
      <c r="J661" s="275"/>
      <c r="K661" s="286"/>
      <c r="L661" s="286"/>
      <c r="M661" s="286"/>
      <c r="N661" s="275"/>
      <c r="O661" s="275"/>
      <c r="P661" s="275"/>
      <c r="Q661" s="275"/>
      <c r="R661" s="275"/>
      <c r="S661" s="275"/>
      <c r="T661" s="275"/>
      <c r="U661" s="275"/>
      <c r="V661" s="275"/>
      <c r="W661" s="275"/>
      <c r="X661" s="275"/>
      <c r="Y661" s="275"/>
      <c r="Z661" s="275"/>
      <c r="AA661" s="275"/>
    </row>
    <row r="662" ht="15.75" customHeight="1">
      <c r="A662" s="275"/>
      <c r="B662" s="275"/>
      <c r="C662" s="286"/>
      <c r="D662" s="275"/>
      <c r="E662" s="275"/>
      <c r="F662" s="275"/>
      <c r="G662" s="275"/>
      <c r="H662" s="275"/>
      <c r="I662" s="275"/>
      <c r="J662" s="275"/>
      <c r="K662" s="286"/>
      <c r="L662" s="286"/>
      <c r="M662" s="286"/>
      <c r="N662" s="275"/>
      <c r="O662" s="275"/>
      <c r="P662" s="275"/>
      <c r="Q662" s="275"/>
      <c r="R662" s="275"/>
      <c r="S662" s="275"/>
      <c r="T662" s="275"/>
      <c r="U662" s="275"/>
      <c r="V662" s="275"/>
      <c r="W662" s="275"/>
      <c r="X662" s="275"/>
      <c r="Y662" s="275"/>
      <c r="Z662" s="275"/>
      <c r="AA662" s="275"/>
    </row>
    <row r="663" ht="15.75" customHeight="1">
      <c r="A663" s="275"/>
      <c r="B663" s="275"/>
      <c r="C663" s="286"/>
      <c r="D663" s="275"/>
      <c r="E663" s="275"/>
      <c r="F663" s="275"/>
      <c r="G663" s="275"/>
      <c r="H663" s="275"/>
      <c r="I663" s="275"/>
      <c r="J663" s="275"/>
      <c r="K663" s="286"/>
      <c r="L663" s="286"/>
      <c r="M663" s="286"/>
      <c r="N663" s="275"/>
      <c r="O663" s="275"/>
      <c r="P663" s="275"/>
      <c r="Q663" s="275"/>
      <c r="R663" s="275"/>
      <c r="S663" s="275"/>
      <c r="T663" s="275"/>
      <c r="U663" s="275"/>
      <c r="V663" s="275"/>
      <c r="W663" s="275"/>
      <c r="X663" s="275"/>
      <c r="Y663" s="275"/>
      <c r="Z663" s="275"/>
      <c r="AA663" s="275"/>
    </row>
    <row r="664" ht="15.75" customHeight="1">
      <c r="A664" s="275"/>
      <c r="B664" s="275"/>
      <c r="C664" s="286"/>
      <c r="D664" s="275"/>
      <c r="E664" s="275"/>
      <c r="F664" s="275"/>
      <c r="G664" s="275"/>
      <c r="H664" s="275"/>
      <c r="I664" s="275"/>
      <c r="J664" s="275"/>
      <c r="K664" s="286"/>
      <c r="L664" s="286"/>
      <c r="M664" s="286"/>
      <c r="N664" s="275"/>
      <c r="O664" s="275"/>
      <c r="P664" s="275"/>
      <c r="Q664" s="275"/>
      <c r="R664" s="275"/>
      <c r="S664" s="275"/>
      <c r="T664" s="275"/>
      <c r="U664" s="275"/>
      <c r="V664" s="275"/>
      <c r="W664" s="275"/>
      <c r="X664" s="275"/>
      <c r="Y664" s="275"/>
      <c r="Z664" s="275"/>
      <c r="AA664" s="275"/>
    </row>
    <row r="665" ht="15.75" customHeight="1">
      <c r="A665" s="275"/>
      <c r="B665" s="275"/>
      <c r="C665" s="286"/>
      <c r="D665" s="275"/>
      <c r="E665" s="275"/>
      <c r="F665" s="275"/>
      <c r="G665" s="275"/>
      <c r="H665" s="275"/>
      <c r="I665" s="275"/>
      <c r="J665" s="275"/>
      <c r="K665" s="286"/>
      <c r="L665" s="286"/>
      <c r="M665" s="286"/>
      <c r="N665" s="275"/>
      <c r="O665" s="275"/>
      <c r="P665" s="275"/>
      <c r="Q665" s="275"/>
      <c r="R665" s="275"/>
      <c r="S665" s="275"/>
      <c r="T665" s="275"/>
      <c r="U665" s="275"/>
      <c r="V665" s="275"/>
      <c r="W665" s="275"/>
      <c r="X665" s="275"/>
      <c r="Y665" s="275"/>
      <c r="Z665" s="275"/>
      <c r="AA665" s="275"/>
    </row>
    <row r="666" ht="15.75" customHeight="1">
      <c r="A666" s="275"/>
      <c r="B666" s="275"/>
      <c r="C666" s="286"/>
      <c r="D666" s="275"/>
      <c r="E666" s="275"/>
      <c r="F666" s="275"/>
      <c r="G666" s="275"/>
      <c r="H666" s="275"/>
      <c r="I666" s="275"/>
      <c r="J666" s="275"/>
      <c r="K666" s="286"/>
      <c r="L666" s="286"/>
      <c r="M666" s="286"/>
      <c r="N666" s="275"/>
      <c r="O666" s="275"/>
      <c r="P666" s="275"/>
      <c r="Q666" s="275"/>
      <c r="R666" s="275"/>
      <c r="S666" s="275"/>
      <c r="T666" s="275"/>
      <c r="U666" s="275"/>
      <c r="V666" s="275"/>
      <c r="W666" s="275"/>
      <c r="X666" s="275"/>
      <c r="Y666" s="275"/>
      <c r="Z666" s="275"/>
      <c r="AA666" s="275"/>
    </row>
    <row r="667" ht="15.75" customHeight="1">
      <c r="A667" s="275"/>
      <c r="B667" s="275"/>
      <c r="C667" s="286"/>
      <c r="D667" s="275"/>
      <c r="E667" s="275"/>
      <c r="F667" s="275"/>
      <c r="G667" s="275"/>
      <c r="H667" s="275"/>
      <c r="I667" s="275"/>
      <c r="J667" s="275"/>
      <c r="K667" s="286"/>
      <c r="L667" s="286"/>
      <c r="M667" s="286"/>
      <c r="N667" s="275"/>
      <c r="O667" s="275"/>
      <c r="P667" s="275"/>
      <c r="Q667" s="275"/>
      <c r="R667" s="275"/>
      <c r="S667" s="275"/>
      <c r="T667" s="275"/>
      <c r="U667" s="275"/>
      <c r="V667" s="275"/>
      <c r="W667" s="275"/>
      <c r="X667" s="275"/>
      <c r="Y667" s="275"/>
      <c r="Z667" s="275"/>
      <c r="AA667" s="275"/>
    </row>
    <row r="668" ht="15.75" customHeight="1">
      <c r="A668" s="275"/>
      <c r="B668" s="275"/>
      <c r="C668" s="286"/>
      <c r="D668" s="275"/>
      <c r="E668" s="275"/>
      <c r="F668" s="275"/>
      <c r="G668" s="275"/>
      <c r="H668" s="275"/>
      <c r="I668" s="275"/>
      <c r="J668" s="275"/>
      <c r="K668" s="286"/>
      <c r="L668" s="286"/>
      <c r="M668" s="286"/>
      <c r="N668" s="275"/>
      <c r="O668" s="275"/>
      <c r="P668" s="275"/>
      <c r="Q668" s="275"/>
      <c r="R668" s="275"/>
      <c r="S668" s="275"/>
      <c r="T668" s="275"/>
      <c r="U668" s="275"/>
      <c r="V668" s="275"/>
      <c r="W668" s="275"/>
      <c r="X668" s="275"/>
      <c r="Y668" s="275"/>
      <c r="Z668" s="275"/>
      <c r="AA668" s="275"/>
    </row>
    <row r="669" ht="15.75" customHeight="1">
      <c r="A669" s="275"/>
      <c r="B669" s="275"/>
      <c r="C669" s="286"/>
      <c r="D669" s="275"/>
      <c r="E669" s="275"/>
      <c r="F669" s="275"/>
      <c r="G669" s="275"/>
      <c r="H669" s="275"/>
      <c r="I669" s="275"/>
      <c r="J669" s="275"/>
      <c r="K669" s="286"/>
      <c r="L669" s="286"/>
      <c r="M669" s="286"/>
      <c r="N669" s="275"/>
      <c r="O669" s="275"/>
      <c r="P669" s="275"/>
      <c r="Q669" s="275"/>
      <c r="R669" s="275"/>
      <c r="S669" s="275"/>
      <c r="T669" s="275"/>
      <c r="U669" s="275"/>
      <c r="V669" s="275"/>
      <c r="W669" s="275"/>
      <c r="X669" s="275"/>
      <c r="Y669" s="275"/>
      <c r="Z669" s="275"/>
      <c r="AA669" s="275"/>
    </row>
    <row r="670" ht="15.75" customHeight="1">
      <c r="A670" s="275"/>
      <c r="B670" s="275"/>
      <c r="C670" s="286"/>
      <c r="D670" s="275"/>
      <c r="E670" s="275"/>
      <c r="F670" s="275"/>
      <c r="G670" s="275"/>
      <c r="H670" s="275"/>
      <c r="I670" s="275"/>
      <c r="J670" s="275"/>
      <c r="K670" s="286"/>
      <c r="L670" s="286"/>
      <c r="M670" s="286"/>
      <c r="N670" s="275"/>
      <c r="O670" s="275"/>
      <c r="P670" s="275"/>
      <c r="Q670" s="275"/>
      <c r="R670" s="275"/>
      <c r="S670" s="275"/>
      <c r="T670" s="275"/>
      <c r="U670" s="275"/>
      <c r="V670" s="275"/>
      <c r="W670" s="275"/>
      <c r="X670" s="275"/>
      <c r="Y670" s="275"/>
      <c r="Z670" s="275"/>
      <c r="AA670" s="275"/>
    </row>
    <row r="671" ht="15.75" customHeight="1">
      <c r="A671" s="275"/>
      <c r="B671" s="275"/>
      <c r="C671" s="286"/>
      <c r="D671" s="275"/>
      <c r="E671" s="275"/>
      <c r="F671" s="275"/>
      <c r="G671" s="275"/>
      <c r="H671" s="275"/>
      <c r="I671" s="275"/>
      <c r="J671" s="275"/>
      <c r="K671" s="286"/>
      <c r="L671" s="286"/>
      <c r="M671" s="286"/>
      <c r="N671" s="275"/>
      <c r="O671" s="275"/>
      <c r="P671" s="275"/>
      <c r="Q671" s="275"/>
      <c r="R671" s="275"/>
      <c r="S671" s="275"/>
      <c r="T671" s="275"/>
      <c r="U671" s="275"/>
      <c r="V671" s="275"/>
      <c r="W671" s="275"/>
      <c r="X671" s="275"/>
      <c r="Y671" s="275"/>
      <c r="Z671" s="275"/>
      <c r="AA671" s="275"/>
    </row>
    <row r="672" ht="15.75" customHeight="1">
      <c r="A672" s="275"/>
      <c r="B672" s="275"/>
      <c r="C672" s="286"/>
      <c r="D672" s="275"/>
      <c r="E672" s="275"/>
      <c r="F672" s="275"/>
      <c r="G672" s="275"/>
      <c r="H672" s="275"/>
      <c r="I672" s="275"/>
      <c r="J672" s="275"/>
      <c r="K672" s="286"/>
      <c r="L672" s="286"/>
      <c r="M672" s="286"/>
      <c r="N672" s="275"/>
      <c r="O672" s="275"/>
      <c r="P672" s="275"/>
      <c r="Q672" s="275"/>
      <c r="R672" s="275"/>
      <c r="S672" s="275"/>
      <c r="T672" s="275"/>
      <c r="U672" s="275"/>
      <c r="V672" s="275"/>
      <c r="W672" s="275"/>
      <c r="X672" s="275"/>
      <c r="Y672" s="275"/>
      <c r="Z672" s="275"/>
      <c r="AA672" s="275"/>
    </row>
    <row r="673" ht="15.75" customHeight="1">
      <c r="A673" s="275"/>
      <c r="B673" s="275"/>
      <c r="C673" s="286"/>
      <c r="D673" s="275"/>
      <c r="E673" s="275"/>
      <c r="F673" s="275"/>
      <c r="G673" s="275"/>
      <c r="H673" s="275"/>
      <c r="I673" s="275"/>
      <c r="J673" s="275"/>
      <c r="K673" s="286"/>
      <c r="L673" s="286"/>
      <c r="M673" s="286"/>
      <c r="N673" s="275"/>
      <c r="O673" s="275"/>
      <c r="P673" s="275"/>
      <c r="Q673" s="275"/>
      <c r="R673" s="275"/>
      <c r="S673" s="275"/>
      <c r="T673" s="275"/>
      <c r="U673" s="275"/>
      <c r="V673" s="275"/>
      <c r="W673" s="275"/>
      <c r="X673" s="275"/>
      <c r="Y673" s="275"/>
      <c r="Z673" s="275"/>
      <c r="AA673" s="275"/>
    </row>
    <row r="674" ht="15.75" customHeight="1">
      <c r="A674" s="275"/>
      <c r="B674" s="275"/>
      <c r="C674" s="286"/>
      <c r="D674" s="275"/>
      <c r="E674" s="275"/>
      <c r="F674" s="275"/>
      <c r="G674" s="275"/>
      <c r="H674" s="275"/>
      <c r="I674" s="275"/>
      <c r="J674" s="275"/>
      <c r="K674" s="286"/>
      <c r="L674" s="286"/>
      <c r="M674" s="286"/>
      <c r="N674" s="275"/>
      <c r="O674" s="275"/>
      <c r="P674" s="275"/>
      <c r="Q674" s="275"/>
      <c r="R674" s="275"/>
      <c r="S674" s="275"/>
      <c r="T674" s="275"/>
      <c r="U674" s="275"/>
      <c r="V674" s="275"/>
      <c r="W674" s="275"/>
      <c r="X674" s="275"/>
      <c r="Y674" s="275"/>
      <c r="Z674" s="275"/>
      <c r="AA674" s="275"/>
    </row>
    <row r="675" ht="15.75" customHeight="1">
      <c r="A675" s="275"/>
      <c r="B675" s="275"/>
      <c r="C675" s="286"/>
      <c r="D675" s="275"/>
      <c r="E675" s="275"/>
      <c r="F675" s="275"/>
      <c r="G675" s="275"/>
      <c r="H675" s="275"/>
      <c r="I675" s="275"/>
      <c r="J675" s="275"/>
      <c r="K675" s="286"/>
      <c r="L675" s="286"/>
      <c r="M675" s="286"/>
      <c r="N675" s="275"/>
      <c r="O675" s="275"/>
      <c r="P675" s="275"/>
      <c r="Q675" s="275"/>
      <c r="R675" s="275"/>
      <c r="S675" s="275"/>
      <c r="T675" s="275"/>
      <c r="U675" s="275"/>
      <c r="V675" s="275"/>
      <c r="W675" s="275"/>
      <c r="X675" s="275"/>
      <c r="Y675" s="275"/>
      <c r="Z675" s="275"/>
      <c r="AA675" s="275"/>
    </row>
    <row r="676" ht="15.75" customHeight="1">
      <c r="A676" s="275"/>
      <c r="B676" s="275"/>
      <c r="C676" s="286"/>
      <c r="D676" s="275"/>
      <c r="E676" s="275"/>
      <c r="F676" s="275"/>
      <c r="G676" s="275"/>
      <c r="H676" s="275"/>
      <c r="I676" s="275"/>
      <c r="J676" s="275"/>
      <c r="K676" s="286"/>
      <c r="L676" s="286"/>
      <c r="M676" s="286"/>
      <c r="N676" s="275"/>
      <c r="O676" s="275"/>
      <c r="P676" s="275"/>
      <c r="Q676" s="275"/>
      <c r="R676" s="275"/>
      <c r="S676" s="275"/>
      <c r="T676" s="275"/>
      <c r="U676" s="275"/>
      <c r="V676" s="275"/>
      <c r="W676" s="275"/>
      <c r="X676" s="275"/>
      <c r="Y676" s="275"/>
      <c r="Z676" s="275"/>
      <c r="AA676" s="275"/>
    </row>
    <row r="677" ht="15.75" customHeight="1">
      <c r="A677" s="275"/>
      <c r="B677" s="275"/>
      <c r="C677" s="286"/>
      <c r="D677" s="275"/>
      <c r="E677" s="275"/>
      <c r="F677" s="275"/>
      <c r="G677" s="275"/>
      <c r="H677" s="275"/>
      <c r="I677" s="275"/>
      <c r="J677" s="275"/>
      <c r="K677" s="286"/>
      <c r="L677" s="286"/>
      <c r="M677" s="286"/>
      <c r="N677" s="275"/>
      <c r="O677" s="275"/>
      <c r="P677" s="275"/>
      <c r="Q677" s="275"/>
      <c r="R677" s="275"/>
      <c r="S677" s="275"/>
      <c r="T677" s="275"/>
      <c r="U677" s="275"/>
      <c r="V677" s="275"/>
      <c r="W677" s="275"/>
      <c r="X677" s="275"/>
      <c r="Y677" s="275"/>
      <c r="Z677" s="275"/>
      <c r="AA677" s="275"/>
    </row>
    <row r="678" ht="15.75" customHeight="1">
      <c r="A678" s="275"/>
      <c r="B678" s="275"/>
      <c r="C678" s="286"/>
      <c r="D678" s="275"/>
      <c r="E678" s="275"/>
      <c r="F678" s="275"/>
      <c r="G678" s="275"/>
      <c r="H678" s="275"/>
      <c r="I678" s="275"/>
      <c r="J678" s="275"/>
      <c r="K678" s="286"/>
      <c r="L678" s="286"/>
      <c r="M678" s="286"/>
      <c r="N678" s="275"/>
      <c r="O678" s="275"/>
      <c r="P678" s="275"/>
      <c r="Q678" s="275"/>
      <c r="R678" s="275"/>
      <c r="S678" s="275"/>
      <c r="T678" s="275"/>
      <c r="U678" s="275"/>
      <c r="V678" s="275"/>
      <c r="W678" s="275"/>
      <c r="X678" s="275"/>
      <c r="Y678" s="275"/>
      <c r="Z678" s="275"/>
      <c r="AA678" s="275"/>
    </row>
    <row r="679" ht="15.75" customHeight="1">
      <c r="A679" s="275"/>
      <c r="B679" s="275"/>
      <c r="C679" s="286"/>
      <c r="D679" s="275"/>
      <c r="E679" s="275"/>
      <c r="F679" s="275"/>
      <c r="G679" s="275"/>
      <c r="H679" s="275"/>
      <c r="I679" s="275"/>
      <c r="J679" s="275"/>
      <c r="K679" s="286"/>
      <c r="L679" s="286"/>
      <c r="M679" s="286"/>
      <c r="N679" s="275"/>
      <c r="O679" s="275"/>
      <c r="P679" s="275"/>
      <c r="Q679" s="275"/>
      <c r="R679" s="275"/>
      <c r="S679" s="275"/>
      <c r="T679" s="275"/>
      <c r="U679" s="275"/>
      <c r="V679" s="275"/>
      <c r="W679" s="275"/>
      <c r="X679" s="275"/>
      <c r="Y679" s="275"/>
      <c r="Z679" s="275"/>
      <c r="AA679" s="275"/>
    </row>
    <row r="680" ht="15.75" customHeight="1">
      <c r="A680" s="275"/>
      <c r="B680" s="275"/>
      <c r="C680" s="286"/>
      <c r="D680" s="275"/>
      <c r="E680" s="275"/>
      <c r="F680" s="275"/>
      <c r="G680" s="275"/>
      <c r="H680" s="275"/>
      <c r="I680" s="275"/>
      <c r="J680" s="275"/>
      <c r="K680" s="286"/>
      <c r="L680" s="286"/>
      <c r="M680" s="286"/>
      <c r="N680" s="275"/>
      <c r="O680" s="275"/>
      <c r="P680" s="275"/>
      <c r="Q680" s="275"/>
      <c r="R680" s="275"/>
      <c r="S680" s="275"/>
      <c r="T680" s="275"/>
      <c r="U680" s="275"/>
      <c r="V680" s="275"/>
      <c r="W680" s="275"/>
      <c r="X680" s="275"/>
      <c r="Y680" s="275"/>
      <c r="Z680" s="275"/>
      <c r="AA680" s="275"/>
    </row>
    <row r="681" ht="15.75" customHeight="1">
      <c r="A681" s="275"/>
      <c r="B681" s="275"/>
      <c r="C681" s="286"/>
      <c r="D681" s="275"/>
      <c r="E681" s="275"/>
      <c r="F681" s="275"/>
      <c r="G681" s="275"/>
      <c r="H681" s="275"/>
      <c r="I681" s="275"/>
      <c r="J681" s="275"/>
      <c r="K681" s="286"/>
      <c r="L681" s="286"/>
      <c r="M681" s="286"/>
      <c r="N681" s="275"/>
      <c r="O681" s="275"/>
      <c r="P681" s="275"/>
      <c r="Q681" s="275"/>
      <c r="R681" s="275"/>
      <c r="S681" s="275"/>
      <c r="T681" s="275"/>
      <c r="U681" s="275"/>
      <c r="V681" s="275"/>
      <c r="W681" s="275"/>
      <c r="X681" s="275"/>
      <c r="Y681" s="275"/>
      <c r="Z681" s="275"/>
      <c r="AA681" s="275"/>
    </row>
    <row r="682" ht="15.75" customHeight="1">
      <c r="A682" s="275"/>
      <c r="B682" s="275"/>
      <c r="C682" s="286"/>
      <c r="D682" s="275"/>
      <c r="E682" s="275"/>
      <c r="F682" s="275"/>
      <c r="G682" s="275"/>
      <c r="H682" s="275"/>
      <c r="I682" s="275"/>
      <c r="J682" s="275"/>
      <c r="K682" s="286"/>
      <c r="L682" s="286"/>
      <c r="M682" s="286"/>
      <c r="N682" s="275"/>
      <c r="O682" s="275"/>
      <c r="P682" s="275"/>
      <c r="Q682" s="275"/>
      <c r="R682" s="275"/>
      <c r="S682" s="275"/>
      <c r="T682" s="275"/>
      <c r="U682" s="275"/>
      <c r="V682" s="275"/>
      <c r="W682" s="275"/>
      <c r="X682" s="275"/>
      <c r="Y682" s="275"/>
      <c r="Z682" s="275"/>
      <c r="AA682" s="275"/>
    </row>
    <row r="683" ht="15.75" customHeight="1">
      <c r="A683" s="275"/>
      <c r="B683" s="275"/>
      <c r="C683" s="286"/>
      <c r="D683" s="275"/>
      <c r="E683" s="275"/>
      <c r="F683" s="275"/>
      <c r="G683" s="275"/>
      <c r="H683" s="275"/>
      <c r="I683" s="275"/>
      <c r="J683" s="275"/>
      <c r="K683" s="286"/>
      <c r="L683" s="286"/>
      <c r="M683" s="286"/>
      <c r="N683" s="275"/>
      <c r="O683" s="275"/>
      <c r="P683" s="275"/>
      <c r="Q683" s="275"/>
      <c r="R683" s="275"/>
      <c r="S683" s="275"/>
      <c r="T683" s="275"/>
      <c r="U683" s="275"/>
      <c r="V683" s="275"/>
      <c r="W683" s="275"/>
      <c r="X683" s="275"/>
      <c r="Y683" s="275"/>
      <c r="Z683" s="275"/>
      <c r="AA683" s="275"/>
    </row>
    <row r="684" ht="15.75" customHeight="1">
      <c r="A684" s="275"/>
      <c r="B684" s="275"/>
      <c r="C684" s="286"/>
      <c r="D684" s="275"/>
      <c r="E684" s="275"/>
      <c r="F684" s="275"/>
      <c r="G684" s="275"/>
      <c r="H684" s="275"/>
      <c r="I684" s="275"/>
      <c r="J684" s="275"/>
      <c r="K684" s="286"/>
      <c r="L684" s="286"/>
      <c r="M684" s="286"/>
      <c r="N684" s="275"/>
      <c r="O684" s="275"/>
      <c r="P684" s="275"/>
      <c r="Q684" s="275"/>
      <c r="R684" s="275"/>
      <c r="S684" s="275"/>
      <c r="T684" s="275"/>
      <c r="U684" s="275"/>
      <c r="V684" s="275"/>
      <c r="W684" s="275"/>
      <c r="X684" s="275"/>
      <c r="Y684" s="275"/>
      <c r="Z684" s="275"/>
      <c r="AA684" s="275"/>
    </row>
    <row r="685" ht="15.75" customHeight="1">
      <c r="A685" s="275"/>
      <c r="B685" s="275"/>
      <c r="C685" s="286"/>
      <c r="D685" s="275"/>
      <c r="E685" s="275"/>
      <c r="F685" s="275"/>
      <c r="G685" s="275"/>
      <c r="H685" s="275"/>
      <c r="I685" s="275"/>
      <c r="J685" s="275"/>
      <c r="K685" s="286"/>
      <c r="L685" s="286"/>
      <c r="M685" s="286"/>
      <c r="N685" s="275"/>
      <c r="O685" s="275"/>
      <c r="P685" s="275"/>
      <c r="Q685" s="275"/>
      <c r="R685" s="275"/>
      <c r="S685" s="275"/>
      <c r="T685" s="275"/>
      <c r="U685" s="275"/>
      <c r="V685" s="275"/>
      <c r="W685" s="275"/>
      <c r="X685" s="275"/>
      <c r="Y685" s="275"/>
      <c r="Z685" s="275"/>
      <c r="AA685" s="275"/>
    </row>
    <row r="686" ht="15.75" customHeight="1">
      <c r="A686" s="275"/>
      <c r="B686" s="275"/>
      <c r="C686" s="286"/>
      <c r="D686" s="275"/>
      <c r="E686" s="275"/>
      <c r="F686" s="275"/>
      <c r="G686" s="275"/>
      <c r="H686" s="275"/>
      <c r="I686" s="275"/>
      <c r="J686" s="275"/>
      <c r="K686" s="286"/>
      <c r="L686" s="286"/>
      <c r="M686" s="286"/>
      <c r="N686" s="275"/>
      <c r="O686" s="275"/>
      <c r="P686" s="275"/>
      <c r="Q686" s="275"/>
      <c r="R686" s="275"/>
      <c r="S686" s="275"/>
      <c r="T686" s="275"/>
      <c r="U686" s="275"/>
      <c r="V686" s="275"/>
      <c r="W686" s="275"/>
      <c r="X686" s="275"/>
      <c r="Y686" s="275"/>
      <c r="Z686" s="275"/>
      <c r="AA686" s="275"/>
    </row>
    <row r="687" ht="15.75" customHeight="1">
      <c r="A687" s="275"/>
      <c r="B687" s="275"/>
      <c r="C687" s="286"/>
      <c r="D687" s="275"/>
      <c r="E687" s="275"/>
      <c r="F687" s="275"/>
      <c r="G687" s="275"/>
      <c r="H687" s="275"/>
      <c r="I687" s="275"/>
      <c r="J687" s="275"/>
      <c r="K687" s="286"/>
      <c r="L687" s="286"/>
      <c r="M687" s="286"/>
      <c r="N687" s="275"/>
      <c r="O687" s="275"/>
      <c r="P687" s="275"/>
      <c r="Q687" s="275"/>
      <c r="R687" s="275"/>
      <c r="S687" s="275"/>
      <c r="T687" s="275"/>
      <c r="U687" s="275"/>
      <c r="V687" s="275"/>
      <c r="W687" s="275"/>
      <c r="X687" s="275"/>
      <c r="Y687" s="275"/>
      <c r="Z687" s="275"/>
      <c r="AA687" s="275"/>
    </row>
    <row r="688" ht="15.75" customHeight="1">
      <c r="A688" s="275"/>
      <c r="B688" s="275"/>
      <c r="C688" s="286"/>
      <c r="D688" s="275"/>
      <c r="E688" s="275"/>
      <c r="F688" s="275"/>
      <c r="G688" s="275"/>
      <c r="H688" s="275"/>
      <c r="I688" s="275"/>
      <c r="J688" s="275"/>
      <c r="K688" s="286"/>
      <c r="L688" s="286"/>
      <c r="M688" s="286"/>
      <c r="N688" s="275"/>
      <c r="O688" s="275"/>
      <c r="P688" s="275"/>
      <c r="Q688" s="275"/>
      <c r="R688" s="275"/>
      <c r="S688" s="275"/>
      <c r="T688" s="275"/>
      <c r="U688" s="275"/>
      <c r="V688" s="275"/>
      <c r="W688" s="275"/>
      <c r="X688" s="275"/>
      <c r="Y688" s="275"/>
      <c r="Z688" s="275"/>
      <c r="AA688" s="275"/>
    </row>
    <row r="689" ht="15.75" customHeight="1">
      <c r="A689" s="275"/>
      <c r="B689" s="275"/>
      <c r="C689" s="286"/>
      <c r="D689" s="275"/>
      <c r="E689" s="275"/>
      <c r="F689" s="275"/>
      <c r="G689" s="275"/>
      <c r="H689" s="275"/>
      <c r="I689" s="275"/>
      <c r="J689" s="275"/>
      <c r="K689" s="286"/>
      <c r="L689" s="286"/>
      <c r="M689" s="286"/>
      <c r="N689" s="275"/>
      <c r="O689" s="275"/>
      <c r="P689" s="275"/>
      <c r="Q689" s="275"/>
      <c r="R689" s="275"/>
      <c r="S689" s="275"/>
      <c r="T689" s="275"/>
      <c r="U689" s="275"/>
      <c r="V689" s="275"/>
      <c r="W689" s="275"/>
      <c r="X689" s="275"/>
      <c r="Y689" s="275"/>
      <c r="Z689" s="275"/>
      <c r="AA689" s="275"/>
    </row>
    <row r="690" ht="15.75" customHeight="1">
      <c r="A690" s="275"/>
      <c r="B690" s="275"/>
      <c r="C690" s="286"/>
      <c r="D690" s="275"/>
      <c r="E690" s="275"/>
      <c r="F690" s="275"/>
      <c r="G690" s="275"/>
      <c r="H690" s="275"/>
      <c r="I690" s="275"/>
      <c r="J690" s="275"/>
      <c r="K690" s="286"/>
      <c r="L690" s="286"/>
      <c r="M690" s="286"/>
      <c r="N690" s="275"/>
      <c r="O690" s="275"/>
      <c r="P690" s="275"/>
      <c r="Q690" s="275"/>
      <c r="R690" s="275"/>
      <c r="S690" s="275"/>
      <c r="T690" s="275"/>
      <c r="U690" s="275"/>
      <c r="V690" s="275"/>
      <c r="W690" s="275"/>
      <c r="X690" s="275"/>
      <c r="Y690" s="275"/>
      <c r="Z690" s="275"/>
      <c r="AA690" s="275"/>
    </row>
    <row r="691" ht="15.75" customHeight="1">
      <c r="A691" s="275"/>
      <c r="B691" s="275"/>
      <c r="C691" s="286"/>
      <c r="D691" s="275"/>
      <c r="E691" s="275"/>
      <c r="F691" s="275"/>
      <c r="G691" s="275"/>
      <c r="H691" s="275"/>
      <c r="I691" s="275"/>
      <c r="J691" s="275"/>
      <c r="K691" s="286"/>
      <c r="L691" s="286"/>
      <c r="M691" s="286"/>
      <c r="N691" s="275"/>
      <c r="O691" s="275"/>
      <c r="P691" s="275"/>
      <c r="Q691" s="275"/>
      <c r="R691" s="275"/>
      <c r="S691" s="275"/>
      <c r="T691" s="275"/>
      <c r="U691" s="275"/>
      <c r="V691" s="275"/>
      <c r="W691" s="275"/>
      <c r="X691" s="275"/>
      <c r="Y691" s="275"/>
      <c r="Z691" s="275"/>
      <c r="AA691" s="275"/>
    </row>
    <row r="692" ht="15.75" customHeight="1">
      <c r="A692" s="275"/>
      <c r="B692" s="275"/>
      <c r="C692" s="286"/>
      <c r="D692" s="275"/>
      <c r="E692" s="275"/>
      <c r="F692" s="275"/>
      <c r="G692" s="275"/>
      <c r="H692" s="275"/>
      <c r="I692" s="275"/>
      <c r="J692" s="275"/>
      <c r="K692" s="286"/>
      <c r="L692" s="286"/>
      <c r="M692" s="286"/>
      <c r="N692" s="275"/>
      <c r="O692" s="275"/>
      <c r="P692" s="275"/>
      <c r="Q692" s="275"/>
      <c r="R692" s="275"/>
      <c r="S692" s="275"/>
      <c r="T692" s="275"/>
      <c r="U692" s="275"/>
      <c r="V692" s="275"/>
      <c r="W692" s="275"/>
      <c r="X692" s="275"/>
      <c r="Y692" s="275"/>
      <c r="Z692" s="275"/>
      <c r="AA692" s="275"/>
    </row>
    <row r="693" ht="15.75" customHeight="1">
      <c r="A693" s="275"/>
      <c r="B693" s="275"/>
      <c r="C693" s="286"/>
      <c r="D693" s="275"/>
      <c r="E693" s="275"/>
      <c r="F693" s="275"/>
      <c r="G693" s="275"/>
      <c r="H693" s="275"/>
      <c r="I693" s="275"/>
      <c r="J693" s="275"/>
      <c r="K693" s="286"/>
      <c r="L693" s="286"/>
      <c r="M693" s="286"/>
      <c r="N693" s="275"/>
      <c r="O693" s="275"/>
      <c r="P693" s="275"/>
      <c r="Q693" s="275"/>
      <c r="R693" s="275"/>
      <c r="S693" s="275"/>
      <c r="T693" s="275"/>
      <c r="U693" s="275"/>
      <c r="V693" s="275"/>
      <c r="W693" s="275"/>
      <c r="X693" s="275"/>
      <c r="Y693" s="275"/>
      <c r="Z693" s="275"/>
      <c r="AA693" s="275"/>
    </row>
    <row r="694" ht="15.75" customHeight="1">
      <c r="A694" s="275"/>
      <c r="B694" s="275"/>
      <c r="C694" s="286"/>
      <c r="D694" s="275"/>
      <c r="E694" s="275"/>
      <c r="F694" s="275"/>
      <c r="G694" s="275"/>
      <c r="H694" s="275"/>
      <c r="I694" s="275"/>
      <c r="J694" s="275"/>
      <c r="K694" s="286"/>
      <c r="L694" s="286"/>
      <c r="M694" s="286"/>
      <c r="N694" s="275"/>
      <c r="O694" s="275"/>
      <c r="P694" s="275"/>
      <c r="Q694" s="275"/>
      <c r="R694" s="275"/>
      <c r="S694" s="275"/>
      <c r="T694" s="275"/>
      <c r="U694" s="275"/>
      <c r="V694" s="275"/>
      <c r="W694" s="275"/>
      <c r="X694" s="275"/>
      <c r="Y694" s="275"/>
      <c r="Z694" s="275"/>
      <c r="AA694" s="275"/>
    </row>
    <row r="695" ht="15.75" customHeight="1">
      <c r="A695" s="275"/>
      <c r="B695" s="275"/>
      <c r="C695" s="286"/>
      <c r="D695" s="275"/>
      <c r="E695" s="275"/>
      <c r="F695" s="275"/>
      <c r="G695" s="275"/>
      <c r="H695" s="275"/>
      <c r="I695" s="275"/>
      <c r="J695" s="275"/>
      <c r="K695" s="286"/>
      <c r="L695" s="286"/>
      <c r="M695" s="286"/>
      <c r="N695" s="275"/>
      <c r="O695" s="275"/>
      <c r="P695" s="275"/>
      <c r="Q695" s="275"/>
      <c r="R695" s="275"/>
      <c r="S695" s="275"/>
      <c r="T695" s="275"/>
      <c r="U695" s="275"/>
      <c r="V695" s="275"/>
      <c r="W695" s="275"/>
      <c r="X695" s="275"/>
      <c r="Y695" s="275"/>
      <c r="Z695" s="275"/>
      <c r="AA695" s="275"/>
    </row>
    <row r="696" ht="15.75" customHeight="1">
      <c r="A696" s="275"/>
      <c r="B696" s="275"/>
      <c r="C696" s="286"/>
      <c r="D696" s="275"/>
      <c r="E696" s="275"/>
      <c r="F696" s="275"/>
      <c r="G696" s="275"/>
      <c r="H696" s="275"/>
      <c r="I696" s="275"/>
      <c r="J696" s="275"/>
      <c r="K696" s="286"/>
      <c r="L696" s="286"/>
      <c r="M696" s="286"/>
      <c r="N696" s="275"/>
      <c r="O696" s="275"/>
      <c r="P696" s="275"/>
      <c r="Q696" s="275"/>
      <c r="R696" s="275"/>
      <c r="S696" s="275"/>
      <c r="T696" s="275"/>
      <c r="U696" s="275"/>
      <c r="V696" s="275"/>
      <c r="W696" s="275"/>
      <c r="X696" s="275"/>
      <c r="Y696" s="275"/>
      <c r="Z696" s="275"/>
      <c r="AA696" s="275"/>
    </row>
    <row r="697" ht="15.75" customHeight="1">
      <c r="A697" s="275"/>
      <c r="B697" s="275"/>
      <c r="C697" s="286"/>
      <c r="D697" s="275"/>
      <c r="E697" s="275"/>
      <c r="F697" s="275"/>
      <c r="G697" s="275"/>
      <c r="H697" s="275"/>
      <c r="I697" s="275"/>
      <c r="J697" s="275"/>
      <c r="K697" s="286"/>
      <c r="L697" s="286"/>
      <c r="M697" s="286"/>
      <c r="N697" s="275"/>
      <c r="O697" s="275"/>
      <c r="P697" s="275"/>
      <c r="Q697" s="275"/>
      <c r="R697" s="275"/>
      <c r="S697" s="275"/>
      <c r="T697" s="275"/>
      <c r="U697" s="275"/>
      <c r="V697" s="275"/>
      <c r="W697" s="275"/>
      <c r="X697" s="275"/>
      <c r="Y697" s="275"/>
      <c r="Z697" s="275"/>
      <c r="AA697" s="275"/>
    </row>
    <row r="698" ht="15.75" customHeight="1">
      <c r="A698" s="275"/>
      <c r="B698" s="275"/>
      <c r="C698" s="286"/>
      <c r="D698" s="275"/>
      <c r="E698" s="275"/>
      <c r="F698" s="275"/>
      <c r="G698" s="275"/>
      <c r="H698" s="275"/>
      <c r="I698" s="275"/>
      <c r="J698" s="275"/>
      <c r="K698" s="286"/>
      <c r="L698" s="286"/>
      <c r="M698" s="286"/>
      <c r="N698" s="275"/>
      <c r="O698" s="275"/>
      <c r="P698" s="275"/>
      <c r="Q698" s="275"/>
      <c r="R698" s="275"/>
      <c r="S698" s="275"/>
      <c r="T698" s="275"/>
      <c r="U698" s="275"/>
      <c r="V698" s="275"/>
      <c r="W698" s="275"/>
      <c r="X698" s="275"/>
      <c r="Y698" s="275"/>
      <c r="Z698" s="275"/>
      <c r="AA698" s="275"/>
    </row>
    <row r="699" ht="15.75" customHeight="1">
      <c r="A699" s="275"/>
      <c r="B699" s="275"/>
      <c r="C699" s="286"/>
      <c r="D699" s="275"/>
      <c r="E699" s="275"/>
      <c r="F699" s="275"/>
      <c r="G699" s="275"/>
      <c r="H699" s="275"/>
      <c r="I699" s="275"/>
      <c r="J699" s="275"/>
      <c r="K699" s="286"/>
      <c r="L699" s="286"/>
      <c r="M699" s="286"/>
      <c r="N699" s="275"/>
      <c r="O699" s="275"/>
      <c r="P699" s="275"/>
      <c r="Q699" s="275"/>
      <c r="R699" s="275"/>
      <c r="S699" s="275"/>
      <c r="T699" s="275"/>
      <c r="U699" s="275"/>
      <c r="V699" s="275"/>
      <c r="W699" s="275"/>
      <c r="X699" s="275"/>
      <c r="Y699" s="275"/>
      <c r="Z699" s="275"/>
      <c r="AA699" s="275"/>
    </row>
    <row r="700" ht="15.75" customHeight="1">
      <c r="A700" s="275"/>
      <c r="B700" s="275"/>
      <c r="C700" s="286"/>
      <c r="D700" s="275"/>
      <c r="E700" s="275"/>
      <c r="F700" s="275"/>
      <c r="G700" s="275"/>
      <c r="H700" s="275"/>
      <c r="I700" s="275"/>
      <c r="J700" s="275"/>
      <c r="K700" s="286"/>
      <c r="L700" s="286"/>
      <c r="M700" s="286"/>
      <c r="N700" s="275"/>
      <c r="O700" s="275"/>
      <c r="P700" s="275"/>
      <c r="Q700" s="275"/>
      <c r="R700" s="275"/>
      <c r="S700" s="275"/>
      <c r="T700" s="275"/>
      <c r="U700" s="275"/>
      <c r="V700" s="275"/>
      <c r="W700" s="275"/>
      <c r="X700" s="275"/>
      <c r="Y700" s="275"/>
      <c r="Z700" s="275"/>
      <c r="AA700" s="275"/>
    </row>
    <row r="701" ht="15.75" customHeight="1">
      <c r="A701" s="275"/>
      <c r="B701" s="275"/>
      <c r="C701" s="286"/>
      <c r="D701" s="275"/>
      <c r="E701" s="275"/>
      <c r="F701" s="275"/>
      <c r="G701" s="275"/>
      <c r="H701" s="275"/>
      <c r="I701" s="275"/>
      <c r="J701" s="275"/>
      <c r="K701" s="286"/>
      <c r="L701" s="286"/>
      <c r="M701" s="286"/>
      <c r="N701" s="275"/>
      <c r="O701" s="275"/>
      <c r="P701" s="275"/>
      <c r="Q701" s="275"/>
      <c r="R701" s="275"/>
      <c r="S701" s="275"/>
      <c r="T701" s="275"/>
      <c r="U701" s="275"/>
      <c r="V701" s="275"/>
      <c r="W701" s="275"/>
      <c r="X701" s="275"/>
      <c r="Y701" s="275"/>
      <c r="Z701" s="275"/>
      <c r="AA701" s="275"/>
    </row>
    <row r="702" ht="15.75" customHeight="1">
      <c r="A702" s="275"/>
      <c r="B702" s="275"/>
      <c r="C702" s="286"/>
      <c r="D702" s="275"/>
      <c r="E702" s="275"/>
      <c r="F702" s="275"/>
      <c r="G702" s="275"/>
      <c r="H702" s="275"/>
      <c r="I702" s="275"/>
      <c r="J702" s="275"/>
      <c r="K702" s="286"/>
      <c r="L702" s="286"/>
      <c r="M702" s="286"/>
      <c r="N702" s="275"/>
      <c r="O702" s="275"/>
      <c r="P702" s="275"/>
      <c r="Q702" s="275"/>
      <c r="R702" s="275"/>
      <c r="S702" s="275"/>
      <c r="T702" s="275"/>
      <c r="U702" s="275"/>
      <c r="V702" s="275"/>
      <c r="W702" s="275"/>
      <c r="X702" s="275"/>
      <c r="Y702" s="275"/>
      <c r="Z702" s="275"/>
      <c r="AA702" s="275"/>
    </row>
    <row r="703" ht="15.75" customHeight="1">
      <c r="A703" s="275"/>
      <c r="B703" s="275"/>
      <c r="C703" s="286"/>
      <c r="D703" s="275"/>
      <c r="E703" s="275"/>
      <c r="F703" s="275"/>
      <c r="G703" s="275"/>
      <c r="H703" s="275"/>
      <c r="I703" s="275"/>
      <c r="J703" s="275"/>
      <c r="K703" s="286"/>
      <c r="L703" s="286"/>
      <c r="M703" s="286"/>
      <c r="N703" s="275"/>
      <c r="O703" s="275"/>
      <c r="P703" s="275"/>
      <c r="Q703" s="275"/>
      <c r="R703" s="275"/>
      <c r="S703" s="275"/>
      <c r="T703" s="275"/>
      <c r="U703" s="275"/>
      <c r="V703" s="275"/>
      <c r="W703" s="275"/>
      <c r="X703" s="275"/>
      <c r="Y703" s="275"/>
      <c r="Z703" s="275"/>
      <c r="AA703" s="275"/>
    </row>
    <row r="704" ht="15.75" customHeight="1">
      <c r="A704" s="275"/>
      <c r="B704" s="275"/>
      <c r="C704" s="286"/>
      <c r="D704" s="275"/>
      <c r="E704" s="275"/>
      <c r="F704" s="275"/>
      <c r="G704" s="275"/>
      <c r="H704" s="275"/>
      <c r="I704" s="275"/>
      <c r="J704" s="275"/>
      <c r="K704" s="286"/>
      <c r="L704" s="286"/>
      <c r="M704" s="286"/>
      <c r="N704" s="275"/>
      <c r="O704" s="275"/>
      <c r="P704" s="275"/>
      <c r="Q704" s="275"/>
      <c r="R704" s="275"/>
      <c r="S704" s="275"/>
      <c r="T704" s="275"/>
      <c r="U704" s="275"/>
      <c r="V704" s="275"/>
      <c r="W704" s="275"/>
      <c r="X704" s="275"/>
      <c r="Y704" s="275"/>
      <c r="Z704" s="275"/>
      <c r="AA704" s="275"/>
    </row>
    <row r="705" ht="15.75" customHeight="1">
      <c r="A705" s="275"/>
      <c r="B705" s="275"/>
      <c r="C705" s="286"/>
      <c r="D705" s="275"/>
      <c r="E705" s="275"/>
      <c r="F705" s="275"/>
      <c r="G705" s="275"/>
      <c r="H705" s="275"/>
      <c r="I705" s="275"/>
      <c r="J705" s="275"/>
      <c r="K705" s="286"/>
      <c r="L705" s="286"/>
      <c r="M705" s="286"/>
      <c r="N705" s="275"/>
      <c r="O705" s="275"/>
      <c r="P705" s="275"/>
      <c r="Q705" s="275"/>
      <c r="R705" s="275"/>
      <c r="S705" s="275"/>
      <c r="T705" s="275"/>
      <c r="U705" s="275"/>
      <c r="V705" s="275"/>
      <c r="W705" s="275"/>
      <c r="X705" s="275"/>
      <c r="Y705" s="275"/>
      <c r="Z705" s="275"/>
      <c r="AA705" s="275"/>
    </row>
    <row r="706" ht="15.75" customHeight="1">
      <c r="A706" s="275"/>
      <c r="B706" s="275"/>
      <c r="C706" s="286"/>
      <c r="D706" s="275"/>
      <c r="E706" s="275"/>
      <c r="F706" s="275"/>
      <c r="G706" s="275"/>
      <c r="H706" s="275"/>
      <c r="I706" s="275"/>
      <c r="J706" s="275"/>
      <c r="K706" s="286"/>
      <c r="L706" s="286"/>
      <c r="M706" s="286"/>
      <c r="N706" s="275"/>
      <c r="O706" s="275"/>
      <c r="P706" s="275"/>
      <c r="Q706" s="275"/>
      <c r="R706" s="275"/>
      <c r="S706" s="275"/>
      <c r="T706" s="275"/>
      <c r="U706" s="275"/>
      <c r="V706" s="275"/>
      <c r="W706" s="275"/>
      <c r="X706" s="275"/>
      <c r="Y706" s="275"/>
      <c r="Z706" s="275"/>
      <c r="AA706" s="275"/>
    </row>
    <row r="707" ht="15.75" customHeight="1">
      <c r="A707" s="275"/>
      <c r="B707" s="275"/>
      <c r="C707" s="286"/>
      <c r="D707" s="275"/>
      <c r="E707" s="275"/>
      <c r="F707" s="275"/>
      <c r="G707" s="275"/>
      <c r="H707" s="275"/>
      <c r="I707" s="275"/>
      <c r="J707" s="275"/>
      <c r="K707" s="286"/>
      <c r="L707" s="286"/>
      <c r="M707" s="286"/>
      <c r="N707" s="275"/>
      <c r="O707" s="275"/>
      <c r="P707" s="275"/>
      <c r="Q707" s="275"/>
      <c r="R707" s="275"/>
      <c r="S707" s="275"/>
      <c r="T707" s="275"/>
      <c r="U707" s="275"/>
      <c r="V707" s="275"/>
      <c r="W707" s="275"/>
      <c r="X707" s="275"/>
      <c r="Y707" s="275"/>
      <c r="Z707" s="275"/>
      <c r="AA707" s="275"/>
    </row>
    <row r="708" ht="15.75" customHeight="1">
      <c r="A708" s="275"/>
      <c r="B708" s="275"/>
      <c r="C708" s="286"/>
      <c r="D708" s="275"/>
      <c r="E708" s="275"/>
      <c r="F708" s="275"/>
      <c r="G708" s="275"/>
      <c r="H708" s="275"/>
      <c r="I708" s="275"/>
      <c r="J708" s="275"/>
      <c r="K708" s="286"/>
      <c r="L708" s="286"/>
      <c r="M708" s="286"/>
      <c r="N708" s="275"/>
      <c r="O708" s="275"/>
      <c r="P708" s="275"/>
      <c r="Q708" s="275"/>
      <c r="R708" s="275"/>
      <c r="S708" s="275"/>
      <c r="T708" s="275"/>
      <c r="U708" s="275"/>
      <c r="V708" s="275"/>
      <c r="W708" s="275"/>
      <c r="X708" s="275"/>
      <c r="Y708" s="275"/>
      <c r="Z708" s="275"/>
      <c r="AA708" s="275"/>
    </row>
    <row r="709" ht="15.75" customHeight="1">
      <c r="A709" s="275"/>
      <c r="B709" s="275"/>
      <c r="C709" s="286"/>
      <c r="D709" s="275"/>
      <c r="E709" s="275"/>
      <c r="F709" s="275"/>
      <c r="G709" s="275"/>
      <c r="H709" s="275"/>
      <c r="I709" s="275"/>
      <c r="J709" s="275"/>
      <c r="K709" s="286"/>
      <c r="L709" s="286"/>
      <c r="M709" s="286"/>
      <c r="N709" s="275"/>
      <c r="O709" s="275"/>
      <c r="P709" s="275"/>
      <c r="Q709" s="275"/>
      <c r="R709" s="275"/>
      <c r="S709" s="275"/>
      <c r="T709" s="275"/>
      <c r="U709" s="275"/>
      <c r="V709" s="275"/>
      <c r="W709" s="275"/>
      <c r="X709" s="275"/>
      <c r="Y709" s="275"/>
      <c r="Z709" s="275"/>
      <c r="AA709" s="275"/>
    </row>
    <row r="710" ht="15.75" customHeight="1">
      <c r="A710" s="275"/>
      <c r="B710" s="275"/>
      <c r="C710" s="286"/>
      <c r="D710" s="275"/>
      <c r="E710" s="275"/>
      <c r="F710" s="275"/>
      <c r="G710" s="275"/>
      <c r="H710" s="275"/>
      <c r="I710" s="275"/>
      <c r="J710" s="275"/>
      <c r="K710" s="286"/>
      <c r="L710" s="286"/>
      <c r="M710" s="286"/>
      <c r="N710" s="275"/>
      <c r="O710" s="275"/>
      <c r="P710" s="275"/>
      <c r="Q710" s="275"/>
      <c r="R710" s="275"/>
      <c r="S710" s="275"/>
      <c r="T710" s="275"/>
      <c r="U710" s="275"/>
      <c r="V710" s="275"/>
      <c r="W710" s="275"/>
      <c r="X710" s="275"/>
      <c r="Y710" s="275"/>
      <c r="Z710" s="275"/>
      <c r="AA710" s="275"/>
    </row>
    <row r="711" ht="15.75" customHeight="1">
      <c r="A711" s="275"/>
      <c r="B711" s="275"/>
      <c r="C711" s="286"/>
      <c r="D711" s="275"/>
      <c r="E711" s="275"/>
      <c r="F711" s="275"/>
      <c r="G711" s="275"/>
      <c r="H711" s="275"/>
      <c r="I711" s="275"/>
      <c r="J711" s="275"/>
      <c r="K711" s="286"/>
      <c r="L711" s="286"/>
      <c r="M711" s="286"/>
      <c r="N711" s="275"/>
      <c r="O711" s="275"/>
      <c r="P711" s="275"/>
      <c r="Q711" s="275"/>
      <c r="R711" s="275"/>
      <c r="S711" s="275"/>
      <c r="T711" s="275"/>
      <c r="U711" s="275"/>
      <c r="V711" s="275"/>
      <c r="W711" s="275"/>
      <c r="X711" s="275"/>
      <c r="Y711" s="275"/>
      <c r="Z711" s="275"/>
      <c r="AA711" s="275"/>
    </row>
    <row r="712" ht="15.75" customHeight="1">
      <c r="A712" s="275"/>
      <c r="B712" s="275"/>
      <c r="C712" s="286"/>
      <c r="D712" s="275"/>
      <c r="E712" s="275"/>
      <c r="F712" s="275"/>
      <c r="G712" s="275"/>
      <c r="H712" s="275"/>
      <c r="I712" s="275"/>
      <c r="J712" s="275"/>
      <c r="K712" s="286"/>
      <c r="L712" s="286"/>
      <c r="M712" s="286"/>
      <c r="N712" s="275"/>
      <c r="O712" s="275"/>
      <c r="P712" s="275"/>
      <c r="Q712" s="275"/>
      <c r="R712" s="275"/>
      <c r="S712" s="275"/>
      <c r="T712" s="275"/>
      <c r="U712" s="275"/>
      <c r="V712" s="275"/>
      <c r="W712" s="275"/>
      <c r="X712" s="275"/>
      <c r="Y712" s="275"/>
      <c r="Z712" s="275"/>
      <c r="AA712" s="275"/>
    </row>
    <row r="713" ht="15.75" customHeight="1">
      <c r="A713" s="275"/>
      <c r="B713" s="275"/>
      <c r="C713" s="286"/>
      <c r="D713" s="275"/>
      <c r="E713" s="275"/>
      <c r="F713" s="275"/>
      <c r="G713" s="275"/>
      <c r="H713" s="275"/>
      <c r="I713" s="275"/>
      <c r="J713" s="275"/>
      <c r="K713" s="286"/>
      <c r="L713" s="286"/>
      <c r="M713" s="286"/>
      <c r="N713" s="275"/>
      <c r="O713" s="275"/>
      <c r="P713" s="275"/>
      <c r="Q713" s="275"/>
      <c r="R713" s="275"/>
      <c r="S713" s="275"/>
      <c r="T713" s="275"/>
      <c r="U713" s="275"/>
      <c r="V713" s="275"/>
      <c r="W713" s="275"/>
      <c r="X713" s="275"/>
      <c r="Y713" s="275"/>
      <c r="Z713" s="275"/>
      <c r="AA713" s="275"/>
    </row>
    <row r="714" ht="15.75" customHeight="1">
      <c r="A714" s="275"/>
      <c r="B714" s="275"/>
      <c r="C714" s="286"/>
      <c r="D714" s="275"/>
      <c r="E714" s="275"/>
      <c r="F714" s="275"/>
      <c r="G714" s="275"/>
      <c r="H714" s="275"/>
      <c r="I714" s="275"/>
      <c r="J714" s="275"/>
      <c r="K714" s="286"/>
      <c r="L714" s="286"/>
      <c r="M714" s="286"/>
      <c r="N714" s="275"/>
      <c r="O714" s="275"/>
      <c r="P714" s="275"/>
      <c r="Q714" s="275"/>
      <c r="R714" s="275"/>
      <c r="S714" s="275"/>
      <c r="T714" s="275"/>
      <c r="U714" s="275"/>
      <c r="V714" s="275"/>
      <c r="W714" s="275"/>
      <c r="X714" s="275"/>
      <c r="Y714" s="275"/>
      <c r="Z714" s="275"/>
      <c r="AA714" s="275"/>
    </row>
    <row r="715" ht="15.75" customHeight="1">
      <c r="A715" s="275"/>
      <c r="B715" s="275"/>
      <c r="C715" s="286"/>
      <c r="D715" s="275"/>
      <c r="E715" s="275"/>
      <c r="F715" s="275"/>
      <c r="G715" s="275"/>
      <c r="H715" s="275"/>
      <c r="I715" s="275"/>
      <c r="J715" s="275"/>
      <c r="K715" s="286"/>
      <c r="L715" s="286"/>
      <c r="M715" s="286"/>
      <c r="N715" s="275"/>
      <c r="O715" s="275"/>
      <c r="P715" s="275"/>
      <c r="Q715" s="275"/>
      <c r="R715" s="275"/>
      <c r="S715" s="275"/>
      <c r="T715" s="275"/>
      <c r="U715" s="275"/>
      <c r="V715" s="275"/>
      <c r="W715" s="275"/>
      <c r="X715" s="275"/>
      <c r="Y715" s="275"/>
      <c r="Z715" s="275"/>
      <c r="AA715" s="275"/>
    </row>
    <row r="716" ht="15.75" customHeight="1">
      <c r="A716" s="275"/>
      <c r="B716" s="275"/>
      <c r="C716" s="286"/>
      <c r="D716" s="275"/>
      <c r="E716" s="275"/>
      <c r="F716" s="275"/>
      <c r="G716" s="275"/>
      <c r="H716" s="275"/>
      <c r="I716" s="275"/>
      <c r="J716" s="275"/>
      <c r="K716" s="286"/>
      <c r="L716" s="286"/>
      <c r="M716" s="286"/>
      <c r="N716" s="275"/>
      <c r="O716" s="275"/>
      <c r="P716" s="275"/>
      <c r="Q716" s="275"/>
      <c r="R716" s="275"/>
      <c r="S716" s="275"/>
      <c r="T716" s="275"/>
      <c r="U716" s="275"/>
      <c r="V716" s="275"/>
      <c r="W716" s="275"/>
      <c r="X716" s="275"/>
      <c r="Y716" s="275"/>
      <c r="Z716" s="275"/>
      <c r="AA716" s="275"/>
    </row>
    <row r="717" ht="15.75" customHeight="1">
      <c r="A717" s="275"/>
      <c r="B717" s="275"/>
      <c r="C717" s="286"/>
      <c r="D717" s="275"/>
      <c r="E717" s="275"/>
      <c r="F717" s="275"/>
      <c r="G717" s="275"/>
      <c r="H717" s="275"/>
      <c r="I717" s="275"/>
      <c r="J717" s="275"/>
      <c r="K717" s="286"/>
      <c r="L717" s="286"/>
      <c r="M717" s="286"/>
      <c r="N717" s="275"/>
      <c r="O717" s="275"/>
      <c r="P717" s="275"/>
      <c r="Q717" s="275"/>
      <c r="R717" s="275"/>
      <c r="S717" s="275"/>
      <c r="T717" s="275"/>
      <c r="U717" s="275"/>
      <c r="V717" s="275"/>
      <c r="W717" s="275"/>
      <c r="X717" s="275"/>
      <c r="Y717" s="275"/>
      <c r="Z717" s="275"/>
      <c r="AA717" s="275"/>
    </row>
    <row r="718" ht="15.75" customHeight="1">
      <c r="A718" s="275"/>
      <c r="B718" s="275"/>
      <c r="C718" s="286"/>
      <c r="D718" s="275"/>
      <c r="E718" s="275"/>
      <c r="F718" s="275"/>
      <c r="G718" s="275"/>
      <c r="H718" s="275"/>
      <c r="I718" s="275"/>
      <c r="J718" s="275"/>
      <c r="K718" s="286"/>
      <c r="L718" s="286"/>
      <c r="M718" s="286"/>
      <c r="N718" s="275"/>
      <c r="O718" s="275"/>
      <c r="P718" s="275"/>
      <c r="Q718" s="275"/>
      <c r="R718" s="275"/>
      <c r="S718" s="275"/>
      <c r="T718" s="275"/>
      <c r="U718" s="275"/>
      <c r="V718" s="275"/>
      <c r="W718" s="275"/>
      <c r="X718" s="275"/>
      <c r="Y718" s="275"/>
      <c r="Z718" s="275"/>
      <c r="AA718" s="275"/>
    </row>
    <row r="719" ht="15.75" customHeight="1">
      <c r="A719" s="275"/>
      <c r="B719" s="275"/>
      <c r="C719" s="286"/>
      <c r="D719" s="275"/>
      <c r="E719" s="275"/>
      <c r="F719" s="275"/>
      <c r="G719" s="275"/>
      <c r="H719" s="275"/>
      <c r="I719" s="275"/>
      <c r="J719" s="275"/>
      <c r="K719" s="286"/>
      <c r="L719" s="286"/>
      <c r="M719" s="286"/>
      <c r="N719" s="275"/>
      <c r="O719" s="275"/>
      <c r="P719" s="275"/>
      <c r="Q719" s="275"/>
      <c r="R719" s="275"/>
      <c r="S719" s="275"/>
      <c r="T719" s="275"/>
      <c r="U719" s="275"/>
      <c r="V719" s="275"/>
      <c r="W719" s="275"/>
      <c r="X719" s="275"/>
      <c r="Y719" s="275"/>
      <c r="Z719" s="275"/>
      <c r="AA719" s="275"/>
    </row>
    <row r="720" ht="15.75" customHeight="1">
      <c r="A720" s="275"/>
      <c r="B720" s="275"/>
      <c r="C720" s="286"/>
      <c r="D720" s="275"/>
      <c r="E720" s="275"/>
      <c r="F720" s="275"/>
      <c r="G720" s="275"/>
      <c r="H720" s="275"/>
      <c r="I720" s="275"/>
      <c r="J720" s="275"/>
      <c r="K720" s="286"/>
      <c r="L720" s="286"/>
      <c r="M720" s="286"/>
      <c r="N720" s="275"/>
      <c r="O720" s="275"/>
      <c r="P720" s="275"/>
      <c r="Q720" s="275"/>
      <c r="R720" s="275"/>
      <c r="S720" s="275"/>
      <c r="T720" s="275"/>
      <c r="U720" s="275"/>
      <c r="V720" s="275"/>
      <c r="W720" s="275"/>
      <c r="X720" s="275"/>
      <c r="Y720" s="275"/>
      <c r="Z720" s="275"/>
      <c r="AA720" s="275"/>
    </row>
    <row r="721" ht="15.75" customHeight="1">
      <c r="A721" s="275"/>
      <c r="B721" s="275"/>
      <c r="C721" s="286"/>
      <c r="D721" s="275"/>
      <c r="E721" s="275"/>
      <c r="F721" s="275"/>
      <c r="G721" s="275"/>
      <c r="H721" s="275"/>
      <c r="I721" s="275"/>
      <c r="J721" s="275"/>
      <c r="K721" s="286"/>
      <c r="L721" s="286"/>
      <c r="M721" s="286"/>
      <c r="N721" s="275"/>
      <c r="O721" s="275"/>
      <c r="P721" s="275"/>
      <c r="Q721" s="275"/>
      <c r="R721" s="275"/>
      <c r="S721" s="275"/>
      <c r="T721" s="275"/>
      <c r="U721" s="275"/>
      <c r="V721" s="275"/>
      <c r="W721" s="275"/>
      <c r="X721" s="275"/>
      <c r="Y721" s="275"/>
      <c r="Z721" s="275"/>
      <c r="AA721" s="275"/>
    </row>
    <row r="722" ht="15.75" customHeight="1">
      <c r="A722" s="275"/>
      <c r="B722" s="275"/>
      <c r="C722" s="286"/>
      <c r="D722" s="275"/>
      <c r="E722" s="275"/>
      <c r="F722" s="275"/>
      <c r="G722" s="275"/>
      <c r="H722" s="275"/>
      <c r="I722" s="275"/>
      <c r="J722" s="275"/>
      <c r="K722" s="286"/>
      <c r="L722" s="286"/>
      <c r="M722" s="286"/>
      <c r="N722" s="275"/>
      <c r="O722" s="275"/>
      <c r="P722" s="275"/>
      <c r="Q722" s="275"/>
      <c r="R722" s="275"/>
      <c r="S722" s="275"/>
      <c r="T722" s="275"/>
      <c r="U722" s="275"/>
      <c r="V722" s="275"/>
      <c r="W722" s="275"/>
      <c r="X722" s="275"/>
      <c r="Y722" s="275"/>
      <c r="Z722" s="275"/>
      <c r="AA722" s="275"/>
    </row>
    <row r="723" ht="15.75" customHeight="1">
      <c r="A723" s="275"/>
      <c r="B723" s="275"/>
      <c r="C723" s="286"/>
      <c r="D723" s="275"/>
      <c r="E723" s="275"/>
      <c r="F723" s="275"/>
      <c r="G723" s="275"/>
      <c r="H723" s="275"/>
      <c r="I723" s="275"/>
      <c r="J723" s="275"/>
      <c r="K723" s="286"/>
      <c r="L723" s="286"/>
      <c r="M723" s="286"/>
      <c r="N723" s="275"/>
      <c r="O723" s="275"/>
      <c r="P723" s="275"/>
      <c r="Q723" s="275"/>
      <c r="R723" s="275"/>
      <c r="S723" s="275"/>
      <c r="T723" s="275"/>
      <c r="U723" s="275"/>
      <c r="V723" s="275"/>
      <c r="W723" s="275"/>
      <c r="X723" s="275"/>
      <c r="Y723" s="275"/>
      <c r="Z723" s="275"/>
      <c r="AA723" s="275"/>
    </row>
    <row r="724" ht="15.75" customHeight="1">
      <c r="A724" s="275"/>
      <c r="B724" s="275"/>
      <c r="C724" s="286"/>
      <c r="D724" s="275"/>
      <c r="E724" s="275"/>
      <c r="F724" s="275"/>
      <c r="G724" s="275"/>
      <c r="H724" s="275"/>
      <c r="I724" s="275"/>
      <c r="J724" s="275"/>
      <c r="K724" s="286"/>
      <c r="L724" s="286"/>
      <c r="M724" s="286"/>
      <c r="N724" s="275"/>
      <c r="O724" s="275"/>
      <c r="P724" s="275"/>
      <c r="Q724" s="275"/>
      <c r="R724" s="275"/>
      <c r="S724" s="275"/>
      <c r="T724" s="275"/>
      <c r="U724" s="275"/>
      <c r="V724" s="275"/>
      <c r="W724" s="275"/>
      <c r="X724" s="275"/>
      <c r="Y724" s="275"/>
      <c r="Z724" s="275"/>
      <c r="AA724" s="275"/>
    </row>
    <row r="725" ht="15.75" customHeight="1">
      <c r="A725" s="275"/>
      <c r="B725" s="275"/>
      <c r="C725" s="286"/>
      <c r="D725" s="275"/>
      <c r="E725" s="275"/>
      <c r="F725" s="275"/>
      <c r="G725" s="275"/>
      <c r="H725" s="275"/>
      <c r="I725" s="275"/>
      <c r="J725" s="275"/>
      <c r="K725" s="286"/>
      <c r="L725" s="286"/>
      <c r="M725" s="286"/>
      <c r="N725" s="275"/>
      <c r="O725" s="275"/>
      <c r="P725" s="275"/>
      <c r="Q725" s="275"/>
      <c r="R725" s="275"/>
      <c r="S725" s="275"/>
      <c r="T725" s="275"/>
      <c r="U725" s="275"/>
      <c r="V725" s="275"/>
      <c r="W725" s="275"/>
      <c r="X725" s="275"/>
      <c r="Y725" s="275"/>
      <c r="Z725" s="275"/>
      <c r="AA725" s="275"/>
    </row>
    <row r="726" ht="15.75" customHeight="1">
      <c r="A726" s="275"/>
      <c r="B726" s="275"/>
      <c r="C726" s="286"/>
      <c r="D726" s="275"/>
      <c r="E726" s="275"/>
      <c r="F726" s="275"/>
      <c r="G726" s="275"/>
      <c r="H726" s="275"/>
      <c r="I726" s="275"/>
      <c r="J726" s="275"/>
      <c r="K726" s="286"/>
      <c r="L726" s="286"/>
      <c r="M726" s="286"/>
      <c r="N726" s="275"/>
      <c r="O726" s="275"/>
      <c r="P726" s="275"/>
      <c r="Q726" s="275"/>
      <c r="R726" s="275"/>
      <c r="S726" s="275"/>
      <c r="T726" s="275"/>
      <c r="U726" s="275"/>
      <c r="V726" s="275"/>
      <c r="W726" s="275"/>
      <c r="X726" s="275"/>
      <c r="Y726" s="275"/>
      <c r="Z726" s="275"/>
      <c r="AA726" s="275"/>
    </row>
    <row r="727" ht="15.75" customHeight="1">
      <c r="A727" s="275"/>
      <c r="B727" s="275"/>
      <c r="C727" s="286"/>
      <c r="D727" s="275"/>
      <c r="E727" s="275"/>
      <c r="F727" s="275"/>
      <c r="G727" s="275"/>
      <c r="H727" s="275"/>
      <c r="I727" s="275"/>
      <c r="J727" s="275"/>
      <c r="K727" s="286"/>
      <c r="L727" s="286"/>
      <c r="M727" s="286"/>
      <c r="N727" s="275"/>
      <c r="O727" s="275"/>
      <c r="P727" s="275"/>
      <c r="Q727" s="275"/>
      <c r="R727" s="275"/>
      <c r="S727" s="275"/>
      <c r="T727" s="275"/>
      <c r="U727" s="275"/>
      <c r="V727" s="275"/>
      <c r="W727" s="275"/>
      <c r="X727" s="275"/>
      <c r="Y727" s="275"/>
      <c r="Z727" s="275"/>
      <c r="AA727" s="275"/>
    </row>
    <row r="728" ht="15.75" customHeight="1">
      <c r="A728" s="275"/>
      <c r="B728" s="275"/>
      <c r="C728" s="286"/>
      <c r="D728" s="275"/>
      <c r="E728" s="275"/>
      <c r="F728" s="275"/>
      <c r="G728" s="275"/>
      <c r="H728" s="275"/>
      <c r="I728" s="275"/>
      <c r="J728" s="275"/>
      <c r="K728" s="286"/>
      <c r="L728" s="286"/>
      <c r="M728" s="286"/>
      <c r="N728" s="275"/>
      <c r="O728" s="275"/>
      <c r="P728" s="275"/>
      <c r="Q728" s="275"/>
      <c r="R728" s="275"/>
      <c r="S728" s="275"/>
      <c r="T728" s="275"/>
      <c r="U728" s="275"/>
      <c r="V728" s="275"/>
      <c r="W728" s="275"/>
      <c r="X728" s="275"/>
      <c r="Y728" s="275"/>
      <c r="Z728" s="275"/>
      <c r="AA728" s="275"/>
    </row>
    <row r="729" ht="15.75" customHeight="1">
      <c r="A729" s="275"/>
      <c r="B729" s="275"/>
      <c r="C729" s="286"/>
      <c r="D729" s="275"/>
      <c r="E729" s="275"/>
      <c r="F729" s="275"/>
      <c r="G729" s="275"/>
      <c r="H729" s="275"/>
      <c r="I729" s="275"/>
      <c r="J729" s="275"/>
      <c r="K729" s="286"/>
      <c r="L729" s="286"/>
      <c r="M729" s="286"/>
      <c r="N729" s="275"/>
      <c r="O729" s="275"/>
      <c r="P729" s="275"/>
      <c r="Q729" s="275"/>
      <c r="R729" s="275"/>
      <c r="S729" s="275"/>
      <c r="T729" s="275"/>
      <c r="U729" s="275"/>
      <c r="V729" s="275"/>
      <c r="W729" s="275"/>
      <c r="X729" s="275"/>
      <c r="Y729" s="275"/>
      <c r="Z729" s="275"/>
      <c r="AA729" s="275"/>
    </row>
    <row r="730" ht="15.75" customHeight="1">
      <c r="A730" s="275"/>
      <c r="B730" s="275"/>
      <c r="C730" s="286"/>
      <c r="D730" s="275"/>
      <c r="E730" s="275"/>
      <c r="F730" s="275"/>
      <c r="G730" s="275"/>
      <c r="H730" s="275"/>
      <c r="I730" s="275"/>
      <c r="J730" s="275"/>
      <c r="K730" s="286"/>
      <c r="L730" s="286"/>
      <c r="M730" s="286"/>
      <c r="N730" s="275"/>
      <c r="O730" s="275"/>
      <c r="P730" s="275"/>
      <c r="Q730" s="275"/>
      <c r="R730" s="275"/>
      <c r="S730" s="275"/>
      <c r="T730" s="275"/>
      <c r="U730" s="275"/>
      <c r="V730" s="275"/>
      <c r="W730" s="275"/>
      <c r="X730" s="275"/>
      <c r="Y730" s="275"/>
      <c r="Z730" s="275"/>
      <c r="AA730" s="275"/>
    </row>
    <row r="731" ht="15.75" customHeight="1">
      <c r="A731" s="275"/>
      <c r="B731" s="275"/>
      <c r="C731" s="286"/>
      <c r="D731" s="275"/>
      <c r="E731" s="275"/>
      <c r="F731" s="275"/>
      <c r="G731" s="275"/>
      <c r="H731" s="275"/>
      <c r="I731" s="275"/>
      <c r="J731" s="275"/>
      <c r="K731" s="286"/>
      <c r="L731" s="286"/>
      <c r="M731" s="286"/>
      <c r="N731" s="275"/>
      <c r="O731" s="275"/>
      <c r="P731" s="275"/>
      <c r="Q731" s="275"/>
      <c r="R731" s="275"/>
      <c r="S731" s="275"/>
      <c r="T731" s="275"/>
      <c r="U731" s="275"/>
      <c r="V731" s="275"/>
      <c r="W731" s="275"/>
      <c r="X731" s="275"/>
      <c r="Y731" s="275"/>
      <c r="Z731" s="275"/>
      <c r="AA731" s="275"/>
    </row>
    <row r="732" ht="15.75" customHeight="1">
      <c r="A732" s="275"/>
      <c r="B732" s="275"/>
      <c r="C732" s="286"/>
      <c r="D732" s="275"/>
      <c r="E732" s="275"/>
      <c r="F732" s="275"/>
      <c r="G732" s="275"/>
      <c r="H732" s="275"/>
      <c r="I732" s="275"/>
      <c r="J732" s="275"/>
      <c r="K732" s="286"/>
      <c r="L732" s="286"/>
      <c r="M732" s="286"/>
      <c r="N732" s="275"/>
      <c r="O732" s="275"/>
      <c r="P732" s="275"/>
      <c r="Q732" s="275"/>
      <c r="R732" s="275"/>
      <c r="S732" s="275"/>
      <c r="T732" s="275"/>
      <c r="U732" s="275"/>
      <c r="V732" s="275"/>
      <c r="W732" s="275"/>
      <c r="X732" s="275"/>
      <c r="Y732" s="275"/>
      <c r="Z732" s="275"/>
      <c r="AA732" s="275"/>
    </row>
    <row r="733" ht="15.75" customHeight="1">
      <c r="A733" s="275"/>
      <c r="B733" s="275"/>
      <c r="C733" s="286"/>
      <c r="D733" s="275"/>
      <c r="E733" s="275"/>
      <c r="F733" s="275"/>
      <c r="G733" s="275"/>
      <c r="H733" s="275"/>
      <c r="I733" s="275"/>
      <c r="J733" s="275"/>
      <c r="K733" s="286"/>
      <c r="L733" s="286"/>
      <c r="M733" s="286"/>
      <c r="N733" s="275"/>
      <c r="O733" s="275"/>
      <c r="P733" s="275"/>
      <c r="Q733" s="275"/>
      <c r="R733" s="275"/>
      <c r="S733" s="275"/>
      <c r="T733" s="275"/>
      <c r="U733" s="275"/>
      <c r="V733" s="275"/>
      <c r="W733" s="275"/>
      <c r="X733" s="275"/>
      <c r="Y733" s="275"/>
      <c r="Z733" s="275"/>
      <c r="AA733" s="275"/>
    </row>
    <row r="734" ht="15.75" customHeight="1">
      <c r="A734" s="275"/>
      <c r="B734" s="275"/>
      <c r="C734" s="286"/>
      <c r="D734" s="275"/>
      <c r="E734" s="275"/>
      <c r="F734" s="275"/>
      <c r="G734" s="275"/>
      <c r="H734" s="275"/>
      <c r="I734" s="275"/>
      <c r="J734" s="275"/>
      <c r="K734" s="286"/>
      <c r="L734" s="286"/>
      <c r="M734" s="286"/>
      <c r="N734" s="275"/>
      <c r="O734" s="275"/>
      <c r="P734" s="275"/>
      <c r="Q734" s="275"/>
      <c r="R734" s="275"/>
      <c r="S734" s="275"/>
      <c r="T734" s="275"/>
      <c r="U734" s="275"/>
      <c r="V734" s="275"/>
      <c r="W734" s="275"/>
      <c r="X734" s="275"/>
      <c r="Y734" s="275"/>
      <c r="Z734" s="275"/>
      <c r="AA734" s="275"/>
    </row>
    <row r="735" ht="15.75" customHeight="1">
      <c r="A735" s="275"/>
      <c r="B735" s="275"/>
      <c r="C735" s="286"/>
      <c r="D735" s="275"/>
      <c r="E735" s="275"/>
      <c r="F735" s="275"/>
      <c r="G735" s="275"/>
      <c r="H735" s="275"/>
      <c r="I735" s="275"/>
      <c r="J735" s="275"/>
      <c r="K735" s="286"/>
      <c r="L735" s="286"/>
      <c r="M735" s="286"/>
      <c r="N735" s="275"/>
      <c r="O735" s="275"/>
      <c r="P735" s="275"/>
      <c r="Q735" s="275"/>
      <c r="R735" s="275"/>
      <c r="S735" s="275"/>
      <c r="T735" s="275"/>
      <c r="U735" s="275"/>
      <c r="V735" s="275"/>
      <c r="W735" s="275"/>
      <c r="X735" s="275"/>
      <c r="Y735" s="275"/>
      <c r="Z735" s="275"/>
      <c r="AA735" s="275"/>
    </row>
    <row r="736" ht="15.75" customHeight="1">
      <c r="A736" s="275"/>
      <c r="B736" s="275"/>
      <c r="C736" s="286"/>
      <c r="D736" s="275"/>
      <c r="E736" s="275"/>
      <c r="F736" s="275"/>
      <c r="G736" s="275"/>
      <c r="H736" s="275"/>
      <c r="I736" s="275"/>
      <c r="J736" s="275"/>
      <c r="K736" s="286"/>
      <c r="L736" s="286"/>
      <c r="M736" s="286"/>
      <c r="N736" s="275"/>
      <c r="O736" s="275"/>
      <c r="P736" s="275"/>
      <c r="Q736" s="275"/>
      <c r="R736" s="275"/>
      <c r="S736" s="275"/>
      <c r="T736" s="275"/>
      <c r="U736" s="275"/>
      <c r="V736" s="275"/>
      <c r="W736" s="275"/>
      <c r="X736" s="275"/>
      <c r="Y736" s="275"/>
      <c r="Z736" s="275"/>
      <c r="AA736" s="275"/>
    </row>
    <row r="737" ht="15.75" customHeight="1">
      <c r="A737" s="275"/>
      <c r="B737" s="275"/>
      <c r="C737" s="286"/>
      <c r="D737" s="275"/>
      <c r="E737" s="275"/>
      <c r="F737" s="275"/>
      <c r="G737" s="275"/>
      <c r="H737" s="275"/>
      <c r="I737" s="275"/>
      <c r="J737" s="275"/>
      <c r="K737" s="286"/>
      <c r="L737" s="286"/>
      <c r="M737" s="286"/>
      <c r="N737" s="275"/>
      <c r="O737" s="275"/>
      <c r="P737" s="275"/>
      <c r="Q737" s="275"/>
      <c r="R737" s="275"/>
      <c r="S737" s="275"/>
      <c r="T737" s="275"/>
      <c r="U737" s="275"/>
      <c r="V737" s="275"/>
      <c r="W737" s="275"/>
      <c r="X737" s="275"/>
      <c r="Y737" s="275"/>
      <c r="Z737" s="275"/>
      <c r="AA737" s="275"/>
    </row>
    <row r="738" ht="15.75" customHeight="1">
      <c r="A738" s="275"/>
      <c r="B738" s="275"/>
      <c r="C738" s="286"/>
      <c r="D738" s="275"/>
      <c r="E738" s="275"/>
      <c r="F738" s="275"/>
      <c r="G738" s="275"/>
      <c r="H738" s="275"/>
      <c r="I738" s="275"/>
      <c r="J738" s="275"/>
      <c r="K738" s="286"/>
      <c r="L738" s="286"/>
      <c r="M738" s="286"/>
      <c r="N738" s="275"/>
      <c r="O738" s="275"/>
      <c r="P738" s="275"/>
      <c r="Q738" s="275"/>
      <c r="R738" s="275"/>
      <c r="S738" s="275"/>
      <c r="T738" s="275"/>
      <c r="U738" s="275"/>
      <c r="V738" s="275"/>
      <c r="W738" s="275"/>
      <c r="X738" s="275"/>
      <c r="Y738" s="275"/>
      <c r="Z738" s="275"/>
      <c r="AA738" s="275"/>
    </row>
    <row r="739" ht="15.75" customHeight="1">
      <c r="A739" s="275"/>
      <c r="B739" s="275"/>
      <c r="C739" s="286"/>
      <c r="D739" s="275"/>
      <c r="E739" s="275"/>
      <c r="F739" s="275"/>
      <c r="G739" s="275"/>
      <c r="H739" s="275"/>
      <c r="I739" s="275"/>
      <c r="J739" s="275"/>
      <c r="K739" s="286"/>
      <c r="L739" s="286"/>
      <c r="M739" s="286"/>
      <c r="N739" s="275"/>
      <c r="O739" s="275"/>
      <c r="P739" s="275"/>
      <c r="Q739" s="275"/>
      <c r="R739" s="275"/>
      <c r="S739" s="275"/>
      <c r="T739" s="275"/>
      <c r="U739" s="275"/>
      <c r="V739" s="275"/>
      <c r="W739" s="275"/>
      <c r="X739" s="275"/>
      <c r="Y739" s="275"/>
      <c r="Z739" s="275"/>
      <c r="AA739" s="275"/>
    </row>
    <row r="740" ht="15.75" customHeight="1">
      <c r="A740" s="275"/>
      <c r="B740" s="275"/>
      <c r="C740" s="286"/>
      <c r="D740" s="275"/>
      <c r="E740" s="275"/>
      <c r="F740" s="275"/>
      <c r="G740" s="275"/>
      <c r="H740" s="275"/>
      <c r="I740" s="275"/>
      <c r="J740" s="275"/>
      <c r="K740" s="286"/>
      <c r="L740" s="286"/>
      <c r="M740" s="286"/>
      <c r="N740" s="275"/>
      <c r="O740" s="275"/>
      <c r="P740" s="275"/>
      <c r="Q740" s="275"/>
      <c r="R740" s="275"/>
      <c r="S740" s="275"/>
      <c r="T740" s="275"/>
      <c r="U740" s="275"/>
      <c r="V740" s="275"/>
      <c r="W740" s="275"/>
      <c r="X740" s="275"/>
      <c r="Y740" s="275"/>
      <c r="Z740" s="275"/>
      <c r="AA740" s="275"/>
    </row>
    <row r="741" ht="15.75" customHeight="1">
      <c r="A741" s="275"/>
      <c r="B741" s="275"/>
      <c r="C741" s="286"/>
      <c r="D741" s="275"/>
      <c r="E741" s="275"/>
      <c r="F741" s="275"/>
      <c r="G741" s="275"/>
      <c r="H741" s="275"/>
      <c r="I741" s="275"/>
      <c r="J741" s="275"/>
      <c r="K741" s="286"/>
      <c r="L741" s="286"/>
      <c r="M741" s="286"/>
      <c r="N741" s="275"/>
      <c r="O741" s="275"/>
      <c r="P741" s="275"/>
      <c r="Q741" s="275"/>
      <c r="R741" s="275"/>
      <c r="S741" s="275"/>
      <c r="T741" s="275"/>
      <c r="U741" s="275"/>
      <c r="V741" s="275"/>
      <c r="W741" s="275"/>
      <c r="X741" s="275"/>
      <c r="Y741" s="275"/>
      <c r="Z741" s="275"/>
      <c r="AA741" s="275"/>
    </row>
    <row r="742" ht="15.75" customHeight="1">
      <c r="A742" s="275"/>
      <c r="B742" s="275"/>
      <c r="C742" s="286"/>
      <c r="D742" s="275"/>
      <c r="E742" s="275"/>
      <c r="F742" s="275"/>
      <c r="G742" s="275"/>
      <c r="H742" s="275"/>
      <c r="I742" s="275"/>
      <c r="J742" s="275"/>
      <c r="K742" s="286"/>
      <c r="L742" s="286"/>
      <c r="M742" s="286"/>
      <c r="N742" s="275"/>
      <c r="O742" s="275"/>
      <c r="P742" s="275"/>
      <c r="Q742" s="275"/>
      <c r="R742" s="275"/>
      <c r="S742" s="275"/>
      <c r="T742" s="275"/>
      <c r="U742" s="275"/>
      <c r="V742" s="275"/>
      <c r="W742" s="275"/>
      <c r="X742" s="275"/>
      <c r="Y742" s="275"/>
      <c r="Z742" s="275"/>
      <c r="AA742" s="275"/>
    </row>
    <row r="743" ht="15.75" customHeight="1">
      <c r="A743" s="275"/>
      <c r="B743" s="275"/>
      <c r="C743" s="286"/>
      <c r="D743" s="275"/>
      <c r="E743" s="275"/>
      <c r="F743" s="275"/>
      <c r="G743" s="275"/>
      <c r="H743" s="275"/>
      <c r="I743" s="275"/>
      <c r="J743" s="275"/>
      <c r="K743" s="286"/>
      <c r="L743" s="286"/>
      <c r="M743" s="286"/>
      <c r="N743" s="275"/>
      <c r="O743" s="275"/>
      <c r="P743" s="275"/>
      <c r="Q743" s="275"/>
      <c r="R743" s="275"/>
      <c r="S743" s="275"/>
      <c r="T743" s="275"/>
      <c r="U743" s="275"/>
      <c r="V743" s="275"/>
      <c r="W743" s="275"/>
      <c r="X743" s="275"/>
      <c r="Y743" s="275"/>
      <c r="Z743" s="275"/>
      <c r="AA743" s="275"/>
    </row>
    <row r="744" ht="15.75" customHeight="1">
      <c r="A744" s="275"/>
      <c r="B744" s="275"/>
      <c r="C744" s="286"/>
      <c r="D744" s="275"/>
      <c r="E744" s="275"/>
      <c r="F744" s="275"/>
      <c r="G744" s="275"/>
      <c r="H744" s="275"/>
      <c r="I744" s="275"/>
      <c r="J744" s="275"/>
      <c r="K744" s="286"/>
      <c r="L744" s="286"/>
      <c r="M744" s="286"/>
      <c r="N744" s="275"/>
      <c r="O744" s="275"/>
      <c r="P744" s="275"/>
      <c r="Q744" s="275"/>
      <c r="R744" s="275"/>
      <c r="S744" s="275"/>
      <c r="T744" s="275"/>
      <c r="U744" s="275"/>
      <c r="V744" s="275"/>
      <c r="W744" s="275"/>
      <c r="X744" s="275"/>
      <c r="Y744" s="275"/>
      <c r="Z744" s="275"/>
      <c r="AA744" s="275"/>
    </row>
    <row r="745" ht="15.75" customHeight="1">
      <c r="A745" s="275"/>
      <c r="B745" s="275"/>
      <c r="C745" s="286"/>
      <c r="D745" s="275"/>
      <c r="E745" s="275"/>
      <c r="F745" s="275"/>
      <c r="G745" s="275"/>
      <c r="H745" s="275"/>
      <c r="I745" s="275"/>
      <c r="J745" s="275"/>
      <c r="K745" s="286"/>
      <c r="L745" s="286"/>
      <c r="M745" s="286"/>
      <c r="N745" s="275"/>
      <c r="O745" s="275"/>
      <c r="P745" s="275"/>
      <c r="Q745" s="275"/>
      <c r="R745" s="275"/>
      <c r="S745" s="275"/>
      <c r="T745" s="275"/>
      <c r="U745" s="275"/>
      <c r="V745" s="275"/>
      <c r="W745" s="275"/>
      <c r="X745" s="275"/>
      <c r="Y745" s="275"/>
      <c r="Z745" s="275"/>
      <c r="AA745" s="275"/>
    </row>
    <row r="746" ht="15.75" customHeight="1">
      <c r="A746" s="275"/>
      <c r="B746" s="275"/>
      <c r="C746" s="286"/>
      <c r="D746" s="275"/>
      <c r="E746" s="275"/>
      <c r="F746" s="275"/>
      <c r="G746" s="275"/>
      <c r="H746" s="275"/>
      <c r="I746" s="275"/>
      <c r="J746" s="275"/>
      <c r="K746" s="286"/>
      <c r="L746" s="286"/>
      <c r="M746" s="286"/>
      <c r="N746" s="275"/>
      <c r="O746" s="275"/>
      <c r="P746" s="275"/>
      <c r="Q746" s="275"/>
      <c r="R746" s="275"/>
      <c r="S746" s="275"/>
      <c r="T746" s="275"/>
      <c r="U746" s="275"/>
      <c r="V746" s="275"/>
      <c r="W746" s="275"/>
      <c r="X746" s="275"/>
      <c r="Y746" s="275"/>
      <c r="Z746" s="275"/>
      <c r="AA746" s="275"/>
    </row>
    <row r="747" ht="15.75" customHeight="1">
      <c r="A747" s="275"/>
      <c r="B747" s="275"/>
      <c r="C747" s="286"/>
      <c r="D747" s="275"/>
      <c r="E747" s="275"/>
      <c r="F747" s="275"/>
      <c r="G747" s="275"/>
      <c r="H747" s="275"/>
      <c r="I747" s="275"/>
      <c r="J747" s="275"/>
      <c r="K747" s="286"/>
      <c r="L747" s="286"/>
      <c r="M747" s="286"/>
      <c r="N747" s="275"/>
      <c r="O747" s="275"/>
      <c r="P747" s="275"/>
      <c r="Q747" s="275"/>
      <c r="R747" s="275"/>
      <c r="S747" s="275"/>
      <c r="T747" s="275"/>
      <c r="U747" s="275"/>
      <c r="V747" s="275"/>
      <c r="W747" s="275"/>
      <c r="X747" s="275"/>
      <c r="Y747" s="275"/>
      <c r="Z747" s="275"/>
      <c r="AA747" s="275"/>
    </row>
    <row r="748" ht="15.75" customHeight="1">
      <c r="A748" s="275"/>
      <c r="B748" s="275"/>
      <c r="C748" s="286"/>
      <c r="D748" s="275"/>
      <c r="E748" s="275"/>
      <c r="F748" s="275"/>
      <c r="G748" s="275"/>
      <c r="H748" s="275"/>
      <c r="I748" s="275"/>
      <c r="J748" s="275"/>
      <c r="K748" s="286"/>
      <c r="L748" s="286"/>
      <c r="M748" s="286"/>
      <c r="N748" s="275"/>
      <c r="O748" s="275"/>
      <c r="P748" s="275"/>
      <c r="Q748" s="275"/>
      <c r="R748" s="275"/>
      <c r="S748" s="275"/>
      <c r="T748" s="275"/>
      <c r="U748" s="275"/>
      <c r="V748" s="275"/>
      <c r="W748" s="275"/>
      <c r="X748" s="275"/>
      <c r="Y748" s="275"/>
      <c r="Z748" s="275"/>
      <c r="AA748" s="275"/>
    </row>
    <row r="749" ht="15.75" customHeight="1">
      <c r="A749" s="275"/>
      <c r="B749" s="275"/>
      <c r="C749" s="286"/>
      <c r="D749" s="275"/>
      <c r="E749" s="275"/>
      <c r="F749" s="275"/>
      <c r="G749" s="275"/>
      <c r="H749" s="275"/>
      <c r="I749" s="275"/>
      <c r="J749" s="275"/>
      <c r="K749" s="286"/>
      <c r="L749" s="286"/>
      <c r="M749" s="286"/>
      <c r="N749" s="275"/>
      <c r="O749" s="275"/>
      <c r="P749" s="275"/>
      <c r="Q749" s="275"/>
      <c r="R749" s="275"/>
      <c r="S749" s="275"/>
      <c r="T749" s="275"/>
      <c r="U749" s="275"/>
      <c r="V749" s="275"/>
      <c r="W749" s="275"/>
      <c r="X749" s="275"/>
      <c r="Y749" s="275"/>
      <c r="Z749" s="275"/>
      <c r="AA749" s="275"/>
    </row>
    <row r="750" ht="15.75" customHeight="1">
      <c r="A750" s="275"/>
      <c r="B750" s="275"/>
      <c r="C750" s="286"/>
      <c r="D750" s="275"/>
      <c r="E750" s="275"/>
      <c r="F750" s="275"/>
      <c r="G750" s="275"/>
      <c r="H750" s="275"/>
      <c r="I750" s="275"/>
      <c r="J750" s="275"/>
      <c r="K750" s="286"/>
      <c r="L750" s="286"/>
      <c r="M750" s="286"/>
      <c r="N750" s="275"/>
      <c r="O750" s="275"/>
      <c r="P750" s="275"/>
      <c r="Q750" s="275"/>
      <c r="R750" s="275"/>
      <c r="S750" s="275"/>
      <c r="T750" s="275"/>
      <c r="U750" s="275"/>
      <c r="V750" s="275"/>
      <c r="W750" s="275"/>
      <c r="X750" s="275"/>
      <c r="Y750" s="275"/>
      <c r="Z750" s="275"/>
      <c r="AA750" s="275"/>
    </row>
    <row r="751" ht="15.75" customHeight="1">
      <c r="A751" s="275"/>
      <c r="B751" s="275"/>
      <c r="C751" s="286"/>
      <c r="D751" s="275"/>
      <c r="E751" s="275"/>
      <c r="F751" s="275"/>
      <c r="G751" s="275"/>
      <c r="H751" s="275"/>
      <c r="I751" s="275"/>
      <c r="J751" s="275"/>
      <c r="K751" s="286"/>
      <c r="L751" s="286"/>
      <c r="M751" s="286"/>
      <c r="N751" s="275"/>
      <c r="O751" s="275"/>
      <c r="P751" s="275"/>
      <c r="Q751" s="275"/>
      <c r="R751" s="275"/>
      <c r="S751" s="275"/>
      <c r="T751" s="275"/>
      <c r="U751" s="275"/>
      <c r="V751" s="275"/>
      <c r="W751" s="275"/>
      <c r="X751" s="275"/>
      <c r="Y751" s="275"/>
      <c r="Z751" s="275"/>
      <c r="AA751" s="275"/>
    </row>
    <row r="752" ht="15.75" customHeight="1">
      <c r="A752" s="275"/>
      <c r="B752" s="275"/>
      <c r="C752" s="286"/>
      <c r="D752" s="275"/>
      <c r="E752" s="275"/>
      <c r="F752" s="275"/>
      <c r="G752" s="275"/>
      <c r="H752" s="275"/>
      <c r="I752" s="275"/>
      <c r="J752" s="275"/>
      <c r="K752" s="286"/>
      <c r="L752" s="286"/>
      <c r="M752" s="286"/>
      <c r="N752" s="275"/>
      <c r="O752" s="275"/>
      <c r="P752" s="275"/>
      <c r="Q752" s="275"/>
      <c r="R752" s="275"/>
      <c r="S752" s="275"/>
      <c r="T752" s="275"/>
      <c r="U752" s="275"/>
      <c r="V752" s="275"/>
      <c r="W752" s="275"/>
      <c r="X752" s="275"/>
      <c r="Y752" s="275"/>
      <c r="Z752" s="275"/>
      <c r="AA752" s="275"/>
    </row>
    <row r="753" ht="15.75" customHeight="1">
      <c r="A753" s="275"/>
      <c r="B753" s="275"/>
      <c r="C753" s="286"/>
      <c r="D753" s="275"/>
      <c r="E753" s="275"/>
      <c r="F753" s="275"/>
      <c r="G753" s="275"/>
      <c r="H753" s="275"/>
      <c r="I753" s="275"/>
      <c r="J753" s="275"/>
      <c r="K753" s="286"/>
      <c r="L753" s="286"/>
      <c r="M753" s="286"/>
      <c r="N753" s="275"/>
      <c r="O753" s="275"/>
      <c r="P753" s="275"/>
      <c r="Q753" s="275"/>
      <c r="R753" s="275"/>
      <c r="S753" s="275"/>
      <c r="T753" s="275"/>
      <c r="U753" s="275"/>
      <c r="V753" s="275"/>
      <c r="W753" s="275"/>
      <c r="X753" s="275"/>
      <c r="Y753" s="275"/>
      <c r="Z753" s="275"/>
      <c r="AA753" s="275"/>
    </row>
    <row r="754" ht="15.75" customHeight="1">
      <c r="A754" s="275"/>
      <c r="B754" s="275"/>
      <c r="C754" s="286"/>
      <c r="D754" s="275"/>
      <c r="E754" s="275"/>
      <c r="F754" s="275"/>
      <c r="G754" s="275"/>
      <c r="H754" s="275"/>
      <c r="I754" s="275"/>
      <c r="J754" s="275"/>
      <c r="K754" s="286"/>
      <c r="L754" s="286"/>
      <c r="M754" s="286"/>
      <c r="N754" s="275"/>
      <c r="O754" s="275"/>
      <c r="P754" s="275"/>
      <c r="Q754" s="275"/>
      <c r="R754" s="275"/>
      <c r="S754" s="275"/>
      <c r="T754" s="275"/>
      <c r="U754" s="275"/>
      <c r="V754" s="275"/>
      <c r="W754" s="275"/>
      <c r="X754" s="275"/>
      <c r="Y754" s="275"/>
      <c r="Z754" s="275"/>
      <c r="AA754" s="275"/>
    </row>
    <row r="755" ht="15.75" customHeight="1">
      <c r="A755" s="275"/>
      <c r="B755" s="275"/>
      <c r="C755" s="286"/>
      <c r="D755" s="275"/>
      <c r="E755" s="275"/>
      <c r="F755" s="275"/>
      <c r="G755" s="275"/>
      <c r="H755" s="275"/>
      <c r="I755" s="275"/>
      <c r="J755" s="275"/>
      <c r="K755" s="286"/>
      <c r="L755" s="286"/>
      <c r="M755" s="286"/>
      <c r="N755" s="275"/>
      <c r="O755" s="275"/>
      <c r="P755" s="275"/>
      <c r="Q755" s="275"/>
      <c r="R755" s="275"/>
      <c r="S755" s="275"/>
      <c r="T755" s="275"/>
      <c r="U755" s="275"/>
      <c r="V755" s="275"/>
      <c r="W755" s="275"/>
      <c r="X755" s="275"/>
      <c r="Y755" s="275"/>
      <c r="Z755" s="275"/>
      <c r="AA755" s="275"/>
    </row>
    <row r="756" ht="15.75" customHeight="1">
      <c r="A756" s="275"/>
      <c r="B756" s="275"/>
      <c r="C756" s="286"/>
      <c r="D756" s="275"/>
      <c r="E756" s="275"/>
      <c r="F756" s="275"/>
      <c r="G756" s="275"/>
      <c r="H756" s="275"/>
      <c r="I756" s="275"/>
      <c r="J756" s="275"/>
      <c r="K756" s="286"/>
      <c r="L756" s="286"/>
      <c r="M756" s="286"/>
      <c r="N756" s="275"/>
      <c r="O756" s="275"/>
      <c r="P756" s="275"/>
      <c r="Q756" s="275"/>
      <c r="R756" s="275"/>
      <c r="S756" s="275"/>
      <c r="T756" s="275"/>
      <c r="U756" s="275"/>
      <c r="V756" s="275"/>
      <c r="W756" s="275"/>
      <c r="X756" s="275"/>
      <c r="Y756" s="275"/>
      <c r="Z756" s="275"/>
      <c r="AA756" s="275"/>
    </row>
    <row r="757" ht="15.75" customHeight="1">
      <c r="A757" s="275"/>
      <c r="B757" s="275"/>
      <c r="C757" s="286"/>
      <c r="D757" s="275"/>
      <c r="E757" s="275"/>
      <c r="F757" s="275"/>
      <c r="G757" s="275"/>
      <c r="H757" s="275"/>
      <c r="I757" s="275"/>
      <c r="J757" s="275"/>
      <c r="K757" s="286"/>
      <c r="L757" s="286"/>
      <c r="M757" s="286"/>
      <c r="N757" s="275"/>
      <c r="O757" s="275"/>
      <c r="P757" s="275"/>
      <c r="Q757" s="275"/>
      <c r="R757" s="275"/>
      <c r="S757" s="275"/>
      <c r="T757" s="275"/>
      <c r="U757" s="275"/>
      <c r="V757" s="275"/>
      <c r="W757" s="275"/>
      <c r="X757" s="275"/>
      <c r="Y757" s="275"/>
      <c r="Z757" s="275"/>
      <c r="AA757" s="275"/>
    </row>
    <row r="758" ht="15.75" customHeight="1">
      <c r="A758" s="275"/>
      <c r="B758" s="275"/>
      <c r="C758" s="286"/>
      <c r="D758" s="275"/>
      <c r="E758" s="275"/>
      <c r="F758" s="275"/>
      <c r="G758" s="275"/>
      <c r="H758" s="275"/>
      <c r="I758" s="275"/>
      <c r="J758" s="275"/>
      <c r="K758" s="286"/>
      <c r="L758" s="286"/>
      <c r="M758" s="286"/>
      <c r="N758" s="275"/>
      <c r="O758" s="275"/>
      <c r="P758" s="275"/>
      <c r="Q758" s="275"/>
      <c r="R758" s="275"/>
      <c r="S758" s="275"/>
      <c r="T758" s="275"/>
      <c r="U758" s="275"/>
      <c r="V758" s="275"/>
      <c r="W758" s="275"/>
      <c r="X758" s="275"/>
      <c r="Y758" s="275"/>
      <c r="Z758" s="275"/>
      <c r="AA758" s="275"/>
    </row>
    <row r="759" ht="15.75" customHeight="1">
      <c r="A759" s="275"/>
      <c r="B759" s="275"/>
      <c r="C759" s="286"/>
      <c r="D759" s="275"/>
      <c r="E759" s="275"/>
      <c r="F759" s="275"/>
      <c r="G759" s="275"/>
      <c r="H759" s="275"/>
      <c r="I759" s="275"/>
      <c r="J759" s="275"/>
      <c r="K759" s="286"/>
      <c r="L759" s="286"/>
      <c r="M759" s="286"/>
      <c r="N759" s="275"/>
      <c r="O759" s="275"/>
      <c r="P759" s="275"/>
      <c r="Q759" s="275"/>
      <c r="R759" s="275"/>
      <c r="S759" s="275"/>
      <c r="T759" s="275"/>
      <c r="U759" s="275"/>
      <c r="V759" s="275"/>
      <c r="W759" s="275"/>
      <c r="X759" s="275"/>
      <c r="Y759" s="275"/>
      <c r="Z759" s="275"/>
      <c r="AA759" s="275"/>
    </row>
    <row r="760" ht="15.75" customHeight="1">
      <c r="A760" s="275"/>
      <c r="B760" s="275"/>
      <c r="C760" s="286"/>
      <c r="D760" s="275"/>
      <c r="E760" s="275"/>
      <c r="F760" s="275"/>
      <c r="G760" s="275"/>
      <c r="H760" s="275"/>
      <c r="I760" s="275"/>
      <c r="J760" s="275"/>
      <c r="K760" s="286"/>
      <c r="L760" s="286"/>
      <c r="M760" s="286"/>
      <c r="N760" s="275"/>
      <c r="O760" s="275"/>
      <c r="P760" s="275"/>
      <c r="Q760" s="275"/>
      <c r="R760" s="275"/>
      <c r="S760" s="275"/>
      <c r="T760" s="275"/>
      <c r="U760" s="275"/>
      <c r="V760" s="275"/>
      <c r="W760" s="275"/>
      <c r="X760" s="275"/>
      <c r="Y760" s="275"/>
      <c r="Z760" s="275"/>
      <c r="AA760" s="275"/>
    </row>
    <row r="761" ht="15.75" customHeight="1">
      <c r="A761" s="275"/>
      <c r="B761" s="275"/>
      <c r="C761" s="286"/>
      <c r="D761" s="275"/>
      <c r="E761" s="275"/>
      <c r="F761" s="275"/>
      <c r="G761" s="275"/>
      <c r="H761" s="275"/>
      <c r="I761" s="275"/>
      <c r="J761" s="275"/>
      <c r="K761" s="286"/>
      <c r="L761" s="286"/>
      <c r="M761" s="286"/>
      <c r="N761" s="275"/>
      <c r="O761" s="275"/>
      <c r="P761" s="275"/>
      <c r="Q761" s="275"/>
      <c r="R761" s="275"/>
      <c r="S761" s="275"/>
      <c r="T761" s="275"/>
      <c r="U761" s="275"/>
      <c r="V761" s="275"/>
      <c r="W761" s="275"/>
      <c r="X761" s="275"/>
      <c r="Y761" s="275"/>
      <c r="Z761" s="275"/>
      <c r="AA761" s="275"/>
    </row>
    <row r="762" ht="15.75" customHeight="1">
      <c r="A762" s="275"/>
      <c r="B762" s="275"/>
      <c r="C762" s="286"/>
      <c r="D762" s="275"/>
      <c r="E762" s="275"/>
      <c r="F762" s="275"/>
      <c r="G762" s="275"/>
      <c r="H762" s="275"/>
      <c r="I762" s="275"/>
      <c r="J762" s="275"/>
      <c r="K762" s="286"/>
      <c r="L762" s="286"/>
      <c r="M762" s="286"/>
      <c r="N762" s="275"/>
      <c r="O762" s="275"/>
      <c r="P762" s="275"/>
      <c r="Q762" s="275"/>
      <c r="R762" s="275"/>
      <c r="S762" s="275"/>
      <c r="T762" s="275"/>
      <c r="U762" s="275"/>
      <c r="V762" s="275"/>
      <c r="W762" s="275"/>
      <c r="X762" s="275"/>
      <c r="Y762" s="275"/>
      <c r="Z762" s="275"/>
      <c r="AA762" s="275"/>
    </row>
    <row r="763" ht="15.75" customHeight="1">
      <c r="A763" s="275"/>
      <c r="B763" s="275"/>
      <c r="C763" s="286"/>
      <c r="D763" s="275"/>
      <c r="E763" s="275"/>
      <c r="F763" s="275"/>
      <c r="G763" s="275"/>
      <c r="H763" s="275"/>
      <c r="I763" s="275"/>
      <c r="J763" s="275"/>
      <c r="K763" s="286"/>
      <c r="L763" s="286"/>
      <c r="M763" s="286"/>
      <c r="N763" s="275"/>
      <c r="O763" s="275"/>
      <c r="P763" s="275"/>
      <c r="Q763" s="275"/>
      <c r="R763" s="275"/>
      <c r="S763" s="275"/>
      <c r="T763" s="275"/>
      <c r="U763" s="275"/>
      <c r="V763" s="275"/>
      <c r="W763" s="275"/>
      <c r="X763" s="275"/>
      <c r="Y763" s="275"/>
      <c r="Z763" s="275"/>
      <c r="AA763" s="275"/>
    </row>
    <row r="764" ht="15.75" customHeight="1">
      <c r="A764" s="275"/>
      <c r="B764" s="275"/>
      <c r="C764" s="286"/>
      <c r="D764" s="275"/>
      <c r="E764" s="275"/>
      <c r="F764" s="275"/>
      <c r="G764" s="275"/>
      <c r="H764" s="275"/>
      <c r="I764" s="275"/>
      <c r="J764" s="275"/>
      <c r="K764" s="286"/>
      <c r="L764" s="286"/>
      <c r="M764" s="286"/>
      <c r="N764" s="275"/>
      <c r="O764" s="275"/>
      <c r="P764" s="275"/>
      <c r="Q764" s="275"/>
      <c r="R764" s="275"/>
      <c r="S764" s="275"/>
      <c r="T764" s="275"/>
      <c r="U764" s="275"/>
      <c r="V764" s="275"/>
      <c r="W764" s="275"/>
      <c r="X764" s="275"/>
      <c r="Y764" s="275"/>
      <c r="Z764" s="275"/>
      <c r="AA764" s="275"/>
    </row>
    <row r="765" ht="15.75" customHeight="1">
      <c r="A765" s="275"/>
      <c r="B765" s="275"/>
      <c r="C765" s="286"/>
      <c r="D765" s="275"/>
      <c r="E765" s="275"/>
      <c r="F765" s="275"/>
      <c r="G765" s="275"/>
      <c r="H765" s="275"/>
      <c r="I765" s="275"/>
      <c r="J765" s="275"/>
      <c r="K765" s="286"/>
      <c r="L765" s="286"/>
      <c r="M765" s="286"/>
      <c r="N765" s="275"/>
      <c r="O765" s="275"/>
      <c r="P765" s="275"/>
      <c r="Q765" s="275"/>
      <c r="R765" s="275"/>
      <c r="S765" s="275"/>
      <c r="T765" s="275"/>
      <c r="U765" s="275"/>
      <c r="V765" s="275"/>
      <c r="W765" s="275"/>
      <c r="X765" s="275"/>
      <c r="Y765" s="275"/>
      <c r="Z765" s="275"/>
      <c r="AA765" s="275"/>
    </row>
    <row r="766" ht="15.75" customHeight="1">
      <c r="A766" s="275"/>
      <c r="B766" s="275"/>
      <c r="C766" s="286"/>
      <c r="D766" s="275"/>
      <c r="E766" s="275"/>
      <c r="F766" s="275"/>
      <c r="G766" s="275"/>
      <c r="H766" s="275"/>
      <c r="I766" s="275"/>
      <c r="J766" s="275"/>
      <c r="K766" s="286"/>
      <c r="L766" s="286"/>
      <c r="M766" s="286"/>
      <c r="N766" s="275"/>
      <c r="O766" s="275"/>
      <c r="P766" s="275"/>
      <c r="Q766" s="275"/>
      <c r="R766" s="275"/>
      <c r="S766" s="275"/>
      <c r="T766" s="275"/>
      <c r="U766" s="275"/>
      <c r="V766" s="275"/>
      <c r="W766" s="275"/>
      <c r="X766" s="275"/>
      <c r="Y766" s="275"/>
      <c r="Z766" s="275"/>
      <c r="AA766" s="275"/>
    </row>
    <row r="767" ht="15.75" customHeight="1">
      <c r="A767" s="275"/>
      <c r="B767" s="275"/>
      <c r="C767" s="286"/>
      <c r="D767" s="275"/>
      <c r="E767" s="275"/>
      <c r="F767" s="275"/>
      <c r="G767" s="275"/>
      <c r="H767" s="275"/>
      <c r="I767" s="275"/>
      <c r="J767" s="275"/>
      <c r="K767" s="286"/>
      <c r="L767" s="286"/>
      <c r="M767" s="286"/>
      <c r="N767" s="275"/>
      <c r="O767" s="275"/>
      <c r="P767" s="275"/>
      <c r="Q767" s="275"/>
      <c r="R767" s="275"/>
      <c r="S767" s="275"/>
      <c r="T767" s="275"/>
      <c r="U767" s="275"/>
      <c r="V767" s="275"/>
      <c r="W767" s="275"/>
      <c r="X767" s="275"/>
      <c r="Y767" s="275"/>
      <c r="Z767" s="275"/>
      <c r="AA767" s="275"/>
    </row>
    <row r="768" ht="15.75" customHeight="1">
      <c r="A768" s="275"/>
      <c r="B768" s="275"/>
      <c r="C768" s="286"/>
      <c r="D768" s="275"/>
      <c r="E768" s="275"/>
      <c r="F768" s="275"/>
      <c r="G768" s="275"/>
      <c r="H768" s="275"/>
      <c r="I768" s="275"/>
      <c r="J768" s="275"/>
      <c r="K768" s="286"/>
      <c r="L768" s="286"/>
      <c r="M768" s="286"/>
      <c r="N768" s="275"/>
      <c r="O768" s="275"/>
      <c r="P768" s="275"/>
      <c r="Q768" s="275"/>
      <c r="R768" s="275"/>
      <c r="S768" s="275"/>
      <c r="T768" s="275"/>
      <c r="U768" s="275"/>
      <c r="V768" s="275"/>
      <c r="W768" s="275"/>
      <c r="X768" s="275"/>
      <c r="Y768" s="275"/>
      <c r="Z768" s="275"/>
      <c r="AA768" s="275"/>
    </row>
    <row r="769" ht="15.75" customHeight="1">
      <c r="A769" s="275"/>
      <c r="B769" s="275"/>
      <c r="C769" s="286"/>
      <c r="D769" s="275"/>
      <c r="E769" s="275"/>
      <c r="F769" s="275"/>
      <c r="G769" s="275"/>
      <c r="H769" s="275"/>
      <c r="I769" s="275"/>
      <c r="J769" s="275"/>
      <c r="K769" s="286"/>
      <c r="L769" s="286"/>
      <c r="M769" s="286"/>
      <c r="N769" s="275"/>
      <c r="O769" s="275"/>
      <c r="P769" s="275"/>
      <c r="Q769" s="275"/>
      <c r="R769" s="275"/>
      <c r="S769" s="275"/>
      <c r="T769" s="275"/>
      <c r="U769" s="275"/>
      <c r="V769" s="275"/>
      <c r="W769" s="275"/>
      <c r="X769" s="275"/>
      <c r="Y769" s="275"/>
      <c r="Z769" s="275"/>
      <c r="AA769" s="275"/>
    </row>
    <row r="770" ht="15.75" customHeight="1">
      <c r="A770" s="275"/>
      <c r="B770" s="275"/>
      <c r="C770" s="286"/>
      <c r="D770" s="275"/>
      <c r="E770" s="275"/>
      <c r="F770" s="275"/>
      <c r="G770" s="275"/>
      <c r="H770" s="275"/>
      <c r="I770" s="275"/>
      <c r="J770" s="275"/>
      <c r="K770" s="286"/>
      <c r="L770" s="286"/>
      <c r="M770" s="286"/>
      <c r="N770" s="275"/>
      <c r="O770" s="275"/>
      <c r="P770" s="275"/>
      <c r="Q770" s="275"/>
      <c r="R770" s="275"/>
      <c r="S770" s="275"/>
      <c r="T770" s="275"/>
      <c r="U770" s="275"/>
      <c r="V770" s="275"/>
      <c r="W770" s="275"/>
      <c r="X770" s="275"/>
      <c r="Y770" s="275"/>
      <c r="Z770" s="275"/>
      <c r="AA770" s="275"/>
    </row>
    <row r="771" ht="15.75" customHeight="1">
      <c r="A771" s="275"/>
      <c r="B771" s="275"/>
      <c r="C771" s="286"/>
      <c r="D771" s="275"/>
      <c r="E771" s="275"/>
      <c r="F771" s="275"/>
      <c r="G771" s="275"/>
      <c r="H771" s="275"/>
      <c r="I771" s="275"/>
      <c r="J771" s="275"/>
      <c r="K771" s="286"/>
      <c r="L771" s="286"/>
      <c r="M771" s="286"/>
      <c r="N771" s="275"/>
      <c r="O771" s="275"/>
      <c r="P771" s="275"/>
      <c r="Q771" s="275"/>
      <c r="R771" s="275"/>
      <c r="S771" s="275"/>
      <c r="T771" s="275"/>
      <c r="U771" s="275"/>
      <c r="V771" s="275"/>
      <c r="W771" s="275"/>
      <c r="X771" s="275"/>
      <c r="Y771" s="275"/>
      <c r="Z771" s="275"/>
      <c r="AA771" s="275"/>
    </row>
    <row r="772" ht="15.75" customHeight="1">
      <c r="A772" s="275"/>
      <c r="B772" s="275"/>
      <c r="C772" s="286"/>
      <c r="D772" s="275"/>
      <c r="E772" s="275"/>
      <c r="F772" s="275"/>
      <c r="G772" s="275"/>
      <c r="H772" s="275"/>
      <c r="I772" s="275"/>
      <c r="J772" s="275"/>
      <c r="K772" s="286"/>
      <c r="L772" s="286"/>
      <c r="M772" s="286"/>
      <c r="N772" s="275"/>
      <c r="O772" s="275"/>
      <c r="P772" s="275"/>
      <c r="Q772" s="275"/>
      <c r="R772" s="275"/>
      <c r="S772" s="275"/>
      <c r="T772" s="275"/>
      <c r="U772" s="275"/>
      <c r="V772" s="275"/>
      <c r="W772" s="275"/>
      <c r="X772" s="275"/>
      <c r="Y772" s="275"/>
      <c r="Z772" s="275"/>
      <c r="AA772" s="275"/>
    </row>
    <row r="773" ht="15.75" customHeight="1">
      <c r="A773" s="275"/>
      <c r="B773" s="275"/>
      <c r="C773" s="286"/>
      <c r="D773" s="275"/>
      <c r="E773" s="275"/>
      <c r="F773" s="275"/>
      <c r="G773" s="275"/>
      <c r="H773" s="275"/>
      <c r="I773" s="275"/>
      <c r="J773" s="275"/>
      <c r="K773" s="286"/>
      <c r="L773" s="286"/>
      <c r="M773" s="286"/>
      <c r="N773" s="275"/>
      <c r="O773" s="275"/>
      <c r="P773" s="275"/>
      <c r="Q773" s="275"/>
      <c r="R773" s="275"/>
      <c r="S773" s="275"/>
      <c r="T773" s="275"/>
      <c r="U773" s="275"/>
      <c r="V773" s="275"/>
      <c r="W773" s="275"/>
      <c r="X773" s="275"/>
      <c r="Y773" s="275"/>
      <c r="Z773" s="275"/>
      <c r="AA773" s="275"/>
    </row>
    <row r="774" ht="15.75" customHeight="1">
      <c r="A774" s="275"/>
      <c r="B774" s="275"/>
      <c r="C774" s="286"/>
      <c r="D774" s="275"/>
      <c r="E774" s="275"/>
      <c r="F774" s="275"/>
      <c r="G774" s="275"/>
      <c r="H774" s="275"/>
      <c r="I774" s="275"/>
      <c r="J774" s="275"/>
      <c r="K774" s="286"/>
      <c r="L774" s="286"/>
      <c r="M774" s="286"/>
      <c r="N774" s="275"/>
      <c r="O774" s="275"/>
      <c r="P774" s="275"/>
      <c r="Q774" s="275"/>
      <c r="R774" s="275"/>
      <c r="S774" s="275"/>
      <c r="T774" s="275"/>
      <c r="U774" s="275"/>
      <c r="V774" s="275"/>
      <c r="W774" s="275"/>
      <c r="X774" s="275"/>
      <c r="Y774" s="275"/>
      <c r="Z774" s="275"/>
      <c r="AA774" s="275"/>
    </row>
    <row r="775" ht="15.75" customHeight="1">
      <c r="A775" s="275"/>
      <c r="B775" s="275"/>
      <c r="C775" s="286"/>
      <c r="D775" s="275"/>
      <c r="E775" s="275"/>
      <c r="F775" s="275"/>
      <c r="G775" s="275"/>
      <c r="H775" s="275"/>
      <c r="I775" s="275"/>
      <c r="J775" s="275"/>
      <c r="K775" s="286"/>
      <c r="L775" s="286"/>
      <c r="M775" s="286"/>
      <c r="N775" s="275"/>
      <c r="O775" s="275"/>
      <c r="P775" s="275"/>
      <c r="Q775" s="275"/>
      <c r="R775" s="275"/>
      <c r="S775" s="275"/>
      <c r="T775" s="275"/>
      <c r="U775" s="275"/>
      <c r="V775" s="275"/>
      <c r="W775" s="275"/>
      <c r="X775" s="275"/>
      <c r="Y775" s="275"/>
      <c r="Z775" s="275"/>
      <c r="AA775" s="275"/>
    </row>
    <row r="776" ht="15.75" customHeight="1">
      <c r="A776" s="275"/>
      <c r="B776" s="275"/>
      <c r="C776" s="286"/>
      <c r="D776" s="275"/>
      <c r="E776" s="275"/>
      <c r="F776" s="275"/>
      <c r="G776" s="275"/>
      <c r="H776" s="275"/>
      <c r="I776" s="275"/>
      <c r="J776" s="275"/>
      <c r="K776" s="286"/>
      <c r="L776" s="286"/>
      <c r="M776" s="286"/>
      <c r="N776" s="275"/>
      <c r="O776" s="275"/>
      <c r="P776" s="275"/>
      <c r="Q776" s="275"/>
      <c r="R776" s="275"/>
      <c r="S776" s="275"/>
      <c r="T776" s="275"/>
      <c r="U776" s="275"/>
      <c r="V776" s="275"/>
      <c r="W776" s="275"/>
      <c r="X776" s="275"/>
      <c r="Y776" s="275"/>
      <c r="Z776" s="275"/>
      <c r="AA776" s="275"/>
    </row>
    <row r="777" ht="15.75" customHeight="1">
      <c r="A777" s="275"/>
      <c r="B777" s="275"/>
      <c r="C777" s="286"/>
      <c r="D777" s="275"/>
      <c r="E777" s="275"/>
      <c r="F777" s="275"/>
      <c r="G777" s="275"/>
      <c r="H777" s="275"/>
      <c r="I777" s="275"/>
      <c r="J777" s="275"/>
      <c r="K777" s="286"/>
      <c r="L777" s="286"/>
      <c r="M777" s="286"/>
      <c r="N777" s="275"/>
      <c r="O777" s="275"/>
      <c r="P777" s="275"/>
      <c r="Q777" s="275"/>
      <c r="R777" s="275"/>
      <c r="S777" s="275"/>
      <c r="T777" s="275"/>
      <c r="U777" s="275"/>
      <c r="V777" s="275"/>
      <c r="W777" s="275"/>
      <c r="X777" s="275"/>
      <c r="Y777" s="275"/>
      <c r="Z777" s="275"/>
      <c r="AA777" s="275"/>
    </row>
    <row r="778" ht="15.75" customHeight="1">
      <c r="A778" s="275"/>
      <c r="B778" s="275"/>
      <c r="C778" s="286"/>
      <c r="D778" s="275"/>
      <c r="E778" s="275"/>
      <c r="F778" s="275"/>
      <c r="G778" s="275"/>
      <c r="H778" s="275"/>
      <c r="I778" s="275"/>
      <c r="J778" s="275"/>
      <c r="K778" s="286"/>
      <c r="L778" s="286"/>
      <c r="M778" s="286"/>
      <c r="N778" s="275"/>
      <c r="O778" s="275"/>
      <c r="P778" s="275"/>
      <c r="Q778" s="275"/>
      <c r="R778" s="275"/>
      <c r="S778" s="275"/>
      <c r="T778" s="275"/>
      <c r="U778" s="275"/>
      <c r="V778" s="275"/>
      <c r="W778" s="275"/>
      <c r="X778" s="275"/>
      <c r="Y778" s="275"/>
      <c r="Z778" s="275"/>
      <c r="AA778" s="275"/>
    </row>
    <row r="779" ht="15.75" customHeight="1">
      <c r="A779" s="275"/>
      <c r="B779" s="275"/>
      <c r="C779" s="286"/>
      <c r="D779" s="275"/>
      <c r="E779" s="275"/>
      <c r="F779" s="275"/>
      <c r="G779" s="275"/>
      <c r="H779" s="275"/>
      <c r="I779" s="275"/>
      <c r="J779" s="275"/>
      <c r="K779" s="286"/>
      <c r="L779" s="286"/>
      <c r="M779" s="286"/>
      <c r="N779" s="275"/>
      <c r="O779" s="275"/>
      <c r="P779" s="275"/>
      <c r="Q779" s="275"/>
      <c r="R779" s="275"/>
      <c r="S779" s="275"/>
      <c r="T779" s="275"/>
      <c r="U779" s="275"/>
      <c r="V779" s="275"/>
      <c r="W779" s="275"/>
      <c r="X779" s="275"/>
      <c r="Y779" s="275"/>
      <c r="Z779" s="275"/>
      <c r="AA779" s="275"/>
    </row>
    <row r="780" ht="15.75" customHeight="1">
      <c r="A780" s="275"/>
      <c r="B780" s="275"/>
      <c r="C780" s="286"/>
      <c r="D780" s="275"/>
      <c r="E780" s="275"/>
      <c r="F780" s="275"/>
      <c r="G780" s="275"/>
      <c r="H780" s="275"/>
      <c r="I780" s="275"/>
      <c r="J780" s="275"/>
      <c r="K780" s="286"/>
      <c r="L780" s="286"/>
      <c r="M780" s="286"/>
      <c r="N780" s="275"/>
      <c r="O780" s="275"/>
      <c r="P780" s="275"/>
      <c r="Q780" s="275"/>
      <c r="R780" s="275"/>
      <c r="S780" s="275"/>
      <c r="T780" s="275"/>
      <c r="U780" s="275"/>
      <c r="V780" s="275"/>
      <c r="W780" s="275"/>
      <c r="X780" s="275"/>
      <c r="Y780" s="275"/>
      <c r="Z780" s="275"/>
      <c r="AA780" s="275"/>
    </row>
    <row r="781" ht="15.75" customHeight="1">
      <c r="A781" s="275"/>
      <c r="B781" s="275"/>
      <c r="C781" s="286"/>
      <c r="D781" s="275"/>
      <c r="E781" s="275"/>
      <c r="F781" s="275"/>
      <c r="G781" s="275"/>
      <c r="H781" s="275"/>
      <c r="I781" s="275"/>
      <c r="J781" s="275"/>
      <c r="K781" s="286"/>
      <c r="L781" s="286"/>
      <c r="M781" s="286"/>
      <c r="N781" s="275"/>
      <c r="O781" s="275"/>
      <c r="P781" s="275"/>
      <c r="Q781" s="275"/>
      <c r="R781" s="275"/>
      <c r="S781" s="275"/>
      <c r="T781" s="275"/>
      <c r="U781" s="275"/>
      <c r="V781" s="275"/>
      <c r="W781" s="275"/>
      <c r="X781" s="275"/>
      <c r="Y781" s="275"/>
      <c r="Z781" s="275"/>
      <c r="AA781" s="275"/>
    </row>
    <row r="782" ht="15.75" customHeight="1">
      <c r="A782" s="275"/>
      <c r="B782" s="275"/>
      <c r="C782" s="286"/>
      <c r="D782" s="275"/>
      <c r="E782" s="275"/>
      <c r="F782" s="275"/>
      <c r="G782" s="275"/>
      <c r="H782" s="275"/>
      <c r="I782" s="275"/>
      <c r="J782" s="275"/>
      <c r="K782" s="286"/>
      <c r="L782" s="286"/>
      <c r="M782" s="286"/>
      <c r="N782" s="275"/>
      <c r="O782" s="275"/>
      <c r="P782" s="275"/>
      <c r="Q782" s="275"/>
      <c r="R782" s="275"/>
      <c r="S782" s="275"/>
      <c r="T782" s="275"/>
      <c r="U782" s="275"/>
      <c r="V782" s="275"/>
      <c r="W782" s="275"/>
      <c r="X782" s="275"/>
      <c r="Y782" s="275"/>
      <c r="Z782" s="275"/>
      <c r="AA782" s="275"/>
    </row>
    <row r="783" ht="15.75" customHeight="1">
      <c r="A783" s="275"/>
      <c r="B783" s="275"/>
      <c r="C783" s="286"/>
      <c r="D783" s="275"/>
      <c r="E783" s="275"/>
      <c r="F783" s="275"/>
      <c r="G783" s="275"/>
      <c r="H783" s="275"/>
      <c r="I783" s="275"/>
      <c r="J783" s="275"/>
      <c r="K783" s="286"/>
      <c r="L783" s="286"/>
      <c r="M783" s="286"/>
      <c r="N783" s="275"/>
      <c r="O783" s="275"/>
      <c r="P783" s="275"/>
      <c r="Q783" s="275"/>
      <c r="R783" s="275"/>
      <c r="S783" s="275"/>
      <c r="T783" s="275"/>
      <c r="U783" s="275"/>
      <c r="V783" s="275"/>
      <c r="W783" s="275"/>
      <c r="X783" s="275"/>
      <c r="Y783" s="275"/>
      <c r="Z783" s="275"/>
      <c r="AA783" s="275"/>
    </row>
    <row r="784" ht="15.75" customHeight="1">
      <c r="A784" s="275"/>
      <c r="B784" s="275"/>
      <c r="C784" s="286"/>
      <c r="D784" s="275"/>
      <c r="E784" s="275"/>
      <c r="F784" s="275"/>
      <c r="G784" s="275"/>
      <c r="H784" s="275"/>
      <c r="I784" s="275"/>
      <c r="J784" s="275"/>
      <c r="K784" s="286"/>
      <c r="L784" s="286"/>
      <c r="M784" s="286"/>
      <c r="N784" s="275"/>
      <c r="O784" s="275"/>
      <c r="P784" s="275"/>
      <c r="Q784" s="275"/>
      <c r="R784" s="275"/>
      <c r="S784" s="275"/>
      <c r="T784" s="275"/>
      <c r="U784" s="275"/>
      <c r="V784" s="275"/>
      <c r="W784" s="275"/>
      <c r="X784" s="275"/>
      <c r="Y784" s="275"/>
      <c r="Z784" s="275"/>
      <c r="AA784" s="275"/>
    </row>
    <row r="785" ht="15.75" customHeight="1">
      <c r="A785" s="275"/>
      <c r="B785" s="275"/>
      <c r="C785" s="286"/>
      <c r="D785" s="275"/>
      <c r="E785" s="275"/>
      <c r="F785" s="275"/>
      <c r="G785" s="275"/>
      <c r="H785" s="275"/>
      <c r="I785" s="275"/>
      <c r="J785" s="275"/>
      <c r="K785" s="286"/>
      <c r="L785" s="286"/>
      <c r="M785" s="286"/>
      <c r="N785" s="275"/>
      <c r="O785" s="275"/>
      <c r="P785" s="275"/>
      <c r="Q785" s="275"/>
      <c r="R785" s="275"/>
      <c r="S785" s="275"/>
      <c r="T785" s="275"/>
      <c r="U785" s="275"/>
      <c r="V785" s="275"/>
      <c r="W785" s="275"/>
      <c r="X785" s="275"/>
      <c r="Y785" s="275"/>
      <c r="Z785" s="275"/>
      <c r="AA785" s="275"/>
    </row>
    <row r="786" ht="15.75" customHeight="1">
      <c r="A786" s="275"/>
      <c r="B786" s="275"/>
      <c r="C786" s="286"/>
      <c r="D786" s="275"/>
      <c r="E786" s="275"/>
      <c r="F786" s="275"/>
      <c r="G786" s="275"/>
      <c r="H786" s="275"/>
      <c r="I786" s="275"/>
      <c r="J786" s="275"/>
      <c r="K786" s="286"/>
      <c r="L786" s="286"/>
      <c r="M786" s="286"/>
      <c r="N786" s="275"/>
      <c r="O786" s="275"/>
      <c r="P786" s="275"/>
      <c r="Q786" s="275"/>
      <c r="R786" s="275"/>
      <c r="S786" s="275"/>
      <c r="T786" s="275"/>
      <c r="U786" s="275"/>
      <c r="V786" s="275"/>
      <c r="W786" s="275"/>
      <c r="X786" s="275"/>
      <c r="Y786" s="275"/>
      <c r="Z786" s="275"/>
      <c r="AA786" s="275"/>
    </row>
    <row r="787" ht="15.75" customHeight="1">
      <c r="A787" s="275"/>
      <c r="B787" s="275"/>
      <c r="C787" s="286"/>
      <c r="D787" s="275"/>
      <c r="E787" s="275"/>
      <c r="F787" s="275"/>
      <c r="G787" s="275"/>
      <c r="H787" s="275"/>
      <c r="I787" s="275"/>
      <c r="J787" s="275"/>
      <c r="K787" s="286"/>
      <c r="L787" s="286"/>
      <c r="M787" s="286"/>
      <c r="N787" s="275"/>
      <c r="O787" s="275"/>
      <c r="P787" s="275"/>
      <c r="Q787" s="275"/>
      <c r="R787" s="275"/>
      <c r="S787" s="275"/>
      <c r="T787" s="275"/>
      <c r="U787" s="275"/>
      <c r="V787" s="275"/>
      <c r="W787" s="275"/>
      <c r="X787" s="275"/>
      <c r="Y787" s="275"/>
      <c r="Z787" s="275"/>
      <c r="AA787" s="275"/>
    </row>
    <row r="788" ht="15.75" customHeight="1">
      <c r="A788" s="275"/>
      <c r="B788" s="275"/>
      <c r="C788" s="286"/>
      <c r="D788" s="275"/>
      <c r="E788" s="275"/>
      <c r="F788" s="275"/>
      <c r="G788" s="275"/>
      <c r="H788" s="275"/>
      <c r="I788" s="275"/>
      <c r="J788" s="275"/>
      <c r="K788" s="286"/>
      <c r="L788" s="286"/>
      <c r="M788" s="286"/>
      <c r="N788" s="275"/>
      <c r="O788" s="275"/>
      <c r="P788" s="275"/>
      <c r="Q788" s="275"/>
      <c r="R788" s="275"/>
      <c r="S788" s="275"/>
      <c r="T788" s="275"/>
      <c r="U788" s="275"/>
      <c r="V788" s="275"/>
      <c r="W788" s="275"/>
      <c r="X788" s="275"/>
      <c r="Y788" s="275"/>
      <c r="Z788" s="275"/>
      <c r="AA788" s="275"/>
    </row>
    <row r="789" ht="15.75" customHeight="1">
      <c r="A789" s="275"/>
      <c r="B789" s="275"/>
      <c r="C789" s="286"/>
      <c r="D789" s="275"/>
      <c r="E789" s="275"/>
      <c r="F789" s="275"/>
      <c r="G789" s="275"/>
      <c r="H789" s="275"/>
      <c r="I789" s="275"/>
      <c r="J789" s="275"/>
      <c r="K789" s="286"/>
      <c r="L789" s="286"/>
      <c r="M789" s="286"/>
      <c r="N789" s="275"/>
      <c r="O789" s="275"/>
      <c r="P789" s="275"/>
      <c r="Q789" s="275"/>
      <c r="R789" s="275"/>
      <c r="S789" s="275"/>
      <c r="T789" s="275"/>
      <c r="U789" s="275"/>
      <c r="V789" s="275"/>
      <c r="W789" s="275"/>
      <c r="X789" s="275"/>
      <c r="Y789" s="275"/>
      <c r="Z789" s="275"/>
      <c r="AA789" s="275"/>
    </row>
    <row r="790" ht="15.75" customHeight="1">
      <c r="A790" s="275"/>
      <c r="B790" s="275"/>
      <c r="C790" s="286"/>
      <c r="D790" s="275"/>
      <c r="E790" s="275"/>
      <c r="F790" s="275"/>
      <c r="G790" s="275"/>
      <c r="H790" s="275"/>
      <c r="I790" s="275"/>
      <c r="J790" s="275"/>
      <c r="K790" s="286"/>
      <c r="L790" s="286"/>
      <c r="M790" s="286"/>
      <c r="N790" s="275"/>
      <c r="O790" s="275"/>
      <c r="P790" s="275"/>
      <c r="Q790" s="275"/>
      <c r="R790" s="275"/>
      <c r="S790" s="275"/>
      <c r="T790" s="275"/>
      <c r="U790" s="275"/>
      <c r="V790" s="275"/>
      <c r="W790" s="275"/>
      <c r="X790" s="275"/>
      <c r="Y790" s="275"/>
      <c r="Z790" s="275"/>
      <c r="AA790" s="275"/>
    </row>
    <row r="791" ht="15.75" customHeight="1">
      <c r="A791" s="275"/>
      <c r="B791" s="275"/>
      <c r="C791" s="286"/>
      <c r="D791" s="275"/>
      <c r="E791" s="275"/>
      <c r="F791" s="275"/>
      <c r="G791" s="275"/>
      <c r="H791" s="275"/>
      <c r="I791" s="275"/>
      <c r="J791" s="275"/>
      <c r="K791" s="286"/>
      <c r="L791" s="286"/>
      <c r="M791" s="286"/>
      <c r="N791" s="275"/>
      <c r="O791" s="275"/>
      <c r="P791" s="275"/>
      <c r="Q791" s="275"/>
      <c r="R791" s="275"/>
      <c r="S791" s="275"/>
      <c r="T791" s="275"/>
      <c r="U791" s="275"/>
      <c r="V791" s="275"/>
      <c r="W791" s="275"/>
      <c r="X791" s="275"/>
      <c r="Y791" s="275"/>
      <c r="Z791" s="275"/>
      <c r="AA791" s="275"/>
    </row>
    <row r="792" ht="15.75" customHeight="1">
      <c r="A792" s="275"/>
      <c r="B792" s="275"/>
      <c r="C792" s="286"/>
      <c r="D792" s="275"/>
      <c r="E792" s="275"/>
      <c r="F792" s="275"/>
      <c r="G792" s="275"/>
      <c r="H792" s="275"/>
      <c r="I792" s="275"/>
      <c r="J792" s="275"/>
      <c r="K792" s="286"/>
      <c r="L792" s="286"/>
      <c r="M792" s="286"/>
      <c r="N792" s="275"/>
      <c r="O792" s="275"/>
      <c r="P792" s="275"/>
      <c r="Q792" s="275"/>
      <c r="R792" s="275"/>
      <c r="S792" s="275"/>
      <c r="T792" s="275"/>
      <c r="U792" s="275"/>
      <c r="V792" s="275"/>
      <c r="W792" s="275"/>
      <c r="X792" s="275"/>
      <c r="Y792" s="275"/>
      <c r="Z792" s="275"/>
      <c r="AA792" s="275"/>
    </row>
    <row r="793" ht="15.75" customHeight="1">
      <c r="A793" s="275"/>
      <c r="B793" s="275"/>
      <c r="C793" s="286"/>
      <c r="D793" s="275"/>
      <c r="E793" s="275"/>
      <c r="F793" s="275"/>
      <c r="G793" s="275"/>
      <c r="H793" s="275"/>
      <c r="I793" s="275"/>
      <c r="J793" s="275"/>
      <c r="K793" s="286"/>
      <c r="L793" s="286"/>
      <c r="M793" s="286"/>
      <c r="N793" s="275"/>
      <c r="O793" s="275"/>
      <c r="P793" s="275"/>
      <c r="Q793" s="275"/>
      <c r="R793" s="275"/>
      <c r="S793" s="275"/>
      <c r="T793" s="275"/>
      <c r="U793" s="275"/>
      <c r="V793" s="275"/>
      <c r="W793" s="275"/>
      <c r="X793" s="275"/>
      <c r="Y793" s="275"/>
      <c r="Z793" s="275"/>
      <c r="AA793" s="275"/>
    </row>
    <row r="794" ht="15.75" customHeight="1">
      <c r="A794" s="275"/>
      <c r="B794" s="275"/>
      <c r="C794" s="286"/>
      <c r="D794" s="275"/>
      <c r="E794" s="275"/>
      <c r="F794" s="275"/>
      <c r="G794" s="275"/>
      <c r="H794" s="275"/>
      <c r="I794" s="275"/>
      <c r="J794" s="275"/>
      <c r="K794" s="286"/>
      <c r="L794" s="286"/>
      <c r="M794" s="286"/>
      <c r="N794" s="275"/>
      <c r="O794" s="275"/>
      <c r="P794" s="275"/>
      <c r="Q794" s="275"/>
      <c r="R794" s="275"/>
      <c r="S794" s="275"/>
      <c r="T794" s="275"/>
      <c r="U794" s="275"/>
      <c r="V794" s="275"/>
      <c r="W794" s="275"/>
      <c r="X794" s="275"/>
      <c r="Y794" s="275"/>
      <c r="Z794" s="275"/>
      <c r="AA794" s="275"/>
    </row>
    <row r="795" ht="15.75" customHeight="1">
      <c r="A795" s="275"/>
      <c r="B795" s="275"/>
      <c r="C795" s="286"/>
      <c r="D795" s="275"/>
      <c r="E795" s="275"/>
      <c r="F795" s="275"/>
      <c r="G795" s="275"/>
      <c r="H795" s="275"/>
      <c r="I795" s="275"/>
      <c r="J795" s="275"/>
      <c r="K795" s="286"/>
      <c r="L795" s="286"/>
      <c r="M795" s="286"/>
      <c r="N795" s="275"/>
      <c r="O795" s="275"/>
      <c r="P795" s="275"/>
      <c r="Q795" s="275"/>
      <c r="R795" s="275"/>
      <c r="S795" s="275"/>
      <c r="T795" s="275"/>
      <c r="U795" s="275"/>
      <c r="V795" s="275"/>
      <c r="W795" s="275"/>
      <c r="X795" s="275"/>
      <c r="Y795" s="275"/>
      <c r="Z795" s="275"/>
      <c r="AA795" s="275"/>
    </row>
    <row r="796" ht="15.75" customHeight="1">
      <c r="A796" s="275"/>
      <c r="B796" s="275"/>
      <c r="C796" s="286"/>
      <c r="D796" s="275"/>
      <c r="E796" s="275"/>
      <c r="F796" s="275"/>
      <c r="G796" s="275"/>
      <c r="H796" s="275"/>
      <c r="I796" s="275"/>
      <c r="J796" s="275"/>
      <c r="K796" s="286"/>
      <c r="L796" s="286"/>
      <c r="M796" s="286"/>
      <c r="N796" s="275"/>
      <c r="O796" s="275"/>
      <c r="P796" s="275"/>
      <c r="Q796" s="275"/>
      <c r="R796" s="275"/>
      <c r="S796" s="275"/>
      <c r="T796" s="275"/>
      <c r="U796" s="275"/>
      <c r="V796" s="275"/>
      <c r="W796" s="275"/>
      <c r="X796" s="275"/>
      <c r="Y796" s="275"/>
      <c r="Z796" s="275"/>
      <c r="AA796" s="275"/>
    </row>
    <row r="797" ht="15.75" customHeight="1">
      <c r="A797" s="275"/>
      <c r="B797" s="275"/>
      <c r="C797" s="286"/>
      <c r="D797" s="275"/>
      <c r="E797" s="275"/>
      <c r="F797" s="275"/>
      <c r="G797" s="275"/>
      <c r="H797" s="275"/>
      <c r="I797" s="275"/>
      <c r="J797" s="275"/>
      <c r="K797" s="286"/>
      <c r="L797" s="286"/>
      <c r="M797" s="286"/>
      <c r="N797" s="275"/>
      <c r="O797" s="275"/>
      <c r="P797" s="275"/>
      <c r="Q797" s="275"/>
      <c r="R797" s="275"/>
      <c r="S797" s="275"/>
      <c r="T797" s="275"/>
      <c r="U797" s="275"/>
      <c r="V797" s="275"/>
      <c r="W797" s="275"/>
      <c r="X797" s="275"/>
      <c r="Y797" s="275"/>
      <c r="Z797" s="275"/>
      <c r="AA797" s="275"/>
    </row>
    <row r="798" ht="15.75" customHeight="1">
      <c r="A798" s="275"/>
      <c r="B798" s="275"/>
      <c r="C798" s="286"/>
      <c r="D798" s="275"/>
      <c r="E798" s="275"/>
      <c r="F798" s="275"/>
      <c r="G798" s="275"/>
      <c r="H798" s="275"/>
      <c r="I798" s="275"/>
      <c r="J798" s="275"/>
      <c r="K798" s="286"/>
      <c r="L798" s="286"/>
      <c r="M798" s="286"/>
      <c r="N798" s="275"/>
      <c r="O798" s="275"/>
      <c r="P798" s="275"/>
      <c r="Q798" s="275"/>
      <c r="R798" s="275"/>
      <c r="S798" s="275"/>
      <c r="T798" s="275"/>
      <c r="U798" s="275"/>
      <c r="V798" s="275"/>
      <c r="W798" s="275"/>
      <c r="X798" s="275"/>
      <c r="Y798" s="275"/>
      <c r="Z798" s="275"/>
      <c r="AA798" s="275"/>
    </row>
    <row r="799" ht="15.75" customHeight="1">
      <c r="A799" s="275"/>
      <c r="B799" s="275"/>
      <c r="C799" s="286"/>
      <c r="D799" s="275"/>
      <c r="E799" s="275"/>
      <c r="F799" s="275"/>
      <c r="G799" s="275"/>
      <c r="H799" s="275"/>
      <c r="I799" s="275"/>
      <c r="J799" s="275"/>
      <c r="K799" s="286"/>
      <c r="L799" s="286"/>
      <c r="M799" s="286"/>
      <c r="N799" s="275"/>
      <c r="O799" s="275"/>
      <c r="P799" s="275"/>
      <c r="Q799" s="275"/>
      <c r="R799" s="275"/>
      <c r="S799" s="275"/>
      <c r="T799" s="275"/>
      <c r="U799" s="275"/>
      <c r="V799" s="275"/>
      <c r="W799" s="275"/>
      <c r="X799" s="275"/>
      <c r="Y799" s="275"/>
      <c r="Z799" s="275"/>
      <c r="AA799" s="275"/>
    </row>
    <row r="800" ht="15.75" customHeight="1">
      <c r="A800" s="275"/>
      <c r="B800" s="275"/>
      <c r="C800" s="286"/>
      <c r="D800" s="275"/>
      <c r="E800" s="275"/>
      <c r="F800" s="275"/>
      <c r="G800" s="275"/>
      <c r="H800" s="275"/>
      <c r="I800" s="275"/>
      <c r="J800" s="275"/>
      <c r="K800" s="286"/>
      <c r="L800" s="286"/>
      <c r="M800" s="286"/>
      <c r="N800" s="275"/>
      <c r="O800" s="275"/>
      <c r="P800" s="275"/>
      <c r="Q800" s="275"/>
      <c r="R800" s="275"/>
      <c r="S800" s="275"/>
      <c r="T800" s="275"/>
      <c r="U800" s="275"/>
      <c r="V800" s="275"/>
      <c r="W800" s="275"/>
      <c r="X800" s="275"/>
      <c r="Y800" s="275"/>
      <c r="Z800" s="275"/>
      <c r="AA800" s="275"/>
    </row>
    <row r="801" ht="15.75" customHeight="1">
      <c r="A801" s="275"/>
      <c r="B801" s="275"/>
      <c r="C801" s="286"/>
      <c r="D801" s="275"/>
      <c r="E801" s="275"/>
      <c r="F801" s="275"/>
      <c r="G801" s="275"/>
      <c r="H801" s="275"/>
      <c r="I801" s="275"/>
      <c r="J801" s="275"/>
      <c r="K801" s="286"/>
      <c r="L801" s="286"/>
      <c r="M801" s="286"/>
      <c r="N801" s="275"/>
      <c r="O801" s="275"/>
      <c r="P801" s="275"/>
      <c r="Q801" s="275"/>
      <c r="R801" s="275"/>
      <c r="S801" s="275"/>
      <c r="T801" s="275"/>
      <c r="U801" s="275"/>
      <c r="V801" s="275"/>
      <c r="W801" s="275"/>
      <c r="X801" s="275"/>
      <c r="Y801" s="275"/>
      <c r="Z801" s="275"/>
      <c r="AA801" s="275"/>
    </row>
    <row r="802" ht="15.75" customHeight="1">
      <c r="A802" s="275"/>
      <c r="B802" s="275"/>
      <c r="C802" s="286"/>
      <c r="D802" s="275"/>
      <c r="E802" s="275"/>
      <c r="F802" s="275"/>
      <c r="G802" s="275"/>
      <c r="H802" s="275"/>
      <c r="I802" s="275"/>
      <c r="J802" s="275"/>
      <c r="K802" s="286"/>
      <c r="L802" s="286"/>
      <c r="M802" s="286"/>
      <c r="N802" s="275"/>
      <c r="O802" s="275"/>
      <c r="P802" s="275"/>
      <c r="Q802" s="275"/>
      <c r="R802" s="275"/>
      <c r="S802" s="275"/>
      <c r="T802" s="275"/>
      <c r="U802" s="275"/>
      <c r="V802" s="275"/>
      <c r="W802" s="275"/>
      <c r="X802" s="275"/>
      <c r="Y802" s="275"/>
      <c r="Z802" s="275"/>
      <c r="AA802" s="275"/>
    </row>
    <row r="803" ht="15.75" customHeight="1">
      <c r="A803" s="275"/>
      <c r="B803" s="275"/>
      <c r="C803" s="286"/>
      <c r="D803" s="275"/>
      <c r="E803" s="275"/>
      <c r="F803" s="275"/>
      <c r="G803" s="275"/>
      <c r="H803" s="275"/>
      <c r="I803" s="275"/>
      <c r="J803" s="275"/>
      <c r="K803" s="286"/>
      <c r="L803" s="286"/>
      <c r="M803" s="286"/>
      <c r="N803" s="275"/>
      <c r="O803" s="275"/>
      <c r="P803" s="275"/>
      <c r="Q803" s="275"/>
      <c r="R803" s="275"/>
      <c r="S803" s="275"/>
      <c r="T803" s="275"/>
      <c r="U803" s="275"/>
      <c r="V803" s="275"/>
      <c r="W803" s="275"/>
      <c r="X803" s="275"/>
      <c r="Y803" s="275"/>
      <c r="Z803" s="275"/>
      <c r="AA803" s="275"/>
    </row>
    <row r="804" ht="15.75" customHeight="1">
      <c r="A804" s="275"/>
      <c r="B804" s="275"/>
      <c r="C804" s="286"/>
      <c r="D804" s="275"/>
      <c r="E804" s="275"/>
      <c r="F804" s="275"/>
      <c r="G804" s="275"/>
      <c r="H804" s="275"/>
      <c r="I804" s="275"/>
      <c r="J804" s="275"/>
      <c r="K804" s="286"/>
      <c r="L804" s="286"/>
      <c r="M804" s="286"/>
      <c r="N804" s="275"/>
      <c r="O804" s="275"/>
      <c r="P804" s="275"/>
      <c r="Q804" s="275"/>
      <c r="R804" s="275"/>
      <c r="S804" s="275"/>
      <c r="T804" s="275"/>
      <c r="U804" s="275"/>
      <c r="V804" s="275"/>
      <c r="W804" s="275"/>
      <c r="X804" s="275"/>
      <c r="Y804" s="275"/>
      <c r="Z804" s="275"/>
      <c r="AA804" s="275"/>
    </row>
    <row r="805" ht="15.75" customHeight="1">
      <c r="A805" s="275"/>
      <c r="B805" s="275"/>
      <c r="C805" s="286"/>
      <c r="D805" s="275"/>
      <c r="E805" s="275"/>
      <c r="F805" s="275"/>
      <c r="G805" s="275"/>
      <c r="H805" s="275"/>
      <c r="I805" s="275"/>
      <c r="J805" s="275"/>
      <c r="K805" s="286"/>
      <c r="L805" s="286"/>
      <c r="M805" s="286"/>
      <c r="N805" s="275"/>
      <c r="O805" s="275"/>
      <c r="P805" s="275"/>
      <c r="Q805" s="275"/>
      <c r="R805" s="275"/>
      <c r="S805" s="275"/>
      <c r="T805" s="275"/>
      <c r="U805" s="275"/>
      <c r="V805" s="275"/>
      <c r="W805" s="275"/>
      <c r="X805" s="275"/>
      <c r="Y805" s="275"/>
      <c r="Z805" s="275"/>
      <c r="AA805" s="275"/>
    </row>
    <row r="806" ht="15.75" customHeight="1">
      <c r="A806" s="275"/>
      <c r="B806" s="275"/>
      <c r="C806" s="286"/>
      <c r="D806" s="275"/>
      <c r="E806" s="275"/>
      <c r="F806" s="275"/>
      <c r="G806" s="275"/>
      <c r="H806" s="275"/>
      <c r="I806" s="275"/>
      <c r="J806" s="275"/>
      <c r="K806" s="286"/>
      <c r="L806" s="286"/>
      <c r="M806" s="286"/>
      <c r="N806" s="275"/>
      <c r="O806" s="275"/>
      <c r="P806" s="275"/>
      <c r="Q806" s="275"/>
      <c r="R806" s="275"/>
      <c r="S806" s="275"/>
      <c r="T806" s="275"/>
      <c r="U806" s="275"/>
      <c r="V806" s="275"/>
      <c r="W806" s="275"/>
      <c r="X806" s="275"/>
      <c r="Y806" s="275"/>
      <c r="Z806" s="275"/>
      <c r="AA806" s="275"/>
    </row>
    <row r="807" ht="15.75" customHeight="1">
      <c r="A807" s="275"/>
      <c r="B807" s="275"/>
      <c r="C807" s="286"/>
      <c r="D807" s="275"/>
      <c r="E807" s="275"/>
      <c r="F807" s="275"/>
      <c r="G807" s="275"/>
      <c r="H807" s="275"/>
      <c r="I807" s="275"/>
      <c r="J807" s="275"/>
      <c r="K807" s="286"/>
      <c r="L807" s="286"/>
      <c r="M807" s="286"/>
      <c r="N807" s="275"/>
      <c r="O807" s="275"/>
      <c r="P807" s="275"/>
      <c r="Q807" s="275"/>
      <c r="R807" s="275"/>
      <c r="S807" s="275"/>
      <c r="T807" s="275"/>
      <c r="U807" s="275"/>
      <c r="V807" s="275"/>
      <c r="W807" s="275"/>
      <c r="X807" s="275"/>
      <c r="Y807" s="275"/>
      <c r="Z807" s="275"/>
      <c r="AA807" s="275"/>
    </row>
    <row r="808" ht="15.75" customHeight="1">
      <c r="A808" s="275"/>
      <c r="B808" s="275"/>
      <c r="C808" s="286"/>
      <c r="D808" s="275"/>
      <c r="E808" s="275"/>
      <c r="F808" s="275"/>
      <c r="G808" s="275"/>
      <c r="H808" s="275"/>
      <c r="I808" s="275"/>
      <c r="J808" s="275"/>
      <c r="K808" s="286"/>
      <c r="L808" s="286"/>
      <c r="M808" s="286"/>
      <c r="N808" s="275"/>
      <c r="O808" s="275"/>
      <c r="P808" s="275"/>
      <c r="Q808" s="275"/>
      <c r="R808" s="275"/>
      <c r="S808" s="275"/>
      <c r="T808" s="275"/>
      <c r="U808" s="275"/>
      <c r="V808" s="275"/>
      <c r="W808" s="275"/>
      <c r="X808" s="275"/>
      <c r="Y808" s="275"/>
      <c r="Z808" s="275"/>
      <c r="AA808" s="275"/>
    </row>
    <row r="809" ht="15.75" customHeight="1">
      <c r="A809" s="275"/>
      <c r="B809" s="275"/>
      <c r="C809" s="286"/>
      <c r="D809" s="275"/>
      <c r="E809" s="275"/>
      <c r="F809" s="275"/>
      <c r="G809" s="275"/>
      <c r="H809" s="275"/>
      <c r="I809" s="275"/>
      <c r="J809" s="275"/>
      <c r="K809" s="286"/>
      <c r="L809" s="286"/>
      <c r="M809" s="286"/>
      <c r="N809" s="275"/>
      <c r="O809" s="275"/>
      <c r="P809" s="275"/>
      <c r="Q809" s="275"/>
      <c r="R809" s="275"/>
      <c r="S809" s="275"/>
      <c r="T809" s="275"/>
      <c r="U809" s="275"/>
      <c r="V809" s="275"/>
      <c r="W809" s="275"/>
      <c r="X809" s="275"/>
      <c r="Y809" s="275"/>
      <c r="Z809" s="275"/>
      <c r="AA809" s="275"/>
    </row>
    <row r="810" ht="15.75" customHeight="1">
      <c r="A810" s="275"/>
      <c r="B810" s="275"/>
      <c r="C810" s="286"/>
      <c r="D810" s="275"/>
      <c r="E810" s="275"/>
      <c r="F810" s="275"/>
      <c r="G810" s="275"/>
      <c r="H810" s="275"/>
      <c r="I810" s="275"/>
      <c r="J810" s="275"/>
      <c r="K810" s="286"/>
      <c r="L810" s="286"/>
      <c r="M810" s="286"/>
      <c r="N810" s="275"/>
      <c r="O810" s="275"/>
      <c r="P810" s="275"/>
      <c r="Q810" s="275"/>
      <c r="R810" s="275"/>
      <c r="S810" s="275"/>
      <c r="T810" s="275"/>
      <c r="U810" s="275"/>
      <c r="V810" s="275"/>
      <c r="W810" s="275"/>
      <c r="X810" s="275"/>
      <c r="Y810" s="275"/>
      <c r="Z810" s="275"/>
      <c r="AA810" s="275"/>
    </row>
    <row r="811" ht="15.75" customHeight="1">
      <c r="A811" s="275"/>
      <c r="B811" s="275"/>
      <c r="C811" s="286"/>
      <c r="D811" s="275"/>
      <c r="E811" s="275"/>
      <c r="F811" s="275"/>
      <c r="G811" s="275"/>
      <c r="H811" s="275"/>
      <c r="I811" s="275"/>
      <c r="J811" s="275"/>
      <c r="K811" s="286"/>
      <c r="L811" s="286"/>
      <c r="M811" s="286"/>
      <c r="N811" s="275"/>
      <c r="O811" s="275"/>
      <c r="P811" s="275"/>
      <c r="Q811" s="275"/>
      <c r="R811" s="275"/>
      <c r="S811" s="275"/>
      <c r="T811" s="275"/>
      <c r="U811" s="275"/>
      <c r="V811" s="275"/>
      <c r="W811" s="275"/>
      <c r="X811" s="275"/>
      <c r="Y811" s="275"/>
      <c r="Z811" s="275"/>
      <c r="AA811" s="275"/>
    </row>
    <row r="812" ht="15.75" customHeight="1">
      <c r="A812" s="275"/>
      <c r="B812" s="275"/>
      <c r="C812" s="286"/>
      <c r="D812" s="275"/>
      <c r="E812" s="275"/>
      <c r="F812" s="275"/>
      <c r="G812" s="275"/>
      <c r="H812" s="275"/>
      <c r="I812" s="275"/>
      <c r="J812" s="275"/>
      <c r="K812" s="286"/>
      <c r="L812" s="286"/>
      <c r="M812" s="286"/>
      <c r="N812" s="275"/>
      <c r="O812" s="275"/>
      <c r="P812" s="275"/>
      <c r="Q812" s="275"/>
      <c r="R812" s="275"/>
      <c r="S812" s="275"/>
      <c r="T812" s="275"/>
      <c r="U812" s="275"/>
      <c r="V812" s="275"/>
      <c r="W812" s="275"/>
      <c r="X812" s="275"/>
      <c r="Y812" s="275"/>
      <c r="Z812" s="275"/>
      <c r="AA812" s="275"/>
    </row>
    <row r="813" ht="15.75" customHeight="1">
      <c r="A813" s="275"/>
      <c r="B813" s="275"/>
      <c r="C813" s="286"/>
      <c r="D813" s="275"/>
      <c r="E813" s="275"/>
      <c r="F813" s="275"/>
      <c r="G813" s="275"/>
      <c r="H813" s="275"/>
      <c r="I813" s="275"/>
      <c r="J813" s="275"/>
      <c r="K813" s="286"/>
      <c r="L813" s="286"/>
      <c r="M813" s="286"/>
      <c r="N813" s="275"/>
      <c r="O813" s="275"/>
      <c r="P813" s="275"/>
      <c r="Q813" s="275"/>
      <c r="R813" s="275"/>
      <c r="S813" s="275"/>
      <c r="T813" s="275"/>
      <c r="U813" s="275"/>
      <c r="V813" s="275"/>
      <c r="W813" s="275"/>
      <c r="X813" s="275"/>
      <c r="Y813" s="275"/>
      <c r="Z813" s="275"/>
      <c r="AA813" s="275"/>
    </row>
    <row r="814" ht="15.75" customHeight="1">
      <c r="A814" s="275"/>
      <c r="B814" s="275"/>
      <c r="C814" s="286"/>
      <c r="D814" s="275"/>
      <c r="E814" s="275"/>
      <c r="F814" s="275"/>
      <c r="G814" s="275"/>
      <c r="H814" s="275"/>
      <c r="I814" s="275"/>
      <c r="J814" s="275"/>
      <c r="K814" s="286"/>
      <c r="L814" s="286"/>
      <c r="M814" s="286"/>
      <c r="N814" s="275"/>
      <c r="O814" s="275"/>
      <c r="P814" s="275"/>
      <c r="Q814" s="275"/>
      <c r="R814" s="275"/>
      <c r="S814" s="275"/>
      <c r="T814" s="275"/>
      <c r="U814" s="275"/>
      <c r="V814" s="275"/>
      <c r="W814" s="275"/>
      <c r="X814" s="275"/>
      <c r="Y814" s="275"/>
      <c r="Z814" s="275"/>
      <c r="AA814" s="275"/>
    </row>
    <row r="815" ht="15.75" customHeight="1">
      <c r="A815" s="275"/>
      <c r="B815" s="275"/>
      <c r="C815" s="286"/>
      <c r="D815" s="275"/>
      <c r="E815" s="275"/>
      <c r="F815" s="275"/>
      <c r="G815" s="275"/>
      <c r="H815" s="275"/>
      <c r="I815" s="275"/>
      <c r="J815" s="275"/>
      <c r="K815" s="286"/>
      <c r="L815" s="286"/>
      <c r="M815" s="286"/>
      <c r="N815" s="275"/>
      <c r="O815" s="275"/>
      <c r="P815" s="275"/>
      <c r="Q815" s="275"/>
      <c r="R815" s="275"/>
      <c r="S815" s="275"/>
      <c r="T815" s="275"/>
      <c r="U815" s="275"/>
      <c r="V815" s="275"/>
      <c r="W815" s="275"/>
      <c r="X815" s="275"/>
      <c r="Y815" s="275"/>
      <c r="Z815" s="275"/>
      <c r="AA815" s="275"/>
    </row>
    <row r="816" ht="15.75" customHeight="1">
      <c r="A816" s="275"/>
      <c r="B816" s="275"/>
      <c r="C816" s="286"/>
      <c r="D816" s="275"/>
      <c r="E816" s="275"/>
      <c r="F816" s="275"/>
      <c r="G816" s="275"/>
      <c r="H816" s="275"/>
      <c r="I816" s="275"/>
      <c r="J816" s="275"/>
      <c r="K816" s="286"/>
      <c r="L816" s="286"/>
      <c r="M816" s="286"/>
      <c r="N816" s="275"/>
      <c r="O816" s="275"/>
      <c r="P816" s="275"/>
      <c r="Q816" s="275"/>
      <c r="R816" s="275"/>
      <c r="S816" s="275"/>
      <c r="T816" s="275"/>
      <c r="U816" s="275"/>
      <c r="V816" s="275"/>
      <c r="W816" s="275"/>
      <c r="X816" s="275"/>
      <c r="Y816" s="275"/>
      <c r="Z816" s="275"/>
      <c r="AA816" s="275"/>
    </row>
    <row r="817" ht="15.75" customHeight="1">
      <c r="A817" s="275"/>
      <c r="B817" s="275"/>
      <c r="C817" s="286"/>
      <c r="D817" s="275"/>
      <c r="E817" s="275"/>
      <c r="F817" s="275"/>
      <c r="G817" s="275"/>
      <c r="H817" s="275"/>
      <c r="I817" s="275"/>
      <c r="J817" s="275"/>
      <c r="K817" s="286"/>
      <c r="L817" s="286"/>
      <c r="M817" s="286"/>
      <c r="N817" s="275"/>
      <c r="O817" s="275"/>
      <c r="P817" s="275"/>
      <c r="Q817" s="275"/>
      <c r="R817" s="275"/>
      <c r="S817" s="275"/>
      <c r="T817" s="275"/>
      <c r="U817" s="275"/>
      <c r="V817" s="275"/>
      <c r="W817" s="275"/>
      <c r="X817" s="275"/>
      <c r="Y817" s="275"/>
      <c r="Z817" s="275"/>
      <c r="AA817" s="275"/>
    </row>
    <row r="818" ht="15.75" customHeight="1">
      <c r="A818" s="275"/>
      <c r="B818" s="275"/>
      <c r="C818" s="286"/>
      <c r="D818" s="275"/>
      <c r="E818" s="275"/>
      <c r="F818" s="275"/>
      <c r="G818" s="275"/>
      <c r="H818" s="275"/>
      <c r="I818" s="275"/>
      <c r="J818" s="275"/>
      <c r="K818" s="286"/>
      <c r="L818" s="286"/>
      <c r="M818" s="286"/>
      <c r="N818" s="275"/>
      <c r="O818" s="275"/>
      <c r="P818" s="275"/>
      <c r="Q818" s="275"/>
      <c r="R818" s="275"/>
      <c r="S818" s="275"/>
      <c r="T818" s="275"/>
      <c r="U818" s="275"/>
      <c r="V818" s="275"/>
      <c r="W818" s="275"/>
      <c r="X818" s="275"/>
      <c r="Y818" s="275"/>
      <c r="Z818" s="275"/>
      <c r="AA818" s="275"/>
    </row>
    <row r="819" ht="15.75" customHeight="1">
      <c r="A819" s="275"/>
      <c r="B819" s="275"/>
      <c r="C819" s="286"/>
      <c r="D819" s="275"/>
      <c r="E819" s="275"/>
      <c r="F819" s="275"/>
      <c r="G819" s="275"/>
      <c r="H819" s="275"/>
      <c r="I819" s="275"/>
      <c r="J819" s="275"/>
      <c r="K819" s="286"/>
      <c r="L819" s="286"/>
      <c r="M819" s="286"/>
      <c r="N819" s="275"/>
      <c r="O819" s="275"/>
      <c r="P819" s="275"/>
      <c r="Q819" s="275"/>
      <c r="R819" s="275"/>
      <c r="S819" s="275"/>
      <c r="T819" s="275"/>
      <c r="U819" s="275"/>
      <c r="V819" s="275"/>
      <c r="W819" s="275"/>
      <c r="X819" s="275"/>
      <c r="Y819" s="275"/>
      <c r="Z819" s="275"/>
      <c r="AA819" s="275"/>
    </row>
    <row r="820" ht="15.75" customHeight="1">
      <c r="A820" s="275"/>
      <c r="B820" s="275"/>
      <c r="C820" s="286"/>
      <c r="D820" s="275"/>
      <c r="E820" s="275"/>
      <c r="F820" s="275"/>
      <c r="G820" s="275"/>
      <c r="H820" s="275"/>
      <c r="I820" s="275"/>
      <c r="J820" s="275"/>
      <c r="K820" s="286"/>
      <c r="L820" s="286"/>
      <c r="M820" s="286"/>
      <c r="N820" s="275"/>
      <c r="O820" s="275"/>
      <c r="P820" s="275"/>
      <c r="Q820" s="275"/>
      <c r="R820" s="275"/>
      <c r="S820" s="275"/>
      <c r="T820" s="275"/>
      <c r="U820" s="275"/>
      <c r="V820" s="275"/>
      <c r="W820" s="275"/>
      <c r="X820" s="275"/>
      <c r="Y820" s="275"/>
      <c r="Z820" s="275"/>
      <c r="AA820" s="275"/>
    </row>
    <row r="821" ht="15.75" customHeight="1">
      <c r="A821" s="275"/>
      <c r="B821" s="275"/>
      <c r="C821" s="286"/>
      <c r="D821" s="275"/>
      <c r="E821" s="275"/>
      <c r="F821" s="275"/>
      <c r="G821" s="275"/>
      <c r="H821" s="275"/>
      <c r="I821" s="275"/>
      <c r="J821" s="275"/>
      <c r="K821" s="286"/>
      <c r="L821" s="286"/>
      <c r="M821" s="286"/>
      <c r="N821" s="275"/>
      <c r="O821" s="275"/>
      <c r="P821" s="275"/>
      <c r="Q821" s="275"/>
      <c r="R821" s="275"/>
      <c r="S821" s="275"/>
      <c r="T821" s="275"/>
      <c r="U821" s="275"/>
      <c r="V821" s="275"/>
      <c r="W821" s="275"/>
      <c r="X821" s="275"/>
      <c r="Y821" s="275"/>
      <c r="Z821" s="275"/>
      <c r="AA821" s="275"/>
    </row>
    <row r="822" ht="15.75" customHeight="1">
      <c r="A822" s="275"/>
      <c r="B822" s="275"/>
      <c r="C822" s="286"/>
      <c r="D822" s="275"/>
      <c r="E822" s="275"/>
      <c r="F822" s="275"/>
      <c r="G822" s="275"/>
      <c r="H822" s="275"/>
      <c r="I822" s="275"/>
      <c r="J822" s="275"/>
      <c r="K822" s="286"/>
      <c r="L822" s="286"/>
      <c r="M822" s="286"/>
      <c r="N822" s="275"/>
      <c r="O822" s="275"/>
      <c r="P822" s="275"/>
      <c r="Q822" s="275"/>
      <c r="R822" s="275"/>
      <c r="S822" s="275"/>
      <c r="T822" s="275"/>
      <c r="U822" s="275"/>
      <c r="V822" s="275"/>
      <c r="W822" s="275"/>
      <c r="X822" s="275"/>
      <c r="Y822" s="275"/>
      <c r="Z822" s="275"/>
      <c r="AA822" s="275"/>
    </row>
    <row r="823" ht="15.75" customHeight="1">
      <c r="A823" s="275"/>
      <c r="B823" s="275"/>
      <c r="C823" s="286"/>
      <c r="D823" s="275"/>
      <c r="E823" s="275"/>
      <c r="F823" s="275"/>
      <c r="G823" s="275"/>
      <c r="H823" s="275"/>
      <c r="I823" s="275"/>
      <c r="J823" s="275"/>
      <c r="K823" s="286"/>
      <c r="L823" s="286"/>
      <c r="M823" s="286"/>
      <c r="N823" s="275"/>
      <c r="O823" s="275"/>
      <c r="P823" s="275"/>
      <c r="Q823" s="275"/>
      <c r="R823" s="275"/>
      <c r="S823" s="275"/>
      <c r="T823" s="275"/>
      <c r="U823" s="275"/>
      <c r="V823" s="275"/>
      <c r="W823" s="275"/>
      <c r="X823" s="275"/>
      <c r="Y823" s="275"/>
      <c r="Z823" s="275"/>
      <c r="AA823" s="275"/>
    </row>
    <row r="824" ht="15.75" customHeight="1">
      <c r="A824" s="275"/>
      <c r="B824" s="275"/>
      <c r="C824" s="286"/>
      <c r="D824" s="275"/>
      <c r="E824" s="275"/>
      <c r="F824" s="275"/>
      <c r="G824" s="275"/>
      <c r="H824" s="275"/>
      <c r="I824" s="275"/>
      <c r="J824" s="275"/>
      <c r="K824" s="286"/>
      <c r="L824" s="286"/>
      <c r="M824" s="286"/>
      <c r="N824" s="275"/>
      <c r="O824" s="275"/>
      <c r="P824" s="275"/>
      <c r="Q824" s="275"/>
      <c r="R824" s="275"/>
      <c r="S824" s="275"/>
      <c r="T824" s="275"/>
      <c r="U824" s="275"/>
      <c r="V824" s="275"/>
      <c r="W824" s="275"/>
      <c r="X824" s="275"/>
      <c r="Y824" s="275"/>
      <c r="Z824" s="275"/>
      <c r="AA824" s="275"/>
    </row>
    <row r="825" ht="15.75" customHeight="1">
      <c r="A825" s="275"/>
      <c r="B825" s="275"/>
      <c r="C825" s="286"/>
      <c r="D825" s="275"/>
      <c r="E825" s="275"/>
      <c r="F825" s="275"/>
      <c r="G825" s="275"/>
      <c r="H825" s="275"/>
      <c r="I825" s="275"/>
      <c r="J825" s="275"/>
      <c r="K825" s="286"/>
      <c r="L825" s="286"/>
      <c r="M825" s="286"/>
      <c r="N825" s="275"/>
      <c r="O825" s="275"/>
      <c r="P825" s="275"/>
      <c r="Q825" s="275"/>
      <c r="R825" s="275"/>
      <c r="S825" s="275"/>
      <c r="T825" s="275"/>
      <c r="U825" s="275"/>
      <c r="V825" s="275"/>
      <c r="W825" s="275"/>
      <c r="X825" s="275"/>
      <c r="Y825" s="275"/>
      <c r="Z825" s="275"/>
      <c r="AA825" s="275"/>
    </row>
    <row r="826" ht="15.75" customHeight="1">
      <c r="A826" s="275"/>
      <c r="B826" s="275"/>
      <c r="C826" s="286"/>
      <c r="D826" s="275"/>
      <c r="E826" s="275"/>
      <c r="F826" s="275"/>
      <c r="G826" s="275"/>
      <c r="H826" s="275"/>
      <c r="I826" s="275"/>
      <c r="J826" s="275"/>
      <c r="K826" s="286"/>
      <c r="L826" s="286"/>
      <c r="M826" s="286"/>
      <c r="N826" s="275"/>
      <c r="O826" s="275"/>
      <c r="P826" s="275"/>
      <c r="Q826" s="275"/>
      <c r="R826" s="275"/>
      <c r="S826" s="275"/>
      <c r="T826" s="275"/>
      <c r="U826" s="275"/>
      <c r="V826" s="275"/>
      <c r="W826" s="275"/>
      <c r="X826" s="275"/>
      <c r="Y826" s="275"/>
      <c r="Z826" s="275"/>
      <c r="AA826" s="275"/>
    </row>
    <row r="827" ht="15.75" customHeight="1">
      <c r="A827" s="275"/>
      <c r="B827" s="275"/>
      <c r="C827" s="286"/>
      <c r="D827" s="275"/>
      <c r="E827" s="275"/>
      <c r="F827" s="275"/>
      <c r="G827" s="275"/>
      <c r="H827" s="275"/>
      <c r="I827" s="275"/>
      <c r="J827" s="275"/>
      <c r="K827" s="286"/>
      <c r="L827" s="286"/>
      <c r="M827" s="286"/>
      <c r="N827" s="275"/>
      <c r="O827" s="275"/>
      <c r="P827" s="275"/>
      <c r="Q827" s="275"/>
      <c r="R827" s="275"/>
      <c r="S827" s="275"/>
      <c r="T827" s="275"/>
      <c r="U827" s="275"/>
      <c r="V827" s="275"/>
      <c r="W827" s="275"/>
      <c r="X827" s="275"/>
      <c r="Y827" s="275"/>
      <c r="Z827" s="275"/>
      <c r="AA827" s="275"/>
    </row>
    <row r="828" ht="15.75" customHeight="1">
      <c r="A828" s="275"/>
      <c r="B828" s="275"/>
      <c r="C828" s="286"/>
      <c r="D828" s="275"/>
      <c r="E828" s="275"/>
      <c r="F828" s="275"/>
      <c r="G828" s="275"/>
      <c r="H828" s="275"/>
      <c r="I828" s="275"/>
      <c r="J828" s="275"/>
      <c r="K828" s="286"/>
      <c r="L828" s="286"/>
      <c r="M828" s="286"/>
      <c r="N828" s="275"/>
      <c r="O828" s="275"/>
      <c r="P828" s="275"/>
      <c r="Q828" s="275"/>
      <c r="R828" s="275"/>
      <c r="S828" s="275"/>
      <c r="T828" s="275"/>
      <c r="U828" s="275"/>
      <c r="V828" s="275"/>
      <c r="W828" s="275"/>
      <c r="X828" s="275"/>
      <c r="Y828" s="275"/>
      <c r="Z828" s="275"/>
      <c r="AA828" s="275"/>
    </row>
    <row r="829" ht="15.75" customHeight="1">
      <c r="A829" s="275"/>
      <c r="B829" s="275"/>
      <c r="C829" s="286"/>
      <c r="D829" s="275"/>
      <c r="E829" s="275"/>
      <c r="F829" s="275"/>
      <c r="G829" s="275"/>
      <c r="H829" s="275"/>
      <c r="I829" s="275"/>
      <c r="J829" s="275"/>
      <c r="K829" s="286"/>
      <c r="L829" s="286"/>
      <c r="M829" s="286"/>
      <c r="N829" s="275"/>
      <c r="O829" s="275"/>
      <c r="P829" s="275"/>
      <c r="Q829" s="275"/>
      <c r="R829" s="275"/>
      <c r="S829" s="275"/>
      <c r="T829" s="275"/>
      <c r="U829" s="275"/>
      <c r="V829" s="275"/>
      <c r="W829" s="275"/>
      <c r="X829" s="275"/>
      <c r="Y829" s="275"/>
      <c r="Z829" s="275"/>
      <c r="AA829" s="275"/>
    </row>
    <row r="830" ht="15.75" customHeight="1">
      <c r="A830" s="275"/>
      <c r="B830" s="275"/>
      <c r="C830" s="286"/>
      <c r="D830" s="275"/>
      <c r="E830" s="275"/>
      <c r="F830" s="275"/>
      <c r="G830" s="275"/>
      <c r="H830" s="275"/>
      <c r="I830" s="275"/>
      <c r="J830" s="275"/>
      <c r="K830" s="286"/>
      <c r="L830" s="286"/>
      <c r="M830" s="286"/>
      <c r="N830" s="275"/>
      <c r="O830" s="275"/>
      <c r="P830" s="275"/>
      <c r="Q830" s="275"/>
      <c r="R830" s="275"/>
      <c r="S830" s="275"/>
      <c r="T830" s="275"/>
      <c r="U830" s="275"/>
      <c r="V830" s="275"/>
      <c r="W830" s="275"/>
      <c r="X830" s="275"/>
      <c r="Y830" s="275"/>
      <c r="Z830" s="275"/>
      <c r="AA830" s="275"/>
    </row>
    <row r="831" ht="15.75" customHeight="1">
      <c r="A831" s="275"/>
      <c r="B831" s="275"/>
      <c r="C831" s="286"/>
      <c r="D831" s="275"/>
      <c r="E831" s="275"/>
      <c r="F831" s="275"/>
      <c r="G831" s="275"/>
      <c r="H831" s="275"/>
      <c r="I831" s="275"/>
      <c r="J831" s="275"/>
      <c r="K831" s="286"/>
      <c r="L831" s="286"/>
      <c r="M831" s="286"/>
      <c r="N831" s="275"/>
      <c r="O831" s="275"/>
      <c r="P831" s="275"/>
      <c r="Q831" s="275"/>
      <c r="R831" s="275"/>
      <c r="S831" s="275"/>
      <c r="T831" s="275"/>
      <c r="U831" s="275"/>
      <c r="V831" s="275"/>
      <c r="W831" s="275"/>
      <c r="X831" s="275"/>
      <c r="Y831" s="275"/>
      <c r="Z831" s="275"/>
      <c r="AA831" s="275"/>
    </row>
    <row r="832" ht="15.75" customHeight="1">
      <c r="A832" s="275"/>
      <c r="B832" s="275"/>
      <c r="C832" s="286"/>
      <c r="D832" s="275"/>
      <c r="E832" s="275"/>
      <c r="F832" s="275"/>
      <c r="G832" s="275"/>
      <c r="H832" s="275"/>
      <c r="I832" s="275"/>
      <c r="J832" s="275"/>
      <c r="K832" s="286"/>
      <c r="L832" s="286"/>
      <c r="M832" s="286"/>
      <c r="N832" s="275"/>
      <c r="O832" s="275"/>
      <c r="P832" s="275"/>
      <c r="Q832" s="275"/>
      <c r="R832" s="275"/>
      <c r="S832" s="275"/>
      <c r="T832" s="275"/>
      <c r="U832" s="275"/>
      <c r="V832" s="275"/>
      <c r="W832" s="275"/>
      <c r="X832" s="275"/>
      <c r="Y832" s="275"/>
      <c r="Z832" s="275"/>
      <c r="AA832" s="275"/>
    </row>
    <row r="833" ht="15.75" customHeight="1">
      <c r="A833" s="275"/>
      <c r="B833" s="275"/>
      <c r="C833" s="286"/>
      <c r="D833" s="275"/>
      <c r="E833" s="275"/>
      <c r="F833" s="275"/>
      <c r="G833" s="275"/>
      <c r="H833" s="275"/>
      <c r="I833" s="275"/>
      <c r="J833" s="275"/>
      <c r="K833" s="286"/>
      <c r="L833" s="286"/>
      <c r="M833" s="286"/>
      <c r="N833" s="275"/>
      <c r="O833" s="275"/>
      <c r="P833" s="275"/>
      <c r="Q833" s="275"/>
      <c r="R833" s="275"/>
      <c r="S833" s="275"/>
      <c r="T833" s="275"/>
      <c r="U833" s="275"/>
      <c r="V833" s="275"/>
      <c r="W833" s="275"/>
      <c r="X833" s="275"/>
      <c r="Y833" s="275"/>
      <c r="Z833" s="275"/>
      <c r="AA833" s="275"/>
    </row>
    <row r="834" ht="15.75" customHeight="1">
      <c r="A834" s="275"/>
      <c r="B834" s="275"/>
      <c r="C834" s="286"/>
      <c r="D834" s="275"/>
      <c r="E834" s="275"/>
      <c r="F834" s="275"/>
      <c r="G834" s="275"/>
      <c r="H834" s="275"/>
      <c r="I834" s="275"/>
      <c r="J834" s="275"/>
      <c r="K834" s="286"/>
      <c r="L834" s="286"/>
      <c r="M834" s="286"/>
      <c r="N834" s="275"/>
      <c r="O834" s="275"/>
      <c r="P834" s="275"/>
      <c r="Q834" s="275"/>
      <c r="R834" s="275"/>
      <c r="S834" s="275"/>
      <c r="T834" s="275"/>
      <c r="U834" s="275"/>
      <c r="V834" s="275"/>
      <c r="W834" s="275"/>
      <c r="X834" s="275"/>
      <c r="Y834" s="275"/>
      <c r="Z834" s="275"/>
      <c r="AA834" s="275"/>
    </row>
    <row r="835" ht="15.75" customHeight="1">
      <c r="A835" s="275"/>
      <c r="B835" s="275"/>
      <c r="C835" s="286"/>
      <c r="D835" s="275"/>
      <c r="E835" s="275"/>
      <c r="F835" s="275"/>
      <c r="G835" s="275"/>
      <c r="H835" s="275"/>
      <c r="I835" s="275"/>
      <c r="J835" s="275"/>
      <c r="K835" s="286"/>
      <c r="L835" s="286"/>
      <c r="M835" s="286"/>
      <c r="N835" s="275"/>
      <c r="O835" s="275"/>
      <c r="P835" s="275"/>
      <c r="Q835" s="275"/>
      <c r="R835" s="275"/>
      <c r="S835" s="275"/>
      <c r="T835" s="275"/>
      <c r="U835" s="275"/>
      <c r="V835" s="275"/>
      <c r="W835" s="275"/>
      <c r="X835" s="275"/>
      <c r="Y835" s="275"/>
      <c r="Z835" s="275"/>
      <c r="AA835" s="275"/>
    </row>
    <row r="836" ht="15.75" customHeight="1">
      <c r="A836" s="275"/>
      <c r="B836" s="275"/>
      <c r="C836" s="286"/>
      <c r="D836" s="275"/>
      <c r="E836" s="275"/>
      <c r="F836" s="275"/>
      <c r="G836" s="275"/>
      <c r="H836" s="275"/>
      <c r="I836" s="275"/>
      <c r="J836" s="275"/>
      <c r="K836" s="286"/>
      <c r="L836" s="286"/>
      <c r="M836" s="286"/>
      <c r="N836" s="275"/>
      <c r="O836" s="275"/>
      <c r="P836" s="275"/>
      <c r="Q836" s="275"/>
      <c r="R836" s="275"/>
      <c r="S836" s="275"/>
      <c r="T836" s="275"/>
      <c r="U836" s="275"/>
      <c r="V836" s="275"/>
      <c r="W836" s="275"/>
      <c r="X836" s="275"/>
      <c r="Y836" s="275"/>
      <c r="Z836" s="275"/>
      <c r="AA836" s="275"/>
    </row>
    <row r="837" ht="15.75" customHeight="1">
      <c r="A837" s="275"/>
      <c r="B837" s="275"/>
      <c r="C837" s="286"/>
      <c r="D837" s="275"/>
      <c r="E837" s="275"/>
      <c r="F837" s="275"/>
      <c r="G837" s="275"/>
      <c r="H837" s="275"/>
      <c r="I837" s="275"/>
      <c r="J837" s="275"/>
      <c r="K837" s="286"/>
      <c r="L837" s="286"/>
      <c r="M837" s="286"/>
      <c r="N837" s="275"/>
      <c r="O837" s="275"/>
      <c r="P837" s="275"/>
      <c r="Q837" s="275"/>
      <c r="R837" s="275"/>
      <c r="S837" s="275"/>
      <c r="T837" s="275"/>
      <c r="U837" s="275"/>
      <c r="V837" s="275"/>
      <c r="W837" s="275"/>
      <c r="X837" s="275"/>
      <c r="Y837" s="275"/>
      <c r="Z837" s="275"/>
      <c r="AA837" s="275"/>
    </row>
    <row r="838" ht="15.75" customHeight="1">
      <c r="A838" s="275"/>
      <c r="B838" s="275"/>
      <c r="C838" s="286"/>
      <c r="D838" s="275"/>
      <c r="E838" s="275"/>
      <c r="F838" s="275"/>
      <c r="G838" s="275"/>
      <c r="H838" s="275"/>
      <c r="I838" s="275"/>
      <c r="J838" s="275"/>
      <c r="K838" s="286"/>
      <c r="L838" s="286"/>
      <c r="M838" s="286"/>
      <c r="N838" s="275"/>
      <c r="O838" s="275"/>
      <c r="P838" s="275"/>
      <c r="Q838" s="275"/>
      <c r="R838" s="275"/>
      <c r="S838" s="275"/>
      <c r="T838" s="275"/>
      <c r="U838" s="275"/>
      <c r="V838" s="275"/>
      <c r="W838" s="275"/>
      <c r="X838" s="275"/>
      <c r="Y838" s="275"/>
      <c r="Z838" s="275"/>
      <c r="AA838" s="275"/>
    </row>
    <row r="839" ht="15.75" customHeight="1">
      <c r="A839" s="275"/>
      <c r="B839" s="275"/>
      <c r="C839" s="286"/>
      <c r="D839" s="275"/>
      <c r="E839" s="275"/>
      <c r="F839" s="275"/>
      <c r="G839" s="275"/>
      <c r="H839" s="275"/>
      <c r="I839" s="275"/>
      <c r="J839" s="275"/>
      <c r="K839" s="286"/>
      <c r="L839" s="286"/>
      <c r="M839" s="286"/>
      <c r="N839" s="275"/>
      <c r="O839" s="275"/>
      <c r="P839" s="275"/>
      <c r="Q839" s="275"/>
      <c r="R839" s="275"/>
      <c r="S839" s="275"/>
      <c r="T839" s="275"/>
      <c r="U839" s="275"/>
      <c r="V839" s="275"/>
      <c r="W839" s="275"/>
      <c r="X839" s="275"/>
      <c r="Y839" s="275"/>
      <c r="Z839" s="275"/>
      <c r="AA839" s="275"/>
    </row>
    <row r="840" ht="15.75" customHeight="1">
      <c r="A840" s="275"/>
      <c r="B840" s="275"/>
      <c r="C840" s="286"/>
      <c r="D840" s="275"/>
      <c r="E840" s="275"/>
      <c r="F840" s="275"/>
      <c r="G840" s="275"/>
      <c r="H840" s="275"/>
      <c r="I840" s="275"/>
      <c r="J840" s="275"/>
      <c r="K840" s="286"/>
      <c r="L840" s="286"/>
      <c r="M840" s="286"/>
      <c r="N840" s="275"/>
      <c r="O840" s="275"/>
      <c r="P840" s="275"/>
      <c r="Q840" s="275"/>
      <c r="R840" s="275"/>
      <c r="S840" s="275"/>
      <c r="T840" s="275"/>
      <c r="U840" s="275"/>
      <c r="V840" s="275"/>
      <c r="W840" s="275"/>
      <c r="X840" s="275"/>
      <c r="Y840" s="275"/>
      <c r="Z840" s="275"/>
      <c r="AA840" s="275"/>
    </row>
    <row r="841" ht="15.75" customHeight="1">
      <c r="A841" s="275"/>
      <c r="B841" s="275"/>
      <c r="C841" s="286"/>
      <c r="D841" s="275"/>
      <c r="E841" s="275"/>
      <c r="F841" s="275"/>
      <c r="G841" s="275"/>
      <c r="H841" s="275"/>
      <c r="I841" s="275"/>
      <c r="J841" s="275"/>
      <c r="K841" s="286"/>
      <c r="L841" s="286"/>
      <c r="M841" s="286"/>
      <c r="N841" s="275"/>
      <c r="O841" s="275"/>
      <c r="P841" s="275"/>
      <c r="Q841" s="275"/>
      <c r="R841" s="275"/>
      <c r="S841" s="275"/>
      <c r="T841" s="275"/>
      <c r="U841" s="275"/>
      <c r="V841" s="275"/>
      <c r="W841" s="275"/>
      <c r="X841" s="275"/>
      <c r="Y841" s="275"/>
      <c r="Z841" s="275"/>
      <c r="AA841" s="275"/>
    </row>
    <row r="842" ht="15.75" customHeight="1">
      <c r="A842" s="275"/>
      <c r="B842" s="275"/>
      <c r="C842" s="286"/>
      <c r="D842" s="275"/>
      <c r="E842" s="275"/>
      <c r="F842" s="275"/>
      <c r="G842" s="275"/>
      <c r="H842" s="275"/>
      <c r="I842" s="275"/>
      <c r="J842" s="275"/>
      <c r="K842" s="286"/>
      <c r="L842" s="286"/>
      <c r="M842" s="286"/>
      <c r="N842" s="275"/>
      <c r="O842" s="275"/>
      <c r="P842" s="275"/>
      <c r="Q842" s="275"/>
      <c r="R842" s="275"/>
      <c r="S842" s="275"/>
      <c r="T842" s="275"/>
      <c r="U842" s="275"/>
      <c r="V842" s="275"/>
      <c r="W842" s="275"/>
      <c r="X842" s="275"/>
      <c r="Y842" s="275"/>
      <c r="Z842" s="275"/>
      <c r="AA842" s="275"/>
    </row>
    <row r="843" ht="15.75" customHeight="1">
      <c r="A843" s="275"/>
      <c r="B843" s="275"/>
      <c r="C843" s="286"/>
      <c r="D843" s="275"/>
      <c r="E843" s="275"/>
      <c r="F843" s="275"/>
      <c r="G843" s="275"/>
      <c r="H843" s="275"/>
      <c r="I843" s="275"/>
      <c r="J843" s="275"/>
      <c r="K843" s="286"/>
      <c r="L843" s="286"/>
      <c r="M843" s="286"/>
      <c r="N843" s="275"/>
      <c r="O843" s="275"/>
      <c r="P843" s="275"/>
      <c r="Q843" s="275"/>
      <c r="R843" s="275"/>
      <c r="S843" s="275"/>
      <c r="T843" s="275"/>
      <c r="U843" s="275"/>
      <c r="V843" s="275"/>
      <c r="W843" s="275"/>
      <c r="X843" s="275"/>
      <c r="Y843" s="275"/>
      <c r="Z843" s="275"/>
      <c r="AA843" s="275"/>
    </row>
    <row r="844" ht="15.75" customHeight="1">
      <c r="A844" s="275"/>
      <c r="B844" s="275"/>
      <c r="C844" s="286"/>
      <c r="D844" s="275"/>
      <c r="E844" s="275"/>
      <c r="F844" s="275"/>
      <c r="G844" s="275"/>
      <c r="H844" s="275"/>
      <c r="I844" s="275"/>
      <c r="J844" s="275"/>
      <c r="K844" s="286"/>
      <c r="L844" s="286"/>
      <c r="M844" s="286"/>
      <c r="N844" s="275"/>
      <c r="O844" s="275"/>
      <c r="P844" s="275"/>
      <c r="Q844" s="275"/>
      <c r="R844" s="275"/>
      <c r="S844" s="275"/>
      <c r="T844" s="275"/>
      <c r="U844" s="275"/>
      <c r="V844" s="275"/>
      <c r="W844" s="275"/>
      <c r="X844" s="275"/>
      <c r="Y844" s="275"/>
      <c r="Z844" s="275"/>
      <c r="AA844" s="275"/>
    </row>
    <row r="845" ht="15.75" customHeight="1">
      <c r="A845" s="275"/>
      <c r="B845" s="275"/>
      <c r="C845" s="286"/>
      <c r="D845" s="275"/>
      <c r="E845" s="275"/>
      <c r="F845" s="275"/>
      <c r="G845" s="275"/>
      <c r="H845" s="275"/>
      <c r="I845" s="275"/>
      <c r="J845" s="275"/>
      <c r="K845" s="286"/>
      <c r="L845" s="286"/>
      <c r="M845" s="286"/>
      <c r="N845" s="275"/>
      <c r="O845" s="275"/>
      <c r="P845" s="275"/>
      <c r="Q845" s="275"/>
      <c r="R845" s="275"/>
      <c r="S845" s="275"/>
      <c r="T845" s="275"/>
      <c r="U845" s="275"/>
      <c r="V845" s="275"/>
      <c r="W845" s="275"/>
      <c r="X845" s="275"/>
      <c r="Y845" s="275"/>
      <c r="Z845" s="275"/>
      <c r="AA845" s="275"/>
    </row>
    <row r="846" ht="15.75" customHeight="1">
      <c r="A846" s="275"/>
      <c r="B846" s="275"/>
      <c r="C846" s="286"/>
      <c r="D846" s="275"/>
      <c r="E846" s="275"/>
      <c r="F846" s="275"/>
      <c r="G846" s="275"/>
      <c r="H846" s="275"/>
      <c r="I846" s="275"/>
      <c r="J846" s="275"/>
      <c r="K846" s="286"/>
      <c r="L846" s="286"/>
      <c r="M846" s="286"/>
      <c r="N846" s="275"/>
      <c r="O846" s="275"/>
      <c r="P846" s="275"/>
      <c r="Q846" s="275"/>
      <c r="R846" s="275"/>
      <c r="S846" s="275"/>
      <c r="T846" s="275"/>
      <c r="U846" s="275"/>
      <c r="V846" s="275"/>
      <c r="W846" s="275"/>
      <c r="X846" s="275"/>
      <c r="Y846" s="275"/>
      <c r="Z846" s="275"/>
      <c r="AA846" s="275"/>
    </row>
    <row r="847" ht="15.75" customHeight="1">
      <c r="A847" s="275"/>
      <c r="B847" s="275"/>
      <c r="C847" s="286"/>
      <c r="D847" s="275"/>
      <c r="E847" s="275"/>
      <c r="F847" s="275"/>
      <c r="G847" s="275"/>
      <c r="H847" s="275"/>
      <c r="I847" s="275"/>
      <c r="J847" s="275"/>
      <c r="K847" s="286"/>
      <c r="L847" s="286"/>
      <c r="M847" s="286"/>
      <c r="N847" s="275"/>
      <c r="O847" s="275"/>
      <c r="P847" s="275"/>
      <c r="Q847" s="275"/>
      <c r="R847" s="275"/>
      <c r="S847" s="275"/>
      <c r="T847" s="275"/>
      <c r="U847" s="275"/>
      <c r="V847" s="275"/>
      <c r="W847" s="275"/>
      <c r="X847" s="275"/>
      <c r="Y847" s="275"/>
      <c r="Z847" s="275"/>
      <c r="AA847" s="275"/>
    </row>
    <row r="848" ht="15.75" customHeight="1">
      <c r="A848" s="275"/>
      <c r="B848" s="275"/>
      <c r="C848" s="286"/>
      <c r="D848" s="275"/>
      <c r="E848" s="275"/>
      <c r="F848" s="275"/>
      <c r="G848" s="275"/>
      <c r="H848" s="275"/>
      <c r="I848" s="275"/>
      <c r="J848" s="275"/>
      <c r="K848" s="286"/>
      <c r="L848" s="286"/>
      <c r="M848" s="286"/>
      <c r="N848" s="275"/>
      <c r="O848" s="275"/>
      <c r="P848" s="275"/>
      <c r="Q848" s="275"/>
      <c r="R848" s="275"/>
      <c r="S848" s="275"/>
      <c r="T848" s="275"/>
      <c r="U848" s="275"/>
      <c r="V848" s="275"/>
      <c r="W848" s="275"/>
      <c r="X848" s="275"/>
      <c r="Y848" s="275"/>
      <c r="Z848" s="275"/>
      <c r="AA848" s="275"/>
    </row>
    <row r="849" ht="15.75" customHeight="1">
      <c r="A849" s="275"/>
      <c r="B849" s="275"/>
      <c r="C849" s="286"/>
      <c r="D849" s="275"/>
      <c r="E849" s="275"/>
      <c r="F849" s="275"/>
      <c r="G849" s="275"/>
      <c r="H849" s="275"/>
      <c r="I849" s="275"/>
      <c r="J849" s="275"/>
      <c r="K849" s="286"/>
      <c r="L849" s="286"/>
      <c r="M849" s="286"/>
      <c r="N849" s="275"/>
      <c r="O849" s="275"/>
      <c r="P849" s="275"/>
      <c r="Q849" s="275"/>
      <c r="R849" s="275"/>
      <c r="S849" s="275"/>
      <c r="T849" s="275"/>
      <c r="U849" s="275"/>
      <c r="V849" s="275"/>
      <c r="W849" s="275"/>
      <c r="X849" s="275"/>
      <c r="Y849" s="275"/>
      <c r="Z849" s="275"/>
      <c r="AA849" s="275"/>
    </row>
    <row r="850" ht="15.75" customHeight="1">
      <c r="A850" s="275"/>
      <c r="B850" s="275"/>
      <c r="C850" s="286"/>
      <c r="D850" s="275"/>
      <c r="E850" s="275"/>
      <c r="F850" s="275"/>
      <c r="G850" s="275"/>
      <c r="H850" s="275"/>
      <c r="I850" s="275"/>
      <c r="J850" s="275"/>
      <c r="K850" s="286"/>
      <c r="L850" s="286"/>
      <c r="M850" s="286"/>
      <c r="N850" s="275"/>
      <c r="O850" s="275"/>
      <c r="P850" s="275"/>
      <c r="Q850" s="275"/>
      <c r="R850" s="275"/>
      <c r="S850" s="275"/>
      <c r="T850" s="275"/>
      <c r="U850" s="275"/>
      <c r="V850" s="275"/>
      <c r="W850" s="275"/>
      <c r="X850" s="275"/>
      <c r="Y850" s="275"/>
      <c r="Z850" s="275"/>
      <c r="AA850" s="275"/>
    </row>
    <row r="851" ht="15.75" customHeight="1">
      <c r="A851" s="275"/>
      <c r="B851" s="275"/>
      <c r="C851" s="286"/>
      <c r="D851" s="275"/>
      <c r="E851" s="275"/>
      <c r="F851" s="275"/>
      <c r="G851" s="275"/>
      <c r="H851" s="275"/>
      <c r="I851" s="275"/>
      <c r="J851" s="275"/>
      <c r="K851" s="286"/>
      <c r="L851" s="286"/>
      <c r="M851" s="286"/>
      <c r="N851" s="275"/>
      <c r="O851" s="275"/>
      <c r="P851" s="275"/>
      <c r="Q851" s="275"/>
      <c r="R851" s="275"/>
      <c r="S851" s="275"/>
      <c r="T851" s="275"/>
      <c r="U851" s="275"/>
      <c r="V851" s="275"/>
      <c r="W851" s="275"/>
      <c r="X851" s="275"/>
      <c r="Y851" s="275"/>
      <c r="Z851" s="275"/>
      <c r="AA851" s="275"/>
    </row>
    <row r="852" ht="15.75" customHeight="1">
      <c r="A852" s="275"/>
      <c r="B852" s="275"/>
      <c r="C852" s="286"/>
      <c r="D852" s="275"/>
      <c r="E852" s="275"/>
      <c r="F852" s="275"/>
      <c r="G852" s="275"/>
      <c r="H852" s="275"/>
      <c r="I852" s="275"/>
      <c r="J852" s="275"/>
      <c r="K852" s="286"/>
      <c r="L852" s="286"/>
      <c r="M852" s="286"/>
      <c r="N852" s="275"/>
      <c r="O852" s="275"/>
      <c r="P852" s="275"/>
      <c r="Q852" s="275"/>
      <c r="R852" s="275"/>
      <c r="S852" s="275"/>
      <c r="T852" s="275"/>
      <c r="U852" s="275"/>
      <c r="V852" s="275"/>
      <c r="W852" s="275"/>
      <c r="X852" s="275"/>
      <c r="Y852" s="275"/>
      <c r="Z852" s="275"/>
      <c r="AA852" s="275"/>
    </row>
    <row r="853" ht="15.75" customHeight="1">
      <c r="A853" s="275"/>
      <c r="B853" s="275"/>
      <c r="C853" s="286"/>
      <c r="D853" s="275"/>
      <c r="E853" s="275"/>
      <c r="F853" s="275"/>
      <c r="G853" s="275"/>
      <c r="H853" s="275"/>
      <c r="I853" s="275"/>
      <c r="J853" s="275"/>
      <c r="K853" s="286"/>
      <c r="L853" s="286"/>
      <c r="M853" s="286"/>
      <c r="N853" s="275"/>
      <c r="O853" s="275"/>
      <c r="P853" s="275"/>
      <c r="Q853" s="275"/>
      <c r="R853" s="275"/>
      <c r="S853" s="275"/>
      <c r="T853" s="275"/>
      <c r="U853" s="275"/>
      <c r="V853" s="275"/>
      <c r="W853" s="275"/>
      <c r="X853" s="275"/>
      <c r="Y853" s="275"/>
      <c r="Z853" s="275"/>
      <c r="AA853" s="275"/>
    </row>
    <row r="854" ht="15.75" customHeight="1">
      <c r="A854" s="275"/>
      <c r="B854" s="275"/>
      <c r="C854" s="286"/>
      <c r="D854" s="275"/>
      <c r="E854" s="275"/>
      <c r="F854" s="275"/>
      <c r="G854" s="275"/>
      <c r="H854" s="275"/>
      <c r="I854" s="275"/>
      <c r="J854" s="275"/>
      <c r="K854" s="286"/>
      <c r="L854" s="286"/>
      <c r="M854" s="286"/>
      <c r="N854" s="275"/>
      <c r="O854" s="275"/>
      <c r="P854" s="275"/>
      <c r="Q854" s="275"/>
      <c r="R854" s="275"/>
      <c r="S854" s="275"/>
      <c r="T854" s="275"/>
      <c r="U854" s="275"/>
      <c r="V854" s="275"/>
      <c r="W854" s="275"/>
      <c r="X854" s="275"/>
      <c r="Y854" s="275"/>
      <c r="Z854" s="275"/>
      <c r="AA854" s="275"/>
    </row>
    <row r="855" ht="15.75" customHeight="1">
      <c r="A855" s="275"/>
      <c r="B855" s="275"/>
      <c r="C855" s="286"/>
      <c r="D855" s="275"/>
      <c r="E855" s="275"/>
      <c r="F855" s="275"/>
      <c r="G855" s="275"/>
      <c r="H855" s="275"/>
      <c r="I855" s="275"/>
      <c r="J855" s="275"/>
      <c r="K855" s="286"/>
      <c r="L855" s="286"/>
      <c r="M855" s="286"/>
      <c r="N855" s="275"/>
      <c r="O855" s="275"/>
      <c r="P855" s="275"/>
      <c r="Q855" s="275"/>
      <c r="R855" s="275"/>
      <c r="S855" s="275"/>
      <c r="T855" s="275"/>
      <c r="U855" s="275"/>
      <c r="V855" s="275"/>
      <c r="W855" s="275"/>
      <c r="X855" s="275"/>
      <c r="Y855" s="275"/>
      <c r="Z855" s="275"/>
      <c r="AA855" s="275"/>
    </row>
    <row r="856" ht="15.75" customHeight="1">
      <c r="A856" s="275"/>
      <c r="B856" s="275"/>
      <c r="C856" s="286"/>
      <c r="D856" s="275"/>
      <c r="E856" s="275"/>
      <c r="F856" s="275"/>
      <c r="G856" s="275"/>
      <c r="H856" s="275"/>
      <c r="I856" s="275"/>
      <c r="J856" s="275"/>
      <c r="K856" s="286"/>
      <c r="L856" s="286"/>
      <c r="M856" s="286"/>
      <c r="N856" s="275"/>
      <c r="O856" s="275"/>
      <c r="P856" s="275"/>
      <c r="Q856" s="275"/>
      <c r="R856" s="275"/>
      <c r="S856" s="275"/>
      <c r="T856" s="275"/>
      <c r="U856" s="275"/>
      <c r="V856" s="275"/>
      <c r="W856" s="275"/>
      <c r="X856" s="275"/>
      <c r="Y856" s="275"/>
      <c r="Z856" s="275"/>
      <c r="AA856" s="275"/>
    </row>
    <row r="857" ht="15.75" customHeight="1">
      <c r="A857" s="275"/>
      <c r="B857" s="275"/>
      <c r="C857" s="286"/>
      <c r="D857" s="275"/>
      <c r="E857" s="275"/>
      <c r="F857" s="275"/>
      <c r="G857" s="275"/>
      <c r="H857" s="275"/>
      <c r="I857" s="275"/>
      <c r="J857" s="275"/>
      <c r="K857" s="286"/>
      <c r="L857" s="286"/>
      <c r="M857" s="286"/>
      <c r="N857" s="275"/>
      <c r="O857" s="275"/>
      <c r="P857" s="275"/>
      <c r="Q857" s="275"/>
      <c r="R857" s="275"/>
      <c r="S857" s="275"/>
      <c r="T857" s="275"/>
      <c r="U857" s="275"/>
      <c r="V857" s="275"/>
      <c r="W857" s="275"/>
      <c r="X857" s="275"/>
      <c r="Y857" s="275"/>
      <c r="Z857" s="275"/>
      <c r="AA857" s="275"/>
    </row>
    <row r="858" ht="15.75" customHeight="1">
      <c r="A858" s="275"/>
      <c r="B858" s="275"/>
      <c r="C858" s="286"/>
      <c r="D858" s="275"/>
      <c r="E858" s="275"/>
      <c r="F858" s="275"/>
      <c r="G858" s="275"/>
      <c r="H858" s="275"/>
      <c r="I858" s="275"/>
      <c r="J858" s="275"/>
      <c r="K858" s="286"/>
      <c r="L858" s="286"/>
      <c r="M858" s="286"/>
      <c r="N858" s="275"/>
      <c r="O858" s="275"/>
      <c r="P858" s="275"/>
      <c r="Q858" s="275"/>
      <c r="R858" s="275"/>
      <c r="S858" s="275"/>
      <c r="T858" s="275"/>
      <c r="U858" s="275"/>
      <c r="V858" s="275"/>
      <c r="W858" s="275"/>
      <c r="X858" s="275"/>
      <c r="Y858" s="275"/>
      <c r="Z858" s="275"/>
      <c r="AA858" s="275"/>
    </row>
    <row r="859" ht="15.75" customHeight="1">
      <c r="A859" s="275"/>
      <c r="B859" s="275"/>
      <c r="C859" s="286"/>
      <c r="D859" s="275"/>
      <c r="E859" s="275"/>
      <c r="F859" s="275"/>
      <c r="G859" s="275"/>
      <c r="H859" s="275"/>
      <c r="I859" s="275"/>
      <c r="J859" s="275"/>
      <c r="K859" s="286"/>
      <c r="L859" s="286"/>
      <c r="M859" s="286"/>
      <c r="N859" s="275"/>
      <c r="O859" s="275"/>
      <c r="P859" s="275"/>
      <c r="Q859" s="275"/>
      <c r="R859" s="275"/>
      <c r="S859" s="275"/>
      <c r="T859" s="275"/>
      <c r="U859" s="275"/>
      <c r="V859" s="275"/>
      <c r="W859" s="275"/>
      <c r="X859" s="275"/>
      <c r="Y859" s="275"/>
      <c r="Z859" s="275"/>
      <c r="AA859" s="275"/>
    </row>
    <row r="860" ht="15.75" customHeight="1">
      <c r="A860" s="275"/>
      <c r="B860" s="275"/>
      <c r="C860" s="286"/>
      <c r="D860" s="275"/>
      <c r="E860" s="275"/>
      <c r="F860" s="275"/>
      <c r="G860" s="275"/>
      <c r="H860" s="275"/>
      <c r="I860" s="275"/>
      <c r="J860" s="275"/>
      <c r="K860" s="286"/>
      <c r="L860" s="286"/>
      <c r="M860" s="286"/>
      <c r="N860" s="275"/>
      <c r="O860" s="275"/>
      <c r="P860" s="275"/>
      <c r="Q860" s="275"/>
      <c r="R860" s="275"/>
      <c r="S860" s="275"/>
      <c r="T860" s="275"/>
      <c r="U860" s="275"/>
      <c r="V860" s="275"/>
      <c r="W860" s="275"/>
      <c r="X860" s="275"/>
      <c r="Y860" s="275"/>
      <c r="Z860" s="275"/>
      <c r="AA860" s="275"/>
    </row>
    <row r="861" ht="15.75" customHeight="1">
      <c r="A861" s="275"/>
      <c r="B861" s="275"/>
      <c r="C861" s="286"/>
      <c r="D861" s="275"/>
      <c r="E861" s="275"/>
      <c r="F861" s="275"/>
      <c r="G861" s="275"/>
      <c r="H861" s="275"/>
      <c r="I861" s="275"/>
      <c r="J861" s="275"/>
      <c r="K861" s="286"/>
      <c r="L861" s="286"/>
      <c r="M861" s="286"/>
      <c r="N861" s="275"/>
      <c r="O861" s="275"/>
      <c r="P861" s="275"/>
      <c r="Q861" s="275"/>
      <c r="R861" s="275"/>
      <c r="S861" s="275"/>
      <c r="T861" s="275"/>
      <c r="U861" s="275"/>
      <c r="V861" s="275"/>
      <c r="W861" s="275"/>
      <c r="X861" s="275"/>
      <c r="Y861" s="275"/>
      <c r="Z861" s="275"/>
      <c r="AA861" s="275"/>
    </row>
    <row r="862" ht="15.75" customHeight="1">
      <c r="A862" s="275"/>
      <c r="B862" s="275"/>
      <c r="C862" s="286"/>
      <c r="D862" s="275"/>
      <c r="E862" s="275"/>
      <c r="F862" s="275"/>
      <c r="G862" s="275"/>
      <c r="H862" s="275"/>
      <c r="I862" s="275"/>
      <c r="J862" s="275"/>
      <c r="K862" s="286"/>
      <c r="L862" s="286"/>
      <c r="M862" s="286"/>
      <c r="N862" s="275"/>
      <c r="O862" s="275"/>
      <c r="P862" s="275"/>
      <c r="Q862" s="275"/>
      <c r="R862" s="275"/>
      <c r="S862" s="275"/>
      <c r="T862" s="275"/>
      <c r="U862" s="275"/>
      <c r="V862" s="275"/>
      <c r="W862" s="275"/>
      <c r="X862" s="275"/>
      <c r="Y862" s="275"/>
      <c r="Z862" s="275"/>
      <c r="AA862" s="275"/>
    </row>
    <row r="863" ht="15.75" customHeight="1">
      <c r="A863" s="275"/>
      <c r="B863" s="275"/>
      <c r="C863" s="286"/>
      <c r="D863" s="275"/>
      <c r="E863" s="275"/>
      <c r="F863" s="275"/>
      <c r="G863" s="275"/>
      <c r="H863" s="275"/>
      <c r="I863" s="275"/>
      <c r="J863" s="275"/>
      <c r="K863" s="286"/>
      <c r="L863" s="286"/>
      <c r="M863" s="286"/>
      <c r="N863" s="275"/>
      <c r="O863" s="275"/>
      <c r="P863" s="275"/>
      <c r="Q863" s="275"/>
      <c r="R863" s="275"/>
      <c r="S863" s="275"/>
      <c r="T863" s="275"/>
      <c r="U863" s="275"/>
      <c r="V863" s="275"/>
      <c r="W863" s="275"/>
      <c r="X863" s="275"/>
      <c r="Y863" s="275"/>
      <c r="Z863" s="275"/>
      <c r="AA863" s="275"/>
    </row>
    <row r="864" ht="15.75" customHeight="1">
      <c r="A864" s="275"/>
      <c r="B864" s="275"/>
      <c r="C864" s="286"/>
      <c r="D864" s="275"/>
      <c r="E864" s="275"/>
      <c r="F864" s="275"/>
      <c r="G864" s="275"/>
      <c r="H864" s="275"/>
      <c r="I864" s="275"/>
      <c r="J864" s="275"/>
      <c r="K864" s="286"/>
      <c r="L864" s="286"/>
      <c r="M864" s="286"/>
      <c r="N864" s="275"/>
      <c r="O864" s="275"/>
      <c r="P864" s="275"/>
      <c r="Q864" s="275"/>
      <c r="R864" s="275"/>
      <c r="S864" s="275"/>
      <c r="T864" s="275"/>
      <c r="U864" s="275"/>
      <c r="V864" s="275"/>
      <c r="W864" s="275"/>
      <c r="X864" s="275"/>
      <c r="Y864" s="275"/>
      <c r="Z864" s="275"/>
      <c r="AA864" s="275"/>
    </row>
    <row r="865" ht="15.75" customHeight="1">
      <c r="A865" s="275"/>
      <c r="B865" s="275"/>
      <c r="C865" s="286"/>
      <c r="D865" s="275"/>
      <c r="E865" s="275"/>
      <c r="F865" s="275"/>
      <c r="G865" s="275"/>
      <c r="H865" s="275"/>
      <c r="I865" s="275"/>
      <c r="J865" s="275"/>
      <c r="K865" s="286"/>
      <c r="L865" s="286"/>
      <c r="M865" s="286"/>
      <c r="N865" s="275"/>
      <c r="O865" s="275"/>
      <c r="P865" s="275"/>
      <c r="Q865" s="275"/>
      <c r="R865" s="275"/>
      <c r="S865" s="275"/>
      <c r="T865" s="275"/>
      <c r="U865" s="275"/>
      <c r="V865" s="275"/>
      <c r="W865" s="275"/>
      <c r="X865" s="275"/>
      <c r="Y865" s="275"/>
      <c r="Z865" s="275"/>
      <c r="AA865" s="275"/>
    </row>
    <row r="866" ht="15.75" customHeight="1">
      <c r="A866" s="275"/>
      <c r="B866" s="275"/>
      <c r="C866" s="286"/>
      <c r="D866" s="275"/>
      <c r="E866" s="275"/>
      <c r="F866" s="275"/>
      <c r="G866" s="275"/>
      <c r="H866" s="275"/>
      <c r="I866" s="275"/>
      <c r="J866" s="275"/>
      <c r="K866" s="286"/>
      <c r="L866" s="286"/>
      <c r="M866" s="286"/>
      <c r="N866" s="275"/>
      <c r="O866" s="275"/>
      <c r="P866" s="275"/>
      <c r="Q866" s="275"/>
      <c r="R866" s="275"/>
      <c r="S866" s="275"/>
      <c r="T866" s="275"/>
      <c r="U866" s="275"/>
      <c r="V866" s="275"/>
      <c r="W866" s="275"/>
      <c r="X866" s="275"/>
      <c r="Y866" s="275"/>
      <c r="Z866" s="275"/>
      <c r="AA866" s="275"/>
    </row>
    <row r="867" ht="15.75" customHeight="1">
      <c r="A867" s="275"/>
      <c r="B867" s="275"/>
      <c r="C867" s="286"/>
      <c r="D867" s="275"/>
      <c r="E867" s="275"/>
      <c r="F867" s="275"/>
      <c r="G867" s="275"/>
      <c r="H867" s="275"/>
      <c r="I867" s="275"/>
      <c r="J867" s="275"/>
      <c r="K867" s="286"/>
      <c r="L867" s="286"/>
      <c r="M867" s="286"/>
      <c r="N867" s="275"/>
      <c r="O867" s="275"/>
      <c r="P867" s="275"/>
      <c r="Q867" s="275"/>
      <c r="R867" s="275"/>
      <c r="S867" s="275"/>
      <c r="T867" s="275"/>
      <c r="U867" s="275"/>
      <c r="V867" s="275"/>
      <c r="W867" s="275"/>
      <c r="X867" s="275"/>
      <c r="Y867" s="275"/>
      <c r="Z867" s="275"/>
      <c r="AA867" s="275"/>
    </row>
    <row r="868" ht="15.75" customHeight="1">
      <c r="A868" s="275"/>
      <c r="B868" s="275"/>
      <c r="C868" s="286"/>
      <c r="D868" s="275"/>
      <c r="E868" s="275"/>
      <c r="F868" s="275"/>
      <c r="G868" s="275"/>
      <c r="H868" s="275"/>
      <c r="I868" s="275"/>
      <c r="J868" s="275"/>
      <c r="K868" s="286"/>
      <c r="L868" s="286"/>
      <c r="M868" s="286"/>
      <c r="N868" s="275"/>
      <c r="O868" s="275"/>
      <c r="P868" s="275"/>
      <c r="Q868" s="275"/>
      <c r="R868" s="275"/>
      <c r="S868" s="275"/>
      <c r="T868" s="275"/>
      <c r="U868" s="275"/>
      <c r="V868" s="275"/>
      <c r="W868" s="275"/>
      <c r="X868" s="275"/>
      <c r="Y868" s="275"/>
      <c r="Z868" s="275"/>
      <c r="AA868" s="275"/>
    </row>
    <row r="869" ht="15.75" customHeight="1">
      <c r="A869" s="275"/>
      <c r="B869" s="275"/>
      <c r="C869" s="286"/>
      <c r="D869" s="275"/>
      <c r="E869" s="275"/>
      <c r="F869" s="275"/>
      <c r="G869" s="275"/>
      <c r="H869" s="275"/>
      <c r="I869" s="275"/>
      <c r="J869" s="275"/>
      <c r="K869" s="286"/>
      <c r="L869" s="286"/>
      <c r="M869" s="286"/>
      <c r="N869" s="275"/>
      <c r="O869" s="275"/>
      <c r="P869" s="275"/>
      <c r="Q869" s="275"/>
      <c r="R869" s="275"/>
      <c r="S869" s="275"/>
      <c r="T869" s="275"/>
      <c r="U869" s="275"/>
      <c r="V869" s="275"/>
      <c r="W869" s="275"/>
      <c r="X869" s="275"/>
      <c r="Y869" s="275"/>
      <c r="Z869" s="275"/>
      <c r="AA869" s="275"/>
    </row>
    <row r="870" ht="15.75" customHeight="1">
      <c r="A870" s="275"/>
      <c r="B870" s="275"/>
      <c r="C870" s="286"/>
      <c r="D870" s="275"/>
      <c r="E870" s="275"/>
      <c r="F870" s="275"/>
      <c r="G870" s="275"/>
      <c r="H870" s="275"/>
      <c r="I870" s="275"/>
      <c r="J870" s="275"/>
      <c r="K870" s="286"/>
      <c r="L870" s="286"/>
      <c r="M870" s="286"/>
      <c r="N870" s="275"/>
      <c r="O870" s="275"/>
      <c r="P870" s="275"/>
      <c r="Q870" s="275"/>
      <c r="R870" s="275"/>
      <c r="S870" s="275"/>
      <c r="T870" s="275"/>
      <c r="U870" s="275"/>
      <c r="V870" s="275"/>
      <c r="W870" s="275"/>
      <c r="X870" s="275"/>
      <c r="Y870" s="275"/>
      <c r="Z870" s="275"/>
      <c r="AA870" s="275"/>
    </row>
    <row r="871" ht="15.75" customHeight="1">
      <c r="A871" s="275"/>
      <c r="B871" s="275"/>
      <c r="C871" s="286"/>
      <c r="D871" s="275"/>
      <c r="E871" s="275"/>
      <c r="F871" s="275"/>
      <c r="G871" s="275"/>
      <c r="H871" s="275"/>
      <c r="I871" s="275"/>
      <c r="J871" s="275"/>
      <c r="K871" s="286"/>
      <c r="L871" s="286"/>
      <c r="M871" s="286"/>
      <c r="N871" s="275"/>
      <c r="O871" s="275"/>
      <c r="P871" s="275"/>
      <c r="Q871" s="275"/>
      <c r="R871" s="275"/>
      <c r="S871" s="275"/>
      <c r="T871" s="275"/>
      <c r="U871" s="275"/>
      <c r="V871" s="275"/>
      <c r="W871" s="275"/>
      <c r="X871" s="275"/>
      <c r="Y871" s="275"/>
      <c r="Z871" s="275"/>
      <c r="AA871" s="275"/>
    </row>
    <row r="872" ht="15.75" customHeight="1">
      <c r="A872" s="275"/>
      <c r="B872" s="275"/>
      <c r="C872" s="286"/>
      <c r="D872" s="275"/>
      <c r="E872" s="275"/>
      <c r="F872" s="275"/>
      <c r="G872" s="275"/>
      <c r="H872" s="275"/>
      <c r="I872" s="275"/>
      <c r="J872" s="275"/>
      <c r="K872" s="286"/>
      <c r="L872" s="286"/>
      <c r="M872" s="286"/>
      <c r="N872" s="275"/>
      <c r="O872" s="275"/>
      <c r="P872" s="275"/>
      <c r="Q872" s="275"/>
      <c r="R872" s="275"/>
      <c r="S872" s="275"/>
      <c r="T872" s="275"/>
      <c r="U872" s="275"/>
      <c r="V872" s="275"/>
      <c r="W872" s="275"/>
      <c r="X872" s="275"/>
      <c r="Y872" s="275"/>
      <c r="Z872" s="275"/>
      <c r="AA872" s="275"/>
    </row>
    <row r="873" ht="15.75" customHeight="1">
      <c r="A873" s="275"/>
      <c r="B873" s="275"/>
      <c r="C873" s="286"/>
      <c r="D873" s="275"/>
      <c r="E873" s="275"/>
      <c r="F873" s="275"/>
      <c r="G873" s="275"/>
      <c r="H873" s="275"/>
      <c r="I873" s="275"/>
      <c r="J873" s="275"/>
      <c r="K873" s="286"/>
      <c r="L873" s="286"/>
      <c r="M873" s="286"/>
      <c r="N873" s="275"/>
      <c r="O873" s="275"/>
      <c r="P873" s="275"/>
      <c r="Q873" s="275"/>
      <c r="R873" s="275"/>
      <c r="S873" s="275"/>
      <c r="T873" s="275"/>
      <c r="U873" s="275"/>
      <c r="V873" s="275"/>
      <c r="W873" s="275"/>
      <c r="X873" s="275"/>
      <c r="Y873" s="275"/>
      <c r="Z873" s="275"/>
      <c r="AA873" s="275"/>
    </row>
    <row r="874" ht="15.75" customHeight="1">
      <c r="A874" s="275"/>
      <c r="B874" s="275"/>
      <c r="C874" s="286"/>
      <c r="D874" s="275"/>
      <c r="E874" s="275"/>
      <c r="F874" s="275"/>
      <c r="G874" s="275"/>
      <c r="H874" s="275"/>
      <c r="I874" s="275"/>
      <c r="J874" s="275"/>
      <c r="K874" s="286"/>
      <c r="L874" s="286"/>
      <c r="M874" s="286"/>
      <c r="N874" s="275"/>
      <c r="O874" s="275"/>
      <c r="P874" s="275"/>
      <c r="Q874" s="275"/>
      <c r="R874" s="275"/>
      <c r="S874" s="275"/>
      <c r="T874" s="275"/>
      <c r="U874" s="275"/>
      <c r="V874" s="275"/>
      <c r="W874" s="275"/>
      <c r="X874" s="275"/>
      <c r="Y874" s="275"/>
      <c r="Z874" s="275"/>
      <c r="AA874" s="275"/>
    </row>
    <row r="875" ht="15.75" customHeight="1">
      <c r="A875" s="275"/>
      <c r="B875" s="275"/>
      <c r="C875" s="286"/>
      <c r="D875" s="275"/>
      <c r="E875" s="275"/>
      <c r="F875" s="275"/>
      <c r="G875" s="275"/>
      <c r="H875" s="275"/>
      <c r="I875" s="275"/>
      <c r="J875" s="275"/>
      <c r="K875" s="286"/>
      <c r="L875" s="286"/>
      <c r="M875" s="286"/>
      <c r="N875" s="275"/>
      <c r="O875" s="275"/>
      <c r="P875" s="275"/>
      <c r="Q875" s="275"/>
      <c r="R875" s="275"/>
      <c r="S875" s="275"/>
      <c r="T875" s="275"/>
      <c r="U875" s="275"/>
      <c r="V875" s="275"/>
      <c r="W875" s="275"/>
      <c r="X875" s="275"/>
      <c r="Y875" s="275"/>
      <c r="Z875" s="275"/>
      <c r="AA875" s="275"/>
    </row>
    <row r="876" ht="15.75" customHeight="1">
      <c r="A876" s="275"/>
      <c r="B876" s="275"/>
      <c r="C876" s="286"/>
      <c r="D876" s="275"/>
      <c r="E876" s="275"/>
      <c r="F876" s="275"/>
      <c r="G876" s="275"/>
      <c r="H876" s="275"/>
      <c r="I876" s="275"/>
      <c r="J876" s="275"/>
      <c r="K876" s="286"/>
      <c r="L876" s="286"/>
      <c r="M876" s="286"/>
      <c r="N876" s="275"/>
      <c r="O876" s="275"/>
      <c r="P876" s="275"/>
      <c r="Q876" s="275"/>
      <c r="R876" s="275"/>
      <c r="S876" s="275"/>
      <c r="T876" s="275"/>
      <c r="U876" s="275"/>
      <c r="V876" s="275"/>
      <c r="W876" s="275"/>
      <c r="X876" s="275"/>
      <c r="Y876" s="275"/>
      <c r="Z876" s="275"/>
      <c r="AA876" s="275"/>
    </row>
    <row r="877" ht="15.75" customHeight="1">
      <c r="A877" s="275"/>
      <c r="B877" s="275"/>
      <c r="C877" s="286"/>
      <c r="D877" s="275"/>
      <c r="E877" s="275"/>
      <c r="F877" s="275"/>
      <c r="G877" s="275"/>
      <c r="H877" s="275"/>
      <c r="I877" s="275"/>
      <c r="J877" s="275"/>
      <c r="K877" s="286"/>
      <c r="L877" s="286"/>
      <c r="M877" s="286"/>
      <c r="N877" s="275"/>
      <c r="O877" s="275"/>
      <c r="P877" s="275"/>
      <c r="Q877" s="275"/>
      <c r="R877" s="275"/>
      <c r="S877" s="275"/>
      <c r="T877" s="275"/>
      <c r="U877" s="275"/>
      <c r="V877" s="275"/>
      <c r="W877" s="275"/>
      <c r="X877" s="275"/>
      <c r="Y877" s="275"/>
      <c r="Z877" s="275"/>
      <c r="AA877" s="275"/>
    </row>
    <row r="878" ht="15.75" customHeight="1">
      <c r="A878" s="275"/>
      <c r="B878" s="275"/>
      <c r="C878" s="286"/>
      <c r="D878" s="275"/>
      <c r="E878" s="275"/>
      <c r="F878" s="275"/>
      <c r="G878" s="275"/>
      <c r="H878" s="275"/>
      <c r="I878" s="275"/>
      <c r="J878" s="275"/>
      <c r="K878" s="286"/>
      <c r="L878" s="286"/>
      <c r="M878" s="286"/>
      <c r="N878" s="275"/>
      <c r="O878" s="275"/>
      <c r="P878" s="275"/>
      <c r="Q878" s="275"/>
      <c r="R878" s="275"/>
      <c r="S878" s="275"/>
      <c r="T878" s="275"/>
      <c r="U878" s="275"/>
      <c r="V878" s="275"/>
      <c r="W878" s="275"/>
      <c r="X878" s="275"/>
      <c r="Y878" s="275"/>
      <c r="Z878" s="275"/>
      <c r="AA878" s="275"/>
    </row>
    <row r="879" ht="15.75" customHeight="1">
      <c r="A879" s="275"/>
      <c r="B879" s="275"/>
      <c r="C879" s="286"/>
      <c r="D879" s="275"/>
      <c r="E879" s="275"/>
      <c r="F879" s="275"/>
      <c r="G879" s="275"/>
      <c r="H879" s="275"/>
      <c r="I879" s="275"/>
      <c r="J879" s="275"/>
      <c r="K879" s="286"/>
      <c r="L879" s="286"/>
      <c r="M879" s="286"/>
      <c r="N879" s="275"/>
      <c r="O879" s="275"/>
      <c r="P879" s="275"/>
      <c r="Q879" s="275"/>
      <c r="R879" s="275"/>
      <c r="S879" s="275"/>
      <c r="T879" s="275"/>
      <c r="U879" s="275"/>
      <c r="V879" s="275"/>
      <c r="W879" s="275"/>
      <c r="X879" s="275"/>
      <c r="Y879" s="275"/>
      <c r="Z879" s="275"/>
      <c r="AA879" s="275"/>
    </row>
    <row r="880" ht="15.75" customHeight="1">
      <c r="A880" s="275"/>
      <c r="B880" s="275"/>
      <c r="C880" s="286"/>
      <c r="D880" s="275"/>
      <c r="E880" s="275"/>
      <c r="F880" s="275"/>
      <c r="G880" s="275"/>
      <c r="H880" s="275"/>
      <c r="I880" s="275"/>
      <c r="J880" s="275"/>
      <c r="K880" s="286"/>
      <c r="L880" s="286"/>
      <c r="M880" s="286"/>
      <c r="N880" s="275"/>
      <c r="O880" s="275"/>
      <c r="P880" s="275"/>
      <c r="Q880" s="275"/>
      <c r="R880" s="275"/>
      <c r="S880" s="275"/>
      <c r="T880" s="275"/>
      <c r="U880" s="275"/>
      <c r="V880" s="275"/>
      <c r="W880" s="275"/>
      <c r="X880" s="275"/>
      <c r="Y880" s="275"/>
      <c r="Z880" s="275"/>
      <c r="AA880" s="275"/>
    </row>
    <row r="881" ht="15.75" customHeight="1">
      <c r="A881" s="275"/>
      <c r="B881" s="275"/>
      <c r="C881" s="286"/>
      <c r="D881" s="275"/>
      <c r="E881" s="275"/>
      <c r="F881" s="275"/>
      <c r="G881" s="275"/>
      <c r="H881" s="275"/>
      <c r="I881" s="275"/>
      <c r="J881" s="275"/>
      <c r="K881" s="286"/>
      <c r="L881" s="286"/>
      <c r="M881" s="286"/>
      <c r="N881" s="275"/>
      <c r="O881" s="275"/>
      <c r="P881" s="275"/>
      <c r="Q881" s="275"/>
      <c r="R881" s="275"/>
      <c r="S881" s="275"/>
      <c r="T881" s="275"/>
      <c r="U881" s="275"/>
      <c r="V881" s="275"/>
      <c r="W881" s="275"/>
      <c r="X881" s="275"/>
      <c r="Y881" s="275"/>
      <c r="Z881" s="275"/>
      <c r="AA881" s="275"/>
    </row>
    <row r="882" ht="15.75" customHeight="1">
      <c r="A882" s="275"/>
      <c r="B882" s="275"/>
      <c r="C882" s="286"/>
      <c r="D882" s="275"/>
      <c r="E882" s="275"/>
      <c r="F882" s="275"/>
      <c r="G882" s="275"/>
      <c r="H882" s="275"/>
      <c r="I882" s="275"/>
      <c r="J882" s="275"/>
      <c r="K882" s="286"/>
      <c r="L882" s="286"/>
      <c r="M882" s="286"/>
      <c r="N882" s="275"/>
      <c r="O882" s="275"/>
      <c r="P882" s="275"/>
      <c r="Q882" s="275"/>
      <c r="R882" s="275"/>
      <c r="S882" s="275"/>
      <c r="T882" s="275"/>
      <c r="U882" s="275"/>
      <c r="V882" s="275"/>
      <c r="W882" s="275"/>
      <c r="X882" s="275"/>
      <c r="Y882" s="275"/>
      <c r="Z882" s="275"/>
      <c r="AA882" s="275"/>
    </row>
    <row r="883" ht="15.75" customHeight="1">
      <c r="A883" s="275"/>
      <c r="B883" s="275"/>
      <c r="C883" s="286"/>
      <c r="D883" s="275"/>
      <c r="E883" s="275"/>
      <c r="F883" s="275"/>
      <c r="G883" s="275"/>
      <c r="H883" s="275"/>
      <c r="I883" s="275"/>
      <c r="J883" s="275"/>
      <c r="K883" s="286"/>
      <c r="L883" s="286"/>
      <c r="M883" s="286"/>
      <c r="N883" s="275"/>
      <c r="O883" s="275"/>
      <c r="P883" s="275"/>
      <c r="Q883" s="275"/>
      <c r="R883" s="275"/>
      <c r="S883" s="275"/>
      <c r="T883" s="275"/>
      <c r="U883" s="275"/>
      <c r="V883" s="275"/>
      <c r="W883" s="275"/>
      <c r="X883" s="275"/>
      <c r="Y883" s="275"/>
      <c r="Z883" s="275"/>
      <c r="AA883" s="275"/>
    </row>
    <row r="884" ht="15.75" customHeight="1">
      <c r="A884" s="275"/>
      <c r="B884" s="275"/>
      <c r="C884" s="286"/>
      <c r="D884" s="275"/>
      <c r="E884" s="275"/>
      <c r="F884" s="275"/>
      <c r="G884" s="275"/>
      <c r="H884" s="275"/>
      <c r="I884" s="275"/>
      <c r="J884" s="275"/>
      <c r="K884" s="286"/>
      <c r="L884" s="286"/>
      <c r="M884" s="286"/>
      <c r="N884" s="275"/>
      <c r="O884" s="275"/>
      <c r="P884" s="275"/>
      <c r="Q884" s="275"/>
      <c r="R884" s="275"/>
      <c r="S884" s="275"/>
      <c r="T884" s="275"/>
      <c r="U884" s="275"/>
      <c r="V884" s="275"/>
      <c r="W884" s="275"/>
      <c r="X884" s="275"/>
      <c r="Y884" s="275"/>
      <c r="Z884" s="275"/>
      <c r="AA884" s="275"/>
    </row>
    <row r="885" ht="15.75" customHeight="1">
      <c r="A885" s="275"/>
      <c r="B885" s="275"/>
      <c r="C885" s="286"/>
      <c r="D885" s="275"/>
      <c r="E885" s="275"/>
      <c r="F885" s="275"/>
      <c r="G885" s="275"/>
      <c r="H885" s="275"/>
      <c r="I885" s="275"/>
      <c r="J885" s="275"/>
      <c r="K885" s="286"/>
      <c r="L885" s="286"/>
      <c r="M885" s="286"/>
      <c r="N885" s="275"/>
      <c r="O885" s="275"/>
      <c r="P885" s="275"/>
      <c r="Q885" s="275"/>
      <c r="R885" s="275"/>
      <c r="S885" s="275"/>
      <c r="T885" s="275"/>
      <c r="U885" s="275"/>
      <c r="V885" s="275"/>
      <c r="W885" s="275"/>
      <c r="X885" s="275"/>
      <c r="Y885" s="275"/>
      <c r="Z885" s="275"/>
      <c r="AA885" s="275"/>
    </row>
    <row r="886" ht="15.75" customHeight="1">
      <c r="A886" s="275"/>
      <c r="B886" s="275"/>
      <c r="C886" s="286"/>
      <c r="D886" s="275"/>
      <c r="E886" s="275"/>
      <c r="F886" s="275"/>
      <c r="G886" s="275"/>
      <c r="H886" s="275"/>
      <c r="I886" s="275"/>
      <c r="J886" s="275"/>
      <c r="K886" s="286"/>
      <c r="L886" s="286"/>
      <c r="M886" s="286"/>
      <c r="N886" s="275"/>
      <c r="O886" s="275"/>
      <c r="P886" s="275"/>
      <c r="Q886" s="275"/>
      <c r="R886" s="275"/>
      <c r="S886" s="275"/>
      <c r="T886" s="275"/>
      <c r="U886" s="275"/>
      <c r="V886" s="275"/>
      <c r="W886" s="275"/>
      <c r="X886" s="275"/>
      <c r="Y886" s="275"/>
      <c r="Z886" s="275"/>
      <c r="AA886" s="275"/>
    </row>
    <row r="887" ht="15.75" customHeight="1">
      <c r="A887" s="275"/>
      <c r="B887" s="275"/>
      <c r="C887" s="286"/>
      <c r="D887" s="275"/>
      <c r="E887" s="275"/>
      <c r="F887" s="275"/>
      <c r="G887" s="275"/>
      <c r="H887" s="275"/>
      <c r="I887" s="275"/>
      <c r="J887" s="275"/>
      <c r="K887" s="286"/>
      <c r="L887" s="286"/>
      <c r="M887" s="286"/>
      <c r="N887" s="275"/>
      <c r="O887" s="275"/>
      <c r="P887" s="275"/>
      <c r="Q887" s="275"/>
      <c r="R887" s="275"/>
      <c r="S887" s="275"/>
      <c r="T887" s="275"/>
      <c r="U887" s="275"/>
      <c r="V887" s="275"/>
      <c r="W887" s="275"/>
      <c r="X887" s="275"/>
      <c r="Y887" s="275"/>
      <c r="Z887" s="275"/>
      <c r="AA887" s="275"/>
    </row>
    <row r="888" ht="15.75" customHeight="1">
      <c r="A888" s="275"/>
      <c r="B888" s="275"/>
      <c r="C888" s="286"/>
      <c r="D888" s="275"/>
      <c r="E888" s="275"/>
      <c r="F888" s="275"/>
      <c r="G888" s="275"/>
      <c r="H888" s="275"/>
      <c r="I888" s="275"/>
      <c r="J888" s="275"/>
      <c r="K888" s="286"/>
      <c r="L888" s="286"/>
      <c r="M888" s="286"/>
      <c r="N888" s="275"/>
      <c r="O888" s="275"/>
      <c r="P888" s="275"/>
      <c r="Q888" s="275"/>
      <c r="R888" s="275"/>
      <c r="S888" s="275"/>
      <c r="T888" s="275"/>
      <c r="U888" s="275"/>
      <c r="V888" s="275"/>
      <c r="W888" s="275"/>
      <c r="X888" s="275"/>
      <c r="Y888" s="275"/>
      <c r="Z888" s="275"/>
      <c r="AA888" s="275"/>
    </row>
    <row r="889" ht="15.75" customHeight="1">
      <c r="A889" s="275"/>
      <c r="B889" s="275"/>
      <c r="C889" s="286"/>
      <c r="D889" s="275"/>
      <c r="E889" s="275"/>
      <c r="F889" s="275"/>
      <c r="G889" s="275"/>
      <c r="H889" s="275"/>
      <c r="I889" s="275"/>
      <c r="J889" s="275"/>
      <c r="K889" s="286"/>
      <c r="L889" s="286"/>
      <c r="M889" s="286"/>
      <c r="N889" s="275"/>
      <c r="O889" s="275"/>
      <c r="P889" s="275"/>
      <c r="Q889" s="275"/>
      <c r="R889" s="275"/>
      <c r="S889" s="275"/>
      <c r="T889" s="275"/>
      <c r="U889" s="275"/>
      <c r="V889" s="275"/>
      <c r="W889" s="275"/>
      <c r="X889" s="275"/>
      <c r="Y889" s="275"/>
      <c r="Z889" s="275"/>
      <c r="AA889" s="275"/>
    </row>
    <row r="890" ht="15.75" customHeight="1">
      <c r="A890" s="275"/>
      <c r="B890" s="275"/>
      <c r="C890" s="286"/>
      <c r="D890" s="275"/>
      <c r="E890" s="275"/>
      <c r="F890" s="275"/>
      <c r="G890" s="275"/>
      <c r="H890" s="275"/>
      <c r="I890" s="275"/>
      <c r="J890" s="275"/>
      <c r="K890" s="286"/>
      <c r="L890" s="286"/>
      <c r="M890" s="286"/>
      <c r="N890" s="275"/>
      <c r="O890" s="275"/>
      <c r="P890" s="275"/>
      <c r="Q890" s="275"/>
      <c r="R890" s="275"/>
      <c r="S890" s="275"/>
      <c r="T890" s="275"/>
      <c r="U890" s="275"/>
      <c r="V890" s="275"/>
      <c r="W890" s="275"/>
      <c r="X890" s="275"/>
      <c r="Y890" s="275"/>
      <c r="Z890" s="275"/>
      <c r="AA890" s="275"/>
    </row>
    <row r="891" ht="15.75" customHeight="1">
      <c r="A891" s="275"/>
      <c r="B891" s="275"/>
      <c r="C891" s="286"/>
      <c r="D891" s="275"/>
      <c r="E891" s="275"/>
      <c r="F891" s="275"/>
      <c r="G891" s="275"/>
      <c r="H891" s="275"/>
      <c r="I891" s="275"/>
      <c r="J891" s="275"/>
      <c r="K891" s="286"/>
      <c r="L891" s="286"/>
      <c r="M891" s="286"/>
      <c r="N891" s="275"/>
      <c r="O891" s="275"/>
      <c r="P891" s="275"/>
      <c r="Q891" s="275"/>
      <c r="R891" s="275"/>
      <c r="S891" s="275"/>
      <c r="T891" s="275"/>
      <c r="U891" s="275"/>
      <c r="V891" s="275"/>
      <c r="W891" s="275"/>
      <c r="X891" s="275"/>
      <c r="Y891" s="275"/>
      <c r="Z891" s="275"/>
      <c r="AA891" s="275"/>
    </row>
    <row r="892" ht="15.75" customHeight="1">
      <c r="A892" s="275"/>
      <c r="B892" s="275"/>
      <c r="C892" s="286"/>
      <c r="D892" s="275"/>
      <c r="E892" s="275"/>
      <c r="F892" s="275"/>
      <c r="G892" s="275"/>
      <c r="H892" s="275"/>
      <c r="I892" s="275"/>
      <c r="J892" s="275"/>
      <c r="K892" s="286"/>
      <c r="L892" s="286"/>
      <c r="M892" s="286"/>
      <c r="N892" s="275"/>
      <c r="O892" s="275"/>
      <c r="P892" s="275"/>
      <c r="Q892" s="275"/>
      <c r="R892" s="275"/>
      <c r="S892" s="275"/>
      <c r="T892" s="275"/>
      <c r="U892" s="275"/>
      <c r="V892" s="275"/>
      <c r="W892" s="275"/>
      <c r="X892" s="275"/>
      <c r="Y892" s="275"/>
      <c r="Z892" s="275"/>
      <c r="AA892" s="275"/>
    </row>
    <row r="893" ht="15.75" customHeight="1">
      <c r="A893" s="275"/>
      <c r="B893" s="275"/>
      <c r="C893" s="286"/>
      <c r="D893" s="275"/>
      <c r="E893" s="275"/>
      <c r="F893" s="275"/>
      <c r="G893" s="275"/>
      <c r="H893" s="275"/>
      <c r="I893" s="275"/>
      <c r="J893" s="275"/>
      <c r="K893" s="286"/>
      <c r="L893" s="286"/>
      <c r="M893" s="286"/>
      <c r="N893" s="275"/>
      <c r="O893" s="275"/>
      <c r="P893" s="275"/>
      <c r="Q893" s="275"/>
      <c r="R893" s="275"/>
      <c r="S893" s="275"/>
      <c r="T893" s="275"/>
      <c r="U893" s="275"/>
      <c r="V893" s="275"/>
      <c r="W893" s="275"/>
      <c r="X893" s="275"/>
      <c r="Y893" s="275"/>
      <c r="Z893" s="275"/>
      <c r="AA893" s="275"/>
    </row>
    <row r="894" ht="15.75" customHeight="1">
      <c r="A894" s="275"/>
      <c r="B894" s="275"/>
      <c r="C894" s="286"/>
      <c r="D894" s="275"/>
      <c r="E894" s="275"/>
      <c r="F894" s="275"/>
      <c r="G894" s="275"/>
      <c r="H894" s="275"/>
      <c r="I894" s="275"/>
      <c r="J894" s="275"/>
      <c r="K894" s="286"/>
      <c r="L894" s="286"/>
      <c r="M894" s="286"/>
      <c r="N894" s="275"/>
      <c r="O894" s="275"/>
      <c r="P894" s="275"/>
      <c r="Q894" s="275"/>
      <c r="R894" s="275"/>
      <c r="S894" s="275"/>
      <c r="T894" s="275"/>
      <c r="U894" s="275"/>
      <c r="V894" s="275"/>
      <c r="W894" s="275"/>
      <c r="X894" s="275"/>
      <c r="Y894" s="275"/>
      <c r="Z894" s="275"/>
      <c r="AA894" s="275"/>
    </row>
    <row r="895" ht="15.75" customHeight="1">
      <c r="A895" s="275"/>
      <c r="B895" s="275"/>
      <c r="C895" s="286"/>
      <c r="D895" s="275"/>
      <c r="E895" s="275"/>
      <c r="F895" s="275"/>
      <c r="G895" s="275"/>
      <c r="H895" s="275"/>
      <c r="I895" s="275"/>
      <c r="J895" s="275"/>
      <c r="K895" s="286"/>
      <c r="L895" s="286"/>
      <c r="M895" s="286"/>
      <c r="N895" s="275"/>
      <c r="O895" s="275"/>
      <c r="P895" s="275"/>
      <c r="Q895" s="275"/>
      <c r="R895" s="275"/>
      <c r="S895" s="275"/>
      <c r="T895" s="275"/>
      <c r="U895" s="275"/>
      <c r="V895" s="275"/>
      <c r="W895" s="275"/>
      <c r="X895" s="275"/>
      <c r="Y895" s="275"/>
      <c r="Z895" s="275"/>
      <c r="AA895" s="275"/>
    </row>
    <row r="896" ht="15.75" customHeight="1">
      <c r="A896" s="275"/>
      <c r="B896" s="275"/>
      <c r="C896" s="286"/>
      <c r="D896" s="275"/>
      <c r="E896" s="275"/>
      <c r="F896" s="275"/>
      <c r="G896" s="275"/>
      <c r="H896" s="275"/>
      <c r="I896" s="275"/>
      <c r="J896" s="275"/>
      <c r="K896" s="286"/>
      <c r="L896" s="286"/>
      <c r="M896" s="286"/>
      <c r="N896" s="275"/>
      <c r="O896" s="275"/>
      <c r="P896" s="275"/>
      <c r="Q896" s="275"/>
      <c r="R896" s="275"/>
      <c r="S896" s="275"/>
      <c r="T896" s="275"/>
      <c r="U896" s="275"/>
      <c r="V896" s="275"/>
      <c r="W896" s="275"/>
      <c r="X896" s="275"/>
      <c r="Y896" s="275"/>
      <c r="Z896" s="275"/>
      <c r="AA896" s="275"/>
    </row>
    <row r="897" ht="15.75" customHeight="1">
      <c r="A897" s="275"/>
      <c r="B897" s="275"/>
      <c r="C897" s="286"/>
      <c r="D897" s="275"/>
      <c r="E897" s="275"/>
      <c r="F897" s="275"/>
      <c r="G897" s="275"/>
      <c r="H897" s="275"/>
      <c r="I897" s="275"/>
      <c r="J897" s="275"/>
      <c r="K897" s="286"/>
      <c r="L897" s="286"/>
      <c r="M897" s="286"/>
      <c r="N897" s="275"/>
      <c r="O897" s="275"/>
      <c r="P897" s="275"/>
      <c r="Q897" s="275"/>
      <c r="R897" s="275"/>
      <c r="S897" s="275"/>
      <c r="T897" s="275"/>
      <c r="U897" s="275"/>
      <c r="V897" s="275"/>
      <c r="W897" s="275"/>
      <c r="X897" s="275"/>
      <c r="Y897" s="275"/>
      <c r="Z897" s="275"/>
      <c r="AA897" s="275"/>
    </row>
    <row r="898" ht="15.75" customHeight="1">
      <c r="A898" s="275"/>
      <c r="B898" s="275"/>
      <c r="C898" s="286"/>
      <c r="D898" s="275"/>
      <c r="E898" s="275"/>
      <c r="F898" s="275"/>
      <c r="G898" s="275"/>
      <c r="H898" s="275"/>
      <c r="I898" s="275"/>
      <c r="J898" s="275"/>
      <c r="K898" s="286"/>
      <c r="L898" s="286"/>
      <c r="M898" s="286"/>
      <c r="N898" s="275"/>
      <c r="O898" s="275"/>
      <c r="P898" s="275"/>
      <c r="Q898" s="275"/>
      <c r="R898" s="275"/>
      <c r="S898" s="275"/>
      <c r="T898" s="275"/>
      <c r="U898" s="275"/>
      <c r="V898" s="275"/>
      <c r="W898" s="275"/>
      <c r="X898" s="275"/>
      <c r="Y898" s="275"/>
      <c r="Z898" s="275"/>
      <c r="AA898" s="275"/>
    </row>
    <row r="899" ht="15.75" customHeight="1">
      <c r="A899" s="275"/>
      <c r="B899" s="275"/>
      <c r="C899" s="286"/>
      <c r="D899" s="275"/>
      <c r="E899" s="275"/>
      <c r="F899" s="275"/>
      <c r="G899" s="275"/>
      <c r="H899" s="275"/>
      <c r="I899" s="275"/>
      <c r="J899" s="275"/>
      <c r="K899" s="286"/>
      <c r="L899" s="286"/>
      <c r="M899" s="286"/>
      <c r="N899" s="275"/>
      <c r="O899" s="275"/>
      <c r="P899" s="275"/>
      <c r="Q899" s="275"/>
      <c r="R899" s="275"/>
      <c r="S899" s="275"/>
      <c r="T899" s="275"/>
      <c r="U899" s="275"/>
      <c r="V899" s="275"/>
      <c r="W899" s="275"/>
      <c r="X899" s="275"/>
      <c r="Y899" s="275"/>
      <c r="Z899" s="275"/>
      <c r="AA899" s="275"/>
    </row>
    <row r="900" ht="15.75" customHeight="1">
      <c r="A900" s="275"/>
      <c r="B900" s="275"/>
      <c r="C900" s="286"/>
      <c r="D900" s="275"/>
      <c r="E900" s="275"/>
      <c r="F900" s="275"/>
      <c r="G900" s="275"/>
      <c r="H900" s="275"/>
      <c r="I900" s="275"/>
      <c r="J900" s="275"/>
      <c r="K900" s="286"/>
      <c r="L900" s="286"/>
      <c r="M900" s="286"/>
      <c r="N900" s="275"/>
      <c r="O900" s="275"/>
      <c r="P900" s="275"/>
      <c r="Q900" s="275"/>
      <c r="R900" s="275"/>
      <c r="S900" s="275"/>
      <c r="T900" s="275"/>
      <c r="U900" s="275"/>
      <c r="V900" s="275"/>
      <c r="W900" s="275"/>
      <c r="X900" s="275"/>
      <c r="Y900" s="275"/>
      <c r="Z900" s="275"/>
      <c r="AA900" s="275"/>
    </row>
    <row r="901" ht="15.75" customHeight="1">
      <c r="A901" s="275"/>
      <c r="B901" s="275"/>
      <c r="C901" s="286"/>
      <c r="D901" s="275"/>
      <c r="E901" s="275"/>
      <c r="F901" s="275"/>
      <c r="G901" s="275"/>
      <c r="H901" s="275"/>
      <c r="I901" s="275"/>
      <c r="J901" s="275"/>
      <c r="K901" s="286"/>
      <c r="L901" s="286"/>
      <c r="M901" s="286"/>
      <c r="N901" s="275"/>
      <c r="O901" s="275"/>
      <c r="P901" s="275"/>
      <c r="Q901" s="275"/>
      <c r="R901" s="275"/>
      <c r="S901" s="275"/>
      <c r="T901" s="275"/>
      <c r="U901" s="275"/>
      <c r="V901" s="275"/>
      <c r="W901" s="275"/>
      <c r="X901" s="275"/>
      <c r="Y901" s="275"/>
      <c r="Z901" s="275"/>
      <c r="AA901" s="275"/>
    </row>
    <row r="902" ht="15.75" customHeight="1">
      <c r="A902" s="275"/>
      <c r="B902" s="275"/>
      <c r="C902" s="286"/>
      <c r="D902" s="275"/>
      <c r="E902" s="275"/>
      <c r="F902" s="275"/>
      <c r="G902" s="275"/>
      <c r="H902" s="275"/>
      <c r="I902" s="275"/>
      <c r="J902" s="275"/>
      <c r="K902" s="286"/>
      <c r="L902" s="286"/>
      <c r="M902" s="286"/>
      <c r="N902" s="275"/>
      <c r="O902" s="275"/>
      <c r="P902" s="275"/>
      <c r="Q902" s="275"/>
      <c r="R902" s="275"/>
      <c r="S902" s="275"/>
      <c r="T902" s="275"/>
      <c r="U902" s="275"/>
      <c r="V902" s="275"/>
      <c r="W902" s="275"/>
      <c r="X902" s="275"/>
      <c r="Y902" s="275"/>
      <c r="Z902" s="275"/>
      <c r="AA902" s="275"/>
    </row>
    <row r="903" ht="15.75" customHeight="1">
      <c r="A903" s="275"/>
      <c r="B903" s="275"/>
      <c r="C903" s="286"/>
      <c r="D903" s="275"/>
      <c r="E903" s="275"/>
      <c r="F903" s="275"/>
      <c r="G903" s="275"/>
      <c r="H903" s="275"/>
      <c r="I903" s="275"/>
      <c r="J903" s="275"/>
      <c r="K903" s="286"/>
      <c r="L903" s="286"/>
      <c r="M903" s="286"/>
      <c r="N903" s="275"/>
      <c r="O903" s="275"/>
      <c r="P903" s="275"/>
      <c r="Q903" s="275"/>
      <c r="R903" s="275"/>
      <c r="S903" s="275"/>
      <c r="T903" s="275"/>
      <c r="U903" s="275"/>
      <c r="V903" s="275"/>
      <c r="W903" s="275"/>
      <c r="X903" s="275"/>
      <c r="Y903" s="275"/>
      <c r="Z903" s="275"/>
      <c r="AA903" s="275"/>
    </row>
    <row r="904" ht="15.75" customHeight="1">
      <c r="A904" s="275"/>
      <c r="B904" s="275"/>
      <c r="C904" s="286"/>
      <c r="D904" s="275"/>
      <c r="E904" s="275"/>
      <c r="F904" s="275"/>
      <c r="G904" s="275"/>
      <c r="H904" s="275"/>
      <c r="I904" s="275"/>
      <c r="J904" s="275"/>
      <c r="K904" s="286"/>
      <c r="L904" s="286"/>
      <c r="M904" s="286"/>
      <c r="N904" s="275"/>
      <c r="O904" s="275"/>
      <c r="P904" s="275"/>
      <c r="Q904" s="275"/>
      <c r="R904" s="275"/>
      <c r="S904" s="275"/>
      <c r="T904" s="275"/>
      <c r="U904" s="275"/>
      <c r="V904" s="275"/>
      <c r="W904" s="275"/>
      <c r="X904" s="275"/>
      <c r="Y904" s="275"/>
      <c r="Z904" s="275"/>
      <c r="AA904" s="275"/>
    </row>
    <row r="905" ht="15.75" customHeight="1">
      <c r="A905" s="275"/>
      <c r="B905" s="275"/>
      <c r="C905" s="286"/>
      <c r="D905" s="275"/>
      <c r="E905" s="275"/>
      <c r="F905" s="275"/>
      <c r="G905" s="275"/>
      <c r="H905" s="275"/>
      <c r="I905" s="275"/>
      <c r="J905" s="275"/>
      <c r="K905" s="286"/>
      <c r="L905" s="286"/>
      <c r="M905" s="286"/>
      <c r="N905" s="275"/>
      <c r="O905" s="275"/>
      <c r="P905" s="275"/>
      <c r="Q905" s="275"/>
      <c r="R905" s="275"/>
      <c r="S905" s="275"/>
      <c r="T905" s="275"/>
      <c r="U905" s="275"/>
      <c r="V905" s="275"/>
      <c r="W905" s="275"/>
      <c r="X905" s="275"/>
      <c r="Y905" s="275"/>
      <c r="Z905" s="275"/>
      <c r="AA905" s="275"/>
    </row>
    <row r="906" ht="15.75" customHeight="1">
      <c r="A906" s="275"/>
      <c r="B906" s="275"/>
      <c r="C906" s="286"/>
      <c r="D906" s="275"/>
      <c r="E906" s="275"/>
      <c r="F906" s="275"/>
      <c r="G906" s="275"/>
      <c r="H906" s="275"/>
      <c r="I906" s="275"/>
      <c r="J906" s="275"/>
      <c r="K906" s="286"/>
      <c r="L906" s="286"/>
      <c r="M906" s="286"/>
      <c r="N906" s="275"/>
      <c r="O906" s="275"/>
      <c r="P906" s="275"/>
      <c r="Q906" s="275"/>
      <c r="R906" s="275"/>
      <c r="S906" s="275"/>
      <c r="T906" s="275"/>
      <c r="U906" s="275"/>
      <c r="V906" s="275"/>
      <c r="W906" s="275"/>
      <c r="X906" s="275"/>
      <c r="Y906" s="275"/>
      <c r="Z906" s="275"/>
      <c r="AA906" s="275"/>
    </row>
    <row r="907" ht="15.75" customHeight="1">
      <c r="A907" s="275"/>
      <c r="B907" s="275"/>
      <c r="C907" s="286"/>
      <c r="D907" s="275"/>
      <c r="E907" s="275"/>
      <c r="F907" s="275"/>
      <c r="G907" s="275"/>
      <c r="H907" s="275"/>
      <c r="I907" s="275"/>
      <c r="J907" s="275"/>
      <c r="K907" s="286"/>
      <c r="L907" s="286"/>
      <c r="M907" s="286"/>
      <c r="N907" s="275"/>
      <c r="O907" s="275"/>
      <c r="P907" s="275"/>
      <c r="Q907" s="275"/>
      <c r="R907" s="275"/>
      <c r="S907" s="275"/>
      <c r="T907" s="275"/>
      <c r="U907" s="275"/>
      <c r="V907" s="275"/>
      <c r="W907" s="275"/>
      <c r="X907" s="275"/>
      <c r="Y907" s="275"/>
      <c r="Z907" s="275"/>
      <c r="AA907" s="275"/>
    </row>
    <row r="908" ht="15.75" customHeight="1">
      <c r="A908" s="275"/>
      <c r="B908" s="275"/>
      <c r="C908" s="286"/>
      <c r="D908" s="275"/>
      <c r="E908" s="275"/>
      <c r="F908" s="275"/>
      <c r="G908" s="275"/>
      <c r="H908" s="275"/>
      <c r="I908" s="275"/>
      <c r="J908" s="275"/>
      <c r="K908" s="286"/>
      <c r="L908" s="286"/>
      <c r="M908" s="286"/>
      <c r="N908" s="275"/>
      <c r="O908" s="275"/>
      <c r="P908" s="275"/>
      <c r="Q908" s="275"/>
      <c r="R908" s="275"/>
      <c r="S908" s="275"/>
      <c r="T908" s="275"/>
      <c r="U908" s="275"/>
      <c r="V908" s="275"/>
      <c r="W908" s="275"/>
      <c r="X908" s="275"/>
      <c r="Y908" s="275"/>
      <c r="Z908" s="275"/>
      <c r="AA908" s="275"/>
    </row>
    <row r="909" ht="15.75" customHeight="1">
      <c r="A909" s="275"/>
      <c r="B909" s="275"/>
      <c r="C909" s="286"/>
      <c r="D909" s="275"/>
      <c r="E909" s="275"/>
      <c r="F909" s="275"/>
      <c r="G909" s="275"/>
      <c r="H909" s="275"/>
      <c r="I909" s="275"/>
      <c r="J909" s="275"/>
      <c r="K909" s="286"/>
      <c r="L909" s="286"/>
      <c r="M909" s="286"/>
      <c r="N909" s="275"/>
      <c r="O909" s="275"/>
      <c r="P909" s="275"/>
      <c r="Q909" s="275"/>
      <c r="R909" s="275"/>
      <c r="S909" s="275"/>
      <c r="T909" s="275"/>
      <c r="U909" s="275"/>
      <c r="V909" s="275"/>
      <c r="W909" s="275"/>
      <c r="X909" s="275"/>
      <c r="Y909" s="275"/>
      <c r="Z909" s="275"/>
      <c r="AA909" s="275"/>
    </row>
    <row r="910" ht="15.75" customHeight="1">
      <c r="A910" s="275"/>
      <c r="B910" s="275"/>
      <c r="C910" s="286"/>
      <c r="D910" s="275"/>
      <c r="E910" s="275"/>
      <c r="F910" s="275"/>
      <c r="G910" s="275"/>
      <c r="H910" s="275"/>
      <c r="I910" s="275"/>
      <c r="J910" s="275"/>
      <c r="K910" s="286"/>
      <c r="L910" s="286"/>
      <c r="M910" s="286"/>
      <c r="N910" s="275"/>
      <c r="O910" s="275"/>
      <c r="P910" s="275"/>
      <c r="Q910" s="275"/>
      <c r="R910" s="275"/>
      <c r="S910" s="275"/>
      <c r="T910" s="275"/>
      <c r="U910" s="275"/>
      <c r="V910" s="275"/>
      <c r="W910" s="275"/>
      <c r="X910" s="275"/>
      <c r="Y910" s="275"/>
      <c r="Z910" s="275"/>
      <c r="AA910" s="275"/>
    </row>
    <row r="911" ht="15.75" customHeight="1">
      <c r="A911" s="275"/>
      <c r="B911" s="275"/>
      <c r="C911" s="286"/>
      <c r="D911" s="275"/>
      <c r="E911" s="275"/>
      <c r="F911" s="275"/>
      <c r="G911" s="275"/>
      <c r="H911" s="275"/>
      <c r="I911" s="275"/>
      <c r="J911" s="275"/>
      <c r="K911" s="286"/>
      <c r="L911" s="286"/>
      <c r="M911" s="286"/>
      <c r="N911" s="275"/>
      <c r="O911" s="275"/>
      <c r="P911" s="275"/>
      <c r="Q911" s="275"/>
      <c r="R911" s="275"/>
      <c r="S911" s="275"/>
      <c r="T911" s="275"/>
      <c r="U911" s="275"/>
      <c r="V911" s="275"/>
      <c r="W911" s="275"/>
      <c r="X911" s="275"/>
      <c r="Y911" s="275"/>
      <c r="Z911" s="275"/>
      <c r="AA911" s="275"/>
    </row>
    <row r="912" ht="15.75" customHeight="1">
      <c r="A912" s="275"/>
      <c r="B912" s="275"/>
      <c r="C912" s="286"/>
      <c r="D912" s="275"/>
      <c r="E912" s="275"/>
      <c r="F912" s="275"/>
      <c r="G912" s="275"/>
      <c r="H912" s="275"/>
      <c r="I912" s="275"/>
      <c r="J912" s="275"/>
      <c r="K912" s="286"/>
      <c r="L912" s="286"/>
      <c r="M912" s="286"/>
      <c r="N912" s="275"/>
      <c r="O912" s="275"/>
      <c r="P912" s="275"/>
      <c r="Q912" s="275"/>
      <c r="R912" s="275"/>
      <c r="S912" s="275"/>
      <c r="T912" s="275"/>
      <c r="U912" s="275"/>
      <c r="V912" s="275"/>
      <c r="W912" s="275"/>
      <c r="X912" s="275"/>
      <c r="Y912" s="275"/>
      <c r="Z912" s="275"/>
      <c r="AA912" s="275"/>
    </row>
    <row r="913" ht="15.75" customHeight="1">
      <c r="A913" s="275"/>
      <c r="B913" s="275"/>
      <c r="C913" s="286"/>
      <c r="D913" s="275"/>
      <c r="E913" s="275"/>
      <c r="F913" s="275"/>
      <c r="G913" s="275"/>
      <c r="H913" s="275"/>
      <c r="I913" s="275"/>
      <c r="J913" s="275"/>
      <c r="K913" s="286"/>
      <c r="L913" s="286"/>
      <c r="M913" s="286"/>
      <c r="N913" s="275"/>
      <c r="O913" s="275"/>
      <c r="P913" s="275"/>
      <c r="Q913" s="275"/>
      <c r="R913" s="275"/>
      <c r="S913" s="275"/>
      <c r="T913" s="275"/>
      <c r="U913" s="275"/>
      <c r="V913" s="275"/>
      <c r="W913" s="275"/>
      <c r="X913" s="275"/>
      <c r="Y913" s="275"/>
      <c r="Z913" s="275"/>
      <c r="AA913" s="275"/>
    </row>
    <row r="914" ht="15.75" customHeight="1">
      <c r="A914" s="275"/>
      <c r="B914" s="275"/>
      <c r="C914" s="286"/>
      <c r="D914" s="275"/>
      <c r="E914" s="275"/>
      <c r="F914" s="275"/>
      <c r="G914" s="275"/>
      <c r="H914" s="275"/>
      <c r="I914" s="275"/>
      <c r="J914" s="275"/>
      <c r="K914" s="286"/>
      <c r="L914" s="286"/>
      <c r="M914" s="286"/>
      <c r="N914" s="275"/>
      <c r="O914" s="275"/>
      <c r="P914" s="275"/>
      <c r="Q914" s="275"/>
      <c r="R914" s="275"/>
      <c r="S914" s="275"/>
      <c r="T914" s="275"/>
      <c r="U914" s="275"/>
      <c r="V914" s="275"/>
      <c r="W914" s="275"/>
      <c r="X914" s="275"/>
      <c r="Y914" s="275"/>
      <c r="Z914" s="275"/>
      <c r="AA914" s="275"/>
    </row>
    <row r="915" ht="15.75" customHeight="1">
      <c r="A915" s="275"/>
      <c r="B915" s="275"/>
      <c r="C915" s="286"/>
      <c r="D915" s="275"/>
      <c r="E915" s="275"/>
      <c r="F915" s="275"/>
      <c r="G915" s="275"/>
      <c r="H915" s="275"/>
      <c r="I915" s="275"/>
      <c r="J915" s="275"/>
      <c r="K915" s="286"/>
      <c r="L915" s="286"/>
      <c r="M915" s="286"/>
      <c r="N915" s="275"/>
      <c r="O915" s="275"/>
      <c r="P915" s="275"/>
      <c r="Q915" s="275"/>
      <c r="R915" s="275"/>
      <c r="S915" s="275"/>
      <c r="T915" s="275"/>
      <c r="U915" s="275"/>
      <c r="V915" s="275"/>
      <c r="W915" s="275"/>
      <c r="X915" s="275"/>
      <c r="Y915" s="275"/>
      <c r="Z915" s="275"/>
      <c r="AA915" s="275"/>
    </row>
    <row r="916" ht="15.75" customHeight="1">
      <c r="A916" s="275"/>
      <c r="B916" s="275"/>
      <c r="C916" s="286"/>
      <c r="D916" s="275"/>
      <c r="E916" s="275"/>
      <c r="F916" s="275"/>
      <c r="G916" s="275"/>
      <c r="H916" s="275"/>
      <c r="I916" s="275"/>
      <c r="J916" s="275"/>
      <c r="K916" s="286"/>
      <c r="L916" s="286"/>
      <c r="M916" s="286"/>
      <c r="N916" s="275"/>
      <c r="O916" s="275"/>
      <c r="P916" s="275"/>
      <c r="Q916" s="275"/>
      <c r="R916" s="275"/>
      <c r="S916" s="275"/>
      <c r="T916" s="275"/>
      <c r="U916" s="275"/>
      <c r="V916" s="275"/>
      <c r="W916" s="275"/>
      <c r="X916" s="275"/>
      <c r="Y916" s="275"/>
      <c r="Z916" s="275"/>
      <c r="AA916" s="275"/>
    </row>
    <row r="917" ht="15.75" customHeight="1">
      <c r="A917" s="275"/>
      <c r="B917" s="275"/>
      <c r="C917" s="286"/>
      <c r="D917" s="275"/>
      <c r="E917" s="275"/>
      <c r="F917" s="275"/>
      <c r="G917" s="275"/>
      <c r="H917" s="275"/>
      <c r="I917" s="275"/>
      <c r="J917" s="275"/>
      <c r="K917" s="286"/>
      <c r="L917" s="286"/>
      <c r="M917" s="286"/>
      <c r="N917" s="275"/>
      <c r="O917" s="275"/>
      <c r="P917" s="275"/>
      <c r="Q917" s="275"/>
      <c r="R917" s="275"/>
      <c r="S917" s="275"/>
      <c r="T917" s="275"/>
      <c r="U917" s="275"/>
      <c r="V917" s="275"/>
      <c r="W917" s="275"/>
      <c r="X917" s="275"/>
      <c r="Y917" s="275"/>
      <c r="Z917" s="275"/>
      <c r="AA917" s="275"/>
    </row>
    <row r="918" ht="15.75" customHeight="1">
      <c r="A918" s="275"/>
      <c r="B918" s="275"/>
      <c r="C918" s="286"/>
      <c r="D918" s="275"/>
      <c r="E918" s="275"/>
      <c r="F918" s="275"/>
      <c r="G918" s="275"/>
      <c r="H918" s="275"/>
      <c r="I918" s="275"/>
      <c r="J918" s="275"/>
      <c r="K918" s="286"/>
      <c r="L918" s="286"/>
      <c r="M918" s="286"/>
      <c r="N918" s="275"/>
      <c r="O918" s="275"/>
      <c r="P918" s="275"/>
      <c r="Q918" s="275"/>
      <c r="R918" s="275"/>
      <c r="S918" s="275"/>
      <c r="T918" s="275"/>
      <c r="U918" s="275"/>
      <c r="V918" s="275"/>
      <c r="W918" s="275"/>
      <c r="X918" s="275"/>
      <c r="Y918" s="275"/>
      <c r="Z918" s="275"/>
      <c r="AA918" s="275"/>
    </row>
    <row r="919" ht="15.75" customHeight="1">
      <c r="A919" s="275"/>
      <c r="B919" s="275"/>
      <c r="C919" s="286"/>
      <c r="D919" s="275"/>
      <c r="E919" s="275"/>
      <c r="F919" s="275"/>
      <c r="G919" s="275"/>
      <c r="H919" s="275"/>
      <c r="I919" s="275"/>
      <c r="J919" s="275"/>
      <c r="K919" s="286"/>
      <c r="L919" s="286"/>
      <c r="M919" s="286"/>
      <c r="N919" s="275"/>
      <c r="O919" s="275"/>
      <c r="P919" s="275"/>
      <c r="Q919" s="275"/>
      <c r="R919" s="275"/>
      <c r="S919" s="275"/>
      <c r="T919" s="275"/>
      <c r="U919" s="275"/>
      <c r="V919" s="275"/>
      <c r="W919" s="275"/>
      <c r="X919" s="275"/>
      <c r="Y919" s="275"/>
      <c r="Z919" s="275"/>
      <c r="AA919" s="275"/>
    </row>
    <row r="920" ht="15.75" customHeight="1">
      <c r="A920" s="275"/>
      <c r="B920" s="275"/>
      <c r="C920" s="286"/>
      <c r="D920" s="275"/>
      <c r="E920" s="275"/>
      <c r="F920" s="275"/>
      <c r="G920" s="275"/>
      <c r="H920" s="275"/>
      <c r="I920" s="275"/>
      <c r="J920" s="275"/>
      <c r="K920" s="286"/>
      <c r="L920" s="286"/>
      <c r="M920" s="286"/>
      <c r="N920" s="275"/>
      <c r="O920" s="275"/>
      <c r="P920" s="275"/>
      <c r="Q920" s="275"/>
      <c r="R920" s="275"/>
      <c r="S920" s="275"/>
      <c r="T920" s="275"/>
      <c r="U920" s="275"/>
      <c r="V920" s="275"/>
      <c r="W920" s="275"/>
      <c r="X920" s="275"/>
      <c r="Y920" s="275"/>
      <c r="Z920" s="275"/>
      <c r="AA920" s="275"/>
    </row>
    <row r="921" ht="15.75" customHeight="1">
      <c r="A921" s="275"/>
      <c r="B921" s="275"/>
      <c r="C921" s="286"/>
      <c r="D921" s="275"/>
      <c r="E921" s="275"/>
      <c r="F921" s="275"/>
      <c r="G921" s="275"/>
      <c r="H921" s="275"/>
      <c r="I921" s="275"/>
      <c r="J921" s="275"/>
      <c r="K921" s="286"/>
      <c r="L921" s="286"/>
      <c r="M921" s="286"/>
      <c r="N921" s="275"/>
      <c r="O921" s="275"/>
      <c r="P921" s="275"/>
      <c r="Q921" s="275"/>
      <c r="R921" s="275"/>
      <c r="S921" s="275"/>
      <c r="T921" s="275"/>
      <c r="U921" s="275"/>
      <c r="V921" s="275"/>
      <c r="W921" s="275"/>
      <c r="X921" s="275"/>
      <c r="Y921" s="275"/>
      <c r="Z921" s="275"/>
      <c r="AA921" s="275"/>
    </row>
    <row r="922" ht="15.75" customHeight="1">
      <c r="A922" s="275"/>
      <c r="B922" s="275"/>
      <c r="C922" s="286"/>
      <c r="D922" s="275"/>
      <c r="E922" s="275"/>
      <c r="F922" s="275"/>
      <c r="G922" s="275"/>
      <c r="H922" s="275"/>
      <c r="I922" s="275"/>
      <c r="J922" s="275"/>
      <c r="K922" s="286"/>
      <c r="L922" s="286"/>
      <c r="M922" s="286"/>
      <c r="N922" s="275"/>
      <c r="O922" s="275"/>
      <c r="P922" s="275"/>
      <c r="Q922" s="275"/>
      <c r="R922" s="275"/>
      <c r="S922" s="275"/>
      <c r="T922" s="275"/>
      <c r="U922" s="275"/>
      <c r="V922" s="275"/>
      <c r="W922" s="275"/>
      <c r="X922" s="275"/>
      <c r="Y922" s="275"/>
      <c r="Z922" s="275"/>
      <c r="AA922" s="275"/>
    </row>
    <row r="923" ht="15.75" customHeight="1">
      <c r="A923" s="275"/>
      <c r="B923" s="275"/>
      <c r="C923" s="286"/>
      <c r="D923" s="275"/>
      <c r="E923" s="275"/>
      <c r="F923" s="275"/>
      <c r="G923" s="275"/>
      <c r="H923" s="275"/>
      <c r="I923" s="275"/>
      <c r="J923" s="275"/>
      <c r="K923" s="286"/>
      <c r="L923" s="286"/>
      <c r="M923" s="286"/>
      <c r="N923" s="275"/>
      <c r="O923" s="275"/>
      <c r="P923" s="275"/>
      <c r="Q923" s="275"/>
      <c r="R923" s="275"/>
      <c r="S923" s="275"/>
      <c r="T923" s="275"/>
      <c r="U923" s="275"/>
      <c r="V923" s="275"/>
      <c r="W923" s="275"/>
      <c r="X923" s="275"/>
      <c r="Y923" s="275"/>
      <c r="Z923" s="275"/>
      <c r="AA923" s="275"/>
    </row>
    <row r="924" ht="15.75" customHeight="1">
      <c r="A924" s="275"/>
      <c r="B924" s="275"/>
      <c r="C924" s="286"/>
      <c r="D924" s="275"/>
      <c r="E924" s="275"/>
      <c r="F924" s="275"/>
      <c r="G924" s="275"/>
      <c r="H924" s="275"/>
      <c r="I924" s="275"/>
      <c r="J924" s="275"/>
      <c r="K924" s="286"/>
      <c r="L924" s="286"/>
      <c r="M924" s="286"/>
      <c r="N924" s="275"/>
      <c r="O924" s="275"/>
      <c r="P924" s="275"/>
      <c r="Q924" s="275"/>
      <c r="R924" s="275"/>
      <c r="S924" s="275"/>
      <c r="T924" s="275"/>
      <c r="U924" s="275"/>
      <c r="V924" s="275"/>
      <c r="W924" s="275"/>
      <c r="X924" s="275"/>
      <c r="Y924" s="275"/>
      <c r="Z924" s="275"/>
      <c r="AA924" s="275"/>
    </row>
    <row r="925" ht="15.75" customHeight="1">
      <c r="A925" s="275"/>
      <c r="B925" s="275"/>
      <c r="C925" s="286"/>
      <c r="D925" s="275"/>
      <c r="E925" s="275"/>
      <c r="F925" s="275"/>
      <c r="G925" s="275"/>
      <c r="H925" s="275"/>
      <c r="I925" s="275"/>
      <c r="J925" s="275"/>
      <c r="K925" s="286"/>
      <c r="L925" s="286"/>
      <c r="M925" s="286"/>
      <c r="N925" s="275"/>
      <c r="O925" s="275"/>
      <c r="P925" s="275"/>
      <c r="Q925" s="275"/>
      <c r="R925" s="275"/>
      <c r="S925" s="275"/>
      <c r="T925" s="275"/>
      <c r="U925" s="275"/>
      <c r="V925" s="275"/>
      <c r="W925" s="275"/>
      <c r="X925" s="275"/>
      <c r="Y925" s="275"/>
      <c r="Z925" s="275"/>
      <c r="AA925" s="275"/>
    </row>
    <row r="926" ht="15.75" customHeight="1">
      <c r="A926" s="275"/>
      <c r="B926" s="275"/>
      <c r="C926" s="286"/>
      <c r="D926" s="275"/>
      <c r="E926" s="275"/>
      <c r="F926" s="275"/>
      <c r="G926" s="275"/>
      <c r="H926" s="275"/>
      <c r="I926" s="275"/>
      <c r="J926" s="275"/>
      <c r="K926" s="286"/>
      <c r="L926" s="286"/>
      <c r="M926" s="286"/>
      <c r="N926" s="275"/>
      <c r="O926" s="275"/>
      <c r="P926" s="275"/>
      <c r="Q926" s="275"/>
      <c r="R926" s="275"/>
      <c r="S926" s="275"/>
      <c r="T926" s="275"/>
      <c r="U926" s="275"/>
      <c r="V926" s="275"/>
      <c r="W926" s="275"/>
      <c r="X926" s="275"/>
      <c r="Y926" s="275"/>
      <c r="Z926" s="275"/>
      <c r="AA926" s="275"/>
    </row>
    <row r="927" ht="15.75" customHeight="1">
      <c r="A927" s="275"/>
      <c r="B927" s="275"/>
      <c r="C927" s="286"/>
      <c r="D927" s="275"/>
      <c r="E927" s="275"/>
      <c r="F927" s="275"/>
      <c r="G927" s="275"/>
      <c r="H927" s="275"/>
      <c r="I927" s="275"/>
      <c r="J927" s="275"/>
      <c r="K927" s="286"/>
      <c r="L927" s="286"/>
      <c r="M927" s="286"/>
      <c r="N927" s="275"/>
      <c r="O927" s="275"/>
      <c r="P927" s="275"/>
      <c r="Q927" s="275"/>
      <c r="R927" s="275"/>
      <c r="S927" s="275"/>
      <c r="T927" s="275"/>
      <c r="U927" s="275"/>
      <c r="V927" s="275"/>
      <c r="W927" s="275"/>
      <c r="X927" s="275"/>
      <c r="Y927" s="275"/>
      <c r="Z927" s="275"/>
      <c r="AA927" s="275"/>
    </row>
    <row r="928" ht="15.75" customHeight="1">
      <c r="A928" s="275"/>
      <c r="B928" s="275"/>
      <c r="C928" s="286"/>
      <c r="D928" s="275"/>
      <c r="E928" s="275"/>
      <c r="F928" s="275"/>
      <c r="G928" s="275"/>
      <c r="H928" s="275"/>
      <c r="I928" s="275"/>
      <c r="J928" s="275"/>
      <c r="K928" s="286"/>
      <c r="L928" s="286"/>
      <c r="M928" s="286"/>
      <c r="N928" s="275"/>
      <c r="O928" s="275"/>
      <c r="P928" s="275"/>
      <c r="Q928" s="275"/>
      <c r="R928" s="275"/>
      <c r="S928" s="275"/>
      <c r="T928" s="275"/>
      <c r="U928" s="275"/>
      <c r="V928" s="275"/>
      <c r="W928" s="275"/>
      <c r="X928" s="275"/>
      <c r="Y928" s="275"/>
      <c r="Z928" s="275"/>
      <c r="AA928" s="275"/>
    </row>
    <row r="929" ht="15.75" customHeight="1">
      <c r="A929" s="275"/>
      <c r="B929" s="275"/>
      <c r="C929" s="286"/>
      <c r="D929" s="275"/>
      <c r="E929" s="275"/>
      <c r="F929" s="275"/>
      <c r="G929" s="275"/>
      <c r="H929" s="275"/>
      <c r="I929" s="275"/>
      <c r="J929" s="275"/>
      <c r="K929" s="286"/>
      <c r="L929" s="286"/>
      <c r="M929" s="286"/>
      <c r="N929" s="275"/>
      <c r="O929" s="275"/>
      <c r="P929" s="275"/>
      <c r="Q929" s="275"/>
      <c r="R929" s="275"/>
      <c r="S929" s="275"/>
      <c r="T929" s="275"/>
      <c r="U929" s="275"/>
      <c r="V929" s="275"/>
      <c r="W929" s="275"/>
      <c r="X929" s="275"/>
      <c r="Y929" s="275"/>
      <c r="Z929" s="275"/>
      <c r="AA929" s="275"/>
    </row>
    <row r="930" ht="15.75" customHeight="1">
      <c r="A930" s="275"/>
      <c r="B930" s="275"/>
      <c r="C930" s="286"/>
      <c r="D930" s="275"/>
      <c r="E930" s="275"/>
      <c r="F930" s="275"/>
      <c r="G930" s="275"/>
      <c r="H930" s="275"/>
      <c r="I930" s="275"/>
      <c r="J930" s="275"/>
      <c r="K930" s="286"/>
      <c r="L930" s="286"/>
      <c r="M930" s="286"/>
      <c r="N930" s="275"/>
      <c r="O930" s="275"/>
      <c r="P930" s="275"/>
      <c r="Q930" s="275"/>
      <c r="R930" s="275"/>
      <c r="S930" s="275"/>
      <c r="T930" s="275"/>
      <c r="U930" s="275"/>
      <c r="V930" s="275"/>
      <c r="W930" s="275"/>
      <c r="X930" s="275"/>
      <c r="Y930" s="275"/>
      <c r="Z930" s="275"/>
      <c r="AA930" s="275"/>
    </row>
    <row r="931" ht="15.75" customHeight="1">
      <c r="A931" s="275"/>
      <c r="B931" s="275"/>
      <c r="C931" s="286"/>
      <c r="D931" s="275"/>
      <c r="E931" s="275"/>
      <c r="F931" s="275"/>
      <c r="G931" s="275"/>
      <c r="H931" s="275"/>
      <c r="I931" s="275"/>
      <c r="J931" s="275"/>
      <c r="K931" s="286"/>
      <c r="L931" s="286"/>
      <c r="M931" s="286"/>
      <c r="N931" s="275"/>
      <c r="O931" s="275"/>
      <c r="P931" s="275"/>
      <c r="Q931" s="275"/>
      <c r="R931" s="275"/>
      <c r="S931" s="275"/>
      <c r="T931" s="275"/>
      <c r="U931" s="275"/>
      <c r="V931" s="275"/>
      <c r="W931" s="275"/>
      <c r="X931" s="275"/>
      <c r="Y931" s="275"/>
      <c r="Z931" s="275"/>
      <c r="AA931" s="275"/>
    </row>
    <row r="932" ht="15.75" customHeight="1">
      <c r="A932" s="275"/>
      <c r="B932" s="275"/>
      <c r="C932" s="286"/>
      <c r="D932" s="275"/>
      <c r="E932" s="275"/>
      <c r="F932" s="275"/>
      <c r="G932" s="275"/>
      <c r="H932" s="275"/>
      <c r="I932" s="275"/>
      <c r="J932" s="275"/>
      <c r="K932" s="286"/>
      <c r="L932" s="286"/>
      <c r="M932" s="286"/>
      <c r="N932" s="275"/>
      <c r="O932" s="275"/>
      <c r="P932" s="275"/>
      <c r="Q932" s="275"/>
      <c r="R932" s="275"/>
      <c r="S932" s="275"/>
      <c r="T932" s="275"/>
      <c r="U932" s="275"/>
      <c r="V932" s="275"/>
      <c r="W932" s="275"/>
      <c r="X932" s="275"/>
      <c r="Y932" s="275"/>
      <c r="Z932" s="275"/>
      <c r="AA932" s="275"/>
    </row>
    <row r="933" ht="15.75" customHeight="1">
      <c r="A933" s="275"/>
      <c r="B933" s="275"/>
      <c r="C933" s="286"/>
      <c r="D933" s="275"/>
      <c r="E933" s="275"/>
      <c r="F933" s="275"/>
      <c r="G933" s="275"/>
      <c r="H933" s="275"/>
      <c r="I933" s="275"/>
      <c r="J933" s="275"/>
      <c r="K933" s="286"/>
      <c r="L933" s="286"/>
      <c r="M933" s="286"/>
      <c r="N933" s="275"/>
      <c r="O933" s="275"/>
      <c r="P933" s="275"/>
      <c r="Q933" s="275"/>
      <c r="R933" s="275"/>
      <c r="S933" s="275"/>
      <c r="T933" s="275"/>
      <c r="U933" s="275"/>
      <c r="V933" s="275"/>
      <c r="W933" s="275"/>
      <c r="X933" s="275"/>
      <c r="Y933" s="275"/>
      <c r="Z933" s="275"/>
      <c r="AA933" s="275"/>
    </row>
    <row r="934" ht="15.75" customHeight="1">
      <c r="A934" s="275"/>
      <c r="B934" s="275"/>
      <c r="C934" s="286"/>
      <c r="D934" s="275"/>
      <c r="E934" s="275"/>
      <c r="F934" s="275"/>
      <c r="G934" s="275"/>
      <c r="H934" s="275"/>
      <c r="I934" s="275"/>
      <c r="J934" s="275"/>
      <c r="K934" s="286"/>
      <c r="L934" s="286"/>
      <c r="M934" s="286"/>
      <c r="N934" s="275"/>
      <c r="O934" s="275"/>
      <c r="P934" s="275"/>
      <c r="Q934" s="275"/>
      <c r="R934" s="275"/>
      <c r="S934" s="275"/>
      <c r="T934" s="275"/>
      <c r="U934" s="275"/>
      <c r="V934" s="275"/>
      <c r="W934" s="275"/>
      <c r="X934" s="275"/>
      <c r="Y934" s="275"/>
      <c r="Z934" s="275"/>
      <c r="AA934" s="275"/>
    </row>
    <row r="935" ht="15.75" customHeight="1">
      <c r="A935" s="275"/>
      <c r="B935" s="275"/>
      <c r="C935" s="286"/>
      <c r="D935" s="275"/>
      <c r="E935" s="275"/>
      <c r="F935" s="275"/>
      <c r="G935" s="275"/>
      <c r="H935" s="275"/>
      <c r="I935" s="275"/>
      <c r="J935" s="275"/>
      <c r="K935" s="286"/>
      <c r="L935" s="286"/>
      <c r="M935" s="286"/>
      <c r="N935" s="275"/>
      <c r="O935" s="275"/>
      <c r="P935" s="275"/>
      <c r="Q935" s="275"/>
      <c r="R935" s="275"/>
      <c r="S935" s="275"/>
      <c r="T935" s="275"/>
      <c r="U935" s="275"/>
      <c r="V935" s="275"/>
      <c r="W935" s="275"/>
      <c r="X935" s="275"/>
      <c r="Y935" s="275"/>
      <c r="Z935" s="275"/>
      <c r="AA935" s="275"/>
    </row>
    <row r="936" ht="15.75" customHeight="1">
      <c r="A936" s="275"/>
      <c r="B936" s="275"/>
      <c r="C936" s="286"/>
      <c r="D936" s="275"/>
      <c r="E936" s="275"/>
      <c r="F936" s="275"/>
      <c r="G936" s="275"/>
      <c r="H936" s="275"/>
      <c r="I936" s="275"/>
      <c r="J936" s="275"/>
      <c r="K936" s="286"/>
      <c r="L936" s="286"/>
      <c r="M936" s="286"/>
      <c r="N936" s="275"/>
      <c r="O936" s="275"/>
      <c r="P936" s="275"/>
      <c r="Q936" s="275"/>
      <c r="R936" s="275"/>
      <c r="S936" s="275"/>
      <c r="T936" s="275"/>
      <c r="U936" s="275"/>
      <c r="V936" s="275"/>
      <c r="W936" s="275"/>
      <c r="X936" s="275"/>
      <c r="Y936" s="275"/>
      <c r="Z936" s="275"/>
      <c r="AA936" s="275"/>
    </row>
    <row r="937" ht="15.75" customHeight="1">
      <c r="A937" s="275"/>
      <c r="B937" s="275"/>
      <c r="C937" s="286"/>
      <c r="D937" s="275"/>
      <c r="E937" s="275"/>
      <c r="F937" s="275"/>
      <c r="G937" s="275"/>
      <c r="H937" s="275"/>
      <c r="I937" s="275"/>
      <c r="J937" s="275"/>
      <c r="K937" s="286"/>
      <c r="L937" s="286"/>
      <c r="M937" s="286"/>
      <c r="N937" s="275"/>
      <c r="O937" s="275"/>
      <c r="P937" s="275"/>
      <c r="Q937" s="275"/>
      <c r="R937" s="275"/>
      <c r="S937" s="275"/>
      <c r="T937" s="275"/>
      <c r="U937" s="275"/>
      <c r="V937" s="275"/>
      <c r="W937" s="275"/>
      <c r="X937" s="275"/>
      <c r="Y937" s="275"/>
      <c r="Z937" s="275"/>
      <c r="AA937" s="275"/>
    </row>
    <row r="938" ht="15.75" customHeight="1">
      <c r="A938" s="275"/>
      <c r="B938" s="275"/>
      <c r="C938" s="286"/>
      <c r="D938" s="275"/>
      <c r="E938" s="275"/>
      <c r="F938" s="275"/>
      <c r="G938" s="275"/>
      <c r="H938" s="275"/>
      <c r="I938" s="275"/>
      <c r="J938" s="275"/>
      <c r="K938" s="286"/>
      <c r="L938" s="286"/>
      <c r="M938" s="286"/>
      <c r="N938" s="275"/>
      <c r="O938" s="275"/>
      <c r="P938" s="275"/>
      <c r="Q938" s="275"/>
      <c r="R938" s="275"/>
      <c r="S938" s="275"/>
      <c r="T938" s="275"/>
      <c r="U938" s="275"/>
      <c r="V938" s="275"/>
      <c r="W938" s="275"/>
      <c r="X938" s="275"/>
      <c r="Y938" s="275"/>
      <c r="Z938" s="275"/>
      <c r="AA938" s="275"/>
    </row>
    <row r="939" ht="15.75" customHeight="1">
      <c r="A939" s="275"/>
      <c r="B939" s="275"/>
      <c r="C939" s="286"/>
      <c r="D939" s="275"/>
      <c r="E939" s="275"/>
      <c r="F939" s="275"/>
      <c r="G939" s="275"/>
      <c r="H939" s="275"/>
      <c r="I939" s="275"/>
      <c r="J939" s="275"/>
      <c r="K939" s="286"/>
      <c r="L939" s="286"/>
      <c r="M939" s="286"/>
      <c r="N939" s="275"/>
      <c r="O939" s="275"/>
      <c r="P939" s="275"/>
      <c r="Q939" s="275"/>
      <c r="R939" s="275"/>
      <c r="S939" s="275"/>
      <c r="T939" s="275"/>
      <c r="U939" s="275"/>
      <c r="V939" s="275"/>
      <c r="W939" s="275"/>
      <c r="X939" s="275"/>
      <c r="Y939" s="275"/>
      <c r="Z939" s="275"/>
      <c r="AA939" s="275"/>
    </row>
    <row r="940" ht="15.75" customHeight="1">
      <c r="A940" s="275"/>
      <c r="B940" s="275"/>
      <c r="C940" s="286"/>
      <c r="D940" s="275"/>
      <c r="E940" s="275"/>
      <c r="F940" s="275"/>
      <c r="G940" s="275"/>
      <c r="H940" s="275"/>
      <c r="I940" s="275"/>
      <c r="J940" s="275"/>
      <c r="K940" s="286"/>
      <c r="L940" s="286"/>
      <c r="M940" s="286"/>
      <c r="N940" s="275"/>
      <c r="O940" s="275"/>
      <c r="P940" s="275"/>
      <c r="Q940" s="275"/>
      <c r="R940" s="275"/>
      <c r="S940" s="275"/>
      <c r="T940" s="275"/>
      <c r="U940" s="275"/>
      <c r="V940" s="275"/>
      <c r="W940" s="275"/>
      <c r="X940" s="275"/>
      <c r="Y940" s="275"/>
      <c r="Z940" s="275"/>
      <c r="AA940" s="275"/>
    </row>
    <row r="941" ht="15.75" customHeight="1">
      <c r="A941" s="275"/>
      <c r="B941" s="275"/>
      <c r="C941" s="286"/>
      <c r="D941" s="275"/>
      <c r="E941" s="275"/>
      <c r="F941" s="275"/>
      <c r="G941" s="275"/>
      <c r="H941" s="275"/>
      <c r="I941" s="275"/>
      <c r="J941" s="275"/>
      <c r="K941" s="286"/>
      <c r="L941" s="286"/>
      <c r="M941" s="286"/>
      <c r="N941" s="275"/>
      <c r="O941" s="275"/>
      <c r="P941" s="275"/>
      <c r="Q941" s="275"/>
      <c r="R941" s="275"/>
      <c r="S941" s="275"/>
      <c r="T941" s="275"/>
      <c r="U941" s="275"/>
      <c r="V941" s="275"/>
      <c r="W941" s="275"/>
      <c r="X941" s="275"/>
      <c r="Y941" s="275"/>
      <c r="Z941" s="275"/>
      <c r="AA941" s="275"/>
    </row>
    <row r="942" ht="15.75" customHeight="1">
      <c r="A942" s="275"/>
      <c r="B942" s="275"/>
      <c r="C942" s="286"/>
      <c r="D942" s="275"/>
      <c r="E942" s="275"/>
      <c r="F942" s="275"/>
      <c r="G942" s="275"/>
      <c r="H942" s="275"/>
      <c r="I942" s="275"/>
      <c r="J942" s="275"/>
      <c r="K942" s="286"/>
      <c r="L942" s="286"/>
      <c r="M942" s="286"/>
      <c r="N942" s="275"/>
      <c r="O942" s="275"/>
      <c r="P942" s="275"/>
      <c r="Q942" s="275"/>
      <c r="R942" s="275"/>
      <c r="S942" s="275"/>
      <c r="T942" s="275"/>
      <c r="U942" s="275"/>
      <c r="V942" s="275"/>
      <c r="W942" s="275"/>
      <c r="X942" s="275"/>
      <c r="Y942" s="275"/>
      <c r="Z942" s="275"/>
      <c r="AA942" s="275"/>
    </row>
    <row r="943" ht="15.75" customHeight="1">
      <c r="A943" s="275"/>
      <c r="B943" s="275"/>
      <c r="C943" s="286"/>
      <c r="D943" s="275"/>
      <c r="E943" s="275"/>
      <c r="F943" s="275"/>
      <c r="G943" s="275"/>
      <c r="H943" s="275"/>
      <c r="I943" s="275"/>
      <c r="J943" s="275"/>
      <c r="K943" s="286"/>
      <c r="L943" s="286"/>
      <c r="M943" s="286"/>
      <c r="N943" s="275"/>
      <c r="O943" s="275"/>
      <c r="P943" s="275"/>
      <c r="Q943" s="275"/>
      <c r="R943" s="275"/>
      <c r="S943" s="275"/>
      <c r="T943" s="275"/>
      <c r="U943" s="275"/>
      <c r="V943" s="275"/>
      <c r="W943" s="275"/>
      <c r="X943" s="275"/>
      <c r="Y943" s="275"/>
      <c r="Z943" s="275"/>
      <c r="AA943" s="275"/>
    </row>
    <row r="944" ht="15.75" customHeight="1">
      <c r="A944" s="275"/>
      <c r="B944" s="275"/>
      <c r="C944" s="286"/>
      <c r="D944" s="275"/>
      <c r="E944" s="275"/>
      <c r="F944" s="275"/>
      <c r="G944" s="275"/>
      <c r="H944" s="275"/>
      <c r="I944" s="275"/>
      <c r="J944" s="275"/>
      <c r="K944" s="286"/>
      <c r="L944" s="286"/>
      <c r="M944" s="286"/>
      <c r="N944" s="275"/>
      <c r="O944" s="275"/>
      <c r="P944" s="275"/>
      <c r="Q944" s="275"/>
      <c r="R944" s="275"/>
      <c r="S944" s="275"/>
      <c r="T944" s="275"/>
      <c r="U944" s="275"/>
      <c r="V944" s="275"/>
      <c r="W944" s="275"/>
      <c r="X944" s="275"/>
      <c r="Y944" s="275"/>
      <c r="Z944" s="275"/>
      <c r="AA944" s="275"/>
    </row>
    <row r="945" ht="15.75" customHeight="1">
      <c r="A945" s="275"/>
      <c r="B945" s="275"/>
      <c r="C945" s="286"/>
      <c r="D945" s="275"/>
      <c r="E945" s="275"/>
      <c r="F945" s="275"/>
      <c r="G945" s="275"/>
      <c r="H945" s="275"/>
      <c r="I945" s="275"/>
      <c r="J945" s="275"/>
      <c r="K945" s="286"/>
      <c r="L945" s="286"/>
      <c r="M945" s="286"/>
      <c r="N945" s="275"/>
      <c r="O945" s="275"/>
      <c r="P945" s="275"/>
      <c r="Q945" s="275"/>
      <c r="R945" s="275"/>
      <c r="S945" s="275"/>
      <c r="T945" s="275"/>
      <c r="U945" s="275"/>
      <c r="V945" s="275"/>
      <c r="W945" s="275"/>
      <c r="X945" s="275"/>
      <c r="Y945" s="275"/>
      <c r="Z945" s="275"/>
      <c r="AA945" s="275"/>
    </row>
    <row r="946" ht="15.75" customHeight="1">
      <c r="A946" s="275"/>
      <c r="B946" s="275"/>
      <c r="C946" s="286"/>
      <c r="D946" s="275"/>
      <c r="E946" s="275"/>
      <c r="F946" s="275"/>
      <c r="G946" s="275"/>
      <c r="H946" s="275"/>
      <c r="I946" s="275"/>
      <c r="J946" s="275"/>
      <c r="K946" s="286"/>
      <c r="L946" s="286"/>
      <c r="M946" s="286"/>
      <c r="N946" s="275"/>
      <c r="O946" s="275"/>
      <c r="P946" s="275"/>
      <c r="Q946" s="275"/>
      <c r="R946" s="275"/>
      <c r="S946" s="275"/>
      <c r="T946" s="275"/>
      <c r="U946" s="275"/>
      <c r="V946" s="275"/>
      <c r="W946" s="275"/>
      <c r="X946" s="275"/>
      <c r="Y946" s="275"/>
      <c r="Z946" s="275"/>
      <c r="AA946" s="275"/>
    </row>
    <row r="947" ht="15.75" customHeight="1">
      <c r="A947" s="275"/>
      <c r="B947" s="275"/>
      <c r="C947" s="286"/>
      <c r="D947" s="275"/>
      <c r="E947" s="275"/>
      <c r="F947" s="275"/>
      <c r="G947" s="275"/>
      <c r="H947" s="275"/>
      <c r="I947" s="275"/>
      <c r="J947" s="275"/>
      <c r="K947" s="286"/>
      <c r="L947" s="286"/>
      <c r="M947" s="286"/>
      <c r="N947" s="275"/>
      <c r="O947" s="275"/>
      <c r="P947" s="275"/>
      <c r="Q947" s="275"/>
      <c r="R947" s="275"/>
      <c r="S947" s="275"/>
      <c r="T947" s="275"/>
      <c r="U947" s="275"/>
      <c r="V947" s="275"/>
      <c r="W947" s="275"/>
      <c r="X947" s="275"/>
      <c r="Y947" s="275"/>
      <c r="Z947" s="275"/>
      <c r="AA947" s="275"/>
    </row>
    <row r="948" ht="15.75" customHeight="1">
      <c r="A948" s="275"/>
      <c r="B948" s="275"/>
      <c r="C948" s="286"/>
      <c r="D948" s="275"/>
      <c r="E948" s="275"/>
      <c r="F948" s="275"/>
      <c r="G948" s="275"/>
      <c r="H948" s="275"/>
      <c r="I948" s="275"/>
      <c r="J948" s="275"/>
      <c r="K948" s="286"/>
      <c r="L948" s="286"/>
      <c r="M948" s="286"/>
      <c r="N948" s="275"/>
      <c r="O948" s="275"/>
      <c r="P948" s="275"/>
      <c r="Q948" s="275"/>
      <c r="R948" s="275"/>
      <c r="S948" s="275"/>
      <c r="T948" s="275"/>
      <c r="U948" s="275"/>
      <c r="V948" s="275"/>
      <c r="W948" s="275"/>
      <c r="X948" s="275"/>
      <c r="Y948" s="275"/>
      <c r="Z948" s="275"/>
      <c r="AA948" s="275"/>
    </row>
    <row r="949" ht="15.75" customHeight="1">
      <c r="A949" s="275"/>
      <c r="B949" s="275"/>
      <c r="C949" s="286"/>
      <c r="D949" s="275"/>
      <c r="E949" s="275"/>
      <c r="F949" s="275"/>
      <c r="G949" s="275"/>
      <c r="H949" s="275"/>
      <c r="I949" s="275"/>
      <c r="J949" s="275"/>
      <c r="K949" s="286"/>
      <c r="L949" s="286"/>
      <c r="M949" s="286"/>
      <c r="N949" s="275"/>
      <c r="O949" s="275"/>
      <c r="P949" s="275"/>
      <c r="Q949" s="275"/>
      <c r="R949" s="275"/>
      <c r="S949" s="275"/>
      <c r="T949" s="275"/>
      <c r="U949" s="275"/>
      <c r="V949" s="275"/>
      <c r="W949" s="275"/>
      <c r="X949" s="275"/>
      <c r="Y949" s="275"/>
      <c r="Z949" s="275"/>
      <c r="AA949" s="275"/>
    </row>
    <row r="950" ht="15.75" customHeight="1">
      <c r="A950" s="275"/>
      <c r="B950" s="275"/>
      <c r="C950" s="286"/>
      <c r="D950" s="275"/>
      <c r="E950" s="275"/>
      <c r="F950" s="275"/>
      <c r="G950" s="275"/>
      <c r="H950" s="275"/>
      <c r="I950" s="275"/>
      <c r="J950" s="275"/>
      <c r="K950" s="286"/>
      <c r="L950" s="286"/>
      <c r="M950" s="286"/>
      <c r="N950" s="275"/>
      <c r="O950" s="275"/>
      <c r="P950" s="275"/>
      <c r="Q950" s="275"/>
      <c r="R950" s="275"/>
      <c r="S950" s="275"/>
      <c r="T950" s="275"/>
      <c r="U950" s="275"/>
      <c r="V950" s="275"/>
      <c r="W950" s="275"/>
      <c r="X950" s="275"/>
      <c r="Y950" s="275"/>
      <c r="Z950" s="275"/>
      <c r="AA950" s="275"/>
    </row>
    <row r="951" ht="15.75" customHeight="1">
      <c r="A951" s="275"/>
      <c r="B951" s="275"/>
      <c r="C951" s="286"/>
      <c r="D951" s="275"/>
      <c r="E951" s="275"/>
      <c r="F951" s="275"/>
      <c r="G951" s="275"/>
      <c r="H951" s="275"/>
      <c r="I951" s="275"/>
      <c r="J951" s="275"/>
      <c r="K951" s="286"/>
      <c r="L951" s="286"/>
      <c r="M951" s="286"/>
      <c r="N951" s="275"/>
      <c r="O951" s="275"/>
      <c r="P951" s="275"/>
      <c r="Q951" s="275"/>
      <c r="R951" s="275"/>
      <c r="S951" s="275"/>
      <c r="T951" s="275"/>
      <c r="U951" s="275"/>
      <c r="V951" s="275"/>
      <c r="W951" s="275"/>
      <c r="X951" s="275"/>
      <c r="Y951" s="275"/>
      <c r="Z951" s="275"/>
      <c r="AA951" s="275"/>
    </row>
    <row r="952" ht="15.75" customHeight="1">
      <c r="A952" s="275"/>
      <c r="B952" s="275"/>
      <c r="C952" s="286"/>
      <c r="D952" s="275"/>
      <c r="E952" s="275"/>
      <c r="F952" s="275"/>
      <c r="G952" s="275"/>
      <c r="H952" s="275"/>
      <c r="I952" s="275"/>
      <c r="J952" s="275"/>
      <c r="K952" s="286"/>
      <c r="L952" s="286"/>
      <c r="M952" s="286"/>
      <c r="N952" s="275"/>
      <c r="O952" s="275"/>
      <c r="P952" s="275"/>
      <c r="Q952" s="275"/>
      <c r="R952" s="275"/>
      <c r="S952" s="275"/>
      <c r="T952" s="275"/>
      <c r="U952" s="275"/>
      <c r="V952" s="275"/>
      <c r="W952" s="275"/>
      <c r="X952" s="275"/>
      <c r="Y952" s="275"/>
      <c r="Z952" s="275"/>
      <c r="AA952" s="275"/>
    </row>
    <row r="953" ht="15.75" customHeight="1">
      <c r="A953" s="275"/>
      <c r="B953" s="275"/>
      <c r="C953" s="286"/>
      <c r="D953" s="275"/>
      <c r="E953" s="275"/>
      <c r="F953" s="275"/>
      <c r="G953" s="275"/>
      <c r="H953" s="275"/>
      <c r="I953" s="275"/>
      <c r="J953" s="275"/>
      <c r="K953" s="286"/>
      <c r="L953" s="286"/>
      <c r="M953" s="286"/>
      <c r="N953" s="275"/>
      <c r="O953" s="275"/>
      <c r="P953" s="275"/>
      <c r="Q953" s="275"/>
      <c r="R953" s="275"/>
      <c r="S953" s="275"/>
      <c r="T953" s="275"/>
      <c r="U953" s="275"/>
      <c r="V953" s="275"/>
      <c r="W953" s="275"/>
      <c r="X953" s="275"/>
      <c r="Y953" s="275"/>
      <c r="Z953" s="275"/>
      <c r="AA953" s="275"/>
    </row>
    <row r="954" ht="15.75" customHeight="1">
      <c r="A954" s="275"/>
      <c r="B954" s="275"/>
      <c r="C954" s="286"/>
      <c r="D954" s="275"/>
      <c r="E954" s="275"/>
      <c r="F954" s="275"/>
      <c r="G954" s="275"/>
      <c r="H954" s="275"/>
      <c r="I954" s="275"/>
      <c r="J954" s="275"/>
      <c r="K954" s="286"/>
      <c r="L954" s="286"/>
      <c r="M954" s="286"/>
      <c r="N954" s="275"/>
      <c r="O954" s="275"/>
      <c r="P954" s="275"/>
      <c r="Q954" s="275"/>
      <c r="R954" s="275"/>
      <c r="S954" s="275"/>
      <c r="T954" s="275"/>
      <c r="U954" s="275"/>
      <c r="V954" s="275"/>
      <c r="W954" s="275"/>
      <c r="X954" s="275"/>
      <c r="Y954" s="275"/>
      <c r="Z954" s="275"/>
      <c r="AA954" s="275"/>
    </row>
    <row r="955" ht="15.75" customHeight="1">
      <c r="A955" s="275"/>
      <c r="B955" s="275"/>
      <c r="C955" s="286"/>
      <c r="D955" s="275"/>
      <c r="E955" s="275"/>
      <c r="F955" s="275"/>
      <c r="G955" s="275"/>
      <c r="H955" s="275"/>
      <c r="I955" s="275"/>
      <c r="J955" s="275"/>
      <c r="K955" s="286"/>
      <c r="L955" s="286"/>
      <c r="M955" s="286"/>
      <c r="N955" s="275"/>
      <c r="O955" s="275"/>
      <c r="P955" s="275"/>
      <c r="Q955" s="275"/>
      <c r="R955" s="275"/>
      <c r="S955" s="275"/>
      <c r="T955" s="275"/>
      <c r="U955" s="275"/>
      <c r="V955" s="275"/>
      <c r="W955" s="275"/>
      <c r="X955" s="275"/>
      <c r="Y955" s="275"/>
      <c r="Z955" s="275"/>
      <c r="AA955" s="275"/>
    </row>
    <row r="956" ht="15.75" customHeight="1">
      <c r="A956" s="275"/>
      <c r="B956" s="275"/>
      <c r="C956" s="286"/>
      <c r="D956" s="275"/>
      <c r="E956" s="275"/>
      <c r="F956" s="275"/>
      <c r="G956" s="275"/>
      <c r="H956" s="275"/>
      <c r="I956" s="275"/>
      <c r="J956" s="275"/>
      <c r="K956" s="286"/>
      <c r="L956" s="286"/>
      <c r="M956" s="286"/>
      <c r="N956" s="275"/>
      <c r="O956" s="275"/>
      <c r="P956" s="275"/>
      <c r="Q956" s="275"/>
      <c r="R956" s="275"/>
      <c r="S956" s="275"/>
      <c r="T956" s="275"/>
      <c r="U956" s="275"/>
      <c r="V956" s="275"/>
      <c r="W956" s="275"/>
      <c r="X956" s="275"/>
      <c r="Y956" s="275"/>
      <c r="Z956" s="275"/>
      <c r="AA956" s="275"/>
    </row>
    <row r="957" ht="15.75" customHeight="1">
      <c r="A957" s="275"/>
      <c r="B957" s="275"/>
      <c r="C957" s="286"/>
      <c r="D957" s="275"/>
      <c r="E957" s="275"/>
      <c r="F957" s="275"/>
      <c r="G957" s="275"/>
      <c r="H957" s="275"/>
      <c r="I957" s="275"/>
      <c r="J957" s="275"/>
      <c r="K957" s="286"/>
      <c r="L957" s="286"/>
      <c r="M957" s="286"/>
      <c r="N957" s="275"/>
      <c r="O957" s="275"/>
      <c r="P957" s="275"/>
      <c r="Q957" s="275"/>
      <c r="R957" s="275"/>
      <c r="S957" s="275"/>
      <c r="T957" s="275"/>
      <c r="U957" s="275"/>
      <c r="V957" s="275"/>
      <c r="W957" s="275"/>
      <c r="X957" s="275"/>
      <c r="Y957" s="275"/>
      <c r="Z957" s="275"/>
      <c r="AA957" s="275"/>
    </row>
    <row r="958" ht="15.75" customHeight="1">
      <c r="A958" s="275"/>
      <c r="B958" s="275"/>
      <c r="C958" s="286"/>
      <c r="D958" s="275"/>
      <c r="E958" s="275"/>
      <c r="F958" s="275"/>
      <c r="G958" s="275"/>
      <c r="H958" s="275"/>
      <c r="I958" s="275"/>
      <c r="J958" s="275"/>
      <c r="K958" s="286"/>
      <c r="L958" s="286"/>
      <c r="M958" s="286"/>
      <c r="N958" s="275"/>
      <c r="O958" s="275"/>
      <c r="P958" s="275"/>
      <c r="Q958" s="275"/>
      <c r="R958" s="275"/>
      <c r="S958" s="275"/>
      <c r="T958" s="275"/>
      <c r="U958" s="275"/>
      <c r="V958" s="275"/>
      <c r="W958" s="275"/>
      <c r="X958" s="275"/>
      <c r="Y958" s="275"/>
      <c r="Z958" s="275"/>
      <c r="AA958" s="275"/>
    </row>
    <row r="959" ht="15.75" customHeight="1">
      <c r="A959" s="275"/>
      <c r="B959" s="275"/>
      <c r="C959" s="286"/>
      <c r="D959" s="275"/>
      <c r="E959" s="275"/>
      <c r="F959" s="275"/>
      <c r="G959" s="275"/>
      <c r="H959" s="275"/>
      <c r="I959" s="275"/>
      <c r="J959" s="275"/>
      <c r="K959" s="286"/>
      <c r="L959" s="286"/>
      <c r="M959" s="286"/>
      <c r="N959" s="275"/>
      <c r="O959" s="275"/>
      <c r="P959" s="275"/>
      <c r="Q959" s="275"/>
      <c r="R959" s="275"/>
      <c r="S959" s="275"/>
      <c r="T959" s="275"/>
      <c r="U959" s="275"/>
      <c r="V959" s="275"/>
      <c r="W959" s="275"/>
      <c r="X959" s="275"/>
      <c r="Y959" s="275"/>
      <c r="Z959" s="275"/>
      <c r="AA959" s="275"/>
    </row>
    <row r="960" ht="15.75" customHeight="1">
      <c r="A960" s="275"/>
      <c r="B960" s="275"/>
      <c r="C960" s="286"/>
      <c r="D960" s="275"/>
      <c r="E960" s="275"/>
      <c r="F960" s="275"/>
      <c r="G960" s="275"/>
      <c r="H960" s="275"/>
      <c r="I960" s="275"/>
      <c r="J960" s="275"/>
      <c r="K960" s="286"/>
      <c r="L960" s="286"/>
      <c r="M960" s="286"/>
      <c r="N960" s="275"/>
      <c r="O960" s="275"/>
      <c r="P960" s="275"/>
      <c r="Q960" s="275"/>
      <c r="R960" s="275"/>
      <c r="S960" s="275"/>
      <c r="T960" s="275"/>
      <c r="U960" s="275"/>
      <c r="V960" s="275"/>
      <c r="W960" s="275"/>
      <c r="X960" s="275"/>
      <c r="Y960" s="275"/>
      <c r="Z960" s="275"/>
      <c r="AA960" s="275"/>
    </row>
    <row r="961" ht="15.75" customHeight="1">
      <c r="A961" s="275"/>
      <c r="B961" s="275"/>
      <c r="C961" s="286"/>
      <c r="D961" s="275"/>
      <c r="E961" s="275"/>
      <c r="F961" s="275"/>
      <c r="G961" s="275"/>
      <c r="H961" s="275"/>
      <c r="I961" s="275"/>
      <c r="J961" s="275"/>
      <c r="K961" s="286"/>
      <c r="L961" s="286"/>
      <c r="M961" s="286"/>
      <c r="N961" s="275"/>
      <c r="O961" s="275"/>
      <c r="P961" s="275"/>
      <c r="Q961" s="275"/>
      <c r="R961" s="275"/>
      <c r="S961" s="275"/>
      <c r="T961" s="275"/>
      <c r="U961" s="275"/>
      <c r="V961" s="275"/>
      <c r="W961" s="275"/>
      <c r="X961" s="275"/>
      <c r="Y961" s="275"/>
      <c r="Z961" s="275"/>
      <c r="AA961" s="275"/>
    </row>
    <row r="962" ht="15.75" customHeight="1">
      <c r="A962" s="275"/>
      <c r="B962" s="275"/>
      <c r="C962" s="286"/>
      <c r="D962" s="275"/>
      <c r="E962" s="275"/>
      <c r="F962" s="275"/>
      <c r="G962" s="275"/>
      <c r="H962" s="275"/>
      <c r="I962" s="275"/>
      <c r="J962" s="275"/>
      <c r="K962" s="286"/>
      <c r="L962" s="286"/>
      <c r="M962" s="286"/>
      <c r="N962" s="275"/>
      <c r="O962" s="275"/>
      <c r="P962" s="275"/>
      <c r="Q962" s="275"/>
      <c r="R962" s="275"/>
      <c r="S962" s="275"/>
      <c r="T962" s="275"/>
      <c r="U962" s="275"/>
      <c r="V962" s="275"/>
      <c r="W962" s="275"/>
      <c r="X962" s="275"/>
      <c r="Y962" s="275"/>
      <c r="Z962" s="275"/>
      <c r="AA962" s="275"/>
    </row>
    <row r="963" ht="15.75" customHeight="1">
      <c r="A963" s="275"/>
      <c r="B963" s="275"/>
      <c r="C963" s="286"/>
      <c r="D963" s="275"/>
      <c r="E963" s="275"/>
      <c r="F963" s="275"/>
      <c r="G963" s="275"/>
      <c r="H963" s="275"/>
      <c r="I963" s="275"/>
      <c r="J963" s="275"/>
      <c r="K963" s="286"/>
      <c r="L963" s="286"/>
      <c r="M963" s="286"/>
      <c r="N963" s="275"/>
      <c r="O963" s="275"/>
      <c r="P963" s="275"/>
      <c r="Q963" s="275"/>
      <c r="R963" s="275"/>
      <c r="S963" s="275"/>
      <c r="T963" s="275"/>
      <c r="U963" s="275"/>
      <c r="V963" s="275"/>
      <c r="W963" s="275"/>
      <c r="X963" s="275"/>
      <c r="Y963" s="275"/>
      <c r="Z963" s="275"/>
      <c r="AA963" s="275"/>
    </row>
    <row r="964" ht="15.75" customHeight="1">
      <c r="A964" s="275"/>
      <c r="B964" s="275"/>
      <c r="C964" s="286"/>
      <c r="D964" s="275"/>
      <c r="E964" s="275"/>
      <c r="F964" s="275"/>
      <c r="G964" s="275"/>
      <c r="H964" s="275"/>
      <c r="I964" s="275"/>
      <c r="J964" s="275"/>
      <c r="K964" s="286"/>
      <c r="L964" s="286"/>
      <c r="M964" s="286"/>
      <c r="N964" s="275"/>
      <c r="O964" s="275"/>
      <c r="P964" s="275"/>
      <c r="Q964" s="275"/>
      <c r="R964" s="275"/>
      <c r="S964" s="275"/>
      <c r="T964" s="275"/>
      <c r="U964" s="275"/>
      <c r="V964" s="275"/>
      <c r="W964" s="275"/>
      <c r="X964" s="275"/>
      <c r="Y964" s="275"/>
      <c r="Z964" s="275"/>
      <c r="AA964" s="275"/>
    </row>
    <row r="965" ht="15.75" customHeight="1">
      <c r="A965" s="275"/>
      <c r="B965" s="275"/>
      <c r="C965" s="286"/>
      <c r="D965" s="275"/>
      <c r="E965" s="275"/>
      <c r="F965" s="275"/>
      <c r="G965" s="275"/>
      <c r="H965" s="275"/>
      <c r="I965" s="275"/>
      <c r="J965" s="275"/>
      <c r="K965" s="286"/>
      <c r="L965" s="286"/>
      <c r="M965" s="286"/>
      <c r="N965" s="275"/>
      <c r="O965" s="275"/>
      <c r="P965" s="275"/>
      <c r="Q965" s="275"/>
      <c r="R965" s="275"/>
      <c r="S965" s="275"/>
      <c r="T965" s="275"/>
      <c r="U965" s="275"/>
      <c r="V965" s="275"/>
      <c r="W965" s="275"/>
      <c r="X965" s="275"/>
      <c r="Y965" s="275"/>
      <c r="Z965" s="275"/>
      <c r="AA965" s="275"/>
    </row>
    <row r="966" ht="15.75" customHeight="1">
      <c r="A966" s="275"/>
      <c r="B966" s="275"/>
      <c r="C966" s="286"/>
      <c r="D966" s="275"/>
      <c r="E966" s="275"/>
      <c r="F966" s="275"/>
      <c r="G966" s="275"/>
      <c r="H966" s="275"/>
      <c r="I966" s="275"/>
      <c r="J966" s="275"/>
      <c r="K966" s="286"/>
      <c r="L966" s="286"/>
      <c r="M966" s="286"/>
      <c r="N966" s="275"/>
      <c r="O966" s="275"/>
      <c r="P966" s="275"/>
      <c r="Q966" s="275"/>
      <c r="R966" s="275"/>
      <c r="S966" s="275"/>
      <c r="T966" s="275"/>
      <c r="U966" s="275"/>
      <c r="V966" s="275"/>
      <c r="W966" s="275"/>
      <c r="X966" s="275"/>
      <c r="Y966" s="275"/>
      <c r="Z966" s="275"/>
      <c r="AA966" s="275"/>
    </row>
    <row r="967" ht="15.75" customHeight="1">
      <c r="A967" s="275"/>
      <c r="B967" s="275"/>
      <c r="C967" s="286"/>
      <c r="D967" s="275"/>
      <c r="E967" s="275"/>
      <c r="F967" s="275"/>
      <c r="G967" s="275"/>
      <c r="H967" s="275"/>
      <c r="I967" s="275"/>
      <c r="J967" s="275"/>
      <c r="K967" s="286"/>
      <c r="L967" s="286"/>
      <c r="M967" s="286"/>
      <c r="N967" s="275"/>
      <c r="O967" s="275"/>
      <c r="P967" s="275"/>
      <c r="Q967" s="275"/>
      <c r="R967" s="275"/>
      <c r="S967" s="275"/>
      <c r="T967" s="275"/>
      <c r="U967" s="275"/>
      <c r="V967" s="275"/>
      <c r="W967" s="275"/>
      <c r="X967" s="275"/>
      <c r="Y967" s="275"/>
      <c r="Z967" s="275"/>
      <c r="AA967" s="275"/>
    </row>
    <row r="968" ht="15.75" customHeight="1">
      <c r="A968" s="275"/>
      <c r="B968" s="275"/>
      <c r="C968" s="286"/>
      <c r="D968" s="275"/>
      <c r="E968" s="275"/>
      <c r="F968" s="275"/>
      <c r="G968" s="275"/>
      <c r="H968" s="275"/>
      <c r="I968" s="275"/>
      <c r="J968" s="275"/>
      <c r="K968" s="286"/>
      <c r="L968" s="286"/>
      <c r="M968" s="286"/>
      <c r="N968" s="275"/>
      <c r="O968" s="275"/>
      <c r="P968" s="275"/>
      <c r="Q968" s="275"/>
      <c r="R968" s="275"/>
      <c r="S968" s="275"/>
      <c r="T968" s="275"/>
      <c r="U968" s="275"/>
      <c r="V968" s="275"/>
      <c r="W968" s="275"/>
      <c r="X968" s="275"/>
      <c r="Y968" s="275"/>
      <c r="Z968" s="275"/>
      <c r="AA968" s="275"/>
    </row>
    <row r="969" ht="15.75" customHeight="1">
      <c r="A969" s="275"/>
      <c r="B969" s="275"/>
      <c r="C969" s="286"/>
      <c r="D969" s="275"/>
      <c r="E969" s="275"/>
      <c r="F969" s="275"/>
      <c r="G969" s="275"/>
      <c r="H969" s="275"/>
      <c r="I969" s="275"/>
      <c r="J969" s="275"/>
      <c r="K969" s="286"/>
      <c r="L969" s="286"/>
      <c r="M969" s="286"/>
      <c r="N969" s="275"/>
      <c r="O969" s="275"/>
      <c r="P969" s="275"/>
      <c r="Q969" s="275"/>
      <c r="R969" s="275"/>
      <c r="S969" s="275"/>
      <c r="T969" s="275"/>
      <c r="U969" s="275"/>
      <c r="V969" s="275"/>
      <c r="W969" s="275"/>
      <c r="X969" s="275"/>
      <c r="Y969" s="275"/>
      <c r="Z969" s="275"/>
      <c r="AA969" s="275"/>
    </row>
    <row r="970" ht="15.75" customHeight="1">
      <c r="A970" s="275"/>
      <c r="B970" s="275"/>
      <c r="C970" s="286"/>
      <c r="D970" s="275"/>
      <c r="E970" s="275"/>
      <c r="F970" s="275"/>
      <c r="G970" s="275"/>
      <c r="H970" s="275"/>
      <c r="I970" s="275"/>
      <c r="J970" s="275"/>
      <c r="K970" s="286"/>
      <c r="L970" s="286"/>
      <c r="M970" s="286"/>
      <c r="N970" s="275"/>
      <c r="O970" s="275"/>
      <c r="P970" s="275"/>
      <c r="Q970" s="275"/>
      <c r="R970" s="275"/>
      <c r="S970" s="275"/>
      <c r="T970" s="275"/>
      <c r="U970" s="275"/>
      <c r="V970" s="275"/>
      <c r="W970" s="275"/>
      <c r="X970" s="275"/>
      <c r="Y970" s="275"/>
      <c r="Z970" s="275"/>
      <c r="AA970" s="275"/>
    </row>
    <row r="971" ht="15.75" customHeight="1">
      <c r="A971" s="275"/>
      <c r="B971" s="275"/>
      <c r="C971" s="286"/>
      <c r="D971" s="275"/>
      <c r="E971" s="275"/>
      <c r="F971" s="275"/>
      <c r="G971" s="275"/>
      <c r="H971" s="275"/>
      <c r="I971" s="275"/>
      <c r="J971" s="275"/>
      <c r="K971" s="286"/>
      <c r="L971" s="286"/>
      <c r="M971" s="286"/>
      <c r="N971" s="275"/>
      <c r="O971" s="275"/>
      <c r="P971" s="275"/>
      <c r="Q971" s="275"/>
      <c r="R971" s="275"/>
      <c r="S971" s="275"/>
      <c r="T971" s="275"/>
      <c r="U971" s="275"/>
      <c r="V971" s="275"/>
      <c r="W971" s="275"/>
      <c r="X971" s="275"/>
      <c r="Y971" s="275"/>
      <c r="Z971" s="275"/>
      <c r="AA971" s="275"/>
    </row>
    <row r="972" ht="15.75" customHeight="1">
      <c r="A972" s="275"/>
      <c r="B972" s="275"/>
      <c r="C972" s="286"/>
      <c r="D972" s="275"/>
      <c r="E972" s="275"/>
      <c r="F972" s="275"/>
      <c r="G972" s="275"/>
      <c r="H972" s="275"/>
      <c r="I972" s="275"/>
      <c r="J972" s="275"/>
      <c r="K972" s="286"/>
      <c r="L972" s="286"/>
      <c r="M972" s="286"/>
      <c r="N972" s="275"/>
      <c r="O972" s="275"/>
      <c r="P972" s="275"/>
      <c r="Q972" s="275"/>
      <c r="R972" s="275"/>
      <c r="S972" s="275"/>
      <c r="T972" s="275"/>
      <c r="U972" s="275"/>
      <c r="V972" s="275"/>
      <c r="W972" s="275"/>
      <c r="X972" s="275"/>
      <c r="Y972" s="275"/>
      <c r="Z972" s="275"/>
      <c r="AA972" s="275"/>
    </row>
    <row r="973" ht="15.75" customHeight="1">
      <c r="A973" s="275"/>
      <c r="B973" s="275"/>
      <c r="C973" s="286"/>
      <c r="D973" s="275"/>
      <c r="E973" s="275"/>
      <c r="F973" s="275"/>
      <c r="G973" s="275"/>
      <c r="H973" s="275"/>
      <c r="I973" s="275"/>
      <c r="J973" s="275"/>
      <c r="K973" s="286"/>
      <c r="L973" s="286"/>
      <c r="M973" s="286"/>
      <c r="N973" s="275"/>
      <c r="O973" s="275"/>
      <c r="P973" s="275"/>
      <c r="Q973" s="275"/>
      <c r="R973" s="275"/>
      <c r="S973" s="275"/>
      <c r="T973" s="275"/>
      <c r="U973" s="275"/>
      <c r="V973" s="275"/>
      <c r="W973" s="275"/>
      <c r="X973" s="275"/>
      <c r="Y973" s="275"/>
      <c r="Z973" s="275"/>
      <c r="AA973" s="275"/>
    </row>
    <row r="974" ht="15.75" customHeight="1">
      <c r="A974" s="275"/>
      <c r="B974" s="275"/>
      <c r="C974" s="286"/>
      <c r="D974" s="275"/>
      <c r="E974" s="275"/>
      <c r="F974" s="275"/>
      <c r="G974" s="275"/>
      <c r="H974" s="275"/>
      <c r="I974" s="275"/>
      <c r="J974" s="275"/>
      <c r="K974" s="286"/>
      <c r="L974" s="286"/>
      <c r="M974" s="286"/>
      <c r="N974" s="275"/>
      <c r="O974" s="275"/>
      <c r="P974" s="275"/>
      <c r="Q974" s="275"/>
      <c r="R974" s="275"/>
      <c r="S974" s="275"/>
      <c r="T974" s="275"/>
      <c r="U974" s="275"/>
      <c r="V974" s="275"/>
      <c r="W974" s="275"/>
      <c r="X974" s="275"/>
      <c r="Y974" s="275"/>
      <c r="Z974" s="275"/>
      <c r="AA974" s="275"/>
    </row>
    <row r="975" ht="15.75" customHeight="1">
      <c r="A975" s="275"/>
      <c r="B975" s="275"/>
      <c r="C975" s="286"/>
      <c r="D975" s="275"/>
      <c r="E975" s="275"/>
      <c r="F975" s="275"/>
      <c r="G975" s="275"/>
      <c r="H975" s="275"/>
      <c r="I975" s="275"/>
      <c r="J975" s="275"/>
      <c r="K975" s="286"/>
      <c r="L975" s="286"/>
      <c r="M975" s="286"/>
      <c r="N975" s="275"/>
      <c r="O975" s="275"/>
      <c r="P975" s="275"/>
      <c r="Q975" s="275"/>
      <c r="R975" s="275"/>
      <c r="S975" s="275"/>
      <c r="T975" s="275"/>
      <c r="U975" s="275"/>
      <c r="V975" s="275"/>
      <c r="W975" s="275"/>
      <c r="X975" s="275"/>
      <c r="Y975" s="275"/>
      <c r="Z975" s="275"/>
      <c r="AA975" s="275"/>
    </row>
    <row r="976" ht="15.75" customHeight="1">
      <c r="A976" s="275"/>
      <c r="B976" s="275"/>
      <c r="C976" s="286"/>
      <c r="D976" s="275"/>
      <c r="E976" s="275"/>
      <c r="F976" s="275"/>
      <c r="G976" s="275"/>
      <c r="H976" s="275"/>
      <c r="I976" s="275"/>
      <c r="J976" s="275"/>
      <c r="K976" s="286"/>
      <c r="L976" s="286"/>
      <c r="M976" s="286"/>
      <c r="N976" s="275"/>
      <c r="O976" s="275"/>
      <c r="P976" s="275"/>
      <c r="Q976" s="275"/>
      <c r="R976" s="275"/>
      <c r="S976" s="275"/>
      <c r="T976" s="275"/>
      <c r="U976" s="275"/>
      <c r="V976" s="275"/>
      <c r="W976" s="275"/>
      <c r="X976" s="275"/>
      <c r="Y976" s="275"/>
      <c r="Z976" s="275"/>
      <c r="AA976" s="275"/>
    </row>
    <row r="977" ht="15.75" customHeight="1">
      <c r="A977" s="275"/>
      <c r="B977" s="275"/>
      <c r="C977" s="286"/>
      <c r="D977" s="275"/>
      <c r="E977" s="275"/>
      <c r="F977" s="275"/>
      <c r="G977" s="275"/>
      <c r="H977" s="275"/>
      <c r="I977" s="275"/>
      <c r="J977" s="275"/>
      <c r="K977" s="286"/>
      <c r="L977" s="286"/>
      <c r="M977" s="286"/>
      <c r="N977" s="275"/>
      <c r="O977" s="275"/>
      <c r="P977" s="275"/>
      <c r="Q977" s="275"/>
      <c r="R977" s="275"/>
      <c r="S977" s="275"/>
      <c r="T977" s="275"/>
      <c r="U977" s="275"/>
      <c r="V977" s="275"/>
      <c r="W977" s="275"/>
      <c r="X977" s="275"/>
      <c r="Y977" s="275"/>
      <c r="Z977" s="275"/>
      <c r="AA977" s="275"/>
    </row>
    <row r="978" ht="15.75" customHeight="1">
      <c r="A978" s="275"/>
      <c r="B978" s="275"/>
      <c r="C978" s="286"/>
      <c r="D978" s="275"/>
      <c r="E978" s="275"/>
      <c r="F978" s="275"/>
      <c r="G978" s="275"/>
      <c r="H978" s="275"/>
      <c r="I978" s="275"/>
      <c r="J978" s="275"/>
      <c r="K978" s="286"/>
      <c r="L978" s="286"/>
      <c r="M978" s="286"/>
      <c r="N978" s="275"/>
      <c r="O978" s="275"/>
      <c r="P978" s="275"/>
      <c r="Q978" s="275"/>
      <c r="R978" s="275"/>
      <c r="S978" s="275"/>
      <c r="T978" s="275"/>
      <c r="U978" s="275"/>
      <c r="V978" s="275"/>
      <c r="W978" s="275"/>
      <c r="X978" s="275"/>
      <c r="Y978" s="275"/>
      <c r="Z978" s="275"/>
      <c r="AA978" s="275"/>
    </row>
    <row r="979" ht="15.75" customHeight="1">
      <c r="A979" s="275"/>
      <c r="B979" s="275"/>
      <c r="C979" s="286"/>
      <c r="D979" s="275"/>
      <c r="E979" s="275"/>
      <c r="F979" s="275"/>
      <c r="G979" s="275"/>
      <c r="H979" s="275"/>
      <c r="I979" s="275"/>
      <c r="J979" s="275"/>
      <c r="K979" s="286"/>
      <c r="L979" s="286"/>
      <c r="M979" s="286"/>
      <c r="N979" s="275"/>
      <c r="O979" s="275"/>
      <c r="P979" s="275"/>
      <c r="Q979" s="275"/>
      <c r="R979" s="275"/>
      <c r="S979" s="275"/>
      <c r="T979" s="275"/>
      <c r="U979" s="275"/>
      <c r="V979" s="275"/>
      <c r="W979" s="275"/>
      <c r="X979" s="275"/>
      <c r="Y979" s="275"/>
      <c r="Z979" s="275"/>
      <c r="AA979" s="275"/>
    </row>
    <row r="980" ht="15.75" customHeight="1">
      <c r="A980" s="275"/>
      <c r="B980" s="275"/>
      <c r="C980" s="286"/>
      <c r="D980" s="275"/>
      <c r="E980" s="275"/>
      <c r="F980" s="275"/>
      <c r="G980" s="275"/>
      <c r="H980" s="275"/>
      <c r="I980" s="275"/>
      <c r="J980" s="275"/>
      <c r="K980" s="286"/>
      <c r="L980" s="286"/>
      <c r="M980" s="286"/>
      <c r="N980" s="275"/>
      <c r="O980" s="275"/>
      <c r="P980" s="275"/>
      <c r="Q980" s="275"/>
      <c r="R980" s="275"/>
      <c r="S980" s="275"/>
      <c r="T980" s="275"/>
      <c r="U980" s="275"/>
      <c r="V980" s="275"/>
      <c r="W980" s="275"/>
      <c r="X980" s="275"/>
      <c r="Y980" s="275"/>
      <c r="Z980" s="275"/>
      <c r="AA980" s="275"/>
    </row>
    <row r="981" ht="15.75" customHeight="1">
      <c r="A981" s="275"/>
      <c r="B981" s="275"/>
      <c r="C981" s="286"/>
      <c r="D981" s="275"/>
      <c r="E981" s="275"/>
      <c r="F981" s="275"/>
      <c r="G981" s="275"/>
      <c r="H981" s="275"/>
      <c r="I981" s="275"/>
      <c r="J981" s="275"/>
      <c r="K981" s="286"/>
      <c r="L981" s="286"/>
      <c r="M981" s="286"/>
      <c r="N981" s="275"/>
      <c r="O981" s="275"/>
      <c r="P981" s="275"/>
      <c r="Q981" s="275"/>
      <c r="R981" s="275"/>
      <c r="S981" s="275"/>
      <c r="T981" s="275"/>
      <c r="U981" s="275"/>
      <c r="V981" s="275"/>
      <c r="W981" s="275"/>
      <c r="X981" s="275"/>
      <c r="Y981" s="275"/>
      <c r="Z981" s="275"/>
      <c r="AA981" s="275"/>
    </row>
    <row r="982" ht="15.75" customHeight="1">
      <c r="A982" s="275"/>
      <c r="B982" s="275"/>
      <c r="C982" s="286"/>
      <c r="D982" s="275"/>
      <c r="E982" s="275"/>
      <c r="F982" s="275"/>
      <c r="G982" s="275"/>
      <c r="H982" s="275"/>
      <c r="I982" s="275"/>
      <c r="J982" s="275"/>
      <c r="K982" s="286"/>
      <c r="L982" s="286"/>
      <c r="M982" s="286"/>
      <c r="N982" s="275"/>
      <c r="O982" s="275"/>
      <c r="P982" s="275"/>
      <c r="Q982" s="275"/>
      <c r="R982" s="275"/>
      <c r="S982" s="275"/>
      <c r="T982" s="275"/>
      <c r="U982" s="275"/>
      <c r="V982" s="275"/>
      <c r="W982" s="275"/>
      <c r="X982" s="275"/>
      <c r="Y982" s="275"/>
      <c r="Z982" s="275"/>
      <c r="AA982" s="275"/>
    </row>
    <row r="983" ht="15.75" customHeight="1">
      <c r="A983" s="275"/>
      <c r="B983" s="275"/>
      <c r="C983" s="286"/>
      <c r="D983" s="275"/>
      <c r="E983" s="275"/>
      <c r="F983" s="275"/>
      <c r="G983" s="275"/>
      <c r="H983" s="275"/>
      <c r="I983" s="275"/>
      <c r="J983" s="275"/>
      <c r="K983" s="286"/>
      <c r="L983" s="286"/>
      <c r="M983" s="286"/>
      <c r="N983" s="275"/>
      <c r="O983" s="275"/>
      <c r="P983" s="275"/>
      <c r="Q983" s="275"/>
      <c r="R983" s="275"/>
      <c r="S983" s="275"/>
      <c r="T983" s="275"/>
      <c r="U983" s="275"/>
      <c r="V983" s="275"/>
      <c r="W983" s="275"/>
      <c r="X983" s="275"/>
      <c r="Y983" s="275"/>
      <c r="Z983" s="275"/>
      <c r="AA983" s="275"/>
    </row>
    <row r="984" ht="15.75" customHeight="1">
      <c r="A984" s="275"/>
      <c r="B984" s="275"/>
      <c r="C984" s="286"/>
      <c r="D984" s="275"/>
      <c r="E984" s="275"/>
      <c r="F984" s="275"/>
      <c r="G984" s="275"/>
      <c r="H984" s="275"/>
      <c r="I984" s="275"/>
      <c r="J984" s="275"/>
      <c r="K984" s="286"/>
      <c r="L984" s="286"/>
      <c r="M984" s="286"/>
      <c r="N984" s="275"/>
      <c r="O984" s="275"/>
      <c r="P984" s="275"/>
      <c r="Q984" s="275"/>
      <c r="R984" s="275"/>
      <c r="S984" s="275"/>
      <c r="T984" s="275"/>
      <c r="U984" s="275"/>
      <c r="V984" s="275"/>
      <c r="W984" s="275"/>
      <c r="X984" s="275"/>
      <c r="Y984" s="275"/>
      <c r="Z984" s="275"/>
      <c r="AA984" s="275"/>
    </row>
    <row r="985" ht="15.75" customHeight="1">
      <c r="A985" s="275"/>
      <c r="B985" s="275"/>
      <c r="C985" s="286"/>
      <c r="D985" s="275"/>
      <c r="E985" s="275"/>
      <c r="F985" s="275"/>
      <c r="G985" s="275"/>
      <c r="H985" s="275"/>
      <c r="I985" s="275"/>
      <c r="J985" s="275"/>
      <c r="K985" s="286"/>
      <c r="L985" s="286"/>
      <c r="M985" s="286"/>
      <c r="N985" s="275"/>
      <c r="O985" s="275"/>
      <c r="P985" s="275"/>
      <c r="Q985" s="275"/>
      <c r="R985" s="275"/>
      <c r="S985" s="275"/>
      <c r="T985" s="275"/>
      <c r="U985" s="275"/>
      <c r="V985" s="275"/>
      <c r="W985" s="275"/>
      <c r="X985" s="275"/>
      <c r="Y985" s="275"/>
      <c r="Z985" s="275"/>
      <c r="AA985" s="275"/>
    </row>
    <row r="986" ht="15.75" customHeight="1">
      <c r="A986" s="275"/>
      <c r="B986" s="275"/>
      <c r="C986" s="286"/>
      <c r="D986" s="275"/>
      <c r="E986" s="275"/>
      <c r="F986" s="275"/>
      <c r="G986" s="275"/>
      <c r="H986" s="275"/>
      <c r="I986" s="275"/>
      <c r="J986" s="275"/>
      <c r="K986" s="286"/>
      <c r="L986" s="286"/>
      <c r="M986" s="286"/>
      <c r="N986" s="275"/>
      <c r="O986" s="275"/>
      <c r="P986" s="275"/>
      <c r="Q986" s="275"/>
      <c r="R986" s="275"/>
      <c r="S986" s="275"/>
      <c r="T986" s="275"/>
      <c r="U986" s="275"/>
      <c r="V986" s="275"/>
      <c r="W986" s="275"/>
      <c r="X986" s="275"/>
      <c r="Y986" s="275"/>
      <c r="Z986" s="275"/>
      <c r="AA986" s="275"/>
    </row>
    <row r="987" ht="15.75" customHeight="1">
      <c r="A987" s="275"/>
      <c r="B987" s="275"/>
      <c r="C987" s="286"/>
      <c r="D987" s="275"/>
      <c r="E987" s="275"/>
      <c r="F987" s="275"/>
      <c r="G987" s="275"/>
      <c r="H987" s="275"/>
      <c r="I987" s="275"/>
      <c r="J987" s="275"/>
      <c r="K987" s="286"/>
      <c r="L987" s="286"/>
      <c r="M987" s="286"/>
      <c r="N987" s="275"/>
      <c r="O987" s="275"/>
      <c r="P987" s="275"/>
      <c r="Q987" s="275"/>
      <c r="R987" s="275"/>
      <c r="S987" s="275"/>
      <c r="T987" s="275"/>
      <c r="U987" s="275"/>
      <c r="V987" s="275"/>
      <c r="W987" s="275"/>
      <c r="X987" s="275"/>
      <c r="Y987" s="275"/>
      <c r="Z987" s="275"/>
      <c r="AA987" s="275"/>
    </row>
    <row r="988" ht="15.75" customHeight="1">
      <c r="A988" s="275"/>
      <c r="B988" s="275"/>
      <c r="C988" s="286"/>
      <c r="D988" s="275"/>
      <c r="E988" s="275"/>
      <c r="F988" s="275"/>
      <c r="G988" s="275"/>
      <c r="H988" s="275"/>
      <c r="I988" s="275"/>
      <c r="J988" s="275"/>
      <c r="K988" s="286"/>
      <c r="L988" s="286"/>
      <c r="M988" s="286"/>
      <c r="N988" s="275"/>
      <c r="O988" s="275"/>
      <c r="P988" s="275"/>
      <c r="Q988" s="275"/>
      <c r="R988" s="275"/>
      <c r="S988" s="275"/>
      <c r="T988" s="275"/>
      <c r="U988" s="275"/>
      <c r="V988" s="275"/>
      <c r="W988" s="275"/>
      <c r="X988" s="275"/>
      <c r="Y988" s="275"/>
      <c r="Z988" s="275"/>
      <c r="AA988" s="275"/>
    </row>
    <row r="989" ht="15.75" customHeight="1">
      <c r="A989" s="275"/>
      <c r="B989" s="275"/>
      <c r="C989" s="286"/>
      <c r="D989" s="275"/>
      <c r="E989" s="275"/>
      <c r="F989" s="275"/>
      <c r="G989" s="275"/>
      <c r="H989" s="275"/>
      <c r="I989" s="275"/>
      <c r="J989" s="275"/>
      <c r="K989" s="286"/>
      <c r="L989" s="286"/>
      <c r="M989" s="286"/>
      <c r="N989" s="275"/>
      <c r="O989" s="275"/>
      <c r="P989" s="275"/>
      <c r="Q989" s="275"/>
      <c r="R989" s="275"/>
      <c r="S989" s="275"/>
      <c r="T989" s="275"/>
      <c r="U989" s="275"/>
      <c r="V989" s="275"/>
      <c r="W989" s="275"/>
      <c r="X989" s="275"/>
      <c r="Y989" s="275"/>
      <c r="Z989" s="275"/>
      <c r="AA989" s="275"/>
    </row>
    <row r="990" ht="15.75" customHeight="1">
      <c r="A990" s="275"/>
      <c r="B990" s="275"/>
      <c r="C990" s="286"/>
      <c r="D990" s="275"/>
      <c r="E990" s="275"/>
      <c r="F990" s="275"/>
      <c r="G990" s="275"/>
      <c r="H990" s="275"/>
      <c r="I990" s="275"/>
      <c r="J990" s="275"/>
      <c r="K990" s="286"/>
      <c r="L990" s="286"/>
      <c r="M990" s="286"/>
      <c r="N990" s="275"/>
      <c r="O990" s="275"/>
      <c r="P990" s="275"/>
      <c r="Q990" s="275"/>
      <c r="R990" s="275"/>
      <c r="S990" s="275"/>
      <c r="T990" s="275"/>
      <c r="U990" s="275"/>
      <c r="V990" s="275"/>
      <c r="W990" s="275"/>
      <c r="X990" s="275"/>
      <c r="Y990" s="275"/>
      <c r="Z990" s="275"/>
      <c r="AA990" s="275"/>
    </row>
    <row r="991" ht="15.75" customHeight="1">
      <c r="A991" s="275"/>
      <c r="B991" s="275"/>
      <c r="C991" s="286"/>
      <c r="D991" s="275"/>
      <c r="E991" s="275"/>
      <c r="F991" s="275"/>
      <c r="G991" s="275"/>
      <c r="H991" s="275"/>
      <c r="I991" s="275"/>
      <c r="J991" s="275"/>
      <c r="K991" s="286"/>
      <c r="L991" s="286"/>
      <c r="M991" s="286"/>
      <c r="N991" s="275"/>
      <c r="O991" s="275"/>
      <c r="P991" s="275"/>
      <c r="Q991" s="275"/>
      <c r="R991" s="275"/>
      <c r="S991" s="275"/>
      <c r="T991" s="275"/>
      <c r="U991" s="275"/>
      <c r="V991" s="275"/>
      <c r="W991" s="275"/>
      <c r="X991" s="275"/>
      <c r="Y991" s="275"/>
      <c r="Z991" s="275"/>
      <c r="AA991" s="275"/>
    </row>
    <row r="992" ht="15.75" customHeight="1">
      <c r="A992" s="275"/>
      <c r="B992" s="275"/>
      <c r="C992" s="286"/>
      <c r="D992" s="275"/>
      <c r="E992" s="275"/>
      <c r="F992" s="275"/>
      <c r="G992" s="275"/>
      <c r="H992" s="275"/>
      <c r="I992" s="275"/>
      <c r="J992" s="275"/>
      <c r="K992" s="286"/>
      <c r="L992" s="286"/>
      <c r="M992" s="286"/>
      <c r="N992" s="275"/>
      <c r="O992" s="275"/>
      <c r="P992" s="275"/>
      <c r="Q992" s="275"/>
      <c r="R992" s="275"/>
      <c r="S992" s="275"/>
      <c r="T992" s="275"/>
      <c r="U992" s="275"/>
      <c r="V992" s="275"/>
      <c r="W992" s="275"/>
      <c r="X992" s="275"/>
      <c r="Y992" s="275"/>
      <c r="Z992" s="275"/>
      <c r="AA992" s="275"/>
    </row>
    <row r="993" ht="15.75" customHeight="1">
      <c r="A993" s="275"/>
      <c r="B993" s="275"/>
      <c r="C993" s="286"/>
      <c r="D993" s="275"/>
      <c r="E993" s="275"/>
      <c r="F993" s="275"/>
      <c r="G993" s="275"/>
      <c r="H993" s="275"/>
      <c r="I993" s="275"/>
      <c r="J993" s="275"/>
      <c r="K993" s="286"/>
      <c r="L993" s="286"/>
      <c r="M993" s="286"/>
      <c r="N993" s="275"/>
      <c r="O993" s="275"/>
      <c r="P993" s="275"/>
      <c r="Q993" s="275"/>
      <c r="R993" s="275"/>
      <c r="S993" s="275"/>
      <c r="T993" s="275"/>
      <c r="U993" s="275"/>
      <c r="V993" s="275"/>
      <c r="W993" s="275"/>
      <c r="X993" s="275"/>
      <c r="Y993" s="275"/>
      <c r="Z993" s="275"/>
      <c r="AA993" s="275"/>
    </row>
    <row r="994" ht="15.75" customHeight="1">
      <c r="A994" s="275"/>
      <c r="B994" s="275"/>
      <c r="C994" s="286"/>
      <c r="D994" s="275"/>
      <c r="E994" s="275"/>
      <c r="F994" s="275"/>
      <c r="G994" s="275"/>
      <c r="H994" s="275"/>
      <c r="I994" s="275"/>
      <c r="J994" s="275"/>
      <c r="K994" s="286"/>
      <c r="L994" s="286"/>
      <c r="M994" s="286"/>
      <c r="N994" s="275"/>
      <c r="O994" s="275"/>
      <c r="P994" s="275"/>
      <c r="Q994" s="275"/>
      <c r="R994" s="275"/>
      <c r="S994" s="275"/>
      <c r="T994" s="275"/>
      <c r="U994" s="275"/>
      <c r="V994" s="275"/>
      <c r="W994" s="275"/>
      <c r="X994" s="275"/>
      <c r="Y994" s="275"/>
      <c r="Z994" s="275"/>
      <c r="AA994" s="275"/>
    </row>
    <row r="995" ht="15.75" customHeight="1">
      <c r="A995" s="275"/>
      <c r="B995" s="275"/>
      <c r="C995" s="286"/>
      <c r="D995" s="275"/>
      <c r="E995" s="275"/>
      <c r="F995" s="275"/>
      <c r="G995" s="275"/>
      <c r="H995" s="275"/>
      <c r="I995" s="275"/>
      <c r="J995" s="275"/>
      <c r="K995" s="286"/>
      <c r="L995" s="286"/>
      <c r="M995" s="286"/>
      <c r="N995" s="275"/>
      <c r="O995" s="275"/>
      <c r="P995" s="275"/>
      <c r="Q995" s="275"/>
      <c r="R995" s="275"/>
      <c r="S995" s="275"/>
      <c r="T995" s="275"/>
      <c r="U995" s="275"/>
      <c r="V995" s="275"/>
      <c r="W995" s="275"/>
      <c r="X995" s="275"/>
      <c r="Y995" s="275"/>
      <c r="Z995" s="275"/>
      <c r="AA995" s="275"/>
    </row>
    <row r="996" ht="15.75" customHeight="1">
      <c r="A996" s="275"/>
      <c r="B996" s="275"/>
      <c r="C996" s="286"/>
      <c r="D996" s="275"/>
      <c r="E996" s="275"/>
      <c r="F996" s="275"/>
      <c r="G996" s="275"/>
      <c r="H996" s="275"/>
      <c r="I996" s="275"/>
      <c r="J996" s="275"/>
      <c r="K996" s="286"/>
      <c r="L996" s="286"/>
      <c r="M996" s="286"/>
      <c r="N996" s="275"/>
      <c r="O996" s="275"/>
      <c r="P996" s="275"/>
      <c r="Q996" s="275"/>
      <c r="R996" s="275"/>
      <c r="S996" s="275"/>
      <c r="T996" s="275"/>
      <c r="U996" s="275"/>
      <c r="V996" s="275"/>
      <c r="W996" s="275"/>
      <c r="X996" s="275"/>
      <c r="Y996" s="275"/>
      <c r="Z996" s="275"/>
      <c r="AA996" s="275"/>
    </row>
    <row r="997" ht="15.75" customHeight="1">
      <c r="A997" s="275"/>
      <c r="B997" s="275"/>
      <c r="C997" s="286"/>
      <c r="D997" s="275"/>
      <c r="E997" s="275"/>
      <c r="F997" s="275"/>
      <c r="G997" s="275"/>
      <c r="H997" s="275"/>
      <c r="I997" s="275"/>
      <c r="J997" s="275"/>
      <c r="K997" s="286"/>
      <c r="L997" s="286"/>
      <c r="M997" s="286"/>
      <c r="N997" s="275"/>
      <c r="O997" s="275"/>
      <c r="P997" s="275"/>
      <c r="Q997" s="275"/>
      <c r="R997" s="275"/>
      <c r="S997" s="275"/>
      <c r="T997" s="275"/>
      <c r="U997" s="275"/>
      <c r="V997" s="275"/>
      <c r="W997" s="275"/>
      <c r="X997" s="275"/>
      <c r="Y997" s="275"/>
      <c r="Z997" s="275"/>
      <c r="AA997" s="275"/>
    </row>
  </sheetData>
  <mergeCells count="2">
    <mergeCell ref="L15:N15"/>
    <mergeCell ref="H28:K2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3"/>
    <col customWidth="1" min="2" max="2" width="29.38"/>
    <col customWidth="1" min="3" max="3" width="11.25"/>
    <col customWidth="1" min="4" max="4" width="9.63"/>
    <col customWidth="1" min="5" max="6" width="8.13"/>
    <col customWidth="1" min="7" max="7" width="11.13"/>
    <col customWidth="1" min="8" max="8" width="11.0"/>
    <col customWidth="1" min="9" max="9" width="9.0"/>
    <col customWidth="1" min="10" max="180" width="2.0"/>
  </cols>
  <sheetData>
    <row r="1" ht="15.75" customHeight="1">
      <c r="A1" s="27"/>
      <c r="B1" s="311" t="s">
        <v>372</v>
      </c>
      <c r="C1" s="312">
        <v>45525.0</v>
      </c>
      <c r="E1" s="313"/>
      <c r="F1" s="36" t="s">
        <v>373</v>
      </c>
      <c r="G1" s="314">
        <f>Sum(F5,F6,F9,F11-4,F12,F13,F14,F16)</f>
        <v>3</v>
      </c>
      <c r="H1" s="315"/>
      <c r="I1" s="26"/>
      <c r="J1" s="316">
        <f>J2</f>
        <v>45523</v>
      </c>
      <c r="Q1" s="316">
        <f>Q2</f>
        <v>45530</v>
      </c>
      <c r="X1" s="316">
        <f>X2</f>
        <v>45537</v>
      </c>
      <c r="AE1" s="316">
        <f>AE2</f>
        <v>45544</v>
      </c>
      <c r="AL1" s="316">
        <f>AL2</f>
        <v>45551</v>
      </c>
      <c r="AS1" s="316">
        <f>AS2</f>
        <v>45558</v>
      </c>
      <c r="AZ1" s="316">
        <f>AZ2</f>
        <v>45565</v>
      </c>
      <c r="BG1" s="316">
        <f>BG2</f>
        <v>45572</v>
      </c>
      <c r="BN1" s="316">
        <f>BN2</f>
        <v>45579</v>
      </c>
      <c r="BU1" s="316">
        <f>BU2</f>
        <v>45586</v>
      </c>
      <c r="CB1" s="316">
        <f>CB2</f>
        <v>45593</v>
      </c>
      <c r="CI1" s="316">
        <f>CI2</f>
        <v>45600</v>
      </c>
      <c r="CN1" s="316">
        <f>CN2</f>
        <v>45605</v>
      </c>
      <c r="CS1" s="316">
        <f>CS2</f>
        <v>45610</v>
      </c>
      <c r="CX1" s="316">
        <f>CX2</f>
        <v>45615</v>
      </c>
      <c r="DC1" s="316">
        <f>DC2</f>
        <v>45620</v>
      </c>
      <c r="DH1" s="316">
        <f>DH2</f>
        <v>45625</v>
      </c>
      <c r="DJ1" s="316"/>
      <c r="DK1" s="316"/>
      <c r="DL1" s="316"/>
      <c r="DM1" s="316"/>
      <c r="DN1" s="316"/>
      <c r="DO1" s="316"/>
      <c r="DP1" s="316"/>
      <c r="DQ1" s="316"/>
      <c r="DR1" s="316"/>
      <c r="DS1" s="316"/>
      <c r="DT1" s="316"/>
      <c r="DU1" s="316"/>
      <c r="DV1" s="316"/>
      <c r="DW1" s="316"/>
      <c r="DX1" s="316"/>
      <c r="DY1" s="316"/>
      <c r="DZ1" s="316"/>
      <c r="EA1" s="316"/>
      <c r="EB1" s="316"/>
      <c r="EC1" s="316"/>
      <c r="ED1" s="316"/>
      <c r="EE1" s="316"/>
      <c r="EF1" s="316"/>
      <c r="EG1" s="316"/>
      <c r="EH1" s="316"/>
      <c r="EI1" s="316"/>
      <c r="EJ1" s="316"/>
      <c r="EK1" s="316"/>
      <c r="EL1" s="316"/>
      <c r="EM1" s="316"/>
      <c r="EN1" s="316"/>
      <c r="EO1" s="316"/>
      <c r="EP1" s="316"/>
      <c r="EQ1" s="316"/>
      <c r="ER1" s="316"/>
      <c r="ES1" s="316"/>
      <c r="ET1" s="316"/>
      <c r="EU1" s="316"/>
      <c r="EV1" s="316"/>
      <c r="EW1" s="316"/>
      <c r="EX1" s="316"/>
      <c r="EY1" s="316"/>
      <c r="EZ1" s="316"/>
      <c r="FA1" s="316"/>
      <c r="FB1" s="316"/>
      <c r="FC1" s="316"/>
      <c r="FD1" s="316"/>
      <c r="FE1" s="316"/>
      <c r="FF1" s="316"/>
      <c r="FG1" s="316"/>
      <c r="FH1" s="316"/>
      <c r="FI1" s="316"/>
      <c r="FJ1" s="316"/>
      <c r="FK1" s="316"/>
      <c r="FL1" s="316"/>
      <c r="FM1" s="316"/>
      <c r="FN1" s="316"/>
      <c r="FO1" s="316"/>
      <c r="FP1" s="316"/>
      <c r="FQ1" s="316"/>
      <c r="FR1" s="316"/>
      <c r="FS1" s="316"/>
      <c r="FT1" s="316"/>
      <c r="FU1" s="316"/>
      <c r="FV1" s="316"/>
      <c r="FW1" s="316"/>
      <c r="FX1" s="316"/>
    </row>
    <row r="2" ht="39.0" customHeight="1">
      <c r="A2" s="40" t="s">
        <v>42</v>
      </c>
      <c r="B2" s="40" t="s">
        <v>43</v>
      </c>
      <c r="C2" s="40" t="s">
        <v>374</v>
      </c>
      <c r="D2" s="40" t="s">
        <v>375</v>
      </c>
      <c r="E2" s="317" t="s">
        <v>44</v>
      </c>
      <c r="F2" s="39" t="s">
        <v>376</v>
      </c>
      <c r="G2" s="39" t="s">
        <v>45</v>
      </c>
      <c r="H2" s="39" t="s">
        <v>46</v>
      </c>
      <c r="I2" s="39" t="s">
        <v>47</v>
      </c>
      <c r="J2" s="318">
        <f>C1-WEEKDAY(C1,3)</f>
        <v>45523</v>
      </c>
      <c r="K2" s="318">
        <f t="shared" ref="K2:FX2" si="1">J2+1</f>
        <v>45524</v>
      </c>
      <c r="L2" s="318">
        <f t="shared" si="1"/>
        <v>45525</v>
      </c>
      <c r="M2" s="318">
        <f t="shared" si="1"/>
        <v>45526</v>
      </c>
      <c r="N2" s="318">
        <f t="shared" si="1"/>
        <v>45527</v>
      </c>
      <c r="O2" s="318">
        <f t="shared" si="1"/>
        <v>45528</v>
      </c>
      <c r="P2" s="318">
        <f t="shared" si="1"/>
        <v>45529</v>
      </c>
      <c r="Q2" s="318">
        <f t="shared" si="1"/>
        <v>45530</v>
      </c>
      <c r="R2" s="318">
        <f t="shared" si="1"/>
        <v>45531</v>
      </c>
      <c r="S2" s="318">
        <f t="shared" si="1"/>
        <v>45532</v>
      </c>
      <c r="T2" s="318">
        <f t="shared" si="1"/>
        <v>45533</v>
      </c>
      <c r="U2" s="318">
        <f t="shared" si="1"/>
        <v>45534</v>
      </c>
      <c r="V2" s="318">
        <f t="shared" si="1"/>
        <v>45535</v>
      </c>
      <c r="W2" s="318">
        <f t="shared" si="1"/>
        <v>45536</v>
      </c>
      <c r="X2" s="318">
        <f t="shared" si="1"/>
        <v>45537</v>
      </c>
      <c r="Y2" s="318">
        <f t="shared" si="1"/>
        <v>45538</v>
      </c>
      <c r="Z2" s="318">
        <f t="shared" si="1"/>
        <v>45539</v>
      </c>
      <c r="AA2" s="318">
        <f t="shared" si="1"/>
        <v>45540</v>
      </c>
      <c r="AB2" s="318">
        <f t="shared" si="1"/>
        <v>45541</v>
      </c>
      <c r="AC2" s="318">
        <f t="shared" si="1"/>
        <v>45542</v>
      </c>
      <c r="AD2" s="318">
        <f t="shared" si="1"/>
        <v>45543</v>
      </c>
      <c r="AE2" s="318">
        <f t="shared" si="1"/>
        <v>45544</v>
      </c>
      <c r="AF2" s="318">
        <f t="shared" si="1"/>
        <v>45545</v>
      </c>
      <c r="AG2" s="318">
        <f t="shared" si="1"/>
        <v>45546</v>
      </c>
      <c r="AH2" s="318">
        <f t="shared" si="1"/>
        <v>45547</v>
      </c>
      <c r="AI2" s="318">
        <f t="shared" si="1"/>
        <v>45548</v>
      </c>
      <c r="AJ2" s="318">
        <f t="shared" si="1"/>
        <v>45549</v>
      </c>
      <c r="AK2" s="318">
        <f t="shared" si="1"/>
        <v>45550</v>
      </c>
      <c r="AL2" s="318">
        <f t="shared" si="1"/>
        <v>45551</v>
      </c>
      <c r="AM2" s="318">
        <f t="shared" si="1"/>
        <v>45552</v>
      </c>
      <c r="AN2" s="318">
        <f t="shared" si="1"/>
        <v>45553</v>
      </c>
      <c r="AO2" s="318">
        <f t="shared" si="1"/>
        <v>45554</v>
      </c>
      <c r="AP2" s="318">
        <f t="shared" si="1"/>
        <v>45555</v>
      </c>
      <c r="AQ2" s="318">
        <f t="shared" si="1"/>
        <v>45556</v>
      </c>
      <c r="AR2" s="318">
        <f t="shared" si="1"/>
        <v>45557</v>
      </c>
      <c r="AS2" s="318">
        <f t="shared" si="1"/>
        <v>45558</v>
      </c>
      <c r="AT2" s="318">
        <f t="shared" si="1"/>
        <v>45559</v>
      </c>
      <c r="AU2" s="318">
        <f t="shared" si="1"/>
        <v>45560</v>
      </c>
      <c r="AV2" s="318">
        <f t="shared" si="1"/>
        <v>45561</v>
      </c>
      <c r="AW2" s="318">
        <f t="shared" si="1"/>
        <v>45562</v>
      </c>
      <c r="AX2" s="318">
        <f t="shared" si="1"/>
        <v>45563</v>
      </c>
      <c r="AY2" s="318">
        <f t="shared" si="1"/>
        <v>45564</v>
      </c>
      <c r="AZ2" s="318">
        <f t="shared" si="1"/>
        <v>45565</v>
      </c>
      <c r="BA2" s="318">
        <f t="shared" si="1"/>
        <v>45566</v>
      </c>
      <c r="BB2" s="318">
        <f t="shared" si="1"/>
        <v>45567</v>
      </c>
      <c r="BC2" s="318">
        <f t="shared" si="1"/>
        <v>45568</v>
      </c>
      <c r="BD2" s="318">
        <f t="shared" si="1"/>
        <v>45569</v>
      </c>
      <c r="BE2" s="318">
        <f t="shared" si="1"/>
        <v>45570</v>
      </c>
      <c r="BF2" s="318">
        <f t="shared" si="1"/>
        <v>45571</v>
      </c>
      <c r="BG2" s="318">
        <f t="shared" si="1"/>
        <v>45572</v>
      </c>
      <c r="BH2" s="318">
        <f t="shared" si="1"/>
        <v>45573</v>
      </c>
      <c r="BI2" s="318">
        <f t="shared" si="1"/>
        <v>45574</v>
      </c>
      <c r="BJ2" s="318">
        <f t="shared" si="1"/>
        <v>45575</v>
      </c>
      <c r="BK2" s="318">
        <f t="shared" si="1"/>
        <v>45576</v>
      </c>
      <c r="BL2" s="318">
        <f t="shared" si="1"/>
        <v>45577</v>
      </c>
      <c r="BM2" s="318">
        <f t="shared" si="1"/>
        <v>45578</v>
      </c>
      <c r="BN2" s="318">
        <f t="shared" si="1"/>
        <v>45579</v>
      </c>
      <c r="BO2" s="318">
        <f t="shared" si="1"/>
        <v>45580</v>
      </c>
      <c r="BP2" s="318">
        <f t="shared" si="1"/>
        <v>45581</v>
      </c>
      <c r="BQ2" s="318">
        <f t="shared" si="1"/>
        <v>45582</v>
      </c>
      <c r="BR2" s="318">
        <f t="shared" si="1"/>
        <v>45583</v>
      </c>
      <c r="BS2" s="318">
        <f t="shared" si="1"/>
        <v>45584</v>
      </c>
      <c r="BT2" s="318">
        <f t="shared" si="1"/>
        <v>45585</v>
      </c>
      <c r="BU2" s="318">
        <f t="shared" si="1"/>
        <v>45586</v>
      </c>
      <c r="BV2" s="318">
        <f t="shared" si="1"/>
        <v>45587</v>
      </c>
      <c r="BW2" s="318">
        <f t="shared" si="1"/>
        <v>45588</v>
      </c>
      <c r="BX2" s="318">
        <f t="shared" si="1"/>
        <v>45589</v>
      </c>
      <c r="BY2" s="318">
        <f t="shared" si="1"/>
        <v>45590</v>
      </c>
      <c r="BZ2" s="318">
        <f t="shared" si="1"/>
        <v>45591</v>
      </c>
      <c r="CA2" s="318">
        <f t="shared" si="1"/>
        <v>45592</v>
      </c>
      <c r="CB2" s="318">
        <f t="shared" si="1"/>
        <v>45593</v>
      </c>
      <c r="CC2" s="318">
        <f t="shared" si="1"/>
        <v>45594</v>
      </c>
      <c r="CD2" s="318">
        <f t="shared" si="1"/>
        <v>45595</v>
      </c>
      <c r="CE2" s="318">
        <f t="shared" si="1"/>
        <v>45596</v>
      </c>
      <c r="CF2" s="318">
        <f t="shared" si="1"/>
        <v>45597</v>
      </c>
      <c r="CG2" s="318">
        <f t="shared" si="1"/>
        <v>45598</v>
      </c>
      <c r="CH2" s="318">
        <f t="shared" si="1"/>
        <v>45599</v>
      </c>
      <c r="CI2" s="318">
        <f t="shared" si="1"/>
        <v>45600</v>
      </c>
      <c r="CJ2" s="318">
        <f t="shared" si="1"/>
        <v>45601</v>
      </c>
      <c r="CK2" s="318">
        <f t="shared" si="1"/>
        <v>45602</v>
      </c>
      <c r="CL2" s="318">
        <f t="shared" si="1"/>
        <v>45603</v>
      </c>
      <c r="CM2" s="318">
        <f t="shared" si="1"/>
        <v>45604</v>
      </c>
      <c r="CN2" s="318">
        <f t="shared" si="1"/>
        <v>45605</v>
      </c>
      <c r="CO2" s="318">
        <f t="shared" si="1"/>
        <v>45606</v>
      </c>
      <c r="CP2" s="318">
        <f t="shared" si="1"/>
        <v>45607</v>
      </c>
      <c r="CQ2" s="318">
        <f t="shared" si="1"/>
        <v>45608</v>
      </c>
      <c r="CR2" s="318">
        <f t="shared" si="1"/>
        <v>45609</v>
      </c>
      <c r="CS2" s="318">
        <f t="shared" si="1"/>
        <v>45610</v>
      </c>
      <c r="CT2" s="318">
        <f t="shared" si="1"/>
        <v>45611</v>
      </c>
      <c r="CU2" s="318">
        <f t="shared" si="1"/>
        <v>45612</v>
      </c>
      <c r="CV2" s="318">
        <f t="shared" si="1"/>
        <v>45613</v>
      </c>
      <c r="CW2" s="318">
        <f t="shared" si="1"/>
        <v>45614</v>
      </c>
      <c r="CX2" s="318">
        <f t="shared" si="1"/>
        <v>45615</v>
      </c>
      <c r="CY2" s="318">
        <f t="shared" si="1"/>
        <v>45616</v>
      </c>
      <c r="CZ2" s="318">
        <f t="shared" si="1"/>
        <v>45617</v>
      </c>
      <c r="DA2" s="318">
        <f t="shared" si="1"/>
        <v>45618</v>
      </c>
      <c r="DB2" s="318">
        <f t="shared" si="1"/>
        <v>45619</v>
      </c>
      <c r="DC2" s="318">
        <f t="shared" si="1"/>
        <v>45620</v>
      </c>
      <c r="DD2" s="318">
        <f t="shared" si="1"/>
        <v>45621</v>
      </c>
      <c r="DE2" s="318">
        <f t="shared" si="1"/>
        <v>45622</v>
      </c>
      <c r="DF2" s="318">
        <f t="shared" si="1"/>
        <v>45623</v>
      </c>
      <c r="DG2" s="318">
        <f t="shared" si="1"/>
        <v>45624</v>
      </c>
      <c r="DH2" s="318">
        <f t="shared" si="1"/>
        <v>45625</v>
      </c>
      <c r="DI2" s="318">
        <f t="shared" si="1"/>
        <v>45626</v>
      </c>
      <c r="DJ2" s="318">
        <f t="shared" si="1"/>
        <v>45627</v>
      </c>
      <c r="DK2" s="318">
        <f t="shared" si="1"/>
        <v>45628</v>
      </c>
      <c r="DL2" s="318">
        <f t="shared" si="1"/>
        <v>45629</v>
      </c>
      <c r="DM2" s="318">
        <f t="shared" si="1"/>
        <v>45630</v>
      </c>
      <c r="DN2" s="318">
        <f t="shared" si="1"/>
        <v>45631</v>
      </c>
      <c r="DO2" s="318">
        <f t="shared" si="1"/>
        <v>45632</v>
      </c>
      <c r="DP2" s="318">
        <f t="shared" si="1"/>
        <v>45633</v>
      </c>
      <c r="DQ2" s="318">
        <f t="shared" si="1"/>
        <v>45634</v>
      </c>
      <c r="DR2" s="318">
        <f t="shared" si="1"/>
        <v>45635</v>
      </c>
      <c r="DS2" s="318">
        <f t="shared" si="1"/>
        <v>45636</v>
      </c>
      <c r="DT2" s="318">
        <f t="shared" si="1"/>
        <v>45637</v>
      </c>
      <c r="DU2" s="318">
        <f t="shared" si="1"/>
        <v>45638</v>
      </c>
      <c r="DV2" s="318">
        <f t="shared" si="1"/>
        <v>45639</v>
      </c>
      <c r="DW2" s="318">
        <f t="shared" si="1"/>
        <v>45640</v>
      </c>
      <c r="DX2" s="318">
        <f t="shared" si="1"/>
        <v>45641</v>
      </c>
      <c r="DY2" s="318">
        <f t="shared" si="1"/>
        <v>45642</v>
      </c>
      <c r="DZ2" s="318">
        <f t="shared" si="1"/>
        <v>45643</v>
      </c>
      <c r="EA2" s="318">
        <f t="shared" si="1"/>
        <v>45644</v>
      </c>
      <c r="EB2" s="318">
        <f t="shared" si="1"/>
        <v>45645</v>
      </c>
      <c r="EC2" s="318">
        <f t="shared" si="1"/>
        <v>45646</v>
      </c>
      <c r="ED2" s="318">
        <f t="shared" si="1"/>
        <v>45647</v>
      </c>
      <c r="EE2" s="318">
        <f t="shared" si="1"/>
        <v>45648</v>
      </c>
      <c r="EF2" s="318">
        <f t="shared" si="1"/>
        <v>45649</v>
      </c>
      <c r="EG2" s="318">
        <f t="shared" si="1"/>
        <v>45650</v>
      </c>
      <c r="EH2" s="318">
        <f t="shared" si="1"/>
        <v>45651</v>
      </c>
      <c r="EI2" s="318">
        <f t="shared" si="1"/>
        <v>45652</v>
      </c>
      <c r="EJ2" s="318">
        <f t="shared" si="1"/>
        <v>45653</v>
      </c>
      <c r="EK2" s="318">
        <f t="shared" si="1"/>
        <v>45654</v>
      </c>
      <c r="EL2" s="318">
        <f t="shared" si="1"/>
        <v>45655</v>
      </c>
      <c r="EM2" s="318">
        <f t="shared" si="1"/>
        <v>45656</v>
      </c>
      <c r="EN2" s="318">
        <f t="shared" si="1"/>
        <v>45657</v>
      </c>
      <c r="EO2" s="318">
        <f t="shared" si="1"/>
        <v>45658</v>
      </c>
      <c r="EP2" s="318">
        <f t="shared" si="1"/>
        <v>45659</v>
      </c>
      <c r="EQ2" s="318">
        <f t="shared" si="1"/>
        <v>45660</v>
      </c>
      <c r="ER2" s="318">
        <f t="shared" si="1"/>
        <v>45661</v>
      </c>
      <c r="ES2" s="318">
        <f t="shared" si="1"/>
        <v>45662</v>
      </c>
      <c r="ET2" s="318">
        <f t="shared" si="1"/>
        <v>45663</v>
      </c>
      <c r="EU2" s="318">
        <f t="shared" si="1"/>
        <v>45664</v>
      </c>
      <c r="EV2" s="318">
        <f t="shared" si="1"/>
        <v>45665</v>
      </c>
      <c r="EW2" s="318">
        <f t="shared" si="1"/>
        <v>45666</v>
      </c>
      <c r="EX2" s="318">
        <f t="shared" si="1"/>
        <v>45667</v>
      </c>
      <c r="EY2" s="318">
        <f t="shared" si="1"/>
        <v>45668</v>
      </c>
      <c r="EZ2" s="318">
        <f t="shared" si="1"/>
        <v>45669</v>
      </c>
      <c r="FA2" s="318">
        <f t="shared" si="1"/>
        <v>45670</v>
      </c>
      <c r="FB2" s="318">
        <f t="shared" si="1"/>
        <v>45671</v>
      </c>
      <c r="FC2" s="318">
        <f t="shared" si="1"/>
        <v>45672</v>
      </c>
      <c r="FD2" s="318">
        <f t="shared" si="1"/>
        <v>45673</v>
      </c>
      <c r="FE2" s="318">
        <f t="shared" si="1"/>
        <v>45674</v>
      </c>
      <c r="FF2" s="318">
        <f t="shared" si="1"/>
        <v>45675</v>
      </c>
      <c r="FG2" s="318">
        <f t="shared" si="1"/>
        <v>45676</v>
      </c>
      <c r="FH2" s="318">
        <f t="shared" si="1"/>
        <v>45677</v>
      </c>
      <c r="FI2" s="318">
        <f t="shared" si="1"/>
        <v>45678</v>
      </c>
      <c r="FJ2" s="318">
        <f t="shared" si="1"/>
        <v>45679</v>
      </c>
      <c r="FK2" s="318">
        <f t="shared" si="1"/>
        <v>45680</v>
      </c>
      <c r="FL2" s="318">
        <f t="shared" si="1"/>
        <v>45681</v>
      </c>
      <c r="FM2" s="318">
        <f t="shared" si="1"/>
        <v>45682</v>
      </c>
      <c r="FN2" s="318">
        <f t="shared" si="1"/>
        <v>45683</v>
      </c>
      <c r="FO2" s="318">
        <f t="shared" si="1"/>
        <v>45684</v>
      </c>
      <c r="FP2" s="318">
        <f t="shared" si="1"/>
        <v>45685</v>
      </c>
      <c r="FQ2" s="318">
        <f t="shared" si="1"/>
        <v>45686</v>
      </c>
      <c r="FR2" s="318">
        <f t="shared" si="1"/>
        <v>45687</v>
      </c>
      <c r="FS2" s="318">
        <f t="shared" si="1"/>
        <v>45688</v>
      </c>
      <c r="FT2" s="318">
        <f t="shared" si="1"/>
        <v>45689</v>
      </c>
      <c r="FU2" s="318">
        <f t="shared" si="1"/>
        <v>45690</v>
      </c>
      <c r="FV2" s="318">
        <f t="shared" si="1"/>
        <v>45691</v>
      </c>
      <c r="FW2" s="318">
        <f t="shared" si="1"/>
        <v>45692</v>
      </c>
      <c r="FX2" s="318">
        <f t="shared" si="1"/>
        <v>45693</v>
      </c>
    </row>
    <row r="3" ht="15.75" customHeight="1">
      <c r="A3" s="30"/>
      <c r="B3" s="319" t="s">
        <v>377</v>
      </c>
      <c r="J3" s="320" t="str">
        <f t="shared" ref="J3:FX3" si="2">LEFT(TEXT(IF(WEEKDAY(J2,2)&gt;5,"S",WEEKDAY(J2)),"ddd"),1)</f>
        <v>M</v>
      </c>
      <c r="K3" s="320" t="str">
        <f t="shared" si="2"/>
        <v>T</v>
      </c>
      <c r="L3" s="320" t="str">
        <f t="shared" si="2"/>
        <v>W</v>
      </c>
      <c r="M3" s="320" t="str">
        <f t="shared" si="2"/>
        <v>T</v>
      </c>
      <c r="N3" s="320" t="str">
        <f t="shared" si="2"/>
        <v>F</v>
      </c>
      <c r="O3" s="320" t="str">
        <f t="shared" si="2"/>
        <v>S</v>
      </c>
      <c r="P3" s="320" t="str">
        <f t="shared" si="2"/>
        <v>S</v>
      </c>
      <c r="Q3" s="320" t="str">
        <f t="shared" si="2"/>
        <v>M</v>
      </c>
      <c r="R3" s="320" t="str">
        <f t="shared" si="2"/>
        <v>T</v>
      </c>
      <c r="S3" s="320" t="str">
        <f t="shared" si="2"/>
        <v>W</v>
      </c>
      <c r="T3" s="320" t="str">
        <f t="shared" si="2"/>
        <v>T</v>
      </c>
      <c r="U3" s="320" t="str">
        <f t="shared" si="2"/>
        <v>F</v>
      </c>
      <c r="V3" s="320" t="str">
        <f t="shared" si="2"/>
        <v>S</v>
      </c>
      <c r="W3" s="320" t="str">
        <f t="shared" si="2"/>
        <v>S</v>
      </c>
      <c r="X3" s="320" t="str">
        <f t="shared" si="2"/>
        <v>M</v>
      </c>
      <c r="Y3" s="320" t="str">
        <f t="shared" si="2"/>
        <v>T</v>
      </c>
      <c r="Z3" s="320" t="str">
        <f t="shared" si="2"/>
        <v>W</v>
      </c>
      <c r="AA3" s="320" t="str">
        <f t="shared" si="2"/>
        <v>T</v>
      </c>
      <c r="AB3" s="320" t="str">
        <f t="shared" si="2"/>
        <v>F</v>
      </c>
      <c r="AC3" s="320" t="str">
        <f t="shared" si="2"/>
        <v>S</v>
      </c>
      <c r="AD3" s="320" t="str">
        <f t="shared" si="2"/>
        <v>S</v>
      </c>
      <c r="AE3" s="320" t="str">
        <f t="shared" si="2"/>
        <v>M</v>
      </c>
      <c r="AF3" s="320" t="str">
        <f t="shared" si="2"/>
        <v>T</v>
      </c>
      <c r="AG3" s="320" t="str">
        <f t="shared" si="2"/>
        <v>W</v>
      </c>
      <c r="AH3" s="320" t="str">
        <f t="shared" si="2"/>
        <v>T</v>
      </c>
      <c r="AI3" s="320" t="str">
        <f t="shared" si="2"/>
        <v>F</v>
      </c>
      <c r="AJ3" s="320" t="str">
        <f t="shared" si="2"/>
        <v>S</v>
      </c>
      <c r="AK3" s="320" t="str">
        <f t="shared" si="2"/>
        <v>S</v>
      </c>
      <c r="AL3" s="320" t="str">
        <f t="shared" si="2"/>
        <v>M</v>
      </c>
      <c r="AM3" s="320" t="str">
        <f t="shared" si="2"/>
        <v>T</v>
      </c>
      <c r="AN3" s="320" t="str">
        <f t="shared" si="2"/>
        <v>W</v>
      </c>
      <c r="AO3" s="320" t="str">
        <f t="shared" si="2"/>
        <v>T</v>
      </c>
      <c r="AP3" s="320" t="str">
        <f t="shared" si="2"/>
        <v>F</v>
      </c>
      <c r="AQ3" s="320" t="str">
        <f t="shared" si="2"/>
        <v>S</v>
      </c>
      <c r="AR3" s="320" t="str">
        <f t="shared" si="2"/>
        <v>S</v>
      </c>
      <c r="AS3" s="320" t="str">
        <f t="shared" si="2"/>
        <v>M</v>
      </c>
      <c r="AT3" s="320" t="str">
        <f t="shared" si="2"/>
        <v>T</v>
      </c>
      <c r="AU3" s="320" t="str">
        <f t="shared" si="2"/>
        <v>W</v>
      </c>
      <c r="AV3" s="320" t="str">
        <f t="shared" si="2"/>
        <v>T</v>
      </c>
      <c r="AW3" s="320" t="str">
        <f t="shared" si="2"/>
        <v>F</v>
      </c>
      <c r="AX3" s="320" t="str">
        <f t="shared" si="2"/>
        <v>S</v>
      </c>
      <c r="AY3" s="320" t="str">
        <f t="shared" si="2"/>
        <v>S</v>
      </c>
      <c r="AZ3" s="320" t="str">
        <f t="shared" si="2"/>
        <v>M</v>
      </c>
      <c r="BA3" s="320" t="str">
        <f t="shared" si="2"/>
        <v>T</v>
      </c>
      <c r="BB3" s="320" t="str">
        <f t="shared" si="2"/>
        <v>W</v>
      </c>
      <c r="BC3" s="320" t="str">
        <f t="shared" si="2"/>
        <v>T</v>
      </c>
      <c r="BD3" s="320" t="str">
        <f t="shared" si="2"/>
        <v>F</v>
      </c>
      <c r="BE3" s="320" t="str">
        <f t="shared" si="2"/>
        <v>S</v>
      </c>
      <c r="BF3" s="320" t="str">
        <f t="shared" si="2"/>
        <v>S</v>
      </c>
      <c r="BG3" s="320" t="str">
        <f t="shared" si="2"/>
        <v>M</v>
      </c>
      <c r="BH3" s="320" t="str">
        <f t="shared" si="2"/>
        <v>T</v>
      </c>
      <c r="BI3" s="320" t="str">
        <f t="shared" si="2"/>
        <v>W</v>
      </c>
      <c r="BJ3" s="320" t="str">
        <f t="shared" si="2"/>
        <v>T</v>
      </c>
      <c r="BK3" s="320" t="str">
        <f t="shared" si="2"/>
        <v>F</v>
      </c>
      <c r="BL3" s="320" t="str">
        <f t="shared" si="2"/>
        <v>S</v>
      </c>
      <c r="BM3" s="320" t="str">
        <f t="shared" si="2"/>
        <v>S</v>
      </c>
      <c r="BN3" s="320" t="str">
        <f t="shared" si="2"/>
        <v>M</v>
      </c>
      <c r="BO3" s="320" t="str">
        <f t="shared" si="2"/>
        <v>T</v>
      </c>
      <c r="BP3" s="320" t="str">
        <f t="shared" si="2"/>
        <v>W</v>
      </c>
      <c r="BQ3" s="320" t="str">
        <f t="shared" si="2"/>
        <v>T</v>
      </c>
      <c r="BR3" s="320" t="str">
        <f t="shared" si="2"/>
        <v>F</v>
      </c>
      <c r="BS3" s="320" t="str">
        <f t="shared" si="2"/>
        <v>S</v>
      </c>
      <c r="BT3" s="320" t="str">
        <f t="shared" si="2"/>
        <v>S</v>
      </c>
      <c r="BU3" s="320" t="str">
        <f t="shared" si="2"/>
        <v>M</v>
      </c>
      <c r="BV3" s="320" t="str">
        <f t="shared" si="2"/>
        <v>T</v>
      </c>
      <c r="BW3" s="320" t="str">
        <f t="shared" si="2"/>
        <v>W</v>
      </c>
      <c r="BX3" s="320" t="str">
        <f t="shared" si="2"/>
        <v>T</v>
      </c>
      <c r="BY3" s="320" t="str">
        <f t="shared" si="2"/>
        <v>F</v>
      </c>
      <c r="BZ3" s="320" t="str">
        <f t="shared" si="2"/>
        <v>S</v>
      </c>
      <c r="CA3" s="320" t="str">
        <f t="shared" si="2"/>
        <v>S</v>
      </c>
      <c r="CB3" s="320" t="str">
        <f t="shared" si="2"/>
        <v>M</v>
      </c>
      <c r="CC3" s="320" t="str">
        <f t="shared" si="2"/>
        <v>T</v>
      </c>
      <c r="CD3" s="320" t="str">
        <f t="shared" si="2"/>
        <v>W</v>
      </c>
      <c r="CE3" s="320" t="str">
        <f t="shared" si="2"/>
        <v>T</v>
      </c>
      <c r="CF3" s="320" t="str">
        <f t="shared" si="2"/>
        <v>F</v>
      </c>
      <c r="CG3" s="320" t="str">
        <f t="shared" si="2"/>
        <v>S</v>
      </c>
      <c r="CH3" s="320" t="str">
        <f t="shared" si="2"/>
        <v>S</v>
      </c>
      <c r="CI3" s="320" t="str">
        <f t="shared" si="2"/>
        <v>M</v>
      </c>
      <c r="CJ3" s="320" t="str">
        <f t="shared" si="2"/>
        <v>T</v>
      </c>
      <c r="CK3" s="320" t="str">
        <f t="shared" si="2"/>
        <v>W</v>
      </c>
      <c r="CL3" s="320" t="str">
        <f t="shared" si="2"/>
        <v>T</v>
      </c>
      <c r="CM3" s="320" t="str">
        <f t="shared" si="2"/>
        <v>F</v>
      </c>
      <c r="CN3" s="320" t="str">
        <f t="shared" si="2"/>
        <v>S</v>
      </c>
      <c r="CO3" s="320" t="str">
        <f t="shared" si="2"/>
        <v>S</v>
      </c>
      <c r="CP3" s="320" t="str">
        <f t="shared" si="2"/>
        <v>M</v>
      </c>
      <c r="CQ3" s="320" t="str">
        <f t="shared" si="2"/>
        <v>T</v>
      </c>
      <c r="CR3" s="320" t="str">
        <f t="shared" si="2"/>
        <v>W</v>
      </c>
      <c r="CS3" s="320" t="str">
        <f t="shared" si="2"/>
        <v>T</v>
      </c>
      <c r="CT3" s="320" t="str">
        <f t="shared" si="2"/>
        <v>F</v>
      </c>
      <c r="CU3" s="320" t="str">
        <f t="shared" si="2"/>
        <v>S</v>
      </c>
      <c r="CV3" s="320" t="str">
        <f t="shared" si="2"/>
        <v>S</v>
      </c>
      <c r="CW3" s="320" t="str">
        <f t="shared" si="2"/>
        <v>M</v>
      </c>
      <c r="CX3" s="320" t="str">
        <f t="shared" si="2"/>
        <v>T</v>
      </c>
      <c r="CY3" s="320" t="str">
        <f t="shared" si="2"/>
        <v>W</v>
      </c>
      <c r="CZ3" s="320" t="str">
        <f t="shared" si="2"/>
        <v>T</v>
      </c>
      <c r="DA3" s="320" t="str">
        <f t="shared" si="2"/>
        <v>F</v>
      </c>
      <c r="DB3" s="320" t="str">
        <f t="shared" si="2"/>
        <v>S</v>
      </c>
      <c r="DC3" s="320" t="str">
        <f t="shared" si="2"/>
        <v>S</v>
      </c>
      <c r="DD3" s="320" t="str">
        <f t="shared" si="2"/>
        <v>M</v>
      </c>
      <c r="DE3" s="320" t="str">
        <f t="shared" si="2"/>
        <v>T</v>
      </c>
      <c r="DF3" s="320" t="str">
        <f t="shared" si="2"/>
        <v>W</v>
      </c>
      <c r="DG3" s="320" t="str">
        <f t="shared" si="2"/>
        <v>T</v>
      </c>
      <c r="DH3" s="320" t="str">
        <f t="shared" si="2"/>
        <v>F</v>
      </c>
      <c r="DI3" s="320" t="str">
        <f t="shared" si="2"/>
        <v>S</v>
      </c>
      <c r="DJ3" s="320" t="str">
        <f t="shared" si="2"/>
        <v>S</v>
      </c>
      <c r="DK3" s="320" t="str">
        <f t="shared" si="2"/>
        <v>M</v>
      </c>
      <c r="DL3" s="320" t="str">
        <f t="shared" si="2"/>
        <v>T</v>
      </c>
      <c r="DM3" s="320" t="str">
        <f t="shared" si="2"/>
        <v>W</v>
      </c>
      <c r="DN3" s="320" t="str">
        <f t="shared" si="2"/>
        <v>T</v>
      </c>
      <c r="DO3" s="320" t="str">
        <f t="shared" si="2"/>
        <v>F</v>
      </c>
      <c r="DP3" s="320" t="str">
        <f t="shared" si="2"/>
        <v>S</v>
      </c>
      <c r="DQ3" s="320" t="str">
        <f t="shared" si="2"/>
        <v>S</v>
      </c>
      <c r="DR3" s="320" t="str">
        <f t="shared" si="2"/>
        <v>M</v>
      </c>
      <c r="DS3" s="320" t="str">
        <f t="shared" si="2"/>
        <v>T</v>
      </c>
      <c r="DT3" s="320" t="str">
        <f t="shared" si="2"/>
        <v>W</v>
      </c>
      <c r="DU3" s="320" t="str">
        <f t="shared" si="2"/>
        <v>T</v>
      </c>
      <c r="DV3" s="320" t="str">
        <f t="shared" si="2"/>
        <v>F</v>
      </c>
      <c r="DW3" s="320" t="str">
        <f t="shared" si="2"/>
        <v>S</v>
      </c>
      <c r="DX3" s="320" t="str">
        <f t="shared" si="2"/>
        <v>S</v>
      </c>
      <c r="DY3" s="320" t="str">
        <f t="shared" si="2"/>
        <v>M</v>
      </c>
      <c r="DZ3" s="320" t="str">
        <f t="shared" si="2"/>
        <v>T</v>
      </c>
      <c r="EA3" s="320" t="str">
        <f t="shared" si="2"/>
        <v>W</v>
      </c>
      <c r="EB3" s="320" t="str">
        <f t="shared" si="2"/>
        <v>T</v>
      </c>
      <c r="EC3" s="320" t="str">
        <f t="shared" si="2"/>
        <v>F</v>
      </c>
      <c r="ED3" s="320" t="str">
        <f t="shared" si="2"/>
        <v>S</v>
      </c>
      <c r="EE3" s="320" t="str">
        <f t="shared" si="2"/>
        <v>S</v>
      </c>
      <c r="EF3" s="320" t="str">
        <f t="shared" si="2"/>
        <v>M</v>
      </c>
      <c r="EG3" s="320" t="str">
        <f t="shared" si="2"/>
        <v>T</v>
      </c>
      <c r="EH3" s="320" t="str">
        <f t="shared" si="2"/>
        <v>W</v>
      </c>
      <c r="EI3" s="320" t="str">
        <f t="shared" si="2"/>
        <v>T</v>
      </c>
      <c r="EJ3" s="320" t="str">
        <f t="shared" si="2"/>
        <v>F</v>
      </c>
      <c r="EK3" s="320" t="str">
        <f t="shared" si="2"/>
        <v>S</v>
      </c>
      <c r="EL3" s="320" t="str">
        <f t="shared" si="2"/>
        <v>S</v>
      </c>
      <c r="EM3" s="320" t="str">
        <f t="shared" si="2"/>
        <v>M</v>
      </c>
      <c r="EN3" s="320" t="str">
        <f t="shared" si="2"/>
        <v>T</v>
      </c>
      <c r="EO3" s="320" t="str">
        <f t="shared" si="2"/>
        <v>W</v>
      </c>
      <c r="EP3" s="320" t="str">
        <f t="shared" si="2"/>
        <v>T</v>
      </c>
      <c r="EQ3" s="320" t="str">
        <f t="shared" si="2"/>
        <v>F</v>
      </c>
      <c r="ER3" s="320" t="str">
        <f t="shared" si="2"/>
        <v>S</v>
      </c>
      <c r="ES3" s="320" t="str">
        <f t="shared" si="2"/>
        <v>S</v>
      </c>
      <c r="ET3" s="320" t="str">
        <f t="shared" si="2"/>
        <v>M</v>
      </c>
      <c r="EU3" s="320" t="str">
        <f t="shared" si="2"/>
        <v>T</v>
      </c>
      <c r="EV3" s="320" t="str">
        <f t="shared" si="2"/>
        <v>W</v>
      </c>
      <c r="EW3" s="320" t="str">
        <f t="shared" si="2"/>
        <v>T</v>
      </c>
      <c r="EX3" s="320" t="str">
        <f t="shared" si="2"/>
        <v>F</v>
      </c>
      <c r="EY3" s="320" t="str">
        <f t="shared" si="2"/>
        <v>S</v>
      </c>
      <c r="EZ3" s="320" t="str">
        <f t="shared" si="2"/>
        <v>S</v>
      </c>
      <c r="FA3" s="320" t="str">
        <f t="shared" si="2"/>
        <v>M</v>
      </c>
      <c r="FB3" s="320" t="str">
        <f t="shared" si="2"/>
        <v>T</v>
      </c>
      <c r="FC3" s="320" t="str">
        <f t="shared" si="2"/>
        <v>W</v>
      </c>
      <c r="FD3" s="320" t="str">
        <f t="shared" si="2"/>
        <v>T</v>
      </c>
      <c r="FE3" s="320" t="str">
        <f t="shared" si="2"/>
        <v>F</v>
      </c>
      <c r="FF3" s="320" t="str">
        <f t="shared" si="2"/>
        <v>S</v>
      </c>
      <c r="FG3" s="320" t="str">
        <f t="shared" si="2"/>
        <v>S</v>
      </c>
      <c r="FH3" s="320" t="str">
        <f t="shared" si="2"/>
        <v>M</v>
      </c>
      <c r="FI3" s="320" t="str">
        <f t="shared" si="2"/>
        <v>T</v>
      </c>
      <c r="FJ3" s="320" t="str">
        <f t="shared" si="2"/>
        <v>W</v>
      </c>
      <c r="FK3" s="320" t="str">
        <f t="shared" si="2"/>
        <v>T</v>
      </c>
      <c r="FL3" s="320" t="str">
        <f t="shared" si="2"/>
        <v>F</v>
      </c>
      <c r="FM3" s="320" t="str">
        <f t="shared" si="2"/>
        <v>S</v>
      </c>
      <c r="FN3" s="320" t="str">
        <f t="shared" si="2"/>
        <v>S</v>
      </c>
      <c r="FO3" s="320" t="str">
        <f t="shared" si="2"/>
        <v>M</v>
      </c>
      <c r="FP3" s="320" t="str">
        <f t="shared" si="2"/>
        <v>T</v>
      </c>
      <c r="FQ3" s="320" t="str">
        <f t="shared" si="2"/>
        <v>W</v>
      </c>
      <c r="FR3" s="320" t="str">
        <f t="shared" si="2"/>
        <v>T</v>
      </c>
      <c r="FS3" s="320" t="str">
        <f t="shared" si="2"/>
        <v>F</v>
      </c>
      <c r="FT3" s="320" t="str">
        <f t="shared" si="2"/>
        <v>S</v>
      </c>
      <c r="FU3" s="320" t="str">
        <f t="shared" si="2"/>
        <v>S</v>
      </c>
      <c r="FV3" s="320" t="str">
        <f t="shared" si="2"/>
        <v>M</v>
      </c>
      <c r="FW3" s="320" t="str">
        <f t="shared" si="2"/>
        <v>T</v>
      </c>
      <c r="FX3" s="320" t="str">
        <f t="shared" si="2"/>
        <v>W</v>
      </c>
    </row>
    <row r="4" ht="15.75" customHeight="1">
      <c r="A4" s="44">
        <v>1.0</v>
      </c>
      <c r="B4" s="142" t="s">
        <v>378</v>
      </c>
      <c r="C4" s="26">
        <v>4.0</v>
      </c>
      <c r="D4" s="321">
        <v>1.0</v>
      </c>
      <c r="E4" s="322">
        <f t="shared" ref="E4:E7" si="4">(C4/D4)/8</f>
        <v>0.5</v>
      </c>
      <c r="F4" s="322">
        <f t="shared" ref="F4:F7" si="5">E4/5</f>
        <v>0.1</v>
      </c>
      <c r="G4" s="47">
        <f>C1</f>
        <v>45525</v>
      </c>
      <c r="H4" s="47">
        <f>_xlfn.WORKDAY.INTL(G4,E4,1)</f>
        <v>45525</v>
      </c>
      <c r="I4" s="26" t="s">
        <v>54</v>
      </c>
      <c r="J4" s="323" t="str">
        <f t="shared" ref="J4:CM4" si="3">IF(AND($I4="Yes",J$2=$H4),"♦","")</f>
        <v/>
      </c>
      <c r="K4" s="323" t="str">
        <f t="shared" si="3"/>
        <v/>
      </c>
      <c r="L4" s="323" t="str">
        <f t="shared" si="3"/>
        <v>♦</v>
      </c>
      <c r="M4" s="323" t="str">
        <f t="shared" si="3"/>
        <v/>
      </c>
      <c r="N4" s="323" t="str">
        <f t="shared" si="3"/>
        <v/>
      </c>
      <c r="O4" s="323" t="str">
        <f t="shared" si="3"/>
        <v/>
      </c>
      <c r="P4" s="323" t="str">
        <f t="shared" si="3"/>
        <v/>
      </c>
      <c r="Q4" s="323" t="str">
        <f t="shared" si="3"/>
        <v/>
      </c>
      <c r="R4" s="323" t="str">
        <f t="shared" si="3"/>
        <v/>
      </c>
      <c r="S4" s="323" t="str">
        <f t="shared" si="3"/>
        <v/>
      </c>
      <c r="T4" s="323" t="str">
        <f t="shared" si="3"/>
        <v/>
      </c>
      <c r="U4" s="323" t="str">
        <f t="shared" si="3"/>
        <v/>
      </c>
      <c r="V4" s="323" t="str">
        <f t="shared" si="3"/>
        <v/>
      </c>
      <c r="W4" s="323" t="str">
        <f t="shared" si="3"/>
        <v/>
      </c>
      <c r="X4" s="323" t="str">
        <f t="shared" si="3"/>
        <v/>
      </c>
      <c r="Y4" s="323" t="str">
        <f t="shared" si="3"/>
        <v/>
      </c>
      <c r="Z4" s="323" t="str">
        <f t="shared" si="3"/>
        <v/>
      </c>
      <c r="AA4" s="323" t="str">
        <f t="shared" si="3"/>
        <v/>
      </c>
      <c r="AB4" s="323" t="str">
        <f t="shared" si="3"/>
        <v/>
      </c>
      <c r="AC4" s="323" t="str">
        <f t="shared" si="3"/>
        <v/>
      </c>
      <c r="AD4" s="323" t="str">
        <f t="shared" si="3"/>
        <v/>
      </c>
      <c r="AE4" s="323" t="str">
        <f t="shared" si="3"/>
        <v/>
      </c>
      <c r="AF4" s="323" t="str">
        <f t="shared" si="3"/>
        <v/>
      </c>
      <c r="AG4" s="323" t="str">
        <f t="shared" si="3"/>
        <v/>
      </c>
      <c r="AH4" s="323" t="str">
        <f t="shared" si="3"/>
        <v/>
      </c>
      <c r="AI4" s="323" t="str">
        <f t="shared" si="3"/>
        <v/>
      </c>
      <c r="AJ4" s="323" t="str">
        <f t="shared" si="3"/>
        <v/>
      </c>
      <c r="AK4" s="323" t="str">
        <f t="shared" si="3"/>
        <v/>
      </c>
      <c r="AL4" s="323" t="str">
        <f t="shared" si="3"/>
        <v/>
      </c>
      <c r="AM4" s="323" t="str">
        <f t="shared" si="3"/>
        <v/>
      </c>
      <c r="AN4" s="323" t="str">
        <f t="shared" si="3"/>
        <v/>
      </c>
      <c r="AO4" s="323" t="str">
        <f t="shared" si="3"/>
        <v/>
      </c>
      <c r="AP4" s="323" t="str">
        <f t="shared" si="3"/>
        <v/>
      </c>
      <c r="AQ4" s="323" t="str">
        <f t="shared" si="3"/>
        <v/>
      </c>
      <c r="AR4" s="323" t="str">
        <f t="shared" si="3"/>
        <v/>
      </c>
      <c r="AS4" s="323" t="str">
        <f t="shared" si="3"/>
        <v/>
      </c>
      <c r="AT4" s="323" t="str">
        <f t="shared" si="3"/>
        <v/>
      </c>
      <c r="AU4" s="323" t="str">
        <f t="shared" si="3"/>
        <v/>
      </c>
      <c r="AV4" s="323" t="str">
        <f t="shared" si="3"/>
        <v/>
      </c>
      <c r="AW4" s="323" t="str">
        <f t="shared" si="3"/>
        <v/>
      </c>
      <c r="AX4" s="323" t="str">
        <f t="shared" si="3"/>
        <v/>
      </c>
      <c r="AY4" s="323" t="str">
        <f t="shared" si="3"/>
        <v/>
      </c>
      <c r="AZ4" s="323" t="str">
        <f t="shared" si="3"/>
        <v/>
      </c>
      <c r="BA4" s="323" t="str">
        <f t="shared" si="3"/>
        <v/>
      </c>
      <c r="BB4" s="323" t="str">
        <f t="shared" si="3"/>
        <v/>
      </c>
      <c r="BC4" s="323" t="str">
        <f t="shared" si="3"/>
        <v/>
      </c>
      <c r="BD4" s="323" t="str">
        <f t="shared" si="3"/>
        <v/>
      </c>
      <c r="BE4" s="323" t="str">
        <f t="shared" si="3"/>
        <v/>
      </c>
      <c r="BF4" s="323" t="str">
        <f t="shared" si="3"/>
        <v/>
      </c>
      <c r="BG4" s="323" t="str">
        <f t="shared" si="3"/>
        <v/>
      </c>
      <c r="BH4" s="323" t="str">
        <f t="shared" si="3"/>
        <v/>
      </c>
      <c r="BI4" s="323" t="str">
        <f t="shared" si="3"/>
        <v/>
      </c>
      <c r="BJ4" s="323" t="str">
        <f t="shared" si="3"/>
        <v/>
      </c>
      <c r="BK4" s="323" t="str">
        <f t="shared" si="3"/>
        <v/>
      </c>
      <c r="BL4" s="323" t="str">
        <f t="shared" si="3"/>
        <v/>
      </c>
      <c r="BM4" s="323" t="str">
        <f t="shared" si="3"/>
        <v/>
      </c>
      <c r="BN4" s="323" t="str">
        <f t="shared" si="3"/>
        <v/>
      </c>
      <c r="BO4" s="323" t="str">
        <f t="shared" si="3"/>
        <v/>
      </c>
      <c r="BP4" s="323" t="str">
        <f t="shared" si="3"/>
        <v/>
      </c>
      <c r="BQ4" s="323" t="str">
        <f t="shared" si="3"/>
        <v/>
      </c>
      <c r="BR4" s="323" t="str">
        <f t="shared" si="3"/>
        <v/>
      </c>
      <c r="BS4" s="323" t="str">
        <f t="shared" si="3"/>
        <v/>
      </c>
      <c r="BT4" s="323" t="str">
        <f t="shared" si="3"/>
        <v/>
      </c>
      <c r="BU4" s="323" t="str">
        <f t="shared" si="3"/>
        <v/>
      </c>
      <c r="BV4" s="323" t="str">
        <f t="shared" si="3"/>
        <v/>
      </c>
      <c r="BW4" s="323" t="str">
        <f t="shared" si="3"/>
        <v/>
      </c>
      <c r="BX4" s="323" t="str">
        <f t="shared" si="3"/>
        <v/>
      </c>
      <c r="BY4" s="323" t="str">
        <f t="shared" si="3"/>
        <v/>
      </c>
      <c r="BZ4" s="323" t="str">
        <f t="shared" si="3"/>
        <v/>
      </c>
      <c r="CA4" s="323" t="str">
        <f t="shared" si="3"/>
        <v/>
      </c>
      <c r="CB4" s="323" t="str">
        <f t="shared" si="3"/>
        <v/>
      </c>
      <c r="CC4" s="323" t="str">
        <f t="shared" si="3"/>
        <v/>
      </c>
      <c r="CD4" s="323" t="str">
        <f t="shared" si="3"/>
        <v/>
      </c>
      <c r="CE4" s="323" t="str">
        <f t="shared" si="3"/>
        <v/>
      </c>
      <c r="CF4" s="323" t="str">
        <f t="shared" si="3"/>
        <v/>
      </c>
      <c r="CG4" s="323" t="str">
        <f t="shared" si="3"/>
        <v/>
      </c>
      <c r="CH4" s="323" t="str">
        <f t="shared" si="3"/>
        <v/>
      </c>
      <c r="CI4" s="323" t="str">
        <f t="shared" si="3"/>
        <v/>
      </c>
      <c r="CJ4" s="323" t="str">
        <f t="shared" si="3"/>
        <v/>
      </c>
      <c r="CK4" s="323" t="str">
        <f t="shared" si="3"/>
        <v/>
      </c>
      <c r="CL4" s="323" t="str">
        <f t="shared" si="3"/>
        <v/>
      </c>
      <c r="CM4" s="323" t="str">
        <f t="shared" si="3"/>
        <v/>
      </c>
      <c r="CN4" s="323"/>
      <c r="CO4" s="323"/>
      <c r="CP4" s="323" t="str">
        <f t="shared" ref="CP4:CP6" si="7">IF(AND($I4="Yes",CM$2=$H4),"♦","")</f>
        <v/>
      </c>
      <c r="CQ4" s="323" t="str">
        <f>IF(AND($I4="Yes",CM$2=$H4),"♦","")</f>
        <v/>
      </c>
      <c r="CR4" s="323"/>
      <c r="CS4" s="323"/>
      <c r="CT4" s="323"/>
      <c r="CU4" s="323"/>
      <c r="CV4" s="323"/>
      <c r="CW4" s="323"/>
      <c r="CX4" s="323"/>
      <c r="CY4" s="323"/>
      <c r="CZ4" s="323"/>
      <c r="DA4" s="323"/>
      <c r="DB4" s="323"/>
      <c r="DC4" s="323"/>
      <c r="DD4" s="323"/>
      <c r="DE4" s="323"/>
      <c r="DF4" s="323"/>
      <c r="DG4" s="323"/>
      <c r="DH4" s="323"/>
      <c r="DI4" s="323"/>
      <c r="DJ4" s="323"/>
      <c r="DK4" s="323"/>
      <c r="DL4" s="323"/>
      <c r="DM4" s="323"/>
      <c r="DN4" s="323"/>
      <c r="DO4" s="323"/>
      <c r="DP4" s="323"/>
      <c r="DQ4" s="323"/>
      <c r="DR4" s="323"/>
      <c r="DS4" s="323"/>
      <c r="DT4" s="323"/>
      <c r="DU4" s="323"/>
      <c r="DV4" s="323"/>
      <c r="DW4" s="323"/>
      <c r="DX4" s="323"/>
      <c r="DY4" s="323"/>
      <c r="DZ4" s="323"/>
      <c r="EA4" s="323"/>
      <c r="EB4" s="323"/>
      <c r="EC4" s="323"/>
      <c r="ED4" s="323"/>
      <c r="EE4" s="323"/>
      <c r="EF4" s="323"/>
      <c r="EG4" s="323"/>
      <c r="EH4" s="323"/>
      <c r="EI4" s="323"/>
      <c r="EJ4" s="323"/>
      <c r="EK4" s="323"/>
      <c r="EL4" s="323"/>
      <c r="EM4" s="323"/>
      <c r="EN4" s="323"/>
      <c r="EO4" s="323"/>
      <c r="EP4" s="323"/>
      <c r="EQ4" s="323"/>
      <c r="ER4" s="323"/>
      <c r="ES4" s="323"/>
      <c r="ET4" s="323"/>
      <c r="EU4" s="323"/>
      <c r="EV4" s="323"/>
      <c r="EW4" s="323"/>
      <c r="EX4" s="323"/>
      <c r="EY4" s="323"/>
      <c r="EZ4" s="323"/>
      <c r="FA4" s="323"/>
      <c r="FB4" s="323"/>
      <c r="FC4" s="323"/>
      <c r="FD4" s="323"/>
      <c r="FE4" s="323"/>
      <c r="FF4" s="323"/>
      <c r="FG4" s="323"/>
      <c r="FH4" s="323"/>
      <c r="FI4" s="323"/>
      <c r="FJ4" s="323"/>
      <c r="FK4" s="323"/>
      <c r="FL4" s="323"/>
      <c r="FM4" s="323"/>
      <c r="FN4" s="323"/>
      <c r="FO4" s="323"/>
      <c r="FP4" s="323"/>
      <c r="FQ4" s="323"/>
      <c r="FR4" s="323"/>
      <c r="FS4" s="323"/>
      <c r="FT4" s="323"/>
      <c r="FU4" s="323"/>
      <c r="FV4" s="323"/>
      <c r="FW4" s="323"/>
      <c r="FX4" s="323"/>
    </row>
    <row r="5" ht="15.75" customHeight="1">
      <c r="A5" s="44">
        <v>2.0</v>
      </c>
      <c r="B5" s="35" t="s">
        <v>379</v>
      </c>
      <c r="C5" s="324">
        <v>80.0</v>
      </c>
      <c r="D5" s="321">
        <v>1.0</v>
      </c>
      <c r="E5" s="322">
        <f t="shared" si="4"/>
        <v>10</v>
      </c>
      <c r="F5" s="322">
        <f t="shared" si="5"/>
        <v>2</v>
      </c>
      <c r="G5" s="47">
        <f t="shared" ref="G5:G8" si="8">_xlfn.WORKDAY.INTL(H4,1,1)</f>
        <v>45526</v>
      </c>
      <c r="H5" s="47">
        <f t="shared" ref="H5:H7" si="9">_xlfn.WORKDAY.INTL(G5,E5-1,1)</f>
        <v>45539</v>
      </c>
      <c r="I5" s="26" t="s">
        <v>49</v>
      </c>
      <c r="J5" s="323" t="str">
        <f t="shared" ref="J5:CM5" si="6">IF(AND($I5="Yes",J$2=$H5),"♦","")</f>
        <v/>
      </c>
      <c r="K5" s="323" t="str">
        <f t="shared" si="6"/>
        <v/>
      </c>
      <c r="L5" s="323" t="str">
        <f t="shared" si="6"/>
        <v/>
      </c>
      <c r="M5" s="323" t="str">
        <f t="shared" si="6"/>
        <v/>
      </c>
      <c r="N5" s="323" t="str">
        <f t="shared" si="6"/>
        <v/>
      </c>
      <c r="O5" s="323" t="str">
        <f t="shared" si="6"/>
        <v/>
      </c>
      <c r="P5" s="323" t="str">
        <f t="shared" si="6"/>
        <v/>
      </c>
      <c r="Q5" s="323" t="str">
        <f t="shared" si="6"/>
        <v/>
      </c>
      <c r="R5" s="323" t="str">
        <f t="shared" si="6"/>
        <v/>
      </c>
      <c r="S5" s="323" t="str">
        <f t="shared" si="6"/>
        <v/>
      </c>
      <c r="T5" s="323" t="str">
        <f t="shared" si="6"/>
        <v/>
      </c>
      <c r="U5" s="323" t="str">
        <f t="shared" si="6"/>
        <v/>
      </c>
      <c r="V5" s="323" t="str">
        <f t="shared" si="6"/>
        <v/>
      </c>
      <c r="W5" s="323" t="str">
        <f t="shared" si="6"/>
        <v/>
      </c>
      <c r="X5" s="323" t="str">
        <f t="shared" si="6"/>
        <v/>
      </c>
      <c r="Y5" s="323" t="str">
        <f t="shared" si="6"/>
        <v/>
      </c>
      <c r="Z5" s="323" t="str">
        <f t="shared" si="6"/>
        <v/>
      </c>
      <c r="AA5" s="323" t="str">
        <f t="shared" si="6"/>
        <v/>
      </c>
      <c r="AB5" s="323" t="str">
        <f t="shared" si="6"/>
        <v/>
      </c>
      <c r="AC5" s="323" t="str">
        <f t="shared" si="6"/>
        <v/>
      </c>
      <c r="AD5" s="323" t="str">
        <f t="shared" si="6"/>
        <v/>
      </c>
      <c r="AE5" s="323" t="str">
        <f t="shared" si="6"/>
        <v/>
      </c>
      <c r="AF5" s="323" t="str">
        <f t="shared" si="6"/>
        <v/>
      </c>
      <c r="AG5" s="323" t="str">
        <f t="shared" si="6"/>
        <v/>
      </c>
      <c r="AH5" s="323" t="str">
        <f t="shared" si="6"/>
        <v/>
      </c>
      <c r="AI5" s="323" t="str">
        <f t="shared" si="6"/>
        <v/>
      </c>
      <c r="AJ5" s="323" t="str">
        <f t="shared" si="6"/>
        <v/>
      </c>
      <c r="AK5" s="323" t="str">
        <f t="shared" si="6"/>
        <v/>
      </c>
      <c r="AL5" s="323" t="str">
        <f t="shared" si="6"/>
        <v/>
      </c>
      <c r="AM5" s="323" t="str">
        <f t="shared" si="6"/>
        <v/>
      </c>
      <c r="AN5" s="323" t="str">
        <f t="shared" si="6"/>
        <v/>
      </c>
      <c r="AO5" s="323" t="str">
        <f t="shared" si="6"/>
        <v/>
      </c>
      <c r="AP5" s="323" t="str">
        <f t="shared" si="6"/>
        <v/>
      </c>
      <c r="AQ5" s="323" t="str">
        <f t="shared" si="6"/>
        <v/>
      </c>
      <c r="AR5" s="323" t="str">
        <f t="shared" si="6"/>
        <v/>
      </c>
      <c r="AS5" s="323" t="str">
        <f t="shared" si="6"/>
        <v/>
      </c>
      <c r="AT5" s="323" t="str">
        <f t="shared" si="6"/>
        <v/>
      </c>
      <c r="AU5" s="323" t="str">
        <f t="shared" si="6"/>
        <v/>
      </c>
      <c r="AV5" s="323" t="str">
        <f t="shared" si="6"/>
        <v/>
      </c>
      <c r="AW5" s="323" t="str">
        <f t="shared" si="6"/>
        <v/>
      </c>
      <c r="AX5" s="323" t="str">
        <f t="shared" si="6"/>
        <v/>
      </c>
      <c r="AY5" s="323" t="str">
        <f t="shared" si="6"/>
        <v/>
      </c>
      <c r="AZ5" s="323" t="str">
        <f t="shared" si="6"/>
        <v/>
      </c>
      <c r="BA5" s="323" t="str">
        <f t="shared" si="6"/>
        <v/>
      </c>
      <c r="BB5" s="323" t="str">
        <f t="shared" si="6"/>
        <v/>
      </c>
      <c r="BC5" s="323" t="str">
        <f t="shared" si="6"/>
        <v/>
      </c>
      <c r="BD5" s="323" t="str">
        <f t="shared" si="6"/>
        <v/>
      </c>
      <c r="BE5" s="323" t="str">
        <f t="shared" si="6"/>
        <v/>
      </c>
      <c r="BF5" s="323" t="str">
        <f t="shared" si="6"/>
        <v/>
      </c>
      <c r="BG5" s="323" t="str">
        <f t="shared" si="6"/>
        <v/>
      </c>
      <c r="BH5" s="323" t="str">
        <f t="shared" si="6"/>
        <v/>
      </c>
      <c r="BI5" s="323" t="str">
        <f t="shared" si="6"/>
        <v/>
      </c>
      <c r="BJ5" s="323" t="str">
        <f t="shared" si="6"/>
        <v/>
      </c>
      <c r="BK5" s="323" t="str">
        <f t="shared" si="6"/>
        <v/>
      </c>
      <c r="BL5" s="323" t="str">
        <f t="shared" si="6"/>
        <v/>
      </c>
      <c r="BM5" s="323" t="str">
        <f t="shared" si="6"/>
        <v/>
      </c>
      <c r="BN5" s="323" t="str">
        <f t="shared" si="6"/>
        <v/>
      </c>
      <c r="BO5" s="323" t="str">
        <f t="shared" si="6"/>
        <v/>
      </c>
      <c r="BP5" s="323" t="str">
        <f t="shared" si="6"/>
        <v/>
      </c>
      <c r="BQ5" s="323" t="str">
        <f t="shared" si="6"/>
        <v/>
      </c>
      <c r="BR5" s="323" t="str">
        <f t="shared" si="6"/>
        <v/>
      </c>
      <c r="BS5" s="323" t="str">
        <f t="shared" si="6"/>
        <v/>
      </c>
      <c r="BT5" s="323" t="str">
        <f t="shared" si="6"/>
        <v/>
      </c>
      <c r="BU5" s="323" t="str">
        <f t="shared" si="6"/>
        <v/>
      </c>
      <c r="BV5" s="323" t="str">
        <f t="shared" si="6"/>
        <v/>
      </c>
      <c r="BW5" s="323" t="str">
        <f t="shared" si="6"/>
        <v/>
      </c>
      <c r="BX5" s="323" t="str">
        <f t="shared" si="6"/>
        <v/>
      </c>
      <c r="BY5" s="323" t="str">
        <f t="shared" si="6"/>
        <v/>
      </c>
      <c r="BZ5" s="323" t="str">
        <f t="shared" si="6"/>
        <v/>
      </c>
      <c r="CA5" s="323" t="str">
        <f t="shared" si="6"/>
        <v/>
      </c>
      <c r="CB5" s="323" t="str">
        <f t="shared" si="6"/>
        <v/>
      </c>
      <c r="CC5" s="323" t="str">
        <f t="shared" si="6"/>
        <v/>
      </c>
      <c r="CD5" s="323" t="str">
        <f t="shared" si="6"/>
        <v/>
      </c>
      <c r="CE5" s="323" t="str">
        <f t="shared" si="6"/>
        <v/>
      </c>
      <c r="CF5" s="323" t="str">
        <f t="shared" si="6"/>
        <v/>
      </c>
      <c r="CG5" s="323" t="str">
        <f t="shared" si="6"/>
        <v/>
      </c>
      <c r="CH5" s="323" t="str">
        <f t="shared" si="6"/>
        <v/>
      </c>
      <c r="CI5" s="323" t="str">
        <f t="shared" si="6"/>
        <v/>
      </c>
      <c r="CJ5" s="323" t="str">
        <f t="shared" si="6"/>
        <v/>
      </c>
      <c r="CK5" s="323" t="str">
        <f t="shared" si="6"/>
        <v/>
      </c>
      <c r="CL5" s="323" t="str">
        <f t="shared" si="6"/>
        <v/>
      </c>
      <c r="CM5" s="323" t="str">
        <f t="shared" si="6"/>
        <v/>
      </c>
      <c r="CN5" s="323"/>
      <c r="CO5" s="323"/>
      <c r="CP5" s="323" t="str">
        <f t="shared" si="7"/>
        <v/>
      </c>
      <c r="CQ5" s="323"/>
      <c r="CR5" s="323"/>
      <c r="CS5" s="323"/>
      <c r="CT5" s="323"/>
      <c r="CU5" s="323"/>
      <c r="CV5" s="323"/>
      <c r="CW5" s="323"/>
      <c r="CX5" s="323"/>
      <c r="CY5" s="323"/>
      <c r="CZ5" s="323"/>
      <c r="DA5" s="323"/>
      <c r="DB5" s="323"/>
      <c r="DC5" s="323"/>
      <c r="DD5" s="323"/>
      <c r="DE5" s="323"/>
      <c r="DF5" s="323"/>
      <c r="DG5" s="323"/>
      <c r="DH5" s="323"/>
      <c r="DI5" s="323"/>
      <c r="DJ5" s="323"/>
      <c r="DK5" s="323"/>
      <c r="DL5" s="323"/>
      <c r="DM5" s="323"/>
      <c r="DN5" s="323"/>
      <c r="DO5" s="323"/>
      <c r="DP5" s="323"/>
      <c r="DQ5" s="323"/>
      <c r="DR5" s="323"/>
      <c r="DS5" s="323"/>
      <c r="DT5" s="323"/>
      <c r="DU5" s="323"/>
      <c r="DV5" s="323"/>
      <c r="DW5" s="323"/>
      <c r="DX5" s="323"/>
      <c r="DY5" s="323"/>
      <c r="DZ5" s="323"/>
      <c r="EA5" s="323"/>
      <c r="EB5" s="323"/>
      <c r="EC5" s="323"/>
      <c r="ED5" s="323"/>
      <c r="EE5" s="323"/>
      <c r="EF5" s="323"/>
      <c r="EG5" s="323"/>
      <c r="EH5" s="323"/>
      <c r="EI5" s="323"/>
      <c r="EJ5" s="323"/>
      <c r="EK5" s="323"/>
      <c r="EL5" s="323"/>
      <c r="EM5" s="323"/>
      <c r="EN5" s="323"/>
      <c r="EO5" s="323"/>
      <c r="EP5" s="323"/>
      <c r="EQ5" s="323"/>
      <c r="ER5" s="323"/>
      <c r="ES5" s="323"/>
      <c r="ET5" s="323"/>
      <c r="EU5" s="323"/>
      <c r="EV5" s="323"/>
      <c r="EW5" s="323"/>
      <c r="EX5" s="323"/>
      <c r="EY5" s="323"/>
      <c r="EZ5" s="323"/>
      <c r="FA5" s="323"/>
      <c r="FB5" s="323"/>
      <c r="FC5" s="323"/>
      <c r="FD5" s="323"/>
      <c r="FE5" s="323"/>
      <c r="FF5" s="323"/>
      <c r="FG5" s="323"/>
      <c r="FH5" s="323"/>
      <c r="FI5" s="323"/>
      <c r="FJ5" s="323"/>
      <c r="FK5" s="323"/>
      <c r="FL5" s="323"/>
      <c r="FM5" s="323"/>
      <c r="FN5" s="323"/>
      <c r="FO5" s="323"/>
      <c r="FP5" s="323"/>
      <c r="FQ5" s="323"/>
      <c r="FR5" s="323"/>
      <c r="FS5" s="323"/>
      <c r="FT5" s="323"/>
      <c r="FU5" s="323"/>
      <c r="FV5" s="323"/>
      <c r="FW5" s="323"/>
      <c r="FX5" s="323"/>
    </row>
    <row r="6" ht="15.75" customHeight="1">
      <c r="A6" s="44">
        <v>3.0</v>
      </c>
      <c r="B6" s="35" t="s">
        <v>380</v>
      </c>
      <c r="C6" s="325">
        <f>Commercials!E7</f>
        <v>0</v>
      </c>
      <c r="D6" s="321">
        <v>1.0</v>
      </c>
      <c r="E6" s="322">
        <f t="shared" si="4"/>
        <v>0</v>
      </c>
      <c r="F6" s="322">
        <f t="shared" si="5"/>
        <v>0</v>
      </c>
      <c r="G6" s="47">
        <f t="shared" si="8"/>
        <v>45540</v>
      </c>
      <c r="H6" s="47">
        <f t="shared" si="9"/>
        <v>45539</v>
      </c>
      <c r="I6" s="26" t="s">
        <v>49</v>
      </c>
      <c r="J6" s="323" t="str">
        <f t="shared" ref="J6:CM6" si="10">IF(AND($I6="Yes",J$2=$H6),"♦","")</f>
        <v/>
      </c>
      <c r="K6" s="323" t="str">
        <f t="shared" si="10"/>
        <v/>
      </c>
      <c r="L6" s="323" t="str">
        <f t="shared" si="10"/>
        <v/>
      </c>
      <c r="M6" s="323" t="str">
        <f t="shared" si="10"/>
        <v/>
      </c>
      <c r="N6" s="323" t="str">
        <f t="shared" si="10"/>
        <v/>
      </c>
      <c r="O6" s="323" t="str">
        <f t="shared" si="10"/>
        <v/>
      </c>
      <c r="P6" s="323" t="str">
        <f t="shared" si="10"/>
        <v/>
      </c>
      <c r="Q6" s="323" t="str">
        <f t="shared" si="10"/>
        <v/>
      </c>
      <c r="R6" s="323" t="str">
        <f t="shared" si="10"/>
        <v/>
      </c>
      <c r="S6" s="323" t="str">
        <f t="shared" si="10"/>
        <v/>
      </c>
      <c r="T6" s="323" t="str">
        <f t="shared" si="10"/>
        <v/>
      </c>
      <c r="U6" s="323" t="str">
        <f t="shared" si="10"/>
        <v/>
      </c>
      <c r="V6" s="323" t="str">
        <f t="shared" si="10"/>
        <v/>
      </c>
      <c r="W6" s="323" t="str">
        <f t="shared" si="10"/>
        <v/>
      </c>
      <c r="X6" s="323" t="str">
        <f t="shared" si="10"/>
        <v/>
      </c>
      <c r="Y6" s="323" t="str">
        <f t="shared" si="10"/>
        <v/>
      </c>
      <c r="Z6" s="323" t="str">
        <f t="shared" si="10"/>
        <v/>
      </c>
      <c r="AA6" s="323" t="str">
        <f t="shared" si="10"/>
        <v/>
      </c>
      <c r="AB6" s="323" t="str">
        <f t="shared" si="10"/>
        <v/>
      </c>
      <c r="AC6" s="323" t="str">
        <f t="shared" si="10"/>
        <v/>
      </c>
      <c r="AD6" s="323" t="str">
        <f t="shared" si="10"/>
        <v/>
      </c>
      <c r="AE6" s="323" t="str">
        <f t="shared" si="10"/>
        <v/>
      </c>
      <c r="AF6" s="323" t="str">
        <f t="shared" si="10"/>
        <v/>
      </c>
      <c r="AG6" s="323" t="str">
        <f t="shared" si="10"/>
        <v/>
      </c>
      <c r="AH6" s="323" t="str">
        <f t="shared" si="10"/>
        <v/>
      </c>
      <c r="AI6" s="323" t="str">
        <f t="shared" si="10"/>
        <v/>
      </c>
      <c r="AJ6" s="323" t="str">
        <f t="shared" si="10"/>
        <v/>
      </c>
      <c r="AK6" s="323" t="str">
        <f t="shared" si="10"/>
        <v/>
      </c>
      <c r="AL6" s="323" t="str">
        <f t="shared" si="10"/>
        <v/>
      </c>
      <c r="AM6" s="323" t="str">
        <f t="shared" si="10"/>
        <v/>
      </c>
      <c r="AN6" s="323" t="str">
        <f t="shared" si="10"/>
        <v/>
      </c>
      <c r="AO6" s="323" t="str">
        <f t="shared" si="10"/>
        <v/>
      </c>
      <c r="AP6" s="323" t="str">
        <f t="shared" si="10"/>
        <v/>
      </c>
      <c r="AQ6" s="323" t="str">
        <f t="shared" si="10"/>
        <v/>
      </c>
      <c r="AR6" s="323" t="str">
        <f t="shared" si="10"/>
        <v/>
      </c>
      <c r="AS6" s="323" t="str">
        <f t="shared" si="10"/>
        <v/>
      </c>
      <c r="AT6" s="323" t="str">
        <f t="shared" si="10"/>
        <v/>
      </c>
      <c r="AU6" s="323" t="str">
        <f t="shared" si="10"/>
        <v/>
      </c>
      <c r="AV6" s="323" t="str">
        <f t="shared" si="10"/>
        <v/>
      </c>
      <c r="AW6" s="323" t="str">
        <f t="shared" si="10"/>
        <v/>
      </c>
      <c r="AX6" s="323" t="str">
        <f t="shared" si="10"/>
        <v/>
      </c>
      <c r="AY6" s="323" t="str">
        <f t="shared" si="10"/>
        <v/>
      </c>
      <c r="AZ6" s="323" t="str">
        <f t="shared" si="10"/>
        <v/>
      </c>
      <c r="BA6" s="323" t="str">
        <f t="shared" si="10"/>
        <v/>
      </c>
      <c r="BB6" s="323" t="str">
        <f t="shared" si="10"/>
        <v/>
      </c>
      <c r="BC6" s="323" t="str">
        <f t="shared" si="10"/>
        <v/>
      </c>
      <c r="BD6" s="323" t="str">
        <f t="shared" si="10"/>
        <v/>
      </c>
      <c r="BE6" s="323" t="str">
        <f t="shared" si="10"/>
        <v/>
      </c>
      <c r="BF6" s="323" t="str">
        <f t="shared" si="10"/>
        <v/>
      </c>
      <c r="BG6" s="323" t="str">
        <f t="shared" si="10"/>
        <v/>
      </c>
      <c r="BH6" s="323" t="str">
        <f t="shared" si="10"/>
        <v/>
      </c>
      <c r="BI6" s="323" t="str">
        <f t="shared" si="10"/>
        <v/>
      </c>
      <c r="BJ6" s="323" t="str">
        <f t="shared" si="10"/>
        <v/>
      </c>
      <c r="BK6" s="323" t="str">
        <f t="shared" si="10"/>
        <v/>
      </c>
      <c r="BL6" s="323" t="str">
        <f t="shared" si="10"/>
        <v/>
      </c>
      <c r="BM6" s="323" t="str">
        <f t="shared" si="10"/>
        <v/>
      </c>
      <c r="BN6" s="323" t="str">
        <f t="shared" si="10"/>
        <v/>
      </c>
      <c r="BO6" s="323" t="str">
        <f t="shared" si="10"/>
        <v/>
      </c>
      <c r="BP6" s="323" t="str">
        <f t="shared" si="10"/>
        <v/>
      </c>
      <c r="BQ6" s="323" t="str">
        <f t="shared" si="10"/>
        <v/>
      </c>
      <c r="BR6" s="323" t="str">
        <f t="shared" si="10"/>
        <v/>
      </c>
      <c r="BS6" s="323" t="str">
        <f t="shared" si="10"/>
        <v/>
      </c>
      <c r="BT6" s="323" t="str">
        <f t="shared" si="10"/>
        <v/>
      </c>
      <c r="BU6" s="323" t="str">
        <f t="shared" si="10"/>
        <v/>
      </c>
      <c r="BV6" s="323" t="str">
        <f t="shared" si="10"/>
        <v/>
      </c>
      <c r="BW6" s="323" t="str">
        <f t="shared" si="10"/>
        <v/>
      </c>
      <c r="BX6" s="323" t="str">
        <f t="shared" si="10"/>
        <v/>
      </c>
      <c r="BY6" s="323" t="str">
        <f t="shared" si="10"/>
        <v/>
      </c>
      <c r="BZ6" s="323" t="str">
        <f t="shared" si="10"/>
        <v/>
      </c>
      <c r="CA6" s="323" t="str">
        <f t="shared" si="10"/>
        <v/>
      </c>
      <c r="CB6" s="323" t="str">
        <f t="shared" si="10"/>
        <v/>
      </c>
      <c r="CC6" s="323" t="str">
        <f t="shared" si="10"/>
        <v/>
      </c>
      <c r="CD6" s="323" t="str">
        <f t="shared" si="10"/>
        <v/>
      </c>
      <c r="CE6" s="323" t="str">
        <f t="shared" si="10"/>
        <v/>
      </c>
      <c r="CF6" s="323" t="str">
        <f t="shared" si="10"/>
        <v/>
      </c>
      <c r="CG6" s="323" t="str">
        <f t="shared" si="10"/>
        <v/>
      </c>
      <c r="CH6" s="323" t="str">
        <f t="shared" si="10"/>
        <v/>
      </c>
      <c r="CI6" s="323" t="str">
        <f t="shared" si="10"/>
        <v/>
      </c>
      <c r="CJ6" s="323" t="str">
        <f t="shared" si="10"/>
        <v/>
      </c>
      <c r="CK6" s="323" t="str">
        <f t="shared" si="10"/>
        <v/>
      </c>
      <c r="CL6" s="323" t="str">
        <f t="shared" si="10"/>
        <v/>
      </c>
      <c r="CM6" s="323" t="str">
        <f t="shared" si="10"/>
        <v/>
      </c>
      <c r="CN6" s="323"/>
      <c r="CO6" s="323"/>
      <c r="CP6" s="323" t="str">
        <f t="shared" si="7"/>
        <v/>
      </c>
      <c r="CQ6" s="323"/>
      <c r="CR6" s="323"/>
      <c r="CS6" s="323"/>
      <c r="CT6" s="323"/>
      <c r="CU6" s="323"/>
      <c r="CV6" s="323"/>
      <c r="CW6" s="323"/>
      <c r="CX6" s="323"/>
      <c r="CY6" s="323"/>
      <c r="CZ6" s="323"/>
      <c r="DA6" s="323"/>
      <c r="DB6" s="323"/>
      <c r="DC6" s="323"/>
      <c r="DD6" s="323"/>
      <c r="DE6" s="323"/>
      <c r="DF6" s="323"/>
      <c r="DG6" s="323"/>
      <c r="DH6" s="323"/>
      <c r="DI6" s="323"/>
      <c r="DJ6" s="323"/>
      <c r="DK6" s="323"/>
      <c r="DL6" s="323"/>
      <c r="DM6" s="323"/>
      <c r="DN6" s="323"/>
      <c r="DO6" s="323"/>
      <c r="DP6" s="323"/>
      <c r="DQ6" s="323"/>
      <c r="DR6" s="323"/>
      <c r="DS6" s="323"/>
      <c r="DT6" s="323"/>
      <c r="DU6" s="323"/>
      <c r="DV6" s="323"/>
      <c r="DW6" s="323"/>
      <c r="DX6" s="323"/>
      <c r="DY6" s="323"/>
      <c r="DZ6" s="323"/>
      <c r="EA6" s="323"/>
      <c r="EB6" s="323"/>
      <c r="EC6" s="323"/>
      <c r="ED6" s="323"/>
      <c r="EE6" s="323"/>
      <c r="EF6" s="323"/>
      <c r="EG6" s="323"/>
      <c r="EH6" s="323"/>
      <c r="EI6" s="323"/>
      <c r="EJ6" s="323"/>
      <c r="EK6" s="323"/>
      <c r="EL6" s="323"/>
      <c r="EM6" s="323"/>
      <c r="EN6" s="323"/>
      <c r="EO6" s="323"/>
      <c r="EP6" s="323"/>
      <c r="EQ6" s="323"/>
      <c r="ER6" s="323"/>
      <c r="ES6" s="323"/>
      <c r="ET6" s="323"/>
      <c r="EU6" s="323"/>
      <c r="EV6" s="323"/>
      <c r="EW6" s="323"/>
      <c r="EX6" s="323"/>
      <c r="EY6" s="323"/>
      <c r="EZ6" s="323"/>
      <c r="FA6" s="323"/>
      <c r="FB6" s="323"/>
      <c r="FC6" s="323"/>
      <c r="FD6" s="323"/>
      <c r="FE6" s="323"/>
      <c r="FF6" s="323"/>
      <c r="FG6" s="323"/>
      <c r="FH6" s="323"/>
      <c r="FI6" s="323"/>
      <c r="FJ6" s="323"/>
      <c r="FK6" s="323"/>
      <c r="FL6" s="323"/>
      <c r="FM6" s="323"/>
      <c r="FN6" s="323"/>
      <c r="FO6" s="323"/>
      <c r="FP6" s="323"/>
      <c r="FQ6" s="323"/>
      <c r="FR6" s="323"/>
      <c r="FS6" s="323"/>
      <c r="FT6" s="323"/>
      <c r="FU6" s="323"/>
      <c r="FV6" s="323"/>
      <c r="FW6" s="323"/>
      <c r="FX6" s="323"/>
    </row>
    <row r="7" ht="15.75" customHeight="1">
      <c r="A7" s="44">
        <v>4.0</v>
      </c>
      <c r="B7" s="142" t="s">
        <v>381</v>
      </c>
      <c r="C7" s="326">
        <v>32.0</v>
      </c>
      <c r="D7" s="321">
        <v>1.0</v>
      </c>
      <c r="E7" s="322">
        <f t="shared" si="4"/>
        <v>4</v>
      </c>
      <c r="F7" s="322">
        <f t="shared" si="5"/>
        <v>0.8</v>
      </c>
      <c r="G7" s="47">
        <f t="shared" si="8"/>
        <v>45540</v>
      </c>
      <c r="H7" s="47">
        <f t="shared" si="9"/>
        <v>45545</v>
      </c>
      <c r="I7" s="78" t="s">
        <v>49</v>
      </c>
      <c r="J7" s="323"/>
      <c r="K7" s="323"/>
      <c r="L7" s="323"/>
      <c r="M7" s="323"/>
      <c r="N7" s="323"/>
      <c r="O7" s="323"/>
      <c r="P7" s="323"/>
      <c r="Q7" s="323"/>
      <c r="R7" s="323"/>
      <c r="S7" s="323"/>
      <c r="T7" s="323"/>
      <c r="U7" s="323"/>
      <c r="V7" s="323"/>
      <c r="W7" s="323"/>
      <c r="X7" s="323"/>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3"/>
      <c r="BK7" s="323"/>
      <c r="BL7" s="323"/>
      <c r="BM7" s="323"/>
      <c r="BN7" s="323"/>
      <c r="BO7" s="323"/>
      <c r="BP7" s="323"/>
      <c r="BQ7" s="323"/>
      <c r="BR7" s="323"/>
      <c r="BS7" s="323"/>
      <c r="BT7" s="323"/>
      <c r="BU7" s="323"/>
      <c r="BV7" s="323"/>
      <c r="BW7" s="323"/>
      <c r="BX7" s="323"/>
      <c r="BY7" s="323"/>
      <c r="BZ7" s="323"/>
      <c r="CA7" s="323"/>
      <c r="CB7" s="323"/>
      <c r="CC7" s="323"/>
      <c r="CD7" s="323"/>
      <c r="CE7" s="323"/>
      <c r="CF7" s="323"/>
      <c r="CG7" s="323"/>
      <c r="CH7" s="323"/>
      <c r="CI7" s="323"/>
      <c r="CJ7" s="323"/>
      <c r="CK7" s="323"/>
      <c r="CL7" s="323"/>
      <c r="CM7" s="323"/>
      <c r="CN7" s="323"/>
      <c r="CO7" s="323"/>
      <c r="CP7" s="323"/>
      <c r="CQ7" s="323"/>
      <c r="CR7" s="323"/>
      <c r="CS7" s="323"/>
      <c r="CT7" s="323"/>
      <c r="CU7" s="323"/>
      <c r="CV7" s="323"/>
      <c r="CW7" s="323"/>
      <c r="CX7" s="323"/>
      <c r="CY7" s="323"/>
      <c r="CZ7" s="323"/>
      <c r="DA7" s="323"/>
      <c r="DB7" s="323"/>
      <c r="DC7" s="323"/>
      <c r="DD7" s="323"/>
      <c r="DE7" s="323"/>
      <c r="DF7" s="323"/>
      <c r="DG7" s="323"/>
      <c r="DH7" s="323"/>
      <c r="DI7" s="323"/>
      <c r="DJ7" s="323"/>
      <c r="DK7" s="323"/>
      <c r="DL7" s="323"/>
      <c r="DM7" s="323"/>
      <c r="DN7" s="323"/>
      <c r="DO7" s="323"/>
      <c r="DP7" s="323"/>
      <c r="DQ7" s="323"/>
      <c r="DR7" s="323"/>
      <c r="DS7" s="323"/>
      <c r="DT7" s="323"/>
      <c r="DU7" s="323"/>
      <c r="DV7" s="323"/>
      <c r="DW7" s="323"/>
      <c r="DX7" s="323"/>
      <c r="DY7" s="323"/>
      <c r="DZ7" s="323"/>
      <c r="EA7" s="323"/>
      <c r="EB7" s="323"/>
      <c r="EC7" s="323"/>
      <c r="ED7" s="323"/>
      <c r="EE7" s="323"/>
      <c r="EF7" s="323"/>
      <c r="EG7" s="323"/>
      <c r="EH7" s="323"/>
      <c r="EI7" s="323"/>
      <c r="EJ7" s="323"/>
      <c r="EK7" s="323"/>
      <c r="EL7" s="323"/>
      <c r="EM7" s="323"/>
      <c r="EN7" s="323"/>
      <c r="EO7" s="323"/>
      <c r="EP7" s="323"/>
      <c r="EQ7" s="323"/>
      <c r="ER7" s="323"/>
      <c r="ES7" s="323"/>
      <c r="ET7" s="323"/>
      <c r="EU7" s="323"/>
      <c r="EV7" s="323"/>
      <c r="EW7" s="323"/>
      <c r="EX7" s="323"/>
      <c r="EY7" s="323"/>
      <c r="EZ7" s="323"/>
      <c r="FA7" s="323"/>
      <c r="FB7" s="323"/>
      <c r="FC7" s="323"/>
      <c r="FD7" s="323"/>
      <c r="FE7" s="323"/>
      <c r="FF7" s="323"/>
      <c r="FG7" s="323"/>
      <c r="FH7" s="323"/>
      <c r="FI7" s="323"/>
      <c r="FJ7" s="323"/>
      <c r="FK7" s="323"/>
      <c r="FL7" s="323"/>
      <c r="FM7" s="323"/>
      <c r="FN7" s="323"/>
      <c r="FO7" s="323"/>
      <c r="FP7" s="323"/>
      <c r="FQ7" s="323"/>
      <c r="FR7" s="323"/>
      <c r="FS7" s="323"/>
      <c r="FT7" s="323"/>
      <c r="FU7" s="323"/>
      <c r="FV7" s="323"/>
      <c r="FW7" s="323"/>
      <c r="FX7" s="323"/>
    </row>
    <row r="8" ht="15.75" customHeight="1">
      <c r="A8" s="44">
        <v>5.0</v>
      </c>
      <c r="B8" s="327" t="s">
        <v>382</v>
      </c>
      <c r="G8" s="47">
        <f t="shared" si="8"/>
        <v>45546</v>
      </c>
      <c r="H8" s="47">
        <f>_xlfn.WORKDAY.INTL(G8,E8,1)</f>
        <v>45546</v>
      </c>
      <c r="I8" s="78" t="s">
        <v>54</v>
      </c>
      <c r="J8" s="323"/>
      <c r="K8" s="323"/>
      <c r="L8" s="323"/>
      <c r="M8" s="323"/>
      <c r="N8" s="323"/>
      <c r="O8" s="323"/>
      <c r="P8" s="323"/>
      <c r="Q8" s="323"/>
      <c r="R8" s="323"/>
      <c r="S8" s="323"/>
      <c r="T8" s="323"/>
      <c r="U8" s="323"/>
      <c r="V8" s="323"/>
      <c r="W8" s="323"/>
      <c r="X8" s="323"/>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3"/>
      <c r="BK8" s="323"/>
      <c r="BL8" s="323"/>
      <c r="BM8" s="323"/>
      <c r="BN8" s="323"/>
      <c r="BO8" s="323"/>
      <c r="BP8" s="323"/>
      <c r="BQ8" s="323"/>
      <c r="BR8" s="323"/>
      <c r="BS8" s="323"/>
      <c r="BT8" s="323"/>
      <c r="BU8" s="323"/>
      <c r="BV8" s="323"/>
      <c r="BW8" s="323"/>
      <c r="BX8" s="323"/>
      <c r="BY8" s="323"/>
      <c r="BZ8" s="323"/>
      <c r="CA8" s="323"/>
      <c r="CB8" s="323"/>
      <c r="CC8" s="323"/>
      <c r="CD8" s="323"/>
      <c r="CE8" s="323"/>
      <c r="CF8" s="323"/>
      <c r="CG8" s="323"/>
      <c r="CH8" s="323"/>
      <c r="CI8" s="323"/>
      <c r="CJ8" s="323"/>
      <c r="CK8" s="323"/>
      <c r="CL8" s="323"/>
      <c r="CM8" s="323"/>
      <c r="CN8" s="323"/>
      <c r="CO8" s="323"/>
      <c r="CP8" s="323"/>
      <c r="CQ8" s="323"/>
      <c r="CR8" s="323"/>
      <c r="CS8" s="323"/>
      <c r="CT8" s="323"/>
      <c r="CU8" s="323"/>
      <c r="CV8" s="323"/>
      <c r="CW8" s="323"/>
      <c r="CX8" s="323"/>
      <c r="CY8" s="323"/>
      <c r="CZ8" s="323"/>
      <c r="DA8" s="323"/>
      <c r="DB8" s="323"/>
      <c r="DC8" s="323"/>
      <c r="DD8" s="323"/>
      <c r="DE8" s="323"/>
      <c r="DF8" s="323"/>
      <c r="DG8" s="323"/>
      <c r="DH8" s="323"/>
      <c r="DI8" s="323"/>
      <c r="DJ8" s="323"/>
      <c r="DK8" s="323"/>
      <c r="DL8" s="323"/>
      <c r="DM8" s="323"/>
      <c r="DN8" s="323"/>
      <c r="DO8" s="323"/>
      <c r="DP8" s="323"/>
      <c r="DQ8" s="323"/>
      <c r="DR8" s="323"/>
      <c r="DS8" s="323"/>
      <c r="DT8" s="323"/>
      <c r="DU8" s="323"/>
      <c r="DV8" s="323"/>
      <c r="DW8" s="323"/>
      <c r="DX8" s="323"/>
      <c r="DY8" s="323"/>
      <c r="DZ8" s="323"/>
      <c r="EA8" s="323"/>
      <c r="EB8" s="323"/>
      <c r="EC8" s="323"/>
      <c r="ED8" s="323"/>
      <c r="EE8" s="323"/>
      <c r="EF8" s="323"/>
      <c r="EG8" s="323"/>
      <c r="EH8" s="323"/>
      <c r="EI8" s="323"/>
      <c r="EJ8" s="323"/>
      <c r="EK8" s="323"/>
      <c r="EL8" s="323"/>
      <c r="EM8" s="323"/>
      <c r="EN8" s="323"/>
      <c r="EO8" s="323"/>
      <c r="EP8" s="323"/>
      <c r="EQ8" s="323"/>
      <c r="ER8" s="323"/>
      <c r="ES8" s="323"/>
      <c r="ET8" s="323"/>
      <c r="EU8" s="323"/>
      <c r="EV8" s="323"/>
      <c r="EW8" s="323"/>
      <c r="EX8" s="323"/>
      <c r="EY8" s="323"/>
      <c r="EZ8" s="323"/>
      <c r="FA8" s="323"/>
      <c r="FB8" s="323"/>
      <c r="FC8" s="323"/>
      <c r="FD8" s="323"/>
      <c r="FE8" s="323"/>
      <c r="FF8" s="323"/>
      <c r="FG8" s="323"/>
      <c r="FH8" s="323"/>
      <c r="FI8" s="323"/>
      <c r="FJ8" s="323"/>
      <c r="FK8" s="323"/>
      <c r="FL8" s="323"/>
      <c r="FM8" s="323"/>
      <c r="FN8" s="323"/>
      <c r="FO8" s="323"/>
      <c r="FP8" s="323"/>
      <c r="FQ8" s="323"/>
      <c r="FR8" s="323"/>
      <c r="FS8" s="323"/>
      <c r="FT8" s="323"/>
      <c r="FU8" s="323"/>
      <c r="FV8" s="323"/>
      <c r="FW8" s="323"/>
      <c r="FX8" s="323"/>
    </row>
    <row r="9" ht="15.75" customHeight="1">
      <c r="A9" s="44">
        <v>6.0</v>
      </c>
      <c r="B9" s="35" t="s">
        <v>383</v>
      </c>
      <c r="C9" s="328">
        <f>Backend!C4</f>
        <v>0</v>
      </c>
      <c r="D9" s="329">
        <v>2.0</v>
      </c>
      <c r="E9" s="322">
        <f t="shared" ref="E9:E16" si="12">(C9/D9)/8</f>
        <v>0</v>
      </c>
      <c r="F9" s="322">
        <f t="shared" ref="F9:F16" si="13">E9/5</f>
        <v>0</v>
      </c>
      <c r="G9" s="47">
        <f>_xlfn.WORKDAY.INTL(H7,1,1)</f>
        <v>45546</v>
      </c>
      <c r="H9" s="47">
        <f t="shared" ref="H9:H16" si="14">_xlfn.WORKDAY.INTL(G9,E9-1,1)</f>
        <v>45545</v>
      </c>
      <c r="I9" s="26" t="s">
        <v>49</v>
      </c>
      <c r="J9" s="323" t="str">
        <f t="shared" ref="J9:CM9" si="11">IF(AND($I9="Yes",J$2=$H9),"♦","")</f>
        <v/>
      </c>
      <c r="K9" s="323" t="str">
        <f t="shared" si="11"/>
        <v/>
      </c>
      <c r="L9" s="323" t="str">
        <f t="shared" si="11"/>
        <v/>
      </c>
      <c r="M9" s="323" t="str">
        <f t="shared" si="11"/>
        <v/>
      </c>
      <c r="N9" s="323" t="str">
        <f t="shared" si="11"/>
        <v/>
      </c>
      <c r="O9" s="323" t="str">
        <f t="shared" si="11"/>
        <v/>
      </c>
      <c r="P9" s="323" t="str">
        <f t="shared" si="11"/>
        <v/>
      </c>
      <c r="Q9" s="323" t="str">
        <f t="shared" si="11"/>
        <v/>
      </c>
      <c r="R9" s="323" t="str">
        <f t="shared" si="11"/>
        <v/>
      </c>
      <c r="S9" s="323" t="str">
        <f t="shared" si="11"/>
        <v/>
      </c>
      <c r="T9" s="323" t="str">
        <f t="shared" si="11"/>
        <v/>
      </c>
      <c r="U9" s="323" t="str">
        <f t="shared" si="11"/>
        <v/>
      </c>
      <c r="V9" s="323" t="str">
        <f t="shared" si="11"/>
        <v/>
      </c>
      <c r="W9" s="323" t="str">
        <f t="shared" si="11"/>
        <v/>
      </c>
      <c r="X9" s="323" t="str">
        <f t="shared" si="11"/>
        <v/>
      </c>
      <c r="Y9" s="323" t="str">
        <f t="shared" si="11"/>
        <v/>
      </c>
      <c r="Z9" s="323" t="str">
        <f t="shared" si="11"/>
        <v/>
      </c>
      <c r="AA9" s="323" t="str">
        <f t="shared" si="11"/>
        <v/>
      </c>
      <c r="AB9" s="323" t="str">
        <f t="shared" si="11"/>
        <v/>
      </c>
      <c r="AC9" s="323" t="str">
        <f t="shared" si="11"/>
        <v/>
      </c>
      <c r="AD9" s="323" t="str">
        <f t="shared" si="11"/>
        <v/>
      </c>
      <c r="AE9" s="323" t="str">
        <f t="shared" si="11"/>
        <v/>
      </c>
      <c r="AF9" s="323" t="str">
        <f t="shared" si="11"/>
        <v/>
      </c>
      <c r="AG9" s="323" t="str">
        <f t="shared" si="11"/>
        <v/>
      </c>
      <c r="AH9" s="323" t="str">
        <f t="shared" si="11"/>
        <v/>
      </c>
      <c r="AI9" s="323" t="str">
        <f t="shared" si="11"/>
        <v/>
      </c>
      <c r="AJ9" s="323" t="str">
        <f t="shared" si="11"/>
        <v/>
      </c>
      <c r="AK9" s="323" t="str">
        <f t="shared" si="11"/>
        <v/>
      </c>
      <c r="AL9" s="323" t="str">
        <f t="shared" si="11"/>
        <v/>
      </c>
      <c r="AM9" s="323" t="str">
        <f t="shared" si="11"/>
        <v/>
      </c>
      <c r="AN9" s="323" t="str">
        <f t="shared" si="11"/>
        <v/>
      </c>
      <c r="AO9" s="323" t="str">
        <f t="shared" si="11"/>
        <v/>
      </c>
      <c r="AP9" s="323" t="str">
        <f t="shared" si="11"/>
        <v/>
      </c>
      <c r="AQ9" s="323" t="str">
        <f t="shared" si="11"/>
        <v/>
      </c>
      <c r="AR9" s="323" t="str">
        <f t="shared" si="11"/>
        <v/>
      </c>
      <c r="AS9" s="323" t="str">
        <f t="shared" si="11"/>
        <v/>
      </c>
      <c r="AT9" s="323" t="str">
        <f t="shared" si="11"/>
        <v/>
      </c>
      <c r="AU9" s="323" t="str">
        <f t="shared" si="11"/>
        <v/>
      </c>
      <c r="AV9" s="323" t="str">
        <f t="shared" si="11"/>
        <v/>
      </c>
      <c r="AW9" s="323" t="str">
        <f t="shared" si="11"/>
        <v/>
      </c>
      <c r="AX9" s="323" t="str">
        <f t="shared" si="11"/>
        <v/>
      </c>
      <c r="AY9" s="323" t="str">
        <f t="shared" si="11"/>
        <v/>
      </c>
      <c r="AZ9" s="323" t="str">
        <f t="shared" si="11"/>
        <v/>
      </c>
      <c r="BA9" s="323" t="str">
        <f t="shared" si="11"/>
        <v/>
      </c>
      <c r="BB9" s="323" t="str">
        <f t="shared" si="11"/>
        <v/>
      </c>
      <c r="BC9" s="323" t="str">
        <f t="shared" si="11"/>
        <v/>
      </c>
      <c r="BD9" s="323" t="str">
        <f t="shared" si="11"/>
        <v/>
      </c>
      <c r="BE9" s="323" t="str">
        <f t="shared" si="11"/>
        <v/>
      </c>
      <c r="BF9" s="323" t="str">
        <f t="shared" si="11"/>
        <v/>
      </c>
      <c r="BG9" s="323" t="str">
        <f t="shared" si="11"/>
        <v/>
      </c>
      <c r="BH9" s="323" t="str">
        <f t="shared" si="11"/>
        <v/>
      </c>
      <c r="BI9" s="323" t="str">
        <f t="shared" si="11"/>
        <v/>
      </c>
      <c r="BJ9" s="323" t="str">
        <f t="shared" si="11"/>
        <v/>
      </c>
      <c r="BK9" s="323" t="str">
        <f t="shared" si="11"/>
        <v/>
      </c>
      <c r="BL9" s="323" t="str">
        <f t="shared" si="11"/>
        <v/>
      </c>
      <c r="BM9" s="323" t="str">
        <f t="shared" si="11"/>
        <v/>
      </c>
      <c r="BN9" s="323" t="str">
        <f t="shared" si="11"/>
        <v/>
      </c>
      <c r="BO9" s="323" t="str">
        <f t="shared" si="11"/>
        <v/>
      </c>
      <c r="BP9" s="323" t="str">
        <f t="shared" si="11"/>
        <v/>
      </c>
      <c r="BQ9" s="323" t="str">
        <f t="shared" si="11"/>
        <v/>
      </c>
      <c r="BR9" s="323" t="str">
        <f t="shared" si="11"/>
        <v/>
      </c>
      <c r="BS9" s="323" t="str">
        <f t="shared" si="11"/>
        <v/>
      </c>
      <c r="BT9" s="323" t="str">
        <f t="shared" si="11"/>
        <v/>
      </c>
      <c r="BU9" s="323" t="str">
        <f t="shared" si="11"/>
        <v/>
      </c>
      <c r="BV9" s="323" t="str">
        <f t="shared" si="11"/>
        <v/>
      </c>
      <c r="BW9" s="323" t="str">
        <f t="shared" si="11"/>
        <v/>
      </c>
      <c r="BX9" s="323" t="str">
        <f t="shared" si="11"/>
        <v/>
      </c>
      <c r="BY9" s="323" t="str">
        <f t="shared" si="11"/>
        <v/>
      </c>
      <c r="BZ9" s="323" t="str">
        <f t="shared" si="11"/>
        <v/>
      </c>
      <c r="CA9" s="323" t="str">
        <f t="shared" si="11"/>
        <v/>
      </c>
      <c r="CB9" s="323" t="str">
        <f t="shared" si="11"/>
        <v/>
      </c>
      <c r="CC9" s="323" t="str">
        <f t="shared" si="11"/>
        <v/>
      </c>
      <c r="CD9" s="323" t="str">
        <f t="shared" si="11"/>
        <v/>
      </c>
      <c r="CE9" s="323" t="str">
        <f t="shared" si="11"/>
        <v/>
      </c>
      <c r="CF9" s="323" t="str">
        <f t="shared" si="11"/>
        <v/>
      </c>
      <c r="CG9" s="323" t="str">
        <f t="shared" si="11"/>
        <v/>
      </c>
      <c r="CH9" s="323" t="str">
        <f t="shared" si="11"/>
        <v/>
      </c>
      <c r="CI9" s="323" t="str">
        <f t="shared" si="11"/>
        <v/>
      </c>
      <c r="CJ9" s="323" t="str">
        <f t="shared" si="11"/>
        <v/>
      </c>
      <c r="CK9" s="323" t="str">
        <f t="shared" si="11"/>
        <v/>
      </c>
      <c r="CL9" s="323" t="str">
        <f t="shared" si="11"/>
        <v/>
      </c>
      <c r="CM9" s="323" t="str">
        <f t="shared" si="11"/>
        <v/>
      </c>
      <c r="CN9" s="323"/>
      <c r="CO9" s="323"/>
      <c r="CP9" s="323" t="str">
        <f t="shared" ref="CP9:CP103" si="16">IF(AND($I9="Yes",CM$2=$H9),"♦","")</f>
        <v/>
      </c>
      <c r="CQ9" s="323"/>
      <c r="CR9" s="323"/>
      <c r="CS9" s="323"/>
      <c r="CT9" s="323"/>
      <c r="CU9" s="323"/>
      <c r="CV9" s="323"/>
      <c r="CW9" s="323"/>
      <c r="CX9" s="323"/>
      <c r="CY9" s="323"/>
      <c r="CZ9" s="323"/>
      <c r="DA9" s="323"/>
      <c r="DB9" s="323"/>
      <c r="DC9" s="323"/>
      <c r="DD9" s="323"/>
      <c r="DE9" s="323"/>
      <c r="DF9" s="323"/>
      <c r="DG9" s="323"/>
      <c r="DH9" s="323"/>
      <c r="DI9" s="323"/>
      <c r="DJ9" s="323"/>
      <c r="DK9" s="323"/>
      <c r="DL9" s="323"/>
      <c r="DM9" s="323"/>
      <c r="DN9" s="323"/>
      <c r="DO9" s="323"/>
      <c r="DP9" s="323"/>
      <c r="DQ9" s="323"/>
      <c r="DR9" s="323"/>
      <c r="DS9" s="323"/>
      <c r="DT9" s="323"/>
      <c r="DU9" s="323"/>
      <c r="DV9" s="323"/>
      <c r="DW9" s="323"/>
      <c r="DX9" s="323"/>
      <c r="DY9" s="323"/>
      <c r="DZ9" s="323"/>
      <c r="EA9" s="323"/>
      <c r="EB9" s="323"/>
      <c r="EC9" s="323"/>
      <c r="ED9" s="323"/>
      <c r="EE9" s="323"/>
      <c r="EF9" s="323"/>
      <c r="EG9" s="323"/>
      <c r="EH9" s="323"/>
      <c r="EI9" s="323"/>
      <c r="EJ9" s="323"/>
      <c r="EK9" s="323"/>
      <c r="EL9" s="323"/>
      <c r="EM9" s="323"/>
      <c r="EN9" s="323"/>
      <c r="EO9" s="323"/>
      <c r="EP9" s="323"/>
      <c r="EQ9" s="323"/>
      <c r="ER9" s="323"/>
      <c r="ES9" s="323"/>
      <c r="ET9" s="323"/>
      <c r="EU9" s="323"/>
      <c r="EV9" s="323"/>
      <c r="EW9" s="323"/>
      <c r="EX9" s="323"/>
      <c r="EY9" s="323"/>
      <c r="EZ9" s="323"/>
      <c r="FA9" s="323"/>
      <c r="FB9" s="323"/>
      <c r="FC9" s="323"/>
      <c r="FD9" s="323"/>
      <c r="FE9" s="323"/>
      <c r="FF9" s="323"/>
      <c r="FG9" s="323"/>
      <c r="FH9" s="323"/>
      <c r="FI9" s="323"/>
      <c r="FJ9" s="323"/>
      <c r="FK9" s="323"/>
      <c r="FL9" s="323"/>
      <c r="FM9" s="323"/>
      <c r="FN9" s="323"/>
      <c r="FO9" s="323"/>
      <c r="FP9" s="323"/>
      <c r="FQ9" s="323"/>
      <c r="FR9" s="323"/>
      <c r="FS9" s="323"/>
      <c r="FT9" s="323"/>
      <c r="FU9" s="323"/>
      <c r="FV9" s="323"/>
      <c r="FW9" s="323"/>
      <c r="FX9" s="323"/>
    </row>
    <row r="10" ht="15.75" customHeight="1">
      <c r="A10" s="44">
        <v>7.0</v>
      </c>
      <c r="B10" s="35" t="s">
        <v>384</v>
      </c>
      <c r="C10" s="328">
        <f>Frontend!C4</f>
        <v>0</v>
      </c>
      <c r="D10" s="329">
        <v>1.5</v>
      </c>
      <c r="E10" s="322">
        <f t="shared" si="12"/>
        <v>0</v>
      </c>
      <c r="F10" s="322">
        <f t="shared" si="13"/>
        <v>0</v>
      </c>
      <c r="G10" s="47">
        <f t="shared" ref="G10:G11" si="17">_xlfn.WORKDAY.INTL(G9,5,1)</f>
        <v>45553</v>
      </c>
      <c r="H10" s="47">
        <f t="shared" si="14"/>
        <v>45552</v>
      </c>
      <c r="I10" s="26" t="s">
        <v>49</v>
      </c>
      <c r="J10" s="323" t="str">
        <f t="shared" ref="J10:CM10" si="15">IF(AND($I10="Yes",J$2=$H10),"♦","")</f>
        <v/>
      </c>
      <c r="K10" s="323" t="str">
        <f t="shared" si="15"/>
        <v/>
      </c>
      <c r="L10" s="323" t="str">
        <f t="shared" si="15"/>
        <v/>
      </c>
      <c r="M10" s="323" t="str">
        <f t="shared" si="15"/>
        <v/>
      </c>
      <c r="N10" s="323" t="str">
        <f t="shared" si="15"/>
        <v/>
      </c>
      <c r="O10" s="323" t="str">
        <f t="shared" si="15"/>
        <v/>
      </c>
      <c r="P10" s="323" t="str">
        <f t="shared" si="15"/>
        <v/>
      </c>
      <c r="Q10" s="323" t="str">
        <f t="shared" si="15"/>
        <v/>
      </c>
      <c r="R10" s="323" t="str">
        <f t="shared" si="15"/>
        <v/>
      </c>
      <c r="S10" s="323" t="str">
        <f t="shared" si="15"/>
        <v/>
      </c>
      <c r="T10" s="323" t="str">
        <f t="shared" si="15"/>
        <v/>
      </c>
      <c r="U10" s="323" t="str">
        <f t="shared" si="15"/>
        <v/>
      </c>
      <c r="V10" s="323" t="str">
        <f t="shared" si="15"/>
        <v/>
      </c>
      <c r="W10" s="323" t="str">
        <f t="shared" si="15"/>
        <v/>
      </c>
      <c r="X10" s="323" t="str">
        <f t="shared" si="15"/>
        <v/>
      </c>
      <c r="Y10" s="323" t="str">
        <f t="shared" si="15"/>
        <v/>
      </c>
      <c r="Z10" s="323" t="str">
        <f t="shared" si="15"/>
        <v/>
      </c>
      <c r="AA10" s="323" t="str">
        <f t="shared" si="15"/>
        <v/>
      </c>
      <c r="AB10" s="323" t="str">
        <f t="shared" si="15"/>
        <v/>
      </c>
      <c r="AC10" s="323" t="str">
        <f t="shared" si="15"/>
        <v/>
      </c>
      <c r="AD10" s="323" t="str">
        <f t="shared" si="15"/>
        <v/>
      </c>
      <c r="AE10" s="323" t="str">
        <f t="shared" si="15"/>
        <v/>
      </c>
      <c r="AF10" s="323" t="str">
        <f t="shared" si="15"/>
        <v/>
      </c>
      <c r="AG10" s="323" t="str">
        <f t="shared" si="15"/>
        <v/>
      </c>
      <c r="AH10" s="323" t="str">
        <f t="shared" si="15"/>
        <v/>
      </c>
      <c r="AI10" s="323" t="str">
        <f t="shared" si="15"/>
        <v/>
      </c>
      <c r="AJ10" s="323" t="str">
        <f t="shared" si="15"/>
        <v/>
      </c>
      <c r="AK10" s="323" t="str">
        <f t="shared" si="15"/>
        <v/>
      </c>
      <c r="AL10" s="323" t="str">
        <f t="shared" si="15"/>
        <v/>
      </c>
      <c r="AM10" s="323" t="str">
        <f t="shared" si="15"/>
        <v/>
      </c>
      <c r="AN10" s="323" t="str">
        <f t="shared" si="15"/>
        <v/>
      </c>
      <c r="AO10" s="323" t="str">
        <f t="shared" si="15"/>
        <v/>
      </c>
      <c r="AP10" s="323" t="str">
        <f t="shared" si="15"/>
        <v/>
      </c>
      <c r="AQ10" s="323" t="str">
        <f t="shared" si="15"/>
        <v/>
      </c>
      <c r="AR10" s="323" t="str">
        <f t="shared" si="15"/>
        <v/>
      </c>
      <c r="AS10" s="323" t="str">
        <f t="shared" si="15"/>
        <v/>
      </c>
      <c r="AT10" s="323" t="str">
        <f t="shared" si="15"/>
        <v/>
      </c>
      <c r="AU10" s="323" t="str">
        <f t="shared" si="15"/>
        <v/>
      </c>
      <c r="AV10" s="323" t="str">
        <f t="shared" si="15"/>
        <v/>
      </c>
      <c r="AW10" s="323" t="str">
        <f t="shared" si="15"/>
        <v/>
      </c>
      <c r="AX10" s="323" t="str">
        <f t="shared" si="15"/>
        <v/>
      </c>
      <c r="AY10" s="323" t="str">
        <f t="shared" si="15"/>
        <v/>
      </c>
      <c r="AZ10" s="323" t="str">
        <f t="shared" si="15"/>
        <v/>
      </c>
      <c r="BA10" s="323" t="str">
        <f t="shared" si="15"/>
        <v/>
      </c>
      <c r="BB10" s="323" t="str">
        <f t="shared" si="15"/>
        <v/>
      </c>
      <c r="BC10" s="323" t="str">
        <f t="shared" si="15"/>
        <v/>
      </c>
      <c r="BD10" s="323" t="str">
        <f t="shared" si="15"/>
        <v/>
      </c>
      <c r="BE10" s="323" t="str">
        <f t="shared" si="15"/>
        <v/>
      </c>
      <c r="BF10" s="323" t="str">
        <f t="shared" si="15"/>
        <v/>
      </c>
      <c r="BG10" s="323" t="str">
        <f t="shared" si="15"/>
        <v/>
      </c>
      <c r="BH10" s="323" t="str">
        <f t="shared" si="15"/>
        <v/>
      </c>
      <c r="BI10" s="323" t="str">
        <f t="shared" si="15"/>
        <v/>
      </c>
      <c r="BJ10" s="323" t="str">
        <f t="shared" si="15"/>
        <v/>
      </c>
      <c r="BK10" s="323" t="str">
        <f t="shared" si="15"/>
        <v/>
      </c>
      <c r="BL10" s="323" t="str">
        <f t="shared" si="15"/>
        <v/>
      </c>
      <c r="BM10" s="323" t="str">
        <f t="shared" si="15"/>
        <v/>
      </c>
      <c r="BN10" s="323" t="str">
        <f t="shared" si="15"/>
        <v/>
      </c>
      <c r="BO10" s="323" t="str">
        <f t="shared" si="15"/>
        <v/>
      </c>
      <c r="BP10" s="323" t="str">
        <f t="shared" si="15"/>
        <v/>
      </c>
      <c r="BQ10" s="323" t="str">
        <f t="shared" si="15"/>
        <v/>
      </c>
      <c r="BR10" s="323" t="str">
        <f t="shared" si="15"/>
        <v/>
      </c>
      <c r="BS10" s="323" t="str">
        <f t="shared" si="15"/>
        <v/>
      </c>
      <c r="BT10" s="323" t="str">
        <f t="shared" si="15"/>
        <v/>
      </c>
      <c r="BU10" s="323" t="str">
        <f t="shared" si="15"/>
        <v/>
      </c>
      <c r="BV10" s="323" t="str">
        <f t="shared" si="15"/>
        <v/>
      </c>
      <c r="BW10" s="323" t="str">
        <f t="shared" si="15"/>
        <v/>
      </c>
      <c r="BX10" s="323" t="str">
        <f t="shared" si="15"/>
        <v/>
      </c>
      <c r="BY10" s="323" t="str">
        <f t="shared" si="15"/>
        <v/>
      </c>
      <c r="BZ10" s="323" t="str">
        <f t="shared" si="15"/>
        <v/>
      </c>
      <c r="CA10" s="323" t="str">
        <f t="shared" si="15"/>
        <v/>
      </c>
      <c r="CB10" s="323" t="str">
        <f t="shared" si="15"/>
        <v/>
      </c>
      <c r="CC10" s="323" t="str">
        <f t="shared" si="15"/>
        <v/>
      </c>
      <c r="CD10" s="323" t="str">
        <f t="shared" si="15"/>
        <v/>
      </c>
      <c r="CE10" s="323" t="str">
        <f t="shared" si="15"/>
        <v/>
      </c>
      <c r="CF10" s="323" t="str">
        <f t="shared" si="15"/>
        <v/>
      </c>
      <c r="CG10" s="323" t="str">
        <f t="shared" si="15"/>
        <v/>
      </c>
      <c r="CH10" s="323" t="str">
        <f t="shared" si="15"/>
        <v/>
      </c>
      <c r="CI10" s="323" t="str">
        <f t="shared" si="15"/>
        <v/>
      </c>
      <c r="CJ10" s="323" t="str">
        <f t="shared" si="15"/>
        <v/>
      </c>
      <c r="CK10" s="323" t="str">
        <f t="shared" si="15"/>
        <v/>
      </c>
      <c r="CL10" s="323" t="str">
        <f t="shared" si="15"/>
        <v/>
      </c>
      <c r="CM10" s="323" t="str">
        <f t="shared" si="15"/>
        <v/>
      </c>
      <c r="CN10" s="323"/>
      <c r="CO10" s="323"/>
      <c r="CP10" s="323" t="str">
        <f t="shared" si="16"/>
        <v/>
      </c>
      <c r="CQ10" s="323"/>
      <c r="CR10" s="323"/>
      <c r="CS10" s="323"/>
      <c r="CT10" s="323"/>
      <c r="CU10" s="323"/>
      <c r="CV10" s="323"/>
      <c r="CW10" s="323"/>
      <c r="CX10" s="323"/>
      <c r="CY10" s="323"/>
      <c r="CZ10" s="323"/>
      <c r="DA10" s="323"/>
      <c r="DB10" s="323"/>
      <c r="DC10" s="323"/>
      <c r="DD10" s="323"/>
      <c r="DE10" s="323"/>
      <c r="DF10" s="323"/>
      <c r="DG10" s="323"/>
      <c r="DH10" s="323"/>
      <c r="DI10" s="323"/>
      <c r="DJ10" s="323"/>
      <c r="DK10" s="323"/>
      <c r="DL10" s="323"/>
      <c r="DM10" s="323"/>
      <c r="DN10" s="323"/>
      <c r="DO10" s="323"/>
      <c r="DP10" s="323"/>
      <c r="DQ10" s="323"/>
      <c r="DR10" s="323"/>
      <c r="DS10" s="323"/>
      <c r="DT10" s="323"/>
      <c r="DU10" s="323"/>
      <c r="DV10" s="323"/>
      <c r="DW10" s="323"/>
      <c r="DX10" s="323"/>
      <c r="DY10" s="323"/>
      <c r="DZ10" s="323"/>
      <c r="EA10" s="323"/>
      <c r="EB10" s="323"/>
      <c r="EC10" s="323"/>
      <c r="ED10" s="323"/>
      <c r="EE10" s="323"/>
      <c r="EF10" s="323"/>
      <c r="EG10" s="323"/>
      <c r="EH10" s="323"/>
      <c r="EI10" s="323"/>
      <c r="EJ10" s="323"/>
      <c r="EK10" s="323"/>
      <c r="EL10" s="323"/>
      <c r="EM10" s="323"/>
      <c r="EN10" s="323"/>
      <c r="EO10" s="323"/>
      <c r="EP10" s="323"/>
      <c r="EQ10" s="323"/>
      <c r="ER10" s="323"/>
      <c r="ES10" s="323"/>
      <c r="ET10" s="323"/>
      <c r="EU10" s="323"/>
      <c r="EV10" s="323"/>
      <c r="EW10" s="323"/>
      <c r="EX10" s="323"/>
      <c r="EY10" s="323"/>
      <c r="EZ10" s="323"/>
      <c r="FA10" s="323"/>
      <c r="FB10" s="323"/>
      <c r="FC10" s="323"/>
      <c r="FD10" s="323"/>
      <c r="FE10" s="323"/>
      <c r="FF10" s="323"/>
      <c r="FG10" s="323"/>
      <c r="FH10" s="323"/>
      <c r="FI10" s="323"/>
      <c r="FJ10" s="323"/>
      <c r="FK10" s="323"/>
      <c r="FL10" s="323"/>
      <c r="FM10" s="323"/>
      <c r="FN10" s="323"/>
      <c r="FO10" s="323"/>
      <c r="FP10" s="323"/>
      <c r="FQ10" s="323"/>
      <c r="FR10" s="323"/>
      <c r="FS10" s="323"/>
      <c r="FT10" s="323"/>
      <c r="FU10" s="323"/>
      <c r="FV10" s="323"/>
      <c r="FW10" s="323"/>
      <c r="FX10" s="323"/>
    </row>
    <row r="11" ht="15.75" customHeight="1">
      <c r="A11" s="44">
        <v>8.0</v>
      </c>
      <c r="B11" s="35" t="s">
        <v>385</v>
      </c>
      <c r="C11" s="325">
        <f>Commercials!E13</f>
        <v>0</v>
      </c>
      <c r="D11" s="329">
        <v>0.5</v>
      </c>
      <c r="E11" s="322">
        <f t="shared" si="12"/>
        <v>0</v>
      </c>
      <c r="F11" s="322">
        <f t="shared" si="13"/>
        <v>0</v>
      </c>
      <c r="G11" s="47">
        <f t="shared" si="17"/>
        <v>45560</v>
      </c>
      <c r="H11" s="47">
        <f t="shared" si="14"/>
        <v>45559</v>
      </c>
      <c r="I11" s="26" t="s">
        <v>49</v>
      </c>
      <c r="J11" s="323" t="str">
        <f t="shared" ref="J11:CM11" si="18">IF(AND($I11="Yes",J$2=$H11),"♦","")</f>
        <v/>
      </c>
      <c r="K11" s="323" t="str">
        <f t="shared" si="18"/>
        <v/>
      </c>
      <c r="L11" s="323" t="str">
        <f t="shared" si="18"/>
        <v/>
      </c>
      <c r="M11" s="323" t="str">
        <f t="shared" si="18"/>
        <v/>
      </c>
      <c r="N11" s="323" t="str">
        <f t="shared" si="18"/>
        <v/>
      </c>
      <c r="O11" s="323" t="str">
        <f t="shared" si="18"/>
        <v/>
      </c>
      <c r="P11" s="323" t="str">
        <f t="shared" si="18"/>
        <v/>
      </c>
      <c r="Q11" s="323" t="str">
        <f t="shared" si="18"/>
        <v/>
      </c>
      <c r="R11" s="323" t="str">
        <f t="shared" si="18"/>
        <v/>
      </c>
      <c r="S11" s="323" t="str">
        <f t="shared" si="18"/>
        <v/>
      </c>
      <c r="T11" s="323" t="str">
        <f t="shared" si="18"/>
        <v/>
      </c>
      <c r="U11" s="323" t="str">
        <f t="shared" si="18"/>
        <v/>
      </c>
      <c r="V11" s="323" t="str">
        <f t="shared" si="18"/>
        <v/>
      </c>
      <c r="W11" s="323" t="str">
        <f t="shared" si="18"/>
        <v/>
      </c>
      <c r="X11" s="323" t="str">
        <f t="shared" si="18"/>
        <v/>
      </c>
      <c r="Y11" s="323" t="str">
        <f t="shared" si="18"/>
        <v/>
      </c>
      <c r="Z11" s="323" t="str">
        <f t="shared" si="18"/>
        <v/>
      </c>
      <c r="AA11" s="323" t="str">
        <f t="shared" si="18"/>
        <v/>
      </c>
      <c r="AB11" s="323" t="str">
        <f t="shared" si="18"/>
        <v/>
      </c>
      <c r="AC11" s="323" t="str">
        <f t="shared" si="18"/>
        <v/>
      </c>
      <c r="AD11" s="323" t="str">
        <f t="shared" si="18"/>
        <v/>
      </c>
      <c r="AE11" s="323" t="str">
        <f t="shared" si="18"/>
        <v/>
      </c>
      <c r="AF11" s="323" t="str">
        <f t="shared" si="18"/>
        <v/>
      </c>
      <c r="AG11" s="323" t="str">
        <f t="shared" si="18"/>
        <v/>
      </c>
      <c r="AH11" s="323" t="str">
        <f t="shared" si="18"/>
        <v/>
      </c>
      <c r="AI11" s="323" t="str">
        <f t="shared" si="18"/>
        <v/>
      </c>
      <c r="AJ11" s="323" t="str">
        <f t="shared" si="18"/>
        <v/>
      </c>
      <c r="AK11" s="323" t="str">
        <f t="shared" si="18"/>
        <v/>
      </c>
      <c r="AL11" s="323" t="str">
        <f t="shared" si="18"/>
        <v/>
      </c>
      <c r="AM11" s="323" t="str">
        <f t="shared" si="18"/>
        <v/>
      </c>
      <c r="AN11" s="323" t="str">
        <f t="shared" si="18"/>
        <v/>
      </c>
      <c r="AO11" s="323" t="str">
        <f t="shared" si="18"/>
        <v/>
      </c>
      <c r="AP11" s="323" t="str">
        <f t="shared" si="18"/>
        <v/>
      </c>
      <c r="AQ11" s="323" t="str">
        <f t="shared" si="18"/>
        <v/>
      </c>
      <c r="AR11" s="323" t="str">
        <f t="shared" si="18"/>
        <v/>
      </c>
      <c r="AS11" s="323" t="str">
        <f t="shared" si="18"/>
        <v/>
      </c>
      <c r="AT11" s="323" t="str">
        <f t="shared" si="18"/>
        <v/>
      </c>
      <c r="AU11" s="323" t="str">
        <f t="shared" si="18"/>
        <v/>
      </c>
      <c r="AV11" s="323" t="str">
        <f t="shared" si="18"/>
        <v/>
      </c>
      <c r="AW11" s="323" t="str">
        <f t="shared" si="18"/>
        <v/>
      </c>
      <c r="AX11" s="323" t="str">
        <f t="shared" si="18"/>
        <v/>
      </c>
      <c r="AY11" s="323" t="str">
        <f t="shared" si="18"/>
        <v/>
      </c>
      <c r="AZ11" s="323" t="str">
        <f t="shared" si="18"/>
        <v/>
      </c>
      <c r="BA11" s="323" t="str">
        <f t="shared" si="18"/>
        <v/>
      </c>
      <c r="BB11" s="323" t="str">
        <f t="shared" si="18"/>
        <v/>
      </c>
      <c r="BC11" s="323" t="str">
        <f t="shared" si="18"/>
        <v/>
      </c>
      <c r="BD11" s="323" t="str">
        <f t="shared" si="18"/>
        <v/>
      </c>
      <c r="BE11" s="323" t="str">
        <f t="shared" si="18"/>
        <v/>
      </c>
      <c r="BF11" s="323" t="str">
        <f t="shared" si="18"/>
        <v/>
      </c>
      <c r="BG11" s="323" t="str">
        <f t="shared" si="18"/>
        <v/>
      </c>
      <c r="BH11" s="323" t="str">
        <f t="shared" si="18"/>
        <v/>
      </c>
      <c r="BI11" s="323" t="str">
        <f t="shared" si="18"/>
        <v/>
      </c>
      <c r="BJ11" s="323" t="str">
        <f t="shared" si="18"/>
        <v/>
      </c>
      <c r="BK11" s="323" t="str">
        <f t="shared" si="18"/>
        <v/>
      </c>
      <c r="BL11" s="323" t="str">
        <f t="shared" si="18"/>
        <v/>
      </c>
      <c r="BM11" s="323" t="str">
        <f t="shared" si="18"/>
        <v/>
      </c>
      <c r="BN11" s="323" t="str">
        <f t="shared" si="18"/>
        <v/>
      </c>
      <c r="BO11" s="323" t="str">
        <f t="shared" si="18"/>
        <v/>
      </c>
      <c r="BP11" s="323" t="str">
        <f t="shared" si="18"/>
        <v/>
      </c>
      <c r="BQ11" s="323" t="str">
        <f t="shared" si="18"/>
        <v/>
      </c>
      <c r="BR11" s="323" t="str">
        <f t="shared" si="18"/>
        <v/>
      </c>
      <c r="BS11" s="323" t="str">
        <f t="shared" si="18"/>
        <v/>
      </c>
      <c r="BT11" s="323" t="str">
        <f t="shared" si="18"/>
        <v/>
      </c>
      <c r="BU11" s="323" t="str">
        <f t="shared" si="18"/>
        <v/>
      </c>
      <c r="BV11" s="323" t="str">
        <f t="shared" si="18"/>
        <v/>
      </c>
      <c r="BW11" s="323" t="str">
        <f t="shared" si="18"/>
        <v/>
      </c>
      <c r="BX11" s="323" t="str">
        <f t="shared" si="18"/>
        <v/>
      </c>
      <c r="BY11" s="323" t="str">
        <f t="shared" si="18"/>
        <v/>
      </c>
      <c r="BZ11" s="323" t="str">
        <f t="shared" si="18"/>
        <v/>
      </c>
      <c r="CA11" s="323" t="str">
        <f t="shared" si="18"/>
        <v/>
      </c>
      <c r="CB11" s="323" t="str">
        <f t="shared" si="18"/>
        <v/>
      </c>
      <c r="CC11" s="323" t="str">
        <f t="shared" si="18"/>
        <v/>
      </c>
      <c r="CD11" s="323" t="str">
        <f t="shared" si="18"/>
        <v/>
      </c>
      <c r="CE11" s="323" t="str">
        <f t="shared" si="18"/>
        <v/>
      </c>
      <c r="CF11" s="323" t="str">
        <f t="shared" si="18"/>
        <v/>
      </c>
      <c r="CG11" s="323" t="str">
        <f t="shared" si="18"/>
        <v/>
      </c>
      <c r="CH11" s="323" t="str">
        <f t="shared" si="18"/>
        <v/>
      </c>
      <c r="CI11" s="323" t="str">
        <f t="shared" si="18"/>
        <v/>
      </c>
      <c r="CJ11" s="323" t="str">
        <f t="shared" si="18"/>
        <v/>
      </c>
      <c r="CK11" s="323" t="str">
        <f t="shared" si="18"/>
        <v/>
      </c>
      <c r="CL11" s="323" t="str">
        <f t="shared" si="18"/>
        <v/>
      </c>
      <c r="CM11" s="323" t="str">
        <f t="shared" si="18"/>
        <v/>
      </c>
      <c r="CN11" s="323"/>
      <c r="CO11" s="323"/>
      <c r="CP11" s="323" t="str">
        <f t="shared" si="16"/>
        <v/>
      </c>
      <c r="CQ11" s="323"/>
      <c r="CR11" s="323"/>
      <c r="CS11" s="323"/>
      <c r="CT11" s="323"/>
      <c r="CU11" s="323"/>
      <c r="CV11" s="323"/>
      <c r="CW11" s="323"/>
      <c r="CX11" s="323"/>
      <c r="CY11" s="323"/>
      <c r="CZ11" s="323"/>
      <c r="DA11" s="323"/>
      <c r="DB11" s="323"/>
      <c r="DC11" s="323"/>
      <c r="DD11" s="323"/>
      <c r="DE11" s="323"/>
      <c r="DF11" s="323"/>
      <c r="DG11" s="323"/>
      <c r="DH11" s="323"/>
      <c r="DI11" s="323"/>
      <c r="DJ11" s="323"/>
      <c r="DK11" s="323"/>
      <c r="DL11" s="323"/>
      <c r="DM11" s="323"/>
      <c r="DN11" s="323"/>
      <c r="DO11" s="323"/>
      <c r="DP11" s="323"/>
      <c r="DQ11" s="323"/>
      <c r="DR11" s="323"/>
      <c r="DS11" s="323"/>
      <c r="DT11" s="323"/>
      <c r="DU11" s="323"/>
      <c r="DV11" s="323"/>
      <c r="DW11" s="323"/>
      <c r="DX11" s="323"/>
      <c r="DY11" s="323"/>
      <c r="DZ11" s="323"/>
      <c r="EA11" s="323"/>
      <c r="EB11" s="323"/>
      <c r="EC11" s="323"/>
      <c r="ED11" s="323"/>
      <c r="EE11" s="323"/>
      <c r="EF11" s="323"/>
      <c r="EG11" s="323"/>
      <c r="EH11" s="323"/>
      <c r="EI11" s="323"/>
      <c r="EJ11" s="323"/>
      <c r="EK11" s="323"/>
      <c r="EL11" s="323"/>
      <c r="EM11" s="323"/>
      <c r="EN11" s="323"/>
      <c r="EO11" s="323"/>
      <c r="EP11" s="323"/>
      <c r="EQ11" s="323"/>
      <c r="ER11" s="323"/>
      <c r="ES11" s="323"/>
      <c r="ET11" s="323"/>
      <c r="EU11" s="323"/>
      <c r="EV11" s="323"/>
      <c r="EW11" s="323"/>
      <c r="EX11" s="323"/>
      <c r="EY11" s="323"/>
      <c r="EZ11" s="323"/>
      <c r="FA11" s="323"/>
      <c r="FB11" s="323"/>
      <c r="FC11" s="323"/>
      <c r="FD11" s="323"/>
      <c r="FE11" s="323"/>
      <c r="FF11" s="323"/>
      <c r="FG11" s="323"/>
      <c r="FH11" s="323"/>
      <c r="FI11" s="323"/>
      <c r="FJ11" s="323"/>
      <c r="FK11" s="323"/>
      <c r="FL11" s="323"/>
      <c r="FM11" s="323"/>
      <c r="FN11" s="323"/>
      <c r="FO11" s="323"/>
      <c r="FP11" s="323"/>
      <c r="FQ11" s="323"/>
      <c r="FR11" s="323"/>
      <c r="FS11" s="323"/>
      <c r="FT11" s="323"/>
      <c r="FU11" s="323"/>
      <c r="FV11" s="323"/>
      <c r="FW11" s="323"/>
      <c r="FX11" s="323"/>
    </row>
    <row r="12" ht="15.75" customHeight="1">
      <c r="A12" s="44">
        <v>9.0</v>
      </c>
      <c r="B12" s="35" t="s">
        <v>386</v>
      </c>
      <c r="C12" s="26">
        <v>40.0</v>
      </c>
      <c r="D12" s="321">
        <v>1.0</v>
      </c>
      <c r="E12" s="322">
        <f t="shared" si="12"/>
        <v>5</v>
      </c>
      <c r="F12" s="322">
        <f t="shared" si="13"/>
        <v>1</v>
      </c>
      <c r="G12" s="47">
        <f t="shared" ref="G12:G14" si="20">_xlfn.WORKDAY.INTL(H11,1,1)</f>
        <v>45560</v>
      </c>
      <c r="H12" s="47">
        <f t="shared" si="14"/>
        <v>45566</v>
      </c>
      <c r="I12" s="26" t="s">
        <v>54</v>
      </c>
      <c r="J12" s="323" t="str">
        <f t="shared" ref="J12:CM12" si="19">IF(AND($I12="Yes",J$2=$H12),"♦","")</f>
        <v/>
      </c>
      <c r="K12" s="323" t="str">
        <f t="shared" si="19"/>
        <v/>
      </c>
      <c r="L12" s="323" t="str">
        <f t="shared" si="19"/>
        <v/>
      </c>
      <c r="M12" s="323" t="str">
        <f t="shared" si="19"/>
        <v/>
      </c>
      <c r="N12" s="323" t="str">
        <f t="shared" si="19"/>
        <v/>
      </c>
      <c r="O12" s="323" t="str">
        <f t="shared" si="19"/>
        <v/>
      </c>
      <c r="P12" s="323" t="str">
        <f t="shared" si="19"/>
        <v/>
      </c>
      <c r="Q12" s="323" t="str">
        <f t="shared" si="19"/>
        <v/>
      </c>
      <c r="R12" s="323" t="str">
        <f t="shared" si="19"/>
        <v/>
      </c>
      <c r="S12" s="323" t="str">
        <f t="shared" si="19"/>
        <v/>
      </c>
      <c r="T12" s="323" t="str">
        <f t="shared" si="19"/>
        <v/>
      </c>
      <c r="U12" s="323" t="str">
        <f t="shared" si="19"/>
        <v/>
      </c>
      <c r="V12" s="323" t="str">
        <f t="shared" si="19"/>
        <v/>
      </c>
      <c r="W12" s="323" t="str">
        <f t="shared" si="19"/>
        <v/>
      </c>
      <c r="X12" s="323" t="str">
        <f t="shared" si="19"/>
        <v/>
      </c>
      <c r="Y12" s="323" t="str">
        <f t="shared" si="19"/>
        <v/>
      </c>
      <c r="Z12" s="323" t="str">
        <f t="shared" si="19"/>
        <v/>
      </c>
      <c r="AA12" s="323" t="str">
        <f t="shared" si="19"/>
        <v/>
      </c>
      <c r="AB12" s="323" t="str">
        <f t="shared" si="19"/>
        <v/>
      </c>
      <c r="AC12" s="323" t="str">
        <f t="shared" si="19"/>
        <v/>
      </c>
      <c r="AD12" s="323" t="str">
        <f t="shared" si="19"/>
        <v/>
      </c>
      <c r="AE12" s="323" t="str">
        <f t="shared" si="19"/>
        <v/>
      </c>
      <c r="AF12" s="323" t="str">
        <f t="shared" si="19"/>
        <v/>
      </c>
      <c r="AG12" s="323" t="str">
        <f t="shared" si="19"/>
        <v/>
      </c>
      <c r="AH12" s="323" t="str">
        <f t="shared" si="19"/>
        <v/>
      </c>
      <c r="AI12" s="323" t="str">
        <f t="shared" si="19"/>
        <v/>
      </c>
      <c r="AJ12" s="323" t="str">
        <f t="shared" si="19"/>
        <v/>
      </c>
      <c r="AK12" s="323" t="str">
        <f t="shared" si="19"/>
        <v/>
      </c>
      <c r="AL12" s="323" t="str">
        <f t="shared" si="19"/>
        <v/>
      </c>
      <c r="AM12" s="323" t="str">
        <f t="shared" si="19"/>
        <v/>
      </c>
      <c r="AN12" s="323" t="str">
        <f t="shared" si="19"/>
        <v/>
      </c>
      <c r="AO12" s="323" t="str">
        <f t="shared" si="19"/>
        <v/>
      </c>
      <c r="AP12" s="323" t="str">
        <f t="shared" si="19"/>
        <v/>
      </c>
      <c r="AQ12" s="323" t="str">
        <f t="shared" si="19"/>
        <v/>
      </c>
      <c r="AR12" s="323" t="str">
        <f t="shared" si="19"/>
        <v/>
      </c>
      <c r="AS12" s="323" t="str">
        <f t="shared" si="19"/>
        <v/>
      </c>
      <c r="AT12" s="323" t="str">
        <f t="shared" si="19"/>
        <v/>
      </c>
      <c r="AU12" s="323" t="str">
        <f t="shared" si="19"/>
        <v/>
      </c>
      <c r="AV12" s="323" t="str">
        <f t="shared" si="19"/>
        <v/>
      </c>
      <c r="AW12" s="323" t="str">
        <f t="shared" si="19"/>
        <v/>
      </c>
      <c r="AX12" s="323" t="str">
        <f t="shared" si="19"/>
        <v/>
      </c>
      <c r="AY12" s="323" t="str">
        <f t="shared" si="19"/>
        <v/>
      </c>
      <c r="AZ12" s="323" t="str">
        <f t="shared" si="19"/>
        <v/>
      </c>
      <c r="BA12" s="323" t="str">
        <f t="shared" si="19"/>
        <v>♦</v>
      </c>
      <c r="BB12" s="323" t="str">
        <f t="shared" si="19"/>
        <v/>
      </c>
      <c r="BC12" s="323" t="str">
        <f t="shared" si="19"/>
        <v/>
      </c>
      <c r="BD12" s="323" t="str">
        <f t="shared" si="19"/>
        <v/>
      </c>
      <c r="BE12" s="323" t="str">
        <f t="shared" si="19"/>
        <v/>
      </c>
      <c r="BF12" s="323" t="str">
        <f t="shared" si="19"/>
        <v/>
      </c>
      <c r="BG12" s="323" t="str">
        <f t="shared" si="19"/>
        <v/>
      </c>
      <c r="BH12" s="323" t="str">
        <f t="shared" si="19"/>
        <v/>
      </c>
      <c r="BI12" s="323" t="str">
        <f t="shared" si="19"/>
        <v/>
      </c>
      <c r="BJ12" s="323" t="str">
        <f t="shared" si="19"/>
        <v/>
      </c>
      <c r="BK12" s="323" t="str">
        <f t="shared" si="19"/>
        <v/>
      </c>
      <c r="BL12" s="323" t="str">
        <f t="shared" si="19"/>
        <v/>
      </c>
      <c r="BM12" s="323" t="str">
        <f t="shared" si="19"/>
        <v/>
      </c>
      <c r="BN12" s="323" t="str">
        <f t="shared" si="19"/>
        <v/>
      </c>
      <c r="BO12" s="323" t="str">
        <f t="shared" si="19"/>
        <v/>
      </c>
      <c r="BP12" s="323" t="str">
        <f t="shared" si="19"/>
        <v/>
      </c>
      <c r="BQ12" s="323" t="str">
        <f t="shared" si="19"/>
        <v/>
      </c>
      <c r="BR12" s="323" t="str">
        <f t="shared" si="19"/>
        <v/>
      </c>
      <c r="BS12" s="323" t="str">
        <f t="shared" si="19"/>
        <v/>
      </c>
      <c r="BT12" s="323" t="str">
        <f t="shared" si="19"/>
        <v/>
      </c>
      <c r="BU12" s="323" t="str">
        <f t="shared" si="19"/>
        <v/>
      </c>
      <c r="BV12" s="323" t="str">
        <f t="shared" si="19"/>
        <v/>
      </c>
      <c r="BW12" s="323" t="str">
        <f t="shared" si="19"/>
        <v/>
      </c>
      <c r="BX12" s="323" t="str">
        <f t="shared" si="19"/>
        <v/>
      </c>
      <c r="BY12" s="323" t="str">
        <f t="shared" si="19"/>
        <v/>
      </c>
      <c r="BZ12" s="323" t="str">
        <f t="shared" si="19"/>
        <v/>
      </c>
      <c r="CA12" s="323" t="str">
        <f t="shared" si="19"/>
        <v/>
      </c>
      <c r="CB12" s="323" t="str">
        <f t="shared" si="19"/>
        <v/>
      </c>
      <c r="CC12" s="323" t="str">
        <f t="shared" si="19"/>
        <v/>
      </c>
      <c r="CD12" s="323" t="str">
        <f t="shared" si="19"/>
        <v/>
      </c>
      <c r="CE12" s="323" t="str">
        <f t="shared" si="19"/>
        <v/>
      </c>
      <c r="CF12" s="323" t="str">
        <f t="shared" si="19"/>
        <v/>
      </c>
      <c r="CG12" s="323" t="str">
        <f t="shared" si="19"/>
        <v/>
      </c>
      <c r="CH12" s="323" t="str">
        <f t="shared" si="19"/>
        <v/>
      </c>
      <c r="CI12" s="323" t="str">
        <f t="shared" si="19"/>
        <v/>
      </c>
      <c r="CJ12" s="323" t="str">
        <f t="shared" si="19"/>
        <v/>
      </c>
      <c r="CK12" s="323" t="str">
        <f t="shared" si="19"/>
        <v/>
      </c>
      <c r="CL12" s="323" t="str">
        <f t="shared" si="19"/>
        <v/>
      </c>
      <c r="CM12" s="323" t="str">
        <f t="shared" si="19"/>
        <v/>
      </c>
      <c r="CN12" s="323"/>
      <c r="CO12" s="323"/>
      <c r="CP12" s="323" t="str">
        <f t="shared" si="16"/>
        <v/>
      </c>
      <c r="CQ12" s="323"/>
      <c r="CR12" s="323"/>
      <c r="CS12" s="323"/>
      <c r="CT12" s="323"/>
      <c r="CU12" s="323"/>
      <c r="CV12" s="323"/>
      <c r="CW12" s="323"/>
      <c r="CX12" s="323"/>
      <c r="CY12" s="323"/>
      <c r="CZ12" s="323"/>
      <c r="DA12" s="323"/>
      <c r="DB12" s="323"/>
      <c r="DC12" s="323"/>
      <c r="DD12" s="323"/>
      <c r="DE12" s="323"/>
      <c r="DF12" s="323"/>
      <c r="DG12" s="323"/>
      <c r="DH12" s="323"/>
      <c r="DI12" s="323"/>
      <c r="DJ12" s="323"/>
      <c r="DK12" s="323"/>
      <c r="DL12" s="323"/>
      <c r="DM12" s="323"/>
      <c r="DN12" s="323"/>
      <c r="DO12" s="323"/>
      <c r="DP12" s="323"/>
      <c r="DQ12" s="323"/>
      <c r="DR12" s="323"/>
      <c r="DS12" s="323"/>
      <c r="DT12" s="323"/>
      <c r="DU12" s="323"/>
      <c r="DV12" s="323"/>
      <c r="DW12" s="323"/>
      <c r="DX12" s="323"/>
      <c r="DY12" s="323"/>
      <c r="DZ12" s="323"/>
      <c r="EA12" s="323"/>
      <c r="EB12" s="323"/>
      <c r="EC12" s="323"/>
      <c r="ED12" s="323"/>
      <c r="EE12" s="323"/>
      <c r="EF12" s="323"/>
      <c r="EG12" s="323"/>
      <c r="EH12" s="323"/>
      <c r="EI12" s="323"/>
      <c r="EJ12" s="323"/>
      <c r="EK12" s="323"/>
      <c r="EL12" s="323"/>
      <c r="EM12" s="323"/>
      <c r="EN12" s="323"/>
      <c r="EO12" s="323"/>
      <c r="EP12" s="323"/>
      <c r="EQ12" s="323"/>
      <c r="ER12" s="323"/>
      <c r="ES12" s="323"/>
      <c r="ET12" s="323"/>
      <c r="EU12" s="323"/>
      <c r="EV12" s="323"/>
      <c r="EW12" s="323"/>
      <c r="EX12" s="323"/>
      <c r="EY12" s="323"/>
      <c r="EZ12" s="323"/>
      <c r="FA12" s="323"/>
      <c r="FB12" s="323"/>
      <c r="FC12" s="323"/>
      <c r="FD12" s="323"/>
      <c r="FE12" s="323"/>
      <c r="FF12" s="323"/>
      <c r="FG12" s="323"/>
      <c r="FH12" s="323"/>
      <c r="FI12" s="323"/>
      <c r="FJ12" s="323"/>
      <c r="FK12" s="323"/>
      <c r="FL12" s="323"/>
      <c r="FM12" s="323"/>
      <c r="FN12" s="323"/>
      <c r="FO12" s="323"/>
      <c r="FP12" s="323"/>
      <c r="FQ12" s="323"/>
      <c r="FR12" s="323"/>
      <c r="FS12" s="323"/>
      <c r="FT12" s="323"/>
      <c r="FU12" s="323"/>
      <c r="FV12" s="323"/>
      <c r="FW12" s="323"/>
      <c r="FX12" s="323"/>
    </row>
    <row r="13" ht="15.75" customHeight="1">
      <c r="A13" s="44">
        <v>10.0</v>
      </c>
      <c r="B13" s="35" t="s">
        <v>387</v>
      </c>
      <c r="C13" s="26">
        <v>80.0</v>
      </c>
      <c r="D13" s="321">
        <v>1.0</v>
      </c>
      <c r="E13" s="322">
        <f t="shared" si="12"/>
        <v>10</v>
      </c>
      <c r="F13" s="322">
        <f t="shared" si="13"/>
        <v>2</v>
      </c>
      <c r="G13" s="47">
        <f t="shared" si="20"/>
        <v>45567</v>
      </c>
      <c r="H13" s="47">
        <f t="shared" si="14"/>
        <v>45580</v>
      </c>
      <c r="I13" s="26" t="s">
        <v>54</v>
      </c>
      <c r="J13" s="323" t="str">
        <f t="shared" ref="J13:CM13" si="21">IF(AND($I13="Yes",J$2=$H13),"♦","")</f>
        <v/>
      </c>
      <c r="K13" s="323" t="str">
        <f t="shared" si="21"/>
        <v/>
      </c>
      <c r="L13" s="323" t="str">
        <f t="shared" si="21"/>
        <v/>
      </c>
      <c r="M13" s="323" t="str">
        <f t="shared" si="21"/>
        <v/>
      </c>
      <c r="N13" s="323" t="str">
        <f t="shared" si="21"/>
        <v/>
      </c>
      <c r="O13" s="323" t="str">
        <f t="shared" si="21"/>
        <v/>
      </c>
      <c r="P13" s="323" t="str">
        <f t="shared" si="21"/>
        <v/>
      </c>
      <c r="Q13" s="323" t="str">
        <f t="shared" si="21"/>
        <v/>
      </c>
      <c r="R13" s="323" t="str">
        <f t="shared" si="21"/>
        <v/>
      </c>
      <c r="S13" s="323" t="str">
        <f t="shared" si="21"/>
        <v/>
      </c>
      <c r="T13" s="323" t="str">
        <f t="shared" si="21"/>
        <v/>
      </c>
      <c r="U13" s="323" t="str">
        <f t="shared" si="21"/>
        <v/>
      </c>
      <c r="V13" s="323" t="str">
        <f t="shared" si="21"/>
        <v/>
      </c>
      <c r="W13" s="323" t="str">
        <f t="shared" si="21"/>
        <v/>
      </c>
      <c r="X13" s="323" t="str">
        <f t="shared" si="21"/>
        <v/>
      </c>
      <c r="Y13" s="323" t="str">
        <f t="shared" si="21"/>
        <v/>
      </c>
      <c r="Z13" s="323" t="str">
        <f t="shared" si="21"/>
        <v/>
      </c>
      <c r="AA13" s="323" t="str">
        <f t="shared" si="21"/>
        <v/>
      </c>
      <c r="AB13" s="323" t="str">
        <f t="shared" si="21"/>
        <v/>
      </c>
      <c r="AC13" s="323" t="str">
        <f t="shared" si="21"/>
        <v/>
      </c>
      <c r="AD13" s="323" t="str">
        <f t="shared" si="21"/>
        <v/>
      </c>
      <c r="AE13" s="323" t="str">
        <f t="shared" si="21"/>
        <v/>
      </c>
      <c r="AF13" s="323" t="str">
        <f t="shared" si="21"/>
        <v/>
      </c>
      <c r="AG13" s="323" t="str">
        <f t="shared" si="21"/>
        <v/>
      </c>
      <c r="AH13" s="323" t="str">
        <f t="shared" si="21"/>
        <v/>
      </c>
      <c r="AI13" s="323" t="str">
        <f t="shared" si="21"/>
        <v/>
      </c>
      <c r="AJ13" s="323" t="str">
        <f t="shared" si="21"/>
        <v/>
      </c>
      <c r="AK13" s="323" t="str">
        <f t="shared" si="21"/>
        <v/>
      </c>
      <c r="AL13" s="323" t="str">
        <f t="shared" si="21"/>
        <v/>
      </c>
      <c r="AM13" s="323" t="str">
        <f t="shared" si="21"/>
        <v/>
      </c>
      <c r="AN13" s="323" t="str">
        <f t="shared" si="21"/>
        <v/>
      </c>
      <c r="AO13" s="323" t="str">
        <f t="shared" si="21"/>
        <v/>
      </c>
      <c r="AP13" s="323" t="str">
        <f t="shared" si="21"/>
        <v/>
      </c>
      <c r="AQ13" s="323" t="str">
        <f t="shared" si="21"/>
        <v/>
      </c>
      <c r="AR13" s="323" t="str">
        <f t="shared" si="21"/>
        <v/>
      </c>
      <c r="AS13" s="323" t="str">
        <f t="shared" si="21"/>
        <v/>
      </c>
      <c r="AT13" s="323" t="str">
        <f t="shared" si="21"/>
        <v/>
      </c>
      <c r="AU13" s="323" t="str">
        <f t="shared" si="21"/>
        <v/>
      </c>
      <c r="AV13" s="323" t="str">
        <f t="shared" si="21"/>
        <v/>
      </c>
      <c r="AW13" s="323" t="str">
        <f t="shared" si="21"/>
        <v/>
      </c>
      <c r="AX13" s="323" t="str">
        <f t="shared" si="21"/>
        <v/>
      </c>
      <c r="AY13" s="323" t="str">
        <f t="shared" si="21"/>
        <v/>
      </c>
      <c r="AZ13" s="323" t="str">
        <f t="shared" si="21"/>
        <v/>
      </c>
      <c r="BA13" s="323" t="str">
        <f t="shared" si="21"/>
        <v/>
      </c>
      <c r="BB13" s="323" t="str">
        <f t="shared" si="21"/>
        <v/>
      </c>
      <c r="BC13" s="323" t="str">
        <f t="shared" si="21"/>
        <v/>
      </c>
      <c r="BD13" s="323" t="str">
        <f t="shared" si="21"/>
        <v/>
      </c>
      <c r="BE13" s="323" t="str">
        <f t="shared" si="21"/>
        <v/>
      </c>
      <c r="BF13" s="323" t="str">
        <f t="shared" si="21"/>
        <v/>
      </c>
      <c r="BG13" s="323" t="str">
        <f t="shared" si="21"/>
        <v/>
      </c>
      <c r="BH13" s="323" t="str">
        <f t="shared" si="21"/>
        <v/>
      </c>
      <c r="BI13" s="323" t="str">
        <f t="shared" si="21"/>
        <v/>
      </c>
      <c r="BJ13" s="323" t="str">
        <f t="shared" si="21"/>
        <v/>
      </c>
      <c r="BK13" s="323" t="str">
        <f t="shared" si="21"/>
        <v/>
      </c>
      <c r="BL13" s="323" t="str">
        <f t="shared" si="21"/>
        <v/>
      </c>
      <c r="BM13" s="323" t="str">
        <f t="shared" si="21"/>
        <v/>
      </c>
      <c r="BN13" s="323" t="str">
        <f t="shared" si="21"/>
        <v/>
      </c>
      <c r="BO13" s="323" t="str">
        <f t="shared" si="21"/>
        <v>♦</v>
      </c>
      <c r="BP13" s="323" t="str">
        <f t="shared" si="21"/>
        <v/>
      </c>
      <c r="BQ13" s="323" t="str">
        <f t="shared" si="21"/>
        <v/>
      </c>
      <c r="BR13" s="323" t="str">
        <f t="shared" si="21"/>
        <v/>
      </c>
      <c r="BS13" s="323" t="str">
        <f t="shared" si="21"/>
        <v/>
      </c>
      <c r="BT13" s="323" t="str">
        <f t="shared" si="21"/>
        <v/>
      </c>
      <c r="BU13" s="323" t="str">
        <f t="shared" si="21"/>
        <v/>
      </c>
      <c r="BV13" s="323" t="str">
        <f t="shared" si="21"/>
        <v/>
      </c>
      <c r="BW13" s="323" t="str">
        <f t="shared" si="21"/>
        <v/>
      </c>
      <c r="BX13" s="323" t="str">
        <f t="shared" si="21"/>
        <v/>
      </c>
      <c r="BY13" s="323" t="str">
        <f t="shared" si="21"/>
        <v/>
      </c>
      <c r="BZ13" s="323" t="str">
        <f t="shared" si="21"/>
        <v/>
      </c>
      <c r="CA13" s="323" t="str">
        <f t="shared" si="21"/>
        <v/>
      </c>
      <c r="CB13" s="323" t="str">
        <f t="shared" si="21"/>
        <v/>
      </c>
      <c r="CC13" s="323" t="str">
        <f t="shared" si="21"/>
        <v/>
      </c>
      <c r="CD13" s="323" t="str">
        <f t="shared" si="21"/>
        <v/>
      </c>
      <c r="CE13" s="323" t="str">
        <f t="shared" si="21"/>
        <v/>
      </c>
      <c r="CF13" s="323" t="str">
        <f t="shared" si="21"/>
        <v/>
      </c>
      <c r="CG13" s="323" t="str">
        <f t="shared" si="21"/>
        <v/>
      </c>
      <c r="CH13" s="323" t="str">
        <f t="shared" si="21"/>
        <v/>
      </c>
      <c r="CI13" s="323" t="str">
        <f t="shared" si="21"/>
        <v/>
      </c>
      <c r="CJ13" s="323" t="str">
        <f t="shared" si="21"/>
        <v/>
      </c>
      <c r="CK13" s="323" t="str">
        <f t="shared" si="21"/>
        <v/>
      </c>
      <c r="CL13" s="323" t="str">
        <f t="shared" si="21"/>
        <v/>
      </c>
      <c r="CM13" s="323" t="str">
        <f t="shared" si="21"/>
        <v/>
      </c>
      <c r="CN13" s="323"/>
      <c r="CO13" s="323"/>
      <c r="CP13" s="323" t="str">
        <f t="shared" si="16"/>
        <v/>
      </c>
      <c r="CQ13" s="323"/>
      <c r="CR13" s="323"/>
      <c r="CS13" s="323"/>
      <c r="CT13" s="323"/>
      <c r="CU13" s="323"/>
      <c r="CV13" s="323"/>
      <c r="CW13" s="323"/>
      <c r="CX13" s="323"/>
      <c r="CY13" s="323"/>
      <c r="CZ13" s="323"/>
      <c r="DA13" s="323"/>
      <c r="DB13" s="323"/>
      <c r="DC13" s="323"/>
      <c r="DD13" s="323"/>
      <c r="DE13" s="323"/>
      <c r="DF13" s="323"/>
      <c r="DG13" s="323"/>
      <c r="DH13" s="323"/>
      <c r="DI13" s="323"/>
      <c r="DJ13" s="323"/>
      <c r="DK13" s="323"/>
      <c r="DL13" s="323"/>
      <c r="DM13" s="323"/>
      <c r="DN13" s="323"/>
      <c r="DO13" s="323"/>
      <c r="DP13" s="323"/>
      <c r="DQ13" s="323"/>
      <c r="DR13" s="323"/>
      <c r="DS13" s="323"/>
      <c r="DT13" s="323"/>
      <c r="DU13" s="323"/>
      <c r="DV13" s="323"/>
      <c r="DW13" s="323"/>
      <c r="DX13" s="323"/>
      <c r="DY13" s="323"/>
      <c r="DZ13" s="323"/>
      <c r="EA13" s="323"/>
      <c r="EB13" s="323"/>
      <c r="EC13" s="323"/>
      <c r="ED13" s="323"/>
      <c r="EE13" s="323"/>
      <c r="EF13" s="323"/>
      <c r="EG13" s="323"/>
      <c r="EH13" s="323"/>
      <c r="EI13" s="323"/>
      <c r="EJ13" s="323"/>
      <c r="EK13" s="323"/>
      <c r="EL13" s="323"/>
      <c r="EM13" s="323"/>
      <c r="EN13" s="323"/>
      <c r="EO13" s="323"/>
      <c r="EP13" s="323"/>
      <c r="EQ13" s="323"/>
      <c r="ER13" s="323"/>
      <c r="ES13" s="323"/>
      <c r="ET13" s="323"/>
      <c r="EU13" s="323"/>
      <c r="EV13" s="323"/>
      <c r="EW13" s="323"/>
      <c r="EX13" s="323"/>
      <c r="EY13" s="323"/>
      <c r="EZ13" s="323"/>
      <c r="FA13" s="323"/>
      <c r="FB13" s="323"/>
      <c r="FC13" s="323"/>
      <c r="FD13" s="323"/>
      <c r="FE13" s="323"/>
      <c r="FF13" s="323"/>
      <c r="FG13" s="323"/>
      <c r="FH13" s="323"/>
      <c r="FI13" s="323"/>
      <c r="FJ13" s="323"/>
      <c r="FK13" s="323"/>
      <c r="FL13" s="323"/>
      <c r="FM13" s="323"/>
      <c r="FN13" s="323"/>
      <c r="FO13" s="323"/>
      <c r="FP13" s="323"/>
      <c r="FQ13" s="323"/>
      <c r="FR13" s="323"/>
      <c r="FS13" s="323"/>
      <c r="FT13" s="323"/>
      <c r="FU13" s="323"/>
      <c r="FV13" s="323"/>
      <c r="FW13" s="323"/>
      <c r="FX13" s="323"/>
    </row>
    <row r="14" ht="15.75" customHeight="1">
      <c r="A14" s="44">
        <v>11.0</v>
      </c>
      <c r="B14" s="35" t="s">
        <v>388</v>
      </c>
      <c r="C14" s="26">
        <v>40.0</v>
      </c>
      <c r="D14" s="321">
        <v>1.0</v>
      </c>
      <c r="E14" s="322">
        <f t="shared" si="12"/>
        <v>5</v>
      </c>
      <c r="F14" s="322">
        <f t="shared" si="13"/>
        <v>1</v>
      </c>
      <c r="G14" s="47">
        <f t="shared" si="20"/>
        <v>45581</v>
      </c>
      <c r="H14" s="47">
        <f t="shared" si="14"/>
        <v>45587</v>
      </c>
      <c r="I14" s="26" t="s">
        <v>54</v>
      </c>
      <c r="J14" s="323" t="str">
        <f t="shared" ref="J14:CM14" si="22">IF(AND($I14="Yes",J$2=$H14),"♦","")</f>
        <v/>
      </c>
      <c r="K14" s="323" t="str">
        <f t="shared" si="22"/>
        <v/>
      </c>
      <c r="L14" s="323" t="str">
        <f t="shared" si="22"/>
        <v/>
      </c>
      <c r="M14" s="323" t="str">
        <f t="shared" si="22"/>
        <v/>
      </c>
      <c r="N14" s="323" t="str">
        <f t="shared" si="22"/>
        <v/>
      </c>
      <c r="O14" s="323" t="str">
        <f t="shared" si="22"/>
        <v/>
      </c>
      <c r="P14" s="323" t="str">
        <f t="shared" si="22"/>
        <v/>
      </c>
      <c r="Q14" s="323" t="str">
        <f t="shared" si="22"/>
        <v/>
      </c>
      <c r="R14" s="323" t="str">
        <f t="shared" si="22"/>
        <v/>
      </c>
      <c r="S14" s="323" t="str">
        <f t="shared" si="22"/>
        <v/>
      </c>
      <c r="T14" s="323" t="str">
        <f t="shared" si="22"/>
        <v/>
      </c>
      <c r="U14" s="323" t="str">
        <f t="shared" si="22"/>
        <v/>
      </c>
      <c r="V14" s="323" t="str">
        <f t="shared" si="22"/>
        <v/>
      </c>
      <c r="W14" s="323" t="str">
        <f t="shared" si="22"/>
        <v/>
      </c>
      <c r="X14" s="323" t="str">
        <f t="shared" si="22"/>
        <v/>
      </c>
      <c r="Y14" s="323" t="str">
        <f t="shared" si="22"/>
        <v/>
      </c>
      <c r="Z14" s="323" t="str">
        <f t="shared" si="22"/>
        <v/>
      </c>
      <c r="AA14" s="323" t="str">
        <f t="shared" si="22"/>
        <v/>
      </c>
      <c r="AB14" s="323" t="str">
        <f t="shared" si="22"/>
        <v/>
      </c>
      <c r="AC14" s="323" t="str">
        <f t="shared" si="22"/>
        <v/>
      </c>
      <c r="AD14" s="323" t="str">
        <f t="shared" si="22"/>
        <v/>
      </c>
      <c r="AE14" s="323" t="str">
        <f t="shared" si="22"/>
        <v/>
      </c>
      <c r="AF14" s="323" t="str">
        <f t="shared" si="22"/>
        <v/>
      </c>
      <c r="AG14" s="323" t="str">
        <f t="shared" si="22"/>
        <v/>
      </c>
      <c r="AH14" s="323" t="str">
        <f t="shared" si="22"/>
        <v/>
      </c>
      <c r="AI14" s="323" t="str">
        <f t="shared" si="22"/>
        <v/>
      </c>
      <c r="AJ14" s="323" t="str">
        <f t="shared" si="22"/>
        <v/>
      </c>
      <c r="AK14" s="323" t="str">
        <f t="shared" si="22"/>
        <v/>
      </c>
      <c r="AL14" s="323" t="str">
        <f t="shared" si="22"/>
        <v/>
      </c>
      <c r="AM14" s="323" t="str">
        <f t="shared" si="22"/>
        <v/>
      </c>
      <c r="AN14" s="323" t="str">
        <f t="shared" si="22"/>
        <v/>
      </c>
      <c r="AO14" s="323" t="str">
        <f t="shared" si="22"/>
        <v/>
      </c>
      <c r="AP14" s="323" t="str">
        <f t="shared" si="22"/>
        <v/>
      </c>
      <c r="AQ14" s="323" t="str">
        <f t="shared" si="22"/>
        <v/>
      </c>
      <c r="AR14" s="323" t="str">
        <f t="shared" si="22"/>
        <v/>
      </c>
      <c r="AS14" s="323" t="str">
        <f t="shared" si="22"/>
        <v/>
      </c>
      <c r="AT14" s="323" t="str">
        <f t="shared" si="22"/>
        <v/>
      </c>
      <c r="AU14" s="323" t="str">
        <f t="shared" si="22"/>
        <v/>
      </c>
      <c r="AV14" s="323" t="str">
        <f t="shared" si="22"/>
        <v/>
      </c>
      <c r="AW14" s="323" t="str">
        <f t="shared" si="22"/>
        <v/>
      </c>
      <c r="AX14" s="323" t="str">
        <f t="shared" si="22"/>
        <v/>
      </c>
      <c r="AY14" s="323" t="str">
        <f t="shared" si="22"/>
        <v/>
      </c>
      <c r="AZ14" s="323" t="str">
        <f t="shared" si="22"/>
        <v/>
      </c>
      <c r="BA14" s="323" t="str">
        <f t="shared" si="22"/>
        <v/>
      </c>
      <c r="BB14" s="323" t="str">
        <f t="shared" si="22"/>
        <v/>
      </c>
      <c r="BC14" s="323" t="str">
        <f t="shared" si="22"/>
        <v/>
      </c>
      <c r="BD14" s="323" t="str">
        <f t="shared" si="22"/>
        <v/>
      </c>
      <c r="BE14" s="323" t="str">
        <f t="shared" si="22"/>
        <v/>
      </c>
      <c r="BF14" s="323" t="str">
        <f t="shared" si="22"/>
        <v/>
      </c>
      <c r="BG14" s="323" t="str">
        <f t="shared" si="22"/>
        <v/>
      </c>
      <c r="BH14" s="323" t="str">
        <f t="shared" si="22"/>
        <v/>
      </c>
      <c r="BI14" s="323" t="str">
        <f t="shared" si="22"/>
        <v/>
      </c>
      <c r="BJ14" s="323" t="str">
        <f t="shared" si="22"/>
        <v/>
      </c>
      <c r="BK14" s="323" t="str">
        <f t="shared" si="22"/>
        <v/>
      </c>
      <c r="BL14" s="323" t="str">
        <f t="shared" si="22"/>
        <v/>
      </c>
      <c r="BM14" s="323" t="str">
        <f t="shared" si="22"/>
        <v/>
      </c>
      <c r="BN14" s="323" t="str">
        <f t="shared" si="22"/>
        <v/>
      </c>
      <c r="BO14" s="323" t="str">
        <f t="shared" si="22"/>
        <v/>
      </c>
      <c r="BP14" s="323" t="str">
        <f t="shared" si="22"/>
        <v/>
      </c>
      <c r="BQ14" s="323" t="str">
        <f t="shared" si="22"/>
        <v/>
      </c>
      <c r="BR14" s="323" t="str">
        <f t="shared" si="22"/>
        <v/>
      </c>
      <c r="BS14" s="323" t="str">
        <f t="shared" si="22"/>
        <v/>
      </c>
      <c r="BT14" s="323" t="str">
        <f t="shared" si="22"/>
        <v/>
      </c>
      <c r="BU14" s="323" t="str">
        <f t="shared" si="22"/>
        <v/>
      </c>
      <c r="BV14" s="323" t="str">
        <f t="shared" si="22"/>
        <v>♦</v>
      </c>
      <c r="BW14" s="323" t="str">
        <f t="shared" si="22"/>
        <v/>
      </c>
      <c r="BX14" s="323" t="str">
        <f t="shared" si="22"/>
        <v/>
      </c>
      <c r="BY14" s="323" t="str">
        <f t="shared" si="22"/>
        <v/>
      </c>
      <c r="BZ14" s="323" t="str">
        <f t="shared" si="22"/>
        <v/>
      </c>
      <c r="CA14" s="323" t="str">
        <f t="shared" si="22"/>
        <v/>
      </c>
      <c r="CB14" s="323" t="str">
        <f t="shared" si="22"/>
        <v/>
      </c>
      <c r="CC14" s="323" t="str">
        <f t="shared" si="22"/>
        <v/>
      </c>
      <c r="CD14" s="323" t="str">
        <f t="shared" si="22"/>
        <v/>
      </c>
      <c r="CE14" s="323" t="str">
        <f t="shared" si="22"/>
        <v/>
      </c>
      <c r="CF14" s="323" t="str">
        <f t="shared" si="22"/>
        <v/>
      </c>
      <c r="CG14" s="323" t="str">
        <f t="shared" si="22"/>
        <v/>
      </c>
      <c r="CH14" s="323" t="str">
        <f t="shared" si="22"/>
        <v/>
      </c>
      <c r="CI14" s="323" t="str">
        <f t="shared" si="22"/>
        <v/>
      </c>
      <c r="CJ14" s="323" t="str">
        <f t="shared" si="22"/>
        <v/>
      </c>
      <c r="CK14" s="323" t="str">
        <f t="shared" si="22"/>
        <v/>
      </c>
      <c r="CL14" s="323" t="str">
        <f t="shared" si="22"/>
        <v/>
      </c>
      <c r="CM14" s="323" t="str">
        <f t="shared" si="22"/>
        <v/>
      </c>
      <c r="CN14" s="323"/>
      <c r="CO14" s="323"/>
      <c r="CP14" s="323" t="str">
        <f t="shared" si="16"/>
        <v/>
      </c>
      <c r="CQ14" s="323"/>
      <c r="CR14" s="323"/>
      <c r="CS14" s="323"/>
      <c r="CT14" s="323"/>
      <c r="CU14" s="323"/>
      <c r="CV14" s="323"/>
      <c r="CW14" s="323"/>
      <c r="CX14" s="323"/>
      <c r="CY14" s="323"/>
      <c r="CZ14" s="323"/>
      <c r="DA14" s="323"/>
      <c r="DB14" s="323"/>
      <c r="DC14" s="323"/>
      <c r="DD14" s="323"/>
      <c r="DE14" s="323"/>
      <c r="DF14" s="323"/>
      <c r="DG14" s="323"/>
      <c r="DH14" s="323"/>
      <c r="DI14" s="323"/>
      <c r="DJ14" s="323"/>
      <c r="DK14" s="323"/>
      <c r="DL14" s="323"/>
      <c r="DM14" s="323"/>
      <c r="DN14" s="323"/>
      <c r="DO14" s="323"/>
      <c r="DP14" s="323"/>
      <c r="DQ14" s="323"/>
      <c r="DR14" s="323"/>
      <c r="DS14" s="323"/>
      <c r="DT14" s="323"/>
      <c r="DU14" s="323"/>
      <c r="DV14" s="323"/>
      <c r="DW14" s="323"/>
      <c r="DX14" s="323"/>
      <c r="DY14" s="323"/>
      <c r="DZ14" s="323"/>
      <c r="EA14" s="323"/>
      <c r="EB14" s="323"/>
      <c r="EC14" s="323"/>
      <c r="ED14" s="323"/>
      <c r="EE14" s="323"/>
      <c r="EF14" s="323"/>
      <c r="EG14" s="323"/>
      <c r="EH14" s="323"/>
      <c r="EI14" s="323"/>
      <c r="EJ14" s="323"/>
      <c r="EK14" s="323"/>
      <c r="EL14" s="323"/>
      <c r="EM14" s="323"/>
      <c r="EN14" s="323"/>
      <c r="EO14" s="323"/>
      <c r="EP14" s="323"/>
      <c r="EQ14" s="323"/>
      <c r="ER14" s="323"/>
      <c r="ES14" s="323"/>
      <c r="ET14" s="323"/>
      <c r="EU14" s="323"/>
      <c r="EV14" s="323"/>
      <c r="EW14" s="323"/>
      <c r="EX14" s="323"/>
      <c r="EY14" s="323"/>
      <c r="EZ14" s="323"/>
      <c r="FA14" s="323"/>
      <c r="FB14" s="323"/>
      <c r="FC14" s="323"/>
      <c r="FD14" s="323"/>
      <c r="FE14" s="323"/>
      <c r="FF14" s="323"/>
      <c r="FG14" s="323"/>
      <c r="FH14" s="323"/>
      <c r="FI14" s="323"/>
      <c r="FJ14" s="323"/>
      <c r="FK14" s="323"/>
      <c r="FL14" s="323"/>
      <c r="FM14" s="323"/>
      <c r="FN14" s="323"/>
      <c r="FO14" s="323"/>
      <c r="FP14" s="323"/>
      <c r="FQ14" s="323"/>
      <c r="FR14" s="323"/>
      <c r="FS14" s="323"/>
      <c r="FT14" s="323"/>
      <c r="FU14" s="323"/>
      <c r="FV14" s="323"/>
      <c r="FW14" s="323"/>
      <c r="FX14" s="323"/>
    </row>
    <row r="15" ht="15.75" customHeight="1">
      <c r="A15" s="44">
        <v>12.0</v>
      </c>
      <c r="B15" s="35" t="s">
        <v>389</v>
      </c>
      <c r="C15" s="26">
        <v>8.0</v>
      </c>
      <c r="D15" s="321">
        <v>1.0</v>
      </c>
      <c r="E15" s="322">
        <f t="shared" si="12"/>
        <v>1</v>
      </c>
      <c r="F15" s="322">
        <f t="shared" si="13"/>
        <v>0.2</v>
      </c>
      <c r="G15" s="47">
        <f>_xlfn.WORKDAY.INTL(H14,1,1)</f>
        <v>45588</v>
      </c>
      <c r="H15" s="47">
        <f t="shared" si="14"/>
        <v>45588</v>
      </c>
      <c r="I15" s="26" t="s">
        <v>54</v>
      </c>
      <c r="J15" s="323" t="str">
        <f t="shared" ref="J15:CM15" si="23">IF(AND($I15="Yes",J$2=$H15),"♦","")</f>
        <v/>
      </c>
      <c r="K15" s="323" t="str">
        <f t="shared" si="23"/>
        <v/>
      </c>
      <c r="L15" s="323" t="str">
        <f t="shared" si="23"/>
        <v/>
      </c>
      <c r="M15" s="323" t="str">
        <f t="shared" si="23"/>
        <v/>
      </c>
      <c r="N15" s="323" t="str">
        <f t="shared" si="23"/>
        <v/>
      </c>
      <c r="O15" s="323" t="str">
        <f t="shared" si="23"/>
        <v/>
      </c>
      <c r="P15" s="323" t="str">
        <f t="shared" si="23"/>
        <v/>
      </c>
      <c r="Q15" s="323" t="str">
        <f t="shared" si="23"/>
        <v/>
      </c>
      <c r="R15" s="323" t="str">
        <f t="shared" si="23"/>
        <v/>
      </c>
      <c r="S15" s="323" t="str">
        <f t="shared" si="23"/>
        <v/>
      </c>
      <c r="T15" s="323" t="str">
        <f t="shared" si="23"/>
        <v/>
      </c>
      <c r="U15" s="323" t="str">
        <f t="shared" si="23"/>
        <v/>
      </c>
      <c r="V15" s="323" t="str">
        <f t="shared" si="23"/>
        <v/>
      </c>
      <c r="W15" s="323" t="str">
        <f t="shared" si="23"/>
        <v/>
      </c>
      <c r="X15" s="323" t="str">
        <f t="shared" si="23"/>
        <v/>
      </c>
      <c r="Y15" s="323" t="str">
        <f t="shared" si="23"/>
        <v/>
      </c>
      <c r="Z15" s="323" t="str">
        <f t="shared" si="23"/>
        <v/>
      </c>
      <c r="AA15" s="323" t="str">
        <f t="shared" si="23"/>
        <v/>
      </c>
      <c r="AB15" s="323" t="str">
        <f t="shared" si="23"/>
        <v/>
      </c>
      <c r="AC15" s="323" t="str">
        <f t="shared" si="23"/>
        <v/>
      </c>
      <c r="AD15" s="323" t="str">
        <f t="shared" si="23"/>
        <v/>
      </c>
      <c r="AE15" s="323" t="str">
        <f t="shared" si="23"/>
        <v/>
      </c>
      <c r="AF15" s="323" t="str">
        <f t="shared" si="23"/>
        <v/>
      </c>
      <c r="AG15" s="323" t="str">
        <f t="shared" si="23"/>
        <v/>
      </c>
      <c r="AH15" s="323" t="str">
        <f t="shared" si="23"/>
        <v/>
      </c>
      <c r="AI15" s="323" t="str">
        <f t="shared" si="23"/>
        <v/>
      </c>
      <c r="AJ15" s="323" t="str">
        <f t="shared" si="23"/>
        <v/>
      </c>
      <c r="AK15" s="323" t="str">
        <f t="shared" si="23"/>
        <v/>
      </c>
      <c r="AL15" s="323" t="str">
        <f t="shared" si="23"/>
        <v/>
      </c>
      <c r="AM15" s="323" t="str">
        <f t="shared" si="23"/>
        <v/>
      </c>
      <c r="AN15" s="323" t="str">
        <f t="shared" si="23"/>
        <v/>
      </c>
      <c r="AO15" s="323" t="str">
        <f t="shared" si="23"/>
        <v/>
      </c>
      <c r="AP15" s="323" t="str">
        <f t="shared" si="23"/>
        <v/>
      </c>
      <c r="AQ15" s="323" t="str">
        <f t="shared" si="23"/>
        <v/>
      </c>
      <c r="AR15" s="323" t="str">
        <f t="shared" si="23"/>
        <v/>
      </c>
      <c r="AS15" s="323" t="str">
        <f t="shared" si="23"/>
        <v/>
      </c>
      <c r="AT15" s="323" t="str">
        <f t="shared" si="23"/>
        <v/>
      </c>
      <c r="AU15" s="323" t="str">
        <f t="shared" si="23"/>
        <v/>
      </c>
      <c r="AV15" s="323" t="str">
        <f t="shared" si="23"/>
        <v/>
      </c>
      <c r="AW15" s="323" t="str">
        <f t="shared" si="23"/>
        <v/>
      </c>
      <c r="AX15" s="323" t="str">
        <f t="shared" si="23"/>
        <v/>
      </c>
      <c r="AY15" s="323" t="str">
        <f t="shared" si="23"/>
        <v/>
      </c>
      <c r="AZ15" s="323" t="str">
        <f t="shared" si="23"/>
        <v/>
      </c>
      <c r="BA15" s="323" t="str">
        <f t="shared" si="23"/>
        <v/>
      </c>
      <c r="BB15" s="323" t="str">
        <f t="shared" si="23"/>
        <v/>
      </c>
      <c r="BC15" s="323" t="str">
        <f t="shared" si="23"/>
        <v/>
      </c>
      <c r="BD15" s="323" t="str">
        <f t="shared" si="23"/>
        <v/>
      </c>
      <c r="BE15" s="323" t="str">
        <f t="shared" si="23"/>
        <v/>
      </c>
      <c r="BF15" s="323" t="str">
        <f t="shared" si="23"/>
        <v/>
      </c>
      <c r="BG15" s="323" t="str">
        <f t="shared" si="23"/>
        <v/>
      </c>
      <c r="BH15" s="323" t="str">
        <f t="shared" si="23"/>
        <v/>
      </c>
      <c r="BI15" s="323" t="str">
        <f t="shared" si="23"/>
        <v/>
      </c>
      <c r="BJ15" s="323" t="str">
        <f t="shared" si="23"/>
        <v/>
      </c>
      <c r="BK15" s="323" t="str">
        <f t="shared" si="23"/>
        <v/>
      </c>
      <c r="BL15" s="323" t="str">
        <f t="shared" si="23"/>
        <v/>
      </c>
      <c r="BM15" s="323" t="str">
        <f t="shared" si="23"/>
        <v/>
      </c>
      <c r="BN15" s="323" t="str">
        <f t="shared" si="23"/>
        <v/>
      </c>
      <c r="BO15" s="323" t="str">
        <f t="shared" si="23"/>
        <v/>
      </c>
      <c r="BP15" s="323" t="str">
        <f t="shared" si="23"/>
        <v/>
      </c>
      <c r="BQ15" s="323" t="str">
        <f t="shared" si="23"/>
        <v/>
      </c>
      <c r="BR15" s="323" t="str">
        <f t="shared" si="23"/>
        <v/>
      </c>
      <c r="BS15" s="323" t="str">
        <f t="shared" si="23"/>
        <v/>
      </c>
      <c r="BT15" s="323" t="str">
        <f t="shared" si="23"/>
        <v/>
      </c>
      <c r="BU15" s="323" t="str">
        <f t="shared" si="23"/>
        <v/>
      </c>
      <c r="BV15" s="323" t="str">
        <f t="shared" si="23"/>
        <v/>
      </c>
      <c r="BW15" s="323" t="str">
        <f t="shared" si="23"/>
        <v>♦</v>
      </c>
      <c r="BX15" s="323" t="str">
        <f t="shared" si="23"/>
        <v/>
      </c>
      <c r="BY15" s="323" t="str">
        <f t="shared" si="23"/>
        <v/>
      </c>
      <c r="BZ15" s="323" t="str">
        <f t="shared" si="23"/>
        <v/>
      </c>
      <c r="CA15" s="323" t="str">
        <f t="shared" si="23"/>
        <v/>
      </c>
      <c r="CB15" s="323" t="str">
        <f t="shared" si="23"/>
        <v/>
      </c>
      <c r="CC15" s="323" t="str">
        <f t="shared" si="23"/>
        <v/>
      </c>
      <c r="CD15" s="323" t="str">
        <f t="shared" si="23"/>
        <v/>
      </c>
      <c r="CE15" s="323" t="str">
        <f t="shared" si="23"/>
        <v/>
      </c>
      <c r="CF15" s="323" t="str">
        <f t="shared" si="23"/>
        <v/>
      </c>
      <c r="CG15" s="323" t="str">
        <f t="shared" si="23"/>
        <v/>
      </c>
      <c r="CH15" s="323" t="str">
        <f t="shared" si="23"/>
        <v/>
      </c>
      <c r="CI15" s="323" t="str">
        <f t="shared" si="23"/>
        <v/>
      </c>
      <c r="CJ15" s="323" t="str">
        <f t="shared" si="23"/>
        <v/>
      </c>
      <c r="CK15" s="323" t="str">
        <f t="shared" si="23"/>
        <v/>
      </c>
      <c r="CL15" s="323" t="str">
        <f t="shared" si="23"/>
        <v/>
      </c>
      <c r="CM15" s="323" t="str">
        <f t="shared" si="23"/>
        <v/>
      </c>
      <c r="CN15" s="323"/>
      <c r="CO15" s="323"/>
      <c r="CP15" s="323" t="str">
        <f t="shared" si="16"/>
        <v/>
      </c>
      <c r="CQ15" s="323"/>
      <c r="CR15" s="323"/>
      <c r="CS15" s="323"/>
      <c r="CT15" s="323"/>
      <c r="CU15" s="323"/>
      <c r="CV15" s="323"/>
      <c r="CW15" s="323"/>
      <c r="CX15" s="323"/>
      <c r="CY15" s="323"/>
      <c r="CZ15" s="323"/>
      <c r="DA15" s="323"/>
      <c r="DB15" s="323"/>
      <c r="DC15" s="323"/>
      <c r="DD15" s="323"/>
      <c r="DE15" s="323"/>
      <c r="DF15" s="323"/>
      <c r="DG15" s="323"/>
      <c r="DH15" s="323"/>
      <c r="DI15" s="323"/>
      <c r="DJ15" s="323"/>
      <c r="DK15" s="323"/>
      <c r="DL15" s="323"/>
      <c r="DM15" s="323"/>
      <c r="DN15" s="323"/>
      <c r="DO15" s="323"/>
      <c r="DP15" s="323"/>
      <c r="DQ15" s="323"/>
      <c r="DR15" s="323"/>
      <c r="DS15" s="323"/>
      <c r="DT15" s="323"/>
      <c r="DU15" s="323"/>
      <c r="DV15" s="323"/>
      <c r="DW15" s="323"/>
      <c r="DX15" s="323"/>
      <c r="DY15" s="323"/>
      <c r="DZ15" s="323"/>
      <c r="EA15" s="323"/>
      <c r="EB15" s="323"/>
      <c r="EC15" s="323"/>
      <c r="ED15" s="323"/>
      <c r="EE15" s="323"/>
      <c r="EF15" s="323"/>
      <c r="EG15" s="323"/>
      <c r="EH15" s="323"/>
      <c r="EI15" s="323"/>
      <c r="EJ15" s="323"/>
      <c r="EK15" s="323"/>
      <c r="EL15" s="323"/>
      <c r="EM15" s="323"/>
      <c r="EN15" s="323"/>
      <c r="EO15" s="323"/>
      <c r="EP15" s="323"/>
      <c r="EQ15" s="323"/>
      <c r="ER15" s="323"/>
      <c r="ES15" s="323"/>
      <c r="ET15" s="323"/>
      <c r="EU15" s="323"/>
      <c r="EV15" s="323"/>
      <c r="EW15" s="323"/>
      <c r="EX15" s="323"/>
      <c r="EY15" s="323"/>
      <c r="EZ15" s="323"/>
      <c r="FA15" s="323"/>
      <c r="FB15" s="323"/>
      <c r="FC15" s="323"/>
      <c r="FD15" s="323"/>
      <c r="FE15" s="323"/>
      <c r="FF15" s="323"/>
      <c r="FG15" s="323"/>
      <c r="FH15" s="323"/>
      <c r="FI15" s="323"/>
      <c r="FJ15" s="323"/>
      <c r="FK15" s="323"/>
      <c r="FL15" s="323"/>
      <c r="FM15" s="323"/>
      <c r="FN15" s="323"/>
      <c r="FO15" s="323"/>
      <c r="FP15" s="323"/>
      <c r="FQ15" s="323"/>
      <c r="FR15" s="323"/>
      <c r="FS15" s="323"/>
      <c r="FT15" s="323"/>
      <c r="FU15" s="323"/>
      <c r="FV15" s="323"/>
      <c r="FW15" s="323"/>
      <c r="FX15" s="323"/>
    </row>
    <row r="16" ht="15.75" customHeight="1">
      <c r="A16" s="44">
        <v>13.0</v>
      </c>
      <c r="B16" s="35" t="s">
        <v>390</v>
      </c>
      <c r="C16" s="26">
        <v>40.0</v>
      </c>
      <c r="D16" s="321">
        <v>1.0</v>
      </c>
      <c r="E16" s="322">
        <f t="shared" si="12"/>
        <v>5</v>
      </c>
      <c r="F16" s="322">
        <f t="shared" si="13"/>
        <v>1</v>
      </c>
      <c r="G16" s="47">
        <f>_xlfn.WORKDAY.INTL(H15,1,1)</f>
        <v>45589</v>
      </c>
      <c r="H16" s="47">
        <f t="shared" si="14"/>
        <v>45595</v>
      </c>
      <c r="I16" s="26" t="s">
        <v>49</v>
      </c>
      <c r="J16" s="323" t="str">
        <f t="shared" ref="J16:CM16" si="24">IF(AND($I16="Yes",J$2=$H16),"♦","")</f>
        <v/>
      </c>
      <c r="K16" s="323" t="str">
        <f t="shared" si="24"/>
        <v/>
      </c>
      <c r="L16" s="323" t="str">
        <f t="shared" si="24"/>
        <v/>
      </c>
      <c r="M16" s="323" t="str">
        <f t="shared" si="24"/>
        <v/>
      </c>
      <c r="N16" s="323" t="str">
        <f t="shared" si="24"/>
        <v/>
      </c>
      <c r="O16" s="323" t="str">
        <f t="shared" si="24"/>
        <v/>
      </c>
      <c r="P16" s="323" t="str">
        <f t="shared" si="24"/>
        <v/>
      </c>
      <c r="Q16" s="323" t="str">
        <f t="shared" si="24"/>
        <v/>
      </c>
      <c r="R16" s="323" t="str">
        <f t="shared" si="24"/>
        <v/>
      </c>
      <c r="S16" s="323" t="str">
        <f t="shared" si="24"/>
        <v/>
      </c>
      <c r="T16" s="323" t="str">
        <f t="shared" si="24"/>
        <v/>
      </c>
      <c r="U16" s="323" t="str">
        <f t="shared" si="24"/>
        <v/>
      </c>
      <c r="V16" s="323" t="str">
        <f t="shared" si="24"/>
        <v/>
      </c>
      <c r="W16" s="323" t="str">
        <f t="shared" si="24"/>
        <v/>
      </c>
      <c r="X16" s="323" t="str">
        <f t="shared" si="24"/>
        <v/>
      </c>
      <c r="Y16" s="323" t="str">
        <f t="shared" si="24"/>
        <v/>
      </c>
      <c r="Z16" s="323" t="str">
        <f t="shared" si="24"/>
        <v/>
      </c>
      <c r="AA16" s="323" t="str">
        <f t="shared" si="24"/>
        <v/>
      </c>
      <c r="AB16" s="323" t="str">
        <f t="shared" si="24"/>
        <v/>
      </c>
      <c r="AC16" s="323" t="str">
        <f t="shared" si="24"/>
        <v/>
      </c>
      <c r="AD16" s="323" t="str">
        <f t="shared" si="24"/>
        <v/>
      </c>
      <c r="AE16" s="323" t="str">
        <f t="shared" si="24"/>
        <v/>
      </c>
      <c r="AF16" s="323" t="str">
        <f t="shared" si="24"/>
        <v/>
      </c>
      <c r="AG16" s="323" t="str">
        <f t="shared" si="24"/>
        <v/>
      </c>
      <c r="AH16" s="323" t="str">
        <f t="shared" si="24"/>
        <v/>
      </c>
      <c r="AI16" s="323" t="str">
        <f t="shared" si="24"/>
        <v/>
      </c>
      <c r="AJ16" s="323" t="str">
        <f t="shared" si="24"/>
        <v/>
      </c>
      <c r="AK16" s="323" t="str">
        <f t="shared" si="24"/>
        <v/>
      </c>
      <c r="AL16" s="323" t="str">
        <f t="shared" si="24"/>
        <v/>
      </c>
      <c r="AM16" s="323" t="str">
        <f t="shared" si="24"/>
        <v/>
      </c>
      <c r="AN16" s="323" t="str">
        <f t="shared" si="24"/>
        <v/>
      </c>
      <c r="AO16" s="323" t="str">
        <f t="shared" si="24"/>
        <v/>
      </c>
      <c r="AP16" s="323" t="str">
        <f t="shared" si="24"/>
        <v/>
      </c>
      <c r="AQ16" s="323" t="str">
        <f t="shared" si="24"/>
        <v/>
      </c>
      <c r="AR16" s="323" t="str">
        <f t="shared" si="24"/>
        <v/>
      </c>
      <c r="AS16" s="323" t="str">
        <f t="shared" si="24"/>
        <v/>
      </c>
      <c r="AT16" s="323" t="str">
        <f t="shared" si="24"/>
        <v/>
      </c>
      <c r="AU16" s="323" t="str">
        <f t="shared" si="24"/>
        <v/>
      </c>
      <c r="AV16" s="323" t="str">
        <f t="shared" si="24"/>
        <v/>
      </c>
      <c r="AW16" s="323" t="str">
        <f t="shared" si="24"/>
        <v/>
      </c>
      <c r="AX16" s="323" t="str">
        <f t="shared" si="24"/>
        <v/>
      </c>
      <c r="AY16" s="323" t="str">
        <f t="shared" si="24"/>
        <v/>
      </c>
      <c r="AZ16" s="323" t="str">
        <f t="shared" si="24"/>
        <v/>
      </c>
      <c r="BA16" s="323" t="str">
        <f t="shared" si="24"/>
        <v/>
      </c>
      <c r="BB16" s="323" t="str">
        <f t="shared" si="24"/>
        <v/>
      </c>
      <c r="BC16" s="323" t="str">
        <f t="shared" si="24"/>
        <v/>
      </c>
      <c r="BD16" s="323" t="str">
        <f t="shared" si="24"/>
        <v/>
      </c>
      <c r="BE16" s="323" t="str">
        <f t="shared" si="24"/>
        <v/>
      </c>
      <c r="BF16" s="323" t="str">
        <f t="shared" si="24"/>
        <v/>
      </c>
      <c r="BG16" s="323" t="str">
        <f t="shared" si="24"/>
        <v/>
      </c>
      <c r="BH16" s="323" t="str">
        <f t="shared" si="24"/>
        <v/>
      </c>
      <c r="BI16" s="323" t="str">
        <f t="shared" si="24"/>
        <v/>
      </c>
      <c r="BJ16" s="323" t="str">
        <f t="shared" si="24"/>
        <v/>
      </c>
      <c r="BK16" s="323" t="str">
        <f t="shared" si="24"/>
        <v/>
      </c>
      <c r="BL16" s="323" t="str">
        <f t="shared" si="24"/>
        <v/>
      </c>
      <c r="BM16" s="323" t="str">
        <f t="shared" si="24"/>
        <v/>
      </c>
      <c r="BN16" s="323" t="str">
        <f t="shared" si="24"/>
        <v/>
      </c>
      <c r="BO16" s="323" t="str">
        <f t="shared" si="24"/>
        <v/>
      </c>
      <c r="BP16" s="323" t="str">
        <f t="shared" si="24"/>
        <v/>
      </c>
      <c r="BQ16" s="323" t="str">
        <f t="shared" si="24"/>
        <v/>
      </c>
      <c r="BR16" s="323" t="str">
        <f t="shared" si="24"/>
        <v/>
      </c>
      <c r="BS16" s="323" t="str">
        <f t="shared" si="24"/>
        <v/>
      </c>
      <c r="BT16" s="323" t="str">
        <f t="shared" si="24"/>
        <v/>
      </c>
      <c r="BU16" s="323" t="str">
        <f t="shared" si="24"/>
        <v/>
      </c>
      <c r="BV16" s="323" t="str">
        <f t="shared" si="24"/>
        <v/>
      </c>
      <c r="BW16" s="323" t="str">
        <f t="shared" si="24"/>
        <v/>
      </c>
      <c r="BX16" s="323" t="str">
        <f t="shared" si="24"/>
        <v/>
      </c>
      <c r="BY16" s="323" t="str">
        <f t="shared" si="24"/>
        <v/>
      </c>
      <c r="BZ16" s="323" t="str">
        <f t="shared" si="24"/>
        <v/>
      </c>
      <c r="CA16" s="323" t="str">
        <f t="shared" si="24"/>
        <v/>
      </c>
      <c r="CB16" s="323" t="str">
        <f t="shared" si="24"/>
        <v/>
      </c>
      <c r="CC16" s="323" t="str">
        <f t="shared" si="24"/>
        <v/>
      </c>
      <c r="CD16" s="323" t="str">
        <f t="shared" si="24"/>
        <v/>
      </c>
      <c r="CE16" s="323" t="str">
        <f t="shared" si="24"/>
        <v/>
      </c>
      <c r="CF16" s="323" t="str">
        <f t="shared" si="24"/>
        <v/>
      </c>
      <c r="CG16" s="323" t="str">
        <f t="shared" si="24"/>
        <v/>
      </c>
      <c r="CH16" s="323" t="str">
        <f t="shared" si="24"/>
        <v/>
      </c>
      <c r="CI16" s="323" t="str">
        <f t="shared" si="24"/>
        <v/>
      </c>
      <c r="CJ16" s="323" t="str">
        <f t="shared" si="24"/>
        <v/>
      </c>
      <c r="CK16" s="323" t="str">
        <f t="shared" si="24"/>
        <v/>
      </c>
      <c r="CL16" s="323" t="str">
        <f t="shared" si="24"/>
        <v/>
      </c>
      <c r="CM16" s="323" t="str">
        <f t="shared" si="24"/>
        <v/>
      </c>
      <c r="CN16" s="323"/>
      <c r="CO16" s="323"/>
      <c r="CP16" s="323" t="str">
        <f t="shared" si="16"/>
        <v/>
      </c>
      <c r="CQ16" s="323"/>
      <c r="CR16" s="323"/>
      <c r="CS16" s="323"/>
      <c r="CT16" s="323"/>
      <c r="CU16" s="323"/>
      <c r="CV16" s="323"/>
      <c r="CW16" s="323"/>
      <c r="CX16" s="323"/>
      <c r="CY16" s="323"/>
      <c r="CZ16" s="323"/>
      <c r="DA16" s="323"/>
      <c r="DB16" s="323"/>
      <c r="DC16" s="323"/>
      <c r="DD16" s="323"/>
      <c r="DE16" s="323"/>
      <c r="DF16" s="323"/>
      <c r="DG16" s="323"/>
      <c r="DH16" s="323"/>
      <c r="DI16" s="323"/>
      <c r="DJ16" s="323"/>
      <c r="DK16" s="323"/>
      <c r="DL16" s="323"/>
      <c r="DM16" s="323"/>
      <c r="DN16" s="323"/>
      <c r="DO16" s="323"/>
      <c r="DP16" s="323"/>
      <c r="DQ16" s="323"/>
      <c r="DR16" s="323"/>
      <c r="DS16" s="323"/>
      <c r="DT16" s="323"/>
      <c r="DU16" s="323"/>
      <c r="DV16" s="323"/>
      <c r="DW16" s="323"/>
      <c r="DX16" s="323"/>
      <c r="DY16" s="323"/>
      <c r="DZ16" s="323"/>
      <c r="EA16" s="323"/>
      <c r="EB16" s="323"/>
      <c r="EC16" s="323"/>
      <c r="ED16" s="323"/>
      <c r="EE16" s="323"/>
      <c r="EF16" s="323"/>
      <c r="EG16" s="323"/>
      <c r="EH16" s="323"/>
      <c r="EI16" s="323"/>
      <c r="EJ16" s="323"/>
      <c r="EK16" s="323"/>
      <c r="EL16" s="323"/>
      <c r="EM16" s="323"/>
      <c r="EN16" s="323"/>
      <c r="EO16" s="323"/>
      <c r="EP16" s="323"/>
      <c r="EQ16" s="323"/>
      <c r="ER16" s="323"/>
      <c r="ES16" s="323"/>
      <c r="ET16" s="323"/>
      <c r="EU16" s="323"/>
      <c r="EV16" s="323"/>
      <c r="EW16" s="323"/>
      <c r="EX16" s="323"/>
      <c r="EY16" s="323"/>
      <c r="EZ16" s="323"/>
      <c r="FA16" s="323"/>
      <c r="FB16" s="323"/>
      <c r="FC16" s="323"/>
      <c r="FD16" s="323"/>
      <c r="FE16" s="323"/>
      <c r="FF16" s="323"/>
      <c r="FG16" s="323"/>
      <c r="FH16" s="323"/>
      <c r="FI16" s="323"/>
      <c r="FJ16" s="323"/>
      <c r="FK16" s="323"/>
      <c r="FL16" s="323"/>
      <c r="FM16" s="323"/>
      <c r="FN16" s="323"/>
      <c r="FO16" s="323"/>
      <c r="FP16" s="323"/>
      <c r="FQ16" s="323"/>
      <c r="FR16" s="323"/>
      <c r="FS16" s="323"/>
      <c r="FT16" s="323"/>
      <c r="FU16" s="323"/>
      <c r="FV16" s="323"/>
      <c r="FW16" s="323"/>
      <c r="FX16" s="323"/>
    </row>
    <row r="17" ht="15.75" customHeight="1">
      <c r="A17" s="44">
        <v>12.0</v>
      </c>
      <c r="B17" s="27"/>
      <c r="C17" s="44"/>
      <c r="D17" s="44"/>
      <c r="E17" s="330"/>
      <c r="F17" s="47"/>
      <c r="G17" s="47"/>
      <c r="H17" s="47"/>
      <c r="I17" s="26"/>
      <c r="J17" s="323" t="str">
        <f t="shared" ref="J17:CM17" si="25">IF(AND($I17="Yes",J$2=$H17),"♦","")</f>
        <v/>
      </c>
      <c r="K17" s="323" t="str">
        <f t="shared" si="25"/>
        <v/>
      </c>
      <c r="L17" s="323" t="str">
        <f t="shared" si="25"/>
        <v/>
      </c>
      <c r="M17" s="323" t="str">
        <f t="shared" si="25"/>
        <v/>
      </c>
      <c r="N17" s="323" t="str">
        <f t="shared" si="25"/>
        <v/>
      </c>
      <c r="O17" s="323" t="str">
        <f t="shared" si="25"/>
        <v/>
      </c>
      <c r="P17" s="323" t="str">
        <f t="shared" si="25"/>
        <v/>
      </c>
      <c r="Q17" s="323" t="str">
        <f t="shared" si="25"/>
        <v/>
      </c>
      <c r="R17" s="323" t="str">
        <f t="shared" si="25"/>
        <v/>
      </c>
      <c r="S17" s="323" t="str">
        <f t="shared" si="25"/>
        <v/>
      </c>
      <c r="T17" s="323" t="str">
        <f t="shared" si="25"/>
        <v/>
      </c>
      <c r="U17" s="323" t="str">
        <f t="shared" si="25"/>
        <v/>
      </c>
      <c r="V17" s="323" t="str">
        <f t="shared" si="25"/>
        <v/>
      </c>
      <c r="W17" s="323" t="str">
        <f t="shared" si="25"/>
        <v/>
      </c>
      <c r="X17" s="323" t="str">
        <f t="shared" si="25"/>
        <v/>
      </c>
      <c r="Y17" s="323" t="str">
        <f t="shared" si="25"/>
        <v/>
      </c>
      <c r="Z17" s="323" t="str">
        <f t="shared" si="25"/>
        <v/>
      </c>
      <c r="AA17" s="323" t="str">
        <f t="shared" si="25"/>
        <v/>
      </c>
      <c r="AB17" s="323" t="str">
        <f t="shared" si="25"/>
        <v/>
      </c>
      <c r="AC17" s="323" t="str">
        <f t="shared" si="25"/>
        <v/>
      </c>
      <c r="AD17" s="323" t="str">
        <f t="shared" si="25"/>
        <v/>
      </c>
      <c r="AE17" s="323" t="str">
        <f t="shared" si="25"/>
        <v/>
      </c>
      <c r="AF17" s="323" t="str">
        <f t="shared" si="25"/>
        <v/>
      </c>
      <c r="AG17" s="323" t="str">
        <f t="shared" si="25"/>
        <v/>
      </c>
      <c r="AH17" s="323" t="str">
        <f t="shared" si="25"/>
        <v/>
      </c>
      <c r="AI17" s="323" t="str">
        <f t="shared" si="25"/>
        <v/>
      </c>
      <c r="AJ17" s="323" t="str">
        <f t="shared" si="25"/>
        <v/>
      </c>
      <c r="AK17" s="323" t="str">
        <f t="shared" si="25"/>
        <v/>
      </c>
      <c r="AL17" s="323" t="str">
        <f t="shared" si="25"/>
        <v/>
      </c>
      <c r="AM17" s="323" t="str">
        <f t="shared" si="25"/>
        <v/>
      </c>
      <c r="AN17" s="323" t="str">
        <f t="shared" si="25"/>
        <v/>
      </c>
      <c r="AO17" s="323" t="str">
        <f t="shared" si="25"/>
        <v/>
      </c>
      <c r="AP17" s="323" t="str">
        <f t="shared" si="25"/>
        <v/>
      </c>
      <c r="AQ17" s="323" t="str">
        <f t="shared" si="25"/>
        <v/>
      </c>
      <c r="AR17" s="323" t="str">
        <f t="shared" si="25"/>
        <v/>
      </c>
      <c r="AS17" s="323" t="str">
        <f t="shared" si="25"/>
        <v/>
      </c>
      <c r="AT17" s="323" t="str">
        <f t="shared" si="25"/>
        <v/>
      </c>
      <c r="AU17" s="323" t="str">
        <f t="shared" si="25"/>
        <v/>
      </c>
      <c r="AV17" s="323" t="str">
        <f t="shared" si="25"/>
        <v/>
      </c>
      <c r="AW17" s="323" t="str">
        <f t="shared" si="25"/>
        <v/>
      </c>
      <c r="AX17" s="323" t="str">
        <f t="shared" si="25"/>
        <v/>
      </c>
      <c r="AY17" s="323" t="str">
        <f t="shared" si="25"/>
        <v/>
      </c>
      <c r="AZ17" s="323" t="str">
        <f t="shared" si="25"/>
        <v/>
      </c>
      <c r="BA17" s="323" t="str">
        <f t="shared" si="25"/>
        <v/>
      </c>
      <c r="BB17" s="323" t="str">
        <f t="shared" si="25"/>
        <v/>
      </c>
      <c r="BC17" s="323" t="str">
        <f t="shared" si="25"/>
        <v/>
      </c>
      <c r="BD17" s="323" t="str">
        <f t="shared" si="25"/>
        <v/>
      </c>
      <c r="BE17" s="323" t="str">
        <f t="shared" si="25"/>
        <v/>
      </c>
      <c r="BF17" s="323" t="str">
        <f t="shared" si="25"/>
        <v/>
      </c>
      <c r="BG17" s="323" t="str">
        <f t="shared" si="25"/>
        <v/>
      </c>
      <c r="BH17" s="323" t="str">
        <f t="shared" si="25"/>
        <v/>
      </c>
      <c r="BI17" s="323" t="str">
        <f t="shared" si="25"/>
        <v/>
      </c>
      <c r="BJ17" s="323" t="str">
        <f t="shared" si="25"/>
        <v/>
      </c>
      <c r="BK17" s="323" t="str">
        <f t="shared" si="25"/>
        <v/>
      </c>
      <c r="BL17" s="323" t="str">
        <f t="shared" si="25"/>
        <v/>
      </c>
      <c r="BM17" s="323" t="str">
        <f t="shared" si="25"/>
        <v/>
      </c>
      <c r="BN17" s="323" t="str">
        <f t="shared" si="25"/>
        <v/>
      </c>
      <c r="BO17" s="323" t="str">
        <f t="shared" si="25"/>
        <v/>
      </c>
      <c r="BP17" s="323" t="str">
        <f t="shared" si="25"/>
        <v/>
      </c>
      <c r="BQ17" s="323" t="str">
        <f t="shared" si="25"/>
        <v/>
      </c>
      <c r="BR17" s="323" t="str">
        <f t="shared" si="25"/>
        <v/>
      </c>
      <c r="BS17" s="323" t="str">
        <f t="shared" si="25"/>
        <v/>
      </c>
      <c r="BT17" s="323" t="str">
        <f t="shared" si="25"/>
        <v/>
      </c>
      <c r="BU17" s="323" t="str">
        <f t="shared" si="25"/>
        <v/>
      </c>
      <c r="BV17" s="323" t="str">
        <f t="shared" si="25"/>
        <v/>
      </c>
      <c r="BW17" s="323" t="str">
        <f t="shared" si="25"/>
        <v/>
      </c>
      <c r="BX17" s="323" t="str">
        <f t="shared" si="25"/>
        <v/>
      </c>
      <c r="BY17" s="323" t="str">
        <f t="shared" si="25"/>
        <v/>
      </c>
      <c r="BZ17" s="323" t="str">
        <f t="shared" si="25"/>
        <v/>
      </c>
      <c r="CA17" s="323" t="str">
        <f t="shared" si="25"/>
        <v/>
      </c>
      <c r="CB17" s="323" t="str">
        <f t="shared" si="25"/>
        <v/>
      </c>
      <c r="CC17" s="323" t="str">
        <f t="shared" si="25"/>
        <v/>
      </c>
      <c r="CD17" s="323" t="str">
        <f t="shared" si="25"/>
        <v/>
      </c>
      <c r="CE17" s="323" t="str">
        <f t="shared" si="25"/>
        <v/>
      </c>
      <c r="CF17" s="323" t="str">
        <f t="shared" si="25"/>
        <v/>
      </c>
      <c r="CG17" s="323" t="str">
        <f t="shared" si="25"/>
        <v/>
      </c>
      <c r="CH17" s="323" t="str">
        <f t="shared" si="25"/>
        <v/>
      </c>
      <c r="CI17" s="323" t="str">
        <f t="shared" si="25"/>
        <v/>
      </c>
      <c r="CJ17" s="323" t="str">
        <f t="shared" si="25"/>
        <v/>
      </c>
      <c r="CK17" s="323" t="str">
        <f t="shared" si="25"/>
        <v/>
      </c>
      <c r="CL17" s="323" t="str">
        <f t="shared" si="25"/>
        <v/>
      </c>
      <c r="CM17" s="323" t="str">
        <f t="shared" si="25"/>
        <v/>
      </c>
      <c r="CN17" s="323"/>
      <c r="CO17" s="323"/>
      <c r="CP17" s="323" t="str">
        <f t="shared" si="16"/>
        <v/>
      </c>
      <c r="CQ17" s="323"/>
      <c r="CR17" s="323"/>
      <c r="CS17" s="323"/>
      <c r="CT17" s="323"/>
      <c r="CU17" s="323"/>
      <c r="CV17" s="323"/>
      <c r="CW17" s="323"/>
      <c r="CX17" s="323"/>
      <c r="CY17" s="323"/>
      <c r="CZ17" s="323"/>
      <c r="DA17" s="323"/>
      <c r="DB17" s="323"/>
      <c r="DC17" s="323"/>
      <c r="DD17" s="323"/>
      <c r="DE17" s="323"/>
      <c r="DF17" s="323"/>
      <c r="DG17" s="323"/>
      <c r="DH17" s="323"/>
      <c r="DI17" s="323"/>
      <c r="DJ17" s="323"/>
      <c r="DK17" s="323"/>
      <c r="DL17" s="323"/>
      <c r="DM17" s="323"/>
      <c r="DN17" s="323"/>
      <c r="DO17" s="323"/>
      <c r="DP17" s="323"/>
      <c r="DQ17" s="323"/>
      <c r="DR17" s="323"/>
      <c r="DS17" s="323"/>
      <c r="DT17" s="323"/>
      <c r="DU17" s="323"/>
      <c r="DV17" s="323"/>
      <c r="DW17" s="323"/>
      <c r="DX17" s="323"/>
      <c r="DY17" s="323"/>
      <c r="DZ17" s="323"/>
      <c r="EA17" s="323"/>
      <c r="EB17" s="323"/>
      <c r="EC17" s="323"/>
      <c r="ED17" s="323"/>
      <c r="EE17" s="323"/>
      <c r="EF17" s="323"/>
      <c r="EG17" s="323"/>
      <c r="EH17" s="323"/>
      <c r="EI17" s="323"/>
      <c r="EJ17" s="323"/>
      <c r="EK17" s="323"/>
      <c r="EL17" s="323"/>
      <c r="EM17" s="323"/>
      <c r="EN17" s="323"/>
      <c r="EO17" s="323"/>
      <c r="EP17" s="323"/>
      <c r="EQ17" s="323"/>
      <c r="ER17" s="323"/>
      <c r="ES17" s="323"/>
      <c r="ET17" s="323"/>
      <c r="EU17" s="323"/>
      <c r="EV17" s="323"/>
      <c r="EW17" s="323"/>
      <c r="EX17" s="323"/>
      <c r="EY17" s="323"/>
      <c r="EZ17" s="323"/>
      <c r="FA17" s="323"/>
      <c r="FB17" s="323"/>
      <c r="FC17" s="323"/>
      <c r="FD17" s="323"/>
      <c r="FE17" s="323"/>
      <c r="FF17" s="323"/>
      <c r="FG17" s="323"/>
      <c r="FH17" s="323"/>
      <c r="FI17" s="323"/>
      <c r="FJ17" s="323"/>
      <c r="FK17" s="323"/>
      <c r="FL17" s="323"/>
      <c r="FM17" s="323"/>
      <c r="FN17" s="323"/>
      <c r="FO17" s="323"/>
      <c r="FP17" s="323"/>
      <c r="FQ17" s="323"/>
      <c r="FR17" s="323"/>
      <c r="FS17" s="323"/>
      <c r="FT17" s="323"/>
      <c r="FU17" s="323"/>
      <c r="FV17" s="323"/>
      <c r="FW17" s="323"/>
      <c r="FX17" s="323"/>
    </row>
    <row r="18" ht="15.75" customHeight="1">
      <c r="A18" s="44">
        <v>13.0</v>
      </c>
      <c r="B18" s="27"/>
      <c r="C18" s="44"/>
      <c r="D18" s="44"/>
      <c r="E18" s="330"/>
      <c r="F18" s="47"/>
      <c r="G18" s="47"/>
      <c r="H18" s="47"/>
      <c r="I18" s="26"/>
      <c r="J18" s="323" t="str">
        <f t="shared" ref="J18:CM18" si="26">IF(AND($I18="Yes",J$2=$H18),"♦","")</f>
        <v/>
      </c>
      <c r="K18" s="323" t="str">
        <f t="shared" si="26"/>
        <v/>
      </c>
      <c r="L18" s="323" t="str">
        <f t="shared" si="26"/>
        <v/>
      </c>
      <c r="M18" s="323" t="str">
        <f t="shared" si="26"/>
        <v/>
      </c>
      <c r="N18" s="323" t="str">
        <f t="shared" si="26"/>
        <v/>
      </c>
      <c r="O18" s="323" t="str">
        <f t="shared" si="26"/>
        <v/>
      </c>
      <c r="P18" s="323" t="str">
        <f t="shared" si="26"/>
        <v/>
      </c>
      <c r="Q18" s="323" t="str">
        <f t="shared" si="26"/>
        <v/>
      </c>
      <c r="R18" s="323" t="str">
        <f t="shared" si="26"/>
        <v/>
      </c>
      <c r="S18" s="323" t="str">
        <f t="shared" si="26"/>
        <v/>
      </c>
      <c r="T18" s="323" t="str">
        <f t="shared" si="26"/>
        <v/>
      </c>
      <c r="U18" s="323" t="str">
        <f t="shared" si="26"/>
        <v/>
      </c>
      <c r="V18" s="323" t="str">
        <f t="shared" si="26"/>
        <v/>
      </c>
      <c r="W18" s="323" t="str">
        <f t="shared" si="26"/>
        <v/>
      </c>
      <c r="X18" s="323" t="str">
        <f t="shared" si="26"/>
        <v/>
      </c>
      <c r="Y18" s="323" t="str">
        <f t="shared" si="26"/>
        <v/>
      </c>
      <c r="Z18" s="323" t="str">
        <f t="shared" si="26"/>
        <v/>
      </c>
      <c r="AA18" s="323" t="str">
        <f t="shared" si="26"/>
        <v/>
      </c>
      <c r="AB18" s="323" t="str">
        <f t="shared" si="26"/>
        <v/>
      </c>
      <c r="AC18" s="323" t="str">
        <f t="shared" si="26"/>
        <v/>
      </c>
      <c r="AD18" s="323" t="str">
        <f t="shared" si="26"/>
        <v/>
      </c>
      <c r="AE18" s="323" t="str">
        <f t="shared" si="26"/>
        <v/>
      </c>
      <c r="AF18" s="323" t="str">
        <f t="shared" si="26"/>
        <v/>
      </c>
      <c r="AG18" s="323" t="str">
        <f t="shared" si="26"/>
        <v/>
      </c>
      <c r="AH18" s="323" t="str">
        <f t="shared" si="26"/>
        <v/>
      </c>
      <c r="AI18" s="323" t="str">
        <f t="shared" si="26"/>
        <v/>
      </c>
      <c r="AJ18" s="323" t="str">
        <f t="shared" si="26"/>
        <v/>
      </c>
      <c r="AK18" s="323" t="str">
        <f t="shared" si="26"/>
        <v/>
      </c>
      <c r="AL18" s="323" t="str">
        <f t="shared" si="26"/>
        <v/>
      </c>
      <c r="AM18" s="323" t="str">
        <f t="shared" si="26"/>
        <v/>
      </c>
      <c r="AN18" s="323" t="str">
        <f t="shared" si="26"/>
        <v/>
      </c>
      <c r="AO18" s="323" t="str">
        <f t="shared" si="26"/>
        <v/>
      </c>
      <c r="AP18" s="323" t="str">
        <f t="shared" si="26"/>
        <v/>
      </c>
      <c r="AQ18" s="323" t="str">
        <f t="shared" si="26"/>
        <v/>
      </c>
      <c r="AR18" s="323" t="str">
        <f t="shared" si="26"/>
        <v/>
      </c>
      <c r="AS18" s="323" t="str">
        <f t="shared" si="26"/>
        <v/>
      </c>
      <c r="AT18" s="323" t="str">
        <f t="shared" si="26"/>
        <v/>
      </c>
      <c r="AU18" s="323" t="str">
        <f t="shared" si="26"/>
        <v/>
      </c>
      <c r="AV18" s="323" t="str">
        <f t="shared" si="26"/>
        <v/>
      </c>
      <c r="AW18" s="323" t="str">
        <f t="shared" si="26"/>
        <v/>
      </c>
      <c r="AX18" s="323" t="str">
        <f t="shared" si="26"/>
        <v/>
      </c>
      <c r="AY18" s="323" t="str">
        <f t="shared" si="26"/>
        <v/>
      </c>
      <c r="AZ18" s="323" t="str">
        <f t="shared" si="26"/>
        <v/>
      </c>
      <c r="BA18" s="323" t="str">
        <f t="shared" si="26"/>
        <v/>
      </c>
      <c r="BB18" s="323" t="str">
        <f t="shared" si="26"/>
        <v/>
      </c>
      <c r="BC18" s="323" t="str">
        <f t="shared" si="26"/>
        <v/>
      </c>
      <c r="BD18" s="323" t="str">
        <f t="shared" si="26"/>
        <v/>
      </c>
      <c r="BE18" s="323" t="str">
        <f t="shared" si="26"/>
        <v/>
      </c>
      <c r="BF18" s="323" t="str">
        <f t="shared" si="26"/>
        <v/>
      </c>
      <c r="BG18" s="323" t="str">
        <f t="shared" si="26"/>
        <v/>
      </c>
      <c r="BH18" s="323" t="str">
        <f t="shared" si="26"/>
        <v/>
      </c>
      <c r="BI18" s="323" t="str">
        <f t="shared" si="26"/>
        <v/>
      </c>
      <c r="BJ18" s="323" t="str">
        <f t="shared" si="26"/>
        <v/>
      </c>
      <c r="BK18" s="323" t="str">
        <f t="shared" si="26"/>
        <v/>
      </c>
      <c r="BL18" s="323" t="str">
        <f t="shared" si="26"/>
        <v/>
      </c>
      <c r="BM18" s="323" t="str">
        <f t="shared" si="26"/>
        <v/>
      </c>
      <c r="BN18" s="323" t="str">
        <f t="shared" si="26"/>
        <v/>
      </c>
      <c r="BO18" s="323" t="str">
        <f t="shared" si="26"/>
        <v/>
      </c>
      <c r="BP18" s="323" t="str">
        <f t="shared" si="26"/>
        <v/>
      </c>
      <c r="BQ18" s="323" t="str">
        <f t="shared" si="26"/>
        <v/>
      </c>
      <c r="BR18" s="323" t="str">
        <f t="shared" si="26"/>
        <v/>
      </c>
      <c r="BS18" s="323" t="str">
        <f t="shared" si="26"/>
        <v/>
      </c>
      <c r="BT18" s="323" t="str">
        <f t="shared" si="26"/>
        <v/>
      </c>
      <c r="BU18" s="323" t="str">
        <f t="shared" si="26"/>
        <v/>
      </c>
      <c r="BV18" s="323" t="str">
        <f t="shared" si="26"/>
        <v/>
      </c>
      <c r="BW18" s="323" t="str">
        <f t="shared" si="26"/>
        <v/>
      </c>
      <c r="BX18" s="323" t="str">
        <f t="shared" si="26"/>
        <v/>
      </c>
      <c r="BY18" s="323" t="str">
        <f t="shared" si="26"/>
        <v/>
      </c>
      <c r="BZ18" s="323" t="str">
        <f t="shared" si="26"/>
        <v/>
      </c>
      <c r="CA18" s="323" t="str">
        <f t="shared" si="26"/>
        <v/>
      </c>
      <c r="CB18" s="323" t="str">
        <f t="shared" si="26"/>
        <v/>
      </c>
      <c r="CC18" s="323" t="str">
        <f t="shared" si="26"/>
        <v/>
      </c>
      <c r="CD18" s="323" t="str">
        <f t="shared" si="26"/>
        <v/>
      </c>
      <c r="CE18" s="323" t="str">
        <f t="shared" si="26"/>
        <v/>
      </c>
      <c r="CF18" s="323" t="str">
        <f t="shared" si="26"/>
        <v/>
      </c>
      <c r="CG18" s="323" t="str">
        <f t="shared" si="26"/>
        <v/>
      </c>
      <c r="CH18" s="323" t="str">
        <f t="shared" si="26"/>
        <v/>
      </c>
      <c r="CI18" s="323" t="str">
        <f t="shared" si="26"/>
        <v/>
      </c>
      <c r="CJ18" s="323" t="str">
        <f t="shared" si="26"/>
        <v/>
      </c>
      <c r="CK18" s="323" t="str">
        <f t="shared" si="26"/>
        <v/>
      </c>
      <c r="CL18" s="323" t="str">
        <f t="shared" si="26"/>
        <v/>
      </c>
      <c r="CM18" s="323" t="str">
        <f t="shared" si="26"/>
        <v/>
      </c>
      <c r="CN18" s="323"/>
      <c r="CO18" s="323"/>
      <c r="CP18" s="323" t="str">
        <f t="shared" si="16"/>
        <v/>
      </c>
      <c r="CQ18" s="323"/>
      <c r="CR18" s="323"/>
      <c r="CS18" s="323"/>
      <c r="CT18" s="323"/>
      <c r="CU18" s="323"/>
      <c r="CV18" s="323"/>
      <c r="CW18" s="323"/>
      <c r="CX18" s="323"/>
      <c r="CY18" s="323"/>
      <c r="CZ18" s="323"/>
      <c r="DA18" s="323"/>
      <c r="DB18" s="323"/>
      <c r="DC18" s="323"/>
      <c r="DD18" s="323"/>
      <c r="DE18" s="323"/>
      <c r="DF18" s="323"/>
      <c r="DG18" s="323"/>
      <c r="DH18" s="323"/>
      <c r="DI18" s="323"/>
      <c r="DJ18" s="323"/>
      <c r="DK18" s="323"/>
      <c r="DL18" s="323"/>
      <c r="DM18" s="323"/>
      <c r="DN18" s="323"/>
      <c r="DO18" s="323"/>
      <c r="DP18" s="323"/>
      <c r="DQ18" s="323"/>
      <c r="DR18" s="323"/>
      <c r="DS18" s="323"/>
      <c r="DT18" s="323"/>
      <c r="DU18" s="323"/>
      <c r="DV18" s="323"/>
      <c r="DW18" s="323"/>
      <c r="DX18" s="323"/>
      <c r="DY18" s="323"/>
      <c r="DZ18" s="323"/>
      <c r="EA18" s="323"/>
      <c r="EB18" s="323"/>
      <c r="EC18" s="323"/>
      <c r="ED18" s="323"/>
      <c r="EE18" s="323"/>
      <c r="EF18" s="323"/>
      <c r="EG18" s="323"/>
      <c r="EH18" s="323"/>
      <c r="EI18" s="323"/>
      <c r="EJ18" s="323"/>
      <c r="EK18" s="323"/>
      <c r="EL18" s="323"/>
      <c r="EM18" s="323"/>
      <c r="EN18" s="323"/>
      <c r="EO18" s="323"/>
      <c r="EP18" s="323"/>
      <c r="EQ18" s="323"/>
      <c r="ER18" s="323"/>
      <c r="ES18" s="323"/>
      <c r="ET18" s="323"/>
      <c r="EU18" s="323"/>
      <c r="EV18" s="323"/>
      <c r="EW18" s="323"/>
      <c r="EX18" s="323"/>
      <c r="EY18" s="323"/>
      <c r="EZ18" s="323"/>
      <c r="FA18" s="323"/>
      <c r="FB18" s="323"/>
      <c r="FC18" s="323"/>
      <c r="FD18" s="323"/>
      <c r="FE18" s="323"/>
      <c r="FF18" s="323"/>
      <c r="FG18" s="323"/>
      <c r="FH18" s="323"/>
      <c r="FI18" s="323"/>
      <c r="FJ18" s="323"/>
      <c r="FK18" s="323"/>
      <c r="FL18" s="323"/>
      <c r="FM18" s="323"/>
      <c r="FN18" s="323"/>
      <c r="FO18" s="323"/>
      <c r="FP18" s="323"/>
      <c r="FQ18" s="323"/>
      <c r="FR18" s="323"/>
      <c r="FS18" s="323"/>
      <c r="FT18" s="323"/>
      <c r="FU18" s="323"/>
      <c r="FV18" s="323"/>
      <c r="FW18" s="323"/>
      <c r="FX18" s="323"/>
    </row>
    <row r="19" ht="15.75" customHeight="1">
      <c r="A19" s="44">
        <v>14.0</v>
      </c>
      <c r="B19" s="27"/>
      <c r="C19" s="44"/>
      <c r="D19" s="44"/>
      <c r="E19" s="330"/>
      <c r="F19" s="47"/>
      <c r="G19" s="47"/>
      <c r="H19" s="47"/>
      <c r="I19" s="26"/>
      <c r="J19" s="323" t="str">
        <f t="shared" ref="J19:CM19" si="27">IF(AND($I19="Yes",J$2=$H19),"♦","")</f>
        <v/>
      </c>
      <c r="K19" s="323" t="str">
        <f t="shared" si="27"/>
        <v/>
      </c>
      <c r="L19" s="323" t="str">
        <f t="shared" si="27"/>
        <v/>
      </c>
      <c r="M19" s="323" t="str">
        <f t="shared" si="27"/>
        <v/>
      </c>
      <c r="N19" s="323" t="str">
        <f t="shared" si="27"/>
        <v/>
      </c>
      <c r="O19" s="323" t="str">
        <f t="shared" si="27"/>
        <v/>
      </c>
      <c r="P19" s="323" t="str">
        <f t="shared" si="27"/>
        <v/>
      </c>
      <c r="Q19" s="323" t="str">
        <f t="shared" si="27"/>
        <v/>
      </c>
      <c r="R19" s="323" t="str">
        <f t="shared" si="27"/>
        <v/>
      </c>
      <c r="S19" s="323" t="str">
        <f t="shared" si="27"/>
        <v/>
      </c>
      <c r="T19" s="323" t="str">
        <f t="shared" si="27"/>
        <v/>
      </c>
      <c r="U19" s="323" t="str">
        <f t="shared" si="27"/>
        <v/>
      </c>
      <c r="V19" s="323" t="str">
        <f t="shared" si="27"/>
        <v/>
      </c>
      <c r="W19" s="323" t="str">
        <f t="shared" si="27"/>
        <v/>
      </c>
      <c r="X19" s="323" t="str">
        <f t="shared" si="27"/>
        <v/>
      </c>
      <c r="Y19" s="323" t="str">
        <f t="shared" si="27"/>
        <v/>
      </c>
      <c r="Z19" s="323" t="str">
        <f t="shared" si="27"/>
        <v/>
      </c>
      <c r="AA19" s="323" t="str">
        <f t="shared" si="27"/>
        <v/>
      </c>
      <c r="AB19" s="323" t="str">
        <f t="shared" si="27"/>
        <v/>
      </c>
      <c r="AC19" s="323" t="str">
        <f t="shared" si="27"/>
        <v/>
      </c>
      <c r="AD19" s="323" t="str">
        <f t="shared" si="27"/>
        <v/>
      </c>
      <c r="AE19" s="323" t="str">
        <f t="shared" si="27"/>
        <v/>
      </c>
      <c r="AF19" s="323" t="str">
        <f t="shared" si="27"/>
        <v/>
      </c>
      <c r="AG19" s="323" t="str">
        <f t="shared" si="27"/>
        <v/>
      </c>
      <c r="AH19" s="323" t="str">
        <f t="shared" si="27"/>
        <v/>
      </c>
      <c r="AI19" s="323" t="str">
        <f t="shared" si="27"/>
        <v/>
      </c>
      <c r="AJ19" s="323" t="str">
        <f t="shared" si="27"/>
        <v/>
      </c>
      <c r="AK19" s="323" t="str">
        <f t="shared" si="27"/>
        <v/>
      </c>
      <c r="AL19" s="323" t="str">
        <f t="shared" si="27"/>
        <v/>
      </c>
      <c r="AM19" s="323" t="str">
        <f t="shared" si="27"/>
        <v/>
      </c>
      <c r="AN19" s="323" t="str">
        <f t="shared" si="27"/>
        <v/>
      </c>
      <c r="AO19" s="323" t="str">
        <f t="shared" si="27"/>
        <v/>
      </c>
      <c r="AP19" s="323" t="str">
        <f t="shared" si="27"/>
        <v/>
      </c>
      <c r="AQ19" s="323" t="str">
        <f t="shared" si="27"/>
        <v/>
      </c>
      <c r="AR19" s="323" t="str">
        <f t="shared" si="27"/>
        <v/>
      </c>
      <c r="AS19" s="323" t="str">
        <f t="shared" si="27"/>
        <v/>
      </c>
      <c r="AT19" s="323" t="str">
        <f t="shared" si="27"/>
        <v/>
      </c>
      <c r="AU19" s="323" t="str">
        <f t="shared" si="27"/>
        <v/>
      </c>
      <c r="AV19" s="323" t="str">
        <f t="shared" si="27"/>
        <v/>
      </c>
      <c r="AW19" s="323" t="str">
        <f t="shared" si="27"/>
        <v/>
      </c>
      <c r="AX19" s="323" t="str">
        <f t="shared" si="27"/>
        <v/>
      </c>
      <c r="AY19" s="323" t="str">
        <f t="shared" si="27"/>
        <v/>
      </c>
      <c r="AZ19" s="323" t="str">
        <f t="shared" si="27"/>
        <v/>
      </c>
      <c r="BA19" s="323" t="str">
        <f t="shared" si="27"/>
        <v/>
      </c>
      <c r="BB19" s="323" t="str">
        <f t="shared" si="27"/>
        <v/>
      </c>
      <c r="BC19" s="323" t="str">
        <f t="shared" si="27"/>
        <v/>
      </c>
      <c r="BD19" s="323" t="str">
        <f t="shared" si="27"/>
        <v/>
      </c>
      <c r="BE19" s="323" t="str">
        <f t="shared" si="27"/>
        <v/>
      </c>
      <c r="BF19" s="323" t="str">
        <f t="shared" si="27"/>
        <v/>
      </c>
      <c r="BG19" s="323" t="str">
        <f t="shared" si="27"/>
        <v/>
      </c>
      <c r="BH19" s="323" t="str">
        <f t="shared" si="27"/>
        <v/>
      </c>
      <c r="BI19" s="323" t="str">
        <f t="shared" si="27"/>
        <v/>
      </c>
      <c r="BJ19" s="323" t="str">
        <f t="shared" si="27"/>
        <v/>
      </c>
      <c r="BK19" s="323" t="str">
        <f t="shared" si="27"/>
        <v/>
      </c>
      <c r="BL19" s="323" t="str">
        <f t="shared" si="27"/>
        <v/>
      </c>
      <c r="BM19" s="323" t="str">
        <f t="shared" si="27"/>
        <v/>
      </c>
      <c r="BN19" s="323" t="str">
        <f t="shared" si="27"/>
        <v/>
      </c>
      <c r="BO19" s="323" t="str">
        <f t="shared" si="27"/>
        <v/>
      </c>
      <c r="BP19" s="323" t="str">
        <f t="shared" si="27"/>
        <v/>
      </c>
      <c r="BQ19" s="323" t="str">
        <f t="shared" si="27"/>
        <v/>
      </c>
      <c r="BR19" s="323" t="str">
        <f t="shared" si="27"/>
        <v/>
      </c>
      <c r="BS19" s="323" t="str">
        <f t="shared" si="27"/>
        <v/>
      </c>
      <c r="BT19" s="323" t="str">
        <f t="shared" si="27"/>
        <v/>
      </c>
      <c r="BU19" s="323" t="str">
        <f t="shared" si="27"/>
        <v/>
      </c>
      <c r="BV19" s="323" t="str">
        <f t="shared" si="27"/>
        <v/>
      </c>
      <c r="BW19" s="323" t="str">
        <f t="shared" si="27"/>
        <v/>
      </c>
      <c r="BX19" s="323" t="str">
        <f t="shared" si="27"/>
        <v/>
      </c>
      <c r="BY19" s="323" t="str">
        <f t="shared" si="27"/>
        <v/>
      </c>
      <c r="BZ19" s="323" t="str">
        <f t="shared" si="27"/>
        <v/>
      </c>
      <c r="CA19" s="323" t="str">
        <f t="shared" si="27"/>
        <v/>
      </c>
      <c r="CB19" s="323" t="str">
        <f t="shared" si="27"/>
        <v/>
      </c>
      <c r="CC19" s="323" t="str">
        <f t="shared" si="27"/>
        <v/>
      </c>
      <c r="CD19" s="323" t="str">
        <f t="shared" si="27"/>
        <v/>
      </c>
      <c r="CE19" s="323" t="str">
        <f t="shared" si="27"/>
        <v/>
      </c>
      <c r="CF19" s="323" t="str">
        <f t="shared" si="27"/>
        <v/>
      </c>
      <c r="CG19" s="323" t="str">
        <f t="shared" si="27"/>
        <v/>
      </c>
      <c r="CH19" s="323" t="str">
        <f t="shared" si="27"/>
        <v/>
      </c>
      <c r="CI19" s="323" t="str">
        <f t="shared" si="27"/>
        <v/>
      </c>
      <c r="CJ19" s="323" t="str">
        <f t="shared" si="27"/>
        <v/>
      </c>
      <c r="CK19" s="323" t="str">
        <f t="shared" si="27"/>
        <v/>
      </c>
      <c r="CL19" s="323" t="str">
        <f t="shared" si="27"/>
        <v/>
      </c>
      <c r="CM19" s="323" t="str">
        <f t="shared" si="27"/>
        <v/>
      </c>
      <c r="CN19" s="323"/>
      <c r="CO19" s="323"/>
      <c r="CP19" s="323" t="str">
        <f t="shared" si="16"/>
        <v/>
      </c>
      <c r="CQ19" s="323"/>
      <c r="CR19" s="323"/>
      <c r="CS19" s="323"/>
      <c r="CT19" s="323"/>
      <c r="CU19" s="323"/>
      <c r="CV19" s="323"/>
      <c r="CW19" s="323"/>
      <c r="CX19" s="323"/>
      <c r="CY19" s="323"/>
      <c r="CZ19" s="323"/>
      <c r="DA19" s="323"/>
      <c r="DB19" s="323"/>
      <c r="DC19" s="323"/>
      <c r="DD19" s="323"/>
      <c r="DE19" s="323"/>
      <c r="DF19" s="323"/>
      <c r="DG19" s="323"/>
      <c r="DH19" s="323"/>
      <c r="DI19" s="323"/>
      <c r="DJ19" s="323"/>
      <c r="DK19" s="323"/>
      <c r="DL19" s="323"/>
      <c r="DM19" s="323"/>
      <c r="DN19" s="323"/>
      <c r="DO19" s="323"/>
      <c r="DP19" s="323"/>
      <c r="DQ19" s="323"/>
      <c r="DR19" s="323"/>
      <c r="DS19" s="323"/>
      <c r="DT19" s="323"/>
      <c r="DU19" s="323"/>
      <c r="DV19" s="323"/>
      <c r="DW19" s="323"/>
      <c r="DX19" s="323"/>
      <c r="DY19" s="323"/>
      <c r="DZ19" s="323"/>
      <c r="EA19" s="323"/>
      <c r="EB19" s="323"/>
      <c r="EC19" s="323"/>
      <c r="ED19" s="323"/>
      <c r="EE19" s="323"/>
      <c r="EF19" s="323"/>
      <c r="EG19" s="323"/>
      <c r="EH19" s="323"/>
      <c r="EI19" s="323"/>
      <c r="EJ19" s="323"/>
      <c r="EK19" s="323"/>
      <c r="EL19" s="323"/>
      <c r="EM19" s="323"/>
      <c r="EN19" s="323"/>
      <c r="EO19" s="323"/>
      <c r="EP19" s="323"/>
      <c r="EQ19" s="323"/>
      <c r="ER19" s="323"/>
      <c r="ES19" s="323"/>
      <c r="ET19" s="323"/>
      <c r="EU19" s="323"/>
      <c r="EV19" s="323"/>
      <c r="EW19" s="323"/>
      <c r="EX19" s="323"/>
      <c r="EY19" s="323"/>
      <c r="EZ19" s="323"/>
      <c r="FA19" s="323"/>
      <c r="FB19" s="323"/>
      <c r="FC19" s="323"/>
      <c r="FD19" s="323"/>
      <c r="FE19" s="323"/>
      <c r="FF19" s="323"/>
      <c r="FG19" s="323"/>
      <c r="FH19" s="323"/>
      <c r="FI19" s="323"/>
      <c r="FJ19" s="323"/>
      <c r="FK19" s="323"/>
      <c r="FL19" s="323"/>
      <c r="FM19" s="323"/>
      <c r="FN19" s="323"/>
      <c r="FO19" s="323"/>
      <c r="FP19" s="323"/>
      <c r="FQ19" s="323"/>
      <c r="FR19" s="323"/>
      <c r="FS19" s="323"/>
      <c r="FT19" s="323"/>
      <c r="FU19" s="323"/>
      <c r="FV19" s="323"/>
      <c r="FW19" s="323"/>
      <c r="FX19" s="323"/>
    </row>
    <row r="20" ht="15.75" customHeight="1">
      <c r="A20" s="44">
        <v>15.0</v>
      </c>
      <c r="B20" s="27"/>
      <c r="C20" s="44"/>
      <c r="D20" s="44"/>
      <c r="E20" s="330"/>
      <c r="H20" s="47"/>
      <c r="I20" s="26"/>
      <c r="J20" s="323" t="str">
        <f t="shared" ref="J20:CM20" si="28">IF(AND($I20="Yes",J$2=$H20),"♦","")</f>
        <v/>
      </c>
      <c r="K20" s="323" t="str">
        <f t="shared" si="28"/>
        <v/>
      </c>
      <c r="L20" s="323" t="str">
        <f t="shared" si="28"/>
        <v/>
      </c>
      <c r="M20" s="323" t="str">
        <f t="shared" si="28"/>
        <v/>
      </c>
      <c r="N20" s="323" t="str">
        <f t="shared" si="28"/>
        <v/>
      </c>
      <c r="O20" s="323" t="str">
        <f t="shared" si="28"/>
        <v/>
      </c>
      <c r="P20" s="323" t="str">
        <f t="shared" si="28"/>
        <v/>
      </c>
      <c r="Q20" s="323" t="str">
        <f t="shared" si="28"/>
        <v/>
      </c>
      <c r="R20" s="323" t="str">
        <f t="shared" si="28"/>
        <v/>
      </c>
      <c r="S20" s="323" t="str">
        <f t="shared" si="28"/>
        <v/>
      </c>
      <c r="T20" s="323" t="str">
        <f t="shared" si="28"/>
        <v/>
      </c>
      <c r="U20" s="323" t="str">
        <f t="shared" si="28"/>
        <v/>
      </c>
      <c r="V20" s="323" t="str">
        <f t="shared" si="28"/>
        <v/>
      </c>
      <c r="W20" s="323" t="str">
        <f t="shared" si="28"/>
        <v/>
      </c>
      <c r="X20" s="323" t="str">
        <f t="shared" si="28"/>
        <v/>
      </c>
      <c r="Y20" s="323" t="str">
        <f t="shared" si="28"/>
        <v/>
      </c>
      <c r="Z20" s="323" t="str">
        <f t="shared" si="28"/>
        <v/>
      </c>
      <c r="AA20" s="323" t="str">
        <f t="shared" si="28"/>
        <v/>
      </c>
      <c r="AB20" s="323" t="str">
        <f t="shared" si="28"/>
        <v/>
      </c>
      <c r="AC20" s="323" t="str">
        <f t="shared" si="28"/>
        <v/>
      </c>
      <c r="AD20" s="323" t="str">
        <f t="shared" si="28"/>
        <v/>
      </c>
      <c r="AE20" s="323" t="str">
        <f t="shared" si="28"/>
        <v/>
      </c>
      <c r="AF20" s="323" t="str">
        <f t="shared" si="28"/>
        <v/>
      </c>
      <c r="AG20" s="323" t="str">
        <f t="shared" si="28"/>
        <v/>
      </c>
      <c r="AH20" s="323" t="str">
        <f t="shared" si="28"/>
        <v/>
      </c>
      <c r="AI20" s="323" t="str">
        <f t="shared" si="28"/>
        <v/>
      </c>
      <c r="AJ20" s="323" t="str">
        <f t="shared" si="28"/>
        <v/>
      </c>
      <c r="AK20" s="323" t="str">
        <f t="shared" si="28"/>
        <v/>
      </c>
      <c r="AL20" s="323" t="str">
        <f t="shared" si="28"/>
        <v/>
      </c>
      <c r="AM20" s="323" t="str">
        <f t="shared" si="28"/>
        <v/>
      </c>
      <c r="AN20" s="323" t="str">
        <f t="shared" si="28"/>
        <v/>
      </c>
      <c r="AO20" s="323" t="str">
        <f t="shared" si="28"/>
        <v/>
      </c>
      <c r="AP20" s="323" t="str">
        <f t="shared" si="28"/>
        <v/>
      </c>
      <c r="AQ20" s="323" t="str">
        <f t="shared" si="28"/>
        <v/>
      </c>
      <c r="AR20" s="323" t="str">
        <f t="shared" si="28"/>
        <v/>
      </c>
      <c r="AS20" s="323" t="str">
        <f t="shared" si="28"/>
        <v/>
      </c>
      <c r="AT20" s="323" t="str">
        <f t="shared" si="28"/>
        <v/>
      </c>
      <c r="AU20" s="323" t="str">
        <f t="shared" si="28"/>
        <v/>
      </c>
      <c r="AV20" s="323" t="str">
        <f t="shared" si="28"/>
        <v/>
      </c>
      <c r="AW20" s="323" t="str">
        <f t="shared" si="28"/>
        <v/>
      </c>
      <c r="AX20" s="323" t="str">
        <f t="shared" si="28"/>
        <v/>
      </c>
      <c r="AY20" s="323" t="str">
        <f t="shared" si="28"/>
        <v/>
      </c>
      <c r="AZ20" s="323" t="str">
        <f t="shared" si="28"/>
        <v/>
      </c>
      <c r="BA20" s="323" t="str">
        <f t="shared" si="28"/>
        <v/>
      </c>
      <c r="BB20" s="323" t="str">
        <f t="shared" si="28"/>
        <v/>
      </c>
      <c r="BC20" s="323" t="str">
        <f t="shared" si="28"/>
        <v/>
      </c>
      <c r="BD20" s="323" t="str">
        <f t="shared" si="28"/>
        <v/>
      </c>
      <c r="BE20" s="323" t="str">
        <f t="shared" si="28"/>
        <v/>
      </c>
      <c r="BF20" s="323" t="str">
        <f t="shared" si="28"/>
        <v/>
      </c>
      <c r="BG20" s="323" t="str">
        <f t="shared" si="28"/>
        <v/>
      </c>
      <c r="BH20" s="323" t="str">
        <f t="shared" si="28"/>
        <v/>
      </c>
      <c r="BI20" s="323" t="str">
        <f t="shared" si="28"/>
        <v/>
      </c>
      <c r="BJ20" s="323" t="str">
        <f t="shared" si="28"/>
        <v/>
      </c>
      <c r="BK20" s="323" t="str">
        <f t="shared" si="28"/>
        <v/>
      </c>
      <c r="BL20" s="323" t="str">
        <f t="shared" si="28"/>
        <v/>
      </c>
      <c r="BM20" s="323" t="str">
        <f t="shared" si="28"/>
        <v/>
      </c>
      <c r="BN20" s="323" t="str">
        <f t="shared" si="28"/>
        <v/>
      </c>
      <c r="BO20" s="323" t="str">
        <f t="shared" si="28"/>
        <v/>
      </c>
      <c r="BP20" s="323" t="str">
        <f t="shared" si="28"/>
        <v/>
      </c>
      <c r="BQ20" s="323" t="str">
        <f t="shared" si="28"/>
        <v/>
      </c>
      <c r="BR20" s="323" t="str">
        <f t="shared" si="28"/>
        <v/>
      </c>
      <c r="BS20" s="323" t="str">
        <f t="shared" si="28"/>
        <v/>
      </c>
      <c r="BT20" s="323" t="str">
        <f t="shared" si="28"/>
        <v/>
      </c>
      <c r="BU20" s="323" t="str">
        <f t="shared" si="28"/>
        <v/>
      </c>
      <c r="BV20" s="323" t="str">
        <f t="shared" si="28"/>
        <v/>
      </c>
      <c r="BW20" s="323" t="str">
        <f t="shared" si="28"/>
        <v/>
      </c>
      <c r="BX20" s="323" t="str">
        <f t="shared" si="28"/>
        <v/>
      </c>
      <c r="BY20" s="323" t="str">
        <f t="shared" si="28"/>
        <v/>
      </c>
      <c r="BZ20" s="323" t="str">
        <f t="shared" si="28"/>
        <v/>
      </c>
      <c r="CA20" s="323" t="str">
        <f t="shared" si="28"/>
        <v/>
      </c>
      <c r="CB20" s="323" t="str">
        <f t="shared" si="28"/>
        <v/>
      </c>
      <c r="CC20" s="323" t="str">
        <f t="shared" si="28"/>
        <v/>
      </c>
      <c r="CD20" s="323" t="str">
        <f t="shared" si="28"/>
        <v/>
      </c>
      <c r="CE20" s="323" t="str">
        <f t="shared" si="28"/>
        <v/>
      </c>
      <c r="CF20" s="323" t="str">
        <f t="shared" si="28"/>
        <v/>
      </c>
      <c r="CG20" s="323" t="str">
        <f t="shared" si="28"/>
        <v/>
      </c>
      <c r="CH20" s="323" t="str">
        <f t="shared" si="28"/>
        <v/>
      </c>
      <c r="CI20" s="323" t="str">
        <f t="shared" si="28"/>
        <v/>
      </c>
      <c r="CJ20" s="323" t="str">
        <f t="shared" si="28"/>
        <v/>
      </c>
      <c r="CK20" s="323" t="str">
        <f t="shared" si="28"/>
        <v/>
      </c>
      <c r="CL20" s="323" t="str">
        <f t="shared" si="28"/>
        <v/>
      </c>
      <c r="CM20" s="323" t="str">
        <f t="shared" si="28"/>
        <v/>
      </c>
      <c r="CN20" s="323"/>
      <c r="CO20" s="323"/>
      <c r="CP20" s="323" t="str">
        <f t="shared" si="16"/>
        <v/>
      </c>
      <c r="CQ20" s="323"/>
      <c r="CR20" s="323"/>
      <c r="CS20" s="323"/>
      <c r="CT20" s="323"/>
      <c r="CU20" s="323"/>
      <c r="CV20" s="323"/>
      <c r="CW20" s="323"/>
      <c r="CX20" s="323"/>
      <c r="CY20" s="323"/>
      <c r="CZ20" s="323"/>
      <c r="DA20" s="323"/>
      <c r="DB20" s="323"/>
      <c r="DC20" s="323"/>
      <c r="DD20" s="323"/>
      <c r="DE20" s="323"/>
      <c r="DF20" s="323"/>
      <c r="DG20" s="323"/>
      <c r="DH20" s="323"/>
      <c r="DI20" s="323"/>
      <c r="DJ20" s="323"/>
      <c r="DK20" s="323"/>
      <c r="DL20" s="323"/>
      <c r="DM20" s="323"/>
      <c r="DN20" s="323"/>
      <c r="DO20" s="323"/>
      <c r="DP20" s="323"/>
      <c r="DQ20" s="323"/>
      <c r="DR20" s="323"/>
      <c r="DS20" s="323"/>
      <c r="DT20" s="323"/>
      <c r="DU20" s="323"/>
      <c r="DV20" s="323"/>
      <c r="DW20" s="323"/>
      <c r="DX20" s="323"/>
      <c r="DY20" s="323"/>
      <c r="DZ20" s="323"/>
      <c r="EA20" s="323"/>
      <c r="EB20" s="323"/>
      <c r="EC20" s="323"/>
      <c r="ED20" s="323"/>
      <c r="EE20" s="323"/>
      <c r="EF20" s="323"/>
      <c r="EG20" s="323"/>
      <c r="EH20" s="323"/>
      <c r="EI20" s="323"/>
      <c r="EJ20" s="323"/>
      <c r="EK20" s="323"/>
      <c r="EL20" s="323"/>
      <c r="EM20" s="323"/>
      <c r="EN20" s="323"/>
      <c r="EO20" s="323"/>
      <c r="EP20" s="323"/>
      <c r="EQ20" s="323"/>
      <c r="ER20" s="323"/>
      <c r="ES20" s="323"/>
      <c r="ET20" s="323"/>
      <c r="EU20" s="323"/>
      <c r="EV20" s="323"/>
      <c r="EW20" s="323"/>
      <c r="EX20" s="323"/>
      <c r="EY20" s="323"/>
      <c r="EZ20" s="323"/>
      <c r="FA20" s="323"/>
      <c r="FB20" s="323"/>
      <c r="FC20" s="323"/>
      <c r="FD20" s="323"/>
      <c r="FE20" s="323"/>
      <c r="FF20" s="323"/>
      <c r="FG20" s="323"/>
      <c r="FH20" s="323"/>
      <c r="FI20" s="323"/>
      <c r="FJ20" s="323"/>
      <c r="FK20" s="323"/>
      <c r="FL20" s="323"/>
      <c r="FM20" s="323"/>
      <c r="FN20" s="323"/>
      <c r="FO20" s="323"/>
      <c r="FP20" s="323"/>
      <c r="FQ20" s="323"/>
      <c r="FR20" s="323"/>
      <c r="FS20" s="323"/>
      <c r="FT20" s="323"/>
      <c r="FU20" s="323"/>
      <c r="FV20" s="323"/>
      <c r="FW20" s="323"/>
      <c r="FX20" s="323"/>
    </row>
    <row r="21" ht="15.75" customHeight="1">
      <c r="A21" s="44">
        <v>16.0</v>
      </c>
      <c r="C21" s="331"/>
      <c r="D21" s="44"/>
      <c r="E21" s="44"/>
      <c r="H21" s="47"/>
      <c r="I21" s="26"/>
      <c r="J21" s="323" t="str">
        <f t="shared" ref="J21:CM21" si="29">IF(AND($I21="Yes",J$2=$H21),"♦","")</f>
        <v/>
      </c>
      <c r="K21" s="323" t="str">
        <f t="shared" si="29"/>
        <v/>
      </c>
      <c r="L21" s="323" t="str">
        <f t="shared" si="29"/>
        <v/>
      </c>
      <c r="M21" s="323" t="str">
        <f t="shared" si="29"/>
        <v/>
      </c>
      <c r="N21" s="323" t="str">
        <f t="shared" si="29"/>
        <v/>
      </c>
      <c r="O21" s="323" t="str">
        <f t="shared" si="29"/>
        <v/>
      </c>
      <c r="P21" s="323" t="str">
        <f t="shared" si="29"/>
        <v/>
      </c>
      <c r="Q21" s="323" t="str">
        <f t="shared" si="29"/>
        <v/>
      </c>
      <c r="R21" s="323" t="str">
        <f t="shared" si="29"/>
        <v/>
      </c>
      <c r="S21" s="323" t="str">
        <f t="shared" si="29"/>
        <v/>
      </c>
      <c r="T21" s="323" t="str">
        <f t="shared" si="29"/>
        <v/>
      </c>
      <c r="U21" s="323" t="str">
        <f t="shared" si="29"/>
        <v/>
      </c>
      <c r="V21" s="323" t="str">
        <f t="shared" si="29"/>
        <v/>
      </c>
      <c r="W21" s="323" t="str">
        <f t="shared" si="29"/>
        <v/>
      </c>
      <c r="X21" s="323" t="str">
        <f t="shared" si="29"/>
        <v/>
      </c>
      <c r="Y21" s="323" t="str">
        <f t="shared" si="29"/>
        <v/>
      </c>
      <c r="Z21" s="323" t="str">
        <f t="shared" si="29"/>
        <v/>
      </c>
      <c r="AA21" s="323" t="str">
        <f t="shared" si="29"/>
        <v/>
      </c>
      <c r="AB21" s="323" t="str">
        <f t="shared" si="29"/>
        <v/>
      </c>
      <c r="AC21" s="323" t="str">
        <f t="shared" si="29"/>
        <v/>
      </c>
      <c r="AD21" s="323" t="str">
        <f t="shared" si="29"/>
        <v/>
      </c>
      <c r="AE21" s="323" t="str">
        <f t="shared" si="29"/>
        <v/>
      </c>
      <c r="AF21" s="323" t="str">
        <f t="shared" si="29"/>
        <v/>
      </c>
      <c r="AG21" s="323" t="str">
        <f t="shared" si="29"/>
        <v/>
      </c>
      <c r="AH21" s="323" t="str">
        <f t="shared" si="29"/>
        <v/>
      </c>
      <c r="AI21" s="323" t="str">
        <f t="shared" si="29"/>
        <v/>
      </c>
      <c r="AJ21" s="323" t="str">
        <f t="shared" si="29"/>
        <v/>
      </c>
      <c r="AK21" s="323" t="str">
        <f t="shared" si="29"/>
        <v/>
      </c>
      <c r="AL21" s="323" t="str">
        <f t="shared" si="29"/>
        <v/>
      </c>
      <c r="AM21" s="323" t="str">
        <f t="shared" si="29"/>
        <v/>
      </c>
      <c r="AN21" s="323" t="str">
        <f t="shared" si="29"/>
        <v/>
      </c>
      <c r="AO21" s="323" t="str">
        <f t="shared" si="29"/>
        <v/>
      </c>
      <c r="AP21" s="323" t="str">
        <f t="shared" si="29"/>
        <v/>
      </c>
      <c r="AQ21" s="323" t="str">
        <f t="shared" si="29"/>
        <v/>
      </c>
      <c r="AR21" s="323" t="str">
        <f t="shared" si="29"/>
        <v/>
      </c>
      <c r="AS21" s="323" t="str">
        <f t="shared" si="29"/>
        <v/>
      </c>
      <c r="AT21" s="323" t="str">
        <f t="shared" si="29"/>
        <v/>
      </c>
      <c r="AU21" s="323" t="str">
        <f t="shared" si="29"/>
        <v/>
      </c>
      <c r="AV21" s="323" t="str">
        <f t="shared" si="29"/>
        <v/>
      </c>
      <c r="AW21" s="323" t="str">
        <f t="shared" si="29"/>
        <v/>
      </c>
      <c r="AX21" s="323" t="str">
        <f t="shared" si="29"/>
        <v/>
      </c>
      <c r="AY21" s="323" t="str">
        <f t="shared" si="29"/>
        <v/>
      </c>
      <c r="AZ21" s="323" t="str">
        <f t="shared" si="29"/>
        <v/>
      </c>
      <c r="BA21" s="323" t="str">
        <f t="shared" si="29"/>
        <v/>
      </c>
      <c r="BB21" s="323" t="str">
        <f t="shared" si="29"/>
        <v/>
      </c>
      <c r="BC21" s="323" t="str">
        <f t="shared" si="29"/>
        <v/>
      </c>
      <c r="BD21" s="323" t="str">
        <f t="shared" si="29"/>
        <v/>
      </c>
      <c r="BE21" s="323" t="str">
        <f t="shared" si="29"/>
        <v/>
      </c>
      <c r="BF21" s="323" t="str">
        <f t="shared" si="29"/>
        <v/>
      </c>
      <c r="BG21" s="323" t="str">
        <f t="shared" si="29"/>
        <v/>
      </c>
      <c r="BH21" s="323" t="str">
        <f t="shared" si="29"/>
        <v/>
      </c>
      <c r="BI21" s="323" t="str">
        <f t="shared" si="29"/>
        <v/>
      </c>
      <c r="BJ21" s="323" t="str">
        <f t="shared" si="29"/>
        <v/>
      </c>
      <c r="BK21" s="323" t="str">
        <f t="shared" si="29"/>
        <v/>
      </c>
      <c r="BL21" s="323" t="str">
        <f t="shared" si="29"/>
        <v/>
      </c>
      <c r="BM21" s="323" t="str">
        <f t="shared" si="29"/>
        <v/>
      </c>
      <c r="BN21" s="323" t="str">
        <f t="shared" si="29"/>
        <v/>
      </c>
      <c r="BO21" s="323" t="str">
        <f t="shared" si="29"/>
        <v/>
      </c>
      <c r="BP21" s="323" t="str">
        <f t="shared" si="29"/>
        <v/>
      </c>
      <c r="BQ21" s="323" t="str">
        <f t="shared" si="29"/>
        <v/>
      </c>
      <c r="BR21" s="323" t="str">
        <f t="shared" si="29"/>
        <v/>
      </c>
      <c r="BS21" s="323" t="str">
        <f t="shared" si="29"/>
        <v/>
      </c>
      <c r="BT21" s="323" t="str">
        <f t="shared" si="29"/>
        <v/>
      </c>
      <c r="BU21" s="323" t="str">
        <f t="shared" si="29"/>
        <v/>
      </c>
      <c r="BV21" s="323" t="str">
        <f t="shared" si="29"/>
        <v/>
      </c>
      <c r="BW21" s="323" t="str">
        <f t="shared" si="29"/>
        <v/>
      </c>
      <c r="BX21" s="323" t="str">
        <f t="shared" si="29"/>
        <v/>
      </c>
      <c r="BY21" s="323" t="str">
        <f t="shared" si="29"/>
        <v/>
      </c>
      <c r="BZ21" s="323" t="str">
        <f t="shared" si="29"/>
        <v/>
      </c>
      <c r="CA21" s="323" t="str">
        <f t="shared" si="29"/>
        <v/>
      </c>
      <c r="CB21" s="323" t="str">
        <f t="shared" si="29"/>
        <v/>
      </c>
      <c r="CC21" s="323" t="str">
        <f t="shared" si="29"/>
        <v/>
      </c>
      <c r="CD21" s="323" t="str">
        <f t="shared" si="29"/>
        <v/>
      </c>
      <c r="CE21" s="323" t="str">
        <f t="shared" si="29"/>
        <v/>
      </c>
      <c r="CF21" s="323" t="str">
        <f t="shared" si="29"/>
        <v/>
      </c>
      <c r="CG21" s="323" t="str">
        <f t="shared" si="29"/>
        <v/>
      </c>
      <c r="CH21" s="323" t="str">
        <f t="shared" si="29"/>
        <v/>
      </c>
      <c r="CI21" s="323" t="str">
        <f t="shared" si="29"/>
        <v/>
      </c>
      <c r="CJ21" s="323" t="str">
        <f t="shared" si="29"/>
        <v/>
      </c>
      <c r="CK21" s="323" t="str">
        <f t="shared" si="29"/>
        <v/>
      </c>
      <c r="CL21" s="323" t="str">
        <f t="shared" si="29"/>
        <v/>
      </c>
      <c r="CM21" s="323" t="str">
        <f t="shared" si="29"/>
        <v/>
      </c>
      <c r="CN21" s="323"/>
      <c r="CO21" s="323"/>
      <c r="CP21" s="323" t="str">
        <f t="shared" si="16"/>
        <v/>
      </c>
      <c r="CQ21" s="323"/>
      <c r="CR21" s="323"/>
      <c r="CS21" s="323"/>
      <c r="CT21" s="323"/>
      <c r="CU21" s="323"/>
      <c r="CV21" s="323"/>
      <c r="CW21" s="323"/>
      <c r="CX21" s="323"/>
      <c r="CY21" s="323"/>
      <c r="CZ21" s="323"/>
      <c r="DA21" s="323"/>
      <c r="DB21" s="323"/>
      <c r="DC21" s="323"/>
      <c r="DD21" s="323"/>
      <c r="DE21" s="323"/>
      <c r="DF21" s="323"/>
      <c r="DG21" s="323"/>
      <c r="DH21" s="323"/>
      <c r="DI21" s="323"/>
      <c r="DJ21" s="323"/>
      <c r="DK21" s="323"/>
      <c r="DL21" s="323"/>
      <c r="DM21" s="323"/>
      <c r="DN21" s="323"/>
      <c r="DO21" s="323"/>
      <c r="DP21" s="323"/>
      <c r="DQ21" s="323"/>
      <c r="DR21" s="323"/>
      <c r="DS21" s="323"/>
      <c r="DT21" s="323"/>
      <c r="DU21" s="323"/>
      <c r="DV21" s="323"/>
      <c r="DW21" s="323"/>
      <c r="DX21" s="323"/>
      <c r="DY21" s="323"/>
      <c r="DZ21" s="323"/>
      <c r="EA21" s="323"/>
      <c r="EB21" s="323"/>
      <c r="EC21" s="323"/>
      <c r="ED21" s="323"/>
      <c r="EE21" s="323"/>
      <c r="EF21" s="323"/>
      <c r="EG21" s="323"/>
      <c r="EH21" s="323"/>
      <c r="EI21" s="323"/>
      <c r="EJ21" s="323"/>
      <c r="EK21" s="323"/>
      <c r="EL21" s="323"/>
      <c r="EM21" s="323"/>
      <c r="EN21" s="323"/>
      <c r="EO21" s="323"/>
      <c r="EP21" s="323"/>
      <c r="EQ21" s="323"/>
      <c r="ER21" s="323"/>
      <c r="ES21" s="323"/>
      <c r="ET21" s="323"/>
      <c r="EU21" s="323"/>
      <c r="EV21" s="323"/>
      <c r="EW21" s="323"/>
      <c r="EX21" s="323"/>
      <c r="EY21" s="323"/>
      <c r="EZ21" s="323"/>
      <c r="FA21" s="323"/>
      <c r="FB21" s="323"/>
      <c r="FC21" s="323"/>
      <c r="FD21" s="323"/>
      <c r="FE21" s="323"/>
      <c r="FF21" s="323"/>
      <c r="FG21" s="323"/>
      <c r="FH21" s="323"/>
      <c r="FI21" s="323"/>
      <c r="FJ21" s="323"/>
      <c r="FK21" s="323"/>
      <c r="FL21" s="323"/>
      <c r="FM21" s="323"/>
      <c r="FN21" s="323"/>
      <c r="FO21" s="323"/>
      <c r="FP21" s="323"/>
      <c r="FQ21" s="323"/>
      <c r="FR21" s="323"/>
      <c r="FS21" s="323"/>
      <c r="FT21" s="323"/>
      <c r="FU21" s="323"/>
      <c r="FV21" s="323"/>
      <c r="FW21" s="323"/>
      <c r="FX21" s="323"/>
    </row>
    <row r="22" ht="15.75" customHeight="1">
      <c r="A22" s="44">
        <v>17.0</v>
      </c>
      <c r="C22" s="331"/>
      <c r="D22" s="44"/>
      <c r="E22" s="44"/>
      <c r="H22" s="47"/>
      <c r="I22" s="26"/>
      <c r="J22" s="323" t="str">
        <f t="shared" ref="J22:CM22" si="30">IF(AND($I22="Yes",J$2=$H22),"♦","")</f>
        <v/>
      </c>
      <c r="K22" s="323" t="str">
        <f t="shared" si="30"/>
        <v/>
      </c>
      <c r="L22" s="323" t="str">
        <f t="shared" si="30"/>
        <v/>
      </c>
      <c r="M22" s="323" t="str">
        <f t="shared" si="30"/>
        <v/>
      </c>
      <c r="N22" s="323" t="str">
        <f t="shared" si="30"/>
        <v/>
      </c>
      <c r="O22" s="323" t="str">
        <f t="shared" si="30"/>
        <v/>
      </c>
      <c r="P22" s="323" t="str">
        <f t="shared" si="30"/>
        <v/>
      </c>
      <c r="Q22" s="323" t="str">
        <f t="shared" si="30"/>
        <v/>
      </c>
      <c r="R22" s="323" t="str">
        <f t="shared" si="30"/>
        <v/>
      </c>
      <c r="S22" s="323" t="str">
        <f t="shared" si="30"/>
        <v/>
      </c>
      <c r="T22" s="323" t="str">
        <f t="shared" si="30"/>
        <v/>
      </c>
      <c r="U22" s="323" t="str">
        <f t="shared" si="30"/>
        <v/>
      </c>
      <c r="V22" s="323" t="str">
        <f t="shared" si="30"/>
        <v/>
      </c>
      <c r="W22" s="323" t="str">
        <f t="shared" si="30"/>
        <v/>
      </c>
      <c r="X22" s="323" t="str">
        <f t="shared" si="30"/>
        <v/>
      </c>
      <c r="Y22" s="323" t="str">
        <f t="shared" si="30"/>
        <v/>
      </c>
      <c r="Z22" s="323" t="str">
        <f t="shared" si="30"/>
        <v/>
      </c>
      <c r="AA22" s="323" t="str">
        <f t="shared" si="30"/>
        <v/>
      </c>
      <c r="AB22" s="323" t="str">
        <f t="shared" si="30"/>
        <v/>
      </c>
      <c r="AC22" s="323" t="str">
        <f t="shared" si="30"/>
        <v/>
      </c>
      <c r="AD22" s="323" t="str">
        <f t="shared" si="30"/>
        <v/>
      </c>
      <c r="AE22" s="323" t="str">
        <f t="shared" si="30"/>
        <v/>
      </c>
      <c r="AF22" s="323" t="str">
        <f t="shared" si="30"/>
        <v/>
      </c>
      <c r="AG22" s="323" t="str">
        <f t="shared" si="30"/>
        <v/>
      </c>
      <c r="AH22" s="323" t="str">
        <f t="shared" si="30"/>
        <v/>
      </c>
      <c r="AI22" s="323" t="str">
        <f t="shared" si="30"/>
        <v/>
      </c>
      <c r="AJ22" s="323" t="str">
        <f t="shared" si="30"/>
        <v/>
      </c>
      <c r="AK22" s="323" t="str">
        <f t="shared" si="30"/>
        <v/>
      </c>
      <c r="AL22" s="323" t="str">
        <f t="shared" si="30"/>
        <v/>
      </c>
      <c r="AM22" s="323" t="str">
        <f t="shared" si="30"/>
        <v/>
      </c>
      <c r="AN22" s="323" t="str">
        <f t="shared" si="30"/>
        <v/>
      </c>
      <c r="AO22" s="323" t="str">
        <f t="shared" si="30"/>
        <v/>
      </c>
      <c r="AP22" s="323" t="str">
        <f t="shared" si="30"/>
        <v/>
      </c>
      <c r="AQ22" s="323" t="str">
        <f t="shared" si="30"/>
        <v/>
      </c>
      <c r="AR22" s="323" t="str">
        <f t="shared" si="30"/>
        <v/>
      </c>
      <c r="AS22" s="323" t="str">
        <f t="shared" si="30"/>
        <v/>
      </c>
      <c r="AT22" s="323" t="str">
        <f t="shared" si="30"/>
        <v/>
      </c>
      <c r="AU22" s="323" t="str">
        <f t="shared" si="30"/>
        <v/>
      </c>
      <c r="AV22" s="323" t="str">
        <f t="shared" si="30"/>
        <v/>
      </c>
      <c r="AW22" s="323" t="str">
        <f t="shared" si="30"/>
        <v/>
      </c>
      <c r="AX22" s="323" t="str">
        <f t="shared" si="30"/>
        <v/>
      </c>
      <c r="AY22" s="323" t="str">
        <f t="shared" si="30"/>
        <v/>
      </c>
      <c r="AZ22" s="323" t="str">
        <f t="shared" si="30"/>
        <v/>
      </c>
      <c r="BA22" s="323" t="str">
        <f t="shared" si="30"/>
        <v/>
      </c>
      <c r="BB22" s="323" t="str">
        <f t="shared" si="30"/>
        <v/>
      </c>
      <c r="BC22" s="323" t="str">
        <f t="shared" si="30"/>
        <v/>
      </c>
      <c r="BD22" s="323" t="str">
        <f t="shared" si="30"/>
        <v/>
      </c>
      <c r="BE22" s="323" t="str">
        <f t="shared" si="30"/>
        <v/>
      </c>
      <c r="BF22" s="323" t="str">
        <f t="shared" si="30"/>
        <v/>
      </c>
      <c r="BG22" s="323" t="str">
        <f t="shared" si="30"/>
        <v/>
      </c>
      <c r="BH22" s="323" t="str">
        <f t="shared" si="30"/>
        <v/>
      </c>
      <c r="BI22" s="323" t="str">
        <f t="shared" si="30"/>
        <v/>
      </c>
      <c r="BJ22" s="323" t="str">
        <f t="shared" si="30"/>
        <v/>
      </c>
      <c r="BK22" s="323" t="str">
        <f t="shared" si="30"/>
        <v/>
      </c>
      <c r="BL22" s="323" t="str">
        <f t="shared" si="30"/>
        <v/>
      </c>
      <c r="BM22" s="323" t="str">
        <f t="shared" si="30"/>
        <v/>
      </c>
      <c r="BN22" s="323" t="str">
        <f t="shared" si="30"/>
        <v/>
      </c>
      <c r="BO22" s="323" t="str">
        <f t="shared" si="30"/>
        <v/>
      </c>
      <c r="BP22" s="323" t="str">
        <f t="shared" si="30"/>
        <v/>
      </c>
      <c r="BQ22" s="323" t="str">
        <f t="shared" si="30"/>
        <v/>
      </c>
      <c r="BR22" s="323" t="str">
        <f t="shared" si="30"/>
        <v/>
      </c>
      <c r="BS22" s="323" t="str">
        <f t="shared" si="30"/>
        <v/>
      </c>
      <c r="BT22" s="323" t="str">
        <f t="shared" si="30"/>
        <v/>
      </c>
      <c r="BU22" s="323" t="str">
        <f t="shared" si="30"/>
        <v/>
      </c>
      <c r="BV22" s="323" t="str">
        <f t="shared" si="30"/>
        <v/>
      </c>
      <c r="BW22" s="323" t="str">
        <f t="shared" si="30"/>
        <v/>
      </c>
      <c r="BX22" s="323" t="str">
        <f t="shared" si="30"/>
        <v/>
      </c>
      <c r="BY22" s="323" t="str">
        <f t="shared" si="30"/>
        <v/>
      </c>
      <c r="BZ22" s="323" t="str">
        <f t="shared" si="30"/>
        <v/>
      </c>
      <c r="CA22" s="323" t="str">
        <f t="shared" si="30"/>
        <v/>
      </c>
      <c r="CB22" s="323" t="str">
        <f t="shared" si="30"/>
        <v/>
      </c>
      <c r="CC22" s="323" t="str">
        <f t="shared" si="30"/>
        <v/>
      </c>
      <c r="CD22" s="323" t="str">
        <f t="shared" si="30"/>
        <v/>
      </c>
      <c r="CE22" s="323" t="str">
        <f t="shared" si="30"/>
        <v/>
      </c>
      <c r="CF22" s="323" t="str">
        <f t="shared" si="30"/>
        <v/>
      </c>
      <c r="CG22" s="323" t="str">
        <f t="shared" si="30"/>
        <v/>
      </c>
      <c r="CH22" s="323" t="str">
        <f t="shared" si="30"/>
        <v/>
      </c>
      <c r="CI22" s="323" t="str">
        <f t="shared" si="30"/>
        <v/>
      </c>
      <c r="CJ22" s="323" t="str">
        <f t="shared" si="30"/>
        <v/>
      </c>
      <c r="CK22" s="323" t="str">
        <f t="shared" si="30"/>
        <v/>
      </c>
      <c r="CL22" s="323" t="str">
        <f t="shared" si="30"/>
        <v/>
      </c>
      <c r="CM22" s="323" t="str">
        <f t="shared" si="30"/>
        <v/>
      </c>
      <c r="CN22" s="323"/>
      <c r="CO22" s="323"/>
      <c r="CP22" s="323" t="str">
        <f t="shared" si="16"/>
        <v/>
      </c>
      <c r="CQ22" s="323"/>
      <c r="CR22" s="323"/>
      <c r="CS22" s="323"/>
      <c r="CT22" s="323"/>
      <c r="CU22" s="323"/>
      <c r="CV22" s="323"/>
      <c r="CW22" s="323"/>
      <c r="CX22" s="323"/>
      <c r="CY22" s="323"/>
      <c r="CZ22" s="323"/>
      <c r="DA22" s="323"/>
      <c r="DB22" s="323"/>
      <c r="DC22" s="323"/>
      <c r="DD22" s="323"/>
      <c r="DE22" s="323"/>
      <c r="DF22" s="323"/>
      <c r="DG22" s="323"/>
      <c r="DH22" s="323"/>
      <c r="DI22" s="323"/>
      <c r="DJ22" s="323"/>
      <c r="DK22" s="323"/>
      <c r="DL22" s="323"/>
      <c r="DM22" s="323"/>
      <c r="DN22" s="323"/>
      <c r="DO22" s="323"/>
      <c r="DP22" s="323"/>
      <c r="DQ22" s="323"/>
      <c r="DR22" s="323"/>
      <c r="DS22" s="323"/>
      <c r="DT22" s="323"/>
      <c r="DU22" s="323"/>
      <c r="DV22" s="323"/>
      <c r="DW22" s="323"/>
      <c r="DX22" s="323"/>
      <c r="DY22" s="323"/>
      <c r="DZ22" s="323"/>
      <c r="EA22" s="323"/>
      <c r="EB22" s="323"/>
      <c r="EC22" s="323"/>
      <c r="ED22" s="323"/>
      <c r="EE22" s="323"/>
      <c r="EF22" s="323"/>
      <c r="EG22" s="323"/>
      <c r="EH22" s="323"/>
      <c r="EI22" s="323"/>
      <c r="EJ22" s="323"/>
      <c r="EK22" s="323"/>
      <c r="EL22" s="323"/>
      <c r="EM22" s="323"/>
      <c r="EN22" s="323"/>
      <c r="EO22" s="323"/>
      <c r="EP22" s="323"/>
      <c r="EQ22" s="323"/>
      <c r="ER22" s="323"/>
      <c r="ES22" s="323"/>
      <c r="ET22" s="323"/>
      <c r="EU22" s="323"/>
      <c r="EV22" s="323"/>
      <c r="EW22" s="323"/>
      <c r="EX22" s="323"/>
      <c r="EY22" s="323"/>
      <c r="EZ22" s="323"/>
      <c r="FA22" s="323"/>
      <c r="FB22" s="323"/>
      <c r="FC22" s="323"/>
      <c r="FD22" s="323"/>
      <c r="FE22" s="323"/>
      <c r="FF22" s="323"/>
      <c r="FG22" s="323"/>
      <c r="FH22" s="323"/>
      <c r="FI22" s="323"/>
      <c r="FJ22" s="323"/>
      <c r="FK22" s="323"/>
      <c r="FL22" s="323"/>
      <c r="FM22" s="323"/>
      <c r="FN22" s="323"/>
      <c r="FO22" s="323"/>
      <c r="FP22" s="323"/>
      <c r="FQ22" s="323"/>
      <c r="FR22" s="323"/>
      <c r="FS22" s="323"/>
      <c r="FT22" s="323"/>
      <c r="FU22" s="323"/>
      <c r="FV22" s="323"/>
      <c r="FW22" s="323"/>
      <c r="FX22" s="323"/>
    </row>
    <row r="23" ht="15.75" customHeight="1">
      <c r="A23" s="44">
        <v>18.0</v>
      </c>
      <c r="C23" s="331"/>
      <c r="D23" s="44"/>
      <c r="E23" s="44"/>
      <c r="H23" s="47"/>
      <c r="I23" s="26"/>
      <c r="J23" s="323" t="str">
        <f t="shared" ref="J23:CM23" si="31">IF(AND($I23="Yes",J$2=$H23),"♦","")</f>
        <v/>
      </c>
      <c r="K23" s="323" t="str">
        <f t="shared" si="31"/>
        <v/>
      </c>
      <c r="L23" s="323" t="str">
        <f t="shared" si="31"/>
        <v/>
      </c>
      <c r="M23" s="323" t="str">
        <f t="shared" si="31"/>
        <v/>
      </c>
      <c r="N23" s="323" t="str">
        <f t="shared" si="31"/>
        <v/>
      </c>
      <c r="O23" s="323" t="str">
        <f t="shared" si="31"/>
        <v/>
      </c>
      <c r="P23" s="323" t="str">
        <f t="shared" si="31"/>
        <v/>
      </c>
      <c r="Q23" s="323" t="str">
        <f t="shared" si="31"/>
        <v/>
      </c>
      <c r="R23" s="323" t="str">
        <f t="shared" si="31"/>
        <v/>
      </c>
      <c r="S23" s="323" t="str">
        <f t="shared" si="31"/>
        <v/>
      </c>
      <c r="T23" s="323" t="str">
        <f t="shared" si="31"/>
        <v/>
      </c>
      <c r="U23" s="323" t="str">
        <f t="shared" si="31"/>
        <v/>
      </c>
      <c r="V23" s="323" t="str">
        <f t="shared" si="31"/>
        <v/>
      </c>
      <c r="W23" s="323" t="str">
        <f t="shared" si="31"/>
        <v/>
      </c>
      <c r="X23" s="323" t="str">
        <f t="shared" si="31"/>
        <v/>
      </c>
      <c r="Y23" s="323" t="str">
        <f t="shared" si="31"/>
        <v/>
      </c>
      <c r="Z23" s="323" t="str">
        <f t="shared" si="31"/>
        <v/>
      </c>
      <c r="AA23" s="323" t="str">
        <f t="shared" si="31"/>
        <v/>
      </c>
      <c r="AB23" s="323" t="str">
        <f t="shared" si="31"/>
        <v/>
      </c>
      <c r="AC23" s="323" t="str">
        <f t="shared" si="31"/>
        <v/>
      </c>
      <c r="AD23" s="323" t="str">
        <f t="shared" si="31"/>
        <v/>
      </c>
      <c r="AE23" s="323" t="str">
        <f t="shared" si="31"/>
        <v/>
      </c>
      <c r="AF23" s="323" t="str">
        <f t="shared" si="31"/>
        <v/>
      </c>
      <c r="AG23" s="323" t="str">
        <f t="shared" si="31"/>
        <v/>
      </c>
      <c r="AH23" s="323" t="str">
        <f t="shared" si="31"/>
        <v/>
      </c>
      <c r="AI23" s="323" t="str">
        <f t="shared" si="31"/>
        <v/>
      </c>
      <c r="AJ23" s="323" t="str">
        <f t="shared" si="31"/>
        <v/>
      </c>
      <c r="AK23" s="323" t="str">
        <f t="shared" si="31"/>
        <v/>
      </c>
      <c r="AL23" s="323" t="str">
        <f t="shared" si="31"/>
        <v/>
      </c>
      <c r="AM23" s="323" t="str">
        <f t="shared" si="31"/>
        <v/>
      </c>
      <c r="AN23" s="323" t="str">
        <f t="shared" si="31"/>
        <v/>
      </c>
      <c r="AO23" s="323" t="str">
        <f t="shared" si="31"/>
        <v/>
      </c>
      <c r="AP23" s="323" t="str">
        <f t="shared" si="31"/>
        <v/>
      </c>
      <c r="AQ23" s="323" t="str">
        <f t="shared" si="31"/>
        <v/>
      </c>
      <c r="AR23" s="323" t="str">
        <f t="shared" si="31"/>
        <v/>
      </c>
      <c r="AS23" s="323" t="str">
        <f t="shared" si="31"/>
        <v/>
      </c>
      <c r="AT23" s="323" t="str">
        <f t="shared" si="31"/>
        <v/>
      </c>
      <c r="AU23" s="323" t="str">
        <f t="shared" si="31"/>
        <v/>
      </c>
      <c r="AV23" s="323" t="str">
        <f t="shared" si="31"/>
        <v/>
      </c>
      <c r="AW23" s="323" t="str">
        <f t="shared" si="31"/>
        <v/>
      </c>
      <c r="AX23" s="323" t="str">
        <f t="shared" si="31"/>
        <v/>
      </c>
      <c r="AY23" s="323" t="str">
        <f t="shared" si="31"/>
        <v/>
      </c>
      <c r="AZ23" s="323" t="str">
        <f t="shared" si="31"/>
        <v/>
      </c>
      <c r="BA23" s="323" t="str">
        <f t="shared" si="31"/>
        <v/>
      </c>
      <c r="BB23" s="323" t="str">
        <f t="shared" si="31"/>
        <v/>
      </c>
      <c r="BC23" s="323" t="str">
        <f t="shared" si="31"/>
        <v/>
      </c>
      <c r="BD23" s="323" t="str">
        <f t="shared" si="31"/>
        <v/>
      </c>
      <c r="BE23" s="323" t="str">
        <f t="shared" si="31"/>
        <v/>
      </c>
      <c r="BF23" s="323" t="str">
        <f t="shared" si="31"/>
        <v/>
      </c>
      <c r="BG23" s="323" t="str">
        <f t="shared" si="31"/>
        <v/>
      </c>
      <c r="BH23" s="323" t="str">
        <f t="shared" si="31"/>
        <v/>
      </c>
      <c r="BI23" s="323" t="str">
        <f t="shared" si="31"/>
        <v/>
      </c>
      <c r="BJ23" s="323" t="str">
        <f t="shared" si="31"/>
        <v/>
      </c>
      <c r="BK23" s="323" t="str">
        <f t="shared" si="31"/>
        <v/>
      </c>
      <c r="BL23" s="323" t="str">
        <f t="shared" si="31"/>
        <v/>
      </c>
      <c r="BM23" s="323" t="str">
        <f t="shared" si="31"/>
        <v/>
      </c>
      <c r="BN23" s="323" t="str">
        <f t="shared" si="31"/>
        <v/>
      </c>
      <c r="BO23" s="323" t="str">
        <f t="shared" si="31"/>
        <v/>
      </c>
      <c r="BP23" s="323" t="str">
        <f t="shared" si="31"/>
        <v/>
      </c>
      <c r="BQ23" s="323" t="str">
        <f t="shared" si="31"/>
        <v/>
      </c>
      <c r="BR23" s="323" t="str">
        <f t="shared" si="31"/>
        <v/>
      </c>
      <c r="BS23" s="323" t="str">
        <f t="shared" si="31"/>
        <v/>
      </c>
      <c r="BT23" s="323" t="str">
        <f t="shared" si="31"/>
        <v/>
      </c>
      <c r="BU23" s="323" t="str">
        <f t="shared" si="31"/>
        <v/>
      </c>
      <c r="BV23" s="323" t="str">
        <f t="shared" si="31"/>
        <v/>
      </c>
      <c r="BW23" s="323" t="str">
        <f t="shared" si="31"/>
        <v/>
      </c>
      <c r="BX23" s="323" t="str">
        <f t="shared" si="31"/>
        <v/>
      </c>
      <c r="BY23" s="323" t="str">
        <f t="shared" si="31"/>
        <v/>
      </c>
      <c r="BZ23" s="323" t="str">
        <f t="shared" si="31"/>
        <v/>
      </c>
      <c r="CA23" s="323" t="str">
        <f t="shared" si="31"/>
        <v/>
      </c>
      <c r="CB23" s="323" t="str">
        <f t="shared" si="31"/>
        <v/>
      </c>
      <c r="CC23" s="323" t="str">
        <f t="shared" si="31"/>
        <v/>
      </c>
      <c r="CD23" s="323" t="str">
        <f t="shared" si="31"/>
        <v/>
      </c>
      <c r="CE23" s="323" t="str">
        <f t="shared" si="31"/>
        <v/>
      </c>
      <c r="CF23" s="323" t="str">
        <f t="shared" si="31"/>
        <v/>
      </c>
      <c r="CG23" s="323" t="str">
        <f t="shared" si="31"/>
        <v/>
      </c>
      <c r="CH23" s="323" t="str">
        <f t="shared" si="31"/>
        <v/>
      </c>
      <c r="CI23" s="323" t="str">
        <f t="shared" si="31"/>
        <v/>
      </c>
      <c r="CJ23" s="323" t="str">
        <f t="shared" si="31"/>
        <v/>
      </c>
      <c r="CK23" s="323" t="str">
        <f t="shared" si="31"/>
        <v/>
      </c>
      <c r="CL23" s="323" t="str">
        <f t="shared" si="31"/>
        <v/>
      </c>
      <c r="CM23" s="323" t="str">
        <f t="shared" si="31"/>
        <v/>
      </c>
      <c r="CN23" s="323"/>
      <c r="CO23" s="323"/>
      <c r="CP23" s="323" t="str">
        <f t="shared" si="16"/>
        <v/>
      </c>
      <c r="CQ23" s="323"/>
      <c r="CR23" s="323"/>
      <c r="CS23" s="323"/>
      <c r="CT23" s="323"/>
      <c r="CU23" s="323"/>
      <c r="CV23" s="323"/>
      <c r="CW23" s="323"/>
      <c r="CX23" s="323"/>
      <c r="CY23" s="323"/>
      <c r="CZ23" s="323"/>
      <c r="DA23" s="323"/>
      <c r="DB23" s="323"/>
      <c r="DC23" s="323"/>
      <c r="DD23" s="323"/>
      <c r="DE23" s="323"/>
      <c r="DF23" s="323"/>
      <c r="DG23" s="323"/>
      <c r="DH23" s="323"/>
      <c r="DI23" s="323"/>
      <c r="DJ23" s="323"/>
      <c r="DK23" s="323"/>
      <c r="DL23" s="323"/>
      <c r="DM23" s="323"/>
      <c r="DN23" s="323"/>
      <c r="DO23" s="323"/>
      <c r="DP23" s="323"/>
      <c r="DQ23" s="323"/>
      <c r="DR23" s="323"/>
      <c r="DS23" s="323"/>
      <c r="DT23" s="323"/>
      <c r="DU23" s="323"/>
      <c r="DV23" s="323"/>
      <c r="DW23" s="323"/>
      <c r="DX23" s="323"/>
      <c r="DY23" s="323"/>
      <c r="DZ23" s="323"/>
      <c r="EA23" s="323"/>
      <c r="EB23" s="323"/>
      <c r="EC23" s="323"/>
      <c r="ED23" s="323"/>
      <c r="EE23" s="323"/>
      <c r="EF23" s="323"/>
      <c r="EG23" s="323"/>
      <c r="EH23" s="323"/>
      <c r="EI23" s="323"/>
      <c r="EJ23" s="323"/>
      <c r="EK23" s="323"/>
      <c r="EL23" s="323"/>
      <c r="EM23" s="323"/>
      <c r="EN23" s="323"/>
      <c r="EO23" s="323"/>
      <c r="EP23" s="323"/>
      <c r="EQ23" s="323"/>
      <c r="ER23" s="323"/>
      <c r="ES23" s="323"/>
      <c r="ET23" s="323"/>
      <c r="EU23" s="323"/>
      <c r="EV23" s="323"/>
      <c r="EW23" s="323"/>
      <c r="EX23" s="323"/>
      <c r="EY23" s="323"/>
      <c r="EZ23" s="323"/>
      <c r="FA23" s="323"/>
      <c r="FB23" s="323"/>
      <c r="FC23" s="323"/>
      <c r="FD23" s="323"/>
      <c r="FE23" s="323"/>
      <c r="FF23" s="323"/>
      <c r="FG23" s="323"/>
      <c r="FH23" s="323"/>
      <c r="FI23" s="323"/>
      <c r="FJ23" s="323"/>
      <c r="FK23" s="323"/>
      <c r="FL23" s="323"/>
      <c r="FM23" s="323"/>
      <c r="FN23" s="323"/>
      <c r="FO23" s="323"/>
      <c r="FP23" s="323"/>
      <c r="FQ23" s="323"/>
      <c r="FR23" s="323"/>
      <c r="FS23" s="323"/>
      <c r="FT23" s="323"/>
      <c r="FU23" s="323"/>
      <c r="FV23" s="323"/>
      <c r="FW23" s="323"/>
      <c r="FX23" s="323"/>
    </row>
    <row r="24" ht="15.75" customHeight="1">
      <c r="A24" s="44">
        <v>19.0</v>
      </c>
      <c r="C24" s="331"/>
      <c r="D24" s="44"/>
      <c r="E24" s="44"/>
      <c r="F24" s="47"/>
      <c r="G24" s="47"/>
      <c r="H24" s="47"/>
      <c r="I24" s="26"/>
      <c r="J24" s="323" t="str">
        <f t="shared" ref="J24:CM24" si="32">IF(AND($I24="Yes",J$2=$H24),"♦","")</f>
        <v/>
      </c>
      <c r="K24" s="323" t="str">
        <f t="shared" si="32"/>
        <v/>
      </c>
      <c r="L24" s="323" t="str">
        <f t="shared" si="32"/>
        <v/>
      </c>
      <c r="M24" s="323" t="str">
        <f t="shared" si="32"/>
        <v/>
      </c>
      <c r="N24" s="323" t="str">
        <f t="shared" si="32"/>
        <v/>
      </c>
      <c r="O24" s="323" t="str">
        <f t="shared" si="32"/>
        <v/>
      </c>
      <c r="P24" s="323" t="str">
        <f t="shared" si="32"/>
        <v/>
      </c>
      <c r="Q24" s="323" t="str">
        <f t="shared" si="32"/>
        <v/>
      </c>
      <c r="R24" s="323" t="str">
        <f t="shared" si="32"/>
        <v/>
      </c>
      <c r="S24" s="323" t="str">
        <f t="shared" si="32"/>
        <v/>
      </c>
      <c r="T24" s="323" t="str">
        <f t="shared" si="32"/>
        <v/>
      </c>
      <c r="U24" s="323" t="str">
        <f t="shared" si="32"/>
        <v/>
      </c>
      <c r="V24" s="323" t="str">
        <f t="shared" si="32"/>
        <v/>
      </c>
      <c r="W24" s="323" t="str">
        <f t="shared" si="32"/>
        <v/>
      </c>
      <c r="X24" s="323" t="str">
        <f t="shared" si="32"/>
        <v/>
      </c>
      <c r="Y24" s="323" t="str">
        <f t="shared" si="32"/>
        <v/>
      </c>
      <c r="Z24" s="323" t="str">
        <f t="shared" si="32"/>
        <v/>
      </c>
      <c r="AA24" s="323" t="str">
        <f t="shared" si="32"/>
        <v/>
      </c>
      <c r="AB24" s="323" t="str">
        <f t="shared" si="32"/>
        <v/>
      </c>
      <c r="AC24" s="323" t="str">
        <f t="shared" si="32"/>
        <v/>
      </c>
      <c r="AD24" s="323" t="str">
        <f t="shared" si="32"/>
        <v/>
      </c>
      <c r="AE24" s="323" t="str">
        <f t="shared" si="32"/>
        <v/>
      </c>
      <c r="AF24" s="323" t="str">
        <f t="shared" si="32"/>
        <v/>
      </c>
      <c r="AG24" s="323" t="str">
        <f t="shared" si="32"/>
        <v/>
      </c>
      <c r="AH24" s="323" t="str">
        <f t="shared" si="32"/>
        <v/>
      </c>
      <c r="AI24" s="323" t="str">
        <f t="shared" si="32"/>
        <v/>
      </c>
      <c r="AJ24" s="323" t="str">
        <f t="shared" si="32"/>
        <v/>
      </c>
      <c r="AK24" s="323" t="str">
        <f t="shared" si="32"/>
        <v/>
      </c>
      <c r="AL24" s="323" t="str">
        <f t="shared" si="32"/>
        <v/>
      </c>
      <c r="AM24" s="323" t="str">
        <f t="shared" si="32"/>
        <v/>
      </c>
      <c r="AN24" s="323" t="str">
        <f t="shared" si="32"/>
        <v/>
      </c>
      <c r="AO24" s="323" t="str">
        <f t="shared" si="32"/>
        <v/>
      </c>
      <c r="AP24" s="323" t="str">
        <f t="shared" si="32"/>
        <v/>
      </c>
      <c r="AQ24" s="323" t="str">
        <f t="shared" si="32"/>
        <v/>
      </c>
      <c r="AR24" s="323" t="str">
        <f t="shared" si="32"/>
        <v/>
      </c>
      <c r="AS24" s="323" t="str">
        <f t="shared" si="32"/>
        <v/>
      </c>
      <c r="AT24" s="323" t="str">
        <f t="shared" si="32"/>
        <v/>
      </c>
      <c r="AU24" s="323" t="str">
        <f t="shared" si="32"/>
        <v/>
      </c>
      <c r="AV24" s="323" t="str">
        <f t="shared" si="32"/>
        <v/>
      </c>
      <c r="AW24" s="323" t="str">
        <f t="shared" si="32"/>
        <v/>
      </c>
      <c r="AX24" s="323" t="str">
        <f t="shared" si="32"/>
        <v/>
      </c>
      <c r="AY24" s="323" t="str">
        <f t="shared" si="32"/>
        <v/>
      </c>
      <c r="AZ24" s="323" t="str">
        <f t="shared" si="32"/>
        <v/>
      </c>
      <c r="BA24" s="323" t="str">
        <f t="shared" si="32"/>
        <v/>
      </c>
      <c r="BB24" s="323" t="str">
        <f t="shared" si="32"/>
        <v/>
      </c>
      <c r="BC24" s="323" t="str">
        <f t="shared" si="32"/>
        <v/>
      </c>
      <c r="BD24" s="323" t="str">
        <f t="shared" si="32"/>
        <v/>
      </c>
      <c r="BE24" s="323" t="str">
        <f t="shared" si="32"/>
        <v/>
      </c>
      <c r="BF24" s="323" t="str">
        <f t="shared" si="32"/>
        <v/>
      </c>
      <c r="BG24" s="323" t="str">
        <f t="shared" si="32"/>
        <v/>
      </c>
      <c r="BH24" s="323" t="str">
        <f t="shared" si="32"/>
        <v/>
      </c>
      <c r="BI24" s="323" t="str">
        <f t="shared" si="32"/>
        <v/>
      </c>
      <c r="BJ24" s="323" t="str">
        <f t="shared" si="32"/>
        <v/>
      </c>
      <c r="BK24" s="323" t="str">
        <f t="shared" si="32"/>
        <v/>
      </c>
      <c r="BL24" s="323" t="str">
        <f t="shared" si="32"/>
        <v/>
      </c>
      <c r="BM24" s="323" t="str">
        <f t="shared" si="32"/>
        <v/>
      </c>
      <c r="BN24" s="323" t="str">
        <f t="shared" si="32"/>
        <v/>
      </c>
      <c r="BO24" s="323" t="str">
        <f t="shared" si="32"/>
        <v/>
      </c>
      <c r="BP24" s="323" t="str">
        <f t="shared" si="32"/>
        <v/>
      </c>
      <c r="BQ24" s="323" t="str">
        <f t="shared" si="32"/>
        <v/>
      </c>
      <c r="BR24" s="323" t="str">
        <f t="shared" si="32"/>
        <v/>
      </c>
      <c r="BS24" s="323" t="str">
        <f t="shared" si="32"/>
        <v/>
      </c>
      <c r="BT24" s="323" t="str">
        <f t="shared" si="32"/>
        <v/>
      </c>
      <c r="BU24" s="323" t="str">
        <f t="shared" si="32"/>
        <v/>
      </c>
      <c r="BV24" s="323" t="str">
        <f t="shared" si="32"/>
        <v/>
      </c>
      <c r="BW24" s="323" t="str">
        <f t="shared" si="32"/>
        <v/>
      </c>
      <c r="BX24" s="323" t="str">
        <f t="shared" si="32"/>
        <v/>
      </c>
      <c r="BY24" s="323" t="str">
        <f t="shared" si="32"/>
        <v/>
      </c>
      <c r="BZ24" s="323" t="str">
        <f t="shared" si="32"/>
        <v/>
      </c>
      <c r="CA24" s="323" t="str">
        <f t="shared" si="32"/>
        <v/>
      </c>
      <c r="CB24" s="323" t="str">
        <f t="shared" si="32"/>
        <v/>
      </c>
      <c r="CC24" s="323" t="str">
        <f t="shared" si="32"/>
        <v/>
      </c>
      <c r="CD24" s="323" t="str">
        <f t="shared" si="32"/>
        <v/>
      </c>
      <c r="CE24" s="323" t="str">
        <f t="shared" si="32"/>
        <v/>
      </c>
      <c r="CF24" s="323" t="str">
        <f t="shared" si="32"/>
        <v/>
      </c>
      <c r="CG24" s="323" t="str">
        <f t="shared" si="32"/>
        <v/>
      </c>
      <c r="CH24" s="323" t="str">
        <f t="shared" si="32"/>
        <v/>
      </c>
      <c r="CI24" s="323" t="str">
        <f t="shared" si="32"/>
        <v/>
      </c>
      <c r="CJ24" s="323" t="str">
        <f t="shared" si="32"/>
        <v/>
      </c>
      <c r="CK24" s="323" t="str">
        <f t="shared" si="32"/>
        <v/>
      </c>
      <c r="CL24" s="323" t="str">
        <f t="shared" si="32"/>
        <v/>
      </c>
      <c r="CM24" s="323" t="str">
        <f t="shared" si="32"/>
        <v/>
      </c>
      <c r="CN24" s="323"/>
      <c r="CO24" s="323"/>
      <c r="CP24" s="323" t="str">
        <f t="shared" si="16"/>
        <v/>
      </c>
      <c r="CQ24" s="323"/>
      <c r="CR24" s="323"/>
      <c r="CS24" s="323"/>
      <c r="CT24" s="323"/>
      <c r="CU24" s="323"/>
      <c r="CV24" s="323"/>
      <c r="CW24" s="323"/>
      <c r="CX24" s="323"/>
      <c r="CY24" s="323"/>
      <c r="CZ24" s="323"/>
      <c r="DA24" s="323"/>
      <c r="DB24" s="323"/>
      <c r="DC24" s="323"/>
      <c r="DD24" s="323"/>
      <c r="DE24" s="323"/>
      <c r="DF24" s="323"/>
      <c r="DG24" s="323"/>
      <c r="DH24" s="323"/>
      <c r="DI24" s="323"/>
      <c r="DJ24" s="323"/>
      <c r="DK24" s="323"/>
      <c r="DL24" s="323"/>
      <c r="DM24" s="323"/>
      <c r="DN24" s="323"/>
      <c r="DO24" s="323"/>
      <c r="DP24" s="323"/>
      <c r="DQ24" s="323"/>
      <c r="DR24" s="323"/>
      <c r="DS24" s="323"/>
      <c r="DT24" s="323"/>
      <c r="DU24" s="323"/>
      <c r="DV24" s="323"/>
      <c r="DW24" s="323"/>
      <c r="DX24" s="323"/>
      <c r="DY24" s="323"/>
      <c r="DZ24" s="323"/>
      <c r="EA24" s="323"/>
      <c r="EB24" s="323"/>
      <c r="EC24" s="323"/>
      <c r="ED24" s="323"/>
      <c r="EE24" s="323"/>
      <c r="EF24" s="323"/>
      <c r="EG24" s="323"/>
      <c r="EH24" s="323"/>
      <c r="EI24" s="323"/>
      <c r="EJ24" s="323"/>
      <c r="EK24" s="323"/>
      <c r="EL24" s="323"/>
      <c r="EM24" s="323"/>
      <c r="EN24" s="323"/>
      <c r="EO24" s="323"/>
      <c r="EP24" s="323"/>
      <c r="EQ24" s="323"/>
      <c r="ER24" s="323"/>
      <c r="ES24" s="323"/>
      <c r="ET24" s="323"/>
      <c r="EU24" s="323"/>
      <c r="EV24" s="323"/>
      <c r="EW24" s="323"/>
      <c r="EX24" s="323"/>
      <c r="EY24" s="323"/>
      <c r="EZ24" s="323"/>
      <c r="FA24" s="323"/>
      <c r="FB24" s="323"/>
      <c r="FC24" s="323"/>
      <c r="FD24" s="323"/>
      <c r="FE24" s="323"/>
      <c r="FF24" s="323"/>
      <c r="FG24" s="323"/>
      <c r="FH24" s="323"/>
      <c r="FI24" s="323"/>
      <c r="FJ24" s="323"/>
      <c r="FK24" s="323"/>
      <c r="FL24" s="323"/>
      <c r="FM24" s="323"/>
      <c r="FN24" s="323"/>
      <c r="FO24" s="323"/>
      <c r="FP24" s="323"/>
      <c r="FQ24" s="323"/>
      <c r="FR24" s="323"/>
      <c r="FS24" s="323"/>
      <c r="FT24" s="323"/>
      <c r="FU24" s="323"/>
      <c r="FV24" s="323"/>
      <c r="FW24" s="323"/>
      <c r="FX24" s="323"/>
    </row>
    <row r="25" ht="15.75" customHeight="1">
      <c r="A25" s="44">
        <v>20.0</v>
      </c>
      <c r="C25" s="331"/>
      <c r="D25" s="44"/>
      <c r="E25" s="44"/>
      <c r="F25" s="47"/>
      <c r="G25" s="47"/>
      <c r="H25" s="47"/>
      <c r="I25" s="26"/>
      <c r="J25" s="323" t="str">
        <f t="shared" ref="J25:CM25" si="33">IF(AND($I25="Yes",J$2=$H25),"♦","")</f>
        <v/>
      </c>
      <c r="K25" s="323" t="str">
        <f t="shared" si="33"/>
        <v/>
      </c>
      <c r="L25" s="323" t="str">
        <f t="shared" si="33"/>
        <v/>
      </c>
      <c r="M25" s="323" t="str">
        <f t="shared" si="33"/>
        <v/>
      </c>
      <c r="N25" s="323" t="str">
        <f t="shared" si="33"/>
        <v/>
      </c>
      <c r="O25" s="323" t="str">
        <f t="shared" si="33"/>
        <v/>
      </c>
      <c r="P25" s="323" t="str">
        <f t="shared" si="33"/>
        <v/>
      </c>
      <c r="Q25" s="323" t="str">
        <f t="shared" si="33"/>
        <v/>
      </c>
      <c r="R25" s="323" t="str">
        <f t="shared" si="33"/>
        <v/>
      </c>
      <c r="S25" s="323" t="str">
        <f t="shared" si="33"/>
        <v/>
      </c>
      <c r="T25" s="323" t="str">
        <f t="shared" si="33"/>
        <v/>
      </c>
      <c r="U25" s="323" t="str">
        <f t="shared" si="33"/>
        <v/>
      </c>
      <c r="V25" s="323" t="str">
        <f t="shared" si="33"/>
        <v/>
      </c>
      <c r="W25" s="323" t="str">
        <f t="shared" si="33"/>
        <v/>
      </c>
      <c r="X25" s="323" t="str">
        <f t="shared" si="33"/>
        <v/>
      </c>
      <c r="Y25" s="323" t="str">
        <f t="shared" si="33"/>
        <v/>
      </c>
      <c r="Z25" s="323" t="str">
        <f t="shared" si="33"/>
        <v/>
      </c>
      <c r="AA25" s="323" t="str">
        <f t="shared" si="33"/>
        <v/>
      </c>
      <c r="AB25" s="323" t="str">
        <f t="shared" si="33"/>
        <v/>
      </c>
      <c r="AC25" s="323" t="str">
        <f t="shared" si="33"/>
        <v/>
      </c>
      <c r="AD25" s="323" t="str">
        <f t="shared" si="33"/>
        <v/>
      </c>
      <c r="AE25" s="323" t="str">
        <f t="shared" si="33"/>
        <v/>
      </c>
      <c r="AF25" s="323" t="str">
        <f t="shared" si="33"/>
        <v/>
      </c>
      <c r="AG25" s="323" t="str">
        <f t="shared" si="33"/>
        <v/>
      </c>
      <c r="AH25" s="323" t="str">
        <f t="shared" si="33"/>
        <v/>
      </c>
      <c r="AI25" s="323" t="str">
        <f t="shared" si="33"/>
        <v/>
      </c>
      <c r="AJ25" s="323" t="str">
        <f t="shared" si="33"/>
        <v/>
      </c>
      <c r="AK25" s="323" t="str">
        <f t="shared" si="33"/>
        <v/>
      </c>
      <c r="AL25" s="323" t="str">
        <f t="shared" si="33"/>
        <v/>
      </c>
      <c r="AM25" s="323" t="str">
        <f t="shared" si="33"/>
        <v/>
      </c>
      <c r="AN25" s="323" t="str">
        <f t="shared" si="33"/>
        <v/>
      </c>
      <c r="AO25" s="323" t="str">
        <f t="shared" si="33"/>
        <v/>
      </c>
      <c r="AP25" s="323" t="str">
        <f t="shared" si="33"/>
        <v/>
      </c>
      <c r="AQ25" s="323" t="str">
        <f t="shared" si="33"/>
        <v/>
      </c>
      <c r="AR25" s="323" t="str">
        <f t="shared" si="33"/>
        <v/>
      </c>
      <c r="AS25" s="323" t="str">
        <f t="shared" si="33"/>
        <v/>
      </c>
      <c r="AT25" s="323" t="str">
        <f t="shared" si="33"/>
        <v/>
      </c>
      <c r="AU25" s="323" t="str">
        <f t="shared" si="33"/>
        <v/>
      </c>
      <c r="AV25" s="323" t="str">
        <f t="shared" si="33"/>
        <v/>
      </c>
      <c r="AW25" s="323" t="str">
        <f t="shared" si="33"/>
        <v/>
      </c>
      <c r="AX25" s="323" t="str">
        <f t="shared" si="33"/>
        <v/>
      </c>
      <c r="AY25" s="323" t="str">
        <f t="shared" si="33"/>
        <v/>
      </c>
      <c r="AZ25" s="323" t="str">
        <f t="shared" si="33"/>
        <v/>
      </c>
      <c r="BA25" s="323" t="str">
        <f t="shared" si="33"/>
        <v/>
      </c>
      <c r="BB25" s="323" t="str">
        <f t="shared" si="33"/>
        <v/>
      </c>
      <c r="BC25" s="323" t="str">
        <f t="shared" si="33"/>
        <v/>
      </c>
      <c r="BD25" s="323" t="str">
        <f t="shared" si="33"/>
        <v/>
      </c>
      <c r="BE25" s="323" t="str">
        <f t="shared" si="33"/>
        <v/>
      </c>
      <c r="BF25" s="323" t="str">
        <f t="shared" si="33"/>
        <v/>
      </c>
      <c r="BG25" s="323" t="str">
        <f t="shared" si="33"/>
        <v/>
      </c>
      <c r="BH25" s="323" t="str">
        <f t="shared" si="33"/>
        <v/>
      </c>
      <c r="BI25" s="323" t="str">
        <f t="shared" si="33"/>
        <v/>
      </c>
      <c r="BJ25" s="323" t="str">
        <f t="shared" si="33"/>
        <v/>
      </c>
      <c r="BK25" s="323" t="str">
        <f t="shared" si="33"/>
        <v/>
      </c>
      <c r="BL25" s="323" t="str">
        <f t="shared" si="33"/>
        <v/>
      </c>
      <c r="BM25" s="323" t="str">
        <f t="shared" si="33"/>
        <v/>
      </c>
      <c r="BN25" s="323" t="str">
        <f t="shared" si="33"/>
        <v/>
      </c>
      <c r="BO25" s="323" t="str">
        <f t="shared" si="33"/>
        <v/>
      </c>
      <c r="BP25" s="323" t="str">
        <f t="shared" si="33"/>
        <v/>
      </c>
      <c r="BQ25" s="323" t="str">
        <f t="shared" si="33"/>
        <v/>
      </c>
      <c r="BR25" s="323" t="str">
        <f t="shared" si="33"/>
        <v/>
      </c>
      <c r="BS25" s="323" t="str">
        <f t="shared" si="33"/>
        <v/>
      </c>
      <c r="BT25" s="323" t="str">
        <f t="shared" si="33"/>
        <v/>
      </c>
      <c r="BU25" s="323" t="str">
        <f t="shared" si="33"/>
        <v/>
      </c>
      <c r="BV25" s="323" t="str">
        <f t="shared" si="33"/>
        <v/>
      </c>
      <c r="BW25" s="323" t="str">
        <f t="shared" si="33"/>
        <v/>
      </c>
      <c r="BX25" s="323" t="str">
        <f t="shared" si="33"/>
        <v/>
      </c>
      <c r="BY25" s="323" t="str">
        <f t="shared" si="33"/>
        <v/>
      </c>
      <c r="BZ25" s="323" t="str">
        <f t="shared" si="33"/>
        <v/>
      </c>
      <c r="CA25" s="323" t="str">
        <f t="shared" si="33"/>
        <v/>
      </c>
      <c r="CB25" s="323" t="str">
        <f t="shared" si="33"/>
        <v/>
      </c>
      <c r="CC25" s="323" t="str">
        <f t="shared" si="33"/>
        <v/>
      </c>
      <c r="CD25" s="323" t="str">
        <f t="shared" si="33"/>
        <v/>
      </c>
      <c r="CE25" s="323" t="str">
        <f t="shared" si="33"/>
        <v/>
      </c>
      <c r="CF25" s="323" t="str">
        <f t="shared" si="33"/>
        <v/>
      </c>
      <c r="CG25" s="323" t="str">
        <f t="shared" si="33"/>
        <v/>
      </c>
      <c r="CH25" s="323" t="str">
        <f t="shared" si="33"/>
        <v/>
      </c>
      <c r="CI25" s="323" t="str">
        <f t="shared" si="33"/>
        <v/>
      </c>
      <c r="CJ25" s="323" t="str">
        <f t="shared" si="33"/>
        <v/>
      </c>
      <c r="CK25" s="323" t="str">
        <f t="shared" si="33"/>
        <v/>
      </c>
      <c r="CL25" s="323" t="str">
        <f t="shared" si="33"/>
        <v/>
      </c>
      <c r="CM25" s="323" t="str">
        <f t="shared" si="33"/>
        <v/>
      </c>
      <c r="CN25" s="323"/>
      <c r="CO25" s="323"/>
      <c r="CP25" s="323" t="str">
        <f t="shared" si="16"/>
        <v/>
      </c>
      <c r="CQ25" s="323"/>
      <c r="CR25" s="323"/>
      <c r="CS25" s="323"/>
      <c r="CT25" s="323"/>
      <c r="CU25" s="323"/>
      <c r="CV25" s="323"/>
      <c r="CW25" s="323"/>
      <c r="CX25" s="323"/>
      <c r="CY25" s="323"/>
      <c r="CZ25" s="323"/>
      <c r="DA25" s="323"/>
      <c r="DB25" s="323"/>
      <c r="DC25" s="323"/>
      <c r="DD25" s="323"/>
      <c r="DE25" s="323"/>
      <c r="DF25" s="323"/>
      <c r="DG25" s="323"/>
      <c r="DH25" s="323"/>
      <c r="DI25" s="323"/>
      <c r="DJ25" s="323"/>
      <c r="DK25" s="323"/>
      <c r="DL25" s="323"/>
      <c r="DM25" s="323"/>
      <c r="DN25" s="323"/>
      <c r="DO25" s="323"/>
      <c r="DP25" s="323"/>
      <c r="DQ25" s="323"/>
      <c r="DR25" s="323"/>
      <c r="DS25" s="323"/>
      <c r="DT25" s="323"/>
      <c r="DU25" s="323"/>
      <c r="DV25" s="323"/>
      <c r="DW25" s="323"/>
      <c r="DX25" s="323"/>
      <c r="DY25" s="323"/>
      <c r="DZ25" s="323"/>
      <c r="EA25" s="323"/>
      <c r="EB25" s="323"/>
      <c r="EC25" s="323"/>
      <c r="ED25" s="323"/>
      <c r="EE25" s="323"/>
      <c r="EF25" s="323"/>
      <c r="EG25" s="323"/>
      <c r="EH25" s="323"/>
      <c r="EI25" s="323"/>
      <c r="EJ25" s="323"/>
      <c r="EK25" s="323"/>
      <c r="EL25" s="323"/>
      <c r="EM25" s="323"/>
      <c r="EN25" s="323"/>
      <c r="EO25" s="323"/>
      <c r="EP25" s="323"/>
      <c r="EQ25" s="323"/>
      <c r="ER25" s="323"/>
      <c r="ES25" s="323"/>
      <c r="ET25" s="323"/>
      <c r="EU25" s="323"/>
      <c r="EV25" s="323"/>
      <c r="EW25" s="323"/>
      <c r="EX25" s="323"/>
      <c r="EY25" s="323"/>
      <c r="EZ25" s="323"/>
      <c r="FA25" s="323"/>
      <c r="FB25" s="323"/>
      <c r="FC25" s="323"/>
      <c r="FD25" s="323"/>
      <c r="FE25" s="323"/>
      <c r="FF25" s="323"/>
      <c r="FG25" s="323"/>
      <c r="FH25" s="323"/>
      <c r="FI25" s="323"/>
      <c r="FJ25" s="323"/>
      <c r="FK25" s="323"/>
      <c r="FL25" s="323"/>
      <c r="FM25" s="323"/>
      <c r="FN25" s="323"/>
      <c r="FO25" s="323"/>
      <c r="FP25" s="323"/>
      <c r="FQ25" s="323"/>
      <c r="FR25" s="323"/>
      <c r="FS25" s="323"/>
      <c r="FT25" s="323"/>
      <c r="FU25" s="323"/>
      <c r="FV25" s="323"/>
      <c r="FW25" s="323"/>
      <c r="FX25" s="323"/>
    </row>
    <row r="26" ht="15.75" customHeight="1">
      <c r="A26" s="44">
        <v>21.0</v>
      </c>
      <c r="C26" s="331"/>
      <c r="D26" s="44"/>
      <c r="E26" s="44"/>
      <c r="F26" s="47"/>
      <c r="G26" s="47"/>
      <c r="H26" s="47"/>
      <c r="I26" s="26"/>
      <c r="J26" s="323" t="str">
        <f t="shared" ref="J26:CM26" si="34">IF(AND($I26="Yes",J$2=$H26),"♦","")</f>
        <v/>
      </c>
      <c r="K26" s="323" t="str">
        <f t="shared" si="34"/>
        <v/>
      </c>
      <c r="L26" s="323" t="str">
        <f t="shared" si="34"/>
        <v/>
      </c>
      <c r="M26" s="323" t="str">
        <f t="shared" si="34"/>
        <v/>
      </c>
      <c r="N26" s="323" t="str">
        <f t="shared" si="34"/>
        <v/>
      </c>
      <c r="O26" s="323" t="str">
        <f t="shared" si="34"/>
        <v/>
      </c>
      <c r="P26" s="323" t="str">
        <f t="shared" si="34"/>
        <v/>
      </c>
      <c r="Q26" s="323" t="str">
        <f t="shared" si="34"/>
        <v/>
      </c>
      <c r="R26" s="323" t="str">
        <f t="shared" si="34"/>
        <v/>
      </c>
      <c r="S26" s="323" t="str">
        <f t="shared" si="34"/>
        <v/>
      </c>
      <c r="T26" s="323" t="str">
        <f t="shared" si="34"/>
        <v/>
      </c>
      <c r="U26" s="323" t="str">
        <f t="shared" si="34"/>
        <v/>
      </c>
      <c r="V26" s="323" t="str">
        <f t="shared" si="34"/>
        <v/>
      </c>
      <c r="W26" s="323" t="str">
        <f t="shared" si="34"/>
        <v/>
      </c>
      <c r="X26" s="323" t="str">
        <f t="shared" si="34"/>
        <v/>
      </c>
      <c r="Y26" s="323" t="str">
        <f t="shared" si="34"/>
        <v/>
      </c>
      <c r="Z26" s="323" t="str">
        <f t="shared" si="34"/>
        <v/>
      </c>
      <c r="AA26" s="323" t="str">
        <f t="shared" si="34"/>
        <v/>
      </c>
      <c r="AB26" s="323" t="str">
        <f t="shared" si="34"/>
        <v/>
      </c>
      <c r="AC26" s="323" t="str">
        <f t="shared" si="34"/>
        <v/>
      </c>
      <c r="AD26" s="323" t="str">
        <f t="shared" si="34"/>
        <v/>
      </c>
      <c r="AE26" s="323" t="str">
        <f t="shared" si="34"/>
        <v/>
      </c>
      <c r="AF26" s="323" t="str">
        <f t="shared" si="34"/>
        <v/>
      </c>
      <c r="AG26" s="323" t="str">
        <f t="shared" si="34"/>
        <v/>
      </c>
      <c r="AH26" s="323" t="str">
        <f t="shared" si="34"/>
        <v/>
      </c>
      <c r="AI26" s="323" t="str">
        <f t="shared" si="34"/>
        <v/>
      </c>
      <c r="AJ26" s="323" t="str">
        <f t="shared" si="34"/>
        <v/>
      </c>
      <c r="AK26" s="323" t="str">
        <f t="shared" si="34"/>
        <v/>
      </c>
      <c r="AL26" s="323" t="str">
        <f t="shared" si="34"/>
        <v/>
      </c>
      <c r="AM26" s="323" t="str">
        <f t="shared" si="34"/>
        <v/>
      </c>
      <c r="AN26" s="323" t="str">
        <f t="shared" si="34"/>
        <v/>
      </c>
      <c r="AO26" s="323" t="str">
        <f t="shared" si="34"/>
        <v/>
      </c>
      <c r="AP26" s="323" t="str">
        <f t="shared" si="34"/>
        <v/>
      </c>
      <c r="AQ26" s="323" t="str">
        <f t="shared" si="34"/>
        <v/>
      </c>
      <c r="AR26" s="323" t="str">
        <f t="shared" si="34"/>
        <v/>
      </c>
      <c r="AS26" s="323" t="str">
        <f t="shared" si="34"/>
        <v/>
      </c>
      <c r="AT26" s="323" t="str">
        <f t="shared" si="34"/>
        <v/>
      </c>
      <c r="AU26" s="323" t="str">
        <f t="shared" si="34"/>
        <v/>
      </c>
      <c r="AV26" s="323" t="str">
        <f t="shared" si="34"/>
        <v/>
      </c>
      <c r="AW26" s="323" t="str">
        <f t="shared" si="34"/>
        <v/>
      </c>
      <c r="AX26" s="323" t="str">
        <f t="shared" si="34"/>
        <v/>
      </c>
      <c r="AY26" s="323" t="str">
        <f t="shared" si="34"/>
        <v/>
      </c>
      <c r="AZ26" s="323" t="str">
        <f t="shared" si="34"/>
        <v/>
      </c>
      <c r="BA26" s="323" t="str">
        <f t="shared" si="34"/>
        <v/>
      </c>
      <c r="BB26" s="323" t="str">
        <f t="shared" si="34"/>
        <v/>
      </c>
      <c r="BC26" s="323" t="str">
        <f t="shared" si="34"/>
        <v/>
      </c>
      <c r="BD26" s="323" t="str">
        <f t="shared" si="34"/>
        <v/>
      </c>
      <c r="BE26" s="323" t="str">
        <f t="shared" si="34"/>
        <v/>
      </c>
      <c r="BF26" s="323" t="str">
        <f t="shared" si="34"/>
        <v/>
      </c>
      <c r="BG26" s="323" t="str">
        <f t="shared" si="34"/>
        <v/>
      </c>
      <c r="BH26" s="323" t="str">
        <f t="shared" si="34"/>
        <v/>
      </c>
      <c r="BI26" s="323" t="str">
        <f t="shared" si="34"/>
        <v/>
      </c>
      <c r="BJ26" s="323" t="str">
        <f t="shared" si="34"/>
        <v/>
      </c>
      <c r="BK26" s="323" t="str">
        <f t="shared" si="34"/>
        <v/>
      </c>
      <c r="BL26" s="323" t="str">
        <f t="shared" si="34"/>
        <v/>
      </c>
      <c r="BM26" s="323" t="str">
        <f t="shared" si="34"/>
        <v/>
      </c>
      <c r="BN26" s="323" t="str">
        <f t="shared" si="34"/>
        <v/>
      </c>
      <c r="BO26" s="323" t="str">
        <f t="shared" si="34"/>
        <v/>
      </c>
      <c r="BP26" s="323" t="str">
        <f t="shared" si="34"/>
        <v/>
      </c>
      <c r="BQ26" s="323" t="str">
        <f t="shared" si="34"/>
        <v/>
      </c>
      <c r="BR26" s="323" t="str">
        <f t="shared" si="34"/>
        <v/>
      </c>
      <c r="BS26" s="323" t="str">
        <f t="shared" si="34"/>
        <v/>
      </c>
      <c r="BT26" s="323" t="str">
        <f t="shared" si="34"/>
        <v/>
      </c>
      <c r="BU26" s="323" t="str">
        <f t="shared" si="34"/>
        <v/>
      </c>
      <c r="BV26" s="323" t="str">
        <f t="shared" si="34"/>
        <v/>
      </c>
      <c r="BW26" s="323" t="str">
        <f t="shared" si="34"/>
        <v/>
      </c>
      <c r="BX26" s="323" t="str">
        <f t="shared" si="34"/>
        <v/>
      </c>
      <c r="BY26" s="323" t="str">
        <f t="shared" si="34"/>
        <v/>
      </c>
      <c r="BZ26" s="323" t="str">
        <f t="shared" si="34"/>
        <v/>
      </c>
      <c r="CA26" s="323" t="str">
        <f t="shared" si="34"/>
        <v/>
      </c>
      <c r="CB26" s="323" t="str">
        <f t="shared" si="34"/>
        <v/>
      </c>
      <c r="CC26" s="323" t="str">
        <f t="shared" si="34"/>
        <v/>
      </c>
      <c r="CD26" s="323" t="str">
        <f t="shared" si="34"/>
        <v/>
      </c>
      <c r="CE26" s="323" t="str">
        <f t="shared" si="34"/>
        <v/>
      </c>
      <c r="CF26" s="323" t="str">
        <f t="shared" si="34"/>
        <v/>
      </c>
      <c r="CG26" s="323" t="str">
        <f t="shared" si="34"/>
        <v/>
      </c>
      <c r="CH26" s="323" t="str">
        <f t="shared" si="34"/>
        <v/>
      </c>
      <c r="CI26" s="323" t="str">
        <f t="shared" si="34"/>
        <v/>
      </c>
      <c r="CJ26" s="323" t="str">
        <f t="shared" si="34"/>
        <v/>
      </c>
      <c r="CK26" s="323" t="str">
        <f t="shared" si="34"/>
        <v/>
      </c>
      <c r="CL26" s="323" t="str">
        <f t="shared" si="34"/>
        <v/>
      </c>
      <c r="CM26" s="323" t="str">
        <f t="shared" si="34"/>
        <v/>
      </c>
      <c r="CN26" s="323"/>
      <c r="CO26" s="323"/>
      <c r="CP26" s="323" t="str">
        <f t="shared" si="16"/>
        <v/>
      </c>
      <c r="CQ26" s="323"/>
      <c r="CR26" s="323"/>
      <c r="CS26" s="323"/>
      <c r="CT26" s="323"/>
      <c r="CU26" s="323"/>
      <c r="CV26" s="323"/>
      <c r="CW26" s="323"/>
      <c r="CX26" s="323"/>
      <c r="CY26" s="323"/>
      <c r="CZ26" s="323"/>
      <c r="DA26" s="323"/>
      <c r="DB26" s="323"/>
      <c r="DC26" s="323"/>
      <c r="DD26" s="323"/>
      <c r="DE26" s="323"/>
      <c r="DF26" s="323"/>
      <c r="DG26" s="323"/>
      <c r="DH26" s="323"/>
      <c r="DI26" s="323"/>
      <c r="DJ26" s="323"/>
      <c r="DK26" s="323"/>
      <c r="DL26" s="323"/>
      <c r="DM26" s="323"/>
      <c r="DN26" s="323"/>
      <c r="DO26" s="323"/>
      <c r="DP26" s="323"/>
      <c r="DQ26" s="323"/>
      <c r="DR26" s="323"/>
      <c r="DS26" s="323"/>
      <c r="DT26" s="323"/>
      <c r="DU26" s="323"/>
      <c r="DV26" s="323"/>
      <c r="DW26" s="323"/>
      <c r="DX26" s="323"/>
      <c r="DY26" s="323"/>
      <c r="DZ26" s="323"/>
      <c r="EA26" s="323"/>
      <c r="EB26" s="323"/>
      <c r="EC26" s="323"/>
      <c r="ED26" s="323"/>
      <c r="EE26" s="323"/>
      <c r="EF26" s="323"/>
      <c r="EG26" s="323"/>
      <c r="EH26" s="323"/>
      <c r="EI26" s="323"/>
      <c r="EJ26" s="323"/>
      <c r="EK26" s="323"/>
      <c r="EL26" s="323"/>
      <c r="EM26" s="323"/>
      <c r="EN26" s="323"/>
      <c r="EO26" s="323"/>
      <c r="EP26" s="323"/>
      <c r="EQ26" s="323"/>
      <c r="ER26" s="323"/>
      <c r="ES26" s="323"/>
      <c r="ET26" s="323"/>
      <c r="EU26" s="323"/>
      <c r="EV26" s="323"/>
      <c r="EW26" s="323"/>
      <c r="EX26" s="323"/>
      <c r="EY26" s="323"/>
      <c r="EZ26" s="323"/>
      <c r="FA26" s="323"/>
      <c r="FB26" s="323"/>
      <c r="FC26" s="323"/>
      <c r="FD26" s="323"/>
      <c r="FE26" s="323"/>
      <c r="FF26" s="323"/>
      <c r="FG26" s="323"/>
      <c r="FH26" s="323"/>
      <c r="FI26" s="323"/>
      <c r="FJ26" s="323"/>
      <c r="FK26" s="323"/>
      <c r="FL26" s="323"/>
      <c r="FM26" s="323"/>
      <c r="FN26" s="323"/>
      <c r="FO26" s="323"/>
      <c r="FP26" s="323"/>
      <c r="FQ26" s="323"/>
      <c r="FR26" s="323"/>
      <c r="FS26" s="323"/>
      <c r="FT26" s="323"/>
      <c r="FU26" s="323"/>
      <c r="FV26" s="323"/>
      <c r="FW26" s="323"/>
      <c r="FX26" s="323"/>
    </row>
    <row r="27" ht="15.75" customHeight="1">
      <c r="A27" s="44">
        <v>22.0</v>
      </c>
      <c r="C27" s="331"/>
      <c r="D27" s="44"/>
      <c r="E27" s="44"/>
      <c r="F27" s="47"/>
      <c r="G27" s="47"/>
      <c r="H27" s="47"/>
      <c r="I27" s="26"/>
      <c r="J27" s="323" t="str">
        <f t="shared" ref="J27:CM27" si="35">IF(AND($I27="Yes",J$2=$H27),"♦","")</f>
        <v/>
      </c>
      <c r="K27" s="323" t="str">
        <f t="shared" si="35"/>
        <v/>
      </c>
      <c r="L27" s="323" t="str">
        <f t="shared" si="35"/>
        <v/>
      </c>
      <c r="M27" s="323" t="str">
        <f t="shared" si="35"/>
        <v/>
      </c>
      <c r="N27" s="323" t="str">
        <f t="shared" si="35"/>
        <v/>
      </c>
      <c r="O27" s="323" t="str">
        <f t="shared" si="35"/>
        <v/>
      </c>
      <c r="P27" s="323" t="str">
        <f t="shared" si="35"/>
        <v/>
      </c>
      <c r="Q27" s="323" t="str">
        <f t="shared" si="35"/>
        <v/>
      </c>
      <c r="R27" s="323" t="str">
        <f t="shared" si="35"/>
        <v/>
      </c>
      <c r="S27" s="323" t="str">
        <f t="shared" si="35"/>
        <v/>
      </c>
      <c r="T27" s="323" t="str">
        <f t="shared" si="35"/>
        <v/>
      </c>
      <c r="U27" s="323" t="str">
        <f t="shared" si="35"/>
        <v/>
      </c>
      <c r="V27" s="323" t="str">
        <f t="shared" si="35"/>
        <v/>
      </c>
      <c r="W27" s="323" t="str">
        <f t="shared" si="35"/>
        <v/>
      </c>
      <c r="X27" s="323" t="str">
        <f t="shared" si="35"/>
        <v/>
      </c>
      <c r="Y27" s="323" t="str">
        <f t="shared" si="35"/>
        <v/>
      </c>
      <c r="Z27" s="323" t="str">
        <f t="shared" si="35"/>
        <v/>
      </c>
      <c r="AA27" s="323" t="str">
        <f t="shared" si="35"/>
        <v/>
      </c>
      <c r="AB27" s="323" t="str">
        <f t="shared" si="35"/>
        <v/>
      </c>
      <c r="AC27" s="323" t="str">
        <f t="shared" si="35"/>
        <v/>
      </c>
      <c r="AD27" s="323" t="str">
        <f t="shared" si="35"/>
        <v/>
      </c>
      <c r="AE27" s="323" t="str">
        <f t="shared" si="35"/>
        <v/>
      </c>
      <c r="AF27" s="323" t="str">
        <f t="shared" si="35"/>
        <v/>
      </c>
      <c r="AG27" s="323" t="str">
        <f t="shared" si="35"/>
        <v/>
      </c>
      <c r="AH27" s="323" t="str">
        <f t="shared" si="35"/>
        <v/>
      </c>
      <c r="AI27" s="323" t="str">
        <f t="shared" si="35"/>
        <v/>
      </c>
      <c r="AJ27" s="323" t="str">
        <f t="shared" si="35"/>
        <v/>
      </c>
      <c r="AK27" s="323" t="str">
        <f t="shared" si="35"/>
        <v/>
      </c>
      <c r="AL27" s="323" t="str">
        <f t="shared" si="35"/>
        <v/>
      </c>
      <c r="AM27" s="323" t="str">
        <f t="shared" si="35"/>
        <v/>
      </c>
      <c r="AN27" s="323" t="str">
        <f t="shared" si="35"/>
        <v/>
      </c>
      <c r="AO27" s="323" t="str">
        <f t="shared" si="35"/>
        <v/>
      </c>
      <c r="AP27" s="323" t="str">
        <f t="shared" si="35"/>
        <v/>
      </c>
      <c r="AQ27" s="323" t="str">
        <f t="shared" si="35"/>
        <v/>
      </c>
      <c r="AR27" s="323" t="str">
        <f t="shared" si="35"/>
        <v/>
      </c>
      <c r="AS27" s="323" t="str">
        <f t="shared" si="35"/>
        <v/>
      </c>
      <c r="AT27" s="323" t="str">
        <f t="shared" si="35"/>
        <v/>
      </c>
      <c r="AU27" s="323" t="str">
        <f t="shared" si="35"/>
        <v/>
      </c>
      <c r="AV27" s="323" t="str">
        <f t="shared" si="35"/>
        <v/>
      </c>
      <c r="AW27" s="323" t="str">
        <f t="shared" si="35"/>
        <v/>
      </c>
      <c r="AX27" s="323" t="str">
        <f t="shared" si="35"/>
        <v/>
      </c>
      <c r="AY27" s="323" t="str">
        <f t="shared" si="35"/>
        <v/>
      </c>
      <c r="AZ27" s="323" t="str">
        <f t="shared" si="35"/>
        <v/>
      </c>
      <c r="BA27" s="323" t="str">
        <f t="shared" si="35"/>
        <v/>
      </c>
      <c r="BB27" s="323" t="str">
        <f t="shared" si="35"/>
        <v/>
      </c>
      <c r="BC27" s="323" t="str">
        <f t="shared" si="35"/>
        <v/>
      </c>
      <c r="BD27" s="323" t="str">
        <f t="shared" si="35"/>
        <v/>
      </c>
      <c r="BE27" s="323" t="str">
        <f t="shared" si="35"/>
        <v/>
      </c>
      <c r="BF27" s="323" t="str">
        <f t="shared" si="35"/>
        <v/>
      </c>
      <c r="BG27" s="323" t="str">
        <f t="shared" si="35"/>
        <v/>
      </c>
      <c r="BH27" s="323" t="str">
        <f t="shared" si="35"/>
        <v/>
      </c>
      <c r="BI27" s="323" t="str">
        <f t="shared" si="35"/>
        <v/>
      </c>
      <c r="BJ27" s="323" t="str">
        <f t="shared" si="35"/>
        <v/>
      </c>
      <c r="BK27" s="323" t="str">
        <f t="shared" si="35"/>
        <v/>
      </c>
      <c r="BL27" s="323" t="str">
        <f t="shared" si="35"/>
        <v/>
      </c>
      <c r="BM27" s="323" t="str">
        <f t="shared" si="35"/>
        <v/>
      </c>
      <c r="BN27" s="323" t="str">
        <f t="shared" si="35"/>
        <v/>
      </c>
      <c r="BO27" s="323" t="str">
        <f t="shared" si="35"/>
        <v/>
      </c>
      <c r="BP27" s="323" t="str">
        <f t="shared" si="35"/>
        <v/>
      </c>
      <c r="BQ27" s="323" t="str">
        <f t="shared" si="35"/>
        <v/>
      </c>
      <c r="BR27" s="323" t="str">
        <f t="shared" si="35"/>
        <v/>
      </c>
      <c r="BS27" s="323" t="str">
        <f t="shared" si="35"/>
        <v/>
      </c>
      <c r="BT27" s="323" t="str">
        <f t="shared" si="35"/>
        <v/>
      </c>
      <c r="BU27" s="323" t="str">
        <f t="shared" si="35"/>
        <v/>
      </c>
      <c r="BV27" s="323" t="str">
        <f t="shared" si="35"/>
        <v/>
      </c>
      <c r="BW27" s="323" t="str">
        <f t="shared" si="35"/>
        <v/>
      </c>
      <c r="BX27" s="323" t="str">
        <f t="shared" si="35"/>
        <v/>
      </c>
      <c r="BY27" s="323" t="str">
        <f t="shared" si="35"/>
        <v/>
      </c>
      <c r="BZ27" s="323" t="str">
        <f t="shared" si="35"/>
        <v/>
      </c>
      <c r="CA27" s="323" t="str">
        <f t="shared" si="35"/>
        <v/>
      </c>
      <c r="CB27" s="323" t="str">
        <f t="shared" si="35"/>
        <v/>
      </c>
      <c r="CC27" s="323" t="str">
        <f t="shared" si="35"/>
        <v/>
      </c>
      <c r="CD27" s="323" t="str">
        <f t="shared" si="35"/>
        <v/>
      </c>
      <c r="CE27" s="323" t="str">
        <f t="shared" si="35"/>
        <v/>
      </c>
      <c r="CF27" s="323" t="str">
        <f t="shared" si="35"/>
        <v/>
      </c>
      <c r="CG27" s="323" t="str">
        <f t="shared" si="35"/>
        <v/>
      </c>
      <c r="CH27" s="323" t="str">
        <f t="shared" si="35"/>
        <v/>
      </c>
      <c r="CI27" s="323" t="str">
        <f t="shared" si="35"/>
        <v/>
      </c>
      <c r="CJ27" s="323" t="str">
        <f t="shared" si="35"/>
        <v/>
      </c>
      <c r="CK27" s="323" t="str">
        <f t="shared" si="35"/>
        <v/>
      </c>
      <c r="CL27" s="323" t="str">
        <f t="shared" si="35"/>
        <v/>
      </c>
      <c r="CM27" s="323" t="str">
        <f t="shared" si="35"/>
        <v/>
      </c>
      <c r="CN27" s="323"/>
      <c r="CO27" s="323"/>
      <c r="CP27" s="323" t="str">
        <f t="shared" si="16"/>
        <v/>
      </c>
      <c r="CQ27" s="323"/>
      <c r="CR27" s="323"/>
      <c r="CS27" s="323"/>
      <c r="CT27" s="323"/>
      <c r="CU27" s="323"/>
      <c r="CV27" s="323"/>
      <c r="CW27" s="323"/>
      <c r="CX27" s="323"/>
      <c r="CY27" s="323"/>
      <c r="CZ27" s="323"/>
      <c r="DA27" s="323"/>
      <c r="DB27" s="323"/>
      <c r="DC27" s="323"/>
      <c r="DD27" s="323"/>
      <c r="DE27" s="323"/>
      <c r="DF27" s="323"/>
      <c r="DG27" s="323"/>
      <c r="DH27" s="323"/>
      <c r="DI27" s="323"/>
      <c r="DJ27" s="323"/>
      <c r="DK27" s="323"/>
      <c r="DL27" s="323"/>
      <c r="DM27" s="323"/>
      <c r="DN27" s="323"/>
      <c r="DO27" s="323"/>
      <c r="DP27" s="323"/>
      <c r="DQ27" s="323"/>
      <c r="DR27" s="323"/>
      <c r="DS27" s="323"/>
      <c r="DT27" s="323"/>
      <c r="DU27" s="323"/>
      <c r="DV27" s="323"/>
      <c r="DW27" s="323"/>
      <c r="DX27" s="323"/>
      <c r="DY27" s="323"/>
      <c r="DZ27" s="323"/>
      <c r="EA27" s="323"/>
      <c r="EB27" s="323"/>
      <c r="EC27" s="323"/>
      <c r="ED27" s="323"/>
      <c r="EE27" s="323"/>
      <c r="EF27" s="323"/>
      <c r="EG27" s="323"/>
      <c r="EH27" s="323"/>
      <c r="EI27" s="323"/>
      <c r="EJ27" s="323"/>
      <c r="EK27" s="323"/>
      <c r="EL27" s="323"/>
      <c r="EM27" s="323"/>
      <c r="EN27" s="323"/>
      <c r="EO27" s="323"/>
      <c r="EP27" s="323"/>
      <c r="EQ27" s="323"/>
      <c r="ER27" s="323"/>
      <c r="ES27" s="323"/>
      <c r="ET27" s="323"/>
      <c r="EU27" s="323"/>
      <c r="EV27" s="323"/>
      <c r="EW27" s="323"/>
      <c r="EX27" s="323"/>
      <c r="EY27" s="323"/>
      <c r="EZ27" s="323"/>
      <c r="FA27" s="323"/>
      <c r="FB27" s="323"/>
      <c r="FC27" s="323"/>
      <c r="FD27" s="323"/>
      <c r="FE27" s="323"/>
      <c r="FF27" s="323"/>
      <c r="FG27" s="323"/>
      <c r="FH27" s="323"/>
      <c r="FI27" s="323"/>
      <c r="FJ27" s="323"/>
      <c r="FK27" s="323"/>
      <c r="FL27" s="323"/>
      <c r="FM27" s="323"/>
      <c r="FN27" s="323"/>
      <c r="FO27" s="323"/>
      <c r="FP27" s="323"/>
      <c r="FQ27" s="323"/>
      <c r="FR27" s="323"/>
      <c r="FS27" s="323"/>
      <c r="FT27" s="323"/>
      <c r="FU27" s="323"/>
      <c r="FV27" s="323"/>
      <c r="FW27" s="323"/>
      <c r="FX27" s="323"/>
    </row>
    <row r="28" ht="15.75" customHeight="1">
      <c r="A28" s="44">
        <v>23.0</v>
      </c>
      <c r="C28" s="331"/>
      <c r="D28" s="44"/>
      <c r="E28" s="44"/>
      <c r="F28" s="47"/>
      <c r="G28" s="47"/>
      <c r="H28" s="47"/>
      <c r="I28" s="26"/>
      <c r="J28" s="323" t="str">
        <f t="shared" ref="J28:CM28" si="36">IF(AND($I28="Yes",J$2=$H28),"♦","")</f>
        <v/>
      </c>
      <c r="K28" s="323" t="str">
        <f t="shared" si="36"/>
        <v/>
      </c>
      <c r="L28" s="323" t="str">
        <f t="shared" si="36"/>
        <v/>
      </c>
      <c r="M28" s="323" t="str">
        <f t="shared" si="36"/>
        <v/>
      </c>
      <c r="N28" s="323" t="str">
        <f t="shared" si="36"/>
        <v/>
      </c>
      <c r="O28" s="323" t="str">
        <f t="shared" si="36"/>
        <v/>
      </c>
      <c r="P28" s="323" t="str">
        <f t="shared" si="36"/>
        <v/>
      </c>
      <c r="Q28" s="323" t="str">
        <f t="shared" si="36"/>
        <v/>
      </c>
      <c r="R28" s="323" t="str">
        <f t="shared" si="36"/>
        <v/>
      </c>
      <c r="S28" s="323" t="str">
        <f t="shared" si="36"/>
        <v/>
      </c>
      <c r="T28" s="323" t="str">
        <f t="shared" si="36"/>
        <v/>
      </c>
      <c r="U28" s="323" t="str">
        <f t="shared" si="36"/>
        <v/>
      </c>
      <c r="V28" s="323" t="str">
        <f t="shared" si="36"/>
        <v/>
      </c>
      <c r="W28" s="323" t="str">
        <f t="shared" si="36"/>
        <v/>
      </c>
      <c r="X28" s="323" t="str">
        <f t="shared" si="36"/>
        <v/>
      </c>
      <c r="Y28" s="323" t="str">
        <f t="shared" si="36"/>
        <v/>
      </c>
      <c r="Z28" s="323" t="str">
        <f t="shared" si="36"/>
        <v/>
      </c>
      <c r="AA28" s="323" t="str">
        <f t="shared" si="36"/>
        <v/>
      </c>
      <c r="AB28" s="323" t="str">
        <f t="shared" si="36"/>
        <v/>
      </c>
      <c r="AC28" s="323" t="str">
        <f t="shared" si="36"/>
        <v/>
      </c>
      <c r="AD28" s="323" t="str">
        <f t="shared" si="36"/>
        <v/>
      </c>
      <c r="AE28" s="323" t="str">
        <f t="shared" si="36"/>
        <v/>
      </c>
      <c r="AF28" s="323" t="str">
        <f t="shared" si="36"/>
        <v/>
      </c>
      <c r="AG28" s="323" t="str">
        <f t="shared" si="36"/>
        <v/>
      </c>
      <c r="AH28" s="323" t="str">
        <f t="shared" si="36"/>
        <v/>
      </c>
      <c r="AI28" s="323" t="str">
        <f t="shared" si="36"/>
        <v/>
      </c>
      <c r="AJ28" s="323" t="str">
        <f t="shared" si="36"/>
        <v/>
      </c>
      <c r="AK28" s="323" t="str">
        <f t="shared" si="36"/>
        <v/>
      </c>
      <c r="AL28" s="323" t="str">
        <f t="shared" si="36"/>
        <v/>
      </c>
      <c r="AM28" s="323" t="str">
        <f t="shared" si="36"/>
        <v/>
      </c>
      <c r="AN28" s="323" t="str">
        <f t="shared" si="36"/>
        <v/>
      </c>
      <c r="AO28" s="323" t="str">
        <f t="shared" si="36"/>
        <v/>
      </c>
      <c r="AP28" s="323" t="str">
        <f t="shared" si="36"/>
        <v/>
      </c>
      <c r="AQ28" s="323" t="str">
        <f t="shared" si="36"/>
        <v/>
      </c>
      <c r="AR28" s="323" t="str">
        <f t="shared" si="36"/>
        <v/>
      </c>
      <c r="AS28" s="323" t="str">
        <f t="shared" si="36"/>
        <v/>
      </c>
      <c r="AT28" s="323" t="str">
        <f t="shared" si="36"/>
        <v/>
      </c>
      <c r="AU28" s="323" t="str">
        <f t="shared" si="36"/>
        <v/>
      </c>
      <c r="AV28" s="323" t="str">
        <f t="shared" si="36"/>
        <v/>
      </c>
      <c r="AW28" s="323" t="str">
        <f t="shared" si="36"/>
        <v/>
      </c>
      <c r="AX28" s="323" t="str">
        <f t="shared" si="36"/>
        <v/>
      </c>
      <c r="AY28" s="323" t="str">
        <f t="shared" si="36"/>
        <v/>
      </c>
      <c r="AZ28" s="323" t="str">
        <f t="shared" si="36"/>
        <v/>
      </c>
      <c r="BA28" s="323" t="str">
        <f t="shared" si="36"/>
        <v/>
      </c>
      <c r="BB28" s="323" t="str">
        <f t="shared" si="36"/>
        <v/>
      </c>
      <c r="BC28" s="323" t="str">
        <f t="shared" si="36"/>
        <v/>
      </c>
      <c r="BD28" s="323" t="str">
        <f t="shared" si="36"/>
        <v/>
      </c>
      <c r="BE28" s="323" t="str">
        <f t="shared" si="36"/>
        <v/>
      </c>
      <c r="BF28" s="323" t="str">
        <f t="shared" si="36"/>
        <v/>
      </c>
      <c r="BG28" s="323" t="str">
        <f t="shared" si="36"/>
        <v/>
      </c>
      <c r="BH28" s="323" t="str">
        <f t="shared" si="36"/>
        <v/>
      </c>
      <c r="BI28" s="323" t="str">
        <f t="shared" si="36"/>
        <v/>
      </c>
      <c r="BJ28" s="323" t="str">
        <f t="shared" si="36"/>
        <v/>
      </c>
      <c r="BK28" s="323" t="str">
        <f t="shared" si="36"/>
        <v/>
      </c>
      <c r="BL28" s="323" t="str">
        <f t="shared" si="36"/>
        <v/>
      </c>
      <c r="BM28" s="323" t="str">
        <f t="shared" si="36"/>
        <v/>
      </c>
      <c r="BN28" s="323" t="str">
        <f t="shared" si="36"/>
        <v/>
      </c>
      <c r="BO28" s="323" t="str">
        <f t="shared" si="36"/>
        <v/>
      </c>
      <c r="BP28" s="323" t="str">
        <f t="shared" si="36"/>
        <v/>
      </c>
      <c r="BQ28" s="323" t="str">
        <f t="shared" si="36"/>
        <v/>
      </c>
      <c r="BR28" s="323" t="str">
        <f t="shared" si="36"/>
        <v/>
      </c>
      <c r="BS28" s="323" t="str">
        <f t="shared" si="36"/>
        <v/>
      </c>
      <c r="BT28" s="323" t="str">
        <f t="shared" si="36"/>
        <v/>
      </c>
      <c r="BU28" s="323" t="str">
        <f t="shared" si="36"/>
        <v/>
      </c>
      <c r="BV28" s="323" t="str">
        <f t="shared" si="36"/>
        <v/>
      </c>
      <c r="BW28" s="323" t="str">
        <f t="shared" si="36"/>
        <v/>
      </c>
      <c r="BX28" s="323" t="str">
        <f t="shared" si="36"/>
        <v/>
      </c>
      <c r="BY28" s="323" t="str">
        <f t="shared" si="36"/>
        <v/>
      </c>
      <c r="BZ28" s="323" t="str">
        <f t="shared" si="36"/>
        <v/>
      </c>
      <c r="CA28" s="323" t="str">
        <f t="shared" si="36"/>
        <v/>
      </c>
      <c r="CB28" s="323" t="str">
        <f t="shared" si="36"/>
        <v/>
      </c>
      <c r="CC28" s="323" t="str">
        <f t="shared" si="36"/>
        <v/>
      </c>
      <c r="CD28" s="323" t="str">
        <f t="shared" si="36"/>
        <v/>
      </c>
      <c r="CE28" s="323" t="str">
        <f t="shared" si="36"/>
        <v/>
      </c>
      <c r="CF28" s="323" t="str">
        <f t="shared" si="36"/>
        <v/>
      </c>
      <c r="CG28" s="323" t="str">
        <f t="shared" si="36"/>
        <v/>
      </c>
      <c r="CH28" s="323" t="str">
        <f t="shared" si="36"/>
        <v/>
      </c>
      <c r="CI28" s="323" t="str">
        <f t="shared" si="36"/>
        <v/>
      </c>
      <c r="CJ28" s="323" t="str">
        <f t="shared" si="36"/>
        <v/>
      </c>
      <c r="CK28" s="323" t="str">
        <f t="shared" si="36"/>
        <v/>
      </c>
      <c r="CL28" s="323" t="str">
        <f t="shared" si="36"/>
        <v/>
      </c>
      <c r="CM28" s="323" t="str">
        <f t="shared" si="36"/>
        <v/>
      </c>
      <c r="CN28" s="323"/>
      <c r="CO28" s="323"/>
      <c r="CP28" s="323" t="str">
        <f t="shared" si="16"/>
        <v/>
      </c>
      <c r="CQ28" s="323"/>
      <c r="CR28" s="323"/>
      <c r="CS28" s="323"/>
      <c r="CT28" s="323"/>
      <c r="CU28" s="323"/>
      <c r="CV28" s="323"/>
      <c r="CW28" s="323"/>
      <c r="CX28" s="323"/>
      <c r="CY28" s="323"/>
      <c r="CZ28" s="323"/>
      <c r="DA28" s="323"/>
      <c r="DB28" s="323"/>
      <c r="DC28" s="323"/>
      <c r="DD28" s="323"/>
      <c r="DE28" s="323"/>
      <c r="DF28" s="323"/>
      <c r="DG28" s="323"/>
      <c r="DH28" s="323"/>
      <c r="DI28" s="323"/>
      <c r="DJ28" s="323"/>
      <c r="DK28" s="323"/>
      <c r="DL28" s="323"/>
      <c r="DM28" s="323"/>
      <c r="DN28" s="323"/>
      <c r="DO28" s="323"/>
      <c r="DP28" s="323"/>
      <c r="DQ28" s="323"/>
      <c r="DR28" s="323"/>
      <c r="DS28" s="323"/>
      <c r="DT28" s="323"/>
      <c r="DU28" s="323"/>
      <c r="DV28" s="323"/>
      <c r="DW28" s="323"/>
      <c r="DX28" s="323"/>
      <c r="DY28" s="323"/>
      <c r="DZ28" s="323"/>
      <c r="EA28" s="323"/>
      <c r="EB28" s="323"/>
      <c r="EC28" s="323"/>
      <c r="ED28" s="323"/>
      <c r="EE28" s="323"/>
      <c r="EF28" s="323"/>
      <c r="EG28" s="323"/>
      <c r="EH28" s="323"/>
      <c r="EI28" s="323"/>
      <c r="EJ28" s="323"/>
      <c r="EK28" s="323"/>
      <c r="EL28" s="323"/>
      <c r="EM28" s="323"/>
      <c r="EN28" s="323"/>
      <c r="EO28" s="323"/>
      <c r="EP28" s="323"/>
      <c r="EQ28" s="323"/>
      <c r="ER28" s="323"/>
      <c r="ES28" s="323"/>
      <c r="ET28" s="323"/>
      <c r="EU28" s="323"/>
      <c r="EV28" s="323"/>
      <c r="EW28" s="323"/>
      <c r="EX28" s="323"/>
      <c r="EY28" s="323"/>
      <c r="EZ28" s="323"/>
      <c r="FA28" s="323"/>
      <c r="FB28" s="323"/>
      <c r="FC28" s="323"/>
      <c r="FD28" s="323"/>
      <c r="FE28" s="323"/>
      <c r="FF28" s="323"/>
      <c r="FG28" s="323"/>
      <c r="FH28" s="323"/>
      <c r="FI28" s="323"/>
      <c r="FJ28" s="323"/>
      <c r="FK28" s="323"/>
      <c r="FL28" s="323"/>
      <c r="FM28" s="323"/>
      <c r="FN28" s="323"/>
      <c r="FO28" s="323"/>
      <c r="FP28" s="323"/>
      <c r="FQ28" s="323"/>
      <c r="FR28" s="323"/>
      <c r="FS28" s="323"/>
      <c r="FT28" s="323"/>
      <c r="FU28" s="323"/>
      <c r="FV28" s="323"/>
      <c r="FW28" s="323"/>
      <c r="FX28" s="323"/>
    </row>
    <row r="29" ht="15.75" customHeight="1">
      <c r="A29" s="44">
        <v>24.0</v>
      </c>
      <c r="C29" s="331"/>
      <c r="D29" s="44"/>
      <c r="E29" s="44"/>
      <c r="F29" s="47"/>
      <c r="G29" s="47"/>
      <c r="H29" s="47"/>
      <c r="I29" s="26"/>
      <c r="J29" s="323" t="str">
        <f t="shared" ref="J29:CM29" si="37">IF(AND($I29="Yes",J$2=$H29),"♦","")</f>
        <v/>
      </c>
      <c r="K29" s="323" t="str">
        <f t="shared" si="37"/>
        <v/>
      </c>
      <c r="L29" s="323" t="str">
        <f t="shared" si="37"/>
        <v/>
      </c>
      <c r="M29" s="323" t="str">
        <f t="shared" si="37"/>
        <v/>
      </c>
      <c r="N29" s="323" t="str">
        <f t="shared" si="37"/>
        <v/>
      </c>
      <c r="O29" s="323" t="str">
        <f t="shared" si="37"/>
        <v/>
      </c>
      <c r="P29" s="323" t="str">
        <f t="shared" si="37"/>
        <v/>
      </c>
      <c r="Q29" s="323" t="str">
        <f t="shared" si="37"/>
        <v/>
      </c>
      <c r="R29" s="323" t="str">
        <f t="shared" si="37"/>
        <v/>
      </c>
      <c r="S29" s="323" t="str">
        <f t="shared" si="37"/>
        <v/>
      </c>
      <c r="T29" s="323" t="str">
        <f t="shared" si="37"/>
        <v/>
      </c>
      <c r="U29" s="323" t="str">
        <f t="shared" si="37"/>
        <v/>
      </c>
      <c r="V29" s="323" t="str">
        <f t="shared" si="37"/>
        <v/>
      </c>
      <c r="W29" s="323" t="str">
        <f t="shared" si="37"/>
        <v/>
      </c>
      <c r="X29" s="323" t="str">
        <f t="shared" si="37"/>
        <v/>
      </c>
      <c r="Y29" s="323" t="str">
        <f t="shared" si="37"/>
        <v/>
      </c>
      <c r="Z29" s="323" t="str">
        <f t="shared" si="37"/>
        <v/>
      </c>
      <c r="AA29" s="323" t="str">
        <f t="shared" si="37"/>
        <v/>
      </c>
      <c r="AB29" s="323" t="str">
        <f t="shared" si="37"/>
        <v/>
      </c>
      <c r="AC29" s="323" t="str">
        <f t="shared" si="37"/>
        <v/>
      </c>
      <c r="AD29" s="323" t="str">
        <f t="shared" si="37"/>
        <v/>
      </c>
      <c r="AE29" s="323" t="str">
        <f t="shared" si="37"/>
        <v/>
      </c>
      <c r="AF29" s="323" t="str">
        <f t="shared" si="37"/>
        <v/>
      </c>
      <c r="AG29" s="323" t="str">
        <f t="shared" si="37"/>
        <v/>
      </c>
      <c r="AH29" s="323" t="str">
        <f t="shared" si="37"/>
        <v/>
      </c>
      <c r="AI29" s="323" t="str">
        <f t="shared" si="37"/>
        <v/>
      </c>
      <c r="AJ29" s="323" t="str">
        <f t="shared" si="37"/>
        <v/>
      </c>
      <c r="AK29" s="323" t="str">
        <f t="shared" si="37"/>
        <v/>
      </c>
      <c r="AL29" s="323" t="str">
        <f t="shared" si="37"/>
        <v/>
      </c>
      <c r="AM29" s="323" t="str">
        <f t="shared" si="37"/>
        <v/>
      </c>
      <c r="AN29" s="323" t="str">
        <f t="shared" si="37"/>
        <v/>
      </c>
      <c r="AO29" s="323" t="str">
        <f t="shared" si="37"/>
        <v/>
      </c>
      <c r="AP29" s="323" t="str">
        <f t="shared" si="37"/>
        <v/>
      </c>
      <c r="AQ29" s="323" t="str">
        <f t="shared" si="37"/>
        <v/>
      </c>
      <c r="AR29" s="323" t="str">
        <f t="shared" si="37"/>
        <v/>
      </c>
      <c r="AS29" s="323" t="str">
        <f t="shared" si="37"/>
        <v/>
      </c>
      <c r="AT29" s="323" t="str">
        <f t="shared" si="37"/>
        <v/>
      </c>
      <c r="AU29" s="323" t="str">
        <f t="shared" si="37"/>
        <v/>
      </c>
      <c r="AV29" s="323" t="str">
        <f t="shared" si="37"/>
        <v/>
      </c>
      <c r="AW29" s="323" t="str">
        <f t="shared" si="37"/>
        <v/>
      </c>
      <c r="AX29" s="323" t="str">
        <f t="shared" si="37"/>
        <v/>
      </c>
      <c r="AY29" s="323" t="str">
        <f t="shared" si="37"/>
        <v/>
      </c>
      <c r="AZ29" s="323" t="str">
        <f t="shared" si="37"/>
        <v/>
      </c>
      <c r="BA29" s="323" t="str">
        <f t="shared" si="37"/>
        <v/>
      </c>
      <c r="BB29" s="323" t="str">
        <f t="shared" si="37"/>
        <v/>
      </c>
      <c r="BC29" s="323" t="str">
        <f t="shared" si="37"/>
        <v/>
      </c>
      <c r="BD29" s="323" t="str">
        <f t="shared" si="37"/>
        <v/>
      </c>
      <c r="BE29" s="323" t="str">
        <f t="shared" si="37"/>
        <v/>
      </c>
      <c r="BF29" s="323" t="str">
        <f t="shared" si="37"/>
        <v/>
      </c>
      <c r="BG29" s="323" t="str">
        <f t="shared" si="37"/>
        <v/>
      </c>
      <c r="BH29" s="323" t="str">
        <f t="shared" si="37"/>
        <v/>
      </c>
      <c r="BI29" s="323" t="str">
        <f t="shared" si="37"/>
        <v/>
      </c>
      <c r="BJ29" s="323" t="str">
        <f t="shared" si="37"/>
        <v/>
      </c>
      <c r="BK29" s="323" t="str">
        <f t="shared" si="37"/>
        <v/>
      </c>
      <c r="BL29" s="323" t="str">
        <f t="shared" si="37"/>
        <v/>
      </c>
      <c r="BM29" s="323" t="str">
        <f t="shared" si="37"/>
        <v/>
      </c>
      <c r="BN29" s="323" t="str">
        <f t="shared" si="37"/>
        <v/>
      </c>
      <c r="BO29" s="323" t="str">
        <f t="shared" si="37"/>
        <v/>
      </c>
      <c r="BP29" s="323" t="str">
        <f t="shared" si="37"/>
        <v/>
      </c>
      <c r="BQ29" s="323" t="str">
        <f t="shared" si="37"/>
        <v/>
      </c>
      <c r="BR29" s="323" t="str">
        <f t="shared" si="37"/>
        <v/>
      </c>
      <c r="BS29" s="323" t="str">
        <f t="shared" si="37"/>
        <v/>
      </c>
      <c r="BT29" s="323" t="str">
        <f t="shared" si="37"/>
        <v/>
      </c>
      <c r="BU29" s="323" t="str">
        <f t="shared" si="37"/>
        <v/>
      </c>
      <c r="BV29" s="323" t="str">
        <f t="shared" si="37"/>
        <v/>
      </c>
      <c r="BW29" s="323" t="str">
        <f t="shared" si="37"/>
        <v/>
      </c>
      <c r="BX29" s="323" t="str">
        <f t="shared" si="37"/>
        <v/>
      </c>
      <c r="BY29" s="323" t="str">
        <f t="shared" si="37"/>
        <v/>
      </c>
      <c r="BZ29" s="323" t="str">
        <f t="shared" si="37"/>
        <v/>
      </c>
      <c r="CA29" s="323" t="str">
        <f t="shared" si="37"/>
        <v/>
      </c>
      <c r="CB29" s="323" t="str">
        <f t="shared" si="37"/>
        <v/>
      </c>
      <c r="CC29" s="323" t="str">
        <f t="shared" si="37"/>
        <v/>
      </c>
      <c r="CD29" s="323" t="str">
        <f t="shared" si="37"/>
        <v/>
      </c>
      <c r="CE29" s="323" t="str">
        <f t="shared" si="37"/>
        <v/>
      </c>
      <c r="CF29" s="323" t="str">
        <f t="shared" si="37"/>
        <v/>
      </c>
      <c r="CG29" s="323" t="str">
        <f t="shared" si="37"/>
        <v/>
      </c>
      <c r="CH29" s="323" t="str">
        <f t="shared" si="37"/>
        <v/>
      </c>
      <c r="CI29" s="323" t="str">
        <f t="shared" si="37"/>
        <v/>
      </c>
      <c r="CJ29" s="323" t="str">
        <f t="shared" si="37"/>
        <v/>
      </c>
      <c r="CK29" s="323" t="str">
        <f t="shared" si="37"/>
        <v/>
      </c>
      <c r="CL29" s="323" t="str">
        <f t="shared" si="37"/>
        <v/>
      </c>
      <c r="CM29" s="323" t="str">
        <f t="shared" si="37"/>
        <v/>
      </c>
      <c r="CN29" s="323"/>
      <c r="CO29" s="323"/>
      <c r="CP29" s="323" t="str">
        <f t="shared" si="16"/>
        <v/>
      </c>
      <c r="CQ29" s="323"/>
      <c r="CR29" s="323"/>
      <c r="CS29" s="323"/>
      <c r="CT29" s="323"/>
      <c r="CU29" s="323"/>
      <c r="CV29" s="323"/>
      <c r="CW29" s="323"/>
      <c r="CX29" s="323"/>
      <c r="CY29" s="323"/>
      <c r="CZ29" s="323"/>
      <c r="DA29" s="323"/>
      <c r="DB29" s="323"/>
      <c r="DC29" s="323"/>
      <c r="DD29" s="323"/>
      <c r="DE29" s="323"/>
      <c r="DF29" s="323"/>
      <c r="DG29" s="323"/>
      <c r="DH29" s="323"/>
      <c r="DI29" s="323"/>
      <c r="DJ29" s="323"/>
      <c r="DK29" s="323"/>
      <c r="DL29" s="323"/>
      <c r="DM29" s="323"/>
      <c r="DN29" s="323"/>
      <c r="DO29" s="323"/>
      <c r="DP29" s="323"/>
      <c r="DQ29" s="323"/>
      <c r="DR29" s="323"/>
      <c r="DS29" s="323"/>
      <c r="DT29" s="323"/>
      <c r="DU29" s="323"/>
      <c r="DV29" s="323"/>
      <c r="DW29" s="323"/>
      <c r="DX29" s="323"/>
      <c r="DY29" s="323"/>
      <c r="DZ29" s="323"/>
      <c r="EA29" s="323"/>
      <c r="EB29" s="323"/>
      <c r="EC29" s="323"/>
      <c r="ED29" s="323"/>
      <c r="EE29" s="323"/>
      <c r="EF29" s="323"/>
      <c r="EG29" s="323"/>
      <c r="EH29" s="323"/>
      <c r="EI29" s="323"/>
      <c r="EJ29" s="323"/>
      <c r="EK29" s="323"/>
      <c r="EL29" s="323"/>
      <c r="EM29" s="323"/>
      <c r="EN29" s="323"/>
      <c r="EO29" s="323"/>
      <c r="EP29" s="323"/>
      <c r="EQ29" s="323"/>
      <c r="ER29" s="323"/>
      <c r="ES29" s="323"/>
      <c r="ET29" s="323"/>
      <c r="EU29" s="323"/>
      <c r="EV29" s="323"/>
      <c r="EW29" s="323"/>
      <c r="EX29" s="323"/>
      <c r="EY29" s="323"/>
      <c r="EZ29" s="323"/>
      <c r="FA29" s="323"/>
      <c r="FB29" s="323"/>
      <c r="FC29" s="323"/>
      <c r="FD29" s="323"/>
      <c r="FE29" s="323"/>
      <c r="FF29" s="323"/>
      <c r="FG29" s="323"/>
      <c r="FH29" s="323"/>
      <c r="FI29" s="323"/>
      <c r="FJ29" s="323"/>
      <c r="FK29" s="323"/>
      <c r="FL29" s="323"/>
      <c r="FM29" s="323"/>
      <c r="FN29" s="323"/>
      <c r="FO29" s="323"/>
      <c r="FP29" s="323"/>
      <c r="FQ29" s="323"/>
      <c r="FR29" s="323"/>
      <c r="FS29" s="323"/>
      <c r="FT29" s="323"/>
      <c r="FU29" s="323"/>
      <c r="FV29" s="323"/>
      <c r="FW29" s="323"/>
      <c r="FX29" s="323"/>
    </row>
    <row r="30" ht="15.75" customHeight="1">
      <c r="A30" s="44">
        <v>25.0</v>
      </c>
      <c r="C30" s="331"/>
      <c r="D30" s="44"/>
      <c r="E30" s="44"/>
      <c r="F30" s="47"/>
      <c r="G30" s="47"/>
      <c r="H30" s="47"/>
      <c r="I30" s="26"/>
      <c r="J30" s="323" t="str">
        <f t="shared" ref="J30:CM30" si="38">IF(AND($I30="Yes",J$2=$H30),"♦","")</f>
        <v/>
      </c>
      <c r="K30" s="323" t="str">
        <f t="shared" si="38"/>
        <v/>
      </c>
      <c r="L30" s="323" t="str">
        <f t="shared" si="38"/>
        <v/>
      </c>
      <c r="M30" s="323" t="str">
        <f t="shared" si="38"/>
        <v/>
      </c>
      <c r="N30" s="323" t="str">
        <f t="shared" si="38"/>
        <v/>
      </c>
      <c r="O30" s="323" t="str">
        <f t="shared" si="38"/>
        <v/>
      </c>
      <c r="P30" s="323" t="str">
        <f t="shared" si="38"/>
        <v/>
      </c>
      <c r="Q30" s="323" t="str">
        <f t="shared" si="38"/>
        <v/>
      </c>
      <c r="R30" s="323" t="str">
        <f t="shared" si="38"/>
        <v/>
      </c>
      <c r="S30" s="323" t="str">
        <f t="shared" si="38"/>
        <v/>
      </c>
      <c r="T30" s="323" t="str">
        <f t="shared" si="38"/>
        <v/>
      </c>
      <c r="U30" s="323" t="str">
        <f t="shared" si="38"/>
        <v/>
      </c>
      <c r="V30" s="323" t="str">
        <f t="shared" si="38"/>
        <v/>
      </c>
      <c r="W30" s="323" t="str">
        <f t="shared" si="38"/>
        <v/>
      </c>
      <c r="X30" s="323" t="str">
        <f t="shared" si="38"/>
        <v/>
      </c>
      <c r="Y30" s="323" t="str">
        <f t="shared" si="38"/>
        <v/>
      </c>
      <c r="Z30" s="323" t="str">
        <f t="shared" si="38"/>
        <v/>
      </c>
      <c r="AA30" s="323" t="str">
        <f t="shared" si="38"/>
        <v/>
      </c>
      <c r="AB30" s="323" t="str">
        <f t="shared" si="38"/>
        <v/>
      </c>
      <c r="AC30" s="323" t="str">
        <f t="shared" si="38"/>
        <v/>
      </c>
      <c r="AD30" s="323" t="str">
        <f t="shared" si="38"/>
        <v/>
      </c>
      <c r="AE30" s="323" t="str">
        <f t="shared" si="38"/>
        <v/>
      </c>
      <c r="AF30" s="323" t="str">
        <f t="shared" si="38"/>
        <v/>
      </c>
      <c r="AG30" s="323" t="str">
        <f t="shared" si="38"/>
        <v/>
      </c>
      <c r="AH30" s="323" t="str">
        <f t="shared" si="38"/>
        <v/>
      </c>
      <c r="AI30" s="323" t="str">
        <f t="shared" si="38"/>
        <v/>
      </c>
      <c r="AJ30" s="323" t="str">
        <f t="shared" si="38"/>
        <v/>
      </c>
      <c r="AK30" s="323" t="str">
        <f t="shared" si="38"/>
        <v/>
      </c>
      <c r="AL30" s="323" t="str">
        <f t="shared" si="38"/>
        <v/>
      </c>
      <c r="AM30" s="323" t="str">
        <f t="shared" si="38"/>
        <v/>
      </c>
      <c r="AN30" s="323" t="str">
        <f t="shared" si="38"/>
        <v/>
      </c>
      <c r="AO30" s="323" t="str">
        <f t="shared" si="38"/>
        <v/>
      </c>
      <c r="AP30" s="323" t="str">
        <f t="shared" si="38"/>
        <v/>
      </c>
      <c r="AQ30" s="323" t="str">
        <f t="shared" si="38"/>
        <v/>
      </c>
      <c r="AR30" s="323" t="str">
        <f t="shared" si="38"/>
        <v/>
      </c>
      <c r="AS30" s="323" t="str">
        <f t="shared" si="38"/>
        <v/>
      </c>
      <c r="AT30" s="323" t="str">
        <f t="shared" si="38"/>
        <v/>
      </c>
      <c r="AU30" s="323" t="str">
        <f t="shared" si="38"/>
        <v/>
      </c>
      <c r="AV30" s="323" t="str">
        <f t="shared" si="38"/>
        <v/>
      </c>
      <c r="AW30" s="323" t="str">
        <f t="shared" si="38"/>
        <v/>
      </c>
      <c r="AX30" s="323" t="str">
        <f t="shared" si="38"/>
        <v/>
      </c>
      <c r="AY30" s="323" t="str">
        <f t="shared" si="38"/>
        <v/>
      </c>
      <c r="AZ30" s="323" t="str">
        <f t="shared" si="38"/>
        <v/>
      </c>
      <c r="BA30" s="323" t="str">
        <f t="shared" si="38"/>
        <v/>
      </c>
      <c r="BB30" s="323" t="str">
        <f t="shared" si="38"/>
        <v/>
      </c>
      <c r="BC30" s="323" t="str">
        <f t="shared" si="38"/>
        <v/>
      </c>
      <c r="BD30" s="323" t="str">
        <f t="shared" si="38"/>
        <v/>
      </c>
      <c r="BE30" s="323" t="str">
        <f t="shared" si="38"/>
        <v/>
      </c>
      <c r="BF30" s="323" t="str">
        <f t="shared" si="38"/>
        <v/>
      </c>
      <c r="BG30" s="323" t="str">
        <f t="shared" si="38"/>
        <v/>
      </c>
      <c r="BH30" s="323" t="str">
        <f t="shared" si="38"/>
        <v/>
      </c>
      <c r="BI30" s="323" t="str">
        <f t="shared" si="38"/>
        <v/>
      </c>
      <c r="BJ30" s="323" t="str">
        <f t="shared" si="38"/>
        <v/>
      </c>
      <c r="BK30" s="323" t="str">
        <f t="shared" si="38"/>
        <v/>
      </c>
      <c r="BL30" s="323" t="str">
        <f t="shared" si="38"/>
        <v/>
      </c>
      <c r="BM30" s="323" t="str">
        <f t="shared" si="38"/>
        <v/>
      </c>
      <c r="BN30" s="323" t="str">
        <f t="shared" si="38"/>
        <v/>
      </c>
      <c r="BO30" s="323" t="str">
        <f t="shared" si="38"/>
        <v/>
      </c>
      <c r="BP30" s="323" t="str">
        <f t="shared" si="38"/>
        <v/>
      </c>
      <c r="BQ30" s="323" t="str">
        <f t="shared" si="38"/>
        <v/>
      </c>
      <c r="BR30" s="323" t="str">
        <f t="shared" si="38"/>
        <v/>
      </c>
      <c r="BS30" s="323" t="str">
        <f t="shared" si="38"/>
        <v/>
      </c>
      <c r="BT30" s="323" t="str">
        <f t="shared" si="38"/>
        <v/>
      </c>
      <c r="BU30" s="323" t="str">
        <f t="shared" si="38"/>
        <v/>
      </c>
      <c r="BV30" s="323" t="str">
        <f t="shared" si="38"/>
        <v/>
      </c>
      <c r="BW30" s="323" t="str">
        <f t="shared" si="38"/>
        <v/>
      </c>
      <c r="BX30" s="323" t="str">
        <f t="shared" si="38"/>
        <v/>
      </c>
      <c r="BY30" s="323" t="str">
        <f t="shared" si="38"/>
        <v/>
      </c>
      <c r="BZ30" s="323" t="str">
        <f t="shared" si="38"/>
        <v/>
      </c>
      <c r="CA30" s="323" t="str">
        <f t="shared" si="38"/>
        <v/>
      </c>
      <c r="CB30" s="323" t="str">
        <f t="shared" si="38"/>
        <v/>
      </c>
      <c r="CC30" s="323" t="str">
        <f t="shared" si="38"/>
        <v/>
      </c>
      <c r="CD30" s="323" t="str">
        <f t="shared" si="38"/>
        <v/>
      </c>
      <c r="CE30" s="323" t="str">
        <f t="shared" si="38"/>
        <v/>
      </c>
      <c r="CF30" s="323" t="str">
        <f t="shared" si="38"/>
        <v/>
      </c>
      <c r="CG30" s="323" t="str">
        <f t="shared" si="38"/>
        <v/>
      </c>
      <c r="CH30" s="323" t="str">
        <f t="shared" si="38"/>
        <v/>
      </c>
      <c r="CI30" s="323" t="str">
        <f t="shared" si="38"/>
        <v/>
      </c>
      <c r="CJ30" s="323" t="str">
        <f t="shared" si="38"/>
        <v/>
      </c>
      <c r="CK30" s="323" t="str">
        <f t="shared" si="38"/>
        <v/>
      </c>
      <c r="CL30" s="323" t="str">
        <f t="shared" si="38"/>
        <v/>
      </c>
      <c r="CM30" s="323" t="str">
        <f t="shared" si="38"/>
        <v/>
      </c>
      <c r="CN30" s="323"/>
      <c r="CO30" s="323"/>
      <c r="CP30" s="323" t="str">
        <f t="shared" si="16"/>
        <v/>
      </c>
      <c r="CQ30" s="323"/>
      <c r="CR30" s="323"/>
      <c r="CS30" s="323"/>
      <c r="CT30" s="323"/>
      <c r="CU30" s="323"/>
      <c r="CV30" s="323"/>
      <c r="CW30" s="323"/>
      <c r="CX30" s="323"/>
      <c r="CY30" s="323"/>
      <c r="CZ30" s="323"/>
      <c r="DA30" s="323"/>
      <c r="DB30" s="323"/>
      <c r="DC30" s="323"/>
      <c r="DD30" s="323"/>
      <c r="DE30" s="323"/>
      <c r="DF30" s="323"/>
      <c r="DG30" s="323"/>
      <c r="DH30" s="323"/>
      <c r="DI30" s="323"/>
      <c r="DJ30" s="323"/>
      <c r="DK30" s="323"/>
      <c r="DL30" s="323"/>
      <c r="DM30" s="323"/>
      <c r="DN30" s="323"/>
      <c r="DO30" s="323"/>
      <c r="DP30" s="323"/>
      <c r="DQ30" s="323"/>
      <c r="DR30" s="323"/>
      <c r="DS30" s="323"/>
      <c r="DT30" s="323"/>
      <c r="DU30" s="323"/>
      <c r="DV30" s="323"/>
      <c r="DW30" s="323"/>
      <c r="DX30" s="323"/>
      <c r="DY30" s="323"/>
      <c r="DZ30" s="323"/>
      <c r="EA30" s="323"/>
      <c r="EB30" s="323"/>
      <c r="EC30" s="323"/>
      <c r="ED30" s="323"/>
      <c r="EE30" s="323"/>
      <c r="EF30" s="323"/>
      <c r="EG30" s="323"/>
      <c r="EH30" s="323"/>
      <c r="EI30" s="323"/>
      <c r="EJ30" s="323"/>
      <c r="EK30" s="323"/>
      <c r="EL30" s="323"/>
      <c r="EM30" s="323"/>
      <c r="EN30" s="323"/>
      <c r="EO30" s="323"/>
      <c r="EP30" s="323"/>
      <c r="EQ30" s="323"/>
      <c r="ER30" s="323"/>
      <c r="ES30" s="323"/>
      <c r="ET30" s="323"/>
      <c r="EU30" s="323"/>
      <c r="EV30" s="323"/>
      <c r="EW30" s="323"/>
      <c r="EX30" s="323"/>
      <c r="EY30" s="323"/>
      <c r="EZ30" s="323"/>
      <c r="FA30" s="323"/>
      <c r="FB30" s="323"/>
      <c r="FC30" s="323"/>
      <c r="FD30" s="323"/>
      <c r="FE30" s="323"/>
      <c r="FF30" s="323"/>
      <c r="FG30" s="323"/>
      <c r="FH30" s="323"/>
      <c r="FI30" s="323"/>
      <c r="FJ30" s="323"/>
      <c r="FK30" s="323"/>
      <c r="FL30" s="323"/>
      <c r="FM30" s="323"/>
      <c r="FN30" s="323"/>
      <c r="FO30" s="323"/>
      <c r="FP30" s="323"/>
      <c r="FQ30" s="323"/>
      <c r="FR30" s="323"/>
      <c r="FS30" s="323"/>
      <c r="FT30" s="323"/>
      <c r="FU30" s="323"/>
      <c r="FV30" s="323"/>
      <c r="FW30" s="323"/>
      <c r="FX30" s="323"/>
    </row>
    <row r="31" ht="15.75" customHeight="1">
      <c r="A31" s="44">
        <v>26.0</v>
      </c>
      <c r="C31" s="331"/>
      <c r="D31" s="44"/>
      <c r="E31" s="44"/>
      <c r="F31" s="47"/>
      <c r="G31" s="47"/>
      <c r="H31" s="47"/>
      <c r="I31" s="26"/>
      <c r="J31" s="323" t="str">
        <f t="shared" ref="J31:CM31" si="39">IF(AND($I31="Yes",J$2=$H31),"♦","")</f>
        <v/>
      </c>
      <c r="K31" s="323" t="str">
        <f t="shared" si="39"/>
        <v/>
      </c>
      <c r="L31" s="323" t="str">
        <f t="shared" si="39"/>
        <v/>
      </c>
      <c r="M31" s="323" t="str">
        <f t="shared" si="39"/>
        <v/>
      </c>
      <c r="N31" s="323" t="str">
        <f t="shared" si="39"/>
        <v/>
      </c>
      <c r="O31" s="323" t="str">
        <f t="shared" si="39"/>
        <v/>
      </c>
      <c r="P31" s="323" t="str">
        <f t="shared" si="39"/>
        <v/>
      </c>
      <c r="Q31" s="323" t="str">
        <f t="shared" si="39"/>
        <v/>
      </c>
      <c r="R31" s="323" t="str">
        <f t="shared" si="39"/>
        <v/>
      </c>
      <c r="S31" s="323" t="str">
        <f t="shared" si="39"/>
        <v/>
      </c>
      <c r="T31" s="323" t="str">
        <f t="shared" si="39"/>
        <v/>
      </c>
      <c r="U31" s="323" t="str">
        <f t="shared" si="39"/>
        <v/>
      </c>
      <c r="V31" s="323" t="str">
        <f t="shared" si="39"/>
        <v/>
      </c>
      <c r="W31" s="323" t="str">
        <f t="shared" si="39"/>
        <v/>
      </c>
      <c r="X31" s="323" t="str">
        <f t="shared" si="39"/>
        <v/>
      </c>
      <c r="Y31" s="323" t="str">
        <f t="shared" si="39"/>
        <v/>
      </c>
      <c r="Z31" s="323" t="str">
        <f t="shared" si="39"/>
        <v/>
      </c>
      <c r="AA31" s="323" t="str">
        <f t="shared" si="39"/>
        <v/>
      </c>
      <c r="AB31" s="323" t="str">
        <f t="shared" si="39"/>
        <v/>
      </c>
      <c r="AC31" s="323" t="str">
        <f t="shared" si="39"/>
        <v/>
      </c>
      <c r="AD31" s="323" t="str">
        <f t="shared" si="39"/>
        <v/>
      </c>
      <c r="AE31" s="323" t="str">
        <f t="shared" si="39"/>
        <v/>
      </c>
      <c r="AF31" s="323" t="str">
        <f t="shared" si="39"/>
        <v/>
      </c>
      <c r="AG31" s="323" t="str">
        <f t="shared" si="39"/>
        <v/>
      </c>
      <c r="AH31" s="323" t="str">
        <f t="shared" si="39"/>
        <v/>
      </c>
      <c r="AI31" s="323" t="str">
        <f t="shared" si="39"/>
        <v/>
      </c>
      <c r="AJ31" s="323" t="str">
        <f t="shared" si="39"/>
        <v/>
      </c>
      <c r="AK31" s="323" t="str">
        <f t="shared" si="39"/>
        <v/>
      </c>
      <c r="AL31" s="323" t="str">
        <f t="shared" si="39"/>
        <v/>
      </c>
      <c r="AM31" s="323" t="str">
        <f t="shared" si="39"/>
        <v/>
      </c>
      <c r="AN31" s="323" t="str">
        <f t="shared" si="39"/>
        <v/>
      </c>
      <c r="AO31" s="323" t="str">
        <f t="shared" si="39"/>
        <v/>
      </c>
      <c r="AP31" s="323" t="str">
        <f t="shared" si="39"/>
        <v/>
      </c>
      <c r="AQ31" s="323" t="str">
        <f t="shared" si="39"/>
        <v/>
      </c>
      <c r="AR31" s="323" t="str">
        <f t="shared" si="39"/>
        <v/>
      </c>
      <c r="AS31" s="323" t="str">
        <f t="shared" si="39"/>
        <v/>
      </c>
      <c r="AT31" s="323" t="str">
        <f t="shared" si="39"/>
        <v/>
      </c>
      <c r="AU31" s="323" t="str">
        <f t="shared" si="39"/>
        <v/>
      </c>
      <c r="AV31" s="323" t="str">
        <f t="shared" si="39"/>
        <v/>
      </c>
      <c r="AW31" s="323" t="str">
        <f t="shared" si="39"/>
        <v/>
      </c>
      <c r="AX31" s="323" t="str">
        <f t="shared" si="39"/>
        <v/>
      </c>
      <c r="AY31" s="323" t="str">
        <f t="shared" si="39"/>
        <v/>
      </c>
      <c r="AZ31" s="323" t="str">
        <f t="shared" si="39"/>
        <v/>
      </c>
      <c r="BA31" s="323" t="str">
        <f t="shared" si="39"/>
        <v/>
      </c>
      <c r="BB31" s="323" t="str">
        <f t="shared" si="39"/>
        <v/>
      </c>
      <c r="BC31" s="323" t="str">
        <f t="shared" si="39"/>
        <v/>
      </c>
      <c r="BD31" s="323" t="str">
        <f t="shared" si="39"/>
        <v/>
      </c>
      <c r="BE31" s="323" t="str">
        <f t="shared" si="39"/>
        <v/>
      </c>
      <c r="BF31" s="323" t="str">
        <f t="shared" si="39"/>
        <v/>
      </c>
      <c r="BG31" s="323" t="str">
        <f t="shared" si="39"/>
        <v/>
      </c>
      <c r="BH31" s="323" t="str">
        <f t="shared" si="39"/>
        <v/>
      </c>
      <c r="BI31" s="323" t="str">
        <f t="shared" si="39"/>
        <v/>
      </c>
      <c r="BJ31" s="323" t="str">
        <f t="shared" si="39"/>
        <v/>
      </c>
      <c r="BK31" s="323" t="str">
        <f t="shared" si="39"/>
        <v/>
      </c>
      <c r="BL31" s="323" t="str">
        <f t="shared" si="39"/>
        <v/>
      </c>
      <c r="BM31" s="323" t="str">
        <f t="shared" si="39"/>
        <v/>
      </c>
      <c r="BN31" s="323" t="str">
        <f t="shared" si="39"/>
        <v/>
      </c>
      <c r="BO31" s="323" t="str">
        <f t="shared" si="39"/>
        <v/>
      </c>
      <c r="BP31" s="323" t="str">
        <f t="shared" si="39"/>
        <v/>
      </c>
      <c r="BQ31" s="323" t="str">
        <f t="shared" si="39"/>
        <v/>
      </c>
      <c r="BR31" s="323" t="str">
        <f t="shared" si="39"/>
        <v/>
      </c>
      <c r="BS31" s="323" t="str">
        <f t="shared" si="39"/>
        <v/>
      </c>
      <c r="BT31" s="323" t="str">
        <f t="shared" si="39"/>
        <v/>
      </c>
      <c r="BU31" s="323" t="str">
        <f t="shared" si="39"/>
        <v/>
      </c>
      <c r="BV31" s="323" t="str">
        <f t="shared" si="39"/>
        <v/>
      </c>
      <c r="BW31" s="323" t="str">
        <f t="shared" si="39"/>
        <v/>
      </c>
      <c r="BX31" s="323" t="str">
        <f t="shared" si="39"/>
        <v/>
      </c>
      <c r="BY31" s="323" t="str">
        <f t="shared" si="39"/>
        <v/>
      </c>
      <c r="BZ31" s="323" t="str">
        <f t="shared" si="39"/>
        <v/>
      </c>
      <c r="CA31" s="323" t="str">
        <f t="shared" si="39"/>
        <v/>
      </c>
      <c r="CB31" s="323" t="str">
        <f t="shared" si="39"/>
        <v/>
      </c>
      <c r="CC31" s="323" t="str">
        <f t="shared" si="39"/>
        <v/>
      </c>
      <c r="CD31" s="323" t="str">
        <f t="shared" si="39"/>
        <v/>
      </c>
      <c r="CE31" s="323" t="str">
        <f t="shared" si="39"/>
        <v/>
      </c>
      <c r="CF31" s="323" t="str">
        <f t="shared" si="39"/>
        <v/>
      </c>
      <c r="CG31" s="323" t="str">
        <f t="shared" si="39"/>
        <v/>
      </c>
      <c r="CH31" s="323" t="str">
        <f t="shared" si="39"/>
        <v/>
      </c>
      <c r="CI31" s="323" t="str">
        <f t="shared" si="39"/>
        <v/>
      </c>
      <c r="CJ31" s="323" t="str">
        <f t="shared" si="39"/>
        <v/>
      </c>
      <c r="CK31" s="323" t="str">
        <f t="shared" si="39"/>
        <v/>
      </c>
      <c r="CL31" s="323" t="str">
        <f t="shared" si="39"/>
        <v/>
      </c>
      <c r="CM31" s="323" t="str">
        <f t="shared" si="39"/>
        <v/>
      </c>
      <c r="CN31" s="323"/>
      <c r="CO31" s="323"/>
      <c r="CP31" s="323" t="str">
        <f t="shared" si="16"/>
        <v/>
      </c>
      <c r="CQ31" s="323"/>
      <c r="CR31" s="323"/>
      <c r="CS31" s="323"/>
      <c r="CT31" s="323"/>
      <c r="CU31" s="323"/>
      <c r="CV31" s="323"/>
      <c r="CW31" s="323"/>
      <c r="CX31" s="323"/>
      <c r="CY31" s="323"/>
      <c r="CZ31" s="323"/>
      <c r="DA31" s="323"/>
      <c r="DB31" s="323"/>
      <c r="DC31" s="323"/>
      <c r="DD31" s="323"/>
      <c r="DE31" s="323"/>
      <c r="DF31" s="323"/>
      <c r="DG31" s="323"/>
      <c r="DH31" s="323"/>
      <c r="DI31" s="323"/>
      <c r="DJ31" s="323"/>
      <c r="DK31" s="323"/>
      <c r="DL31" s="323"/>
      <c r="DM31" s="323"/>
      <c r="DN31" s="323"/>
      <c r="DO31" s="323"/>
      <c r="DP31" s="323"/>
      <c r="DQ31" s="323"/>
      <c r="DR31" s="323"/>
      <c r="DS31" s="323"/>
      <c r="DT31" s="323"/>
      <c r="DU31" s="323"/>
      <c r="DV31" s="323"/>
      <c r="DW31" s="323"/>
      <c r="DX31" s="323"/>
      <c r="DY31" s="323"/>
      <c r="DZ31" s="323"/>
      <c r="EA31" s="323"/>
      <c r="EB31" s="323"/>
      <c r="EC31" s="323"/>
      <c r="ED31" s="323"/>
      <c r="EE31" s="323"/>
      <c r="EF31" s="323"/>
      <c r="EG31" s="323"/>
      <c r="EH31" s="323"/>
      <c r="EI31" s="323"/>
      <c r="EJ31" s="323"/>
      <c r="EK31" s="323"/>
      <c r="EL31" s="323"/>
      <c r="EM31" s="323"/>
      <c r="EN31" s="323"/>
      <c r="EO31" s="323"/>
      <c r="EP31" s="323"/>
      <c r="EQ31" s="323"/>
      <c r="ER31" s="323"/>
      <c r="ES31" s="323"/>
      <c r="ET31" s="323"/>
      <c r="EU31" s="323"/>
      <c r="EV31" s="323"/>
      <c r="EW31" s="323"/>
      <c r="EX31" s="323"/>
      <c r="EY31" s="323"/>
      <c r="EZ31" s="323"/>
      <c r="FA31" s="323"/>
      <c r="FB31" s="323"/>
      <c r="FC31" s="323"/>
      <c r="FD31" s="323"/>
      <c r="FE31" s="323"/>
      <c r="FF31" s="323"/>
      <c r="FG31" s="323"/>
      <c r="FH31" s="323"/>
      <c r="FI31" s="323"/>
      <c r="FJ31" s="323"/>
      <c r="FK31" s="323"/>
      <c r="FL31" s="323"/>
      <c r="FM31" s="323"/>
      <c r="FN31" s="323"/>
      <c r="FO31" s="323"/>
      <c r="FP31" s="323"/>
      <c r="FQ31" s="323"/>
      <c r="FR31" s="323"/>
      <c r="FS31" s="323"/>
      <c r="FT31" s="323"/>
      <c r="FU31" s="323"/>
      <c r="FV31" s="323"/>
      <c r="FW31" s="323"/>
      <c r="FX31" s="323"/>
    </row>
    <row r="32" ht="15.75" customHeight="1">
      <c r="A32" s="44">
        <v>27.0</v>
      </c>
      <c r="C32" s="331"/>
      <c r="D32" s="44"/>
      <c r="E32" s="44"/>
      <c r="F32" s="47"/>
      <c r="G32" s="47"/>
      <c r="H32" s="47"/>
      <c r="I32" s="26"/>
      <c r="J32" s="323" t="str">
        <f t="shared" ref="J32:CM32" si="40">IF(AND($I32="Yes",J$2=$H32),"♦","")</f>
        <v/>
      </c>
      <c r="K32" s="323" t="str">
        <f t="shared" si="40"/>
        <v/>
      </c>
      <c r="L32" s="323" t="str">
        <f t="shared" si="40"/>
        <v/>
      </c>
      <c r="M32" s="323" t="str">
        <f t="shared" si="40"/>
        <v/>
      </c>
      <c r="N32" s="323" t="str">
        <f t="shared" si="40"/>
        <v/>
      </c>
      <c r="O32" s="323" t="str">
        <f t="shared" si="40"/>
        <v/>
      </c>
      <c r="P32" s="323" t="str">
        <f t="shared" si="40"/>
        <v/>
      </c>
      <c r="Q32" s="323" t="str">
        <f t="shared" si="40"/>
        <v/>
      </c>
      <c r="R32" s="323" t="str">
        <f t="shared" si="40"/>
        <v/>
      </c>
      <c r="S32" s="323" t="str">
        <f t="shared" si="40"/>
        <v/>
      </c>
      <c r="T32" s="323" t="str">
        <f t="shared" si="40"/>
        <v/>
      </c>
      <c r="U32" s="323" t="str">
        <f t="shared" si="40"/>
        <v/>
      </c>
      <c r="V32" s="323" t="str">
        <f t="shared" si="40"/>
        <v/>
      </c>
      <c r="W32" s="323" t="str">
        <f t="shared" si="40"/>
        <v/>
      </c>
      <c r="X32" s="323" t="str">
        <f t="shared" si="40"/>
        <v/>
      </c>
      <c r="Y32" s="323" t="str">
        <f t="shared" si="40"/>
        <v/>
      </c>
      <c r="Z32" s="323" t="str">
        <f t="shared" si="40"/>
        <v/>
      </c>
      <c r="AA32" s="323" t="str">
        <f t="shared" si="40"/>
        <v/>
      </c>
      <c r="AB32" s="323" t="str">
        <f t="shared" si="40"/>
        <v/>
      </c>
      <c r="AC32" s="323" t="str">
        <f t="shared" si="40"/>
        <v/>
      </c>
      <c r="AD32" s="323" t="str">
        <f t="shared" si="40"/>
        <v/>
      </c>
      <c r="AE32" s="323" t="str">
        <f t="shared" si="40"/>
        <v/>
      </c>
      <c r="AF32" s="323" t="str">
        <f t="shared" si="40"/>
        <v/>
      </c>
      <c r="AG32" s="323" t="str">
        <f t="shared" si="40"/>
        <v/>
      </c>
      <c r="AH32" s="323" t="str">
        <f t="shared" si="40"/>
        <v/>
      </c>
      <c r="AI32" s="323" t="str">
        <f t="shared" si="40"/>
        <v/>
      </c>
      <c r="AJ32" s="323" t="str">
        <f t="shared" si="40"/>
        <v/>
      </c>
      <c r="AK32" s="323" t="str">
        <f t="shared" si="40"/>
        <v/>
      </c>
      <c r="AL32" s="323" t="str">
        <f t="shared" si="40"/>
        <v/>
      </c>
      <c r="AM32" s="323" t="str">
        <f t="shared" si="40"/>
        <v/>
      </c>
      <c r="AN32" s="323" t="str">
        <f t="shared" si="40"/>
        <v/>
      </c>
      <c r="AO32" s="323" t="str">
        <f t="shared" si="40"/>
        <v/>
      </c>
      <c r="AP32" s="323" t="str">
        <f t="shared" si="40"/>
        <v/>
      </c>
      <c r="AQ32" s="323" t="str">
        <f t="shared" si="40"/>
        <v/>
      </c>
      <c r="AR32" s="323" t="str">
        <f t="shared" si="40"/>
        <v/>
      </c>
      <c r="AS32" s="323" t="str">
        <f t="shared" si="40"/>
        <v/>
      </c>
      <c r="AT32" s="323" t="str">
        <f t="shared" si="40"/>
        <v/>
      </c>
      <c r="AU32" s="323" t="str">
        <f t="shared" si="40"/>
        <v/>
      </c>
      <c r="AV32" s="323" t="str">
        <f t="shared" si="40"/>
        <v/>
      </c>
      <c r="AW32" s="323" t="str">
        <f t="shared" si="40"/>
        <v/>
      </c>
      <c r="AX32" s="323" t="str">
        <f t="shared" si="40"/>
        <v/>
      </c>
      <c r="AY32" s="323" t="str">
        <f t="shared" si="40"/>
        <v/>
      </c>
      <c r="AZ32" s="323" t="str">
        <f t="shared" si="40"/>
        <v/>
      </c>
      <c r="BA32" s="323" t="str">
        <f t="shared" si="40"/>
        <v/>
      </c>
      <c r="BB32" s="323" t="str">
        <f t="shared" si="40"/>
        <v/>
      </c>
      <c r="BC32" s="323" t="str">
        <f t="shared" si="40"/>
        <v/>
      </c>
      <c r="BD32" s="323" t="str">
        <f t="shared" si="40"/>
        <v/>
      </c>
      <c r="BE32" s="323" t="str">
        <f t="shared" si="40"/>
        <v/>
      </c>
      <c r="BF32" s="323" t="str">
        <f t="shared" si="40"/>
        <v/>
      </c>
      <c r="BG32" s="323" t="str">
        <f t="shared" si="40"/>
        <v/>
      </c>
      <c r="BH32" s="323" t="str">
        <f t="shared" si="40"/>
        <v/>
      </c>
      <c r="BI32" s="323" t="str">
        <f t="shared" si="40"/>
        <v/>
      </c>
      <c r="BJ32" s="323" t="str">
        <f t="shared" si="40"/>
        <v/>
      </c>
      <c r="BK32" s="323" t="str">
        <f t="shared" si="40"/>
        <v/>
      </c>
      <c r="BL32" s="323" t="str">
        <f t="shared" si="40"/>
        <v/>
      </c>
      <c r="BM32" s="323" t="str">
        <f t="shared" si="40"/>
        <v/>
      </c>
      <c r="BN32" s="323" t="str">
        <f t="shared" si="40"/>
        <v/>
      </c>
      <c r="BO32" s="323" t="str">
        <f t="shared" si="40"/>
        <v/>
      </c>
      <c r="BP32" s="323" t="str">
        <f t="shared" si="40"/>
        <v/>
      </c>
      <c r="BQ32" s="323" t="str">
        <f t="shared" si="40"/>
        <v/>
      </c>
      <c r="BR32" s="323" t="str">
        <f t="shared" si="40"/>
        <v/>
      </c>
      <c r="BS32" s="323" t="str">
        <f t="shared" si="40"/>
        <v/>
      </c>
      <c r="BT32" s="323" t="str">
        <f t="shared" si="40"/>
        <v/>
      </c>
      <c r="BU32" s="323" t="str">
        <f t="shared" si="40"/>
        <v/>
      </c>
      <c r="BV32" s="323" t="str">
        <f t="shared" si="40"/>
        <v/>
      </c>
      <c r="BW32" s="323" t="str">
        <f t="shared" si="40"/>
        <v/>
      </c>
      <c r="BX32" s="323" t="str">
        <f t="shared" si="40"/>
        <v/>
      </c>
      <c r="BY32" s="323" t="str">
        <f t="shared" si="40"/>
        <v/>
      </c>
      <c r="BZ32" s="323" t="str">
        <f t="shared" si="40"/>
        <v/>
      </c>
      <c r="CA32" s="323" t="str">
        <f t="shared" si="40"/>
        <v/>
      </c>
      <c r="CB32" s="323" t="str">
        <f t="shared" si="40"/>
        <v/>
      </c>
      <c r="CC32" s="323" t="str">
        <f t="shared" si="40"/>
        <v/>
      </c>
      <c r="CD32" s="323" t="str">
        <f t="shared" si="40"/>
        <v/>
      </c>
      <c r="CE32" s="323" t="str">
        <f t="shared" si="40"/>
        <v/>
      </c>
      <c r="CF32" s="323" t="str">
        <f t="shared" si="40"/>
        <v/>
      </c>
      <c r="CG32" s="323" t="str">
        <f t="shared" si="40"/>
        <v/>
      </c>
      <c r="CH32" s="323" t="str">
        <f t="shared" si="40"/>
        <v/>
      </c>
      <c r="CI32" s="323" t="str">
        <f t="shared" si="40"/>
        <v/>
      </c>
      <c r="CJ32" s="323" t="str">
        <f t="shared" si="40"/>
        <v/>
      </c>
      <c r="CK32" s="323" t="str">
        <f t="shared" si="40"/>
        <v/>
      </c>
      <c r="CL32" s="323" t="str">
        <f t="shared" si="40"/>
        <v/>
      </c>
      <c r="CM32" s="323" t="str">
        <f t="shared" si="40"/>
        <v/>
      </c>
      <c r="CN32" s="323"/>
      <c r="CO32" s="323"/>
      <c r="CP32" s="323" t="str">
        <f t="shared" si="16"/>
        <v/>
      </c>
      <c r="CQ32" s="323"/>
      <c r="CR32" s="323"/>
      <c r="CS32" s="323"/>
      <c r="CT32" s="323"/>
      <c r="CU32" s="323"/>
      <c r="CV32" s="323"/>
      <c r="CW32" s="323"/>
      <c r="CX32" s="323"/>
      <c r="CY32" s="323"/>
      <c r="CZ32" s="323"/>
      <c r="DA32" s="323"/>
      <c r="DB32" s="323"/>
      <c r="DC32" s="323"/>
      <c r="DD32" s="323"/>
      <c r="DE32" s="323"/>
      <c r="DF32" s="323"/>
      <c r="DG32" s="323"/>
      <c r="DH32" s="323"/>
      <c r="DI32" s="323"/>
      <c r="DJ32" s="323"/>
      <c r="DK32" s="323"/>
      <c r="DL32" s="323"/>
      <c r="DM32" s="323"/>
      <c r="DN32" s="323"/>
      <c r="DO32" s="323"/>
      <c r="DP32" s="323"/>
      <c r="DQ32" s="323"/>
      <c r="DR32" s="323"/>
      <c r="DS32" s="323"/>
      <c r="DT32" s="323"/>
      <c r="DU32" s="323"/>
      <c r="DV32" s="323"/>
      <c r="DW32" s="323"/>
      <c r="DX32" s="323"/>
      <c r="DY32" s="323"/>
      <c r="DZ32" s="323"/>
      <c r="EA32" s="323"/>
      <c r="EB32" s="323"/>
      <c r="EC32" s="323"/>
      <c r="ED32" s="323"/>
      <c r="EE32" s="323"/>
      <c r="EF32" s="323"/>
      <c r="EG32" s="323"/>
      <c r="EH32" s="323"/>
      <c r="EI32" s="323"/>
      <c r="EJ32" s="323"/>
      <c r="EK32" s="323"/>
      <c r="EL32" s="323"/>
      <c r="EM32" s="323"/>
      <c r="EN32" s="323"/>
      <c r="EO32" s="323"/>
      <c r="EP32" s="323"/>
      <c r="EQ32" s="323"/>
      <c r="ER32" s="323"/>
      <c r="ES32" s="323"/>
      <c r="ET32" s="323"/>
      <c r="EU32" s="323"/>
      <c r="EV32" s="323"/>
      <c r="EW32" s="323"/>
      <c r="EX32" s="323"/>
      <c r="EY32" s="323"/>
      <c r="EZ32" s="323"/>
      <c r="FA32" s="323"/>
      <c r="FB32" s="323"/>
      <c r="FC32" s="323"/>
      <c r="FD32" s="323"/>
      <c r="FE32" s="323"/>
      <c r="FF32" s="323"/>
      <c r="FG32" s="323"/>
      <c r="FH32" s="323"/>
      <c r="FI32" s="323"/>
      <c r="FJ32" s="323"/>
      <c r="FK32" s="323"/>
      <c r="FL32" s="323"/>
      <c r="FM32" s="323"/>
      <c r="FN32" s="323"/>
      <c r="FO32" s="323"/>
      <c r="FP32" s="323"/>
      <c r="FQ32" s="323"/>
      <c r="FR32" s="323"/>
      <c r="FS32" s="323"/>
      <c r="FT32" s="323"/>
      <c r="FU32" s="323"/>
      <c r="FV32" s="323"/>
      <c r="FW32" s="323"/>
      <c r="FX32" s="323"/>
    </row>
    <row r="33" ht="15.75" customHeight="1">
      <c r="A33" s="44">
        <v>28.0</v>
      </c>
      <c r="C33" s="331"/>
      <c r="D33" s="44"/>
      <c r="E33" s="44"/>
      <c r="F33" s="47"/>
      <c r="G33" s="47"/>
      <c r="H33" s="47"/>
      <c r="I33" s="26"/>
      <c r="J33" s="323" t="str">
        <f t="shared" ref="J33:CM33" si="41">IF(AND($I33="Yes",J$2=$H33),"♦","")</f>
        <v/>
      </c>
      <c r="K33" s="323" t="str">
        <f t="shared" si="41"/>
        <v/>
      </c>
      <c r="L33" s="323" t="str">
        <f t="shared" si="41"/>
        <v/>
      </c>
      <c r="M33" s="323" t="str">
        <f t="shared" si="41"/>
        <v/>
      </c>
      <c r="N33" s="323" t="str">
        <f t="shared" si="41"/>
        <v/>
      </c>
      <c r="O33" s="323" t="str">
        <f t="shared" si="41"/>
        <v/>
      </c>
      <c r="P33" s="323" t="str">
        <f t="shared" si="41"/>
        <v/>
      </c>
      <c r="Q33" s="323" t="str">
        <f t="shared" si="41"/>
        <v/>
      </c>
      <c r="R33" s="323" t="str">
        <f t="shared" si="41"/>
        <v/>
      </c>
      <c r="S33" s="323" t="str">
        <f t="shared" si="41"/>
        <v/>
      </c>
      <c r="T33" s="323" t="str">
        <f t="shared" si="41"/>
        <v/>
      </c>
      <c r="U33" s="323" t="str">
        <f t="shared" si="41"/>
        <v/>
      </c>
      <c r="V33" s="323" t="str">
        <f t="shared" si="41"/>
        <v/>
      </c>
      <c r="W33" s="323" t="str">
        <f t="shared" si="41"/>
        <v/>
      </c>
      <c r="X33" s="323" t="str">
        <f t="shared" si="41"/>
        <v/>
      </c>
      <c r="Y33" s="323" t="str">
        <f t="shared" si="41"/>
        <v/>
      </c>
      <c r="Z33" s="323" t="str">
        <f t="shared" si="41"/>
        <v/>
      </c>
      <c r="AA33" s="323" t="str">
        <f t="shared" si="41"/>
        <v/>
      </c>
      <c r="AB33" s="323" t="str">
        <f t="shared" si="41"/>
        <v/>
      </c>
      <c r="AC33" s="323" t="str">
        <f t="shared" si="41"/>
        <v/>
      </c>
      <c r="AD33" s="323" t="str">
        <f t="shared" si="41"/>
        <v/>
      </c>
      <c r="AE33" s="323" t="str">
        <f t="shared" si="41"/>
        <v/>
      </c>
      <c r="AF33" s="323" t="str">
        <f t="shared" si="41"/>
        <v/>
      </c>
      <c r="AG33" s="323" t="str">
        <f t="shared" si="41"/>
        <v/>
      </c>
      <c r="AH33" s="323" t="str">
        <f t="shared" si="41"/>
        <v/>
      </c>
      <c r="AI33" s="323" t="str">
        <f t="shared" si="41"/>
        <v/>
      </c>
      <c r="AJ33" s="323" t="str">
        <f t="shared" si="41"/>
        <v/>
      </c>
      <c r="AK33" s="323" t="str">
        <f t="shared" si="41"/>
        <v/>
      </c>
      <c r="AL33" s="323" t="str">
        <f t="shared" si="41"/>
        <v/>
      </c>
      <c r="AM33" s="323" t="str">
        <f t="shared" si="41"/>
        <v/>
      </c>
      <c r="AN33" s="323" t="str">
        <f t="shared" si="41"/>
        <v/>
      </c>
      <c r="AO33" s="323" t="str">
        <f t="shared" si="41"/>
        <v/>
      </c>
      <c r="AP33" s="323" t="str">
        <f t="shared" si="41"/>
        <v/>
      </c>
      <c r="AQ33" s="323" t="str">
        <f t="shared" si="41"/>
        <v/>
      </c>
      <c r="AR33" s="323" t="str">
        <f t="shared" si="41"/>
        <v/>
      </c>
      <c r="AS33" s="323" t="str">
        <f t="shared" si="41"/>
        <v/>
      </c>
      <c r="AT33" s="323" t="str">
        <f t="shared" si="41"/>
        <v/>
      </c>
      <c r="AU33" s="323" t="str">
        <f t="shared" si="41"/>
        <v/>
      </c>
      <c r="AV33" s="323" t="str">
        <f t="shared" si="41"/>
        <v/>
      </c>
      <c r="AW33" s="323" t="str">
        <f t="shared" si="41"/>
        <v/>
      </c>
      <c r="AX33" s="323" t="str">
        <f t="shared" si="41"/>
        <v/>
      </c>
      <c r="AY33" s="323" t="str">
        <f t="shared" si="41"/>
        <v/>
      </c>
      <c r="AZ33" s="323" t="str">
        <f t="shared" si="41"/>
        <v/>
      </c>
      <c r="BA33" s="323" t="str">
        <f t="shared" si="41"/>
        <v/>
      </c>
      <c r="BB33" s="323" t="str">
        <f t="shared" si="41"/>
        <v/>
      </c>
      <c r="BC33" s="323" t="str">
        <f t="shared" si="41"/>
        <v/>
      </c>
      <c r="BD33" s="323" t="str">
        <f t="shared" si="41"/>
        <v/>
      </c>
      <c r="BE33" s="323" t="str">
        <f t="shared" si="41"/>
        <v/>
      </c>
      <c r="BF33" s="323" t="str">
        <f t="shared" si="41"/>
        <v/>
      </c>
      <c r="BG33" s="323" t="str">
        <f t="shared" si="41"/>
        <v/>
      </c>
      <c r="BH33" s="323" t="str">
        <f t="shared" si="41"/>
        <v/>
      </c>
      <c r="BI33" s="323" t="str">
        <f t="shared" si="41"/>
        <v/>
      </c>
      <c r="BJ33" s="323" t="str">
        <f t="shared" si="41"/>
        <v/>
      </c>
      <c r="BK33" s="323" t="str">
        <f t="shared" si="41"/>
        <v/>
      </c>
      <c r="BL33" s="323" t="str">
        <f t="shared" si="41"/>
        <v/>
      </c>
      <c r="BM33" s="323" t="str">
        <f t="shared" si="41"/>
        <v/>
      </c>
      <c r="BN33" s="323" t="str">
        <f t="shared" si="41"/>
        <v/>
      </c>
      <c r="BO33" s="323" t="str">
        <f t="shared" si="41"/>
        <v/>
      </c>
      <c r="BP33" s="323" t="str">
        <f t="shared" si="41"/>
        <v/>
      </c>
      <c r="BQ33" s="323" t="str">
        <f t="shared" si="41"/>
        <v/>
      </c>
      <c r="BR33" s="323" t="str">
        <f t="shared" si="41"/>
        <v/>
      </c>
      <c r="BS33" s="323" t="str">
        <f t="shared" si="41"/>
        <v/>
      </c>
      <c r="BT33" s="323" t="str">
        <f t="shared" si="41"/>
        <v/>
      </c>
      <c r="BU33" s="323" t="str">
        <f t="shared" si="41"/>
        <v/>
      </c>
      <c r="BV33" s="323" t="str">
        <f t="shared" si="41"/>
        <v/>
      </c>
      <c r="BW33" s="323" t="str">
        <f t="shared" si="41"/>
        <v/>
      </c>
      <c r="BX33" s="323" t="str">
        <f t="shared" si="41"/>
        <v/>
      </c>
      <c r="BY33" s="323" t="str">
        <f t="shared" si="41"/>
        <v/>
      </c>
      <c r="BZ33" s="323" t="str">
        <f t="shared" si="41"/>
        <v/>
      </c>
      <c r="CA33" s="323" t="str">
        <f t="shared" si="41"/>
        <v/>
      </c>
      <c r="CB33" s="323" t="str">
        <f t="shared" si="41"/>
        <v/>
      </c>
      <c r="CC33" s="323" t="str">
        <f t="shared" si="41"/>
        <v/>
      </c>
      <c r="CD33" s="323" t="str">
        <f t="shared" si="41"/>
        <v/>
      </c>
      <c r="CE33" s="323" t="str">
        <f t="shared" si="41"/>
        <v/>
      </c>
      <c r="CF33" s="323" t="str">
        <f t="shared" si="41"/>
        <v/>
      </c>
      <c r="CG33" s="323" t="str">
        <f t="shared" si="41"/>
        <v/>
      </c>
      <c r="CH33" s="323" t="str">
        <f t="shared" si="41"/>
        <v/>
      </c>
      <c r="CI33" s="323" t="str">
        <f t="shared" si="41"/>
        <v/>
      </c>
      <c r="CJ33" s="323" t="str">
        <f t="shared" si="41"/>
        <v/>
      </c>
      <c r="CK33" s="323" t="str">
        <f t="shared" si="41"/>
        <v/>
      </c>
      <c r="CL33" s="323" t="str">
        <f t="shared" si="41"/>
        <v/>
      </c>
      <c r="CM33" s="323" t="str">
        <f t="shared" si="41"/>
        <v/>
      </c>
      <c r="CN33" s="323"/>
      <c r="CO33" s="323"/>
      <c r="CP33" s="323" t="str">
        <f t="shared" si="16"/>
        <v/>
      </c>
      <c r="CQ33" s="323"/>
      <c r="CR33" s="323"/>
      <c r="CS33" s="323"/>
      <c r="CT33" s="323"/>
      <c r="CU33" s="323"/>
      <c r="CV33" s="323"/>
      <c r="CW33" s="323"/>
      <c r="CX33" s="323"/>
      <c r="CY33" s="323"/>
      <c r="CZ33" s="323"/>
      <c r="DA33" s="323"/>
      <c r="DB33" s="323"/>
      <c r="DC33" s="323"/>
      <c r="DD33" s="323"/>
      <c r="DE33" s="323"/>
      <c r="DF33" s="323"/>
      <c r="DG33" s="323"/>
      <c r="DH33" s="323"/>
      <c r="DI33" s="323"/>
      <c r="DJ33" s="323"/>
      <c r="DK33" s="323"/>
      <c r="DL33" s="323"/>
      <c r="DM33" s="323"/>
      <c r="DN33" s="323"/>
      <c r="DO33" s="323"/>
      <c r="DP33" s="323"/>
      <c r="DQ33" s="323"/>
      <c r="DR33" s="323"/>
      <c r="DS33" s="323"/>
      <c r="DT33" s="323"/>
      <c r="DU33" s="323"/>
      <c r="DV33" s="323"/>
      <c r="DW33" s="323"/>
      <c r="DX33" s="323"/>
      <c r="DY33" s="323"/>
      <c r="DZ33" s="323"/>
      <c r="EA33" s="323"/>
      <c r="EB33" s="323"/>
      <c r="EC33" s="323"/>
      <c r="ED33" s="323"/>
      <c r="EE33" s="323"/>
      <c r="EF33" s="323"/>
      <c r="EG33" s="323"/>
      <c r="EH33" s="323"/>
      <c r="EI33" s="323"/>
      <c r="EJ33" s="323"/>
      <c r="EK33" s="323"/>
      <c r="EL33" s="323"/>
      <c r="EM33" s="323"/>
      <c r="EN33" s="323"/>
      <c r="EO33" s="323"/>
      <c r="EP33" s="323"/>
      <c r="EQ33" s="323"/>
      <c r="ER33" s="323"/>
      <c r="ES33" s="323"/>
      <c r="ET33" s="323"/>
      <c r="EU33" s="323"/>
      <c r="EV33" s="323"/>
      <c r="EW33" s="323"/>
      <c r="EX33" s="323"/>
      <c r="EY33" s="323"/>
      <c r="EZ33" s="323"/>
      <c r="FA33" s="323"/>
      <c r="FB33" s="323"/>
      <c r="FC33" s="323"/>
      <c r="FD33" s="323"/>
      <c r="FE33" s="323"/>
      <c r="FF33" s="323"/>
      <c r="FG33" s="323"/>
      <c r="FH33" s="323"/>
      <c r="FI33" s="323"/>
      <c r="FJ33" s="323"/>
      <c r="FK33" s="323"/>
      <c r="FL33" s="323"/>
      <c r="FM33" s="323"/>
      <c r="FN33" s="323"/>
      <c r="FO33" s="323"/>
      <c r="FP33" s="323"/>
      <c r="FQ33" s="323"/>
      <c r="FR33" s="323"/>
      <c r="FS33" s="323"/>
      <c r="FT33" s="323"/>
      <c r="FU33" s="323"/>
      <c r="FV33" s="323"/>
      <c r="FW33" s="323"/>
      <c r="FX33" s="323"/>
    </row>
    <row r="34" ht="15.75" customHeight="1">
      <c r="A34" s="44">
        <v>29.0</v>
      </c>
      <c r="C34" s="331"/>
      <c r="D34" s="44"/>
      <c r="E34" s="44"/>
      <c r="F34" s="47"/>
      <c r="G34" s="47"/>
      <c r="H34" s="47"/>
      <c r="I34" s="26"/>
      <c r="J34" s="323" t="str">
        <f t="shared" ref="J34:CM34" si="42">IF(AND($I34="Yes",J$2=$H34),"♦","")</f>
        <v/>
      </c>
      <c r="K34" s="323" t="str">
        <f t="shared" si="42"/>
        <v/>
      </c>
      <c r="L34" s="323" t="str">
        <f t="shared" si="42"/>
        <v/>
      </c>
      <c r="M34" s="323" t="str">
        <f t="shared" si="42"/>
        <v/>
      </c>
      <c r="N34" s="323" t="str">
        <f t="shared" si="42"/>
        <v/>
      </c>
      <c r="O34" s="323" t="str">
        <f t="shared" si="42"/>
        <v/>
      </c>
      <c r="P34" s="323" t="str">
        <f t="shared" si="42"/>
        <v/>
      </c>
      <c r="Q34" s="323" t="str">
        <f t="shared" si="42"/>
        <v/>
      </c>
      <c r="R34" s="323" t="str">
        <f t="shared" si="42"/>
        <v/>
      </c>
      <c r="S34" s="323" t="str">
        <f t="shared" si="42"/>
        <v/>
      </c>
      <c r="T34" s="323" t="str">
        <f t="shared" si="42"/>
        <v/>
      </c>
      <c r="U34" s="323" t="str">
        <f t="shared" si="42"/>
        <v/>
      </c>
      <c r="V34" s="323" t="str">
        <f t="shared" si="42"/>
        <v/>
      </c>
      <c r="W34" s="323" t="str">
        <f t="shared" si="42"/>
        <v/>
      </c>
      <c r="X34" s="323" t="str">
        <f t="shared" si="42"/>
        <v/>
      </c>
      <c r="Y34" s="323" t="str">
        <f t="shared" si="42"/>
        <v/>
      </c>
      <c r="Z34" s="323" t="str">
        <f t="shared" si="42"/>
        <v/>
      </c>
      <c r="AA34" s="323" t="str">
        <f t="shared" si="42"/>
        <v/>
      </c>
      <c r="AB34" s="323" t="str">
        <f t="shared" si="42"/>
        <v/>
      </c>
      <c r="AC34" s="323" t="str">
        <f t="shared" si="42"/>
        <v/>
      </c>
      <c r="AD34" s="323" t="str">
        <f t="shared" si="42"/>
        <v/>
      </c>
      <c r="AE34" s="323" t="str">
        <f t="shared" si="42"/>
        <v/>
      </c>
      <c r="AF34" s="323" t="str">
        <f t="shared" si="42"/>
        <v/>
      </c>
      <c r="AG34" s="323" t="str">
        <f t="shared" si="42"/>
        <v/>
      </c>
      <c r="AH34" s="323" t="str">
        <f t="shared" si="42"/>
        <v/>
      </c>
      <c r="AI34" s="323" t="str">
        <f t="shared" si="42"/>
        <v/>
      </c>
      <c r="AJ34" s="323" t="str">
        <f t="shared" si="42"/>
        <v/>
      </c>
      <c r="AK34" s="323" t="str">
        <f t="shared" si="42"/>
        <v/>
      </c>
      <c r="AL34" s="323" t="str">
        <f t="shared" si="42"/>
        <v/>
      </c>
      <c r="AM34" s="323" t="str">
        <f t="shared" si="42"/>
        <v/>
      </c>
      <c r="AN34" s="323" t="str">
        <f t="shared" si="42"/>
        <v/>
      </c>
      <c r="AO34" s="323" t="str">
        <f t="shared" si="42"/>
        <v/>
      </c>
      <c r="AP34" s="323" t="str">
        <f t="shared" si="42"/>
        <v/>
      </c>
      <c r="AQ34" s="323" t="str">
        <f t="shared" si="42"/>
        <v/>
      </c>
      <c r="AR34" s="323" t="str">
        <f t="shared" si="42"/>
        <v/>
      </c>
      <c r="AS34" s="323" t="str">
        <f t="shared" si="42"/>
        <v/>
      </c>
      <c r="AT34" s="323" t="str">
        <f t="shared" si="42"/>
        <v/>
      </c>
      <c r="AU34" s="323" t="str">
        <f t="shared" si="42"/>
        <v/>
      </c>
      <c r="AV34" s="323" t="str">
        <f t="shared" si="42"/>
        <v/>
      </c>
      <c r="AW34" s="323" t="str">
        <f t="shared" si="42"/>
        <v/>
      </c>
      <c r="AX34" s="323" t="str">
        <f t="shared" si="42"/>
        <v/>
      </c>
      <c r="AY34" s="323" t="str">
        <f t="shared" si="42"/>
        <v/>
      </c>
      <c r="AZ34" s="323" t="str">
        <f t="shared" si="42"/>
        <v/>
      </c>
      <c r="BA34" s="323" t="str">
        <f t="shared" si="42"/>
        <v/>
      </c>
      <c r="BB34" s="323" t="str">
        <f t="shared" si="42"/>
        <v/>
      </c>
      <c r="BC34" s="323" t="str">
        <f t="shared" si="42"/>
        <v/>
      </c>
      <c r="BD34" s="323" t="str">
        <f t="shared" si="42"/>
        <v/>
      </c>
      <c r="BE34" s="323" t="str">
        <f t="shared" si="42"/>
        <v/>
      </c>
      <c r="BF34" s="323" t="str">
        <f t="shared" si="42"/>
        <v/>
      </c>
      <c r="BG34" s="323" t="str">
        <f t="shared" si="42"/>
        <v/>
      </c>
      <c r="BH34" s="323" t="str">
        <f t="shared" si="42"/>
        <v/>
      </c>
      <c r="BI34" s="323" t="str">
        <f t="shared" si="42"/>
        <v/>
      </c>
      <c r="BJ34" s="323" t="str">
        <f t="shared" si="42"/>
        <v/>
      </c>
      <c r="BK34" s="323" t="str">
        <f t="shared" si="42"/>
        <v/>
      </c>
      <c r="BL34" s="323" t="str">
        <f t="shared" si="42"/>
        <v/>
      </c>
      <c r="BM34" s="323" t="str">
        <f t="shared" si="42"/>
        <v/>
      </c>
      <c r="BN34" s="323" t="str">
        <f t="shared" si="42"/>
        <v/>
      </c>
      <c r="BO34" s="323" t="str">
        <f t="shared" si="42"/>
        <v/>
      </c>
      <c r="BP34" s="323" t="str">
        <f t="shared" si="42"/>
        <v/>
      </c>
      <c r="BQ34" s="323" t="str">
        <f t="shared" si="42"/>
        <v/>
      </c>
      <c r="BR34" s="323" t="str">
        <f t="shared" si="42"/>
        <v/>
      </c>
      <c r="BS34" s="323" t="str">
        <f t="shared" si="42"/>
        <v/>
      </c>
      <c r="BT34" s="323" t="str">
        <f t="shared" si="42"/>
        <v/>
      </c>
      <c r="BU34" s="323" t="str">
        <f t="shared" si="42"/>
        <v/>
      </c>
      <c r="BV34" s="323" t="str">
        <f t="shared" si="42"/>
        <v/>
      </c>
      <c r="BW34" s="323" t="str">
        <f t="shared" si="42"/>
        <v/>
      </c>
      <c r="BX34" s="323" t="str">
        <f t="shared" si="42"/>
        <v/>
      </c>
      <c r="BY34" s="323" t="str">
        <f t="shared" si="42"/>
        <v/>
      </c>
      <c r="BZ34" s="323" t="str">
        <f t="shared" si="42"/>
        <v/>
      </c>
      <c r="CA34" s="323" t="str">
        <f t="shared" si="42"/>
        <v/>
      </c>
      <c r="CB34" s="323" t="str">
        <f t="shared" si="42"/>
        <v/>
      </c>
      <c r="CC34" s="323" t="str">
        <f t="shared" si="42"/>
        <v/>
      </c>
      <c r="CD34" s="323" t="str">
        <f t="shared" si="42"/>
        <v/>
      </c>
      <c r="CE34" s="323" t="str">
        <f t="shared" si="42"/>
        <v/>
      </c>
      <c r="CF34" s="323" t="str">
        <f t="shared" si="42"/>
        <v/>
      </c>
      <c r="CG34" s="323" t="str">
        <f t="shared" si="42"/>
        <v/>
      </c>
      <c r="CH34" s="323" t="str">
        <f t="shared" si="42"/>
        <v/>
      </c>
      <c r="CI34" s="323" t="str">
        <f t="shared" si="42"/>
        <v/>
      </c>
      <c r="CJ34" s="323" t="str">
        <f t="shared" si="42"/>
        <v/>
      </c>
      <c r="CK34" s="323" t="str">
        <f t="shared" si="42"/>
        <v/>
      </c>
      <c r="CL34" s="323" t="str">
        <f t="shared" si="42"/>
        <v/>
      </c>
      <c r="CM34" s="323" t="str">
        <f t="shared" si="42"/>
        <v/>
      </c>
      <c r="CN34" s="323"/>
      <c r="CO34" s="323"/>
      <c r="CP34" s="323" t="str">
        <f t="shared" si="16"/>
        <v/>
      </c>
      <c r="CQ34" s="323"/>
      <c r="CR34" s="323"/>
      <c r="CS34" s="323"/>
      <c r="CT34" s="323"/>
      <c r="CU34" s="323"/>
      <c r="CV34" s="323"/>
      <c r="CW34" s="323"/>
      <c r="CX34" s="323"/>
      <c r="CY34" s="323"/>
      <c r="CZ34" s="323"/>
      <c r="DA34" s="323"/>
      <c r="DB34" s="323"/>
      <c r="DC34" s="323"/>
      <c r="DD34" s="323"/>
      <c r="DE34" s="323"/>
      <c r="DF34" s="323"/>
      <c r="DG34" s="323"/>
      <c r="DH34" s="323"/>
      <c r="DI34" s="323"/>
      <c r="DJ34" s="323"/>
      <c r="DK34" s="323"/>
      <c r="DL34" s="323"/>
      <c r="DM34" s="323"/>
      <c r="DN34" s="323"/>
      <c r="DO34" s="323"/>
      <c r="DP34" s="323"/>
      <c r="DQ34" s="323"/>
      <c r="DR34" s="323"/>
      <c r="DS34" s="323"/>
      <c r="DT34" s="323"/>
      <c r="DU34" s="323"/>
      <c r="DV34" s="323"/>
      <c r="DW34" s="323"/>
      <c r="DX34" s="323"/>
      <c r="DY34" s="323"/>
      <c r="DZ34" s="323"/>
      <c r="EA34" s="323"/>
      <c r="EB34" s="323"/>
      <c r="EC34" s="323"/>
      <c r="ED34" s="323"/>
      <c r="EE34" s="323"/>
      <c r="EF34" s="323"/>
      <c r="EG34" s="323"/>
      <c r="EH34" s="323"/>
      <c r="EI34" s="323"/>
      <c r="EJ34" s="323"/>
      <c r="EK34" s="323"/>
      <c r="EL34" s="323"/>
      <c r="EM34" s="323"/>
      <c r="EN34" s="323"/>
      <c r="EO34" s="323"/>
      <c r="EP34" s="323"/>
      <c r="EQ34" s="323"/>
      <c r="ER34" s="323"/>
      <c r="ES34" s="323"/>
      <c r="ET34" s="323"/>
      <c r="EU34" s="323"/>
      <c r="EV34" s="323"/>
      <c r="EW34" s="323"/>
      <c r="EX34" s="323"/>
      <c r="EY34" s="323"/>
      <c r="EZ34" s="323"/>
      <c r="FA34" s="323"/>
      <c r="FB34" s="323"/>
      <c r="FC34" s="323"/>
      <c r="FD34" s="323"/>
      <c r="FE34" s="323"/>
      <c r="FF34" s="323"/>
      <c r="FG34" s="323"/>
      <c r="FH34" s="323"/>
      <c r="FI34" s="323"/>
      <c r="FJ34" s="323"/>
      <c r="FK34" s="323"/>
      <c r="FL34" s="323"/>
      <c r="FM34" s="323"/>
      <c r="FN34" s="323"/>
      <c r="FO34" s="323"/>
      <c r="FP34" s="323"/>
      <c r="FQ34" s="323"/>
      <c r="FR34" s="323"/>
      <c r="FS34" s="323"/>
      <c r="FT34" s="323"/>
      <c r="FU34" s="323"/>
      <c r="FV34" s="323"/>
      <c r="FW34" s="323"/>
      <c r="FX34" s="323"/>
    </row>
    <row r="35" ht="15.75" customHeight="1">
      <c r="A35" s="44">
        <v>30.0</v>
      </c>
      <c r="C35" s="331"/>
      <c r="D35" s="44"/>
      <c r="E35" s="44"/>
      <c r="F35" s="47"/>
      <c r="G35" s="47"/>
      <c r="H35" s="47"/>
      <c r="I35" s="26"/>
      <c r="J35" s="323" t="str">
        <f t="shared" ref="J35:CM35" si="43">IF(AND($I35="Yes",J$2=$H35),"♦","")</f>
        <v/>
      </c>
      <c r="K35" s="323" t="str">
        <f t="shared" si="43"/>
        <v/>
      </c>
      <c r="L35" s="323" t="str">
        <f t="shared" si="43"/>
        <v/>
      </c>
      <c r="M35" s="323" t="str">
        <f t="shared" si="43"/>
        <v/>
      </c>
      <c r="N35" s="323" t="str">
        <f t="shared" si="43"/>
        <v/>
      </c>
      <c r="O35" s="323" t="str">
        <f t="shared" si="43"/>
        <v/>
      </c>
      <c r="P35" s="323" t="str">
        <f t="shared" si="43"/>
        <v/>
      </c>
      <c r="Q35" s="323" t="str">
        <f t="shared" si="43"/>
        <v/>
      </c>
      <c r="R35" s="323" t="str">
        <f t="shared" si="43"/>
        <v/>
      </c>
      <c r="S35" s="323" t="str">
        <f t="shared" si="43"/>
        <v/>
      </c>
      <c r="T35" s="323" t="str">
        <f t="shared" si="43"/>
        <v/>
      </c>
      <c r="U35" s="323" t="str">
        <f t="shared" si="43"/>
        <v/>
      </c>
      <c r="V35" s="323" t="str">
        <f t="shared" si="43"/>
        <v/>
      </c>
      <c r="W35" s="323" t="str">
        <f t="shared" si="43"/>
        <v/>
      </c>
      <c r="X35" s="323" t="str">
        <f t="shared" si="43"/>
        <v/>
      </c>
      <c r="Y35" s="323" t="str">
        <f t="shared" si="43"/>
        <v/>
      </c>
      <c r="Z35" s="323" t="str">
        <f t="shared" si="43"/>
        <v/>
      </c>
      <c r="AA35" s="323" t="str">
        <f t="shared" si="43"/>
        <v/>
      </c>
      <c r="AB35" s="323" t="str">
        <f t="shared" si="43"/>
        <v/>
      </c>
      <c r="AC35" s="323" t="str">
        <f t="shared" si="43"/>
        <v/>
      </c>
      <c r="AD35" s="323" t="str">
        <f t="shared" si="43"/>
        <v/>
      </c>
      <c r="AE35" s="323" t="str">
        <f t="shared" si="43"/>
        <v/>
      </c>
      <c r="AF35" s="323" t="str">
        <f t="shared" si="43"/>
        <v/>
      </c>
      <c r="AG35" s="323" t="str">
        <f t="shared" si="43"/>
        <v/>
      </c>
      <c r="AH35" s="323" t="str">
        <f t="shared" si="43"/>
        <v/>
      </c>
      <c r="AI35" s="323" t="str">
        <f t="shared" si="43"/>
        <v/>
      </c>
      <c r="AJ35" s="323" t="str">
        <f t="shared" si="43"/>
        <v/>
      </c>
      <c r="AK35" s="323" t="str">
        <f t="shared" si="43"/>
        <v/>
      </c>
      <c r="AL35" s="323" t="str">
        <f t="shared" si="43"/>
        <v/>
      </c>
      <c r="AM35" s="323" t="str">
        <f t="shared" si="43"/>
        <v/>
      </c>
      <c r="AN35" s="323" t="str">
        <f t="shared" si="43"/>
        <v/>
      </c>
      <c r="AO35" s="323" t="str">
        <f t="shared" si="43"/>
        <v/>
      </c>
      <c r="AP35" s="323" t="str">
        <f t="shared" si="43"/>
        <v/>
      </c>
      <c r="AQ35" s="323" t="str">
        <f t="shared" si="43"/>
        <v/>
      </c>
      <c r="AR35" s="323" t="str">
        <f t="shared" si="43"/>
        <v/>
      </c>
      <c r="AS35" s="323" t="str">
        <f t="shared" si="43"/>
        <v/>
      </c>
      <c r="AT35" s="323" t="str">
        <f t="shared" si="43"/>
        <v/>
      </c>
      <c r="AU35" s="323" t="str">
        <f t="shared" si="43"/>
        <v/>
      </c>
      <c r="AV35" s="323" t="str">
        <f t="shared" si="43"/>
        <v/>
      </c>
      <c r="AW35" s="323" t="str">
        <f t="shared" si="43"/>
        <v/>
      </c>
      <c r="AX35" s="323" t="str">
        <f t="shared" si="43"/>
        <v/>
      </c>
      <c r="AY35" s="323" t="str">
        <f t="shared" si="43"/>
        <v/>
      </c>
      <c r="AZ35" s="323" t="str">
        <f t="shared" si="43"/>
        <v/>
      </c>
      <c r="BA35" s="323" t="str">
        <f t="shared" si="43"/>
        <v/>
      </c>
      <c r="BB35" s="323" t="str">
        <f t="shared" si="43"/>
        <v/>
      </c>
      <c r="BC35" s="323" t="str">
        <f t="shared" si="43"/>
        <v/>
      </c>
      <c r="BD35" s="323" t="str">
        <f t="shared" si="43"/>
        <v/>
      </c>
      <c r="BE35" s="323" t="str">
        <f t="shared" si="43"/>
        <v/>
      </c>
      <c r="BF35" s="323" t="str">
        <f t="shared" si="43"/>
        <v/>
      </c>
      <c r="BG35" s="323" t="str">
        <f t="shared" si="43"/>
        <v/>
      </c>
      <c r="BH35" s="323" t="str">
        <f t="shared" si="43"/>
        <v/>
      </c>
      <c r="BI35" s="323" t="str">
        <f t="shared" si="43"/>
        <v/>
      </c>
      <c r="BJ35" s="323" t="str">
        <f t="shared" si="43"/>
        <v/>
      </c>
      <c r="BK35" s="323" t="str">
        <f t="shared" si="43"/>
        <v/>
      </c>
      <c r="BL35" s="323" t="str">
        <f t="shared" si="43"/>
        <v/>
      </c>
      <c r="BM35" s="323" t="str">
        <f t="shared" si="43"/>
        <v/>
      </c>
      <c r="BN35" s="323" t="str">
        <f t="shared" si="43"/>
        <v/>
      </c>
      <c r="BO35" s="323" t="str">
        <f t="shared" si="43"/>
        <v/>
      </c>
      <c r="BP35" s="323" t="str">
        <f t="shared" si="43"/>
        <v/>
      </c>
      <c r="BQ35" s="323" t="str">
        <f t="shared" si="43"/>
        <v/>
      </c>
      <c r="BR35" s="323" t="str">
        <f t="shared" si="43"/>
        <v/>
      </c>
      <c r="BS35" s="323" t="str">
        <f t="shared" si="43"/>
        <v/>
      </c>
      <c r="BT35" s="323" t="str">
        <f t="shared" si="43"/>
        <v/>
      </c>
      <c r="BU35" s="323" t="str">
        <f t="shared" si="43"/>
        <v/>
      </c>
      <c r="BV35" s="323" t="str">
        <f t="shared" si="43"/>
        <v/>
      </c>
      <c r="BW35" s="323" t="str">
        <f t="shared" si="43"/>
        <v/>
      </c>
      <c r="BX35" s="323" t="str">
        <f t="shared" si="43"/>
        <v/>
      </c>
      <c r="BY35" s="323" t="str">
        <f t="shared" si="43"/>
        <v/>
      </c>
      <c r="BZ35" s="323" t="str">
        <f t="shared" si="43"/>
        <v/>
      </c>
      <c r="CA35" s="323" t="str">
        <f t="shared" si="43"/>
        <v/>
      </c>
      <c r="CB35" s="323" t="str">
        <f t="shared" si="43"/>
        <v/>
      </c>
      <c r="CC35" s="323" t="str">
        <f t="shared" si="43"/>
        <v/>
      </c>
      <c r="CD35" s="323" t="str">
        <f t="shared" si="43"/>
        <v/>
      </c>
      <c r="CE35" s="323" t="str">
        <f t="shared" si="43"/>
        <v/>
      </c>
      <c r="CF35" s="323" t="str">
        <f t="shared" si="43"/>
        <v/>
      </c>
      <c r="CG35" s="323" t="str">
        <f t="shared" si="43"/>
        <v/>
      </c>
      <c r="CH35" s="323" t="str">
        <f t="shared" si="43"/>
        <v/>
      </c>
      <c r="CI35" s="323" t="str">
        <f t="shared" si="43"/>
        <v/>
      </c>
      <c r="CJ35" s="323" t="str">
        <f t="shared" si="43"/>
        <v/>
      </c>
      <c r="CK35" s="323" t="str">
        <f t="shared" si="43"/>
        <v/>
      </c>
      <c r="CL35" s="323" t="str">
        <f t="shared" si="43"/>
        <v/>
      </c>
      <c r="CM35" s="323" t="str">
        <f t="shared" si="43"/>
        <v/>
      </c>
      <c r="CN35" s="323"/>
      <c r="CO35" s="323"/>
      <c r="CP35" s="323" t="str">
        <f t="shared" si="16"/>
        <v/>
      </c>
      <c r="CQ35" s="323"/>
      <c r="CR35" s="323"/>
      <c r="CS35" s="323"/>
      <c r="CT35" s="323"/>
      <c r="CU35" s="323"/>
      <c r="CV35" s="323"/>
      <c r="CW35" s="323"/>
      <c r="CX35" s="323"/>
      <c r="CY35" s="323"/>
      <c r="CZ35" s="323"/>
      <c r="DA35" s="323"/>
      <c r="DB35" s="323"/>
      <c r="DC35" s="323"/>
      <c r="DD35" s="323"/>
      <c r="DE35" s="323"/>
      <c r="DF35" s="323"/>
      <c r="DG35" s="323"/>
      <c r="DH35" s="323"/>
      <c r="DI35" s="323"/>
      <c r="DJ35" s="323"/>
      <c r="DK35" s="323"/>
      <c r="DL35" s="323"/>
      <c r="DM35" s="323"/>
      <c r="DN35" s="323"/>
      <c r="DO35" s="323"/>
      <c r="DP35" s="323"/>
      <c r="DQ35" s="323"/>
      <c r="DR35" s="323"/>
      <c r="DS35" s="323"/>
      <c r="DT35" s="323"/>
      <c r="DU35" s="323"/>
      <c r="DV35" s="323"/>
      <c r="DW35" s="323"/>
      <c r="DX35" s="323"/>
      <c r="DY35" s="323"/>
      <c r="DZ35" s="323"/>
      <c r="EA35" s="323"/>
      <c r="EB35" s="323"/>
      <c r="EC35" s="323"/>
      <c r="ED35" s="323"/>
      <c r="EE35" s="323"/>
      <c r="EF35" s="323"/>
      <c r="EG35" s="323"/>
      <c r="EH35" s="323"/>
      <c r="EI35" s="323"/>
      <c r="EJ35" s="323"/>
      <c r="EK35" s="323"/>
      <c r="EL35" s="323"/>
      <c r="EM35" s="323"/>
      <c r="EN35" s="323"/>
      <c r="EO35" s="323"/>
      <c r="EP35" s="323"/>
      <c r="EQ35" s="323"/>
      <c r="ER35" s="323"/>
      <c r="ES35" s="323"/>
      <c r="ET35" s="323"/>
      <c r="EU35" s="323"/>
      <c r="EV35" s="323"/>
      <c r="EW35" s="323"/>
      <c r="EX35" s="323"/>
      <c r="EY35" s="323"/>
      <c r="EZ35" s="323"/>
      <c r="FA35" s="323"/>
      <c r="FB35" s="323"/>
      <c r="FC35" s="323"/>
      <c r="FD35" s="323"/>
      <c r="FE35" s="323"/>
      <c r="FF35" s="323"/>
      <c r="FG35" s="323"/>
      <c r="FH35" s="323"/>
      <c r="FI35" s="323"/>
      <c r="FJ35" s="323"/>
      <c r="FK35" s="323"/>
      <c r="FL35" s="323"/>
      <c r="FM35" s="323"/>
      <c r="FN35" s="323"/>
      <c r="FO35" s="323"/>
      <c r="FP35" s="323"/>
      <c r="FQ35" s="323"/>
      <c r="FR35" s="323"/>
      <c r="FS35" s="323"/>
      <c r="FT35" s="323"/>
      <c r="FU35" s="323"/>
      <c r="FV35" s="323"/>
      <c r="FW35" s="323"/>
      <c r="FX35" s="323"/>
    </row>
    <row r="36" ht="15.75" customHeight="1">
      <c r="A36" s="44">
        <v>31.0</v>
      </c>
      <c r="C36" s="331"/>
      <c r="D36" s="44"/>
      <c r="E36" s="44"/>
      <c r="F36" s="47"/>
      <c r="G36" s="47"/>
      <c r="H36" s="47"/>
      <c r="I36" s="26"/>
      <c r="J36" s="323" t="str">
        <f t="shared" ref="J36:CM36" si="44">IF(AND($I36="Yes",J$2=$H36),"♦","")</f>
        <v/>
      </c>
      <c r="K36" s="323" t="str">
        <f t="shared" si="44"/>
        <v/>
      </c>
      <c r="L36" s="323" t="str">
        <f t="shared" si="44"/>
        <v/>
      </c>
      <c r="M36" s="323" t="str">
        <f t="shared" si="44"/>
        <v/>
      </c>
      <c r="N36" s="323" t="str">
        <f t="shared" si="44"/>
        <v/>
      </c>
      <c r="O36" s="323" t="str">
        <f t="shared" si="44"/>
        <v/>
      </c>
      <c r="P36" s="323" t="str">
        <f t="shared" si="44"/>
        <v/>
      </c>
      <c r="Q36" s="323" t="str">
        <f t="shared" si="44"/>
        <v/>
      </c>
      <c r="R36" s="323" t="str">
        <f t="shared" si="44"/>
        <v/>
      </c>
      <c r="S36" s="323" t="str">
        <f t="shared" si="44"/>
        <v/>
      </c>
      <c r="T36" s="323" t="str">
        <f t="shared" si="44"/>
        <v/>
      </c>
      <c r="U36" s="323" t="str">
        <f t="shared" si="44"/>
        <v/>
      </c>
      <c r="V36" s="323" t="str">
        <f t="shared" si="44"/>
        <v/>
      </c>
      <c r="W36" s="323" t="str">
        <f t="shared" si="44"/>
        <v/>
      </c>
      <c r="X36" s="323" t="str">
        <f t="shared" si="44"/>
        <v/>
      </c>
      <c r="Y36" s="323" t="str">
        <f t="shared" si="44"/>
        <v/>
      </c>
      <c r="Z36" s="323" t="str">
        <f t="shared" si="44"/>
        <v/>
      </c>
      <c r="AA36" s="323" t="str">
        <f t="shared" si="44"/>
        <v/>
      </c>
      <c r="AB36" s="323" t="str">
        <f t="shared" si="44"/>
        <v/>
      </c>
      <c r="AC36" s="323" t="str">
        <f t="shared" si="44"/>
        <v/>
      </c>
      <c r="AD36" s="323" t="str">
        <f t="shared" si="44"/>
        <v/>
      </c>
      <c r="AE36" s="323" t="str">
        <f t="shared" si="44"/>
        <v/>
      </c>
      <c r="AF36" s="323" t="str">
        <f t="shared" si="44"/>
        <v/>
      </c>
      <c r="AG36" s="323" t="str">
        <f t="shared" si="44"/>
        <v/>
      </c>
      <c r="AH36" s="323" t="str">
        <f t="shared" si="44"/>
        <v/>
      </c>
      <c r="AI36" s="323" t="str">
        <f t="shared" si="44"/>
        <v/>
      </c>
      <c r="AJ36" s="323" t="str">
        <f t="shared" si="44"/>
        <v/>
      </c>
      <c r="AK36" s="323" t="str">
        <f t="shared" si="44"/>
        <v/>
      </c>
      <c r="AL36" s="323" t="str">
        <f t="shared" si="44"/>
        <v/>
      </c>
      <c r="AM36" s="323" t="str">
        <f t="shared" si="44"/>
        <v/>
      </c>
      <c r="AN36" s="323" t="str">
        <f t="shared" si="44"/>
        <v/>
      </c>
      <c r="AO36" s="323" t="str">
        <f t="shared" si="44"/>
        <v/>
      </c>
      <c r="AP36" s="323" t="str">
        <f t="shared" si="44"/>
        <v/>
      </c>
      <c r="AQ36" s="323" t="str">
        <f t="shared" si="44"/>
        <v/>
      </c>
      <c r="AR36" s="323" t="str">
        <f t="shared" si="44"/>
        <v/>
      </c>
      <c r="AS36" s="323" t="str">
        <f t="shared" si="44"/>
        <v/>
      </c>
      <c r="AT36" s="323" t="str">
        <f t="shared" si="44"/>
        <v/>
      </c>
      <c r="AU36" s="323" t="str">
        <f t="shared" si="44"/>
        <v/>
      </c>
      <c r="AV36" s="323" t="str">
        <f t="shared" si="44"/>
        <v/>
      </c>
      <c r="AW36" s="323" t="str">
        <f t="shared" si="44"/>
        <v/>
      </c>
      <c r="AX36" s="323" t="str">
        <f t="shared" si="44"/>
        <v/>
      </c>
      <c r="AY36" s="323" t="str">
        <f t="shared" si="44"/>
        <v/>
      </c>
      <c r="AZ36" s="323" t="str">
        <f t="shared" si="44"/>
        <v/>
      </c>
      <c r="BA36" s="323" t="str">
        <f t="shared" si="44"/>
        <v/>
      </c>
      <c r="BB36" s="323" t="str">
        <f t="shared" si="44"/>
        <v/>
      </c>
      <c r="BC36" s="323" t="str">
        <f t="shared" si="44"/>
        <v/>
      </c>
      <c r="BD36" s="323" t="str">
        <f t="shared" si="44"/>
        <v/>
      </c>
      <c r="BE36" s="323" t="str">
        <f t="shared" si="44"/>
        <v/>
      </c>
      <c r="BF36" s="323" t="str">
        <f t="shared" si="44"/>
        <v/>
      </c>
      <c r="BG36" s="323" t="str">
        <f t="shared" si="44"/>
        <v/>
      </c>
      <c r="BH36" s="323" t="str">
        <f t="shared" si="44"/>
        <v/>
      </c>
      <c r="BI36" s="323" t="str">
        <f t="shared" si="44"/>
        <v/>
      </c>
      <c r="BJ36" s="323" t="str">
        <f t="shared" si="44"/>
        <v/>
      </c>
      <c r="BK36" s="323" t="str">
        <f t="shared" si="44"/>
        <v/>
      </c>
      <c r="BL36" s="323" t="str">
        <f t="shared" si="44"/>
        <v/>
      </c>
      <c r="BM36" s="323" t="str">
        <f t="shared" si="44"/>
        <v/>
      </c>
      <c r="BN36" s="323" t="str">
        <f t="shared" si="44"/>
        <v/>
      </c>
      <c r="BO36" s="323" t="str">
        <f t="shared" si="44"/>
        <v/>
      </c>
      <c r="BP36" s="323" t="str">
        <f t="shared" si="44"/>
        <v/>
      </c>
      <c r="BQ36" s="323" t="str">
        <f t="shared" si="44"/>
        <v/>
      </c>
      <c r="BR36" s="323" t="str">
        <f t="shared" si="44"/>
        <v/>
      </c>
      <c r="BS36" s="323" t="str">
        <f t="shared" si="44"/>
        <v/>
      </c>
      <c r="BT36" s="323" t="str">
        <f t="shared" si="44"/>
        <v/>
      </c>
      <c r="BU36" s="323" t="str">
        <f t="shared" si="44"/>
        <v/>
      </c>
      <c r="BV36" s="323" t="str">
        <f t="shared" si="44"/>
        <v/>
      </c>
      <c r="BW36" s="323" t="str">
        <f t="shared" si="44"/>
        <v/>
      </c>
      <c r="BX36" s="323" t="str">
        <f t="shared" si="44"/>
        <v/>
      </c>
      <c r="BY36" s="323" t="str">
        <f t="shared" si="44"/>
        <v/>
      </c>
      <c r="BZ36" s="323" t="str">
        <f t="shared" si="44"/>
        <v/>
      </c>
      <c r="CA36" s="323" t="str">
        <f t="shared" si="44"/>
        <v/>
      </c>
      <c r="CB36" s="323" t="str">
        <f t="shared" si="44"/>
        <v/>
      </c>
      <c r="CC36" s="323" t="str">
        <f t="shared" si="44"/>
        <v/>
      </c>
      <c r="CD36" s="323" t="str">
        <f t="shared" si="44"/>
        <v/>
      </c>
      <c r="CE36" s="323" t="str">
        <f t="shared" si="44"/>
        <v/>
      </c>
      <c r="CF36" s="323" t="str">
        <f t="shared" si="44"/>
        <v/>
      </c>
      <c r="CG36" s="323" t="str">
        <f t="shared" si="44"/>
        <v/>
      </c>
      <c r="CH36" s="323" t="str">
        <f t="shared" si="44"/>
        <v/>
      </c>
      <c r="CI36" s="323" t="str">
        <f t="shared" si="44"/>
        <v/>
      </c>
      <c r="CJ36" s="323" t="str">
        <f t="shared" si="44"/>
        <v/>
      </c>
      <c r="CK36" s="323" t="str">
        <f t="shared" si="44"/>
        <v/>
      </c>
      <c r="CL36" s="323" t="str">
        <f t="shared" si="44"/>
        <v/>
      </c>
      <c r="CM36" s="323" t="str">
        <f t="shared" si="44"/>
        <v/>
      </c>
      <c r="CN36" s="323"/>
      <c r="CO36" s="323"/>
      <c r="CP36" s="323" t="str">
        <f t="shared" si="16"/>
        <v/>
      </c>
      <c r="CQ36" s="323"/>
      <c r="CR36" s="323"/>
      <c r="CS36" s="323"/>
      <c r="CT36" s="323"/>
      <c r="CU36" s="323"/>
      <c r="CV36" s="323"/>
      <c r="CW36" s="323"/>
      <c r="CX36" s="323"/>
      <c r="CY36" s="323"/>
      <c r="CZ36" s="323"/>
      <c r="DA36" s="323"/>
      <c r="DB36" s="323"/>
      <c r="DC36" s="323"/>
      <c r="DD36" s="323"/>
      <c r="DE36" s="323"/>
      <c r="DF36" s="323"/>
      <c r="DG36" s="323"/>
      <c r="DH36" s="323"/>
      <c r="DI36" s="323"/>
      <c r="DJ36" s="323"/>
      <c r="DK36" s="323"/>
      <c r="DL36" s="323"/>
      <c r="DM36" s="323"/>
      <c r="DN36" s="323"/>
      <c r="DO36" s="323"/>
      <c r="DP36" s="323"/>
      <c r="DQ36" s="323"/>
      <c r="DR36" s="323"/>
      <c r="DS36" s="323"/>
      <c r="DT36" s="323"/>
      <c r="DU36" s="323"/>
      <c r="DV36" s="323"/>
      <c r="DW36" s="323"/>
      <c r="DX36" s="323"/>
      <c r="DY36" s="323"/>
      <c r="DZ36" s="323"/>
      <c r="EA36" s="323"/>
      <c r="EB36" s="323"/>
      <c r="EC36" s="323"/>
      <c r="ED36" s="323"/>
      <c r="EE36" s="323"/>
      <c r="EF36" s="323"/>
      <c r="EG36" s="323"/>
      <c r="EH36" s="323"/>
      <c r="EI36" s="323"/>
      <c r="EJ36" s="323"/>
      <c r="EK36" s="323"/>
      <c r="EL36" s="323"/>
      <c r="EM36" s="323"/>
      <c r="EN36" s="323"/>
      <c r="EO36" s="323"/>
      <c r="EP36" s="323"/>
      <c r="EQ36" s="323"/>
      <c r="ER36" s="323"/>
      <c r="ES36" s="323"/>
      <c r="ET36" s="323"/>
      <c r="EU36" s="323"/>
      <c r="EV36" s="323"/>
      <c r="EW36" s="323"/>
      <c r="EX36" s="323"/>
      <c r="EY36" s="323"/>
      <c r="EZ36" s="323"/>
      <c r="FA36" s="323"/>
      <c r="FB36" s="323"/>
      <c r="FC36" s="323"/>
      <c r="FD36" s="323"/>
      <c r="FE36" s="323"/>
      <c r="FF36" s="323"/>
      <c r="FG36" s="323"/>
      <c r="FH36" s="323"/>
      <c r="FI36" s="323"/>
      <c r="FJ36" s="323"/>
      <c r="FK36" s="323"/>
      <c r="FL36" s="323"/>
      <c r="FM36" s="323"/>
      <c r="FN36" s="323"/>
      <c r="FO36" s="323"/>
      <c r="FP36" s="323"/>
      <c r="FQ36" s="323"/>
      <c r="FR36" s="323"/>
      <c r="FS36" s="323"/>
      <c r="FT36" s="323"/>
      <c r="FU36" s="323"/>
      <c r="FV36" s="323"/>
      <c r="FW36" s="323"/>
      <c r="FX36" s="323"/>
    </row>
    <row r="37" ht="15.75" customHeight="1">
      <c r="A37" s="44">
        <v>32.0</v>
      </c>
      <c r="C37" s="331"/>
      <c r="D37" s="44"/>
      <c r="E37" s="44"/>
      <c r="F37" s="47"/>
      <c r="G37" s="47"/>
      <c r="H37" s="47"/>
      <c r="I37" s="26"/>
      <c r="J37" s="323" t="str">
        <f t="shared" ref="J37:CM37" si="45">IF(AND($I37="Yes",J$2=$H37),"♦","")</f>
        <v/>
      </c>
      <c r="K37" s="323" t="str">
        <f t="shared" si="45"/>
        <v/>
      </c>
      <c r="L37" s="323" t="str">
        <f t="shared" si="45"/>
        <v/>
      </c>
      <c r="M37" s="323" t="str">
        <f t="shared" si="45"/>
        <v/>
      </c>
      <c r="N37" s="323" t="str">
        <f t="shared" si="45"/>
        <v/>
      </c>
      <c r="O37" s="323" t="str">
        <f t="shared" si="45"/>
        <v/>
      </c>
      <c r="P37" s="323" t="str">
        <f t="shared" si="45"/>
        <v/>
      </c>
      <c r="Q37" s="323" t="str">
        <f t="shared" si="45"/>
        <v/>
      </c>
      <c r="R37" s="323" t="str">
        <f t="shared" si="45"/>
        <v/>
      </c>
      <c r="S37" s="323" t="str">
        <f t="shared" si="45"/>
        <v/>
      </c>
      <c r="T37" s="323" t="str">
        <f t="shared" si="45"/>
        <v/>
      </c>
      <c r="U37" s="323" t="str">
        <f t="shared" si="45"/>
        <v/>
      </c>
      <c r="V37" s="323" t="str">
        <f t="shared" si="45"/>
        <v/>
      </c>
      <c r="W37" s="323" t="str">
        <f t="shared" si="45"/>
        <v/>
      </c>
      <c r="X37" s="323" t="str">
        <f t="shared" si="45"/>
        <v/>
      </c>
      <c r="Y37" s="323" t="str">
        <f t="shared" si="45"/>
        <v/>
      </c>
      <c r="Z37" s="323" t="str">
        <f t="shared" si="45"/>
        <v/>
      </c>
      <c r="AA37" s="323" t="str">
        <f t="shared" si="45"/>
        <v/>
      </c>
      <c r="AB37" s="323" t="str">
        <f t="shared" si="45"/>
        <v/>
      </c>
      <c r="AC37" s="323" t="str">
        <f t="shared" si="45"/>
        <v/>
      </c>
      <c r="AD37" s="323" t="str">
        <f t="shared" si="45"/>
        <v/>
      </c>
      <c r="AE37" s="323" t="str">
        <f t="shared" si="45"/>
        <v/>
      </c>
      <c r="AF37" s="323" t="str">
        <f t="shared" si="45"/>
        <v/>
      </c>
      <c r="AG37" s="323" t="str">
        <f t="shared" si="45"/>
        <v/>
      </c>
      <c r="AH37" s="323" t="str">
        <f t="shared" si="45"/>
        <v/>
      </c>
      <c r="AI37" s="323" t="str">
        <f t="shared" si="45"/>
        <v/>
      </c>
      <c r="AJ37" s="323" t="str">
        <f t="shared" si="45"/>
        <v/>
      </c>
      <c r="AK37" s="323" t="str">
        <f t="shared" si="45"/>
        <v/>
      </c>
      <c r="AL37" s="323" t="str">
        <f t="shared" si="45"/>
        <v/>
      </c>
      <c r="AM37" s="323" t="str">
        <f t="shared" si="45"/>
        <v/>
      </c>
      <c r="AN37" s="323" t="str">
        <f t="shared" si="45"/>
        <v/>
      </c>
      <c r="AO37" s="323" t="str">
        <f t="shared" si="45"/>
        <v/>
      </c>
      <c r="AP37" s="323" t="str">
        <f t="shared" si="45"/>
        <v/>
      </c>
      <c r="AQ37" s="323" t="str">
        <f t="shared" si="45"/>
        <v/>
      </c>
      <c r="AR37" s="323" t="str">
        <f t="shared" si="45"/>
        <v/>
      </c>
      <c r="AS37" s="323" t="str">
        <f t="shared" si="45"/>
        <v/>
      </c>
      <c r="AT37" s="323" t="str">
        <f t="shared" si="45"/>
        <v/>
      </c>
      <c r="AU37" s="323" t="str">
        <f t="shared" si="45"/>
        <v/>
      </c>
      <c r="AV37" s="323" t="str">
        <f t="shared" si="45"/>
        <v/>
      </c>
      <c r="AW37" s="323" t="str">
        <f t="shared" si="45"/>
        <v/>
      </c>
      <c r="AX37" s="323" t="str">
        <f t="shared" si="45"/>
        <v/>
      </c>
      <c r="AY37" s="323" t="str">
        <f t="shared" si="45"/>
        <v/>
      </c>
      <c r="AZ37" s="323" t="str">
        <f t="shared" si="45"/>
        <v/>
      </c>
      <c r="BA37" s="323" t="str">
        <f t="shared" si="45"/>
        <v/>
      </c>
      <c r="BB37" s="323" t="str">
        <f t="shared" si="45"/>
        <v/>
      </c>
      <c r="BC37" s="323" t="str">
        <f t="shared" si="45"/>
        <v/>
      </c>
      <c r="BD37" s="323" t="str">
        <f t="shared" si="45"/>
        <v/>
      </c>
      <c r="BE37" s="323" t="str">
        <f t="shared" si="45"/>
        <v/>
      </c>
      <c r="BF37" s="323" t="str">
        <f t="shared" si="45"/>
        <v/>
      </c>
      <c r="BG37" s="323" t="str">
        <f t="shared" si="45"/>
        <v/>
      </c>
      <c r="BH37" s="323" t="str">
        <f t="shared" si="45"/>
        <v/>
      </c>
      <c r="BI37" s="323" t="str">
        <f t="shared" si="45"/>
        <v/>
      </c>
      <c r="BJ37" s="323" t="str">
        <f t="shared" si="45"/>
        <v/>
      </c>
      <c r="BK37" s="323" t="str">
        <f t="shared" si="45"/>
        <v/>
      </c>
      <c r="BL37" s="323" t="str">
        <f t="shared" si="45"/>
        <v/>
      </c>
      <c r="BM37" s="323" t="str">
        <f t="shared" si="45"/>
        <v/>
      </c>
      <c r="BN37" s="323" t="str">
        <f t="shared" si="45"/>
        <v/>
      </c>
      <c r="BO37" s="323" t="str">
        <f t="shared" si="45"/>
        <v/>
      </c>
      <c r="BP37" s="323" t="str">
        <f t="shared" si="45"/>
        <v/>
      </c>
      <c r="BQ37" s="323" t="str">
        <f t="shared" si="45"/>
        <v/>
      </c>
      <c r="BR37" s="323" t="str">
        <f t="shared" si="45"/>
        <v/>
      </c>
      <c r="BS37" s="323" t="str">
        <f t="shared" si="45"/>
        <v/>
      </c>
      <c r="BT37" s="323" t="str">
        <f t="shared" si="45"/>
        <v/>
      </c>
      <c r="BU37" s="323" t="str">
        <f t="shared" si="45"/>
        <v/>
      </c>
      <c r="BV37" s="323" t="str">
        <f t="shared" si="45"/>
        <v/>
      </c>
      <c r="BW37" s="323" t="str">
        <f t="shared" si="45"/>
        <v/>
      </c>
      <c r="BX37" s="323" t="str">
        <f t="shared" si="45"/>
        <v/>
      </c>
      <c r="BY37" s="323" t="str">
        <f t="shared" si="45"/>
        <v/>
      </c>
      <c r="BZ37" s="323" t="str">
        <f t="shared" si="45"/>
        <v/>
      </c>
      <c r="CA37" s="323" t="str">
        <f t="shared" si="45"/>
        <v/>
      </c>
      <c r="CB37" s="323" t="str">
        <f t="shared" si="45"/>
        <v/>
      </c>
      <c r="CC37" s="323" t="str">
        <f t="shared" si="45"/>
        <v/>
      </c>
      <c r="CD37" s="323" t="str">
        <f t="shared" si="45"/>
        <v/>
      </c>
      <c r="CE37" s="323" t="str">
        <f t="shared" si="45"/>
        <v/>
      </c>
      <c r="CF37" s="323" t="str">
        <f t="shared" si="45"/>
        <v/>
      </c>
      <c r="CG37" s="323" t="str">
        <f t="shared" si="45"/>
        <v/>
      </c>
      <c r="CH37" s="323" t="str">
        <f t="shared" si="45"/>
        <v/>
      </c>
      <c r="CI37" s="323" t="str">
        <f t="shared" si="45"/>
        <v/>
      </c>
      <c r="CJ37" s="323" t="str">
        <f t="shared" si="45"/>
        <v/>
      </c>
      <c r="CK37" s="323" t="str">
        <f t="shared" si="45"/>
        <v/>
      </c>
      <c r="CL37" s="323" t="str">
        <f t="shared" si="45"/>
        <v/>
      </c>
      <c r="CM37" s="323" t="str">
        <f t="shared" si="45"/>
        <v/>
      </c>
      <c r="CN37" s="323"/>
      <c r="CO37" s="323"/>
      <c r="CP37" s="323" t="str">
        <f t="shared" si="16"/>
        <v/>
      </c>
      <c r="CQ37" s="323"/>
      <c r="CR37" s="323"/>
      <c r="CS37" s="323"/>
      <c r="CT37" s="323"/>
      <c r="CU37" s="323"/>
      <c r="CV37" s="323"/>
      <c r="CW37" s="323"/>
      <c r="CX37" s="323"/>
      <c r="CY37" s="323"/>
      <c r="CZ37" s="323"/>
      <c r="DA37" s="323"/>
      <c r="DB37" s="323"/>
      <c r="DC37" s="323"/>
      <c r="DD37" s="323"/>
      <c r="DE37" s="323"/>
      <c r="DF37" s="323"/>
      <c r="DG37" s="323"/>
      <c r="DH37" s="323"/>
      <c r="DI37" s="323"/>
      <c r="DJ37" s="323"/>
      <c r="DK37" s="323"/>
      <c r="DL37" s="323"/>
      <c r="DM37" s="323"/>
      <c r="DN37" s="323"/>
      <c r="DO37" s="323"/>
      <c r="DP37" s="323"/>
      <c r="DQ37" s="323"/>
      <c r="DR37" s="323"/>
      <c r="DS37" s="323"/>
      <c r="DT37" s="323"/>
      <c r="DU37" s="323"/>
      <c r="DV37" s="323"/>
      <c r="DW37" s="323"/>
      <c r="DX37" s="323"/>
      <c r="DY37" s="323"/>
      <c r="DZ37" s="323"/>
      <c r="EA37" s="323"/>
      <c r="EB37" s="323"/>
      <c r="EC37" s="323"/>
      <c r="ED37" s="323"/>
      <c r="EE37" s="323"/>
      <c r="EF37" s="323"/>
      <c r="EG37" s="323"/>
      <c r="EH37" s="323"/>
      <c r="EI37" s="323"/>
      <c r="EJ37" s="323"/>
      <c r="EK37" s="323"/>
      <c r="EL37" s="323"/>
      <c r="EM37" s="323"/>
      <c r="EN37" s="323"/>
      <c r="EO37" s="323"/>
      <c r="EP37" s="323"/>
      <c r="EQ37" s="323"/>
      <c r="ER37" s="323"/>
      <c r="ES37" s="323"/>
      <c r="ET37" s="323"/>
      <c r="EU37" s="323"/>
      <c r="EV37" s="323"/>
      <c r="EW37" s="323"/>
      <c r="EX37" s="323"/>
      <c r="EY37" s="323"/>
      <c r="EZ37" s="323"/>
      <c r="FA37" s="323"/>
      <c r="FB37" s="323"/>
      <c r="FC37" s="323"/>
      <c r="FD37" s="323"/>
      <c r="FE37" s="323"/>
      <c r="FF37" s="323"/>
      <c r="FG37" s="323"/>
      <c r="FH37" s="323"/>
      <c r="FI37" s="323"/>
      <c r="FJ37" s="323"/>
      <c r="FK37" s="323"/>
      <c r="FL37" s="323"/>
      <c r="FM37" s="323"/>
      <c r="FN37" s="323"/>
      <c r="FO37" s="323"/>
      <c r="FP37" s="323"/>
      <c r="FQ37" s="323"/>
      <c r="FR37" s="323"/>
      <c r="FS37" s="323"/>
      <c r="FT37" s="323"/>
      <c r="FU37" s="323"/>
      <c r="FV37" s="323"/>
      <c r="FW37" s="323"/>
      <c r="FX37" s="323"/>
    </row>
    <row r="38" ht="15.75" customHeight="1">
      <c r="A38" s="44">
        <v>33.0</v>
      </c>
      <c r="C38" s="331"/>
      <c r="D38" s="44"/>
      <c r="E38" s="44"/>
      <c r="F38" s="47"/>
      <c r="G38" s="47"/>
      <c r="H38" s="47"/>
      <c r="I38" s="26"/>
      <c r="J38" s="323" t="str">
        <f t="shared" ref="J38:CM38" si="46">IF(AND($I38="Yes",J$2=$H38),"♦","")</f>
        <v/>
      </c>
      <c r="K38" s="323" t="str">
        <f t="shared" si="46"/>
        <v/>
      </c>
      <c r="L38" s="323" t="str">
        <f t="shared" si="46"/>
        <v/>
      </c>
      <c r="M38" s="323" t="str">
        <f t="shared" si="46"/>
        <v/>
      </c>
      <c r="N38" s="323" t="str">
        <f t="shared" si="46"/>
        <v/>
      </c>
      <c r="O38" s="323" t="str">
        <f t="shared" si="46"/>
        <v/>
      </c>
      <c r="P38" s="323" t="str">
        <f t="shared" si="46"/>
        <v/>
      </c>
      <c r="Q38" s="323" t="str">
        <f t="shared" si="46"/>
        <v/>
      </c>
      <c r="R38" s="323" t="str">
        <f t="shared" si="46"/>
        <v/>
      </c>
      <c r="S38" s="323" t="str">
        <f t="shared" si="46"/>
        <v/>
      </c>
      <c r="T38" s="323" t="str">
        <f t="shared" si="46"/>
        <v/>
      </c>
      <c r="U38" s="323" t="str">
        <f t="shared" si="46"/>
        <v/>
      </c>
      <c r="V38" s="323" t="str">
        <f t="shared" si="46"/>
        <v/>
      </c>
      <c r="W38" s="323" t="str">
        <f t="shared" si="46"/>
        <v/>
      </c>
      <c r="X38" s="323" t="str">
        <f t="shared" si="46"/>
        <v/>
      </c>
      <c r="Y38" s="323" t="str">
        <f t="shared" si="46"/>
        <v/>
      </c>
      <c r="Z38" s="323" t="str">
        <f t="shared" si="46"/>
        <v/>
      </c>
      <c r="AA38" s="323" t="str">
        <f t="shared" si="46"/>
        <v/>
      </c>
      <c r="AB38" s="323" t="str">
        <f t="shared" si="46"/>
        <v/>
      </c>
      <c r="AC38" s="323" t="str">
        <f t="shared" si="46"/>
        <v/>
      </c>
      <c r="AD38" s="323" t="str">
        <f t="shared" si="46"/>
        <v/>
      </c>
      <c r="AE38" s="323" t="str">
        <f t="shared" si="46"/>
        <v/>
      </c>
      <c r="AF38" s="323" t="str">
        <f t="shared" si="46"/>
        <v/>
      </c>
      <c r="AG38" s="323" t="str">
        <f t="shared" si="46"/>
        <v/>
      </c>
      <c r="AH38" s="323" t="str">
        <f t="shared" si="46"/>
        <v/>
      </c>
      <c r="AI38" s="323" t="str">
        <f t="shared" si="46"/>
        <v/>
      </c>
      <c r="AJ38" s="323" t="str">
        <f t="shared" si="46"/>
        <v/>
      </c>
      <c r="AK38" s="323" t="str">
        <f t="shared" si="46"/>
        <v/>
      </c>
      <c r="AL38" s="323" t="str">
        <f t="shared" si="46"/>
        <v/>
      </c>
      <c r="AM38" s="323" t="str">
        <f t="shared" si="46"/>
        <v/>
      </c>
      <c r="AN38" s="323" t="str">
        <f t="shared" si="46"/>
        <v/>
      </c>
      <c r="AO38" s="323" t="str">
        <f t="shared" si="46"/>
        <v/>
      </c>
      <c r="AP38" s="323" t="str">
        <f t="shared" si="46"/>
        <v/>
      </c>
      <c r="AQ38" s="323" t="str">
        <f t="shared" si="46"/>
        <v/>
      </c>
      <c r="AR38" s="323" t="str">
        <f t="shared" si="46"/>
        <v/>
      </c>
      <c r="AS38" s="323" t="str">
        <f t="shared" si="46"/>
        <v/>
      </c>
      <c r="AT38" s="323" t="str">
        <f t="shared" si="46"/>
        <v/>
      </c>
      <c r="AU38" s="323" t="str">
        <f t="shared" si="46"/>
        <v/>
      </c>
      <c r="AV38" s="323" t="str">
        <f t="shared" si="46"/>
        <v/>
      </c>
      <c r="AW38" s="323" t="str">
        <f t="shared" si="46"/>
        <v/>
      </c>
      <c r="AX38" s="323" t="str">
        <f t="shared" si="46"/>
        <v/>
      </c>
      <c r="AY38" s="323" t="str">
        <f t="shared" si="46"/>
        <v/>
      </c>
      <c r="AZ38" s="323" t="str">
        <f t="shared" si="46"/>
        <v/>
      </c>
      <c r="BA38" s="323" t="str">
        <f t="shared" si="46"/>
        <v/>
      </c>
      <c r="BB38" s="323" t="str">
        <f t="shared" si="46"/>
        <v/>
      </c>
      <c r="BC38" s="323" t="str">
        <f t="shared" si="46"/>
        <v/>
      </c>
      <c r="BD38" s="323" t="str">
        <f t="shared" si="46"/>
        <v/>
      </c>
      <c r="BE38" s="323" t="str">
        <f t="shared" si="46"/>
        <v/>
      </c>
      <c r="BF38" s="323" t="str">
        <f t="shared" si="46"/>
        <v/>
      </c>
      <c r="BG38" s="323" t="str">
        <f t="shared" si="46"/>
        <v/>
      </c>
      <c r="BH38" s="323" t="str">
        <f t="shared" si="46"/>
        <v/>
      </c>
      <c r="BI38" s="323" t="str">
        <f t="shared" si="46"/>
        <v/>
      </c>
      <c r="BJ38" s="323" t="str">
        <f t="shared" si="46"/>
        <v/>
      </c>
      <c r="BK38" s="323" t="str">
        <f t="shared" si="46"/>
        <v/>
      </c>
      <c r="BL38" s="323" t="str">
        <f t="shared" si="46"/>
        <v/>
      </c>
      <c r="BM38" s="323" t="str">
        <f t="shared" si="46"/>
        <v/>
      </c>
      <c r="BN38" s="323" t="str">
        <f t="shared" si="46"/>
        <v/>
      </c>
      <c r="BO38" s="323" t="str">
        <f t="shared" si="46"/>
        <v/>
      </c>
      <c r="BP38" s="323" t="str">
        <f t="shared" si="46"/>
        <v/>
      </c>
      <c r="BQ38" s="323" t="str">
        <f t="shared" si="46"/>
        <v/>
      </c>
      <c r="BR38" s="323" t="str">
        <f t="shared" si="46"/>
        <v/>
      </c>
      <c r="BS38" s="323" t="str">
        <f t="shared" si="46"/>
        <v/>
      </c>
      <c r="BT38" s="323" t="str">
        <f t="shared" si="46"/>
        <v/>
      </c>
      <c r="BU38" s="323" t="str">
        <f t="shared" si="46"/>
        <v/>
      </c>
      <c r="BV38" s="323" t="str">
        <f t="shared" si="46"/>
        <v/>
      </c>
      <c r="BW38" s="323" t="str">
        <f t="shared" si="46"/>
        <v/>
      </c>
      <c r="BX38" s="323" t="str">
        <f t="shared" si="46"/>
        <v/>
      </c>
      <c r="BY38" s="323" t="str">
        <f t="shared" si="46"/>
        <v/>
      </c>
      <c r="BZ38" s="323" t="str">
        <f t="shared" si="46"/>
        <v/>
      </c>
      <c r="CA38" s="323" t="str">
        <f t="shared" si="46"/>
        <v/>
      </c>
      <c r="CB38" s="323" t="str">
        <f t="shared" si="46"/>
        <v/>
      </c>
      <c r="CC38" s="323" t="str">
        <f t="shared" si="46"/>
        <v/>
      </c>
      <c r="CD38" s="323" t="str">
        <f t="shared" si="46"/>
        <v/>
      </c>
      <c r="CE38" s="323" t="str">
        <f t="shared" si="46"/>
        <v/>
      </c>
      <c r="CF38" s="323" t="str">
        <f t="shared" si="46"/>
        <v/>
      </c>
      <c r="CG38" s="323" t="str">
        <f t="shared" si="46"/>
        <v/>
      </c>
      <c r="CH38" s="323" t="str">
        <f t="shared" si="46"/>
        <v/>
      </c>
      <c r="CI38" s="323" t="str">
        <f t="shared" si="46"/>
        <v/>
      </c>
      <c r="CJ38" s="323" t="str">
        <f t="shared" si="46"/>
        <v/>
      </c>
      <c r="CK38" s="323" t="str">
        <f t="shared" si="46"/>
        <v/>
      </c>
      <c r="CL38" s="323" t="str">
        <f t="shared" si="46"/>
        <v/>
      </c>
      <c r="CM38" s="323" t="str">
        <f t="shared" si="46"/>
        <v/>
      </c>
      <c r="CN38" s="323"/>
      <c r="CO38" s="323"/>
      <c r="CP38" s="323" t="str">
        <f t="shared" si="16"/>
        <v/>
      </c>
      <c r="CQ38" s="323"/>
      <c r="CR38" s="323"/>
      <c r="CS38" s="323"/>
      <c r="CT38" s="323"/>
      <c r="CU38" s="323"/>
      <c r="CV38" s="323"/>
      <c r="CW38" s="323"/>
      <c r="CX38" s="323"/>
      <c r="CY38" s="323"/>
      <c r="CZ38" s="323"/>
      <c r="DA38" s="323"/>
      <c r="DB38" s="323"/>
      <c r="DC38" s="323"/>
      <c r="DD38" s="323"/>
      <c r="DE38" s="323"/>
      <c r="DF38" s="323"/>
      <c r="DG38" s="323"/>
      <c r="DH38" s="323"/>
      <c r="DI38" s="323"/>
      <c r="DJ38" s="323"/>
      <c r="DK38" s="323"/>
      <c r="DL38" s="323"/>
      <c r="DM38" s="323"/>
      <c r="DN38" s="323"/>
      <c r="DO38" s="323"/>
      <c r="DP38" s="323"/>
      <c r="DQ38" s="323"/>
      <c r="DR38" s="323"/>
      <c r="DS38" s="323"/>
      <c r="DT38" s="323"/>
      <c r="DU38" s="323"/>
      <c r="DV38" s="323"/>
      <c r="DW38" s="323"/>
      <c r="DX38" s="323"/>
      <c r="DY38" s="323"/>
      <c r="DZ38" s="323"/>
      <c r="EA38" s="323"/>
      <c r="EB38" s="323"/>
      <c r="EC38" s="323"/>
      <c r="ED38" s="323"/>
      <c r="EE38" s="323"/>
      <c r="EF38" s="323"/>
      <c r="EG38" s="323"/>
      <c r="EH38" s="323"/>
      <c r="EI38" s="323"/>
      <c r="EJ38" s="323"/>
      <c r="EK38" s="323"/>
      <c r="EL38" s="323"/>
      <c r="EM38" s="323"/>
      <c r="EN38" s="323"/>
      <c r="EO38" s="323"/>
      <c r="EP38" s="323"/>
      <c r="EQ38" s="323"/>
      <c r="ER38" s="323"/>
      <c r="ES38" s="323"/>
      <c r="ET38" s="323"/>
      <c r="EU38" s="323"/>
      <c r="EV38" s="323"/>
      <c r="EW38" s="323"/>
      <c r="EX38" s="323"/>
      <c r="EY38" s="323"/>
      <c r="EZ38" s="323"/>
      <c r="FA38" s="323"/>
      <c r="FB38" s="323"/>
      <c r="FC38" s="323"/>
      <c r="FD38" s="323"/>
      <c r="FE38" s="323"/>
      <c r="FF38" s="323"/>
      <c r="FG38" s="323"/>
      <c r="FH38" s="323"/>
      <c r="FI38" s="323"/>
      <c r="FJ38" s="323"/>
      <c r="FK38" s="323"/>
      <c r="FL38" s="323"/>
      <c r="FM38" s="323"/>
      <c r="FN38" s="323"/>
      <c r="FO38" s="323"/>
      <c r="FP38" s="323"/>
      <c r="FQ38" s="323"/>
      <c r="FR38" s="323"/>
      <c r="FS38" s="323"/>
      <c r="FT38" s="323"/>
      <c r="FU38" s="323"/>
      <c r="FV38" s="323"/>
      <c r="FW38" s="323"/>
      <c r="FX38" s="323"/>
    </row>
    <row r="39" ht="15.75" customHeight="1">
      <c r="A39" s="44">
        <v>34.0</v>
      </c>
      <c r="C39" s="331"/>
      <c r="D39" s="44"/>
      <c r="E39" s="44"/>
      <c r="F39" s="47"/>
      <c r="G39" s="47"/>
      <c r="H39" s="47"/>
      <c r="I39" s="26"/>
      <c r="J39" s="323" t="str">
        <f t="shared" ref="J39:CM39" si="47">IF(AND($I39="Yes",J$2=$H39),"♦","")</f>
        <v/>
      </c>
      <c r="K39" s="323" t="str">
        <f t="shared" si="47"/>
        <v/>
      </c>
      <c r="L39" s="323" t="str">
        <f t="shared" si="47"/>
        <v/>
      </c>
      <c r="M39" s="323" t="str">
        <f t="shared" si="47"/>
        <v/>
      </c>
      <c r="N39" s="323" t="str">
        <f t="shared" si="47"/>
        <v/>
      </c>
      <c r="O39" s="323" t="str">
        <f t="shared" si="47"/>
        <v/>
      </c>
      <c r="P39" s="323" t="str">
        <f t="shared" si="47"/>
        <v/>
      </c>
      <c r="Q39" s="323" t="str">
        <f t="shared" si="47"/>
        <v/>
      </c>
      <c r="R39" s="323" t="str">
        <f t="shared" si="47"/>
        <v/>
      </c>
      <c r="S39" s="323" t="str">
        <f t="shared" si="47"/>
        <v/>
      </c>
      <c r="T39" s="323" t="str">
        <f t="shared" si="47"/>
        <v/>
      </c>
      <c r="U39" s="323" t="str">
        <f t="shared" si="47"/>
        <v/>
      </c>
      <c r="V39" s="323" t="str">
        <f t="shared" si="47"/>
        <v/>
      </c>
      <c r="W39" s="323" t="str">
        <f t="shared" si="47"/>
        <v/>
      </c>
      <c r="X39" s="323" t="str">
        <f t="shared" si="47"/>
        <v/>
      </c>
      <c r="Y39" s="323" t="str">
        <f t="shared" si="47"/>
        <v/>
      </c>
      <c r="Z39" s="323" t="str">
        <f t="shared" si="47"/>
        <v/>
      </c>
      <c r="AA39" s="323" t="str">
        <f t="shared" si="47"/>
        <v/>
      </c>
      <c r="AB39" s="323" t="str">
        <f t="shared" si="47"/>
        <v/>
      </c>
      <c r="AC39" s="323" t="str">
        <f t="shared" si="47"/>
        <v/>
      </c>
      <c r="AD39" s="323" t="str">
        <f t="shared" si="47"/>
        <v/>
      </c>
      <c r="AE39" s="323" t="str">
        <f t="shared" si="47"/>
        <v/>
      </c>
      <c r="AF39" s="323" t="str">
        <f t="shared" si="47"/>
        <v/>
      </c>
      <c r="AG39" s="323" t="str">
        <f t="shared" si="47"/>
        <v/>
      </c>
      <c r="AH39" s="323" t="str">
        <f t="shared" si="47"/>
        <v/>
      </c>
      <c r="AI39" s="323" t="str">
        <f t="shared" si="47"/>
        <v/>
      </c>
      <c r="AJ39" s="323" t="str">
        <f t="shared" si="47"/>
        <v/>
      </c>
      <c r="AK39" s="323" t="str">
        <f t="shared" si="47"/>
        <v/>
      </c>
      <c r="AL39" s="323" t="str">
        <f t="shared" si="47"/>
        <v/>
      </c>
      <c r="AM39" s="323" t="str">
        <f t="shared" si="47"/>
        <v/>
      </c>
      <c r="AN39" s="323" t="str">
        <f t="shared" si="47"/>
        <v/>
      </c>
      <c r="AO39" s="323" t="str">
        <f t="shared" si="47"/>
        <v/>
      </c>
      <c r="AP39" s="323" t="str">
        <f t="shared" si="47"/>
        <v/>
      </c>
      <c r="AQ39" s="323" t="str">
        <f t="shared" si="47"/>
        <v/>
      </c>
      <c r="AR39" s="323" t="str">
        <f t="shared" si="47"/>
        <v/>
      </c>
      <c r="AS39" s="323" t="str">
        <f t="shared" si="47"/>
        <v/>
      </c>
      <c r="AT39" s="323" t="str">
        <f t="shared" si="47"/>
        <v/>
      </c>
      <c r="AU39" s="323" t="str">
        <f t="shared" si="47"/>
        <v/>
      </c>
      <c r="AV39" s="323" t="str">
        <f t="shared" si="47"/>
        <v/>
      </c>
      <c r="AW39" s="323" t="str">
        <f t="shared" si="47"/>
        <v/>
      </c>
      <c r="AX39" s="323" t="str">
        <f t="shared" si="47"/>
        <v/>
      </c>
      <c r="AY39" s="323" t="str">
        <f t="shared" si="47"/>
        <v/>
      </c>
      <c r="AZ39" s="323" t="str">
        <f t="shared" si="47"/>
        <v/>
      </c>
      <c r="BA39" s="323" t="str">
        <f t="shared" si="47"/>
        <v/>
      </c>
      <c r="BB39" s="323" t="str">
        <f t="shared" si="47"/>
        <v/>
      </c>
      <c r="BC39" s="323" t="str">
        <f t="shared" si="47"/>
        <v/>
      </c>
      <c r="BD39" s="323" t="str">
        <f t="shared" si="47"/>
        <v/>
      </c>
      <c r="BE39" s="323" t="str">
        <f t="shared" si="47"/>
        <v/>
      </c>
      <c r="BF39" s="323" t="str">
        <f t="shared" si="47"/>
        <v/>
      </c>
      <c r="BG39" s="323" t="str">
        <f t="shared" si="47"/>
        <v/>
      </c>
      <c r="BH39" s="323" t="str">
        <f t="shared" si="47"/>
        <v/>
      </c>
      <c r="BI39" s="323" t="str">
        <f t="shared" si="47"/>
        <v/>
      </c>
      <c r="BJ39" s="323" t="str">
        <f t="shared" si="47"/>
        <v/>
      </c>
      <c r="BK39" s="323" t="str">
        <f t="shared" si="47"/>
        <v/>
      </c>
      <c r="BL39" s="323" t="str">
        <f t="shared" si="47"/>
        <v/>
      </c>
      <c r="BM39" s="323" t="str">
        <f t="shared" si="47"/>
        <v/>
      </c>
      <c r="BN39" s="323" t="str">
        <f t="shared" si="47"/>
        <v/>
      </c>
      <c r="BO39" s="323" t="str">
        <f t="shared" si="47"/>
        <v/>
      </c>
      <c r="BP39" s="323" t="str">
        <f t="shared" si="47"/>
        <v/>
      </c>
      <c r="BQ39" s="323" t="str">
        <f t="shared" si="47"/>
        <v/>
      </c>
      <c r="BR39" s="323" t="str">
        <f t="shared" si="47"/>
        <v/>
      </c>
      <c r="BS39" s="323" t="str">
        <f t="shared" si="47"/>
        <v/>
      </c>
      <c r="BT39" s="323" t="str">
        <f t="shared" si="47"/>
        <v/>
      </c>
      <c r="BU39" s="323" t="str">
        <f t="shared" si="47"/>
        <v/>
      </c>
      <c r="BV39" s="323" t="str">
        <f t="shared" si="47"/>
        <v/>
      </c>
      <c r="BW39" s="323" t="str">
        <f t="shared" si="47"/>
        <v/>
      </c>
      <c r="BX39" s="323" t="str">
        <f t="shared" si="47"/>
        <v/>
      </c>
      <c r="BY39" s="323" t="str">
        <f t="shared" si="47"/>
        <v/>
      </c>
      <c r="BZ39" s="323" t="str">
        <f t="shared" si="47"/>
        <v/>
      </c>
      <c r="CA39" s="323" t="str">
        <f t="shared" si="47"/>
        <v/>
      </c>
      <c r="CB39" s="323" t="str">
        <f t="shared" si="47"/>
        <v/>
      </c>
      <c r="CC39" s="323" t="str">
        <f t="shared" si="47"/>
        <v/>
      </c>
      <c r="CD39" s="323" t="str">
        <f t="shared" si="47"/>
        <v/>
      </c>
      <c r="CE39" s="323" t="str">
        <f t="shared" si="47"/>
        <v/>
      </c>
      <c r="CF39" s="323" t="str">
        <f t="shared" si="47"/>
        <v/>
      </c>
      <c r="CG39" s="323" t="str">
        <f t="shared" si="47"/>
        <v/>
      </c>
      <c r="CH39" s="323" t="str">
        <f t="shared" si="47"/>
        <v/>
      </c>
      <c r="CI39" s="323" t="str">
        <f t="shared" si="47"/>
        <v/>
      </c>
      <c r="CJ39" s="323" t="str">
        <f t="shared" si="47"/>
        <v/>
      </c>
      <c r="CK39" s="323" t="str">
        <f t="shared" si="47"/>
        <v/>
      </c>
      <c r="CL39" s="323" t="str">
        <f t="shared" si="47"/>
        <v/>
      </c>
      <c r="CM39" s="323" t="str">
        <f t="shared" si="47"/>
        <v/>
      </c>
      <c r="CN39" s="323"/>
      <c r="CO39" s="323"/>
      <c r="CP39" s="323" t="str">
        <f t="shared" si="16"/>
        <v/>
      </c>
      <c r="CQ39" s="323"/>
      <c r="CR39" s="323"/>
      <c r="CS39" s="323"/>
      <c r="CT39" s="323"/>
      <c r="CU39" s="323"/>
      <c r="CV39" s="323"/>
      <c r="CW39" s="323"/>
      <c r="CX39" s="323"/>
      <c r="CY39" s="323"/>
      <c r="CZ39" s="323"/>
      <c r="DA39" s="323"/>
      <c r="DB39" s="323"/>
      <c r="DC39" s="323"/>
      <c r="DD39" s="323"/>
      <c r="DE39" s="323"/>
      <c r="DF39" s="323"/>
      <c r="DG39" s="323"/>
      <c r="DH39" s="323"/>
      <c r="DI39" s="323"/>
      <c r="DJ39" s="323"/>
      <c r="DK39" s="323"/>
      <c r="DL39" s="323"/>
      <c r="DM39" s="323"/>
      <c r="DN39" s="323"/>
      <c r="DO39" s="323"/>
      <c r="DP39" s="323"/>
      <c r="DQ39" s="323"/>
      <c r="DR39" s="323"/>
      <c r="DS39" s="323"/>
      <c r="DT39" s="323"/>
      <c r="DU39" s="323"/>
      <c r="DV39" s="323"/>
      <c r="DW39" s="323"/>
      <c r="DX39" s="323"/>
      <c r="DY39" s="323"/>
      <c r="DZ39" s="323"/>
      <c r="EA39" s="323"/>
      <c r="EB39" s="323"/>
      <c r="EC39" s="323"/>
      <c r="ED39" s="323"/>
      <c r="EE39" s="323"/>
      <c r="EF39" s="323"/>
      <c r="EG39" s="323"/>
      <c r="EH39" s="323"/>
      <c r="EI39" s="323"/>
      <c r="EJ39" s="323"/>
      <c r="EK39" s="323"/>
      <c r="EL39" s="323"/>
      <c r="EM39" s="323"/>
      <c r="EN39" s="323"/>
      <c r="EO39" s="323"/>
      <c r="EP39" s="323"/>
      <c r="EQ39" s="323"/>
      <c r="ER39" s="323"/>
      <c r="ES39" s="323"/>
      <c r="ET39" s="323"/>
      <c r="EU39" s="323"/>
      <c r="EV39" s="323"/>
      <c r="EW39" s="323"/>
      <c r="EX39" s="323"/>
      <c r="EY39" s="323"/>
      <c r="EZ39" s="323"/>
      <c r="FA39" s="323"/>
      <c r="FB39" s="323"/>
      <c r="FC39" s="323"/>
      <c r="FD39" s="323"/>
      <c r="FE39" s="323"/>
      <c r="FF39" s="323"/>
      <c r="FG39" s="323"/>
      <c r="FH39" s="323"/>
      <c r="FI39" s="323"/>
      <c r="FJ39" s="323"/>
      <c r="FK39" s="323"/>
      <c r="FL39" s="323"/>
      <c r="FM39" s="323"/>
      <c r="FN39" s="323"/>
      <c r="FO39" s="323"/>
      <c r="FP39" s="323"/>
      <c r="FQ39" s="323"/>
      <c r="FR39" s="323"/>
      <c r="FS39" s="323"/>
      <c r="FT39" s="323"/>
      <c r="FU39" s="323"/>
      <c r="FV39" s="323"/>
      <c r="FW39" s="323"/>
      <c r="FX39" s="323"/>
    </row>
    <row r="40" ht="15.75" customHeight="1">
      <c r="A40" s="44">
        <v>35.0</v>
      </c>
      <c r="B40" s="27"/>
      <c r="C40" s="44"/>
      <c r="D40" s="44"/>
      <c r="E40" s="330"/>
      <c r="F40" s="47"/>
      <c r="G40" s="47"/>
      <c r="H40" s="47"/>
      <c r="I40" s="26"/>
      <c r="J40" s="323" t="str">
        <f t="shared" ref="J40:CM40" si="48">IF(AND($I40="Yes",J$2=$H40),"♦","")</f>
        <v/>
      </c>
      <c r="K40" s="323" t="str">
        <f t="shared" si="48"/>
        <v/>
      </c>
      <c r="L40" s="323" t="str">
        <f t="shared" si="48"/>
        <v/>
      </c>
      <c r="M40" s="323" t="str">
        <f t="shared" si="48"/>
        <v/>
      </c>
      <c r="N40" s="323" t="str">
        <f t="shared" si="48"/>
        <v/>
      </c>
      <c r="O40" s="323" t="str">
        <f t="shared" si="48"/>
        <v/>
      </c>
      <c r="P40" s="323" t="str">
        <f t="shared" si="48"/>
        <v/>
      </c>
      <c r="Q40" s="323" t="str">
        <f t="shared" si="48"/>
        <v/>
      </c>
      <c r="R40" s="323" t="str">
        <f t="shared" si="48"/>
        <v/>
      </c>
      <c r="S40" s="323" t="str">
        <f t="shared" si="48"/>
        <v/>
      </c>
      <c r="T40" s="323" t="str">
        <f t="shared" si="48"/>
        <v/>
      </c>
      <c r="U40" s="323" t="str">
        <f t="shared" si="48"/>
        <v/>
      </c>
      <c r="V40" s="323" t="str">
        <f t="shared" si="48"/>
        <v/>
      </c>
      <c r="W40" s="323" t="str">
        <f t="shared" si="48"/>
        <v/>
      </c>
      <c r="X40" s="323" t="str">
        <f t="shared" si="48"/>
        <v/>
      </c>
      <c r="Y40" s="323" t="str">
        <f t="shared" si="48"/>
        <v/>
      </c>
      <c r="Z40" s="323" t="str">
        <f t="shared" si="48"/>
        <v/>
      </c>
      <c r="AA40" s="323" t="str">
        <f t="shared" si="48"/>
        <v/>
      </c>
      <c r="AB40" s="323" t="str">
        <f t="shared" si="48"/>
        <v/>
      </c>
      <c r="AC40" s="323" t="str">
        <f t="shared" si="48"/>
        <v/>
      </c>
      <c r="AD40" s="323" t="str">
        <f t="shared" si="48"/>
        <v/>
      </c>
      <c r="AE40" s="323" t="str">
        <f t="shared" si="48"/>
        <v/>
      </c>
      <c r="AF40" s="323" t="str">
        <f t="shared" si="48"/>
        <v/>
      </c>
      <c r="AG40" s="323" t="str">
        <f t="shared" si="48"/>
        <v/>
      </c>
      <c r="AH40" s="323" t="str">
        <f t="shared" si="48"/>
        <v/>
      </c>
      <c r="AI40" s="323" t="str">
        <f t="shared" si="48"/>
        <v/>
      </c>
      <c r="AJ40" s="323" t="str">
        <f t="shared" si="48"/>
        <v/>
      </c>
      <c r="AK40" s="323" t="str">
        <f t="shared" si="48"/>
        <v/>
      </c>
      <c r="AL40" s="323" t="str">
        <f t="shared" si="48"/>
        <v/>
      </c>
      <c r="AM40" s="323" t="str">
        <f t="shared" si="48"/>
        <v/>
      </c>
      <c r="AN40" s="323" t="str">
        <f t="shared" si="48"/>
        <v/>
      </c>
      <c r="AO40" s="323" t="str">
        <f t="shared" si="48"/>
        <v/>
      </c>
      <c r="AP40" s="323" t="str">
        <f t="shared" si="48"/>
        <v/>
      </c>
      <c r="AQ40" s="323" t="str">
        <f t="shared" si="48"/>
        <v/>
      </c>
      <c r="AR40" s="323" t="str">
        <f t="shared" si="48"/>
        <v/>
      </c>
      <c r="AS40" s="323" t="str">
        <f t="shared" si="48"/>
        <v/>
      </c>
      <c r="AT40" s="323" t="str">
        <f t="shared" si="48"/>
        <v/>
      </c>
      <c r="AU40" s="323" t="str">
        <f t="shared" si="48"/>
        <v/>
      </c>
      <c r="AV40" s="323" t="str">
        <f t="shared" si="48"/>
        <v/>
      </c>
      <c r="AW40" s="323" t="str">
        <f t="shared" si="48"/>
        <v/>
      </c>
      <c r="AX40" s="323" t="str">
        <f t="shared" si="48"/>
        <v/>
      </c>
      <c r="AY40" s="323" t="str">
        <f t="shared" si="48"/>
        <v/>
      </c>
      <c r="AZ40" s="323" t="str">
        <f t="shared" si="48"/>
        <v/>
      </c>
      <c r="BA40" s="323" t="str">
        <f t="shared" si="48"/>
        <v/>
      </c>
      <c r="BB40" s="323" t="str">
        <f t="shared" si="48"/>
        <v/>
      </c>
      <c r="BC40" s="323" t="str">
        <f t="shared" si="48"/>
        <v/>
      </c>
      <c r="BD40" s="323" t="str">
        <f t="shared" si="48"/>
        <v/>
      </c>
      <c r="BE40" s="323" t="str">
        <f t="shared" si="48"/>
        <v/>
      </c>
      <c r="BF40" s="323" t="str">
        <f t="shared" si="48"/>
        <v/>
      </c>
      <c r="BG40" s="323" t="str">
        <f t="shared" si="48"/>
        <v/>
      </c>
      <c r="BH40" s="323" t="str">
        <f t="shared" si="48"/>
        <v/>
      </c>
      <c r="BI40" s="323" t="str">
        <f t="shared" si="48"/>
        <v/>
      </c>
      <c r="BJ40" s="323" t="str">
        <f t="shared" si="48"/>
        <v/>
      </c>
      <c r="BK40" s="323" t="str">
        <f t="shared" si="48"/>
        <v/>
      </c>
      <c r="BL40" s="323" t="str">
        <f t="shared" si="48"/>
        <v/>
      </c>
      <c r="BM40" s="323" t="str">
        <f t="shared" si="48"/>
        <v/>
      </c>
      <c r="BN40" s="323" t="str">
        <f t="shared" si="48"/>
        <v/>
      </c>
      <c r="BO40" s="323" t="str">
        <f t="shared" si="48"/>
        <v/>
      </c>
      <c r="BP40" s="323" t="str">
        <f t="shared" si="48"/>
        <v/>
      </c>
      <c r="BQ40" s="323" t="str">
        <f t="shared" si="48"/>
        <v/>
      </c>
      <c r="BR40" s="323" t="str">
        <f t="shared" si="48"/>
        <v/>
      </c>
      <c r="BS40" s="323" t="str">
        <f t="shared" si="48"/>
        <v/>
      </c>
      <c r="BT40" s="323" t="str">
        <f t="shared" si="48"/>
        <v/>
      </c>
      <c r="BU40" s="323" t="str">
        <f t="shared" si="48"/>
        <v/>
      </c>
      <c r="BV40" s="323" t="str">
        <f t="shared" si="48"/>
        <v/>
      </c>
      <c r="BW40" s="323" t="str">
        <f t="shared" si="48"/>
        <v/>
      </c>
      <c r="BX40" s="323" t="str">
        <f t="shared" si="48"/>
        <v/>
      </c>
      <c r="BY40" s="323" t="str">
        <f t="shared" si="48"/>
        <v/>
      </c>
      <c r="BZ40" s="323" t="str">
        <f t="shared" si="48"/>
        <v/>
      </c>
      <c r="CA40" s="323" t="str">
        <f t="shared" si="48"/>
        <v/>
      </c>
      <c r="CB40" s="323" t="str">
        <f t="shared" si="48"/>
        <v/>
      </c>
      <c r="CC40" s="323" t="str">
        <f t="shared" si="48"/>
        <v/>
      </c>
      <c r="CD40" s="323" t="str">
        <f t="shared" si="48"/>
        <v/>
      </c>
      <c r="CE40" s="323" t="str">
        <f t="shared" si="48"/>
        <v/>
      </c>
      <c r="CF40" s="323" t="str">
        <f t="shared" si="48"/>
        <v/>
      </c>
      <c r="CG40" s="323" t="str">
        <f t="shared" si="48"/>
        <v/>
      </c>
      <c r="CH40" s="323" t="str">
        <f t="shared" si="48"/>
        <v/>
      </c>
      <c r="CI40" s="323" t="str">
        <f t="shared" si="48"/>
        <v/>
      </c>
      <c r="CJ40" s="323" t="str">
        <f t="shared" si="48"/>
        <v/>
      </c>
      <c r="CK40" s="323" t="str">
        <f t="shared" si="48"/>
        <v/>
      </c>
      <c r="CL40" s="323" t="str">
        <f t="shared" si="48"/>
        <v/>
      </c>
      <c r="CM40" s="323" t="str">
        <f t="shared" si="48"/>
        <v/>
      </c>
      <c r="CN40" s="323"/>
      <c r="CO40" s="323"/>
      <c r="CP40" s="323" t="str">
        <f t="shared" si="16"/>
        <v/>
      </c>
      <c r="CQ40" s="323"/>
      <c r="CR40" s="323"/>
      <c r="CS40" s="323"/>
      <c r="CT40" s="323"/>
      <c r="CU40" s="323"/>
      <c r="CV40" s="323"/>
      <c r="CW40" s="323"/>
      <c r="CX40" s="323"/>
      <c r="CY40" s="323"/>
      <c r="CZ40" s="323"/>
      <c r="DA40" s="323"/>
      <c r="DB40" s="323"/>
      <c r="DC40" s="323"/>
      <c r="DD40" s="323"/>
      <c r="DE40" s="323"/>
      <c r="DF40" s="323"/>
      <c r="DG40" s="323"/>
      <c r="DH40" s="323"/>
      <c r="DI40" s="323"/>
      <c r="DJ40" s="323"/>
      <c r="DK40" s="323"/>
      <c r="DL40" s="323"/>
      <c r="DM40" s="323"/>
      <c r="DN40" s="323"/>
      <c r="DO40" s="323"/>
      <c r="DP40" s="323"/>
      <c r="DQ40" s="323"/>
      <c r="DR40" s="323"/>
      <c r="DS40" s="323"/>
      <c r="DT40" s="323"/>
      <c r="DU40" s="323"/>
      <c r="DV40" s="323"/>
      <c r="DW40" s="323"/>
      <c r="DX40" s="323"/>
      <c r="DY40" s="323"/>
      <c r="DZ40" s="323"/>
      <c r="EA40" s="323"/>
      <c r="EB40" s="323"/>
      <c r="EC40" s="323"/>
      <c r="ED40" s="323"/>
      <c r="EE40" s="323"/>
      <c r="EF40" s="323"/>
      <c r="EG40" s="323"/>
      <c r="EH40" s="323"/>
      <c r="EI40" s="323"/>
      <c r="EJ40" s="323"/>
      <c r="EK40" s="323"/>
      <c r="EL40" s="323"/>
      <c r="EM40" s="323"/>
      <c r="EN40" s="323"/>
      <c r="EO40" s="323"/>
      <c r="EP40" s="323"/>
      <c r="EQ40" s="323"/>
      <c r="ER40" s="323"/>
      <c r="ES40" s="323"/>
      <c r="ET40" s="323"/>
      <c r="EU40" s="323"/>
      <c r="EV40" s="323"/>
      <c r="EW40" s="323"/>
      <c r="EX40" s="323"/>
      <c r="EY40" s="323"/>
      <c r="EZ40" s="323"/>
      <c r="FA40" s="323"/>
      <c r="FB40" s="323"/>
      <c r="FC40" s="323"/>
      <c r="FD40" s="323"/>
      <c r="FE40" s="323"/>
      <c r="FF40" s="323"/>
      <c r="FG40" s="323"/>
      <c r="FH40" s="323"/>
      <c r="FI40" s="323"/>
      <c r="FJ40" s="323"/>
      <c r="FK40" s="323"/>
      <c r="FL40" s="323"/>
      <c r="FM40" s="323"/>
      <c r="FN40" s="323"/>
      <c r="FO40" s="323"/>
      <c r="FP40" s="323"/>
      <c r="FQ40" s="323"/>
      <c r="FR40" s="323"/>
      <c r="FS40" s="323"/>
      <c r="FT40" s="323"/>
      <c r="FU40" s="323"/>
      <c r="FV40" s="323"/>
      <c r="FW40" s="323"/>
      <c r="FX40" s="323"/>
    </row>
    <row r="41" ht="15.75" customHeight="1">
      <c r="A41" s="44">
        <v>36.0</v>
      </c>
      <c r="B41" s="27"/>
      <c r="C41" s="44"/>
      <c r="D41" s="44"/>
      <c r="E41" s="330"/>
      <c r="F41" s="47"/>
      <c r="G41" s="47"/>
      <c r="H41" s="47"/>
      <c r="I41" s="26"/>
      <c r="J41" s="323" t="str">
        <f t="shared" ref="J41:CM41" si="49">IF(AND($I41="Yes",J$2=$H41),"♦","")</f>
        <v/>
      </c>
      <c r="K41" s="323" t="str">
        <f t="shared" si="49"/>
        <v/>
      </c>
      <c r="L41" s="323" t="str">
        <f t="shared" si="49"/>
        <v/>
      </c>
      <c r="M41" s="323" t="str">
        <f t="shared" si="49"/>
        <v/>
      </c>
      <c r="N41" s="323" t="str">
        <f t="shared" si="49"/>
        <v/>
      </c>
      <c r="O41" s="323" t="str">
        <f t="shared" si="49"/>
        <v/>
      </c>
      <c r="P41" s="323" t="str">
        <f t="shared" si="49"/>
        <v/>
      </c>
      <c r="Q41" s="323" t="str">
        <f t="shared" si="49"/>
        <v/>
      </c>
      <c r="R41" s="323" t="str">
        <f t="shared" si="49"/>
        <v/>
      </c>
      <c r="S41" s="323" t="str">
        <f t="shared" si="49"/>
        <v/>
      </c>
      <c r="T41" s="323" t="str">
        <f t="shared" si="49"/>
        <v/>
      </c>
      <c r="U41" s="323" t="str">
        <f t="shared" si="49"/>
        <v/>
      </c>
      <c r="V41" s="323" t="str">
        <f t="shared" si="49"/>
        <v/>
      </c>
      <c r="W41" s="323" t="str">
        <f t="shared" si="49"/>
        <v/>
      </c>
      <c r="X41" s="323" t="str">
        <f t="shared" si="49"/>
        <v/>
      </c>
      <c r="Y41" s="323" t="str">
        <f t="shared" si="49"/>
        <v/>
      </c>
      <c r="Z41" s="323" t="str">
        <f t="shared" si="49"/>
        <v/>
      </c>
      <c r="AA41" s="323" t="str">
        <f t="shared" si="49"/>
        <v/>
      </c>
      <c r="AB41" s="323" t="str">
        <f t="shared" si="49"/>
        <v/>
      </c>
      <c r="AC41" s="323" t="str">
        <f t="shared" si="49"/>
        <v/>
      </c>
      <c r="AD41" s="323" t="str">
        <f t="shared" si="49"/>
        <v/>
      </c>
      <c r="AE41" s="323" t="str">
        <f t="shared" si="49"/>
        <v/>
      </c>
      <c r="AF41" s="323" t="str">
        <f t="shared" si="49"/>
        <v/>
      </c>
      <c r="AG41" s="323" t="str">
        <f t="shared" si="49"/>
        <v/>
      </c>
      <c r="AH41" s="323" t="str">
        <f t="shared" si="49"/>
        <v/>
      </c>
      <c r="AI41" s="323" t="str">
        <f t="shared" si="49"/>
        <v/>
      </c>
      <c r="AJ41" s="323" t="str">
        <f t="shared" si="49"/>
        <v/>
      </c>
      <c r="AK41" s="323" t="str">
        <f t="shared" si="49"/>
        <v/>
      </c>
      <c r="AL41" s="323" t="str">
        <f t="shared" si="49"/>
        <v/>
      </c>
      <c r="AM41" s="323" t="str">
        <f t="shared" si="49"/>
        <v/>
      </c>
      <c r="AN41" s="323" t="str">
        <f t="shared" si="49"/>
        <v/>
      </c>
      <c r="AO41" s="323" t="str">
        <f t="shared" si="49"/>
        <v/>
      </c>
      <c r="AP41" s="323" t="str">
        <f t="shared" si="49"/>
        <v/>
      </c>
      <c r="AQ41" s="323" t="str">
        <f t="shared" si="49"/>
        <v/>
      </c>
      <c r="AR41" s="323" t="str">
        <f t="shared" si="49"/>
        <v/>
      </c>
      <c r="AS41" s="323" t="str">
        <f t="shared" si="49"/>
        <v/>
      </c>
      <c r="AT41" s="323" t="str">
        <f t="shared" si="49"/>
        <v/>
      </c>
      <c r="AU41" s="323" t="str">
        <f t="shared" si="49"/>
        <v/>
      </c>
      <c r="AV41" s="323" t="str">
        <f t="shared" si="49"/>
        <v/>
      </c>
      <c r="AW41" s="323" t="str">
        <f t="shared" si="49"/>
        <v/>
      </c>
      <c r="AX41" s="323" t="str">
        <f t="shared" si="49"/>
        <v/>
      </c>
      <c r="AY41" s="323" t="str">
        <f t="shared" si="49"/>
        <v/>
      </c>
      <c r="AZ41" s="323" t="str">
        <f t="shared" si="49"/>
        <v/>
      </c>
      <c r="BA41" s="323" t="str">
        <f t="shared" si="49"/>
        <v/>
      </c>
      <c r="BB41" s="323" t="str">
        <f t="shared" si="49"/>
        <v/>
      </c>
      <c r="BC41" s="323" t="str">
        <f t="shared" si="49"/>
        <v/>
      </c>
      <c r="BD41" s="323" t="str">
        <f t="shared" si="49"/>
        <v/>
      </c>
      <c r="BE41" s="323" t="str">
        <f t="shared" si="49"/>
        <v/>
      </c>
      <c r="BF41" s="323" t="str">
        <f t="shared" si="49"/>
        <v/>
      </c>
      <c r="BG41" s="323" t="str">
        <f t="shared" si="49"/>
        <v/>
      </c>
      <c r="BH41" s="323" t="str">
        <f t="shared" si="49"/>
        <v/>
      </c>
      <c r="BI41" s="323" t="str">
        <f t="shared" si="49"/>
        <v/>
      </c>
      <c r="BJ41" s="323" t="str">
        <f t="shared" si="49"/>
        <v/>
      </c>
      <c r="BK41" s="323" t="str">
        <f t="shared" si="49"/>
        <v/>
      </c>
      <c r="BL41" s="323" t="str">
        <f t="shared" si="49"/>
        <v/>
      </c>
      <c r="BM41" s="323" t="str">
        <f t="shared" si="49"/>
        <v/>
      </c>
      <c r="BN41" s="323" t="str">
        <f t="shared" si="49"/>
        <v/>
      </c>
      <c r="BO41" s="323" t="str">
        <f t="shared" si="49"/>
        <v/>
      </c>
      <c r="BP41" s="323" t="str">
        <f t="shared" si="49"/>
        <v/>
      </c>
      <c r="BQ41" s="323" t="str">
        <f t="shared" si="49"/>
        <v/>
      </c>
      <c r="BR41" s="323" t="str">
        <f t="shared" si="49"/>
        <v/>
      </c>
      <c r="BS41" s="323" t="str">
        <f t="shared" si="49"/>
        <v/>
      </c>
      <c r="BT41" s="323" t="str">
        <f t="shared" si="49"/>
        <v/>
      </c>
      <c r="BU41" s="323" t="str">
        <f t="shared" si="49"/>
        <v/>
      </c>
      <c r="BV41" s="323" t="str">
        <f t="shared" si="49"/>
        <v/>
      </c>
      <c r="BW41" s="323" t="str">
        <f t="shared" si="49"/>
        <v/>
      </c>
      <c r="BX41" s="323" t="str">
        <f t="shared" si="49"/>
        <v/>
      </c>
      <c r="BY41" s="323" t="str">
        <f t="shared" si="49"/>
        <v/>
      </c>
      <c r="BZ41" s="323" t="str">
        <f t="shared" si="49"/>
        <v/>
      </c>
      <c r="CA41" s="323" t="str">
        <f t="shared" si="49"/>
        <v/>
      </c>
      <c r="CB41" s="323" t="str">
        <f t="shared" si="49"/>
        <v/>
      </c>
      <c r="CC41" s="323" t="str">
        <f t="shared" si="49"/>
        <v/>
      </c>
      <c r="CD41" s="323" t="str">
        <f t="shared" si="49"/>
        <v/>
      </c>
      <c r="CE41" s="323" t="str">
        <f t="shared" si="49"/>
        <v/>
      </c>
      <c r="CF41" s="323" t="str">
        <f t="shared" si="49"/>
        <v/>
      </c>
      <c r="CG41" s="323" t="str">
        <f t="shared" si="49"/>
        <v/>
      </c>
      <c r="CH41" s="323" t="str">
        <f t="shared" si="49"/>
        <v/>
      </c>
      <c r="CI41" s="323" t="str">
        <f t="shared" si="49"/>
        <v/>
      </c>
      <c r="CJ41" s="323" t="str">
        <f t="shared" si="49"/>
        <v/>
      </c>
      <c r="CK41" s="323" t="str">
        <f t="shared" si="49"/>
        <v/>
      </c>
      <c r="CL41" s="323" t="str">
        <f t="shared" si="49"/>
        <v/>
      </c>
      <c r="CM41" s="323" t="str">
        <f t="shared" si="49"/>
        <v/>
      </c>
      <c r="CN41" s="323"/>
      <c r="CO41" s="323"/>
      <c r="CP41" s="323" t="str">
        <f t="shared" si="16"/>
        <v/>
      </c>
      <c r="CQ41" s="323"/>
      <c r="CR41" s="323"/>
      <c r="CS41" s="323"/>
      <c r="CT41" s="323"/>
      <c r="CU41" s="323"/>
      <c r="CV41" s="323"/>
      <c r="CW41" s="323"/>
      <c r="CX41" s="323"/>
      <c r="CY41" s="323"/>
      <c r="CZ41" s="323"/>
      <c r="DA41" s="323"/>
      <c r="DB41" s="323"/>
      <c r="DC41" s="323"/>
      <c r="DD41" s="323"/>
      <c r="DE41" s="323"/>
      <c r="DF41" s="323"/>
      <c r="DG41" s="323"/>
      <c r="DH41" s="323"/>
      <c r="DI41" s="323"/>
      <c r="DJ41" s="323"/>
      <c r="DK41" s="323"/>
      <c r="DL41" s="323"/>
      <c r="DM41" s="323"/>
      <c r="DN41" s="323"/>
      <c r="DO41" s="323"/>
      <c r="DP41" s="323"/>
      <c r="DQ41" s="323"/>
      <c r="DR41" s="323"/>
      <c r="DS41" s="323"/>
      <c r="DT41" s="323"/>
      <c r="DU41" s="323"/>
      <c r="DV41" s="323"/>
      <c r="DW41" s="323"/>
      <c r="DX41" s="323"/>
      <c r="DY41" s="323"/>
      <c r="DZ41" s="323"/>
      <c r="EA41" s="323"/>
      <c r="EB41" s="323"/>
      <c r="EC41" s="323"/>
      <c r="ED41" s="323"/>
      <c r="EE41" s="323"/>
      <c r="EF41" s="323"/>
      <c r="EG41" s="323"/>
      <c r="EH41" s="323"/>
      <c r="EI41" s="323"/>
      <c r="EJ41" s="323"/>
      <c r="EK41" s="323"/>
      <c r="EL41" s="323"/>
      <c r="EM41" s="323"/>
      <c r="EN41" s="323"/>
      <c r="EO41" s="323"/>
      <c r="EP41" s="323"/>
      <c r="EQ41" s="323"/>
      <c r="ER41" s="323"/>
      <c r="ES41" s="323"/>
      <c r="ET41" s="323"/>
      <c r="EU41" s="323"/>
      <c r="EV41" s="323"/>
      <c r="EW41" s="323"/>
      <c r="EX41" s="323"/>
      <c r="EY41" s="323"/>
      <c r="EZ41" s="323"/>
      <c r="FA41" s="323"/>
      <c r="FB41" s="323"/>
      <c r="FC41" s="323"/>
      <c r="FD41" s="323"/>
      <c r="FE41" s="323"/>
      <c r="FF41" s="323"/>
      <c r="FG41" s="323"/>
      <c r="FH41" s="323"/>
      <c r="FI41" s="323"/>
      <c r="FJ41" s="323"/>
      <c r="FK41" s="323"/>
      <c r="FL41" s="323"/>
      <c r="FM41" s="323"/>
      <c r="FN41" s="323"/>
      <c r="FO41" s="323"/>
      <c r="FP41" s="323"/>
      <c r="FQ41" s="323"/>
      <c r="FR41" s="323"/>
      <c r="FS41" s="323"/>
      <c r="FT41" s="323"/>
      <c r="FU41" s="323"/>
      <c r="FV41" s="323"/>
      <c r="FW41" s="323"/>
      <c r="FX41" s="323"/>
    </row>
    <row r="42" ht="15.75" customHeight="1">
      <c r="A42" s="44">
        <v>37.0</v>
      </c>
      <c r="B42" s="27"/>
      <c r="C42" s="44"/>
      <c r="D42" s="44"/>
      <c r="E42" s="330"/>
      <c r="F42" s="47"/>
      <c r="G42" s="47"/>
      <c r="H42" s="47"/>
      <c r="I42" s="26"/>
      <c r="J42" s="323" t="str">
        <f t="shared" ref="J42:CM42" si="50">IF(AND($I42="Yes",J$2=$H42),"♦","")</f>
        <v/>
      </c>
      <c r="K42" s="323" t="str">
        <f t="shared" si="50"/>
        <v/>
      </c>
      <c r="L42" s="323" t="str">
        <f t="shared" si="50"/>
        <v/>
      </c>
      <c r="M42" s="323" t="str">
        <f t="shared" si="50"/>
        <v/>
      </c>
      <c r="N42" s="323" t="str">
        <f t="shared" si="50"/>
        <v/>
      </c>
      <c r="O42" s="323" t="str">
        <f t="shared" si="50"/>
        <v/>
      </c>
      <c r="P42" s="323" t="str">
        <f t="shared" si="50"/>
        <v/>
      </c>
      <c r="Q42" s="323" t="str">
        <f t="shared" si="50"/>
        <v/>
      </c>
      <c r="R42" s="323" t="str">
        <f t="shared" si="50"/>
        <v/>
      </c>
      <c r="S42" s="323" t="str">
        <f t="shared" si="50"/>
        <v/>
      </c>
      <c r="T42" s="323" t="str">
        <f t="shared" si="50"/>
        <v/>
      </c>
      <c r="U42" s="323" t="str">
        <f t="shared" si="50"/>
        <v/>
      </c>
      <c r="V42" s="323" t="str">
        <f t="shared" si="50"/>
        <v/>
      </c>
      <c r="W42" s="323" t="str">
        <f t="shared" si="50"/>
        <v/>
      </c>
      <c r="X42" s="323" t="str">
        <f t="shared" si="50"/>
        <v/>
      </c>
      <c r="Y42" s="323" t="str">
        <f t="shared" si="50"/>
        <v/>
      </c>
      <c r="Z42" s="323" t="str">
        <f t="shared" si="50"/>
        <v/>
      </c>
      <c r="AA42" s="323" t="str">
        <f t="shared" si="50"/>
        <v/>
      </c>
      <c r="AB42" s="323" t="str">
        <f t="shared" si="50"/>
        <v/>
      </c>
      <c r="AC42" s="323" t="str">
        <f t="shared" si="50"/>
        <v/>
      </c>
      <c r="AD42" s="323" t="str">
        <f t="shared" si="50"/>
        <v/>
      </c>
      <c r="AE42" s="323" t="str">
        <f t="shared" si="50"/>
        <v/>
      </c>
      <c r="AF42" s="323" t="str">
        <f t="shared" si="50"/>
        <v/>
      </c>
      <c r="AG42" s="323" t="str">
        <f t="shared" si="50"/>
        <v/>
      </c>
      <c r="AH42" s="323" t="str">
        <f t="shared" si="50"/>
        <v/>
      </c>
      <c r="AI42" s="323" t="str">
        <f t="shared" si="50"/>
        <v/>
      </c>
      <c r="AJ42" s="323" t="str">
        <f t="shared" si="50"/>
        <v/>
      </c>
      <c r="AK42" s="323" t="str">
        <f t="shared" si="50"/>
        <v/>
      </c>
      <c r="AL42" s="323" t="str">
        <f t="shared" si="50"/>
        <v/>
      </c>
      <c r="AM42" s="323" t="str">
        <f t="shared" si="50"/>
        <v/>
      </c>
      <c r="AN42" s="323" t="str">
        <f t="shared" si="50"/>
        <v/>
      </c>
      <c r="AO42" s="323" t="str">
        <f t="shared" si="50"/>
        <v/>
      </c>
      <c r="AP42" s="323" t="str">
        <f t="shared" si="50"/>
        <v/>
      </c>
      <c r="AQ42" s="323" t="str">
        <f t="shared" si="50"/>
        <v/>
      </c>
      <c r="AR42" s="323" t="str">
        <f t="shared" si="50"/>
        <v/>
      </c>
      <c r="AS42" s="323" t="str">
        <f t="shared" si="50"/>
        <v/>
      </c>
      <c r="AT42" s="323" t="str">
        <f t="shared" si="50"/>
        <v/>
      </c>
      <c r="AU42" s="323" t="str">
        <f t="shared" si="50"/>
        <v/>
      </c>
      <c r="AV42" s="323" t="str">
        <f t="shared" si="50"/>
        <v/>
      </c>
      <c r="AW42" s="323" t="str">
        <f t="shared" si="50"/>
        <v/>
      </c>
      <c r="AX42" s="323" t="str">
        <f t="shared" si="50"/>
        <v/>
      </c>
      <c r="AY42" s="323" t="str">
        <f t="shared" si="50"/>
        <v/>
      </c>
      <c r="AZ42" s="323" t="str">
        <f t="shared" si="50"/>
        <v/>
      </c>
      <c r="BA42" s="323" t="str">
        <f t="shared" si="50"/>
        <v/>
      </c>
      <c r="BB42" s="323" t="str">
        <f t="shared" si="50"/>
        <v/>
      </c>
      <c r="BC42" s="323" t="str">
        <f t="shared" si="50"/>
        <v/>
      </c>
      <c r="BD42" s="323" t="str">
        <f t="shared" si="50"/>
        <v/>
      </c>
      <c r="BE42" s="323" t="str">
        <f t="shared" si="50"/>
        <v/>
      </c>
      <c r="BF42" s="323" t="str">
        <f t="shared" si="50"/>
        <v/>
      </c>
      <c r="BG42" s="323" t="str">
        <f t="shared" si="50"/>
        <v/>
      </c>
      <c r="BH42" s="323" t="str">
        <f t="shared" si="50"/>
        <v/>
      </c>
      <c r="BI42" s="323" t="str">
        <f t="shared" si="50"/>
        <v/>
      </c>
      <c r="BJ42" s="323" t="str">
        <f t="shared" si="50"/>
        <v/>
      </c>
      <c r="BK42" s="323" t="str">
        <f t="shared" si="50"/>
        <v/>
      </c>
      <c r="BL42" s="323" t="str">
        <f t="shared" si="50"/>
        <v/>
      </c>
      <c r="BM42" s="323" t="str">
        <f t="shared" si="50"/>
        <v/>
      </c>
      <c r="BN42" s="323" t="str">
        <f t="shared" si="50"/>
        <v/>
      </c>
      <c r="BO42" s="323" t="str">
        <f t="shared" si="50"/>
        <v/>
      </c>
      <c r="BP42" s="323" t="str">
        <f t="shared" si="50"/>
        <v/>
      </c>
      <c r="BQ42" s="323" t="str">
        <f t="shared" si="50"/>
        <v/>
      </c>
      <c r="BR42" s="323" t="str">
        <f t="shared" si="50"/>
        <v/>
      </c>
      <c r="BS42" s="323" t="str">
        <f t="shared" si="50"/>
        <v/>
      </c>
      <c r="BT42" s="323" t="str">
        <f t="shared" si="50"/>
        <v/>
      </c>
      <c r="BU42" s="323" t="str">
        <f t="shared" si="50"/>
        <v/>
      </c>
      <c r="BV42" s="323" t="str">
        <f t="shared" si="50"/>
        <v/>
      </c>
      <c r="BW42" s="323" t="str">
        <f t="shared" si="50"/>
        <v/>
      </c>
      <c r="BX42" s="323" t="str">
        <f t="shared" si="50"/>
        <v/>
      </c>
      <c r="BY42" s="323" t="str">
        <f t="shared" si="50"/>
        <v/>
      </c>
      <c r="BZ42" s="323" t="str">
        <f t="shared" si="50"/>
        <v/>
      </c>
      <c r="CA42" s="323" t="str">
        <f t="shared" si="50"/>
        <v/>
      </c>
      <c r="CB42" s="323" t="str">
        <f t="shared" si="50"/>
        <v/>
      </c>
      <c r="CC42" s="323" t="str">
        <f t="shared" si="50"/>
        <v/>
      </c>
      <c r="CD42" s="323" t="str">
        <f t="shared" si="50"/>
        <v/>
      </c>
      <c r="CE42" s="323" t="str">
        <f t="shared" si="50"/>
        <v/>
      </c>
      <c r="CF42" s="323" t="str">
        <f t="shared" si="50"/>
        <v/>
      </c>
      <c r="CG42" s="323" t="str">
        <f t="shared" si="50"/>
        <v/>
      </c>
      <c r="CH42" s="323" t="str">
        <f t="shared" si="50"/>
        <v/>
      </c>
      <c r="CI42" s="323" t="str">
        <f t="shared" si="50"/>
        <v/>
      </c>
      <c r="CJ42" s="323" t="str">
        <f t="shared" si="50"/>
        <v/>
      </c>
      <c r="CK42" s="323" t="str">
        <f t="shared" si="50"/>
        <v/>
      </c>
      <c r="CL42" s="323" t="str">
        <f t="shared" si="50"/>
        <v/>
      </c>
      <c r="CM42" s="323" t="str">
        <f t="shared" si="50"/>
        <v/>
      </c>
      <c r="CN42" s="323"/>
      <c r="CO42" s="323"/>
      <c r="CP42" s="323" t="str">
        <f t="shared" si="16"/>
        <v/>
      </c>
      <c r="CQ42" s="323"/>
      <c r="CR42" s="323"/>
      <c r="CS42" s="323"/>
      <c r="CT42" s="323"/>
      <c r="CU42" s="323"/>
      <c r="CV42" s="323"/>
      <c r="CW42" s="323"/>
      <c r="CX42" s="323"/>
      <c r="CY42" s="323"/>
      <c r="CZ42" s="323"/>
      <c r="DA42" s="323"/>
      <c r="DB42" s="323"/>
      <c r="DC42" s="323"/>
      <c r="DD42" s="323"/>
      <c r="DE42" s="323"/>
      <c r="DF42" s="323"/>
      <c r="DG42" s="323"/>
      <c r="DH42" s="323"/>
      <c r="DI42" s="323"/>
      <c r="DJ42" s="323"/>
      <c r="DK42" s="323"/>
      <c r="DL42" s="323"/>
      <c r="DM42" s="323"/>
      <c r="DN42" s="323"/>
      <c r="DO42" s="323"/>
      <c r="DP42" s="323"/>
      <c r="DQ42" s="323"/>
      <c r="DR42" s="323"/>
      <c r="DS42" s="323"/>
      <c r="DT42" s="323"/>
      <c r="DU42" s="323"/>
      <c r="DV42" s="323"/>
      <c r="DW42" s="323"/>
      <c r="DX42" s="323"/>
      <c r="DY42" s="323"/>
      <c r="DZ42" s="323"/>
      <c r="EA42" s="323"/>
      <c r="EB42" s="323"/>
      <c r="EC42" s="323"/>
      <c r="ED42" s="323"/>
      <c r="EE42" s="323"/>
      <c r="EF42" s="323"/>
      <c r="EG42" s="323"/>
      <c r="EH42" s="323"/>
      <c r="EI42" s="323"/>
      <c r="EJ42" s="323"/>
      <c r="EK42" s="323"/>
      <c r="EL42" s="323"/>
      <c r="EM42" s="323"/>
      <c r="EN42" s="323"/>
      <c r="EO42" s="323"/>
      <c r="EP42" s="323"/>
      <c r="EQ42" s="323"/>
      <c r="ER42" s="323"/>
      <c r="ES42" s="323"/>
      <c r="ET42" s="323"/>
      <c r="EU42" s="323"/>
      <c r="EV42" s="323"/>
      <c r="EW42" s="323"/>
      <c r="EX42" s="323"/>
      <c r="EY42" s="323"/>
      <c r="EZ42" s="323"/>
      <c r="FA42" s="323"/>
      <c r="FB42" s="323"/>
      <c r="FC42" s="323"/>
      <c r="FD42" s="323"/>
      <c r="FE42" s="323"/>
      <c r="FF42" s="323"/>
      <c r="FG42" s="323"/>
      <c r="FH42" s="323"/>
      <c r="FI42" s="323"/>
      <c r="FJ42" s="323"/>
      <c r="FK42" s="323"/>
      <c r="FL42" s="323"/>
      <c r="FM42" s="323"/>
      <c r="FN42" s="323"/>
      <c r="FO42" s="323"/>
      <c r="FP42" s="323"/>
      <c r="FQ42" s="323"/>
      <c r="FR42" s="323"/>
      <c r="FS42" s="323"/>
      <c r="FT42" s="323"/>
      <c r="FU42" s="323"/>
      <c r="FV42" s="323"/>
      <c r="FW42" s="323"/>
      <c r="FX42" s="323"/>
    </row>
    <row r="43" ht="15.75" customHeight="1">
      <c r="A43" s="44">
        <v>38.0</v>
      </c>
      <c r="B43" s="27"/>
      <c r="C43" s="44"/>
      <c r="D43" s="44"/>
      <c r="E43" s="330"/>
      <c r="F43" s="47"/>
      <c r="G43" s="47"/>
      <c r="H43" s="47"/>
      <c r="I43" s="26"/>
      <c r="J43" s="323" t="str">
        <f t="shared" ref="J43:CM43" si="51">IF(AND($I43="Yes",J$2=$H43),"♦","")</f>
        <v/>
      </c>
      <c r="K43" s="323" t="str">
        <f t="shared" si="51"/>
        <v/>
      </c>
      <c r="L43" s="323" t="str">
        <f t="shared" si="51"/>
        <v/>
      </c>
      <c r="M43" s="323" t="str">
        <f t="shared" si="51"/>
        <v/>
      </c>
      <c r="N43" s="323" t="str">
        <f t="shared" si="51"/>
        <v/>
      </c>
      <c r="O43" s="323" t="str">
        <f t="shared" si="51"/>
        <v/>
      </c>
      <c r="P43" s="323" t="str">
        <f t="shared" si="51"/>
        <v/>
      </c>
      <c r="Q43" s="323" t="str">
        <f t="shared" si="51"/>
        <v/>
      </c>
      <c r="R43" s="323" t="str">
        <f t="shared" si="51"/>
        <v/>
      </c>
      <c r="S43" s="323" t="str">
        <f t="shared" si="51"/>
        <v/>
      </c>
      <c r="T43" s="323" t="str">
        <f t="shared" si="51"/>
        <v/>
      </c>
      <c r="U43" s="323" t="str">
        <f t="shared" si="51"/>
        <v/>
      </c>
      <c r="V43" s="323" t="str">
        <f t="shared" si="51"/>
        <v/>
      </c>
      <c r="W43" s="323" t="str">
        <f t="shared" si="51"/>
        <v/>
      </c>
      <c r="X43" s="323" t="str">
        <f t="shared" si="51"/>
        <v/>
      </c>
      <c r="Y43" s="323" t="str">
        <f t="shared" si="51"/>
        <v/>
      </c>
      <c r="Z43" s="323" t="str">
        <f t="shared" si="51"/>
        <v/>
      </c>
      <c r="AA43" s="323" t="str">
        <f t="shared" si="51"/>
        <v/>
      </c>
      <c r="AB43" s="323" t="str">
        <f t="shared" si="51"/>
        <v/>
      </c>
      <c r="AC43" s="323" t="str">
        <f t="shared" si="51"/>
        <v/>
      </c>
      <c r="AD43" s="323" t="str">
        <f t="shared" si="51"/>
        <v/>
      </c>
      <c r="AE43" s="323" t="str">
        <f t="shared" si="51"/>
        <v/>
      </c>
      <c r="AF43" s="323" t="str">
        <f t="shared" si="51"/>
        <v/>
      </c>
      <c r="AG43" s="323" t="str">
        <f t="shared" si="51"/>
        <v/>
      </c>
      <c r="AH43" s="323" t="str">
        <f t="shared" si="51"/>
        <v/>
      </c>
      <c r="AI43" s="323" t="str">
        <f t="shared" si="51"/>
        <v/>
      </c>
      <c r="AJ43" s="323" t="str">
        <f t="shared" si="51"/>
        <v/>
      </c>
      <c r="AK43" s="323" t="str">
        <f t="shared" si="51"/>
        <v/>
      </c>
      <c r="AL43" s="323" t="str">
        <f t="shared" si="51"/>
        <v/>
      </c>
      <c r="AM43" s="323" t="str">
        <f t="shared" si="51"/>
        <v/>
      </c>
      <c r="AN43" s="323" t="str">
        <f t="shared" si="51"/>
        <v/>
      </c>
      <c r="AO43" s="323" t="str">
        <f t="shared" si="51"/>
        <v/>
      </c>
      <c r="AP43" s="323" t="str">
        <f t="shared" si="51"/>
        <v/>
      </c>
      <c r="AQ43" s="323" t="str">
        <f t="shared" si="51"/>
        <v/>
      </c>
      <c r="AR43" s="323" t="str">
        <f t="shared" si="51"/>
        <v/>
      </c>
      <c r="AS43" s="323" t="str">
        <f t="shared" si="51"/>
        <v/>
      </c>
      <c r="AT43" s="323" t="str">
        <f t="shared" si="51"/>
        <v/>
      </c>
      <c r="AU43" s="323" t="str">
        <f t="shared" si="51"/>
        <v/>
      </c>
      <c r="AV43" s="323" t="str">
        <f t="shared" si="51"/>
        <v/>
      </c>
      <c r="AW43" s="323" t="str">
        <f t="shared" si="51"/>
        <v/>
      </c>
      <c r="AX43" s="323" t="str">
        <f t="shared" si="51"/>
        <v/>
      </c>
      <c r="AY43" s="323" t="str">
        <f t="shared" si="51"/>
        <v/>
      </c>
      <c r="AZ43" s="323" t="str">
        <f t="shared" si="51"/>
        <v/>
      </c>
      <c r="BA43" s="323" t="str">
        <f t="shared" si="51"/>
        <v/>
      </c>
      <c r="BB43" s="323" t="str">
        <f t="shared" si="51"/>
        <v/>
      </c>
      <c r="BC43" s="323" t="str">
        <f t="shared" si="51"/>
        <v/>
      </c>
      <c r="BD43" s="323" t="str">
        <f t="shared" si="51"/>
        <v/>
      </c>
      <c r="BE43" s="323" t="str">
        <f t="shared" si="51"/>
        <v/>
      </c>
      <c r="BF43" s="323" t="str">
        <f t="shared" si="51"/>
        <v/>
      </c>
      <c r="BG43" s="323" t="str">
        <f t="shared" si="51"/>
        <v/>
      </c>
      <c r="BH43" s="323" t="str">
        <f t="shared" si="51"/>
        <v/>
      </c>
      <c r="BI43" s="323" t="str">
        <f t="shared" si="51"/>
        <v/>
      </c>
      <c r="BJ43" s="323" t="str">
        <f t="shared" si="51"/>
        <v/>
      </c>
      <c r="BK43" s="323" t="str">
        <f t="shared" si="51"/>
        <v/>
      </c>
      <c r="BL43" s="323" t="str">
        <f t="shared" si="51"/>
        <v/>
      </c>
      <c r="BM43" s="323" t="str">
        <f t="shared" si="51"/>
        <v/>
      </c>
      <c r="BN43" s="323" t="str">
        <f t="shared" si="51"/>
        <v/>
      </c>
      <c r="BO43" s="323" t="str">
        <f t="shared" si="51"/>
        <v/>
      </c>
      <c r="BP43" s="323" t="str">
        <f t="shared" si="51"/>
        <v/>
      </c>
      <c r="BQ43" s="323" t="str">
        <f t="shared" si="51"/>
        <v/>
      </c>
      <c r="BR43" s="323" t="str">
        <f t="shared" si="51"/>
        <v/>
      </c>
      <c r="BS43" s="323" t="str">
        <f t="shared" si="51"/>
        <v/>
      </c>
      <c r="BT43" s="323" t="str">
        <f t="shared" si="51"/>
        <v/>
      </c>
      <c r="BU43" s="323" t="str">
        <f t="shared" si="51"/>
        <v/>
      </c>
      <c r="BV43" s="323" t="str">
        <f t="shared" si="51"/>
        <v/>
      </c>
      <c r="BW43" s="323" t="str">
        <f t="shared" si="51"/>
        <v/>
      </c>
      <c r="BX43" s="323" t="str">
        <f t="shared" si="51"/>
        <v/>
      </c>
      <c r="BY43" s="323" t="str">
        <f t="shared" si="51"/>
        <v/>
      </c>
      <c r="BZ43" s="323" t="str">
        <f t="shared" si="51"/>
        <v/>
      </c>
      <c r="CA43" s="323" t="str">
        <f t="shared" si="51"/>
        <v/>
      </c>
      <c r="CB43" s="323" t="str">
        <f t="shared" si="51"/>
        <v/>
      </c>
      <c r="CC43" s="323" t="str">
        <f t="shared" si="51"/>
        <v/>
      </c>
      <c r="CD43" s="323" t="str">
        <f t="shared" si="51"/>
        <v/>
      </c>
      <c r="CE43" s="323" t="str">
        <f t="shared" si="51"/>
        <v/>
      </c>
      <c r="CF43" s="323" t="str">
        <f t="shared" si="51"/>
        <v/>
      </c>
      <c r="CG43" s="323" t="str">
        <f t="shared" si="51"/>
        <v/>
      </c>
      <c r="CH43" s="323" t="str">
        <f t="shared" si="51"/>
        <v/>
      </c>
      <c r="CI43" s="323" t="str">
        <f t="shared" si="51"/>
        <v/>
      </c>
      <c r="CJ43" s="323" t="str">
        <f t="shared" si="51"/>
        <v/>
      </c>
      <c r="CK43" s="323" t="str">
        <f t="shared" si="51"/>
        <v/>
      </c>
      <c r="CL43" s="323" t="str">
        <f t="shared" si="51"/>
        <v/>
      </c>
      <c r="CM43" s="323" t="str">
        <f t="shared" si="51"/>
        <v/>
      </c>
      <c r="CN43" s="323"/>
      <c r="CO43" s="323"/>
      <c r="CP43" s="323" t="str">
        <f t="shared" si="16"/>
        <v/>
      </c>
      <c r="CQ43" s="323"/>
      <c r="CR43" s="323"/>
      <c r="CS43" s="323"/>
      <c r="CT43" s="323"/>
      <c r="CU43" s="323"/>
      <c r="CV43" s="323"/>
      <c r="CW43" s="323"/>
      <c r="CX43" s="323"/>
      <c r="CY43" s="323"/>
      <c r="CZ43" s="323"/>
      <c r="DA43" s="323"/>
      <c r="DB43" s="323"/>
      <c r="DC43" s="323"/>
      <c r="DD43" s="323"/>
      <c r="DE43" s="323"/>
      <c r="DF43" s="323"/>
      <c r="DG43" s="323"/>
      <c r="DH43" s="323"/>
      <c r="DI43" s="323"/>
      <c r="DJ43" s="323"/>
      <c r="DK43" s="323"/>
      <c r="DL43" s="323"/>
      <c r="DM43" s="323"/>
      <c r="DN43" s="323"/>
      <c r="DO43" s="323"/>
      <c r="DP43" s="323"/>
      <c r="DQ43" s="323"/>
      <c r="DR43" s="323"/>
      <c r="DS43" s="323"/>
      <c r="DT43" s="323"/>
      <c r="DU43" s="323"/>
      <c r="DV43" s="323"/>
      <c r="DW43" s="323"/>
      <c r="DX43" s="323"/>
      <c r="DY43" s="323"/>
      <c r="DZ43" s="323"/>
      <c r="EA43" s="323"/>
      <c r="EB43" s="323"/>
      <c r="EC43" s="323"/>
      <c r="ED43" s="323"/>
      <c r="EE43" s="323"/>
      <c r="EF43" s="323"/>
      <c r="EG43" s="323"/>
      <c r="EH43" s="323"/>
      <c r="EI43" s="323"/>
      <c r="EJ43" s="323"/>
      <c r="EK43" s="323"/>
      <c r="EL43" s="323"/>
      <c r="EM43" s="323"/>
      <c r="EN43" s="323"/>
      <c r="EO43" s="323"/>
      <c r="EP43" s="323"/>
      <c r="EQ43" s="323"/>
      <c r="ER43" s="323"/>
      <c r="ES43" s="323"/>
      <c r="ET43" s="323"/>
      <c r="EU43" s="323"/>
      <c r="EV43" s="323"/>
      <c r="EW43" s="323"/>
      <c r="EX43" s="323"/>
      <c r="EY43" s="323"/>
      <c r="EZ43" s="323"/>
      <c r="FA43" s="323"/>
      <c r="FB43" s="323"/>
      <c r="FC43" s="323"/>
      <c r="FD43" s="323"/>
      <c r="FE43" s="323"/>
      <c r="FF43" s="323"/>
      <c r="FG43" s="323"/>
      <c r="FH43" s="323"/>
      <c r="FI43" s="323"/>
      <c r="FJ43" s="323"/>
      <c r="FK43" s="323"/>
      <c r="FL43" s="323"/>
      <c r="FM43" s="323"/>
      <c r="FN43" s="323"/>
      <c r="FO43" s="323"/>
      <c r="FP43" s="323"/>
      <c r="FQ43" s="323"/>
      <c r="FR43" s="323"/>
      <c r="FS43" s="323"/>
      <c r="FT43" s="323"/>
      <c r="FU43" s="323"/>
      <c r="FV43" s="323"/>
      <c r="FW43" s="323"/>
      <c r="FX43" s="323"/>
    </row>
    <row r="44" ht="15.75" customHeight="1">
      <c r="A44" s="44">
        <v>39.0</v>
      </c>
      <c r="B44" s="27"/>
      <c r="C44" s="44"/>
      <c r="D44" s="44"/>
      <c r="E44" s="330"/>
      <c r="F44" s="47"/>
      <c r="G44" s="47"/>
      <c r="H44" s="47"/>
      <c r="I44" s="26"/>
      <c r="J44" s="323" t="str">
        <f t="shared" ref="J44:CM44" si="52">IF(AND($I44="Yes",J$2=$H44),"♦","")</f>
        <v/>
      </c>
      <c r="K44" s="323" t="str">
        <f t="shared" si="52"/>
        <v/>
      </c>
      <c r="L44" s="323" t="str">
        <f t="shared" si="52"/>
        <v/>
      </c>
      <c r="M44" s="323" t="str">
        <f t="shared" si="52"/>
        <v/>
      </c>
      <c r="N44" s="323" t="str">
        <f t="shared" si="52"/>
        <v/>
      </c>
      <c r="O44" s="323" t="str">
        <f t="shared" si="52"/>
        <v/>
      </c>
      <c r="P44" s="323" t="str">
        <f t="shared" si="52"/>
        <v/>
      </c>
      <c r="Q44" s="323" t="str">
        <f t="shared" si="52"/>
        <v/>
      </c>
      <c r="R44" s="323" t="str">
        <f t="shared" si="52"/>
        <v/>
      </c>
      <c r="S44" s="323" t="str">
        <f t="shared" si="52"/>
        <v/>
      </c>
      <c r="T44" s="323" t="str">
        <f t="shared" si="52"/>
        <v/>
      </c>
      <c r="U44" s="323" t="str">
        <f t="shared" si="52"/>
        <v/>
      </c>
      <c r="V44" s="323" t="str">
        <f t="shared" si="52"/>
        <v/>
      </c>
      <c r="W44" s="323" t="str">
        <f t="shared" si="52"/>
        <v/>
      </c>
      <c r="X44" s="323" t="str">
        <f t="shared" si="52"/>
        <v/>
      </c>
      <c r="Y44" s="323" t="str">
        <f t="shared" si="52"/>
        <v/>
      </c>
      <c r="Z44" s="323" t="str">
        <f t="shared" si="52"/>
        <v/>
      </c>
      <c r="AA44" s="323" t="str">
        <f t="shared" si="52"/>
        <v/>
      </c>
      <c r="AB44" s="323" t="str">
        <f t="shared" si="52"/>
        <v/>
      </c>
      <c r="AC44" s="323" t="str">
        <f t="shared" si="52"/>
        <v/>
      </c>
      <c r="AD44" s="323" t="str">
        <f t="shared" si="52"/>
        <v/>
      </c>
      <c r="AE44" s="323" t="str">
        <f t="shared" si="52"/>
        <v/>
      </c>
      <c r="AF44" s="323" t="str">
        <f t="shared" si="52"/>
        <v/>
      </c>
      <c r="AG44" s="323" t="str">
        <f t="shared" si="52"/>
        <v/>
      </c>
      <c r="AH44" s="323" t="str">
        <f t="shared" si="52"/>
        <v/>
      </c>
      <c r="AI44" s="323" t="str">
        <f t="shared" si="52"/>
        <v/>
      </c>
      <c r="AJ44" s="323" t="str">
        <f t="shared" si="52"/>
        <v/>
      </c>
      <c r="AK44" s="323" t="str">
        <f t="shared" si="52"/>
        <v/>
      </c>
      <c r="AL44" s="323" t="str">
        <f t="shared" si="52"/>
        <v/>
      </c>
      <c r="AM44" s="323" t="str">
        <f t="shared" si="52"/>
        <v/>
      </c>
      <c r="AN44" s="323" t="str">
        <f t="shared" si="52"/>
        <v/>
      </c>
      <c r="AO44" s="323" t="str">
        <f t="shared" si="52"/>
        <v/>
      </c>
      <c r="AP44" s="323" t="str">
        <f t="shared" si="52"/>
        <v/>
      </c>
      <c r="AQ44" s="323" t="str">
        <f t="shared" si="52"/>
        <v/>
      </c>
      <c r="AR44" s="323" t="str">
        <f t="shared" si="52"/>
        <v/>
      </c>
      <c r="AS44" s="323" t="str">
        <f t="shared" si="52"/>
        <v/>
      </c>
      <c r="AT44" s="323" t="str">
        <f t="shared" si="52"/>
        <v/>
      </c>
      <c r="AU44" s="323" t="str">
        <f t="shared" si="52"/>
        <v/>
      </c>
      <c r="AV44" s="323" t="str">
        <f t="shared" si="52"/>
        <v/>
      </c>
      <c r="AW44" s="323" t="str">
        <f t="shared" si="52"/>
        <v/>
      </c>
      <c r="AX44" s="323" t="str">
        <f t="shared" si="52"/>
        <v/>
      </c>
      <c r="AY44" s="323" t="str">
        <f t="shared" si="52"/>
        <v/>
      </c>
      <c r="AZ44" s="323" t="str">
        <f t="shared" si="52"/>
        <v/>
      </c>
      <c r="BA44" s="323" t="str">
        <f t="shared" si="52"/>
        <v/>
      </c>
      <c r="BB44" s="323" t="str">
        <f t="shared" si="52"/>
        <v/>
      </c>
      <c r="BC44" s="323" t="str">
        <f t="shared" si="52"/>
        <v/>
      </c>
      <c r="BD44" s="323" t="str">
        <f t="shared" si="52"/>
        <v/>
      </c>
      <c r="BE44" s="323" t="str">
        <f t="shared" si="52"/>
        <v/>
      </c>
      <c r="BF44" s="323" t="str">
        <f t="shared" si="52"/>
        <v/>
      </c>
      <c r="BG44" s="323" t="str">
        <f t="shared" si="52"/>
        <v/>
      </c>
      <c r="BH44" s="323" t="str">
        <f t="shared" si="52"/>
        <v/>
      </c>
      <c r="BI44" s="323" t="str">
        <f t="shared" si="52"/>
        <v/>
      </c>
      <c r="BJ44" s="323" t="str">
        <f t="shared" si="52"/>
        <v/>
      </c>
      <c r="BK44" s="323" t="str">
        <f t="shared" si="52"/>
        <v/>
      </c>
      <c r="BL44" s="323" t="str">
        <f t="shared" si="52"/>
        <v/>
      </c>
      <c r="BM44" s="323" t="str">
        <f t="shared" si="52"/>
        <v/>
      </c>
      <c r="BN44" s="323" t="str">
        <f t="shared" si="52"/>
        <v/>
      </c>
      <c r="BO44" s="323" t="str">
        <f t="shared" si="52"/>
        <v/>
      </c>
      <c r="BP44" s="323" t="str">
        <f t="shared" si="52"/>
        <v/>
      </c>
      <c r="BQ44" s="323" t="str">
        <f t="shared" si="52"/>
        <v/>
      </c>
      <c r="BR44" s="323" t="str">
        <f t="shared" si="52"/>
        <v/>
      </c>
      <c r="BS44" s="323" t="str">
        <f t="shared" si="52"/>
        <v/>
      </c>
      <c r="BT44" s="323" t="str">
        <f t="shared" si="52"/>
        <v/>
      </c>
      <c r="BU44" s="323" t="str">
        <f t="shared" si="52"/>
        <v/>
      </c>
      <c r="BV44" s="323" t="str">
        <f t="shared" si="52"/>
        <v/>
      </c>
      <c r="BW44" s="323" t="str">
        <f t="shared" si="52"/>
        <v/>
      </c>
      <c r="BX44" s="323" t="str">
        <f t="shared" si="52"/>
        <v/>
      </c>
      <c r="BY44" s="323" t="str">
        <f t="shared" si="52"/>
        <v/>
      </c>
      <c r="BZ44" s="323" t="str">
        <f t="shared" si="52"/>
        <v/>
      </c>
      <c r="CA44" s="323" t="str">
        <f t="shared" si="52"/>
        <v/>
      </c>
      <c r="CB44" s="323" t="str">
        <f t="shared" si="52"/>
        <v/>
      </c>
      <c r="CC44" s="323" t="str">
        <f t="shared" si="52"/>
        <v/>
      </c>
      <c r="CD44" s="323" t="str">
        <f t="shared" si="52"/>
        <v/>
      </c>
      <c r="CE44" s="323" t="str">
        <f t="shared" si="52"/>
        <v/>
      </c>
      <c r="CF44" s="323" t="str">
        <f t="shared" si="52"/>
        <v/>
      </c>
      <c r="CG44" s="323" t="str">
        <f t="shared" si="52"/>
        <v/>
      </c>
      <c r="CH44" s="323" t="str">
        <f t="shared" si="52"/>
        <v/>
      </c>
      <c r="CI44" s="323" t="str">
        <f t="shared" si="52"/>
        <v/>
      </c>
      <c r="CJ44" s="323" t="str">
        <f t="shared" si="52"/>
        <v/>
      </c>
      <c r="CK44" s="323" t="str">
        <f t="shared" si="52"/>
        <v/>
      </c>
      <c r="CL44" s="323" t="str">
        <f t="shared" si="52"/>
        <v/>
      </c>
      <c r="CM44" s="323" t="str">
        <f t="shared" si="52"/>
        <v/>
      </c>
      <c r="CN44" s="323"/>
      <c r="CO44" s="323"/>
      <c r="CP44" s="323" t="str">
        <f t="shared" si="16"/>
        <v/>
      </c>
      <c r="CQ44" s="323"/>
      <c r="CR44" s="323"/>
      <c r="CS44" s="323"/>
      <c r="CT44" s="323"/>
      <c r="CU44" s="323"/>
      <c r="CV44" s="323"/>
      <c r="CW44" s="323"/>
      <c r="CX44" s="323"/>
      <c r="CY44" s="323"/>
      <c r="CZ44" s="323"/>
      <c r="DA44" s="323"/>
      <c r="DB44" s="323"/>
      <c r="DC44" s="323"/>
      <c r="DD44" s="323"/>
      <c r="DE44" s="323"/>
      <c r="DF44" s="323"/>
      <c r="DG44" s="323"/>
      <c r="DH44" s="323"/>
      <c r="DI44" s="323"/>
      <c r="DJ44" s="323"/>
      <c r="DK44" s="323"/>
      <c r="DL44" s="323"/>
      <c r="DM44" s="323"/>
      <c r="DN44" s="323"/>
      <c r="DO44" s="323"/>
      <c r="DP44" s="323"/>
      <c r="DQ44" s="323"/>
      <c r="DR44" s="323"/>
      <c r="DS44" s="323"/>
      <c r="DT44" s="323"/>
      <c r="DU44" s="323"/>
      <c r="DV44" s="323"/>
      <c r="DW44" s="323"/>
      <c r="DX44" s="323"/>
      <c r="DY44" s="323"/>
      <c r="DZ44" s="323"/>
      <c r="EA44" s="323"/>
      <c r="EB44" s="323"/>
      <c r="EC44" s="323"/>
      <c r="ED44" s="323"/>
      <c r="EE44" s="323"/>
      <c r="EF44" s="323"/>
      <c r="EG44" s="323"/>
      <c r="EH44" s="323"/>
      <c r="EI44" s="323"/>
      <c r="EJ44" s="323"/>
      <c r="EK44" s="323"/>
      <c r="EL44" s="323"/>
      <c r="EM44" s="323"/>
      <c r="EN44" s="323"/>
      <c r="EO44" s="323"/>
      <c r="EP44" s="323"/>
      <c r="EQ44" s="323"/>
      <c r="ER44" s="323"/>
      <c r="ES44" s="323"/>
      <c r="ET44" s="323"/>
      <c r="EU44" s="323"/>
      <c r="EV44" s="323"/>
      <c r="EW44" s="323"/>
      <c r="EX44" s="323"/>
      <c r="EY44" s="323"/>
      <c r="EZ44" s="323"/>
      <c r="FA44" s="323"/>
      <c r="FB44" s="323"/>
      <c r="FC44" s="323"/>
      <c r="FD44" s="323"/>
      <c r="FE44" s="323"/>
      <c r="FF44" s="323"/>
      <c r="FG44" s="323"/>
      <c r="FH44" s="323"/>
      <c r="FI44" s="323"/>
      <c r="FJ44" s="323"/>
      <c r="FK44" s="323"/>
      <c r="FL44" s="323"/>
      <c r="FM44" s="323"/>
      <c r="FN44" s="323"/>
      <c r="FO44" s="323"/>
      <c r="FP44" s="323"/>
      <c r="FQ44" s="323"/>
      <c r="FR44" s="323"/>
      <c r="FS44" s="323"/>
      <c r="FT44" s="323"/>
      <c r="FU44" s="323"/>
      <c r="FV44" s="323"/>
      <c r="FW44" s="323"/>
      <c r="FX44" s="323"/>
    </row>
    <row r="45" ht="15.75" customHeight="1">
      <c r="A45" s="44">
        <v>40.0</v>
      </c>
      <c r="B45" s="27"/>
      <c r="C45" s="44"/>
      <c r="D45" s="44"/>
      <c r="E45" s="330"/>
      <c r="F45" s="47"/>
      <c r="G45" s="47"/>
      <c r="H45" s="47"/>
      <c r="I45" s="26"/>
      <c r="J45" s="323" t="str">
        <f t="shared" ref="J45:CM45" si="53">IF(AND($I45="Yes",J$2=$H45),"♦","")</f>
        <v/>
      </c>
      <c r="K45" s="323" t="str">
        <f t="shared" si="53"/>
        <v/>
      </c>
      <c r="L45" s="323" t="str">
        <f t="shared" si="53"/>
        <v/>
      </c>
      <c r="M45" s="323" t="str">
        <f t="shared" si="53"/>
        <v/>
      </c>
      <c r="N45" s="323" t="str">
        <f t="shared" si="53"/>
        <v/>
      </c>
      <c r="O45" s="323" t="str">
        <f t="shared" si="53"/>
        <v/>
      </c>
      <c r="P45" s="323" t="str">
        <f t="shared" si="53"/>
        <v/>
      </c>
      <c r="Q45" s="323" t="str">
        <f t="shared" si="53"/>
        <v/>
      </c>
      <c r="R45" s="323" t="str">
        <f t="shared" si="53"/>
        <v/>
      </c>
      <c r="S45" s="323" t="str">
        <f t="shared" si="53"/>
        <v/>
      </c>
      <c r="T45" s="323" t="str">
        <f t="shared" si="53"/>
        <v/>
      </c>
      <c r="U45" s="323" t="str">
        <f t="shared" si="53"/>
        <v/>
      </c>
      <c r="V45" s="323" t="str">
        <f t="shared" si="53"/>
        <v/>
      </c>
      <c r="W45" s="323" t="str">
        <f t="shared" si="53"/>
        <v/>
      </c>
      <c r="X45" s="323" t="str">
        <f t="shared" si="53"/>
        <v/>
      </c>
      <c r="Y45" s="323" t="str">
        <f t="shared" si="53"/>
        <v/>
      </c>
      <c r="Z45" s="323" t="str">
        <f t="shared" si="53"/>
        <v/>
      </c>
      <c r="AA45" s="323" t="str">
        <f t="shared" si="53"/>
        <v/>
      </c>
      <c r="AB45" s="323" t="str">
        <f t="shared" si="53"/>
        <v/>
      </c>
      <c r="AC45" s="323" t="str">
        <f t="shared" si="53"/>
        <v/>
      </c>
      <c r="AD45" s="323" t="str">
        <f t="shared" si="53"/>
        <v/>
      </c>
      <c r="AE45" s="323" t="str">
        <f t="shared" si="53"/>
        <v/>
      </c>
      <c r="AF45" s="323" t="str">
        <f t="shared" si="53"/>
        <v/>
      </c>
      <c r="AG45" s="323" t="str">
        <f t="shared" si="53"/>
        <v/>
      </c>
      <c r="AH45" s="323" t="str">
        <f t="shared" si="53"/>
        <v/>
      </c>
      <c r="AI45" s="323" t="str">
        <f t="shared" si="53"/>
        <v/>
      </c>
      <c r="AJ45" s="323" t="str">
        <f t="shared" si="53"/>
        <v/>
      </c>
      <c r="AK45" s="323" t="str">
        <f t="shared" si="53"/>
        <v/>
      </c>
      <c r="AL45" s="323" t="str">
        <f t="shared" si="53"/>
        <v/>
      </c>
      <c r="AM45" s="323" t="str">
        <f t="shared" si="53"/>
        <v/>
      </c>
      <c r="AN45" s="323" t="str">
        <f t="shared" si="53"/>
        <v/>
      </c>
      <c r="AO45" s="323" t="str">
        <f t="shared" si="53"/>
        <v/>
      </c>
      <c r="AP45" s="323" t="str">
        <f t="shared" si="53"/>
        <v/>
      </c>
      <c r="AQ45" s="323" t="str">
        <f t="shared" si="53"/>
        <v/>
      </c>
      <c r="AR45" s="323" t="str">
        <f t="shared" si="53"/>
        <v/>
      </c>
      <c r="AS45" s="323" t="str">
        <f t="shared" si="53"/>
        <v/>
      </c>
      <c r="AT45" s="323" t="str">
        <f t="shared" si="53"/>
        <v/>
      </c>
      <c r="AU45" s="323" t="str">
        <f t="shared" si="53"/>
        <v/>
      </c>
      <c r="AV45" s="323" t="str">
        <f t="shared" si="53"/>
        <v/>
      </c>
      <c r="AW45" s="323" t="str">
        <f t="shared" si="53"/>
        <v/>
      </c>
      <c r="AX45" s="323" t="str">
        <f t="shared" si="53"/>
        <v/>
      </c>
      <c r="AY45" s="323" t="str">
        <f t="shared" si="53"/>
        <v/>
      </c>
      <c r="AZ45" s="323" t="str">
        <f t="shared" si="53"/>
        <v/>
      </c>
      <c r="BA45" s="323" t="str">
        <f t="shared" si="53"/>
        <v/>
      </c>
      <c r="BB45" s="323" t="str">
        <f t="shared" si="53"/>
        <v/>
      </c>
      <c r="BC45" s="323" t="str">
        <f t="shared" si="53"/>
        <v/>
      </c>
      <c r="BD45" s="323" t="str">
        <f t="shared" si="53"/>
        <v/>
      </c>
      <c r="BE45" s="323" t="str">
        <f t="shared" si="53"/>
        <v/>
      </c>
      <c r="BF45" s="323" t="str">
        <f t="shared" si="53"/>
        <v/>
      </c>
      <c r="BG45" s="323" t="str">
        <f t="shared" si="53"/>
        <v/>
      </c>
      <c r="BH45" s="323" t="str">
        <f t="shared" si="53"/>
        <v/>
      </c>
      <c r="BI45" s="323" t="str">
        <f t="shared" si="53"/>
        <v/>
      </c>
      <c r="BJ45" s="323" t="str">
        <f t="shared" si="53"/>
        <v/>
      </c>
      <c r="BK45" s="323" t="str">
        <f t="shared" si="53"/>
        <v/>
      </c>
      <c r="BL45" s="323" t="str">
        <f t="shared" si="53"/>
        <v/>
      </c>
      <c r="BM45" s="323" t="str">
        <f t="shared" si="53"/>
        <v/>
      </c>
      <c r="BN45" s="323" t="str">
        <f t="shared" si="53"/>
        <v/>
      </c>
      <c r="BO45" s="323" t="str">
        <f t="shared" si="53"/>
        <v/>
      </c>
      <c r="BP45" s="323" t="str">
        <f t="shared" si="53"/>
        <v/>
      </c>
      <c r="BQ45" s="323" t="str">
        <f t="shared" si="53"/>
        <v/>
      </c>
      <c r="BR45" s="323" t="str">
        <f t="shared" si="53"/>
        <v/>
      </c>
      <c r="BS45" s="323" t="str">
        <f t="shared" si="53"/>
        <v/>
      </c>
      <c r="BT45" s="323" t="str">
        <f t="shared" si="53"/>
        <v/>
      </c>
      <c r="BU45" s="323" t="str">
        <f t="shared" si="53"/>
        <v/>
      </c>
      <c r="BV45" s="323" t="str">
        <f t="shared" si="53"/>
        <v/>
      </c>
      <c r="BW45" s="323" t="str">
        <f t="shared" si="53"/>
        <v/>
      </c>
      <c r="BX45" s="323" t="str">
        <f t="shared" si="53"/>
        <v/>
      </c>
      <c r="BY45" s="323" t="str">
        <f t="shared" si="53"/>
        <v/>
      </c>
      <c r="BZ45" s="323" t="str">
        <f t="shared" si="53"/>
        <v/>
      </c>
      <c r="CA45" s="323" t="str">
        <f t="shared" si="53"/>
        <v/>
      </c>
      <c r="CB45" s="323" t="str">
        <f t="shared" si="53"/>
        <v/>
      </c>
      <c r="CC45" s="323" t="str">
        <f t="shared" si="53"/>
        <v/>
      </c>
      <c r="CD45" s="323" t="str">
        <f t="shared" si="53"/>
        <v/>
      </c>
      <c r="CE45" s="323" t="str">
        <f t="shared" si="53"/>
        <v/>
      </c>
      <c r="CF45" s="323" t="str">
        <f t="shared" si="53"/>
        <v/>
      </c>
      <c r="CG45" s="323" t="str">
        <f t="shared" si="53"/>
        <v/>
      </c>
      <c r="CH45" s="323" t="str">
        <f t="shared" si="53"/>
        <v/>
      </c>
      <c r="CI45" s="323" t="str">
        <f t="shared" si="53"/>
        <v/>
      </c>
      <c r="CJ45" s="323" t="str">
        <f t="shared" si="53"/>
        <v/>
      </c>
      <c r="CK45" s="323" t="str">
        <f t="shared" si="53"/>
        <v/>
      </c>
      <c r="CL45" s="323" t="str">
        <f t="shared" si="53"/>
        <v/>
      </c>
      <c r="CM45" s="323" t="str">
        <f t="shared" si="53"/>
        <v/>
      </c>
      <c r="CN45" s="323"/>
      <c r="CO45" s="323"/>
      <c r="CP45" s="323" t="str">
        <f t="shared" si="16"/>
        <v/>
      </c>
      <c r="CQ45" s="323"/>
      <c r="CR45" s="323"/>
      <c r="CS45" s="323"/>
      <c r="CT45" s="323"/>
      <c r="CU45" s="323"/>
      <c r="CV45" s="323"/>
      <c r="CW45" s="323"/>
      <c r="CX45" s="323"/>
      <c r="CY45" s="323"/>
      <c r="CZ45" s="323"/>
      <c r="DA45" s="323"/>
      <c r="DB45" s="323"/>
      <c r="DC45" s="323"/>
      <c r="DD45" s="323"/>
      <c r="DE45" s="323"/>
      <c r="DF45" s="323"/>
      <c r="DG45" s="323"/>
      <c r="DH45" s="323"/>
      <c r="DI45" s="323"/>
      <c r="DJ45" s="323"/>
      <c r="DK45" s="323"/>
      <c r="DL45" s="323"/>
      <c r="DM45" s="323"/>
      <c r="DN45" s="323"/>
      <c r="DO45" s="323"/>
      <c r="DP45" s="323"/>
      <c r="DQ45" s="323"/>
      <c r="DR45" s="323"/>
      <c r="DS45" s="323"/>
      <c r="DT45" s="323"/>
      <c r="DU45" s="323"/>
      <c r="DV45" s="323"/>
      <c r="DW45" s="323"/>
      <c r="DX45" s="323"/>
      <c r="DY45" s="323"/>
      <c r="DZ45" s="323"/>
      <c r="EA45" s="323"/>
      <c r="EB45" s="323"/>
      <c r="EC45" s="323"/>
      <c r="ED45" s="323"/>
      <c r="EE45" s="323"/>
      <c r="EF45" s="323"/>
      <c r="EG45" s="323"/>
      <c r="EH45" s="323"/>
      <c r="EI45" s="323"/>
      <c r="EJ45" s="323"/>
      <c r="EK45" s="323"/>
      <c r="EL45" s="323"/>
      <c r="EM45" s="323"/>
      <c r="EN45" s="323"/>
      <c r="EO45" s="323"/>
      <c r="EP45" s="323"/>
      <c r="EQ45" s="323"/>
      <c r="ER45" s="323"/>
      <c r="ES45" s="323"/>
      <c r="ET45" s="323"/>
      <c r="EU45" s="323"/>
      <c r="EV45" s="323"/>
      <c r="EW45" s="323"/>
      <c r="EX45" s="323"/>
      <c r="EY45" s="323"/>
      <c r="EZ45" s="323"/>
      <c r="FA45" s="323"/>
      <c r="FB45" s="323"/>
      <c r="FC45" s="323"/>
      <c r="FD45" s="323"/>
      <c r="FE45" s="323"/>
      <c r="FF45" s="323"/>
      <c r="FG45" s="323"/>
      <c r="FH45" s="323"/>
      <c r="FI45" s="323"/>
      <c r="FJ45" s="323"/>
      <c r="FK45" s="323"/>
      <c r="FL45" s="323"/>
      <c r="FM45" s="323"/>
      <c r="FN45" s="323"/>
      <c r="FO45" s="323"/>
      <c r="FP45" s="323"/>
      <c r="FQ45" s="323"/>
      <c r="FR45" s="323"/>
      <c r="FS45" s="323"/>
      <c r="FT45" s="323"/>
      <c r="FU45" s="323"/>
      <c r="FV45" s="323"/>
      <c r="FW45" s="323"/>
      <c r="FX45" s="323"/>
    </row>
    <row r="46" ht="15.75" customHeight="1">
      <c r="A46" s="44">
        <v>41.0</v>
      </c>
      <c r="B46" s="27"/>
      <c r="C46" s="44"/>
      <c r="D46" s="44"/>
      <c r="E46" s="330"/>
      <c r="F46" s="47"/>
      <c r="G46" s="47"/>
      <c r="H46" s="47"/>
      <c r="I46" s="26"/>
      <c r="J46" s="323" t="str">
        <f t="shared" ref="J46:CM46" si="54">IF(AND($I46="Yes",J$2=$H46),"♦","")</f>
        <v/>
      </c>
      <c r="K46" s="323" t="str">
        <f t="shared" si="54"/>
        <v/>
      </c>
      <c r="L46" s="323" t="str">
        <f t="shared" si="54"/>
        <v/>
      </c>
      <c r="M46" s="323" t="str">
        <f t="shared" si="54"/>
        <v/>
      </c>
      <c r="N46" s="323" t="str">
        <f t="shared" si="54"/>
        <v/>
      </c>
      <c r="O46" s="323" t="str">
        <f t="shared" si="54"/>
        <v/>
      </c>
      <c r="P46" s="323" t="str">
        <f t="shared" si="54"/>
        <v/>
      </c>
      <c r="Q46" s="323" t="str">
        <f t="shared" si="54"/>
        <v/>
      </c>
      <c r="R46" s="323" t="str">
        <f t="shared" si="54"/>
        <v/>
      </c>
      <c r="S46" s="323" t="str">
        <f t="shared" si="54"/>
        <v/>
      </c>
      <c r="T46" s="323" t="str">
        <f t="shared" si="54"/>
        <v/>
      </c>
      <c r="U46" s="323" t="str">
        <f t="shared" si="54"/>
        <v/>
      </c>
      <c r="V46" s="323" t="str">
        <f t="shared" si="54"/>
        <v/>
      </c>
      <c r="W46" s="323" t="str">
        <f t="shared" si="54"/>
        <v/>
      </c>
      <c r="X46" s="323" t="str">
        <f t="shared" si="54"/>
        <v/>
      </c>
      <c r="Y46" s="323" t="str">
        <f t="shared" si="54"/>
        <v/>
      </c>
      <c r="Z46" s="323" t="str">
        <f t="shared" si="54"/>
        <v/>
      </c>
      <c r="AA46" s="323" t="str">
        <f t="shared" si="54"/>
        <v/>
      </c>
      <c r="AB46" s="323" t="str">
        <f t="shared" si="54"/>
        <v/>
      </c>
      <c r="AC46" s="323" t="str">
        <f t="shared" si="54"/>
        <v/>
      </c>
      <c r="AD46" s="323" t="str">
        <f t="shared" si="54"/>
        <v/>
      </c>
      <c r="AE46" s="323" t="str">
        <f t="shared" si="54"/>
        <v/>
      </c>
      <c r="AF46" s="323" t="str">
        <f t="shared" si="54"/>
        <v/>
      </c>
      <c r="AG46" s="323" t="str">
        <f t="shared" si="54"/>
        <v/>
      </c>
      <c r="AH46" s="323" t="str">
        <f t="shared" si="54"/>
        <v/>
      </c>
      <c r="AI46" s="323" t="str">
        <f t="shared" si="54"/>
        <v/>
      </c>
      <c r="AJ46" s="323" t="str">
        <f t="shared" si="54"/>
        <v/>
      </c>
      <c r="AK46" s="323" t="str">
        <f t="shared" si="54"/>
        <v/>
      </c>
      <c r="AL46" s="323" t="str">
        <f t="shared" si="54"/>
        <v/>
      </c>
      <c r="AM46" s="323" t="str">
        <f t="shared" si="54"/>
        <v/>
      </c>
      <c r="AN46" s="323" t="str">
        <f t="shared" si="54"/>
        <v/>
      </c>
      <c r="AO46" s="323" t="str">
        <f t="shared" si="54"/>
        <v/>
      </c>
      <c r="AP46" s="323" t="str">
        <f t="shared" si="54"/>
        <v/>
      </c>
      <c r="AQ46" s="323" t="str">
        <f t="shared" si="54"/>
        <v/>
      </c>
      <c r="AR46" s="323" t="str">
        <f t="shared" si="54"/>
        <v/>
      </c>
      <c r="AS46" s="323" t="str">
        <f t="shared" si="54"/>
        <v/>
      </c>
      <c r="AT46" s="323" t="str">
        <f t="shared" si="54"/>
        <v/>
      </c>
      <c r="AU46" s="323" t="str">
        <f t="shared" si="54"/>
        <v/>
      </c>
      <c r="AV46" s="323" t="str">
        <f t="shared" si="54"/>
        <v/>
      </c>
      <c r="AW46" s="323" t="str">
        <f t="shared" si="54"/>
        <v/>
      </c>
      <c r="AX46" s="323" t="str">
        <f t="shared" si="54"/>
        <v/>
      </c>
      <c r="AY46" s="323" t="str">
        <f t="shared" si="54"/>
        <v/>
      </c>
      <c r="AZ46" s="323" t="str">
        <f t="shared" si="54"/>
        <v/>
      </c>
      <c r="BA46" s="323" t="str">
        <f t="shared" si="54"/>
        <v/>
      </c>
      <c r="BB46" s="323" t="str">
        <f t="shared" si="54"/>
        <v/>
      </c>
      <c r="BC46" s="323" t="str">
        <f t="shared" si="54"/>
        <v/>
      </c>
      <c r="BD46" s="323" t="str">
        <f t="shared" si="54"/>
        <v/>
      </c>
      <c r="BE46" s="323" t="str">
        <f t="shared" si="54"/>
        <v/>
      </c>
      <c r="BF46" s="323" t="str">
        <f t="shared" si="54"/>
        <v/>
      </c>
      <c r="BG46" s="323" t="str">
        <f t="shared" si="54"/>
        <v/>
      </c>
      <c r="BH46" s="323" t="str">
        <f t="shared" si="54"/>
        <v/>
      </c>
      <c r="BI46" s="323" t="str">
        <f t="shared" si="54"/>
        <v/>
      </c>
      <c r="BJ46" s="323" t="str">
        <f t="shared" si="54"/>
        <v/>
      </c>
      <c r="BK46" s="323" t="str">
        <f t="shared" si="54"/>
        <v/>
      </c>
      <c r="BL46" s="323" t="str">
        <f t="shared" si="54"/>
        <v/>
      </c>
      <c r="BM46" s="323" t="str">
        <f t="shared" si="54"/>
        <v/>
      </c>
      <c r="BN46" s="323" t="str">
        <f t="shared" si="54"/>
        <v/>
      </c>
      <c r="BO46" s="323" t="str">
        <f t="shared" si="54"/>
        <v/>
      </c>
      <c r="BP46" s="323" t="str">
        <f t="shared" si="54"/>
        <v/>
      </c>
      <c r="BQ46" s="323" t="str">
        <f t="shared" si="54"/>
        <v/>
      </c>
      <c r="BR46" s="323" t="str">
        <f t="shared" si="54"/>
        <v/>
      </c>
      <c r="BS46" s="323" t="str">
        <f t="shared" si="54"/>
        <v/>
      </c>
      <c r="BT46" s="323" t="str">
        <f t="shared" si="54"/>
        <v/>
      </c>
      <c r="BU46" s="323" t="str">
        <f t="shared" si="54"/>
        <v/>
      </c>
      <c r="BV46" s="323" t="str">
        <f t="shared" si="54"/>
        <v/>
      </c>
      <c r="BW46" s="323" t="str">
        <f t="shared" si="54"/>
        <v/>
      </c>
      <c r="BX46" s="323" t="str">
        <f t="shared" si="54"/>
        <v/>
      </c>
      <c r="BY46" s="323" t="str">
        <f t="shared" si="54"/>
        <v/>
      </c>
      <c r="BZ46" s="323" t="str">
        <f t="shared" si="54"/>
        <v/>
      </c>
      <c r="CA46" s="323" t="str">
        <f t="shared" si="54"/>
        <v/>
      </c>
      <c r="CB46" s="323" t="str">
        <f t="shared" si="54"/>
        <v/>
      </c>
      <c r="CC46" s="323" t="str">
        <f t="shared" si="54"/>
        <v/>
      </c>
      <c r="CD46" s="323" t="str">
        <f t="shared" si="54"/>
        <v/>
      </c>
      <c r="CE46" s="323" t="str">
        <f t="shared" si="54"/>
        <v/>
      </c>
      <c r="CF46" s="323" t="str">
        <f t="shared" si="54"/>
        <v/>
      </c>
      <c r="CG46" s="323" t="str">
        <f t="shared" si="54"/>
        <v/>
      </c>
      <c r="CH46" s="323" t="str">
        <f t="shared" si="54"/>
        <v/>
      </c>
      <c r="CI46" s="323" t="str">
        <f t="shared" si="54"/>
        <v/>
      </c>
      <c r="CJ46" s="323" t="str">
        <f t="shared" si="54"/>
        <v/>
      </c>
      <c r="CK46" s="323" t="str">
        <f t="shared" si="54"/>
        <v/>
      </c>
      <c r="CL46" s="323" t="str">
        <f t="shared" si="54"/>
        <v/>
      </c>
      <c r="CM46" s="323" t="str">
        <f t="shared" si="54"/>
        <v/>
      </c>
      <c r="CN46" s="323"/>
      <c r="CO46" s="323"/>
      <c r="CP46" s="323" t="str">
        <f t="shared" si="16"/>
        <v/>
      </c>
      <c r="CQ46" s="323"/>
      <c r="CR46" s="323"/>
      <c r="CS46" s="323"/>
      <c r="CT46" s="323"/>
      <c r="CU46" s="323"/>
      <c r="CV46" s="323"/>
      <c r="CW46" s="323"/>
      <c r="CX46" s="323"/>
      <c r="CY46" s="323"/>
      <c r="CZ46" s="323"/>
      <c r="DA46" s="323"/>
      <c r="DB46" s="323"/>
      <c r="DC46" s="323"/>
      <c r="DD46" s="323"/>
      <c r="DE46" s="323"/>
      <c r="DF46" s="323"/>
      <c r="DG46" s="323"/>
      <c r="DH46" s="323"/>
      <c r="DI46" s="323"/>
      <c r="DJ46" s="323"/>
      <c r="DK46" s="323"/>
      <c r="DL46" s="323"/>
      <c r="DM46" s="323"/>
      <c r="DN46" s="323"/>
      <c r="DO46" s="323"/>
      <c r="DP46" s="323"/>
      <c r="DQ46" s="323"/>
      <c r="DR46" s="323"/>
      <c r="DS46" s="323"/>
      <c r="DT46" s="323"/>
      <c r="DU46" s="323"/>
      <c r="DV46" s="323"/>
      <c r="DW46" s="323"/>
      <c r="DX46" s="323"/>
      <c r="DY46" s="323"/>
      <c r="DZ46" s="323"/>
      <c r="EA46" s="323"/>
      <c r="EB46" s="323"/>
      <c r="EC46" s="323"/>
      <c r="ED46" s="323"/>
      <c r="EE46" s="323"/>
      <c r="EF46" s="323"/>
      <c r="EG46" s="323"/>
      <c r="EH46" s="323"/>
      <c r="EI46" s="323"/>
      <c r="EJ46" s="323"/>
      <c r="EK46" s="323"/>
      <c r="EL46" s="323"/>
      <c r="EM46" s="323"/>
      <c r="EN46" s="323"/>
      <c r="EO46" s="323"/>
      <c r="EP46" s="323"/>
      <c r="EQ46" s="323"/>
      <c r="ER46" s="323"/>
      <c r="ES46" s="323"/>
      <c r="ET46" s="323"/>
      <c r="EU46" s="323"/>
      <c r="EV46" s="323"/>
      <c r="EW46" s="323"/>
      <c r="EX46" s="323"/>
      <c r="EY46" s="323"/>
      <c r="EZ46" s="323"/>
      <c r="FA46" s="323"/>
      <c r="FB46" s="323"/>
      <c r="FC46" s="323"/>
      <c r="FD46" s="323"/>
      <c r="FE46" s="323"/>
      <c r="FF46" s="323"/>
      <c r="FG46" s="323"/>
      <c r="FH46" s="323"/>
      <c r="FI46" s="323"/>
      <c r="FJ46" s="323"/>
      <c r="FK46" s="323"/>
      <c r="FL46" s="323"/>
      <c r="FM46" s="323"/>
      <c r="FN46" s="323"/>
      <c r="FO46" s="323"/>
      <c r="FP46" s="323"/>
      <c r="FQ46" s="323"/>
      <c r="FR46" s="323"/>
      <c r="FS46" s="323"/>
      <c r="FT46" s="323"/>
      <c r="FU46" s="323"/>
      <c r="FV46" s="323"/>
      <c r="FW46" s="323"/>
      <c r="FX46" s="323"/>
    </row>
    <row r="47" ht="15.75" customHeight="1">
      <c r="A47" s="44">
        <v>42.0</v>
      </c>
      <c r="B47" s="27"/>
      <c r="C47" s="44"/>
      <c r="D47" s="44"/>
      <c r="E47" s="330"/>
      <c r="F47" s="47"/>
      <c r="G47" s="47"/>
      <c r="H47" s="47"/>
      <c r="I47" s="26"/>
      <c r="J47" s="323" t="str">
        <f t="shared" ref="J47:CM47" si="55">IF(AND($I47="Yes",J$2=$H47),"♦","")</f>
        <v/>
      </c>
      <c r="K47" s="323" t="str">
        <f t="shared" si="55"/>
        <v/>
      </c>
      <c r="L47" s="323" t="str">
        <f t="shared" si="55"/>
        <v/>
      </c>
      <c r="M47" s="323" t="str">
        <f t="shared" si="55"/>
        <v/>
      </c>
      <c r="N47" s="323" t="str">
        <f t="shared" si="55"/>
        <v/>
      </c>
      <c r="O47" s="323" t="str">
        <f t="shared" si="55"/>
        <v/>
      </c>
      <c r="P47" s="323" t="str">
        <f t="shared" si="55"/>
        <v/>
      </c>
      <c r="Q47" s="323" t="str">
        <f t="shared" si="55"/>
        <v/>
      </c>
      <c r="R47" s="323" t="str">
        <f t="shared" si="55"/>
        <v/>
      </c>
      <c r="S47" s="323" t="str">
        <f t="shared" si="55"/>
        <v/>
      </c>
      <c r="T47" s="323" t="str">
        <f t="shared" si="55"/>
        <v/>
      </c>
      <c r="U47" s="323" t="str">
        <f t="shared" si="55"/>
        <v/>
      </c>
      <c r="V47" s="323" t="str">
        <f t="shared" si="55"/>
        <v/>
      </c>
      <c r="W47" s="323" t="str">
        <f t="shared" si="55"/>
        <v/>
      </c>
      <c r="X47" s="323" t="str">
        <f t="shared" si="55"/>
        <v/>
      </c>
      <c r="Y47" s="323" t="str">
        <f t="shared" si="55"/>
        <v/>
      </c>
      <c r="Z47" s="323" t="str">
        <f t="shared" si="55"/>
        <v/>
      </c>
      <c r="AA47" s="323" t="str">
        <f t="shared" si="55"/>
        <v/>
      </c>
      <c r="AB47" s="323" t="str">
        <f t="shared" si="55"/>
        <v/>
      </c>
      <c r="AC47" s="323" t="str">
        <f t="shared" si="55"/>
        <v/>
      </c>
      <c r="AD47" s="323" t="str">
        <f t="shared" si="55"/>
        <v/>
      </c>
      <c r="AE47" s="323" t="str">
        <f t="shared" si="55"/>
        <v/>
      </c>
      <c r="AF47" s="323" t="str">
        <f t="shared" si="55"/>
        <v/>
      </c>
      <c r="AG47" s="323" t="str">
        <f t="shared" si="55"/>
        <v/>
      </c>
      <c r="AH47" s="323" t="str">
        <f t="shared" si="55"/>
        <v/>
      </c>
      <c r="AI47" s="323" t="str">
        <f t="shared" si="55"/>
        <v/>
      </c>
      <c r="AJ47" s="323" t="str">
        <f t="shared" si="55"/>
        <v/>
      </c>
      <c r="AK47" s="323" t="str">
        <f t="shared" si="55"/>
        <v/>
      </c>
      <c r="AL47" s="323" t="str">
        <f t="shared" si="55"/>
        <v/>
      </c>
      <c r="AM47" s="323" t="str">
        <f t="shared" si="55"/>
        <v/>
      </c>
      <c r="AN47" s="323" t="str">
        <f t="shared" si="55"/>
        <v/>
      </c>
      <c r="AO47" s="323" t="str">
        <f t="shared" si="55"/>
        <v/>
      </c>
      <c r="AP47" s="323" t="str">
        <f t="shared" si="55"/>
        <v/>
      </c>
      <c r="AQ47" s="323" t="str">
        <f t="shared" si="55"/>
        <v/>
      </c>
      <c r="AR47" s="323" t="str">
        <f t="shared" si="55"/>
        <v/>
      </c>
      <c r="AS47" s="323" t="str">
        <f t="shared" si="55"/>
        <v/>
      </c>
      <c r="AT47" s="323" t="str">
        <f t="shared" si="55"/>
        <v/>
      </c>
      <c r="AU47" s="323" t="str">
        <f t="shared" si="55"/>
        <v/>
      </c>
      <c r="AV47" s="323" t="str">
        <f t="shared" si="55"/>
        <v/>
      </c>
      <c r="AW47" s="323" t="str">
        <f t="shared" si="55"/>
        <v/>
      </c>
      <c r="AX47" s="323" t="str">
        <f t="shared" si="55"/>
        <v/>
      </c>
      <c r="AY47" s="323" t="str">
        <f t="shared" si="55"/>
        <v/>
      </c>
      <c r="AZ47" s="323" t="str">
        <f t="shared" si="55"/>
        <v/>
      </c>
      <c r="BA47" s="323" t="str">
        <f t="shared" si="55"/>
        <v/>
      </c>
      <c r="BB47" s="323" t="str">
        <f t="shared" si="55"/>
        <v/>
      </c>
      <c r="BC47" s="323" t="str">
        <f t="shared" si="55"/>
        <v/>
      </c>
      <c r="BD47" s="323" t="str">
        <f t="shared" si="55"/>
        <v/>
      </c>
      <c r="BE47" s="323" t="str">
        <f t="shared" si="55"/>
        <v/>
      </c>
      <c r="BF47" s="323" t="str">
        <f t="shared" si="55"/>
        <v/>
      </c>
      <c r="BG47" s="323" t="str">
        <f t="shared" si="55"/>
        <v/>
      </c>
      <c r="BH47" s="323" t="str">
        <f t="shared" si="55"/>
        <v/>
      </c>
      <c r="BI47" s="323" t="str">
        <f t="shared" si="55"/>
        <v/>
      </c>
      <c r="BJ47" s="323" t="str">
        <f t="shared" si="55"/>
        <v/>
      </c>
      <c r="BK47" s="323" t="str">
        <f t="shared" si="55"/>
        <v/>
      </c>
      <c r="BL47" s="323" t="str">
        <f t="shared" si="55"/>
        <v/>
      </c>
      <c r="BM47" s="323" t="str">
        <f t="shared" si="55"/>
        <v/>
      </c>
      <c r="BN47" s="323" t="str">
        <f t="shared" si="55"/>
        <v/>
      </c>
      <c r="BO47" s="323" t="str">
        <f t="shared" si="55"/>
        <v/>
      </c>
      <c r="BP47" s="323" t="str">
        <f t="shared" si="55"/>
        <v/>
      </c>
      <c r="BQ47" s="323" t="str">
        <f t="shared" si="55"/>
        <v/>
      </c>
      <c r="BR47" s="323" t="str">
        <f t="shared" si="55"/>
        <v/>
      </c>
      <c r="BS47" s="323" t="str">
        <f t="shared" si="55"/>
        <v/>
      </c>
      <c r="BT47" s="323" t="str">
        <f t="shared" si="55"/>
        <v/>
      </c>
      <c r="BU47" s="323" t="str">
        <f t="shared" si="55"/>
        <v/>
      </c>
      <c r="BV47" s="323" t="str">
        <f t="shared" si="55"/>
        <v/>
      </c>
      <c r="BW47" s="323" t="str">
        <f t="shared" si="55"/>
        <v/>
      </c>
      <c r="BX47" s="323" t="str">
        <f t="shared" si="55"/>
        <v/>
      </c>
      <c r="BY47" s="323" t="str">
        <f t="shared" si="55"/>
        <v/>
      </c>
      <c r="BZ47" s="323" t="str">
        <f t="shared" si="55"/>
        <v/>
      </c>
      <c r="CA47" s="323" t="str">
        <f t="shared" si="55"/>
        <v/>
      </c>
      <c r="CB47" s="323" t="str">
        <f t="shared" si="55"/>
        <v/>
      </c>
      <c r="CC47" s="323" t="str">
        <f t="shared" si="55"/>
        <v/>
      </c>
      <c r="CD47" s="323" t="str">
        <f t="shared" si="55"/>
        <v/>
      </c>
      <c r="CE47" s="323" t="str">
        <f t="shared" si="55"/>
        <v/>
      </c>
      <c r="CF47" s="323" t="str">
        <f t="shared" si="55"/>
        <v/>
      </c>
      <c r="CG47" s="323" t="str">
        <f t="shared" si="55"/>
        <v/>
      </c>
      <c r="CH47" s="323" t="str">
        <f t="shared" si="55"/>
        <v/>
      </c>
      <c r="CI47" s="323" t="str">
        <f t="shared" si="55"/>
        <v/>
      </c>
      <c r="CJ47" s="323" t="str">
        <f t="shared" si="55"/>
        <v/>
      </c>
      <c r="CK47" s="323" t="str">
        <f t="shared" si="55"/>
        <v/>
      </c>
      <c r="CL47" s="323" t="str">
        <f t="shared" si="55"/>
        <v/>
      </c>
      <c r="CM47" s="323" t="str">
        <f t="shared" si="55"/>
        <v/>
      </c>
      <c r="CN47" s="323"/>
      <c r="CO47" s="323"/>
      <c r="CP47" s="323" t="str">
        <f t="shared" si="16"/>
        <v/>
      </c>
      <c r="CQ47" s="323"/>
      <c r="CR47" s="323"/>
      <c r="CS47" s="323"/>
      <c r="CT47" s="323"/>
      <c r="CU47" s="323"/>
      <c r="CV47" s="323"/>
      <c r="CW47" s="323"/>
      <c r="CX47" s="323"/>
      <c r="CY47" s="323"/>
      <c r="CZ47" s="323"/>
      <c r="DA47" s="323"/>
      <c r="DB47" s="323"/>
      <c r="DC47" s="323"/>
      <c r="DD47" s="323"/>
      <c r="DE47" s="323"/>
      <c r="DF47" s="323"/>
      <c r="DG47" s="323"/>
      <c r="DH47" s="323"/>
      <c r="DI47" s="323"/>
      <c r="DJ47" s="323"/>
      <c r="DK47" s="323"/>
      <c r="DL47" s="323"/>
      <c r="DM47" s="323"/>
      <c r="DN47" s="323"/>
      <c r="DO47" s="323"/>
      <c r="DP47" s="323"/>
      <c r="DQ47" s="323"/>
      <c r="DR47" s="323"/>
      <c r="DS47" s="323"/>
      <c r="DT47" s="323"/>
      <c r="DU47" s="323"/>
      <c r="DV47" s="323"/>
      <c r="DW47" s="323"/>
      <c r="DX47" s="323"/>
      <c r="DY47" s="323"/>
      <c r="DZ47" s="323"/>
      <c r="EA47" s="323"/>
      <c r="EB47" s="323"/>
      <c r="EC47" s="323"/>
      <c r="ED47" s="323"/>
      <c r="EE47" s="323"/>
      <c r="EF47" s="323"/>
      <c r="EG47" s="323"/>
      <c r="EH47" s="323"/>
      <c r="EI47" s="323"/>
      <c r="EJ47" s="323"/>
      <c r="EK47" s="323"/>
      <c r="EL47" s="323"/>
      <c r="EM47" s="323"/>
      <c r="EN47" s="323"/>
      <c r="EO47" s="323"/>
      <c r="EP47" s="323"/>
      <c r="EQ47" s="323"/>
      <c r="ER47" s="323"/>
      <c r="ES47" s="323"/>
      <c r="ET47" s="323"/>
      <c r="EU47" s="323"/>
      <c r="EV47" s="323"/>
      <c r="EW47" s="323"/>
      <c r="EX47" s="323"/>
      <c r="EY47" s="323"/>
      <c r="EZ47" s="323"/>
      <c r="FA47" s="323"/>
      <c r="FB47" s="323"/>
      <c r="FC47" s="323"/>
      <c r="FD47" s="323"/>
      <c r="FE47" s="323"/>
      <c r="FF47" s="323"/>
      <c r="FG47" s="323"/>
      <c r="FH47" s="323"/>
      <c r="FI47" s="323"/>
      <c r="FJ47" s="323"/>
      <c r="FK47" s="323"/>
      <c r="FL47" s="323"/>
      <c r="FM47" s="323"/>
      <c r="FN47" s="323"/>
      <c r="FO47" s="323"/>
      <c r="FP47" s="323"/>
      <c r="FQ47" s="323"/>
      <c r="FR47" s="323"/>
      <c r="FS47" s="323"/>
      <c r="FT47" s="323"/>
      <c r="FU47" s="323"/>
      <c r="FV47" s="323"/>
      <c r="FW47" s="323"/>
      <c r="FX47" s="323"/>
    </row>
    <row r="48" ht="15.75" customHeight="1">
      <c r="A48" s="44">
        <v>43.0</v>
      </c>
      <c r="B48" s="27"/>
      <c r="C48" s="44"/>
      <c r="D48" s="44"/>
      <c r="E48" s="330"/>
      <c r="F48" s="47"/>
      <c r="G48" s="47"/>
      <c r="H48" s="47"/>
      <c r="I48" s="26"/>
      <c r="J48" s="323" t="str">
        <f t="shared" ref="J48:CM48" si="56">IF(AND($I48="Yes",J$2=$H48),"♦","")</f>
        <v/>
      </c>
      <c r="K48" s="323" t="str">
        <f t="shared" si="56"/>
        <v/>
      </c>
      <c r="L48" s="323" t="str">
        <f t="shared" si="56"/>
        <v/>
      </c>
      <c r="M48" s="323" t="str">
        <f t="shared" si="56"/>
        <v/>
      </c>
      <c r="N48" s="323" t="str">
        <f t="shared" si="56"/>
        <v/>
      </c>
      <c r="O48" s="323" t="str">
        <f t="shared" si="56"/>
        <v/>
      </c>
      <c r="P48" s="323" t="str">
        <f t="shared" si="56"/>
        <v/>
      </c>
      <c r="Q48" s="323" t="str">
        <f t="shared" si="56"/>
        <v/>
      </c>
      <c r="R48" s="323" t="str">
        <f t="shared" si="56"/>
        <v/>
      </c>
      <c r="S48" s="323" t="str">
        <f t="shared" si="56"/>
        <v/>
      </c>
      <c r="T48" s="323" t="str">
        <f t="shared" si="56"/>
        <v/>
      </c>
      <c r="U48" s="323" t="str">
        <f t="shared" si="56"/>
        <v/>
      </c>
      <c r="V48" s="323" t="str">
        <f t="shared" si="56"/>
        <v/>
      </c>
      <c r="W48" s="323" t="str">
        <f t="shared" si="56"/>
        <v/>
      </c>
      <c r="X48" s="323" t="str">
        <f t="shared" si="56"/>
        <v/>
      </c>
      <c r="Y48" s="323" t="str">
        <f t="shared" si="56"/>
        <v/>
      </c>
      <c r="Z48" s="323" t="str">
        <f t="shared" si="56"/>
        <v/>
      </c>
      <c r="AA48" s="323" t="str">
        <f t="shared" si="56"/>
        <v/>
      </c>
      <c r="AB48" s="323" t="str">
        <f t="shared" si="56"/>
        <v/>
      </c>
      <c r="AC48" s="323" t="str">
        <f t="shared" si="56"/>
        <v/>
      </c>
      <c r="AD48" s="323" t="str">
        <f t="shared" si="56"/>
        <v/>
      </c>
      <c r="AE48" s="323" t="str">
        <f t="shared" si="56"/>
        <v/>
      </c>
      <c r="AF48" s="323" t="str">
        <f t="shared" si="56"/>
        <v/>
      </c>
      <c r="AG48" s="323" t="str">
        <f t="shared" si="56"/>
        <v/>
      </c>
      <c r="AH48" s="323" t="str">
        <f t="shared" si="56"/>
        <v/>
      </c>
      <c r="AI48" s="323" t="str">
        <f t="shared" si="56"/>
        <v/>
      </c>
      <c r="AJ48" s="323" t="str">
        <f t="shared" si="56"/>
        <v/>
      </c>
      <c r="AK48" s="323" t="str">
        <f t="shared" si="56"/>
        <v/>
      </c>
      <c r="AL48" s="323" t="str">
        <f t="shared" si="56"/>
        <v/>
      </c>
      <c r="AM48" s="323" t="str">
        <f t="shared" si="56"/>
        <v/>
      </c>
      <c r="AN48" s="323" t="str">
        <f t="shared" si="56"/>
        <v/>
      </c>
      <c r="AO48" s="323" t="str">
        <f t="shared" si="56"/>
        <v/>
      </c>
      <c r="AP48" s="323" t="str">
        <f t="shared" si="56"/>
        <v/>
      </c>
      <c r="AQ48" s="323" t="str">
        <f t="shared" si="56"/>
        <v/>
      </c>
      <c r="AR48" s="323" t="str">
        <f t="shared" si="56"/>
        <v/>
      </c>
      <c r="AS48" s="323" t="str">
        <f t="shared" si="56"/>
        <v/>
      </c>
      <c r="AT48" s="323" t="str">
        <f t="shared" si="56"/>
        <v/>
      </c>
      <c r="AU48" s="323" t="str">
        <f t="shared" si="56"/>
        <v/>
      </c>
      <c r="AV48" s="323" t="str">
        <f t="shared" si="56"/>
        <v/>
      </c>
      <c r="AW48" s="323" t="str">
        <f t="shared" si="56"/>
        <v/>
      </c>
      <c r="AX48" s="323" t="str">
        <f t="shared" si="56"/>
        <v/>
      </c>
      <c r="AY48" s="323" t="str">
        <f t="shared" si="56"/>
        <v/>
      </c>
      <c r="AZ48" s="323" t="str">
        <f t="shared" si="56"/>
        <v/>
      </c>
      <c r="BA48" s="323" t="str">
        <f t="shared" si="56"/>
        <v/>
      </c>
      <c r="BB48" s="323" t="str">
        <f t="shared" si="56"/>
        <v/>
      </c>
      <c r="BC48" s="323" t="str">
        <f t="shared" si="56"/>
        <v/>
      </c>
      <c r="BD48" s="323" t="str">
        <f t="shared" si="56"/>
        <v/>
      </c>
      <c r="BE48" s="323" t="str">
        <f t="shared" si="56"/>
        <v/>
      </c>
      <c r="BF48" s="323" t="str">
        <f t="shared" si="56"/>
        <v/>
      </c>
      <c r="BG48" s="323" t="str">
        <f t="shared" si="56"/>
        <v/>
      </c>
      <c r="BH48" s="323" t="str">
        <f t="shared" si="56"/>
        <v/>
      </c>
      <c r="BI48" s="323" t="str">
        <f t="shared" si="56"/>
        <v/>
      </c>
      <c r="BJ48" s="323" t="str">
        <f t="shared" si="56"/>
        <v/>
      </c>
      <c r="BK48" s="323" t="str">
        <f t="shared" si="56"/>
        <v/>
      </c>
      <c r="BL48" s="323" t="str">
        <f t="shared" si="56"/>
        <v/>
      </c>
      <c r="BM48" s="323" t="str">
        <f t="shared" si="56"/>
        <v/>
      </c>
      <c r="BN48" s="323" t="str">
        <f t="shared" si="56"/>
        <v/>
      </c>
      <c r="BO48" s="323" t="str">
        <f t="shared" si="56"/>
        <v/>
      </c>
      <c r="BP48" s="323" t="str">
        <f t="shared" si="56"/>
        <v/>
      </c>
      <c r="BQ48" s="323" t="str">
        <f t="shared" si="56"/>
        <v/>
      </c>
      <c r="BR48" s="323" t="str">
        <f t="shared" si="56"/>
        <v/>
      </c>
      <c r="BS48" s="323" t="str">
        <f t="shared" si="56"/>
        <v/>
      </c>
      <c r="BT48" s="323" t="str">
        <f t="shared" si="56"/>
        <v/>
      </c>
      <c r="BU48" s="323" t="str">
        <f t="shared" si="56"/>
        <v/>
      </c>
      <c r="BV48" s="323" t="str">
        <f t="shared" si="56"/>
        <v/>
      </c>
      <c r="BW48" s="323" t="str">
        <f t="shared" si="56"/>
        <v/>
      </c>
      <c r="BX48" s="323" t="str">
        <f t="shared" si="56"/>
        <v/>
      </c>
      <c r="BY48" s="323" t="str">
        <f t="shared" si="56"/>
        <v/>
      </c>
      <c r="BZ48" s="323" t="str">
        <f t="shared" si="56"/>
        <v/>
      </c>
      <c r="CA48" s="323" t="str">
        <f t="shared" si="56"/>
        <v/>
      </c>
      <c r="CB48" s="323" t="str">
        <f t="shared" si="56"/>
        <v/>
      </c>
      <c r="CC48" s="323" t="str">
        <f t="shared" si="56"/>
        <v/>
      </c>
      <c r="CD48" s="323" t="str">
        <f t="shared" si="56"/>
        <v/>
      </c>
      <c r="CE48" s="323" t="str">
        <f t="shared" si="56"/>
        <v/>
      </c>
      <c r="CF48" s="323" t="str">
        <f t="shared" si="56"/>
        <v/>
      </c>
      <c r="CG48" s="323" t="str">
        <f t="shared" si="56"/>
        <v/>
      </c>
      <c r="CH48" s="323" t="str">
        <f t="shared" si="56"/>
        <v/>
      </c>
      <c r="CI48" s="323" t="str">
        <f t="shared" si="56"/>
        <v/>
      </c>
      <c r="CJ48" s="323" t="str">
        <f t="shared" si="56"/>
        <v/>
      </c>
      <c r="CK48" s="323" t="str">
        <f t="shared" si="56"/>
        <v/>
      </c>
      <c r="CL48" s="323" t="str">
        <f t="shared" si="56"/>
        <v/>
      </c>
      <c r="CM48" s="323" t="str">
        <f t="shared" si="56"/>
        <v/>
      </c>
      <c r="CN48" s="323"/>
      <c r="CO48" s="323"/>
      <c r="CP48" s="323" t="str">
        <f t="shared" si="16"/>
        <v/>
      </c>
      <c r="CQ48" s="323"/>
      <c r="CR48" s="323"/>
      <c r="CS48" s="323"/>
      <c r="CT48" s="323"/>
      <c r="CU48" s="323"/>
      <c r="CV48" s="323"/>
      <c r="CW48" s="323"/>
      <c r="CX48" s="323"/>
      <c r="CY48" s="323"/>
      <c r="CZ48" s="323"/>
      <c r="DA48" s="323"/>
      <c r="DB48" s="323"/>
      <c r="DC48" s="323"/>
      <c r="DD48" s="323"/>
      <c r="DE48" s="323"/>
      <c r="DF48" s="323"/>
      <c r="DG48" s="323"/>
      <c r="DH48" s="323"/>
      <c r="DI48" s="323"/>
      <c r="DJ48" s="323"/>
      <c r="DK48" s="323"/>
      <c r="DL48" s="323"/>
      <c r="DM48" s="323"/>
      <c r="DN48" s="323"/>
      <c r="DO48" s="323"/>
      <c r="DP48" s="323"/>
      <c r="DQ48" s="323"/>
      <c r="DR48" s="323"/>
      <c r="DS48" s="323"/>
      <c r="DT48" s="323"/>
      <c r="DU48" s="323"/>
      <c r="DV48" s="323"/>
      <c r="DW48" s="323"/>
      <c r="DX48" s="323"/>
      <c r="DY48" s="323"/>
      <c r="DZ48" s="323"/>
      <c r="EA48" s="323"/>
      <c r="EB48" s="323"/>
      <c r="EC48" s="323"/>
      <c r="ED48" s="323"/>
      <c r="EE48" s="323"/>
      <c r="EF48" s="323"/>
      <c r="EG48" s="323"/>
      <c r="EH48" s="323"/>
      <c r="EI48" s="323"/>
      <c r="EJ48" s="323"/>
      <c r="EK48" s="323"/>
      <c r="EL48" s="323"/>
      <c r="EM48" s="323"/>
      <c r="EN48" s="323"/>
      <c r="EO48" s="323"/>
      <c r="EP48" s="323"/>
      <c r="EQ48" s="323"/>
      <c r="ER48" s="323"/>
      <c r="ES48" s="323"/>
      <c r="ET48" s="323"/>
      <c r="EU48" s="323"/>
      <c r="EV48" s="323"/>
      <c r="EW48" s="323"/>
      <c r="EX48" s="323"/>
      <c r="EY48" s="323"/>
      <c r="EZ48" s="323"/>
      <c r="FA48" s="323"/>
      <c r="FB48" s="323"/>
      <c r="FC48" s="323"/>
      <c r="FD48" s="323"/>
      <c r="FE48" s="323"/>
      <c r="FF48" s="323"/>
      <c r="FG48" s="323"/>
      <c r="FH48" s="323"/>
      <c r="FI48" s="323"/>
      <c r="FJ48" s="323"/>
      <c r="FK48" s="323"/>
      <c r="FL48" s="323"/>
      <c r="FM48" s="323"/>
      <c r="FN48" s="323"/>
      <c r="FO48" s="323"/>
      <c r="FP48" s="323"/>
      <c r="FQ48" s="323"/>
      <c r="FR48" s="323"/>
      <c r="FS48" s="323"/>
      <c r="FT48" s="323"/>
      <c r="FU48" s="323"/>
      <c r="FV48" s="323"/>
      <c r="FW48" s="323"/>
      <c r="FX48" s="323"/>
    </row>
    <row r="49" ht="15.75" customHeight="1">
      <c r="A49" s="44">
        <v>44.0</v>
      </c>
      <c r="B49" s="27"/>
      <c r="C49" s="44"/>
      <c r="D49" s="44"/>
      <c r="E49" s="330"/>
      <c r="F49" s="47"/>
      <c r="G49" s="47"/>
      <c r="H49" s="47"/>
      <c r="I49" s="26"/>
      <c r="J49" s="323" t="str">
        <f t="shared" ref="J49:CM49" si="57">IF(AND($I49="Yes",J$2=$H49),"♦","")</f>
        <v/>
      </c>
      <c r="K49" s="323" t="str">
        <f t="shared" si="57"/>
        <v/>
      </c>
      <c r="L49" s="323" t="str">
        <f t="shared" si="57"/>
        <v/>
      </c>
      <c r="M49" s="323" t="str">
        <f t="shared" si="57"/>
        <v/>
      </c>
      <c r="N49" s="323" t="str">
        <f t="shared" si="57"/>
        <v/>
      </c>
      <c r="O49" s="323" t="str">
        <f t="shared" si="57"/>
        <v/>
      </c>
      <c r="P49" s="323" t="str">
        <f t="shared" si="57"/>
        <v/>
      </c>
      <c r="Q49" s="323" t="str">
        <f t="shared" si="57"/>
        <v/>
      </c>
      <c r="R49" s="323" t="str">
        <f t="shared" si="57"/>
        <v/>
      </c>
      <c r="S49" s="323" t="str">
        <f t="shared" si="57"/>
        <v/>
      </c>
      <c r="T49" s="323" t="str">
        <f t="shared" si="57"/>
        <v/>
      </c>
      <c r="U49" s="323" t="str">
        <f t="shared" si="57"/>
        <v/>
      </c>
      <c r="V49" s="323" t="str">
        <f t="shared" si="57"/>
        <v/>
      </c>
      <c r="W49" s="323" t="str">
        <f t="shared" si="57"/>
        <v/>
      </c>
      <c r="X49" s="323" t="str">
        <f t="shared" si="57"/>
        <v/>
      </c>
      <c r="Y49" s="323" t="str">
        <f t="shared" si="57"/>
        <v/>
      </c>
      <c r="Z49" s="323" t="str">
        <f t="shared" si="57"/>
        <v/>
      </c>
      <c r="AA49" s="323" t="str">
        <f t="shared" si="57"/>
        <v/>
      </c>
      <c r="AB49" s="323" t="str">
        <f t="shared" si="57"/>
        <v/>
      </c>
      <c r="AC49" s="323" t="str">
        <f t="shared" si="57"/>
        <v/>
      </c>
      <c r="AD49" s="323" t="str">
        <f t="shared" si="57"/>
        <v/>
      </c>
      <c r="AE49" s="323" t="str">
        <f t="shared" si="57"/>
        <v/>
      </c>
      <c r="AF49" s="323" t="str">
        <f t="shared" si="57"/>
        <v/>
      </c>
      <c r="AG49" s="323" t="str">
        <f t="shared" si="57"/>
        <v/>
      </c>
      <c r="AH49" s="323" t="str">
        <f t="shared" si="57"/>
        <v/>
      </c>
      <c r="AI49" s="323" t="str">
        <f t="shared" si="57"/>
        <v/>
      </c>
      <c r="AJ49" s="323" t="str">
        <f t="shared" si="57"/>
        <v/>
      </c>
      <c r="AK49" s="323" t="str">
        <f t="shared" si="57"/>
        <v/>
      </c>
      <c r="AL49" s="323" t="str">
        <f t="shared" si="57"/>
        <v/>
      </c>
      <c r="AM49" s="323" t="str">
        <f t="shared" si="57"/>
        <v/>
      </c>
      <c r="AN49" s="323" t="str">
        <f t="shared" si="57"/>
        <v/>
      </c>
      <c r="AO49" s="323" t="str">
        <f t="shared" si="57"/>
        <v/>
      </c>
      <c r="AP49" s="323" t="str">
        <f t="shared" si="57"/>
        <v/>
      </c>
      <c r="AQ49" s="323" t="str">
        <f t="shared" si="57"/>
        <v/>
      </c>
      <c r="AR49" s="323" t="str">
        <f t="shared" si="57"/>
        <v/>
      </c>
      <c r="AS49" s="323" t="str">
        <f t="shared" si="57"/>
        <v/>
      </c>
      <c r="AT49" s="323" t="str">
        <f t="shared" si="57"/>
        <v/>
      </c>
      <c r="AU49" s="323" t="str">
        <f t="shared" si="57"/>
        <v/>
      </c>
      <c r="AV49" s="323" t="str">
        <f t="shared" si="57"/>
        <v/>
      </c>
      <c r="AW49" s="323" t="str">
        <f t="shared" si="57"/>
        <v/>
      </c>
      <c r="AX49" s="323" t="str">
        <f t="shared" si="57"/>
        <v/>
      </c>
      <c r="AY49" s="323" t="str">
        <f t="shared" si="57"/>
        <v/>
      </c>
      <c r="AZ49" s="323" t="str">
        <f t="shared" si="57"/>
        <v/>
      </c>
      <c r="BA49" s="323" t="str">
        <f t="shared" si="57"/>
        <v/>
      </c>
      <c r="BB49" s="323" t="str">
        <f t="shared" si="57"/>
        <v/>
      </c>
      <c r="BC49" s="323" t="str">
        <f t="shared" si="57"/>
        <v/>
      </c>
      <c r="BD49" s="323" t="str">
        <f t="shared" si="57"/>
        <v/>
      </c>
      <c r="BE49" s="323" t="str">
        <f t="shared" si="57"/>
        <v/>
      </c>
      <c r="BF49" s="323" t="str">
        <f t="shared" si="57"/>
        <v/>
      </c>
      <c r="BG49" s="323" t="str">
        <f t="shared" si="57"/>
        <v/>
      </c>
      <c r="BH49" s="323" t="str">
        <f t="shared" si="57"/>
        <v/>
      </c>
      <c r="BI49" s="323" t="str">
        <f t="shared" si="57"/>
        <v/>
      </c>
      <c r="BJ49" s="323" t="str">
        <f t="shared" si="57"/>
        <v/>
      </c>
      <c r="BK49" s="323" t="str">
        <f t="shared" si="57"/>
        <v/>
      </c>
      <c r="BL49" s="323" t="str">
        <f t="shared" si="57"/>
        <v/>
      </c>
      <c r="BM49" s="323" t="str">
        <f t="shared" si="57"/>
        <v/>
      </c>
      <c r="BN49" s="323" t="str">
        <f t="shared" si="57"/>
        <v/>
      </c>
      <c r="BO49" s="323" t="str">
        <f t="shared" si="57"/>
        <v/>
      </c>
      <c r="BP49" s="323" t="str">
        <f t="shared" si="57"/>
        <v/>
      </c>
      <c r="BQ49" s="323" t="str">
        <f t="shared" si="57"/>
        <v/>
      </c>
      <c r="BR49" s="323" t="str">
        <f t="shared" si="57"/>
        <v/>
      </c>
      <c r="BS49" s="323" t="str">
        <f t="shared" si="57"/>
        <v/>
      </c>
      <c r="BT49" s="323" t="str">
        <f t="shared" si="57"/>
        <v/>
      </c>
      <c r="BU49" s="323" t="str">
        <f t="shared" si="57"/>
        <v/>
      </c>
      <c r="BV49" s="323" t="str">
        <f t="shared" si="57"/>
        <v/>
      </c>
      <c r="BW49" s="323" t="str">
        <f t="shared" si="57"/>
        <v/>
      </c>
      <c r="BX49" s="323" t="str">
        <f t="shared" si="57"/>
        <v/>
      </c>
      <c r="BY49" s="323" t="str">
        <f t="shared" si="57"/>
        <v/>
      </c>
      <c r="BZ49" s="323" t="str">
        <f t="shared" si="57"/>
        <v/>
      </c>
      <c r="CA49" s="323" t="str">
        <f t="shared" si="57"/>
        <v/>
      </c>
      <c r="CB49" s="323" t="str">
        <f t="shared" si="57"/>
        <v/>
      </c>
      <c r="CC49" s="323" t="str">
        <f t="shared" si="57"/>
        <v/>
      </c>
      <c r="CD49" s="323" t="str">
        <f t="shared" si="57"/>
        <v/>
      </c>
      <c r="CE49" s="323" t="str">
        <f t="shared" si="57"/>
        <v/>
      </c>
      <c r="CF49" s="323" t="str">
        <f t="shared" si="57"/>
        <v/>
      </c>
      <c r="CG49" s="323" t="str">
        <f t="shared" si="57"/>
        <v/>
      </c>
      <c r="CH49" s="323" t="str">
        <f t="shared" si="57"/>
        <v/>
      </c>
      <c r="CI49" s="323" t="str">
        <f t="shared" si="57"/>
        <v/>
      </c>
      <c r="CJ49" s="323" t="str">
        <f t="shared" si="57"/>
        <v/>
      </c>
      <c r="CK49" s="323" t="str">
        <f t="shared" si="57"/>
        <v/>
      </c>
      <c r="CL49" s="323" t="str">
        <f t="shared" si="57"/>
        <v/>
      </c>
      <c r="CM49" s="323" t="str">
        <f t="shared" si="57"/>
        <v/>
      </c>
      <c r="CN49" s="323"/>
      <c r="CO49" s="323"/>
      <c r="CP49" s="323" t="str">
        <f t="shared" si="16"/>
        <v/>
      </c>
      <c r="CQ49" s="323"/>
      <c r="CR49" s="323"/>
      <c r="CS49" s="323"/>
      <c r="CT49" s="323"/>
      <c r="CU49" s="323"/>
      <c r="CV49" s="323"/>
      <c r="CW49" s="323"/>
      <c r="CX49" s="323"/>
      <c r="CY49" s="323"/>
      <c r="CZ49" s="323"/>
      <c r="DA49" s="323"/>
      <c r="DB49" s="323"/>
      <c r="DC49" s="323"/>
      <c r="DD49" s="323"/>
      <c r="DE49" s="323"/>
      <c r="DF49" s="323"/>
      <c r="DG49" s="323"/>
      <c r="DH49" s="323"/>
      <c r="DI49" s="323"/>
      <c r="DJ49" s="323"/>
      <c r="DK49" s="323"/>
      <c r="DL49" s="323"/>
      <c r="DM49" s="323"/>
      <c r="DN49" s="323"/>
      <c r="DO49" s="323"/>
      <c r="DP49" s="323"/>
      <c r="DQ49" s="323"/>
      <c r="DR49" s="323"/>
      <c r="DS49" s="323"/>
      <c r="DT49" s="323"/>
      <c r="DU49" s="323"/>
      <c r="DV49" s="323"/>
      <c r="DW49" s="323"/>
      <c r="DX49" s="323"/>
      <c r="DY49" s="323"/>
      <c r="DZ49" s="323"/>
      <c r="EA49" s="323"/>
      <c r="EB49" s="323"/>
      <c r="EC49" s="323"/>
      <c r="ED49" s="323"/>
      <c r="EE49" s="323"/>
      <c r="EF49" s="323"/>
      <c r="EG49" s="323"/>
      <c r="EH49" s="323"/>
      <c r="EI49" s="323"/>
      <c r="EJ49" s="323"/>
      <c r="EK49" s="323"/>
      <c r="EL49" s="323"/>
      <c r="EM49" s="323"/>
      <c r="EN49" s="323"/>
      <c r="EO49" s="323"/>
      <c r="EP49" s="323"/>
      <c r="EQ49" s="323"/>
      <c r="ER49" s="323"/>
      <c r="ES49" s="323"/>
      <c r="ET49" s="323"/>
      <c r="EU49" s="323"/>
      <c r="EV49" s="323"/>
      <c r="EW49" s="323"/>
      <c r="EX49" s="323"/>
      <c r="EY49" s="323"/>
      <c r="EZ49" s="323"/>
      <c r="FA49" s="323"/>
      <c r="FB49" s="323"/>
      <c r="FC49" s="323"/>
      <c r="FD49" s="323"/>
      <c r="FE49" s="323"/>
      <c r="FF49" s="323"/>
      <c r="FG49" s="323"/>
      <c r="FH49" s="323"/>
      <c r="FI49" s="323"/>
      <c r="FJ49" s="323"/>
      <c r="FK49" s="323"/>
      <c r="FL49" s="323"/>
      <c r="FM49" s="323"/>
      <c r="FN49" s="323"/>
      <c r="FO49" s="323"/>
      <c r="FP49" s="323"/>
      <c r="FQ49" s="323"/>
      <c r="FR49" s="323"/>
      <c r="FS49" s="323"/>
      <c r="FT49" s="323"/>
      <c r="FU49" s="323"/>
      <c r="FV49" s="323"/>
      <c r="FW49" s="323"/>
      <c r="FX49" s="323"/>
    </row>
    <row r="50" ht="15.75" customHeight="1">
      <c r="A50" s="44">
        <v>45.0</v>
      </c>
      <c r="B50" s="27"/>
      <c r="C50" s="44"/>
      <c r="D50" s="44"/>
      <c r="E50" s="330"/>
      <c r="F50" s="47"/>
      <c r="G50" s="47"/>
      <c r="H50" s="47"/>
      <c r="I50" s="26"/>
      <c r="J50" s="323" t="str">
        <f t="shared" ref="J50:CM50" si="58">IF(AND($I50="Yes",J$2=$H50),"♦","")</f>
        <v/>
      </c>
      <c r="K50" s="323" t="str">
        <f t="shared" si="58"/>
        <v/>
      </c>
      <c r="L50" s="323" t="str">
        <f t="shared" si="58"/>
        <v/>
      </c>
      <c r="M50" s="323" t="str">
        <f t="shared" si="58"/>
        <v/>
      </c>
      <c r="N50" s="323" t="str">
        <f t="shared" si="58"/>
        <v/>
      </c>
      <c r="O50" s="323" t="str">
        <f t="shared" si="58"/>
        <v/>
      </c>
      <c r="P50" s="323" t="str">
        <f t="shared" si="58"/>
        <v/>
      </c>
      <c r="Q50" s="323" t="str">
        <f t="shared" si="58"/>
        <v/>
      </c>
      <c r="R50" s="323" t="str">
        <f t="shared" si="58"/>
        <v/>
      </c>
      <c r="S50" s="323" t="str">
        <f t="shared" si="58"/>
        <v/>
      </c>
      <c r="T50" s="323" t="str">
        <f t="shared" si="58"/>
        <v/>
      </c>
      <c r="U50" s="323" t="str">
        <f t="shared" si="58"/>
        <v/>
      </c>
      <c r="V50" s="323" t="str">
        <f t="shared" si="58"/>
        <v/>
      </c>
      <c r="W50" s="323" t="str">
        <f t="shared" si="58"/>
        <v/>
      </c>
      <c r="X50" s="323" t="str">
        <f t="shared" si="58"/>
        <v/>
      </c>
      <c r="Y50" s="323" t="str">
        <f t="shared" si="58"/>
        <v/>
      </c>
      <c r="Z50" s="323" t="str">
        <f t="shared" si="58"/>
        <v/>
      </c>
      <c r="AA50" s="323" t="str">
        <f t="shared" si="58"/>
        <v/>
      </c>
      <c r="AB50" s="323" t="str">
        <f t="shared" si="58"/>
        <v/>
      </c>
      <c r="AC50" s="323" t="str">
        <f t="shared" si="58"/>
        <v/>
      </c>
      <c r="AD50" s="323" t="str">
        <f t="shared" si="58"/>
        <v/>
      </c>
      <c r="AE50" s="323" t="str">
        <f t="shared" si="58"/>
        <v/>
      </c>
      <c r="AF50" s="323" t="str">
        <f t="shared" si="58"/>
        <v/>
      </c>
      <c r="AG50" s="323" t="str">
        <f t="shared" si="58"/>
        <v/>
      </c>
      <c r="AH50" s="323" t="str">
        <f t="shared" si="58"/>
        <v/>
      </c>
      <c r="AI50" s="323" t="str">
        <f t="shared" si="58"/>
        <v/>
      </c>
      <c r="AJ50" s="323" t="str">
        <f t="shared" si="58"/>
        <v/>
      </c>
      <c r="AK50" s="323" t="str">
        <f t="shared" si="58"/>
        <v/>
      </c>
      <c r="AL50" s="323" t="str">
        <f t="shared" si="58"/>
        <v/>
      </c>
      <c r="AM50" s="323" t="str">
        <f t="shared" si="58"/>
        <v/>
      </c>
      <c r="AN50" s="323" t="str">
        <f t="shared" si="58"/>
        <v/>
      </c>
      <c r="AO50" s="323" t="str">
        <f t="shared" si="58"/>
        <v/>
      </c>
      <c r="AP50" s="323" t="str">
        <f t="shared" si="58"/>
        <v/>
      </c>
      <c r="AQ50" s="323" t="str">
        <f t="shared" si="58"/>
        <v/>
      </c>
      <c r="AR50" s="323" t="str">
        <f t="shared" si="58"/>
        <v/>
      </c>
      <c r="AS50" s="323" t="str">
        <f t="shared" si="58"/>
        <v/>
      </c>
      <c r="AT50" s="323" t="str">
        <f t="shared" si="58"/>
        <v/>
      </c>
      <c r="AU50" s="323" t="str">
        <f t="shared" si="58"/>
        <v/>
      </c>
      <c r="AV50" s="323" t="str">
        <f t="shared" si="58"/>
        <v/>
      </c>
      <c r="AW50" s="323" t="str">
        <f t="shared" si="58"/>
        <v/>
      </c>
      <c r="AX50" s="323" t="str">
        <f t="shared" si="58"/>
        <v/>
      </c>
      <c r="AY50" s="323" t="str">
        <f t="shared" si="58"/>
        <v/>
      </c>
      <c r="AZ50" s="323" t="str">
        <f t="shared" si="58"/>
        <v/>
      </c>
      <c r="BA50" s="323" t="str">
        <f t="shared" si="58"/>
        <v/>
      </c>
      <c r="BB50" s="323" t="str">
        <f t="shared" si="58"/>
        <v/>
      </c>
      <c r="BC50" s="323" t="str">
        <f t="shared" si="58"/>
        <v/>
      </c>
      <c r="BD50" s="323" t="str">
        <f t="shared" si="58"/>
        <v/>
      </c>
      <c r="BE50" s="323" t="str">
        <f t="shared" si="58"/>
        <v/>
      </c>
      <c r="BF50" s="323" t="str">
        <f t="shared" si="58"/>
        <v/>
      </c>
      <c r="BG50" s="323" t="str">
        <f t="shared" si="58"/>
        <v/>
      </c>
      <c r="BH50" s="323" t="str">
        <f t="shared" si="58"/>
        <v/>
      </c>
      <c r="BI50" s="323" t="str">
        <f t="shared" si="58"/>
        <v/>
      </c>
      <c r="BJ50" s="323" t="str">
        <f t="shared" si="58"/>
        <v/>
      </c>
      <c r="BK50" s="323" t="str">
        <f t="shared" si="58"/>
        <v/>
      </c>
      <c r="BL50" s="323" t="str">
        <f t="shared" si="58"/>
        <v/>
      </c>
      <c r="BM50" s="323" t="str">
        <f t="shared" si="58"/>
        <v/>
      </c>
      <c r="BN50" s="323" t="str">
        <f t="shared" si="58"/>
        <v/>
      </c>
      <c r="BO50" s="323" t="str">
        <f t="shared" si="58"/>
        <v/>
      </c>
      <c r="BP50" s="323" t="str">
        <f t="shared" si="58"/>
        <v/>
      </c>
      <c r="BQ50" s="323" t="str">
        <f t="shared" si="58"/>
        <v/>
      </c>
      <c r="BR50" s="323" t="str">
        <f t="shared" si="58"/>
        <v/>
      </c>
      <c r="BS50" s="323" t="str">
        <f t="shared" si="58"/>
        <v/>
      </c>
      <c r="BT50" s="323" t="str">
        <f t="shared" si="58"/>
        <v/>
      </c>
      <c r="BU50" s="323" t="str">
        <f t="shared" si="58"/>
        <v/>
      </c>
      <c r="BV50" s="323" t="str">
        <f t="shared" si="58"/>
        <v/>
      </c>
      <c r="BW50" s="323" t="str">
        <f t="shared" si="58"/>
        <v/>
      </c>
      <c r="BX50" s="323" t="str">
        <f t="shared" si="58"/>
        <v/>
      </c>
      <c r="BY50" s="323" t="str">
        <f t="shared" si="58"/>
        <v/>
      </c>
      <c r="BZ50" s="323" t="str">
        <f t="shared" si="58"/>
        <v/>
      </c>
      <c r="CA50" s="323" t="str">
        <f t="shared" si="58"/>
        <v/>
      </c>
      <c r="CB50" s="323" t="str">
        <f t="shared" si="58"/>
        <v/>
      </c>
      <c r="CC50" s="323" t="str">
        <f t="shared" si="58"/>
        <v/>
      </c>
      <c r="CD50" s="323" t="str">
        <f t="shared" si="58"/>
        <v/>
      </c>
      <c r="CE50" s="323" t="str">
        <f t="shared" si="58"/>
        <v/>
      </c>
      <c r="CF50" s="323" t="str">
        <f t="shared" si="58"/>
        <v/>
      </c>
      <c r="CG50" s="323" t="str">
        <f t="shared" si="58"/>
        <v/>
      </c>
      <c r="CH50" s="323" t="str">
        <f t="shared" si="58"/>
        <v/>
      </c>
      <c r="CI50" s="323" t="str">
        <f t="shared" si="58"/>
        <v/>
      </c>
      <c r="CJ50" s="323" t="str">
        <f t="shared" si="58"/>
        <v/>
      </c>
      <c r="CK50" s="323" t="str">
        <f t="shared" si="58"/>
        <v/>
      </c>
      <c r="CL50" s="323" t="str">
        <f t="shared" si="58"/>
        <v/>
      </c>
      <c r="CM50" s="323" t="str">
        <f t="shared" si="58"/>
        <v/>
      </c>
      <c r="CN50" s="323"/>
      <c r="CO50" s="323"/>
      <c r="CP50" s="323" t="str">
        <f t="shared" si="16"/>
        <v/>
      </c>
      <c r="CQ50" s="323"/>
      <c r="CR50" s="323"/>
      <c r="CS50" s="323"/>
      <c r="CT50" s="323"/>
      <c r="CU50" s="323"/>
      <c r="CV50" s="323"/>
      <c r="CW50" s="323"/>
      <c r="CX50" s="323"/>
      <c r="CY50" s="323"/>
      <c r="CZ50" s="323"/>
      <c r="DA50" s="323"/>
      <c r="DB50" s="323"/>
      <c r="DC50" s="323"/>
      <c r="DD50" s="323"/>
      <c r="DE50" s="323"/>
      <c r="DF50" s="323"/>
      <c r="DG50" s="323"/>
      <c r="DH50" s="323"/>
      <c r="DI50" s="323"/>
      <c r="DJ50" s="323"/>
      <c r="DK50" s="323"/>
      <c r="DL50" s="323"/>
      <c r="DM50" s="323"/>
      <c r="DN50" s="323"/>
      <c r="DO50" s="323"/>
      <c r="DP50" s="323"/>
      <c r="DQ50" s="323"/>
      <c r="DR50" s="323"/>
      <c r="DS50" s="323"/>
      <c r="DT50" s="323"/>
      <c r="DU50" s="323"/>
      <c r="DV50" s="323"/>
      <c r="DW50" s="323"/>
      <c r="DX50" s="323"/>
      <c r="DY50" s="323"/>
      <c r="DZ50" s="323"/>
      <c r="EA50" s="323"/>
      <c r="EB50" s="323"/>
      <c r="EC50" s="323"/>
      <c r="ED50" s="323"/>
      <c r="EE50" s="323"/>
      <c r="EF50" s="323"/>
      <c r="EG50" s="323"/>
      <c r="EH50" s="323"/>
      <c r="EI50" s="323"/>
      <c r="EJ50" s="323"/>
      <c r="EK50" s="323"/>
      <c r="EL50" s="323"/>
      <c r="EM50" s="323"/>
      <c r="EN50" s="323"/>
      <c r="EO50" s="323"/>
      <c r="EP50" s="323"/>
      <c r="EQ50" s="323"/>
      <c r="ER50" s="323"/>
      <c r="ES50" s="323"/>
      <c r="ET50" s="323"/>
      <c r="EU50" s="323"/>
      <c r="EV50" s="323"/>
      <c r="EW50" s="323"/>
      <c r="EX50" s="323"/>
      <c r="EY50" s="323"/>
      <c r="EZ50" s="323"/>
      <c r="FA50" s="323"/>
      <c r="FB50" s="323"/>
      <c r="FC50" s="323"/>
      <c r="FD50" s="323"/>
      <c r="FE50" s="323"/>
      <c r="FF50" s="323"/>
      <c r="FG50" s="323"/>
      <c r="FH50" s="323"/>
      <c r="FI50" s="323"/>
      <c r="FJ50" s="323"/>
      <c r="FK50" s="323"/>
      <c r="FL50" s="323"/>
      <c r="FM50" s="323"/>
      <c r="FN50" s="323"/>
      <c r="FO50" s="323"/>
      <c r="FP50" s="323"/>
      <c r="FQ50" s="323"/>
      <c r="FR50" s="323"/>
      <c r="FS50" s="323"/>
      <c r="FT50" s="323"/>
      <c r="FU50" s="323"/>
      <c r="FV50" s="323"/>
      <c r="FW50" s="323"/>
      <c r="FX50" s="323"/>
    </row>
    <row r="51" ht="15.75" customHeight="1">
      <c r="A51" s="44">
        <v>46.0</v>
      </c>
      <c r="B51" s="27"/>
      <c r="C51" s="44"/>
      <c r="D51" s="44"/>
      <c r="E51" s="330"/>
      <c r="F51" s="47"/>
      <c r="G51" s="47"/>
      <c r="H51" s="47"/>
      <c r="I51" s="26"/>
      <c r="J51" s="323" t="str">
        <f t="shared" ref="J51:CM51" si="59">IF(AND($I51="Yes",J$2=$H51),"♦","")</f>
        <v/>
      </c>
      <c r="K51" s="323" t="str">
        <f t="shared" si="59"/>
        <v/>
      </c>
      <c r="L51" s="323" t="str">
        <f t="shared" si="59"/>
        <v/>
      </c>
      <c r="M51" s="323" t="str">
        <f t="shared" si="59"/>
        <v/>
      </c>
      <c r="N51" s="323" t="str">
        <f t="shared" si="59"/>
        <v/>
      </c>
      <c r="O51" s="323" t="str">
        <f t="shared" si="59"/>
        <v/>
      </c>
      <c r="P51" s="323" t="str">
        <f t="shared" si="59"/>
        <v/>
      </c>
      <c r="Q51" s="323" t="str">
        <f t="shared" si="59"/>
        <v/>
      </c>
      <c r="R51" s="323" t="str">
        <f t="shared" si="59"/>
        <v/>
      </c>
      <c r="S51" s="323" t="str">
        <f t="shared" si="59"/>
        <v/>
      </c>
      <c r="T51" s="323" t="str">
        <f t="shared" si="59"/>
        <v/>
      </c>
      <c r="U51" s="323" t="str">
        <f t="shared" si="59"/>
        <v/>
      </c>
      <c r="V51" s="323" t="str">
        <f t="shared" si="59"/>
        <v/>
      </c>
      <c r="W51" s="323" t="str">
        <f t="shared" si="59"/>
        <v/>
      </c>
      <c r="X51" s="323" t="str">
        <f t="shared" si="59"/>
        <v/>
      </c>
      <c r="Y51" s="323" t="str">
        <f t="shared" si="59"/>
        <v/>
      </c>
      <c r="Z51" s="323" t="str">
        <f t="shared" si="59"/>
        <v/>
      </c>
      <c r="AA51" s="323" t="str">
        <f t="shared" si="59"/>
        <v/>
      </c>
      <c r="AB51" s="323" t="str">
        <f t="shared" si="59"/>
        <v/>
      </c>
      <c r="AC51" s="323" t="str">
        <f t="shared" si="59"/>
        <v/>
      </c>
      <c r="AD51" s="323" t="str">
        <f t="shared" si="59"/>
        <v/>
      </c>
      <c r="AE51" s="323" t="str">
        <f t="shared" si="59"/>
        <v/>
      </c>
      <c r="AF51" s="323" t="str">
        <f t="shared" si="59"/>
        <v/>
      </c>
      <c r="AG51" s="323" t="str">
        <f t="shared" si="59"/>
        <v/>
      </c>
      <c r="AH51" s="323" t="str">
        <f t="shared" si="59"/>
        <v/>
      </c>
      <c r="AI51" s="323" t="str">
        <f t="shared" si="59"/>
        <v/>
      </c>
      <c r="AJ51" s="323" t="str">
        <f t="shared" si="59"/>
        <v/>
      </c>
      <c r="AK51" s="323" t="str">
        <f t="shared" si="59"/>
        <v/>
      </c>
      <c r="AL51" s="323" t="str">
        <f t="shared" si="59"/>
        <v/>
      </c>
      <c r="AM51" s="323" t="str">
        <f t="shared" si="59"/>
        <v/>
      </c>
      <c r="AN51" s="323" t="str">
        <f t="shared" si="59"/>
        <v/>
      </c>
      <c r="AO51" s="323" t="str">
        <f t="shared" si="59"/>
        <v/>
      </c>
      <c r="AP51" s="323" t="str">
        <f t="shared" si="59"/>
        <v/>
      </c>
      <c r="AQ51" s="323" t="str">
        <f t="shared" si="59"/>
        <v/>
      </c>
      <c r="AR51" s="323" t="str">
        <f t="shared" si="59"/>
        <v/>
      </c>
      <c r="AS51" s="323" t="str">
        <f t="shared" si="59"/>
        <v/>
      </c>
      <c r="AT51" s="323" t="str">
        <f t="shared" si="59"/>
        <v/>
      </c>
      <c r="AU51" s="323" t="str">
        <f t="shared" si="59"/>
        <v/>
      </c>
      <c r="AV51" s="323" t="str">
        <f t="shared" si="59"/>
        <v/>
      </c>
      <c r="AW51" s="323" t="str">
        <f t="shared" si="59"/>
        <v/>
      </c>
      <c r="AX51" s="323" t="str">
        <f t="shared" si="59"/>
        <v/>
      </c>
      <c r="AY51" s="323" t="str">
        <f t="shared" si="59"/>
        <v/>
      </c>
      <c r="AZ51" s="323" t="str">
        <f t="shared" si="59"/>
        <v/>
      </c>
      <c r="BA51" s="323" t="str">
        <f t="shared" si="59"/>
        <v/>
      </c>
      <c r="BB51" s="323" t="str">
        <f t="shared" si="59"/>
        <v/>
      </c>
      <c r="BC51" s="323" t="str">
        <f t="shared" si="59"/>
        <v/>
      </c>
      <c r="BD51" s="323" t="str">
        <f t="shared" si="59"/>
        <v/>
      </c>
      <c r="BE51" s="323" t="str">
        <f t="shared" si="59"/>
        <v/>
      </c>
      <c r="BF51" s="323" t="str">
        <f t="shared" si="59"/>
        <v/>
      </c>
      <c r="BG51" s="323" t="str">
        <f t="shared" si="59"/>
        <v/>
      </c>
      <c r="BH51" s="323" t="str">
        <f t="shared" si="59"/>
        <v/>
      </c>
      <c r="BI51" s="323" t="str">
        <f t="shared" si="59"/>
        <v/>
      </c>
      <c r="BJ51" s="323" t="str">
        <f t="shared" si="59"/>
        <v/>
      </c>
      <c r="BK51" s="323" t="str">
        <f t="shared" si="59"/>
        <v/>
      </c>
      <c r="BL51" s="323" t="str">
        <f t="shared" si="59"/>
        <v/>
      </c>
      <c r="BM51" s="323" t="str">
        <f t="shared" si="59"/>
        <v/>
      </c>
      <c r="BN51" s="323" t="str">
        <f t="shared" si="59"/>
        <v/>
      </c>
      <c r="BO51" s="323" t="str">
        <f t="shared" si="59"/>
        <v/>
      </c>
      <c r="BP51" s="323" t="str">
        <f t="shared" si="59"/>
        <v/>
      </c>
      <c r="BQ51" s="323" t="str">
        <f t="shared" si="59"/>
        <v/>
      </c>
      <c r="BR51" s="323" t="str">
        <f t="shared" si="59"/>
        <v/>
      </c>
      <c r="BS51" s="323" t="str">
        <f t="shared" si="59"/>
        <v/>
      </c>
      <c r="BT51" s="323" t="str">
        <f t="shared" si="59"/>
        <v/>
      </c>
      <c r="BU51" s="323" t="str">
        <f t="shared" si="59"/>
        <v/>
      </c>
      <c r="BV51" s="323" t="str">
        <f t="shared" si="59"/>
        <v/>
      </c>
      <c r="BW51" s="323" t="str">
        <f t="shared" si="59"/>
        <v/>
      </c>
      <c r="BX51" s="323" t="str">
        <f t="shared" si="59"/>
        <v/>
      </c>
      <c r="BY51" s="323" t="str">
        <f t="shared" si="59"/>
        <v/>
      </c>
      <c r="BZ51" s="323" t="str">
        <f t="shared" si="59"/>
        <v/>
      </c>
      <c r="CA51" s="323" t="str">
        <f t="shared" si="59"/>
        <v/>
      </c>
      <c r="CB51" s="323" t="str">
        <f t="shared" si="59"/>
        <v/>
      </c>
      <c r="CC51" s="323" t="str">
        <f t="shared" si="59"/>
        <v/>
      </c>
      <c r="CD51" s="323" t="str">
        <f t="shared" si="59"/>
        <v/>
      </c>
      <c r="CE51" s="323" t="str">
        <f t="shared" si="59"/>
        <v/>
      </c>
      <c r="CF51" s="323" t="str">
        <f t="shared" si="59"/>
        <v/>
      </c>
      <c r="CG51" s="323" t="str">
        <f t="shared" si="59"/>
        <v/>
      </c>
      <c r="CH51" s="323" t="str">
        <f t="shared" si="59"/>
        <v/>
      </c>
      <c r="CI51" s="323" t="str">
        <f t="shared" si="59"/>
        <v/>
      </c>
      <c r="CJ51" s="323" t="str">
        <f t="shared" si="59"/>
        <v/>
      </c>
      <c r="CK51" s="323" t="str">
        <f t="shared" si="59"/>
        <v/>
      </c>
      <c r="CL51" s="323" t="str">
        <f t="shared" si="59"/>
        <v/>
      </c>
      <c r="CM51" s="323" t="str">
        <f t="shared" si="59"/>
        <v/>
      </c>
      <c r="CN51" s="323"/>
      <c r="CO51" s="323"/>
      <c r="CP51" s="323" t="str">
        <f t="shared" si="16"/>
        <v/>
      </c>
      <c r="CQ51" s="323"/>
      <c r="CR51" s="323"/>
      <c r="CS51" s="323"/>
      <c r="CT51" s="323"/>
      <c r="CU51" s="323"/>
      <c r="CV51" s="323"/>
      <c r="CW51" s="323"/>
      <c r="CX51" s="323"/>
      <c r="CY51" s="323"/>
      <c r="CZ51" s="323"/>
      <c r="DA51" s="323"/>
      <c r="DB51" s="323"/>
      <c r="DC51" s="323"/>
      <c r="DD51" s="323"/>
      <c r="DE51" s="323"/>
      <c r="DF51" s="323"/>
      <c r="DG51" s="323"/>
      <c r="DH51" s="323"/>
      <c r="DI51" s="323"/>
      <c r="DJ51" s="323"/>
      <c r="DK51" s="323"/>
      <c r="DL51" s="323"/>
      <c r="DM51" s="323"/>
      <c r="DN51" s="323"/>
      <c r="DO51" s="323"/>
      <c r="DP51" s="323"/>
      <c r="DQ51" s="323"/>
      <c r="DR51" s="323"/>
      <c r="DS51" s="323"/>
      <c r="DT51" s="323"/>
      <c r="DU51" s="323"/>
      <c r="DV51" s="323"/>
      <c r="DW51" s="323"/>
      <c r="DX51" s="323"/>
      <c r="DY51" s="323"/>
      <c r="DZ51" s="323"/>
      <c r="EA51" s="323"/>
      <c r="EB51" s="323"/>
      <c r="EC51" s="323"/>
      <c r="ED51" s="323"/>
      <c r="EE51" s="323"/>
      <c r="EF51" s="323"/>
      <c r="EG51" s="323"/>
      <c r="EH51" s="323"/>
      <c r="EI51" s="323"/>
      <c r="EJ51" s="323"/>
      <c r="EK51" s="323"/>
      <c r="EL51" s="323"/>
      <c r="EM51" s="323"/>
      <c r="EN51" s="323"/>
      <c r="EO51" s="323"/>
      <c r="EP51" s="323"/>
      <c r="EQ51" s="323"/>
      <c r="ER51" s="323"/>
      <c r="ES51" s="323"/>
      <c r="ET51" s="323"/>
      <c r="EU51" s="323"/>
      <c r="EV51" s="323"/>
      <c r="EW51" s="323"/>
      <c r="EX51" s="323"/>
      <c r="EY51" s="323"/>
      <c r="EZ51" s="323"/>
      <c r="FA51" s="323"/>
      <c r="FB51" s="323"/>
      <c r="FC51" s="323"/>
      <c r="FD51" s="323"/>
      <c r="FE51" s="323"/>
      <c r="FF51" s="323"/>
      <c r="FG51" s="323"/>
      <c r="FH51" s="323"/>
      <c r="FI51" s="323"/>
      <c r="FJ51" s="323"/>
      <c r="FK51" s="323"/>
      <c r="FL51" s="323"/>
      <c r="FM51" s="323"/>
      <c r="FN51" s="323"/>
      <c r="FO51" s="323"/>
      <c r="FP51" s="323"/>
      <c r="FQ51" s="323"/>
      <c r="FR51" s="323"/>
      <c r="FS51" s="323"/>
      <c r="FT51" s="323"/>
      <c r="FU51" s="323"/>
      <c r="FV51" s="323"/>
      <c r="FW51" s="323"/>
      <c r="FX51" s="323"/>
    </row>
    <row r="52" ht="15.75" customHeight="1">
      <c r="A52" s="44">
        <v>47.0</v>
      </c>
      <c r="B52" s="27"/>
      <c r="C52" s="44"/>
      <c r="D52" s="44"/>
      <c r="E52" s="330"/>
      <c r="F52" s="47"/>
      <c r="G52" s="47"/>
      <c r="H52" s="47"/>
      <c r="I52" s="26"/>
      <c r="J52" s="323" t="str">
        <f t="shared" ref="J52:CM52" si="60">IF(AND($I52="Yes",J$2=$H52),"♦","")</f>
        <v/>
      </c>
      <c r="K52" s="323" t="str">
        <f t="shared" si="60"/>
        <v/>
      </c>
      <c r="L52" s="323" t="str">
        <f t="shared" si="60"/>
        <v/>
      </c>
      <c r="M52" s="323" t="str">
        <f t="shared" si="60"/>
        <v/>
      </c>
      <c r="N52" s="323" t="str">
        <f t="shared" si="60"/>
        <v/>
      </c>
      <c r="O52" s="323" t="str">
        <f t="shared" si="60"/>
        <v/>
      </c>
      <c r="P52" s="323" t="str">
        <f t="shared" si="60"/>
        <v/>
      </c>
      <c r="Q52" s="323" t="str">
        <f t="shared" si="60"/>
        <v/>
      </c>
      <c r="R52" s="323" t="str">
        <f t="shared" si="60"/>
        <v/>
      </c>
      <c r="S52" s="323" t="str">
        <f t="shared" si="60"/>
        <v/>
      </c>
      <c r="T52" s="323" t="str">
        <f t="shared" si="60"/>
        <v/>
      </c>
      <c r="U52" s="323" t="str">
        <f t="shared" si="60"/>
        <v/>
      </c>
      <c r="V52" s="323" t="str">
        <f t="shared" si="60"/>
        <v/>
      </c>
      <c r="W52" s="323" t="str">
        <f t="shared" si="60"/>
        <v/>
      </c>
      <c r="X52" s="323" t="str">
        <f t="shared" si="60"/>
        <v/>
      </c>
      <c r="Y52" s="323" t="str">
        <f t="shared" si="60"/>
        <v/>
      </c>
      <c r="Z52" s="323" t="str">
        <f t="shared" si="60"/>
        <v/>
      </c>
      <c r="AA52" s="323" t="str">
        <f t="shared" si="60"/>
        <v/>
      </c>
      <c r="AB52" s="323" t="str">
        <f t="shared" si="60"/>
        <v/>
      </c>
      <c r="AC52" s="323" t="str">
        <f t="shared" si="60"/>
        <v/>
      </c>
      <c r="AD52" s="323" t="str">
        <f t="shared" si="60"/>
        <v/>
      </c>
      <c r="AE52" s="323" t="str">
        <f t="shared" si="60"/>
        <v/>
      </c>
      <c r="AF52" s="323" t="str">
        <f t="shared" si="60"/>
        <v/>
      </c>
      <c r="AG52" s="323" t="str">
        <f t="shared" si="60"/>
        <v/>
      </c>
      <c r="AH52" s="323" t="str">
        <f t="shared" si="60"/>
        <v/>
      </c>
      <c r="AI52" s="323" t="str">
        <f t="shared" si="60"/>
        <v/>
      </c>
      <c r="AJ52" s="323" t="str">
        <f t="shared" si="60"/>
        <v/>
      </c>
      <c r="AK52" s="323" t="str">
        <f t="shared" si="60"/>
        <v/>
      </c>
      <c r="AL52" s="323" t="str">
        <f t="shared" si="60"/>
        <v/>
      </c>
      <c r="AM52" s="323" t="str">
        <f t="shared" si="60"/>
        <v/>
      </c>
      <c r="AN52" s="323" t="str">
        <f t="shared" si="60"/>
        <v/>
      </c>
      <c r="AO52" s="323" t="str">
        <f t="shared" si="60"/>
        <v/>
      </c>
      <c r="AP52" s="323" t="str">
        <f t="shared" si="60"/>
        <v/>
      </c>
      <c r="AQ52" s="323" t="str">
        <f t="shared" si="60"/>
        <v/>
      </c>
      <c r="AR52" s="323" t="str">
        <f t="shared" si="60"/>
        <v/>
      </c>
      <c r="AS52" s="323" t="str">
        <f t="shared" si="60"/>
        <v/>
      </c>
      <c r="AT52" s="323" t="str">
        <f t="shared" si="60"/>
        <v/>
      </c>
      <c r="AU52" s="323" t="str">
        <f t="shared" si="60"/>
        <v/>
      </c>
      <c r="AV52" s="323" t="str">
        <f t="shared" si="60"/>
        <v/>
      </c>
      <c r="AW52" s="323" t="str">
        <f t="shared" si="60"/>
        <v/>
      </c>
      <c r="AX52" s="323" t="str">
        <f t="shared" si="60"/>
        <v/>
      </c>
      <c r="AY52" s="323" t="str">
        <f t="shared" si="60"/>
        <v/>
      </c>
      <c r="AZ52" s="323" t="str">
        <f t="shared" si="60"/>
        <v/>
      </c>
      <c r="BA52" s="323" t="str">
        <f t="shared" si="60"/>
        <v/>
      </c>
      <c r="BB52" s="323" t="str">
        <f t="shared" si="60"/>
        <v/>
      </c>
      <c r="BC52" s="323" t="str">
        <f t="shared" si="60"/>
        <v/>
      </c>
      <c r="BD52" s="323" t="str">
        <f t="shared" si="60"/>
        <v/>
      </c>
      <c r="BE52" s="323" t="str">
        <f t="shared" si="60"/>
        <v/>
      </c>
      <c r="BF52" s="323" t="str">
        <f t="shared" si="60"/>
        <v/>
      </c>
      <c r="BG52" s="323" t="str">
        <f t="shared" si="60"/>
        <v/>
      </c>
      <c r="BH52" s="323" t="str">
        <f t="shared" si="60"/>
        <v/>
      </c>
      <c r="BI52" s="323" t="str">
        <f t="shared" si="60"/>
        <v/>
      </c>
      <c r="BJ52" s="323" t="str">
        <f t="shared" si="60"/>
        <v/>
      </c>
      <c r="BK52" s="323" t="str">
        <f t="shared" si="60"/>
        <v/>
      </c>
      <c r="BL52" s="323" t="str">
        <f t="shared" si="60"/>
        <v/>
      </c>
      <c r="BM52" s="323" t="str">
        <f t="shared" si="60"/>
        <v/>
      </c>
      <c r="BN52" s="323" t="str">
        <f t="shared" si="60"/>
        <v/>
      </c>
      <c r="BO52" s="323" t="str">
        <f t="shared" si="60"/>
        <v/>
      </c>
      <c r="BP52" s="323" t="str">
        <f t="shared" si="60"/>
        <v/>
      </c>
      <c r="BQ52" s="323" t="str">
        <f t="shared" si="60"/>
        <v/>
      </c>
      <c r="BR52" s="323" t="str">
        <f t="shared" si="60"/>
        <v/>
      </c>
      <c r="BS52" s="323" t="str">
        <f t="shared" si="60"/>
        <v/>
      </c>
      <c r="BT52" s="323" t="str">
        <f t="shared" si="60"/>
        <v/>
      </c>
      <c r="BU52" s="323" t="str">
        <f t="shared" si="60"/>
        <v/>
      </c>
      <c r="BV52" s="323" t="str">
        <f t="shared" si="60"/>
        <v/>
      </c>
      <c r="BW52" s="323" t="str">
        <f t="shared" si="60"/>
        <v/>
      </c>
      <c r="BX52" s="323" t="str">
        <f t="shared" si="60"/>
        <v/>
      </c>
      <c r="BY52" s="323" t="str">
        <f t="shared" si="60"/>
        <v/>
      </c>
      <c r="BZ52" s="323" t="str">
        <f t="shared" si="60"/>
        <v/>
      </c>
      <c r="CA52" s="323" t="str">
        <f t="shared" si="60"/>
        <v/>
      </c>
      <c r="CB52" s="323" t="str">
        <f t="shared" si="60"/>
        <v/>
      </c>
      <c r="CC52" s="323" t="str">
        <f t="shared" si="60"/>
        <v/>
      </c>
      <c r="CD52" s="323" t="str">
        <f t="shared" si="60"/>
        <v/>
      </c>
      <c r="CE52" s="323" t="str">
        <f t="shared" si="60"/>
        <v/>
      </c>
      <c r="CF52" s="323" t="str">
        <f t="shared" si="60"/>
        <v/>
      </c>
      <c r="CG52" s="323" t="str">
        <f t="shared" si="60"/>
        <v/>
      </c>
      <c r="CH52" s="323" t="str">
        <f t="shared" si="60"/>
        <v/>
      </c>
      <c r="CI52" s="323" t="str">
        <f t="shared" si="60"/>
        <v/>
      </c>
      <c r="CJ52" s="323" t="str">
        <f t="shared" si="60"/>
        <v/>
      </c>
      <c r="CK52" s="323" t="str">
        <f t="shared" si="60"/>
        <v/>
      </c>
      <c r="CL52" s="323" t="str">
        <f t="shared" si="60"/>
        <v/>
      </c>
      <c r="CM52" s="323" t="str">
        <f t="shared" si="60"/>
        <v/>
      </c>
      <c r="CN52" s="323"/>
      <c r="CO52" s="323"/>
      <c r="CP52" s="323" t="str">
        <f t="shared" si="16"/>
        <v/>
      </c>
      <c r="CQ52" s="323"/>
      <c r="CR52" s="323"/>
      <c r="CS52" s="323"/>
      <c r="CT52" s="323"/>
      <c r="CU52" s="323"/>
      <c r="CV52" s="323"/>
      <c r="CW52" s="323"/>
      <c r="CX52" s="323"/>
      <c r="CY52" s="323"/>
      <c r="CZ52" s="323"/>
      <c r="DA52" s="323"/>
      <c r="DB52" s="323"/>
      <c r="DC52" s="323"/>
      <c r="DD52" s="323"/>
      <c r="DE52" s="323"/>
      <c r="DF52" s="323"/>
      <c r="DG52" s="323"/>
      <c r="DH52" s="323"/>
      <c r="DI52" s="323"/>
      <c r="DJ52" s="323"/>
      <c r="DK52" s="323"/>
      <c r="DL52" s="323"/>
      <c r="DM52" s="323"/>
      <c r="DN52" s="323"/>
      <c r="DO52" s="323"/>
      <c r="DP52" s="323"/>
      <c r="DQ52" s="323"/>
      <c r="DR52" s="323"/>
      <c r="DS52" s="323"/>
      <c r="DT52" s="323"/>
      <c r="DU52" s="323"/>
      <c r="DV52" s="323"/>
      <c r="DW52" s="323"/>
      <c r="DX52" s="323"/>
      <c r="DY52" s="323"/>
      <c r="DZ52" s="323"/>
      <c r="EA52" s="323"/>
      <c r="EB52" s="323"/>
      <c r="EC52" s="323"/>
      <c r="ED52" s="323"/>
      <c r="EE52" s="323"/>
      <c r="EF52" s="323"/>
      <c r="EG52" s="323"/>
      <c r="EH52" s="323"/>
      <c r="EI52" s="323"/>
      <c r="EJ52" s="323"/>
      <c r="EK52" s="323"/>
      <c r="EL52" s="323"/>
      <c r="EM52" s="323"/>
      <c r="EN52" s="323"/>
      <c r="EO52" s="323"/>
      <c r="EP52" s="323"/>
      <c r="EQ52" s="323"/>
      <c r="ER52" s="323"/>
      <c r="ES52" s="323"/>
      <c r="ET52" s="323"/>
      <c r="EU52" s="323"/>
      <c r="EV52" s="323"/>
      <c r="EW52" s="323"/>
      <c r="EX52" s="323"/>
      <c r="EY52" s="323"/>
      <c r="EZ52" s="323"/>
      <c r="FA52" s="323"/>
      <c r="FB52" s="323"/>
      <c r="FC52" s="323"/>
      <c r="FD52" s="323"/>
      <c r="FE52" s="323"/>
      <c r="FF52" s="323"/>
      <c r="FG52" s="323"/>
      <c r="FH52" s="323"/>
      <c r="FI52" s="323"/>
      <c r="FJ52" s="323"/>
      <c r="FK52" s="323"/>
      <c r="FL52" s="323"/>
      <c r="FM52" s="323"/>
      <c r="FN52" s="323"/>
      <c r="FO52" s="323"/>
      <c r="FP52" s="323"/>
      <c r="FQ52" s="323"/>
      <c r="FR52" s="323"/>
      <c r="FS52" s="323"/>
      <c r="FT52" s="323"/>
      <c r="FU52" s="323"/>
      <c r="FV52" s="323"/>
      <c r="FW52" s="323"/>
      <c r="FX52" s="323"/>
    </row>
    <row r="53" ht="15.75" customHeight="1">
      <c r="A53" s="44">
        <v>48.0</v>
      </c>
      <c r="B53" s="27"/>
      <c r="C53" s="44"/>
      <c r="D53" s="44"/>
      <c r="E53" s="330"/>
      <c r="F53" s="47"/>
      <c r="G53" s="47"/>
      <c r="H53" s="47"/>
      <c r="I53" s="26"/>
      <c r="J53" s="323" t="str">
        <f t="shared" ref="J53:CM53" si="61">IF(AND($I53="Yes",J$2=$H53),"♦","")</f>
        <v/>
      </c>
      <c r="K53" s="323" t="str">
        <f t="shared" si="61"/>
        <v/>
      </c>
      <c r="L53" s="323" t="str">
        <f t="shared" si="61"/>
        <v/>
      </c>
      <c r="M53" s="323" t="str">
        <f t="shared" si="61"/>
        <v/>
      </c>
      <c r="N53" s="323" t="str">
        <f t="shared" si="61"/>
        <v/>
      </c>
      <c r="O53" s="323" t="str">
        <f t="shared" si="61"/>
        <v/>
      </c>
      <c r="P53" s="323" t="str">
        <f t="shared" si="61"/>
        <v/>
      </c>
      <c r="Q53" s="323" t="str">
        <f t="shared" si="61"/>
        <v/>
      </c>
      <c r="R53" s="323" t="str">
        <f t="shared" si="61"/>
        <v/>
      </c>
      <c r="S53" s="323" t="str">
        <f t="shared" si="61"/>
        <v/>
      </c>
      <c r="T53" s="323" t="str">
        <f t="shared" si="61"/>
        <v/>
      </c>
      <c r="U53" s="323" t="str">
        <f t="shared" si="61"/>
        <v/>
      </c>
      <c r="V53" s="323" t="str">
        <f t="shared" si="61"/>
        <v/>
      </c>
      <c r="W53" s="323" t="str">
        <f t="shared" si="61"/>
        <v/>
      </c>
      <c r="X53" s="323" t="str">
        <f t="shared" si="61"/>
        <v/>
      </c>
      <c r="Y53" s="323" t="str">
        <f t="shared" si="61"/>
        <v/>
      </c>
      <c r="Z53" s="323" t="str">
        <f t="shared" si="61"/>
        <v/>
      </c>
      <c r="AA53" s="323" t="str">
        <f t="shared" si="61"/>
        <v/>
      </c>
      <c r="AB53" s="323" t="str">
        <f t="shared" si="61"/>
        <v/>
      </c>
      <c r="AC53" s="323" t="str">
        <f t="shared" si="61"/>
        <v/>
      </c>
      <c r="AD53" s="323" t="str">
        <f t="shared" si="61"/>
        <v/>
      </c>
      <c r="AE53" s="323" t="str">
        <f t="shared" si="61"/>
        <v/>
      </c>
      <c r="AF53" s="323" t="str">
        <f t="shared" si="61"/>
        <v/>
      </c>
      <c r="AG53" s="323" t="str">
        <f t="shared" si="61"/>
        <v/>
      </c>
      <c r="AH53" s="323" t="str">
        <f t="shared" si="61"/>
        <v/>
      </c>
      <c r="AI53" s="323" t="str">
        <f t="shared" si="61"/>
        <v/>
      </c>
      <c r="AJ53" s="323" t="str">
        <f t="shared" si="61"/>
        <v/>
      </c>
      <c r="AK53" s="323" t="str">
        <f t="shared" si="61"/>
        <v/>
      </c>
      <c r="AL53" s="323" t="str">
        <f t="shared" si="61"/>
        <v/>
      </c>
      <c r="AM53" s="323" t="str">
        <f t="shared" si="61"/>
        <v/>
      </c>
      <c r="AN53" s="323" t="str">
        <f t="shared" si="61"/>
        <v/>
      </c>
      <c r="AO53" s="323" t="str">
        <f t="shared" si="61"/>
        <v/>
      </c>
      <c r="AP53" s="323" t="str">
        <f t="shared" si="61"/>
        <v/>
      </c>
      <c r="AQ53" s="323" t="str">
        <f t="shared" si="61"/>
        <v/>
      </c>
      <c r="AR53" s="323" t="str">
        <f t="shared" si="61"/>
        <v/>
      </c>
      <c r="AS53" s="323" t="str">
        <f t="shared" si="61"/>
        <v/>
      </c>
      <c r="AT53" s="323" t="str">
        <f t="shared" si="61"/>
        <v/>
      </c>
      <c r="AU53" s="323" t="str">
        <f t="shared" si="61"/>
        <v/>
      </c>
      <c r="AV53" s="323" t="str">
        <f t="shared" si="61"/>
        <v/>
      </c>
      <c r="AW53" s="323" t="str">
        <f t="shared" si="61"/>
        <v/>
      </c>
      <c r="AX53" s="323" t="str">
        <f t="shared" si="61"/>
        <v/>
      </c>
      <c r="AY53" s="323" t="str">
        <f t="shared" si="61"/>
        <v/>
      </c>
      <c r="AZ53" s="323" t="str">
        <f t="shared" si="61"/>
        <v/>
      </c>
      <c r="BA53" s="323" t="str">
        <f t="shared" si="61"/>
        <v/>
      </c>
      <c r="BB53" s="323" t="str">
        <f t="shared" si="61"/>
        <v/>
      </c>
      <c r="BC53" s="323" t="str">
        <f t="shared" si="61"/>
        <v/>
      </c>
      <c r="BD53" s="323" t="str">
        <f t="shared" si="61"/>
        <v/>
      </c>
      <c r="BE53" s="323" t="str">
        <f t="shared" si="61"/>
        <v/>
      </c>
      <c r="BF53" s="323" t="str">
        <f t="shared" si="61"/>
        <v/>
      </c>
      <c r="BG53" s="323" t="str">
        <f t="shared" si="61"/>
        <v/>
      </c>
      <c r="BH53" s="323" t="str">
        <f t="shared" si="61"/>
        <v/>
      </c>
      <c r="BI53" s="323" t="str">
        <f t="shared" si="61"/>
        <v/>
      </c>
      <c r="BJ53" s="323" t="str">
        <f t="shared" si="61"/>
        <v/>
      </c>
      <c r="BK53" s="323" t="str">
        <f t="shared" si="61"/>
        <v/>
      </c>
      <c r="BL53" s="323" t="str">
        <f t="shared" si="61"/>
        <v/>
      </c>
      <c r="BM53" s="323" t="str">
        <f t="shared" si="61"/>
        <v/>
      </c>
      <c r="BN53" s="323" t="str">
        <f t="shared" si="61"/>
        <v/>
      </c>
      <c r="BO53" s="323" t="str">
        <f t="shared" si="61"/>
        <v/>
      </c>
      <c r="BP53" s="323" t="str">
        <f t="shared" si="61"/>
        <v/>
      </c>
      <c r="BQ53" s="323" t="str">
        <f t="shared" si="61"/>
        <v/>
      </c>
      <c r="BR53" s="323" t="str">
        <f t="shared" si="61"/>
        <v/>
      </c>
      <c r="BS53" s="323" t="str">
        <f t="shared" si="61"/>
        <v/>
      </c>
      <c r="BT53" s="323" t="str">
        <f t="shared" si="61"/>
        <v/>
      </c>
      <c r="BU53" s="323" t="str">
        <f t="shared" si="61"/>
        <v/>
      </c>
      <c r="BV53" s="323" t="str">
        <f t="shared" si="61"/>
        <v/>
      </c>
      <c r="BW53" s="323" t="str">
        <f t="shared" si="61"/>
        <v/>
      </c>
      <c r="BX53" s="323" t="str">
        <f t="shared" si="61"/>
        <v/>
      </c>
      <c r="BY53" s="323" t="str">
        <f t="shared" si="61"/>
        <v/>
      </c>
      <c r="BZ53" s="323" t="str">
        <f t="shared" si="61"/>
        <v/>
      </c>
      <c r="CA53" s="323" t="str">
        <f t="shared" si="61"/>
        <v/>
      </c>
      <c r="CB53" s="323" t="str">
        <f t="shared" si="61"/>
        <v/>
      </c>
      <c r="CC53" s="323" t="str">
        <f t="shared" si="61"/>
        <v/>
      </c>
      <c r="CD53" s="323" t="str">
        <f t="shared" si="61"/>
        <v/>
      </c>
      <c r="CE53" s="323" t="str">
        <f t="shared" si="61"/>
        <v/>
      </c>
      <c r="CF53" s="323" t="str">
        <f t="shared" si="61"/>
        <v/>
      </c>
      <c r="CG53" s="323" t="str">
        <f t="shared" si="61"/>
        <v/>
      </c>
      <c r="CH53" s="323" t="str">
        <f t="shared" si="61"/>
        <v/>
      </c>
      <c r="CI53" s="323" t="str">
        <f t="shared" si="61"/>
        <v/>
      </c>
      <c r="CJ53" s="323" t="str">
        <f t="shared" si="61"/>
        <v/>
      </c>
      <c r="CK53" s="323" t="str">
        <f t="shared" si="61"/>
        <v/>
      </c>
      <c r="CL53" s="323" t="str">
        <f t="shared" si="61"/>
        <v/>
      </c>
      <c r="CM53" s="323" t="str">
        <f t="shared" si="61"/>
        <v/>
      </c>
      <c r="CN53" s="323"/>
      <c r="CO53" s="323"/>
      <c r="CP53" s="323" t="str">
        <f t="shared" si="16"/>
        <v/>
      </c>
      <c r="CQ53" s="323"/>
      <c r="CR53" s="323"/>
      <c r="CS53" s="323"/>
      <c r="CT53" s="323"/>
      <c r="CU53" s="323"/>
      <c r="CV53" s="323"/>
      <c r="CW53" s="323"/>
      <c r="CX53" s="323"/>
      <c r="CY53" s="323"/>
      <c r="CZ53" s="323"/>
      <c r="DA53" s="323"/>
      <c r="DB53" s="323"/>
      <c r="DC53" s="323"/>
      <c r="DD53" s="323"/>
      <c r="DE53" s="323"/>
      <c r="DF53" s="323"/>
      <c r="DG53" s="323"/>
      <c r="DH53" s="323"/>
      <c r="DI53" s="323"/>
      <c r="DJ53" s="323"/>
      <c r="DK53" s="323"/>
      <c r="DL53" s="323"/>
      <c r="DM53" s="323"/>
      <c r="DN53" s="323"/>
      <c r="DO53" s="323"/>
      <c r="DP53" s="323"/>
      <c r="DQ53" s="323"/>
      <c r="DR53" s="323"/>
      <c r="DS53" s="323"/>
      <c r="DT53" s="323"/>
      <c r="DU53" s="323"/>
      <c r="DV53" s="323"/>
      <c r="DW53" s="323"/>
      <c r="DX53" s="323"/>
      <c r="DY53" s="323"/>
      <c r="DZ53" s="323"/>
      <c r="EA53" s="323"/>
      <c r="EB53" s="323"/>
      <c r="EC53" s="323"/>
      <c r="ED53" s="323"/>
      <c r="EE53" s="323"/>
      <c r="EF53" s="323"/>
      <c r="EG53" s="323"/>
      <c r="EH53" s="323"/>
      <c r="EI53" s="323"/>
      <c r="EJ53" s="323"/>
      <c r="EK53" s="323"/>
      <c r="EL53" s="323"/>
      <c r="EM53" s="323"/>
      <c r="EN53" s="323"/>
      <c r="EO53" s="323"/>
      <c r="EP53" s="323"/>
      <c r="EQ53" s="323"/>
      <c r="ER53" s="323"/>
      <c r="ES53" s="323"/>
      <c r="ET53" s="323"/>
      <c r="EU53" s="323"/>
      <c r="EV53" s="323"/>
      <c r="EW53" s="323"/>
      <c r="EX53" s="323"/>
      <c r="EY53" s="323"/>
      <c r="EZ53" s="323"/>
      <c r="FA53" s="323"/>
      <c r="FB53" s="323"/>
      <c r="FC53" s="323"/>
      <c r="FD53" s="323"/>
      <c r="FE53" s="323"/>
      <c r="FF53" s="323"/>
      <c r="FG53" s="323"/>
      <c r="FH53" s="323"/>
      <c r="FI53" s="323"/>
      <c r="FJ53" s="323"/>
      <c r="FK53" s="323"/>
      <c r="FL53" s="323"/>
      <c r="FM53" s="323"/>
      <c r="FN53" s="323"/>
      <c r="FO53" s="323"/>
      <c r="FP53" s="323"/>
      <c r="FQ53" s="323"/>
      <c r="FR53" s="323"/>
      <c r="FS53" s="323"/>
      <c r="FT53" s="323"/>
      <c r="FU53" s="323"/>
      <c r="FV53" s="323"/>
      <c r="FW53" s="323"/>
      <c r="FX53" s="323"/>
    </row>
    <row r="54" ht="15.75" customHeight="1">
      <c r="A54" s="44">
        <v>49.0</v>
      </c>
      <c r="B54" s="27"/>
      <c r="C54" s="44"/>
      <c r="D54" s="44"/>
      <c r="E54" s="330"/>
      <c r="F54" s="47"/>
      <c r="G54" s="47"/>
      <c r="H54" s="47"/>
      <c r="I54" s="26"/>
      <c r="J54" s="323" t="str">
        <f t="shared" ref="J54:CM54" si="62">IF(AND($I54="Yes",J$2=$H54),"♦","")</f>
        <v/>
      </c>
      <c r="K54" s="323" t="str">
        <f t="shared" si="62"/>
        <v/>
      </c>
      <c r="L54" s="323" t="str">
        <f t="shared" si="62"/>
        <v/>
      </c>
      <c r="M54" s="323" t="str">
        <f t="shared" si="62"/>
        <v/>
      </c>
      <c r="N54" s="323" t="str">
        <f t="shared" si="62"/>
        <v/>
      </c>
      <c r="O54" s="323" t="str">
        <f t="shared" si="62"/>
        <v/>
      </c>
      <c r="P54" s="323" t="str">
        <f t="shared" si="62"/>
        <v/>
      </c>
      <c r="Q54" s="323" t="str">
        <f t="shared" si="62"/>
        <v/>
      </c>
      <c r="R54" s="323" t="str">
        <f t="shared" si="62"/>
        <v/>
      </c>
      <c r="S54" s="323" t="str">
        <f t="shared" si="62"/>
        <v/>
      </c>
      <c r="T54" s="323" t="str">
        <f t="shared" si="62"/>
        <v/>
      </c>
      <c r="U54" s="323" t="str">
        <f t="shared" si="62"/>
        <v/>
      </c>
      <c r="V54" s="323" t="str">
        <f t="shared" si="62"/>
        <v/>
      </c>
      <c r="W54" s="323" t="str">
        <f t="shared" si="62"/>
        <v/>
      </c>
      <c r="X54" s="323" t="str">
        <f t="shared" si="62"/>
        <v/>
      </c>
      <c r="Y54" s="323" t="str">
        <f t="shared" si="62"/>
        <v/>
      </c>
      <c r="Z54" s="323" t="str">
        <f t="shared" si="62"/>
        <v/>
      </c>
      <c r="AA54" s="323" t="str">
        <f t="shared" si="62"/>
        <v/>
      </c>
      <c r="AB54" s="323" t="str">
        <f t="shared" si="62"/>
        <v/>
      </c>
      <c r="AC54" s="323" t="str">
        <f t="shared" si="62"/>
        <v/>
      </c>
      <c r="AD54" s="323" t="str">
        <f t="shared" si="62"/>
        <v/>
      </c>
      <c r="AE54" s="323" t="str">
        <f t="shared" si="62"/>
        <v/>
      </c>
      <c r="AF54" s="323" t="str">
        <f t="shared" si="62"/>
        <v/>
      </c>
      <c r="AG54" s="323" t="str">
        <f t="shared" si="62"/>
        <v/>
      </c>
      <c r="AH54" s="323" t="str">
        <f t="shared" si="62"/>
        <v/>
      </c>
      <c r="AI54" s="323" t="str">
        <f t="shared" si="62"/>
        <v/>
      </c>
      <c r="AJ54" s="323" t="str">
        <f t="shared" si="62"/>
        <v/>
      </c>
      <c r="AK54" s="323" t="str">
        <f t="shared" si="62"/>
        <v/>
      </c>
      <c r="AL54" s="323" t="str">
        <f t="shared" si="62"/>
        <v/>
      </c>
      <c r="AM54" s="323" t="str">
        <f t="shared" si="62"/>
        <v/>
      </c>
      <c r="AN54" s="323" t="str">
        <f t="shared" si="62"/>
        <v/>
      </c>
      <c r="AO54" s="323" t="str">
        <f t="shared" si="62"/>
        <v/>
      </c>
      <c r="AP54" s="323" t="str">
        <f t="shared" si="62"/>
        <v/>
      </c>
      <c r="AQ54" s="323" t="str">
        <f t="shared" si="62"/>
        <v/>
      </c>
      <c r="AR54" s="323" t="str">
        <f t="shared" si="62"/>
        <v/>
      </c>
      <c r="AS54" s="323" t="str">
        <f t="shared" si="62"/>
        <v/>
      </c>
      <c r="AT54" s="323" t="str">
        <f t="shared" si="62"/>
        <v/>
      </c>
      <c r="AU54" s="323" t="str">
        <f t="shared" si="62"/>
        <v/>
      </c>
      <c r="AV54" s="323" t="str">
        <f t="shared" si="62"/>
        <v/>
      </c>
      <c r="AW54" s="323" t="str">
        <f t="shared" si="62"/>
        <v/>
      </c>
      <c r="AX54" s="323" t="str">
        <f t="shared" si="62"/>
        <v/>
      </c>
      <c r="AY54" s="323" t="str">
        <f t="shared" si="62"/>
        <v/>
      </c>
      <c r="AZ54" s="323" t="str">
        <f t="shared" si="62"/>
        <v/>
      </c>
      <c r="BA54" s="323" t="str">
        <f t="shared" si="62"/>
        <v/>
      </c>
      <c r="BB54" s="323" t="str">
        <f t="shared" si="62"/>
        <v/>
      </c>
      <c r="BC54" s="323" t="str">
        <f t="shared" si="62"/>
        <v/>
      </c>
      <c r="BD54" s="323" t="str">
        <f t="shared" si="62"/>
        <v/>
      </c>
      <c r="BE54" s="323" t="str">
        <f t="shared" si="62"/>
        <v/>
      </c>
      <c r="BF54" s="323" t="str">
        <f t="shared" si="62"/>
        <v/>
      </c>
      <c r="BG54" s="323" t="str">
        <f t="shared" si="62"/>
        <v/>
      </c>
      <c r="BH54" s="323" t="str">
        <f t="shared" si="62"/>
        <v/>
      </c>
      <c r="BI54" s="323" t="str">
        <f t="shared" si="62"/>
        <v/>
      </c>
      <c r="BJ54" s="323" t="str">
        <f t="shared" si="62"/>
        <v/>
      </c>
      <c r="BK54" s="323" t="str">
        <f t="shared" si="62"/>
        <v/>
      </c>
      <c r="BL54" s="323" t="str">
        <f t="shared" si="62"/>
        <v/>
      </c>
      <c r="BM54" s="323" t="str">
        <f t="shared" si="62"/>
        <v/>
      </c>
      <c r="BN54" s="323" t="str">
        <f t="shared" si="62"/>
        <v/>
      </c>
      <c r="BO54" s="323" t="str">
        <f t="shared" si="62"/>
        <v/>
      </c>
      <c r="BP54" s="323" t="str">
        <f t="shared" si="62"/>
        <v/>
      </c>
      <c r="BQ54" s="323" t="str">
        <f t="shared" si="62"/>
        <v/>
      </c>
      <c r="BR54" s="323" t="str">
        <f t="shared" si="62"/>
        <v/>
      </c>
      <c r="BS54" s="323" t="str">
        <f t="shared" si="62"/>
        <v/>
      </c>
      <c r="BT54" s="323" t="str">
        <f t="shared" si="62"/>
        <v/>
      </c>
      <c r="BU54" s="323" t="str">
        <f t="shared" si="62"/>
        <v/>
      </c>
      <c r="BV54" s="323" t="str">
        <f t="shared" si="62"/>
        <v/>
      </c>
      <c r="BW54" s="323" t="str">
        <f t="shared" si="62"/>
        <v/>
      </c>
      <c r="BX54" s="323" t="str">
        <f t="shared" si="62"/>
        <v/>
      </c>
      <c r="BY54" s="323" t="str">
        <f t="shared" si="62"/>
        <v/>
      </c>
      <c r="BZ54" s="323" t="str">
        <f t="shared" si="62"/>
        <v/>
      </c>
      <c r="CA54" s="323" t="str">
        <f t="shared" si="62"/>
        <v/>
      </c>
      <c r="CB54" s="323" t="str">
        <f t="shared" si="62"/>
        <v/>
      </c>
      <c r="CC54" s="323" t="str">
        <f t="shared" si="62"/>
        <v/>
      </c>
      <c r="CD54" s="323" t="str">
        <f t="shared" si="62"/>
        <v/>
      </c>
      <c r="CE54" s="323" t="str">
        <f t="shared" si="62"/>
        <v/>
      </c>
      <c r="CF54" s="323" t="str">
        <f t="shared" si="62"/>
        <v/>
      </c>
      <c r="CG54" s="323" t="str">
        <f t="shared" si="62"/>
        <v/>
      </c>
      <c r="CH54" s="323" t="str">
        <f t="shared" si="62"/>
        <v/>
      </c>
      <c r="CI54" s="323" t="str">
        <f t="shared" si="62"/>
        <v/>
      </c>
      <c r="CJ54" s="323" t="str">
        <f t="shared" si="62"/>
        <v/>
      </c>
      <c r="CK54" s="323" t="str">
        <f t="shared" si="62"/>
        <v/>
      </c>
      <c r="CL54" s="323" t="str">
        <f t="shared" si="62"/>
        <v/>
      </c>
      <c r="CM54" s="323" t="str">
        <f t="shared" si="62"/>
        <v/>
      </c>
      <c r="CN54" s="323"/>
      <c r="CO54" s="323"/>
      <c r="CP54" s="323" t="str">
        <f t="shared" si="16"/>
        <v/>
      </c>
      <c r="CQ54" s="323"/>
      <c r="CR54" s="323"/>
      <c r="CS54" s="323"/>
      <c r="CT54" s="323"/>
      <c r="CU54" s="323"/>
      <c r="CV54" s="323"/>
      <c r="CW54" s="323"/>
      <c r="CX54" s="323"/>
      <c r="CY54" s="323"/>
      <c r="CZ54" s="323"/>
      <c r="DA54" s="323"/>
      <c r="DB54" s="323"/>
      <c r="DC54" s="323"/>
      <c r="DD54" s="323"/>
      <c r="DE54" s="323"/>
      <c r="DF54" s="323"/>
      <c r="DG54" s="323"/>
      <c r="DH54" s="323"/>
      <c r="DI54" s="323"/>
      <c r="DJ54" s="323"/>
      <c r="DK54" s="323"/>
      <c r="DL54" s="323"/>
      <c r="DM54" s="323"/>
      <c r="DN54" s="323"/>
      <c r="DO54" s="323"/>
      <c r="DP54" s="323"/>
      <c r="DQ54" s="323"/>
      <c r="DR54" s="323"/>
      <c r="DS54" s="323"/>
      <c r="DT54" s="323"/>
      <c r="DU54" s="323"/>
      <c r="DV54" s="323"/>
      <c r="DW54" s="323"/>
      <c r="DX54" s="323"/>
      <c r="DY54" s="323"/>
      <c r="DZ54" s="323"/>
      <c r="EA54" s="323"/>
      <c r="EB54" s="323"/>
      <c r="EC54" s="323"/>
      <c r="ED54" s="323"/>
      <c r="EE54" s="323"/>
      <c r="EF54" s="323"/>
      <c r="EG54" s="323"/>
      <c r="EH54" s="323"/>
      <c r="EI54" s="323"/>
      <c r="EJ54" s="323"/>
      <c r="EK54" s="323"/>
      <c r="EL54" s="323"/>
      <c r="EM54" s="323"/>
      <c r="EN54" s="323"/>
      <c r="EO54" s="323"/>
      <c r="EP54" s="323"/>
      <c r="EQ54" s="323"/>
      <c r="ER54" s="323"/>
      <c r="ES54" s="323"/>
      <c r="ET54" s="323"/>
      <c r="EU54" s="323"/>
      <c r="EV54" s="323"/>
      <c r="EW54" s="323"/>
      <c r="EX54" s="323"/>
      <c r="EY54" s="323"/>
      <c r="EZ54" s="323"/>
      <c r="FA54" s="323"/>
      <c r="FB54" s="323"/>
      <c r="FC54" s="323"/>
      <c r="FD54" s="323"/>
      <c r="FE54" s="323"/>
      <c r="FF54" s="323"/>
      <c r="FG54" s="323"/>
      <c r="FH54" s="323"/>
      <c r="FI54" s="323"/>
      <c r="FJ54" s="323"/>
      <c r="FK54" s="323"/>
      <c r="FL54" s="323"/>
      <c r="FM54" s="323"/>
      <c r="FN54" s="323"/>
      <c r="FO54" s="323"/>
      <c r="FP54" s="323"/>
      <c r="FQ54" s="323"/>
      <c r="FR54" s="323"/>
      <c r="FS54" s="323"/>
      <c r="FT54" s="323"/>
      <c r="FU54" s="323"/>
      <c r="FV54" s="323"/>
      <c r="FW54" s="323"/>
      <c r="FX54" s="323"/>
    </row>
    <row r="55" ht="15.75" customHeight="1">
      <c r="A55" s="44">
        <v>50.0</v>
      </c>
      <c r="B55" s="27"/>
      <c r="C55" s="44"/>
      <c r="D55" s="44"/>
      <c r="E55" s="330"/>
      <c r="F55" s="47"/>
      <c r="G55" s="47"/>
      <c r="H55" s="47"/>
      <c r="I55" s="26"/>
      <c r="J55" s="323" t="str">
        <f t="shared" ref="J55:CM55" si="63">IF(AND($I55="Yes",J$2=$H55),"♦","")</f>
        <v/>
      </c>
      <c r="K55" s="323" t="str">
        <f t="shared" si="63"/>
        <v/>
      </c>
      <c r="L55" s="323" t="str">
        <f t="shared" si="63"/>
        <v/>
      </c>
      <c r="M55" s="323" t="str">
        <f t="shared" si="63"/>
        <v/>
      </c>
      <c r="N55" s="323" t="str">
        <f t="shared" si="63"/>
        <v/>
      </c>
      <c r="O55" s="323" t="str">
        <f t="shared" si="63"/>
        <v/>
      </c>
      <c r="P55" s="323" t="str">
        <f t="shared" si="63"/>
        <v/>
      </c>
      <c r="Q55" s="323" t="str">
        <f t="shared" si="63"/>
        <v/>
      </c>
      <c r="R55" s="323" t="str">
        <f t="shared" si="63"/>
        <v/>
      </c>
      <c r="S55" s="323" t="str">
        <f t="shared" si="63"/>
        <v/>
      </c>
      <c r="T55" s="323" t="str">
        <f t="shared" si="63"/>
        <v/>
      </c>
      <c r="U55" s="323" t="str">
        <f t="shared" si="63"/>
        <v/>
      </c>
      <c r="V55" s="323" t="str">
        <f t="shared" si="63"/>
        <v/>
      </c>
      <c r="W55" s="323" t="str">
        <f t="shared" si="63"/>
        <v/>
      </c>
      <c r="X55" s="323" t="str">
        <f t="shared" si="63"/>
        <v/>
      </c>
      <c r="Y55" s="323" t="str">
        <f t="shared" si="63"/>
        <v/>
      </c>
      <c r="Z55" s="323" t="str">
        <f t="shared" si="63"/>
        <v/>
      </c>
      <c r="AA55" s="323" t="str">
        <f t="shared" si="63"/>
        <v/>
      </c>
      <c r="AB55" s="323" t="str">
        <f t="shared" si="63"/>
        <v/>
      </c>
      <c r="AC55" s="323" t="str">
        <f t="shared" si="63"/>
        <v/>
      </c>
      <c r="AD55" s="323" t="str">
        <f t="shared" si="63"/>
        <v/>
      </c>
      <c r="AE55" s="323" t="str">
        <f t="shared" si="63"/>
        <v/>
      </c>
      <c r="AF55" s="323" t="str">
        <f t="shared" si="63"/>
        <v/>
      </c>
      <c r="AG55" s="323" t="str">
        <f t="shared" si="63"/>
        <v/>
      </c>
      <c r="AH55" s="323" t="str">
        <f t="shared" si="63"/>
        <v/>
      </c>
      <c r="AI55" s="323" t="str">
        <f t="shared" si="63"/>
        <v/>
      </c>
      <c r="AJ55" s="323" t="str">
        <f t="shared" si="63"/>
        <v/>
      </c>
      <c r="AK55" s="323" t="str">
        <f t="shared" si="63"/>
        <v/>
      </c>
      <c r="AL55" s="323" t="str">
        <f t="shared" si="63"/>
        <v/>
      </c>
      <c r="AM55" s="323" t="str">
        <f t="shared" si="63"/>
        <v/>
      </c>
      <c r="AN55" s="323" t="str">
        <f t="shared" si="63"/>
        <v/>
      </c>
      <c r="AO55" s="323" t="str">
        <f t="shared" si="63"/>
        <v/>
      </c>
      <c r="AP55" s="323" t="str">
        <f t="shared" si="63"/>
        <v/>
      </c>
      <c r="AQ55" s="323" t="str">
        <f t="shared" si="63"/>
        <v/>
      </c>
      <c r="AR55" s="323" t="str">
        <f t="shared" si="63"/>
        <v/>
      </c>
      <c r="AS55" s="323" t="str">
        <f t="shared" si="63"/>
        <v/>
      </c>
      <c r="AT55" s="323" t="str">
        <f t="shared" si="63"/>
        <v/>
      </c>
      <c r="AU55" s="323" t="str">
        <f t="shared" si="63"/>
        <v/>
      </c>
      <c r="AV55" s="323" t="str">
        <f t="shared" si="63"/>
        <v/>
      </c>
      <c r="AW55" s="323" t="str">
        <f t="shared" si="63"/>
        <v/>
      </c>
      <c r="AX55" s="323" t="str">
        <f t="shared" si="63"/>
        <v/>
      </c>
      <c r="AY55" s="323" t="str">
        <f t="shared" si="63"/>
        <v/>
      </c>
      <c r="AZ55" s="323" t="str">
        <f t="shared" si="63"/>
        <v/>
      </c>
      <c r="BA55" s="323" t="str">
        <f t="shared" si="63"/>
        <v/>
      </c>
      <c r="BB55" s="323" t="str">
        <f t="shared" si="63"/>
        <v/>
      </c>
      <c r="BC55" s="323" t="str">
        <f t="shared" si="63"/>
        <v/>
      </c>
      <c r="BD55" s="323" t="str">
        <f t="shared" si="63"/>
        <v/>
      </c>
      <c r="BE55" s="323" t="str">
        <f t="shared" si="63"/>
        <v/>
      </c>
      <c r="BF55" s="323" t="str">
        <f t="shared" si="63"/>
        <v/>
      </c>
      <c r="BG55" s="323" t="str">
        <f t="shared" si="63"/>
        <v/>
      </c>
      <c r="BH55" s="323" t="str">
        <f t="shared" si="63"/>
        <v/>
      </c>
      <c r="BI55" s="323" t="str">
        <f t="shared" si="63"/>
        <v/>
      </c>
      <c r="BJ55" s="323" t="str">
        <f t="shared" si="63"/>
        <v/>
      </c>
      <c r="BK55" s="323" t="str">
        <f t="shared" si="63"/>
        <v/>
      </c>
      <c r="BL55" s="323" t="str">
        <f t="shared" si="63"/>
        <v/>
      </c>
      <c r="BM55" s="323" t="str">
        <f t="shared" si="63"/>
        <v/>
      </c>
      <c r="BN55" s="323" t="str">
        <f t="shared" si="63"/>
        <v/>
      </c>
      <c r="BO55" s="323" t="str">
        <f t="shared" si="63"/>
        <v/>
      </c>
      <c r="BP55" s="323" t="str">
        <f t="shared" si="63"/>
        <v/>
      </c>
      <c r="BQ55" s="323" t="str">
        <f t="shared" si="63"/>
        <v/>
      </c>
      <c r="BR55" s="323" t="str">
        <f t="shared" si="63"/>
        <v/>
      </c>
      <c r="BS55" s="323" t="str">
        <f t="shared" si="63"/>
        <v/>
      </c>
      <c r="BT55" s="323" t="str">
        <f t="shared" si="63"/>
        <v/>
      </c>
      <c r="BU55" s="323" t="str">
        <f t="shared" si="63"/>
        <v/>
      </c>
      <c r="BV55" s="323" t="str">
        <f t="shared" si="63"/>
        <v/>
      </c>
      <c r="BW55" s="323" t="str">
        <f t="shared" si="63"/>
        <v/>
      </c>
      <c r="BX55" s="323" t="str">
        <f t="shared" si="63"/>
        <v/>
      </c>
      <c r="BY55" s="323" t="str">
        <f t="shared" si="63"/>
        <v/>
      </c>
      <c r="BZ55" s="323" t="str">
        <f t="shared" si="63"/>
        <v/>
      </c>
      <c r="CA55" s="323" t="str">
        <f t="shared" si="63"/>
        <v/>
      </c>
      <c r="CB55" s="323" t="str">
        <f t="shared" si="63"/>
        <v/>
      </c>
      <c r="CC55" s="323" t="str">
        <f t="shared" si="63"/>
        <v/>
      </c>
      <c r="CD55" s="323" t="str">
        <f t="shared" si="63"/>
        <v/>
      </c>
      <c r="CE55" s="323" t="str">
        <f t="shared" si="63"/>
        <v/>
      </c>
      <c r="CF55" s="323" t="str">
        <f t="shared" si="63"/>
        <v/>
      </c>
      <c r="CG55" s="323" t="str">
        <f t="shared" si="63"/>
        <v/>
      </c>
      <c r="CH55" s="323" t="str">
        <f t="shared" si="63"/>
        <v/>
      </c>
      <c r="CI55" s="323" t="str">
        <f t="shared" si="63"/>
        <v/>
      </c>
      <c r="CJ55" s="323" t="str">
        <f t="shared" si="63"/>
        <v/>
      </c>
      <c r="CK55" s="323" t="str">
        <f t="shared" si="63"/>
        <v/>
      </c>
      <c r="CL55" s="323" t="str">
        <f t="shared" si="63"/>
        <v/>
      </c>
      <c r="CM55" s="323" t="str">
        <f t="shared" si="63"/>
        <v/>
      </c>
      <c r="CN55" s="323"/>
      <c r="CO55" s="323"/>
      <c r="CP55" s="323" t="str">
        <f t="shared" si="16"/>
        <v/>
      </c>
      <c r="CQ55" s="323"/>
      <c r="CR55" s="323"/>
      <c r="CS55" s="323"/>
      <c r="CT55" s="323"/>
      <c r="CU55" s="323"/>
      <c r="CV55" s="323"/>
      <c r="CW55" s="323"/>
      <c r="CX55" s="323"/>
      <c r="CY55" s="323"/>
      <c r="CZ55" s="323"/>
      <c r="DA55" s="323"/>
      <c r="DB55" s="323"/>
      <c r="DC55" s="323"/>
      <c r="DD55" s="323"/>
      <c r="DE55" s="323"/>
      <c r="DF55" s="323"/>
      <c r="DG55" s="323"/>
      <c r="DH55" s="323"/>
      <c r="DI55" s="323"/>
      <c r="DJ55" s="323"/>
      <c r="DK55" s="323"/>
      <c r="DL55" s="323"/>
      <c r="DM55" s="323"/>
      <c r="DN55" s="323"/>
      <c r="DO55" s="323"/>
      <c r="DP55" s="323"/>
      <c r="DQ55" s="323"/>
      <c r="DR55" s="323"/>
      <c r="DS55" s="323"/>
      <c r="DT55" s="323"/>
      <c r="DU55" s="323"/>
      <c r="DV55" s="323"/>
      <c r="DW55" s="323"/>
      <c r="DX55" s="323"/>
      <c r="DY55" s="323"/>
      <c r="DZ55" s="323"/>
      <c r="EA55" s="323"/>
      <c r="EB55" s="323"/>
      <c r="EC55" s="323"/>
      <c r="ED55" s="323"/>
      <c r="EE55" s="323"/>
      <c r="EF55" s="323"/>
      <c r="EG55" s="323"/>
      <c r="EH55" s="323"/>
      <c r="EI55" s="323"/>
      <c r="EJ55" s="323"/>
      <c r="EK55" s="323"/>
      <c r="EL55" s="323"/>
      <c r="EM55" s="323"/>
      <c r="EN55" s="323"/>
      <c r="EO55" s="323"/>
      <c r="EP55" s="323"/>
      <c r="EQ55" s="323"/>
      <c r="ER55" s="323"/>
      <c r="ES55" s="323"/>
      <c r="ET55" s="323"/>
      <c r="EU55" s="323"/>
      <c r="EV55" s="323"/>
      <c r="EW55" s="323"/>
      <c r="EX55" s="323"/>
      <c r="EY55" s="323"/>
      <c r="EZ55" s="323"/>
      <c r="FA55" s="323"/>
      <c r="FB55" s="323"/>
      <c r="FC55" s="323"/>
      <c r="FD55" s="323"/>
      <c r="FE55" s="323"/>
      <c r="FF55" s="323"/>
      <c r="FG55" s="323"/>
      <c r="FH55" s="323"/>
      <c r="FI55" s="323"/>
      <c r="FJ55" s="323"/>
      <c r="FK55" s="323"/>
      <c r="FL55" s="323"/>
      <c r="FM55" s="323"/>
      <c r="FN55" s="323"/>
      <c r="FO55" s="323"/>
      <c r="FP55" s="323"/>
      <c r="FQ55" s="323"/>
      <c r="FR55" s="323"/>
      <c r="FS55" s="323"/>
      <c r="FT55" s="323"/>
      <c r="FU55" s="323"/>
      <c r="FV55" s="323"/>
      <c r="FW55" s="323"/>
      <c r="FX55" s="323"/>
    </row>
    <row r="56" ht="15.75" customHeight="1">
      <c r="A56" s="44">
        <v>51.0</v>
      </c>
      <c r="B56" s="27"/>
      <c r="C56" s="44"/>
      <c r="D56" s="44"/>
      <c r="E56" s="330"/>
      <c r="F56" s="47"/>
      <c r="G56" s="47"/>
      <c r="H56" s="47"/>
      <c r="I56" s="26"/>
      <c r="J56" s="323" t="str">
        <f t="shared" ref="J56:CM56" si="64">IF(AND($I56="Yes",J$2=$H56),"♦","")</f>
        <v/>
      </c>
      <c r="K56" s="323" t="str">
        <f t="shared" si="64"/>
        <v/>
      </c>
      <c r="L56" s="323" t="str">
        <f t="shared" si="64"/>
        <v/>
      </c>
      <c r="M56" s="323" t="str">
        <f t="shared" si="64"/>
        <v/>
      </c>
      <c r="N56" s="323" t="str">
        <f t="shared" si="64"/>
        <v/>
      </c>
      <c r="O56" s="323" t="str">
        <f t="shared" si="64"/>
        <v/>
      </c>
      <c r="P56" s="323" t="str">
        <f t="shared" si="64"/>
        <v/>
      </c>
      <c r="Q56" s="323" t="str">
        <f t="shared" si="64"/>
        <v/>
      </c>
      <c r="R56" s="323" t="str">
        <f t="shared" si="64"/>
        <v/>
      </c>
      <c r="S56" s="323" t="str">
        <f t="shared" si="64"/>
        <v/>
      </c>
      <c r="T56" s="323" t="str">
        <f t="shared" si="64"/>
        <v/>
      </c>
      <c r="U56" s="323" t="str">
        <f t="shared" si="64"/>
        <v/>
      </c>
      <c r="V56" s="323" t="str">
        <f t="shared" si="64"/>
        <v/>
      </c>
      <c r="W56" s="323" t="str">
        <f t="shared" si="64"/>
        <v/>
      </c>
      <c r="X56" s="323" t="str">
        <f t="shared" si="64"/>
        <v/>
      </c>
      <c r="Y56" s="323" t="str">
        <f t="shared" si="64"/>
        <v/>
      </c>
      <c r="Z56" s="323" t="str">
        <f t="shared" si="64"/>
        <v/>
      </c>
      <c r="AA56" s="323" t="str">
        <f t="shared" si="64"/>
        <v/>
      </c>
      <c r="AB56" s="323" t="str">
        <f t="shared" si="64"/>
        <v/>
      </c>
      <c r="AC56" s="323" t="str">
        <f t="shared" si="64"/>
        <v/>
      </c>
      <c r="AD56" s="323" t="str">
        <f t="shared" si="64"/>
        <v/>
      </c>
      <c r="AE56" s="323" t="str">
        <f t="shared" si="64"/>
        <v/>
      </c>
      <c r="AF56" s="323" t="str">
        <f t="shared" si="64"/>
        <v/>
      </c>
      <c r="AG56" s="323" t="str">
        <f t="shared" si="64"/>
        <v/>
      </c>
      <c r="AH56" s="323" t="str">
        <f t="shared" si="64"/>
        <v/>
      </c>
      <c r="AI56" s="323" t="str">
        <f t="shared" si="64"/>
        <v/>
      </c>
      <c r="AJ56" s="323" t="str">
        <f t="shared" si="64"/>
        <v/>
      </c>
      <c r="AK56" s="323" t="str">
        <f t="shared" si="64"/>
        <v/>
      </c>
      <c r="AL56" s="323" t="str">
        <f t="shared" si="64"/>
        <v/>
      </c>
      <c r="AM56" s="323" t="str">
        <f t="shared" si="64"/>
        <v/>
      </c>
      <c r="AN56" s="323" t="str">
        <f t="shared" si="64"/>
        <v/>
      </c>
      <c r="AO56" s="323" t="str">
        <f t="shared" si="64"/>
        <v/>
      </c>
      <c r="AP56" s="323" t="str">
        <f t="shared" si="64"/>
        <v/>
      </c>
      <c r="AQ56" s="323" t="str">
        <f t="shared" si="64"/>
        <v/>
      </c>
      <c r="AR56" s="323" t="str">
        <f t="shared" si="64"/>
        <v/>
      </c>
      <c r="AS56" s="323" t="str">
        <f t="shared" si="64"/>
        <v/>
      </c>
      <c r="AT56" s="323" t="str">
        <f t="shared" si="64"/>
        <v/>
      </c>
      <c r="AU56" s="323" t="str">
        <f t="shared" si="64"/>
        <v/>
      </c>
      <c r="AV56" s="323" t="str">
        <f t="shared" si="64"/>
        <v/>
      </c>
      <c r="AW56" s="323" t="str">
        <f t="shared" si="64"/>
        <v/>
      </c>
      <c r="AX56" s="323" t="str">
        <f t="shared" si="64"/>
        <v/>
      </c>
      <c r="AY56" s="323" t="str">
        <f t="shared" si="64"/>
        <v/>
      </c>
      <c r="AZ56" s="323" t="str">
        <f t="shared" si="64"/>
        <v/>
      </c>
      <c r="BA56" s="323" t="str">
        <f t="shared" si="64"/>
        <v/>
      </c>
      <c r="BB56" s="323" t="str">
        <f t="shared" si="64"/>
        <v/>
      </c>
      <c r="BC56" s="323" t="str">
        <f t="shared" si="64"/>
        <v/>
      </c>
      <c r="BD56" s="323" t="str">
        <f t="shared" si="64"/>
        <v/>
      </c>
      <c r="BE56" s="323" t="str">
        <f t="shared" si="64"/>
        <v/>
      </c>
      <c r="BF56" s="323" t="str">
        <f t="shared" si="64"/>
        <v/>
      </c>
      <c r="BG56" s="323" t="str">
        <f t="shared" si="64"/>
        <v/>
      </c>
      <c r="BH56" s="323" t="str">
        <f t="shared" si="64"/>
        <v/>
      </c>
      <c r="BI56" s="323" t="str">
        <f t="shared" si="64"/>
        <v/>
      </c>
      <c r="BJ56" s="323" t="str">
        <f t="shared" si="64"/>
        <v/>
      </c>
      <c r="BK56" s="323" t="str">
        <f t="shared" si="64"/>
        <v/>
      </c>
      <c r="BL56" s="323" t="str">
        <f t="shared" si="64"/>
        <v/>
      </c>
      <c r="BM56" s="323" t="str">
        <f t="shared" si="64"/>
        <v/>
      </c>
      <c r="BN56" s="323" t="str">
        <f t="shared" si="64"/>
        <v/>
      </c>
      <c r="BO56" s="323" t="str">
        <f t="shared" si="64"/>
        <v/>
      </c>
      <c r="BP56" s="323" t="str">
        <f t="shared" si="64"/>
        <v/>
      </c>
      <c r="BQ56" s="323" t="str">
        <f t="shared" si="64"/>
        <v/>
      </c>
      <c r="BR56" s="323" t="str">
        <f t="shared" si="64"/>
        <v/>
      </c>
      <c r="BS56" s="323" t="str">
        <f t="shared" si="64"/>
        <v/>
      </c>
      <c r="BT56" s="323" t="str">
        <f t="shared" si="64"/>
        <v/>
      </c>
      <c r="BU56" s="323" t="str">
        <f t="shared" si="64"/>
        <v/>
      </c>
      <c r="BV56" s="323" t="str">
        <f t="shared" si="64"/>
        <v/>
      </c>
      <c r="BW56" s="323" t="str">
        <f t="shared" si="64"/>
        <v/>
      </c>
      <c r="BX56" s="323" t="str">
        <f t="shared" si="64"/>
        <v/>
      </c>
      <c r="BY56" s="323" t="str">
        <f t="shared" si="64"/>
        <v/>
      </c>
      <c r="BZ56" s="323" t="str">
        <f t="shared" si="64"/>
        <v/>
      </c>
      <c r="CA56" s="323" t="str">
        <f t="shared" si="64"/>
        <v/>
      </c>
      <c r="CB56" s="323" t="str">
        <f t="shared" si="64"/>
        <v/>
      </c>
      <c r="CC56" s="323" t="str">
        <f t="shared" si="64"/>
        <v/>
      </c>
      <c r="CD56" s="323" t="str">
        <f t="shared" si="64"/>
        <v/>
      </c>
      <c r="CE56" s="323" t="str">
        <f t="shared" si="64"/>
        <v/>
      </c>
      <c r="CF56" s="323" t="str">
        <f t="shared" si="64"/>
        <v/>
      </c>
      <c r="CG56" s="323" t="str">
        <f t="shared" si="64"/>
        <v/>
      </c>
      <c r="CH56" s="323" t="str">
        <f t="shared" si="64"/>
        <v/>
      </c>
      <c r="CI56" s="323" t="str">
        <f t="shared" si="64"/>
        <v/>
      </c>
      <c r="CJ56" s="323" t="str">
        <f t="shared" si="64"/>
        <v/>
      </c>
      <c r="CK56" s="323" t="str">
        <f t="shared" si="64"/>
        <v/>
      </c>
      <c r="CL56" s="323" t="str">
        <f t="shared" si="64"/>
        <v/>
      </c>
      <c r="CM56" s="323" t="str">
        <f t="shared" si="64"/>
        <v/>
      </c>
      <c r="CN56" s="323"/>
      <c r="CO56" s="323"/>
      <c r="CP56" s="323" t="str">
        <f t="shared" si="16"/>
        <v/>
      </c>
      <c r="CQ56" s="323"/>
      <c r="CR56" s="323"/>
      <c r="CS56" s="323"/>
      <c r="CT56" s="323"/>
      <c r="CU56" s="323"/>
      <c r="CV56" s="323"/>
      <c r="CW56" s="323"/>
      <c r="CX56" s="323"/>
      <c r="CY56" s="323"/>
      <c r="CZ56" s="323"/>
      <c r="DA56" s="323"/>
      <c r="DB56" s="323"/>
      <c r="DC56" s="323"/>
      <c r="DD56" s="323"/>
      <c r="DE56" s="323"/>
      <c r="DF56" s="323"/>
      <c r="DG56" s="323"/>
      <c r="DH56" s="323"/>
      <c r="DI56" s="323"/>
      <c r="DJ56" s="323"/>
      <c r="DK56" s="323"/>
      <c r="DL56" s="323"/>
      <c r="DM56" s="323"/>
      <c r="DN56" s="323"/>
      <c r="DO56" s="323"/>
      <c r="DP56" s="323"/>
      <c r="DQ56" s="323"/>
      <c r="DR56" s="323"/>
      <c r="DS56" s="323"/>
      <c r="DT56" s="323"/>
      <c r="DU56" s="323"/>
      <c r="DV56" s="323"/>
      <c r="DW56" s="323"/>
      <c r="DX56" s="323"/>
      <c r="DY56" s="323"/>
      <c r="DZ56" s="323"/>
      <c r="EA56" s="323"/>
      <c r="EB56" s="323"/>
      <c r="EC56" s="323"/>
      <c r="ED56" s="323"/>
      <c r="EE56" s="323"/>
      <c r="EF56" s="323"/>
      <c r="EG56" s="323"/>
      <c r="EH56" s="323"/>
      <c r="EI56" s="323"/>
      <c r="EJ56" s="323"/>
      <c r="EK56" s="323"/>
      <c r="EL56" s="323"/>
      <c r="EM56" s="323"/>
      <c r="EN56" s="323"/>
      <c r="EO56" s="323"/>
      <c r="EP56" s="323"/>
      <c r="EQ56" s="323"/>
      <c r="ER56" s="323"/>
      <c r="ES56" s="323"/>
      <c r="ET56" s="323"/>
      <c r="EU56" s="323"/>
      <c r="EV56" s="323"/>
      <c r="EW56" s="323"/>
      <c r="EX56" s="323"/>
      <c r="EY56" s="323"/>
      <c r="EZ56" s="323"/>
      <c r="FA56" s="323"/>
      <c r="FB56" s="323"/>
      <c r="FC56" s="323"/>
      <c r="FD56" s="323"/>
      <c r="FE56" s="323"/>
      <c r="FF56" s="323"/>
      <c r="FG56" s="323"/>
      <c r="FH56" s="323"/>
      <c r="FI56" s="323"/>
      <c r="FJ56" s="323"/>
      <c r="FK56" s="323"/>
      <c r="FL56" s="323"/>
      <c r="FM56" s="323"/>
      <c r="FN56" s="323"/>
      <c r="FO56" s="323"/>
      <c r="FP56" s="323"/>
      <c r="FQ56" s="323"/>
      <c r="FR56" s="323"/>
      <c r="FS56" s="323"/>
      <c r="FT56" s="323"/>
      <c r="FU56" s="323"/>
      <c r="FV56" s="323"/>
      <c r="FW56" s="323"/>
      <c r="FX56" s="323"/>
    </row>
    <row r="57" ht="15.75" customHeight="1">
      <c r="A57" s="44">
        <v>52.0</v>
      </c>
      <c r="B57" s="27"/>
      <c r="C57" s="44"/>
      <c r="D57" s="44"/>
      <c r="E57" s="330"/>
      <c r="F57" s="47"/>
      <c r="G57" s="47"/>
      <c r="H57" s="47"/>
      <c r="I57" s="26"/>
      <c r="J57" s="323" t="str">
        <f t="shared" ref="J57:CM57" si="65">IF(AND($I57="Yes",J$2=$H57),"♦","")</f>
        <v/>
      </c>
      <c r="K57" s="323" t="str">
        <f t="shared" si="65"/>
        <v/>
      </c>
      <c r="L57" s="323" t="str">
        <f t="shared" si="65"/>
        <v/>
      </c>
      <c r="M57" s="323" t="str">
        <f t="shared" si="65"/>
        <v/>
      </c>
      <c r="N57" s="323" t="str">
        <f t="shared" si="65"/>
        <v/>
      </c>
      <c r="O57" s="323" t="str">
        <f t="shared" si="65"/>
        <v/>
      </c>
      <c r="P57" s="323" t="str">
        <f t="shared" si="65"/>
        <v/>
      </c>
      <c r="Q57" s="323" t="str">
        <f t="shared" si="65"/>
        <v/>
      </c>
      <c r="R57" s="323" t="str">
        <f t="shared" si="65"/>
        <v/>
      </c>
      <c r="S57" s="323" t="str">
        <f t="shared" si="65"/>
        <v/>
      </c>
      <c r="T57" s="323" t="str">
        <f t="shared" si="65"/>
        <v/>
      </c>
      <c r="U57" s="323" t="str">
        <f t="shared" si="65"/>
        <v/>
      </c>
      <c r="V57" s="323" t="str">
        <f t="shared" si="65"/>
        <v/>
      </c>
      <c r="W57" s="323" t="str">
        <f t="shared" si="65"/>
        <v/>
      </c>
      <c r="X57" s="323" t="str">
        <f t="shared" si="65"/>
        <v/>
      </c>
      <c r="Y57" s="323" t="str">
        <f t="shared" si="65"/>
        <v/>
      </c>
      <c r="Z57" s="323" t="str">
        <f t="shared" si="65"/>
        <v/>
      </c>
      <c r="AA57" s="323" t="str">
        <f t="shared" si="65"/>
        <v/>
      </c>
      <c r="AB57" s="323" t="str">
        <f t="shared" si="65"/>
        <v/>
      </c>
      <c r="AC57" s="323" t="str">
        <f t="shared" si="65"/>
        <v/>
      </c>
      <c r="AD57" s="323" t="str">
        <f t="shared" si="65"/>
        <v/>
      </c>
      <c r="AE57" s="323" t="str">
        <f t="shared" si="65"/>
        <v/>
      </c>
      <c r="AF57" s="323" t="str">
        <f t="shared" si="65"/>
        <v/>
      </c>
      <c r="AG57" s="323" t="str">
        <f t="shared" si="65"/>
        <v/>
      </c>
      <c r="AH57" s="323" t="str">
        <f t="shared" si="65"/>
        <v/>
      </c>
      <c r="AI57" s="323" t="str">
        <f t="shared" si="65"/>
        <v/>
      </c>
      <c r="AJ57" s="323" t="str">
        <f t="shared" si="65"/>
        <v/>
      </c>
      <c r="AK57" s="323" t="str">
        <f t="shared" si="65"/>
        <v/>
      </c>
      <c r="AL57" s="323" t="str">
        <f t="shared" si="65"/>
        <v/>
      </c>
      <c r="AM57" s="323" t="str">
        <f t="shared" si="65"/>
        <v/>
      </c>
      <c r="AN57" s="323" t="str">
        <f t="shared" si="65"/>
        <v/>
      </c>
      <c r="AO57" s="323" t="str">
        <f t="shared" si="65"/>
        <v/>
      </c>
      <c r="AP57" s="323" t="str">
        <f t="shared" si="65"/>
        <v/>
      </c>
      <c r="AQ57" s="323" t="str">
        <f t="shared" si="65"/>
        <v/>
      </c>
      <c r="AR57" s="323" t="str">
        <f t="shared" si="65"/>
        <v/>
      </c>
      <c r="AS57" s="323" t="str">
        <f t="shared" si="65"/>
        <v/>
      </c>
      <c r="AT57" s="323" t="str">
        <f t="shared" si="65"/>
        <v/>
      </c>
      <c r="AU57" s="323" t="str">
        <f t="shared" si="65"/>
        <v/>
      </c>
      <c r="AV57" s="323" t="str">
        <f t="shared" si="65"/>
        <v/>
      </c>
      <c r="AW57" s="323" t="str">
        <f t="shared" si="65"/>
        <v/>
      </c>
      <c r="AX57" s="323" t="str">
        <f t="shared" si="65"/>
        <v/>
      </c>
      <c r="AY57" s="323" t="str">
        <f t="shared" si="65"/>
        <v/>
      </c>
      <c r="AZ57" s="323" t="str">
        <f t="shared" si="65"/>
        <v/>
      </c>
      <c r="BA57" s="323" t="str">
        <f t="shared" si="65"/>
        <v/>
      </c>
      <c r="BB57" s="323" t="str">
        <f t="shared" si="65"/>
        <v/>
      </c>
      <c r="BC57" s="323" t="str">
        <f t="shared" si="65"/>
        <v/>
      </c>
      <c r="BD57" s="323" t="str">
        <f t="shared" si="65"/>
        <v/>
      </c>
      <c r="BE57" s="323" t="str">
        <f t="shared" si="65"/>
        <v/>
      </c>
      <c r="BF57" s="323" t="str">
        <f t="shared" si="65"/>
        <v/>
      </c>
      <c r="BG57" s="323" t="str">
        <f t="shared" si="65"/>
        <v/>
      </c>
      <c r="BH57" s="323" t="str">
        <f t="shared" si="65"/>
        <v/>
      </c>
      <c r="BI57" s="323" t="str">
        <f t="shared" si="65"/>
        <v/>
      </c>
      <c r="BJ57" s="323" t="str">
        <f t="shared" si="65"/>
        <v/>
      </c>
      <c r="BK57" s="323" t="str">
        <f t="shared" si="65"/>
        <v/>
      </c>
      <c r="BL57" s="323" t="str">
        <f t="shared" si="65"/>
        <v/>
      </c>
      <c r="BM57" s="323" t="str">
        <f t="shared" si="65"/>
        <v/>
      </c>
      <c r="BN57" s="323" t="str">
        <f t="shared" si="65"/>
        <v/>
      </c>
      <c r="BO57" s="323" t="str">
        <f t="shared" si="65"/>
        <v/>
      </c>
      <c r="BP57" s="323" t="str">
        <f t="shared" si="65"/>
        <v/>
      </c>
      <c r="BQ57" s="323" t="str">
        <f t="shared" si="65"/>
        <v/>
      </c>
      <c r="BR57" s="323" t="str">
        <f t="shared" si="65"/>
        <v/>
      </c>
      <c r="BS57" s="323" t="str">
        <f t="shared" si="65"/>
        <v/>
      </c>
      <c r="BT57" s="323" t="str">
        <f t="shared" si="65"/>
        <v/>
      </c>
      <c r="BU57" s="323" t="str">
        <f t="shared" si="65"/>
        <v/>
      </c>
      <c r="BV57" s="323" t="str">
        <f t="shared" si="65"/>
        <v/>
      </c>
      <c r="BW57" s="323" t="str">
        <f t="shared" si="65"/>
        <v/>
      </c>
      <c r="BX57" s="323" t="str">
        <f t="shared" si="65"/>
        <v/>
      </c>
      <c r="BY57" s="323" t="str">
        <f t="shared" si="65"/>
        <v/>
      </c>
      <c r="BZ57" s="323" t="str">
        <f t="shared" si="65"/>
        <v/>
      </c>
      <c r="CA57" s="323" t="str">
        <f t="shared" si="65"/>
        <v/>
      </c>
      <c r="CB57" s="323" t="str">
        <f t="shared" si="65"/>
        <v/>
      </c>
      <c r="CC57" s="323" t="str">
        <f t="shared" si="65"/>
        <v/>
      </c>
      <c r="CD57" s="323" t="str">
        <f t="shared" si="65"/>
        <v/>
      </c>
      <c r="CE57" s="323" t="str">
        <f t="shared" si="65"/>
        <v/>
      </c>
      <c r="CF57" s="323" t="str">
        <f t="shared" si="65"/>
        <v/>
      </c>
      <c r="CG57" s="323" t="str">
        <f t="shared" si="65"/>
        <v/>
      </c>
      <c r="CH57" s="323" t="str">
        <f t="shared" si="65"/>
        <v/>
      </c>
      <c r="CI57" s="323" t="str">
        <f t="shared" si="65"/>
        <v/>
      </c>
      <c r="CJ57" s="323" t="str">
        <f t="shared" si="65"/>
        <v/>
      </c>
      <c r="CK57" s="323" t="str">
        <f t="shared" si="65"/>
        <v/>
      </c>
      <c r="CL57" s="323" t="str">
        <f t="shared" si="65"/>
        <v/>
      </c>
      <c r="CM57" s="323" t="str">
        <f t="shared" si="65"/>
        <v/>
      </c>
      <c r="CN57" s="323"/>
      <c r="CO57" s="323"/>
      <c r="CP57" s="323" t="str">
        <f t="shared" si="16"/>
        <v/>
      </c>
      <c r="CQ57" s="323"/>
      <c r="CR57" s="323"/>
      <c r="CS57" s="323"/>
      <c r="CT57" s="323"/>
      <c r="CU57" s="323"/>
      <c r="CV57" s="323"/>
      <c r="CW57" s="323"/>
      <c r="CX57" s="323"/>
      <c r="CY57" s="323"/>
      <c r="CZ57" s="323"/>
      <c r="DA57" s="323"/>
      <c r="DB57" s="323"/>
      <c r="DC57" s="323"/>
      <c r="DD57" s="323"/>
      <c r="DE57" s="323"/>
      <c r="DF57" s="323"/>
      <c r="DG57" s="323"/>
      <c r="DH57" s="323"/>
      <c r="DI57" s="323"/>
      <c r="DJ57" s="323"/>
      <c r="DK57" s="323"/>
      <c r="DL57" s="323"/>
      <c r="DM57" s="323"/>
      <c r="DN57" s="323"/>
      <c r="DO57" s="323"/>
      <c r="DP57" s="323"/>
      <c r="DQ57" s="323"/>
      <c r="DR57" s="323"/>
      <c r="DS57" s="323"/>
      <c r="DT57" s="323"/>
      <c r="DU57" s="323"/>
      <c r="DV57" s="323"/>
      <c r="DW57" s="323"/>
      <c r="DX57" s="323"/>
      <c r="DY57" s="323"/>
      <c r="DZ57" s="323"/>
      <c r="EA57" s="323"/>
      <c r="EB57" s="323"/>
      <c r="EC57" s="323"/>
      <c r="ED57" s="323"/>
      <c r="EE57" s="323"/>
      <c r="EF57" s="323"/>
      <c r="EG57" s="323"/>
      <c r="EH57" s="323"/>
      <c r="EI57" s="323"/>
      <c r="EJ57" s="323"/>
      <c r="EK57" s="323"/>
      <c r="EL57" s="323"/>
      <c r="EM57" s="323"/>
      <c r="EN57" s="323"/>
      <c r="EO57" s="323"/>
      <c r="EP57" s="323"/>
      <c r="EQ57" s="323"/>
      <c r="ER57" s="323"/>
      <c r="ES57" s="323"/>
      <c r="ET57" s="323"/>
      <c r="EU57" s="323"/>
      <c r="EV57" s="323"/>
      <c r="EW57" s="323"/>
      <c r="EX57" s="323"/>
      <c r="EY57" s="323"/>
      <c r="EZ57" s="323"/>
      <c r="FA57" s="323"/>
      <c r="FB57" s="323"/>
      <c r="FC57" s="323"/>
      <c r="FD57" s="323"/>
      <c r="FE57" s="323"/>
      <c r="FF57" s="323"/>
      <c r="FG57" s="323"/>
      <c r="FH57" s="323"/>
      <c r="FI57" s="323"/>
      <c r="FJ57" s="323"/>
      <c r="FK57" s="323"/>
      <c r="FL57" s="323"/>
      <c r="FM57" s="323"/>
      <c r="FN57" s="323"/>
      <c r="FO57" s="323"/>
      <c r="FP57" s="323"/>
      <c r="FQ57" s="323"/>
      <c r="FR57" s="323"/>
      <c r="FS57" s="323"/>
      <c r="FT57" s="323"/>
      <c r="FU57" s="323"/>
      <c r="FV57" s="323"/>
      <c r="FW57" s="323"/>
      <c r="FX57" s="323"/>
    </row>
    <row r="58" ht="15.75" customHeight="1">
      <c r="A58" s="44">
        <v>53.0</v>
      </c>
      <c r="B58" s="27"/>
      <c r="C58" s="44"/>
      <c r="D58" s="44"/>
      <c r="E58" s="330"/>
      <c r="F58" s="47"/>
      <c r="G58" s="47"/>
      <c r="H58" s="47"/>
      <c r="I58" s="26"/>
      <c r="J58" s="323" t="str">
        <f t="shared" ref="J58:CM58" si="66">IF(AND($I58="Yes",J$2=$H58),"♦","")</f>
        <v/>
      </c>
      <c r="K58" s="323" t="str">
        <f t="shared" si="66"/>
        <v/>
      </c>
      <c r="L58" s="323" t="str">
        <f t="shared" si="66"/>
        <v/>
      </c>
      <c r="M58" s="323" t="str">
        <f t="shared" si="66"/>
        <v/>
      </c>
      <c r="N58" s="323" t="str">
        <f t="shared" si="66"/>
        <v/>
      </c>
      <c r="O58" s="323" t="str">
        <f t="shared" si="66"/>
        <v/>
      </c>
      <c r="P58" s="323" t="str">
        <f t="shared" si="66"/>
        <v/>
      </c>
      <c r="Q58" s="323" t="str">
        <f t="shared" si="66"/>
        <v/>
      </c>
      <c r="R58" s="323" t="str">
        <f t="shared" si="66"/>
        <v/>
      </c>
      <c r="S58" s="323" t="str">
        <f t="shared" si="66"/>
        <v/>
      </c>
      <c r="T58" s="323" t="str">
        <f t="shared" si="66"/>
        <v/>
      </c>
      <c r="U58" s="323" t="str">
        <f t="shared" si="66"/>
        <v/>
      </c>
      <c r="V58" s="323" t="str">
        <f t="shared" si="66"/>
        <v/>
      </c>
      <c r="W58" s="323" t="str">
        <f t="shared" si="66"/>
        <v/>
      </c>
      <c r="X58" s="323" t="str">
        <f t="shared" si="66"/>
        <v/>
      </c>
      <c r="Y58" s="323" t="str">
        <f t="shared" si="66"/>
        <v/>
      </c>
      <c r="Z58" s="323" t="str">
        <f t="shared" si="66"/>
        <v/>
      </c>
      <c r="AA58" s="323" t="str">
        <f t="shared" si="66"/>
        <v/>
      </c>
      <c r="AB58" s="323" t="str">
        <f t="shared" si="66"/>
        <v/>
      </c>
      <c r="AC58" s="323" t="str">
        <f t="shared" si="66"/>
        <v/>
      </c>
      <c r="AD58" s="323" t="str">
        <f t="shared" si="66"/>
        <v/>
      </c>
      <c r="AE58" s="323" t="str">
        <f t="shared" si="66"/>
        <v/>
      </c>
      <c r="AF58" s="323" t="str">
        <f t="shared" si="66"/>
        <v/>
      </c>
      <c r="AG58" s="323" t="str">
        <f t="shared" si="66"/>
        <v/>
      </c>
      <c r="AH58" s="323" t="str">
        <f t="shared" si="66"/>
        <v/>
      </c>
      <c r="AI58" s="323" t="str">
        <f t="shared" si="66"/>
        <v/>
      </c>
      <c r="AJ58" s="323" t="str">
        <f t="shared" si="66"/>
        <v/>
      </c>
      <c r="AK58" s="323" t="str">
        <f t="shared" si="66"/>
        <v/>
      </c>
      <c r="AL58" s="323" t="str">
        <f t="shared" si="66"/>
        <v/>
      </c>
      <c r="AM58" s="323" t="str">
        <f t="shared" si="66"/>
        <v/>
      </c>
      <c r="AN58" s="323" t="str">
        <f t="shared" si="66"/>
        <v/>
      </c>
      <c r="AO58" s="323" t="str">
        <f t="shared" si="66"/>
        <v/>
      </c>
      <c r="AP58" s="323" t="str">
        <f t="shared" si="66"/>
        <v/>
      </c>
      <c r="AQ58" s="323" t="str">
        <f t="shared" si="66"/>
        <v/>
      </c>
      <c r="AR58" s="323" t="str">
        <f t="shared" si="66"/>
        <v/>
      </c>
      <c r="AS58" s="323" t="str">
        <f t="shared" si="66"/>
        <v/>
      </c>
      <c r="AT58" s="323" t="str">
        <f t="shared" si="66"/>
        <v/>
      </c>
      <c r="AU58" s="323" t="str">
        <f t="shared" si="66"/>
        <v/>
      </c>
      <c r="AV58" s="323" t="str">
        <f t="shared" si="66"/>
        <v/>
      </c>
      <c r="AW58" s="323" t="str">
        <f t="shared" si="66"/>
        <v/>
      </c>
      <c r="AX58" s="323" t="str">
        <f t="shared" si="66"/>
        <v/>
      </c>
      <c r="AY58" s="323" t="str">
        <f t="shared" si="66"/>
        <v/>
      </c>
      <c r="AZ58" s="323" t="str">
        <f t="shared" si="66"/>
        <v/>
      </c>
      <c r="BA58" s="323" t="str">
        <f t="shared" si="66"/>
        <v/>
      </c>
      <c r="BB58" s="323" t="str">
        <f t="shared" si="66"/>
        <v/>
      </c>
      <c r="BC58" s="323" t="str">
        <f t="shared" si="66"/>
        <v/>
      </c>
      <c r="BD58" s="323" t="str">
        <f t="shared" si="66"/>
        <v/>
      </c>
      <c r="BE58" s="323" t="str">
        <f t="shared" si="66"/>
        <v/>
      </c>
      <c r="BF58" s="323" t="str">
        <f t="shared" si="66"/>
        <v/>
      </c>
      <c r="BG58" s="323" t="str">
        <f t="shared" si="66"/>
        <v/>
      </c>
      <c r="BH58" s="323" t="str">
        <f t="shared" si="66"/>
        <v/>
      </c>
      <c r="BI58" s="323" t="str">
        <f t="shared" si="66"/>
        <v/>
      </c>
      <c r="BJ58" s="323" t="str">
        <f t="shared" si="66"/>
        <v/>
      </c>
      <c r="BK58" s="323" t="str">
        <f t="shared" si="66"/>
        <v/>
      </c>
      <c r="BL58" s="323" t="str">
        <f t="shared" si="66"/>
        <v/>
      </c>
      <c r="BM58" s="323" t="str">
        <f t="shared" si="66"/>
        <v/>
      </c>
      <c r="BN58" s="323" t="str">
        <f t="shared" si="66"/>
        <v/>
      </c>
      <c r="BO58" s="323" t="str">
        <f t="shared" si="66"/>
        <v/>
      </c>
      <c r="BP58" s="323" t="str">
        <f t="shared" si="66"/>
        <v/>
      </c>
      <c r="BQ58" s="323" t="str">
        <f t="shared" si="66"/>
        <v/>
      </c>
      <c r="BR58" s="323" t="str">
        <f t="shared" si="66"/>
        <v/>
      </c>
      <c r="BS58" s="323" t="str">
        <f t="shared" si="66"/>
        <v/>
      </c>
      <c r="BT58" s="323" t="str">
        <f t="shared" si="66"/>
        <v/>
      </c>
      <c r="BU58" s="323" t="str">
        <f t="shared" si="66"/>
        <v/>
      </c>
      <c r="BV58" s="323" t="str">
        <f t="shared" si="66"/>
        <v/>
      </c>
      <c r="BW58" s="323" t="str">
        <f t="shared" si="66"/>
        <v/>
      </c>
      <c r="BX58" s="323" t="str">
        <f t="shared" si="66"/>
        <v/>
      </c>
      <c r="BY58" s="323" t="str">
        <f t="shared" si="66"/>
        <v/>
      </c>
      <c r="BZ58" s="323" t="str">
        <f t="shared" si="66"/>
        <v/>
      </c>
      <c r="CA58" s="323" t="str">
        <f t="shared" si="66"/>
        <v/>
      </c>
      <c r="CB58" s="323" t="str">
        <f t="shared" si="66"/>
        <v/>
      </c>
      <c r="CC58" s="323" t="str">
        <f t="shared" si="66"/>
        <v/>
      </c>
      <c r="CD58" s="323" t="str">
        <f t="shared" si="66"/>
        <v/>
      </c>
      <c r="CE58" s="323" t="str">
        <f t="shared" si="66"/>
        <v/>
      </c>
      <c r="CF58" s="323" t="str">
        <f t="shared" si="66"/>
        <v/>
      </c>
      <c r="CG58" s="323" t="str">
        <f t="shared" si="66"/>
        <v/>
      </c>
      <c r="CH58" s="323" t="str">
        <f t="shared" si="66"/>
        <v/>
      </c>
      <c r="CI58" s="323" t="str">
        <f t="shared" si="66"/>
        <v/>
      </c>
      <c r="CJ58" s="323" t="str">
        <f t="shared" si="66"/>
        <v/>
      </c>
      <c r="CK58" s="323" t="str">
        <f t="shared" si="66"/>
        <v/>
      </c>
      <c r="CL58" s="323" t="str">
        <f t="shared" si="66"/>
        <v/>
      </c>
      <c r="CM58" s="323" t="str">
        <f t="shared" si="66"/>
        <v/>
      </c>
      <c r="CN58" s="323"/>
      <c r="CO58" s="323"/>
      <c r="CP58" s="323" t="str">
        <f t="shared" si="16"/>
        <v/>
      </c>
      <c r="CQ58" s="323"/>
      <c r="CR58" s="323"/>
      <c r="CS58" s="323"/>
      <c r="CT58" s="323"/>
      <c r="CU58" s="323"/>
      <c r="CV58" s="323"/>
      <c r="CW58" s="323"/>
      <c r="CX58" s="323"/>
      <c r="CY58" s="323"/>
      <c r="CZ58" s="323"/>
      <c r="DA58" s="323"/>
      <c r="DB58" s="323"/>
      <c r="DC58" s="323"/>
      <c r="DD58" s="323"/>
      <c r="DE58" s="323"/>
      <c r="DF58" s="323"/>
      <c r="DG58" s="323"/>
      <c r="DH58" s="323"/>
      <c r="DI58" s="323"/>
      <c r="DJ58" s="323"/>
      <c r="DK58" s="323"/>
      <c r="DL58" s="323"/>
      <c r="DM58" s="323"/>
      <c r="DN58" s="323"/>
      <c r="DO58" s="323"/>
      <c r="DP58" s="323"/>
      <c r="DQ58" s="323"/>
      <c r="DR58" s="323"/>
      <c r="DS58" s="323"/>
      <c r="DT58" s="323"/>
      <c r="DU58" s="323"/>
      <c r="DV58" s="323"/>
      <c r="DW58" s="323"/>
      <c r="DX58" s="323"/>
      <c r="DY58" s="323"/>
      <c r="DZ58" s="323"/>
      <c r="EA58" s="323"/>
      <c r="EB58" s="323"/>
      <c r="EC58" s="323"/>
      <c r="ED58" s="323"/>
      <c r="EE58" s="323"/>
      <c r="EF58" s="323"/>
      <c r="EG58" s="323"/>
      <c r="EH58" s="323"/>
      <c r="EI58" s="323"/>
      <c r="EJ58" s="323"/>
      <c r="EK58" s="323"/>
      <c r="EL58" s="323"/>
      <c r="EM58" s="323"/>
      <c r="EN58" s="323"/>
      <c r="EO58" s="323"/>
      <c r="EP58" s="323"/>
      <c r="EQ58" s="323"/>
      <c r="ER58" s="323"/>
      <c r="ES58" s="323"/>
      <c r="ET58" s="323"/>
      <c r="EU58" s="323"/>
      <c r="EV58" s="323"/>
      <c r="EW58" s="323"/>
      <c r="EX58" s="323"/>
      <c r="EY58" s="323"/>
      <c r="EZ58" s="323"/>
      <c r="FA58" s="323"/>
      <c r="FB58" s="323"/>
      <c r="FC58" s="323"/>
      <c r="FD58" s="323"/>
      <c r="FE58" s="323"/>
      <c r="FF58" s="323"/>
      <c r="FG58" s="323"/>
      <c r="FH58" s="323"/>
      <c r="FI58" s="323"/>
      <c r="FJ58" s="323"/>
      <c r="FK58" s="323"/>
      <c r="FL58" s="323"/>
      <c r="FM58" s="323"/>
      <c r="FN58" s="323"/>
      <c r="FO58" s="323"/>
      <c r="FP58" s="323"/>
      <c r="FQ58" s="323"/>
      <c r="FR58" s="323"/>
      <c r="FS58" s="323"/>
      <c r="FT58" s="323"/>
      <c r="FU58" s="323"/>
      <c r="FV58" s="323"/>
      <c r="FW58" s="323"/>
      <c r="FX58" s="323"/>
    </row>
    <row r="59" ht="15.75" customHeight="1">
      <c r="A59" s="44">
        <v>54.0</v>
      </c>
      <c r="B59" s="27"/>
      <c r="C59" s="44"/>
      <c r="D59" s="44"/>
      <c r="E59" s="330"/>
      <c r="F59" s="47"/>
      <c r="G59" s="47"/>
      <c r="H59" s="47"/>
      <c r="I59" s="26"/>
      <c r="J59" s="323" t="str">
        <f t="shared" ref="J59:CM59" si="67">IF(AND($I59="Yes",J$2=$H59),"♦","")</f>
        <v/>
      </c>
      <c r="K59" s="323" t="str">
        <f t="shared" si="67"/>
        <v/>
      </c>
      <c r="L59" s="323" t="str">
        <f t="shared" si="67"/>
        <v/>
      </c>
      <c r="M59" s="323" t="str">
        <f t="shared" si="67"/>
        <v/>
      </c>
      <c r="N59" s="323" t="str">
        <f t="shared" si="67"/>
        <v/>
      </c>
      <c r="O59" s="323" t="str">
        <f t="shared" si="67"/>
        <v/>
      </c>
      <c r="P59" s="323" t="str">
        <f t="shared" si="67"/>
        <v/>
      </c>
      <c r="Q59" s="323" t="str">
        <f t="shared" si="67"/>
        <v/>
      </c>
      <c r="R59" s="323" t="str">
        <f t="shared" si="67"/>
        <v/>
      </c>
      <c r="S59" s="323" t="str">
        <f t="shared" si="67"/>
        <v/>
      </c>
      <c r="T59" s="323" t="str">
        <f t="shared" si="67"/>
        <v/>
      </c>
      <c r="U59" s="323" t="str">
        <f t="shared" si="67"/>
        <v/>
      </c>
      <c r="V59" s="323" t="str">
        <f t="shared" si="67"/>
        <v/>
      </c>
      <c r="W59" s="323" t="str">
        <f t="shared" si="67"/>
        <v/>
      </c>
      <c r="X59" s="323" t="str">
        <f t="shared" si="67"/>
        <v/>
      </c>
      <c r="Y59" s="323" t="str">
        <f t="shared" si="67"/>
        <v/>
      </c>
      <c r="Z59" s="323" t="str">
        <f t="shared" si="67"/>
        <v/>
      </c>
      <c r="AA59" s="323" t="str">
        <f t="shared" si="67"/>
        <v/>
      </c>
      <c r="AB59" s="323" t="str">
        <f t="shared" si="67"/>
        <v/>
      </c>
      <c r="AC59" s="323" t="str">
        <f t="shared" si="67"/>
        <v/>
      </c>
      <c r="AD59" s="323" t="str">
        <f t="shared" si="67"/>
        <v/>
      </c>
      <c r="AE59" s="323" t="str">
        <f t="shared" si="67"/>
        <v/>
      </c>
      <c r="AF59" s="323" t="str">
        <f t="shared" si="67"/>
        <v/>
      </c>
      <c r="AG59" s="323" t="str">
        <f t="shared" si="67"/>
        <v/>
      </c>
      <c r="AH59" s="323" t="str">
        <f t="shared" si="67"/>
        <v/>
      </c>
      <c r="AI59" s="323" t="str">
        <f t="shared" si="67"/>
        <v/>
      </c>
      <c r="AJ59" s="323" t="str">
        <f t="shared" si="67"/>
        <v/>
      </c>
      <c r="AK59" s="323" t="str">
        <f t="shared" si="67"/>
        <v/>
      </c>
      <c r="AL59" s="323" t="str">
        <f t="shared" si="67"/>
        <v/>
      </c>
      <c r="AM59" s="323" t="str">
        <f t="shared" si="67"/>
        <v/>
      </c>
      <c r="AN59" s="323" t="str">
        <f t="shared" si="67"/>
        <v/>
      </c>
      <c r="AO59" s="323" t="str">
        <f t="shared" si="67"/>
        <v/>
      </c>
      <c r="AP59" s="323" t="str">
        <f t="shared" si="67"/>
        <v/>
      </c>
      <c r="AQ59" s="323" t="str">
        <f t="shared" si="67"/>
        <v/>
      </c>
      <c r="AR59" s="323" t="str">
        <f t="shared" si="67"/>
        <v/>
      </c>
      <c r="AS59" s="323" t="str">
        <f t="shared" si="67"/>
        <v/>
      </c>
      <c r="AT59" s="323" t="str">
        <f t="shared" si="67"/>
        <v/>
      </c>
      <c r="AU59" s="323" t="str">
        <f t="shared" si="67"/>
        <v/>
      </c>
      <c r="AV59" s="323" t="str">
        <f t="shared" si="67"/>
        <v/>
      </c>
      <c r="AW59" s="323" t="str">
        <f t="shared" si="67"/>
        <v/>
      </c>
      <c r="AX59" s="323" t="str">
        <f t="shared" si="67"/>
        <v/>
      </c>
      <c r="AY59" s="323" t="str">
        <f t="shared" si="67"/>
        <v/>
      </c>
      <c r="AZ59" s="323" t="str">
        <f t="shared" si="67"/>
        <v/>
      </c>
      <c r="BA59" s="323" t="str">
        <f t="shared" si="67"/>
        <v/>
      </c>
      <c r="BB59" s="323" t="str">
        <f t="shared" si="67"/>
        <v/>
      </c>
      <c r="BC59" s="323" t="str">
        <f t="shared" si="67"/>
        <v/>
      </c>
      <c r="BD59" s="323" t="str">
        <f t="shared" si="67"/>
        <v/>
      </c>
      <c r="BE59" s="323" t="str">
        <f t="shared" si="67"/>
        <v/>
      </c>
      <c r="BF59" s="323" t="str">
        <f t="shared" si="67"/>
        <v/>
      </c>
      <c r="BG59" s="323" t="str">
        <f t="shared" si="67"/>
        <v/>
      </c>
      <c r="BH59" s="323" t="str">
        <f t="shared" si="67"/>
        <v/>
      </c>
      <c r="BI59" s="323" t="str">
        <f t="shared" si="67"/>
        <v/>
      </c>
      <c r="BJ59" s="323" t="str">
        <f t="shared" si="67"/>
        <v/>
      </c>
      <c r="BK59" s="323" t="str">
        <f t="shared" si="67"/>
        <v/>
      </c>
      <c r="BL59" s="323" t="str">
        <f t="shared" si="67"/>
        <v/>
      </c>
      <c r="BM59" s="323" t="str">
        <f t="shared" si="67"/>
        <v/>
      </c>
      <c r="BN59" s="323" t="str">
        <f t="shared" si="67"/>
        <v/>
      </c>
      <c r="BO59" s="323" t="str">
        <f t="shared" si="67"/>
        <v/>
      </c>
      <c r="BP59" s="323" t="str">
        <f t="shared" si="67"/>
        <v/>
      </c>
      <c r="BQ59" s="323" t="str">
        <f t="shared" si="67"/>
        <v/>
      </c>
      <c r="BR59" s="323" t="str">
        <f t="shared" si="67"/>
        <v/>
      </c>
      <c r="BS59" s="323" t="str">
        <f t="shared" si="67"/>
        <v/>
      </c>
      <c r="BT59" s="323" t="str">
        <f t="shared" si="67"/>
        <v/>
      </c>
      <c r="BU59" s="323" t="str">
        <f t="shared" si="67"/>
        <v/>
      </c>
      <c r="BV59" s="323" t="str">
        <f t="shared" si="67"/>
        <v/>
      </c>
      <c r="BW59" s="323" t="str">
        <f t="shared" si="67"/>
        <v/>
      </c>
      <c r="BX59" s="323" t="str">
        <f t="shared" si="67"/>
        <v/>
      </c>
      <c r="BY59" s="323" t="str">
        <f t="shared" si="67"/>
        <v/>
      </c>
      <c r="BZ59" s="323" t="str">
        <f t="shared" si="67"/>
        <v/>
      </c>
      <c r="CA59" s="323" t="str">
        <f t="shared" si="67"/>
        <v/>
      </c>
      <c r="CB59" s="323" t="str">
        <f t="shared" si="67"/>
        <v/>
      </c>
      <c r="CC59" s="323" t="str">
        <f t="shared" si="67"/>
        <v/>
      </c>
      <c r="CD59" s="323" t="str">
        <f t="shared" si="67"/>
        <v/>
      </c>
      <c r="CE59" s="323" t="str">
        <f t="shared" si="67"/>
        <v/>
      </c>
      <c r="CF59" s="323" t="str">
        <f t="shared" si="67"/>
        <v/>
      </c>
      <c r="CG59" s="323" t="str">
        <f t="shared" si="67"/>
        <v/>
      </c>
      <c r="CH59" s="323" t="str">
        <f t="shared" si="67"/>
        <v/>
      </c>
      <c r="CI59" s="323" t="str">
        <f t="shared" si="67"/>
        <v/>
      </c>
      <c r="CJ59" s="323" t="str">
        <f t="shared" si="67"/>
        <v/>
      </c>
      <c r="CK59" s="323" t="str">
        <f t="shared" si="67"/>
        <v/>
      </c>
      <c r="CL59" s="323" t="str">
        <f t="shared" si="67"/>
        <v/>
      </c>
      <c r="CM59" s="323" t="str">
        <f t="shared" si="67"/>
        <v/>
      </c>
      <c r="CN59" s="323"/>
      <c r="CO59" s="323"/>
      <c r="CP59" s="323" t="str">
        <f t="shared" si="16"/>
        <v/>
      </c>
      <c r="CQ59" s="323"/>
      <c r="CR59" s="323"/>
      <c r="CS59" s="323"/>
      <c r="CT59" s="323"/>
      <c r="CU59" s="323"/>
      <c r="CV59" s="323"/>
      <c r="CW59" s="323"/>
      <c r="CX59" s="323"/>
      <c r="CY59" s="323"/>
      <c r="CZ59" s="323"/>
      <c r="DA59" s="323"/>
      <c r="DB59" s="323"/>
      <c r="DC59" s="323"/>
      <c r="DD59" s="323"/>
      <c r="DE59" s="323"/>
      <c r="DF59" s="323"/>
      <c r="DG59" s="323"/>
      <c r="DH59" s="323"/>
      <c r="DI59" s="323"/>
      <c r="DJ59" s="323"/>
      <c r="DK59" s="323"/>
      <c r="DL59" s="323"/>
      <c r="DM59" s="323"/>
      <c r="DN59" s="323"/>
      <c r="DO59" s="323"/>
      <c r="DP59" s="323"/>
      <c r="DQ59" s="323"/>
      <c r="DR59" s="323"/>
      <c r="DS59" s="323"/>
      <c r="DT59" s="323"/>
      <c r="DU59" s="323"/>
      <c r="DV59" s="323"/>
      <c r="DW59" s="323"/>
      <c r="DX59" s="323"/>
      <c r="DY59" s="323"/>
      <c r="DZ59" s="323"/>
      <c r="EA59" s="323"/>
      <c r="EB59" s="323"/>
      <c r="EC59" s="323"/>
      <c r="ED59" s="323"/>
      <c r="EE59" s="323"/>
      <c r="EF59" s="323"/>
      <c r="EG59" s="323"/>
      <c r="EH59" s="323"/>
      <c r="EI59" s="323"/>
      <c r="EJ59" s="323"/>
      <c r="EK59" s="323"/>
      <c r="EL59" s="323"/>
      <c r="EM59" s="323"/>
      <c r="EN59" s="323"/>
      <c r="EO59" s="323"/>
      <c r="EP59" s="323"/>
      <c r="EQ59" s="323"/>
      <c r="ER59" s="323"/>
      <c r="ES59" s="323"/>
      <c r="ET59" s="323"/>
      <c r="EU59" s="323"/>
      <c r="EV59" s="323"/>
      <c r="EW59" s="323"/>
      <c r="EX59" s="323"/>
      <c r="EY59" s="323"/>
      <c r="EZ59" s="323"/>
      <c r="FA59" s="323"/>
      <c r="FB59" s="323"/>
      <c r="FC59" s="323"/>
      <c r="FD59" s="323"/>
      <c r="FE59" s="323"/>
      <c r="FF59" s="323"/>
      <c r="FG59" s="323"/>
      <c r="FH59" s="323"/>
      <c r="FI59" s="323"/>
      <c r="FJ59" s="323"/>
      <c r="FK59" s="323"/>
      <c r="FL59" s="323"/>
      <c r="FM59" s="323"/>
      <c r="FN59" s="323"/>
      <c r="FO59" s="323"/>
      <c r="FP59" s="323"/>
      <c r="FQ59" s="323"/>
      <c r="FR59" s="323"/>
      <c r="FS59" s="323"/>
      <c r="FT59" s="323"/>
      <c r="FU59" s="323"/>
      <c r="FV59" s="323"/>
      <c r="FW59" s="323"/>
      <c r="FX59" s="323"/>
    </row>
    <row r="60" ht="15.75" customHeight="1">
      <c r="A60" s="44">
        <v>55.0</v>
      </c>
      <c r="B60" s="27"/>
      <c r="C60" s="44"/>
      <c r="D60" s="44"/>
      <c r="E60" s="330"/>
      <c r="F60" s="47"/>
      <c r="G60" s="47"/>
      <c r="H60" s="47"/>
      <c r="I60" s="26"/>
      <c r="J60" s="323" t="str">
        <f t="shared" ref="J60:CM60" si="68">IF(AND($I60="Yes",J$2=$H60),"♦","")</f>
        <v/>
      </c>
      <c r="K60" s="323" t="str">
        <f t="shared" si="68"/>
        <v/>
      </c>
      <c r="L60" s="323" t="str">
        <f t="shared" si="68"/>
        <v/>
      </c>
      <c r="M60" s="323" t="str">
        <f t="shared" si="68"/>
        <v/>
      </c>
      <c r="N60" s="323" t="str">
        <f t="shared" si="68"/>
        <v/>
      </c>
      <c r="O60" s="323" t="str">
        <f t="shared" si="68"/>
        <v/>
      </c>
      <c r="P60" s="323" t="str">
        <f t="shared" si="68"/>
        <v/>
      </c>
      <c r="Q60" s="323" t="str">
        <f t="shared" si="68"/>
        <v/>
      </c>
      <c r="R60" s="323" t="str">
        <f t="shared" si="68"/>
        <v/>
      </c>
      <c r="S60" s="323" t="str">
        <f t="shared" si="68"/>
        <v/>
      </c>
      <c r="T60" s="323" t="str">
        <f t="shared" si="68"/>
        <v/>
      </c>
      <c r="U60" s="323" t="str">
        <f t="shared" si="68"/>
        <v/>
      </c>
      <c r="V60" s="323" t="str">
        <f t="shared" si="68"/>
        <v/>
      </c>
      <c r="W60" s="323" t="str">
        <f t="shared" si="68"/>
        <v/>
      </c>
      <c r="X60" s="323" t="str">
        <f t="shared" si="68"/>
        <v/>
      </c>
      <c r="Y60" s="323" t="str">
        <f t="shared" si="68"/>
        <v/>
      </c>
      <c r="Z60" s="323" t="str">
        <f t="shared" si="68"/>
        <v/>
      </c>
      <c r="AA60" s="323" t="str">
        <f t="shared" si="68"/>
        <v/>
      </c>
      <c r="AB60" s="323" t="str">
        <f t="shared" si="68"/>
        <v/>
      </c>
      <c r="AC60" s="323" t="str">
        <f t="shared" si="68"/>
        <v/>
      </c>
      <c r="AD60" s="323" t="str">
        <f t="shared" si="68"/>
        <v/>
      </c>
      <c r="AE60" s="323" t="str">
        <f t="shared" si="68"/>
        <v/>
      </c>
      <c r="AF60" s="323" t="str">
        <f t="shared" si="68"/>
        <v/>
      </c>
      <c r="AG60" s="323" t="str">
        <f t="shared" si="68"/>
        <v/>
      </c>
      <c r="AH60" s="323" t="str">
        <f t="shared" si="68"/>
        <v/>
      </c>
      <c r="AI60" s="323" t="str">
        <f t="shared" si="68"/>
        <v/>
      </c>
      <c r="AJ60" s="323" t="str">
        <f t="shared" si="68"/>
        <v/>
      </c>
      <c r="AK60" s="323" t="str">
        <f t="shared" si="68"/>
        <v/>
      </c>
      <c r="AL60" s="323" t="str">
        <f t="shared" si="68"/>
        <v/>
      </c>
      <c r="AM60" s="323" t="str">
        <f t="shared" si="68"/>
        <v/>
      </c>
      <c r="AN60" s="323" t="str">
        <f t="shared" si="68"/>
        <v/>
      </c>
      <c r="AO60" s="323" t="str">
        <f t="shared" si="68"/>
        <v/>
      </c>
      <c r="AP60" s="323" t="str">
        <f t="shared" si="68"/>
        <v/>
      </c>
      <c r="AQ60" s="323" t="str">
        <f t="shared" si="68"/>
        <v/>
      </c>
      <c r="AR60" s="323" t="str">
        <f t="shared" si="68"/>
        <v/>
      </c>
      <c r="AS60" s="323" t="str">
        <f t="shared" si="68"/>
        <v/>
      </c>
      <c r="AT60" s="323" t="str">
        <f t="shared" si="68"/>
        <v/>
      </c>
      <c r="AU60" s="323" t="str">
        <f t="shared" si="68"/>
        <v/>
      </c>
      <c r="AV60" s="323" t="str">
        <f t="shared" si="68"/>
        <v/>
      </c>
      <c r="AW60" s="323" t="str">
        <f t="shared" si="68"/>
        <v/>
      </c>
      <c r="AX60" s="323" t="str">
        <f t="shared" si="68"/>
        <v/>
      </c>
      <c r="AY60" s="323" t="str">
        <f t="shared" si="68"/>
        <v/>
      </c>
      <c r="AZ60" s="323" t="str">
        <f t="shared" si="68"/>
        <v/>
      </c>
      <c r="BA60" s="323" t="str">
        <f t="shared" si="68"/>
        <v/>
      </c>
      <c r="BB60" s="323" t="str">
        <f t="shared" si="68"/>
        <v/>
      </c>
      <c r="BC60" s="323" t="str">
        <f t="shared" si="68"/>
        <v/>
      </c>
      <c r="BD60" s="323" t="str">
        <f t="shared" si="68"/>
        <v/>
      </c>
      <c r="BE60" s="323" t="str">
        <f t="shared" si="68"/>
        <v/>
      </c>
      <c r="BF60" s="323" t="str">
        <f t="shared" si="68"/>
        <v/>
      </c>
      <c r="BG60" s="323" t="str">
        <f t="shared" si="68"/>
        <v/>
      </c>
      <c r="BH60" s="323" t="str">
        <f t="shared" si="68"/>
        <v/>
      </c>
      <c r="BI60" s="323" t="str">
        <f t="shared" si="68"/>
        <v/>
      </c>
      <c r="BJ60" s="323" t="str">
        <f t="shared" si="68"/>
        <v/>
      </c>
      <c r="BK60" s="323" t="str">
        <f t="shared" si="68"/>
        <v/>
      </c>
      <c r="BL60" s="323" t="str">
        <f t="shared" si="68"/>
        <v/>
      </c>
      <c r="BM60" s="323" t="str">
        <f t="shared" si="68"/>
        <v/>
      </c>
      <c r="BN60" s="323" t="str">
        <f t="shared" si="68"/>
        <v/>
      </c>
      <c r="BO60" s="323" t="str">
        <f t="shared" si="68"/>
        <v/>
      </c>
      <c r="BP60" s="323" t="str">
        <f t="shared" si="68"/>
        <v/>
      </c>
      <c r="BQ60" s="323" t="str">
        <f t="shared" si="68"/>
        <v/>
      </c>
      <c r="BR60" s="323" t="str">
        <f t="shared" si="68"/>
        <v/>
      </c>
      <c r="BS60" s="323" t="str">
        <f t="shared" si="68"/>
        <v/>
      </c>
      <c r="BT60" s="323" t="str">
        <f t="shared" si="68"/>
        <v/>
      </c>
      <c r="BU60" s="323" t="str">
        <f t="shared" si="68"/>
        <v/>
      </c>
      <c r="BV60" s="323" t="str">
        <f t="shared" si="68"/>
        <v/>
      </c>
      <c r="BW60" s="323" t="str">
        <f t="shared" si="68"/>
        <v/>
      </c>
      <c r="BX60" s="323" t="str">
        <f t="shared" si="68"/>
        <v/>
      </c>
      <c r="BY60" s="323" t="str">
        <f t="shared" si="68"/>
        <v/>
      </c>
      <c r="BZ60" s="323" t="str">
        <f t="shared" si="68"/>
        <v/>
      </c>
      <c r="CA60" s="323" t="str">
        <f t="shared" si="68"/>
        <v/>
      </c>
      <c r="CB60" s="323" t="str">
        <f t="shared" si="68"/>
        <v/>
      </c>
      <c r="CC60" s="323" t="str">
        <f t="shared" si="68"/>
        <v/>
      </c>
      <c r="CD60" s="323" t="str">
        <f t="shared" si="68"/>
        <v/>
      </c>
      <c r="CE60" s="323" t="str">
        <f t="shared" si="68"/>
        <v/>
      </c>
      <c r="CF60" s="323" t="str">
        <f t="shared" si="68"/>
        <v/>
      </c>
      <c r="CG60" s="323" t="str">
        <f t="shared" si="68"/>
        <v/>
      </c>
      <c r="CH60" s="323" t="str">
        <f t="shared" si="68"/>
        <v/>
      </c>
      <c r="CI60" s="323" t="str">
        <f t="shared" si="68"/>
        <v/>
      </c>
      <c r="CJ60" s="323" t="str">
        <f t="shared" si="68"/>
        <v/>
      </c>
      <c r="CK60" s="323" t="str">
        <f t="shared" si="68"/>
        <v/>
      </c>
      <c r="CL60" s="323" t="str">
        <f t="shared" si="68"/>
        <v/>
      </c>
      <c r="CM60" s="323" t="str">
        <f t="shared" si="68"/>
        <v/>
      </c>
      <c r="CN60" s="323"/>
      <c r="CO60" s="323"/>
      <c r="CP60" s="323" t="str">
        <f t="shared" si="16"/>
        <v/>
      </c>
      <c r="CQ60" s="323"/>
      <c r="CR60" s="323"/>
      <c r="CS60" s="323"/>
      <c r="CT60" s="323"/>
      <c r="CU60" s="323"/>
      <c r="CV60" s="323"/>
      <c r="CW60" s="323"/>
      <c r="CX60" s="323"/>
      <c r="CY60" s="323"/>
      <c r="CZ60" s="323"/>
      <c r="DA60" s="323"/>
      <c r="DB60" s="323"/>
      <c r="DC60" s="323"/>
      <c r="DD60" s="323"/>
      <c r="DE60" s="323"/>
      <c r="DF60" s="323"/>
      <c r="DG60" s="323"/>
      <c r="DH60" s="323"/>
      <c r="DI60" s="323"/>
      <c r="DJ60" s="323"/>
      <c r="DK60" s="323"/>
      <c r="DL60" s="323"/>
      <c r="DM60" s="323"/>
      <c r="DN60" s="323"/>
      <c r="DO60" s="323"/>
      <c r="DP60" s="323"/>
      <c r="DQ60" s="323"/>
      <c r="DR60" s="323"/>
      <c r="DS60" s="323"/>
      <c r="DT60" s="323"/>
      <c r="DU60" s="323"/>
      <c r="DV60" s="323"/>
      <c r="DW60" s="323"/>
      <c r="DX60" s="323"/>
      <c r="DY60" s="323"/>
      <c r="DZ60" s="323"/>
      <c r="EA60" s="323"/>
      <c r="EB60" s="323"/>
      <c r="EC60" s="323"/>
      <c r="ED60" s="323"/>
      <c r="EE60" s="323"/>
      <c r="EF60" s="323"/>
      <c r="EG60" s="323"/>
      <c r="EH60" s="323"/>
      <c r="EI60" s="323"/>
      <c r="EJ60" s="323"/>
      <c r="EK60" s="323"/>
      <c r="EL60" s="323"/>
      <c r="EM60" s="323"/>
      <c r="EN60" s="323"/>
      <c r="EO60" s="323"/>
      <c r="EP60" s="323"/>
      <c r="EQ60" s="323"/>
      <c r="ER60" s="323"/>
      <c r="ES60" s="323"/>
      <c r="ET60" s="323"/>
      <c r="EU60" s="323"/>
      <c r="EV60" s="323"/>
      <c r="EW60" s="323"/>
      <c r="EX60" s="323"/>
      <c r="EY60" s="323"/>
      <c r="EZ60" s="323"/>
      <c r="FA60" s="323"/>
      <c r="FB60" s="323"/>
      <c r="FC60" s="323"/>
      <c r="FD60" s="323"/>
      <c r="FE60" s="323"/>
      <c r="FF60" s="323"/>
      <c r="FG60" s="323"/>
      <c r="FH60" s="323"/>
      <c r="FI60" s="323"/>
      <c r="FJ60" s="323"/>
      <c r="FK60" s="323"/>
      <c r="FL60" s="323"/>
      <c r="FM60" s="323"/>
      <c r="FN60" s="323"/>
      <c r="FO60" s="323"/>
      <c r="FP60" s="323"/>
      <c r="FQ60" s="323"/>
      <c r="FR60" s="323"/>
      <c r="FS60" s="323"/>
      <c r="FT60" s="323"/>
      <c r="FU60" s="323"/>
      <c r="FV60" s="323"/>
      <c r="FW60" s="323"/>
      <c r="FX60" s="323"/>
    </row>
    <row r="61" ht="15.75" customHeight="1">
      <c r="A61" s="44">
        <v>56.0</v>
      </c>
      <c r="B61" s="27"/>
      <c r="C61" s="44"/>
      <c r="D61" s="44"/>
      <c r="E61" s="330"/>
      <c r="F61" s="47"/>
      <c r="G61" s="47"/>
      <c r="H61" s="47"/>
      <c r="I61" s="26"/>
      <c r="J61" s="323" t="str">
        <f t="shared" ref="J61:CM61" si="69">IF(AND($I61="Yes",J$2=$H61),"♦","")</f>
        <v/>
      </c>
      <c r="K61" s="323" t="str">
        <f t="shared" si="69"/>
        <v/>
      </c>
      <c r="L61" s="323" t="str">
        <f t="shared" si="69"/>
        <v/>
      </c>
      <c r="M61" s="323" t="str">
        <f t="shared" si="69"/>
        <v/>
      </c>
      <c r="N61" s="323" t="str">
        <f t="shared" si="69"/>
        <v/>
      </c>
      <c r="O61" s="323" t="str">
        <f t="shared" si="69"/>
        <v/>
      </c>
      <c r="P61" s="323" t="str">
        <f t="shared" si="69"/>
        <v/>
      </c>
      <c r="Q61" s="323" t="str">
        <f t="shared" si="69"/>
        <v/>
      </c>
      <c r="R61" s="323" t="str">
        <f t="shared" si="69"/>
        <v/>
      </c>
      <c r="S61" s="323" t="str">
        <f t="shared" si="69"/>
        <v/>
      </c>
      <c r="T61" s="323" t="str">
        <f t="shared" si="69"/>
        <v/>
      </c>
      <c r="U61" s="323" t="str">
        <f t="shared" si="69"/>
        <v/>
      </c>
      <c r="V61" s="323" t="str">
        <f t="shared" si="69"/>
        <v/>
      </c>
      <c r="W61" s="323" t="str">
        <f t="shared" si="69"/>
        <v/>
      </c>
      <c r="X61" s="323" t="str">
        <f t="shared" si="69"/>
        <v/>
      </c>
      <c r="Y61" s="323" t="str">
        <f t="shared" si="69"/>
        <v/>
      </c>
      <c r="Z61" s="323" t="str">
        <f t="shared" si="69"/>
        <v/>
      </c>
      <c r="AA61" s="323" t="str">
        <f t="shared" si="69"/>
        <v/>
      </c>
      <c r="AB61" s="323" t="str">
        <f t="shared" si="69"/>
        <v/>
      </c>
      <c r="AC61" s="323" t="str">
        <f t="shared" si="69"/>
        <v/>
      </c>
      <c r="AD61" s="323" t="str">
        <f t="shared" si="69"/>
        <v/>
      </c>
      <c r="AE61" s="323" t="str">
        <f t="shared" si="69"/>
        <v/>
      </c>
      <c r="AF61" s="323" t="str">
        <f t="shared" si="69"/>
        <v/>
      </c>
      <c r="AG61" s="323" t="str">
        <f t="shared" si="69"/>
        <v/>
      </c>
      <c r="AH61" s="323" t="str">
        <f t="shared" si="69"/>
        <v/>
      </c>
      <c r="AI61" s="323" t="str">
        <f t="shared" si="69"/>
        <v/>
      </c>
      <c r="AJ61" s="323" t="str">
        <f t="shared" si="69"/>
        <v/>
      </c>
      <c r="AK61" s="323" t="str">
        <f t="shared" si="69"/>
        <v/>
      </c>
      <c r="AL61" s="323" t="str">
        <f t="shared" si="69"/>
        <v/>
      </c>
      <c r="AM61" s="323" t="str">
        <f t="shared" si="69"/>
        <v/>
      </c>
      <c r="AN61" s="323" t="str">
        <f t="shared" si="69"/>
        <v/>
      </c>
      <c r="AO61" s="323" t="str">
        <f t="shared" si="69"/>
        <v/>
      </c>
      <c r="AP61" s="323" t="str">
        <f t="shared" si="69"/>
        <v/>
      </c>
      <c r="AQ61" s="323" t="str">
        <f t="shared" si="69"/>
        <v/>
      </c>
      <c r="AR61" s="323" t="str">
        <f t="shared" si="69"/>
        <v/>
      </c>
      <c r="AS61" s="323" t="str">
        <f t="shared" si="69"/>
        <v/>
      </c>
      <c r="AT61" s="323" t="str">
        <f t="shared" si="69"/>
        <v/>
      </c>
      <c r="AU61" s="323" t="str">
        <f t="shared" si="69"/>
        <v/>
      </c>
      <c r="AV61" s="323" t="str">
        <f t="shared" si="69"/>
        <v/>
      </c>
      <c r="AW61" s="323" t="str">
        <f t="shared" si="69"/>
        <v/>
      </c>
      <c r="AX61" s="323" t="str">
        <f t="shared" si="69"/>
        <v/>
      </c>
      <c r="AY61" s="323" t="str">
        <f t="shared" si="69"/>
        <v/>
      </c>
      <c r="AZ61" s="323" t="str">
        <f t="shared" si="69"/>
        <v/>
      </c>
      <c r="BA61" s="323" t="str">
        <f t="shared" si="69"/>
        <v/>
      </c>
      <c r="BB61" s="323" t="str">
        <f t="shared" si="69"/>
        <v/>
      </c>
      <c r="BC61" s="323" t="str">
        <f t="shared" si="69"/>
        <v/>
      </c>
      <c r="BD61" s="323" t="str">
        <f t="shared" si="69"/>
        <v/>
      </c>
      <c r="BE61" s="323" t="str">
        <f t="shared" si="69"/>
        <v/>
      </c>
      <c r="BF61" s="323" t="str">
        <f t="shared" si="69"/>
        <v/>
      </c>
      <c r="BG61" s="323" t="str">
        <f t="shared" si="69"/>
        <v/>
      </c>
      <c r="BH61" s="323" t="str">
        <f t="shared" si="69"/>
        <v/>
      </c>
      <c r="BI61" s="323" t="str">
        <f t="shared" si="69"/>
        <v/>
      </c>
      <c r="BJ61" s="323" t="str">
        <f t="shared" si="69"/>
        <v/>
      </c>
      <c r="BK61" s="323" t="str">
        <f t="shared" si="69"/>
        <v/>
      </c>
      <c r="BL61" s="323" t="str">
        <f t="shared" si="69"/>
        <v/>
      </c>
      <c r="BM61" s="323" t="str">
        <f t="shared" si="69"/>
        <v/>
      </c>
      <c r="BN61" s="323" t="str">
        <f t="shared" si="69"/>
        <v/>
      </c>
      <c r="BO61" s="323" t="str">
        <f t="shared" si="69"/>
        <v/>
      </c>
      <c r="BP61" s="323" t="str">
        <f t="shared" si="69"/>
        <v/>
      </c>
      <c r="BQ61" s="323" t="str">
        <f t="shared" si="69"/>
        <v/>
      </c>
      <c r="BR61" s="323" t="str">
        <f t="shared" si="69"/>
        <v/>
      </c>
      <c r="BS61" s="323" t="str">
        <f t="shared" si="69"/>
        <v/>
      </c>
      <c r="BT61" s="323" t="str">
        <f t="shared" si="69"/>
        <v/>
      </c>
      <c r="BU61" s="323" t="str">
        <f t="shared" si="69"/>
        <v/>
      </c>
      <c r="BV61" s="323" t="str">
        <f t="shared" si="69"/>
        <v/>
      </c>
      <c r="BW61" s="323" t="str">
        <f t="shared" si="69"/>
        <v/>
      </c>
      <c r="BX61" s="323" t="str">
        <f t="shared" si="69"/>
        <v/>
      </c>
      <c r="BY61" s="323" t="str">
        <f t="shared" si="69"/>
        <v/>
      </c>
      <c r="BZ61" s="323" t="str">
        <f t="shared" si="69"/>
        <v/>
      </c>
      <c r="CA61" s="323" t="str">
        <f t="shared" si="69"/>
        <v/>
      </c>
      <c r="CB61" s="323" t="str">
        <f t="shared" si="69"/>
        <v/>
      </c>
      <c r="CC61" s="323" t="str">
        <f t="shared" si="69"/>
        <v/>
      </c>
      <c r="CD61" s="323" t="str">
        <f t="shared" si="69"/>
        <v/>
      </c>
      <c r="CE61" s="323" t="str">
        <f t="shared" si="69"/>
        <v/>
      </c>
      <c r="CF61" s="323" t="str">
        <f t="shared" si="69"/>
        <v/>
      </c>
      <c r="CG61" s="323" t="str">
        <f t="shared" si="69"/>
        <v/>
      </c>
      <c r="CH61" s="323" t="str">
        <f t="shared" si="69"/>
        <v/>
      </c>
      <c r="CI61" s="323" t="str">
        <f t="shared" si="69"/>
        <v/>
      </c>
      <c r="CJ61" s="323" t="str">
        <f t="shared" si="69"/>
        <v/>
      </c>
      <c r="CK61" s="323" t="str">
        <f t="shared" si="69"/>
        <v/>
      </c>
      <c r="CL61" s="323" t="str">
        <f t="shared" si="69"/>
        <v/>
      </c>
      <c r="CM61" s="323" t="str">
        <f t="shared" si="69"/>
        <v/>
      </c>
      <c r="CN61" s="323"/>
      <c r="CO61" s="323"/>
      <c r="CP61" s="323" t="str">
        <f t="shared" si="16"/>
        <v/>
      </c>
      <c r="CQ61" s="323"/>
      <c r="CR61" s="323"/>
      <c r="CS61" s="323"/>
      <c r="CT61" s="323"/>
      <c r="CU61" s="323"/>
      <c r="CV61" s="323"/>
      <c r="CW61" s="323"/>
      <c r="CX61" s="323"/>
      <c r="CY61" s="323"/>
      <c r="CZ61" s="323"/>
      <c r="DA61" s="323"/>
      <c r="DB61" s="323"/>
      <c r="DC61" s="323"/>
      <c r="DD61" s="323"/>
      <c r="DE61" s="323"/>
      <c r="DF61" s="323"/>
      <c r="DG61" s="323"/>
      <c r="DH61" s="323"/>
      <c r="DI61" s="323"/>
      <c r="DJ61" s="323"/>
      <c r="DK61" s="323"/>
      <c r="DL61" s="323"/>
      <c r="DM61" s="323"/>
      <c r="DN61" s="323"/>
      <c r="DO61" s="323"/>
      <c r="DP61" s="323"/>
      <c r="DQ61" s="323"/>
      <c r="DR61" s="323"/>
      <c r="DS61" s="323"/>
      <c r="DT61" s="323"/>
      <c r="DU61" s="323"/>
      <c r="DV61" s="323"/>
      <c r="DW61" s="323"/>
      <c r="DX61" s="323"/>
      <c r="DY61" s="323"/>
      <c r="DZ61" s="323"/>
      <c r="EA61" s="323"/>
      <c r="EB61" s="323"/>
      <c r="EC61" s="323"/>
      <c r="ED61" s="323"/>
      <c r="EE61" s="323"/>
      <c r="EF61" s="323"/>
      <c r="EG61" s="323"/>
      <c r="EH61" s="323"/>
      <c r="EI61" s="323"/>
      <c r="EJ61" s="323"/>
      <c r="EK61" s="323"/>
      <c r="EL61" s="323"/>
      <c r="EM61" s="323"/>
      <c r="EN61" s="323"/>
      <c r="EO61" s="323"/>
      <c r="EP61" s="323"/>
      <c r="EQ61" s="323"/>
      <c r="ER61" s="323"/>
      <c r="ES61" s="323"/>
      <c r="ET61" s="323"/>
      <c r="EU61" s="323"/>
      <c r="EV61" s="323"/>
      <c r="EW61" s="323"/>
      <c r="EX61" s="323"/>
      <c r="EY61" s="323"/>
      <c r="EZ61" s="323"/>
      <c r="FA61" s="323"/>
      <c r="FB61" s="323"/>
      <c r="FC61" s="323"/>
      <c r="FD61" s="323"/>
      <c r="FE61" s="323"/>
      <c r="FF61" s="323"/>
      <c r="FG61" s="323"/>
      <c r="FH61" s="323"/>
      <c r="FI61" s="323"/>
      <c r="FJ61" s="323"/>
      <c r="FK61" s="323"/>
      <c r="FL61" s="323"/>
      <c r="FM61" s="323"/>
      <c r="FN61" s="323"/>
      <c r="FO61" s="323"/>
      <c r="FP61" s="323"/>
      <c r="FQ61" s="323"/>
      <c r="FR61" s="323"/>
      <c r="FS61" s="323"/>
      <c r="FT61" s="323"/>
      <c r="FU61" s="323"/>
      <c r="FV61" s="323"/>
      <c r="FW61" s="323"/>
      <c r="FX61" s="323"/>
    </row>
    <row r="62" ht="15.75" customHeight="1">
      <c r="A62" s="44">
        <v>57.0</v>
      </c>
      <c r="B62" s="27"/>
      <c r="C62" s="44"/>
      <c r="D62" s="44"/>
      <c r="E62" s="330"/>
      <c r="F62" s="47"/>
      <c r="G62" s="47"/>
      <c r="H62" s="47"/>
      <c r="I62" s="26"/>
      <c r="J62" s="323" t="str">
        <f t="shared" ref="J62:CM62" si="70">IF(AND($I62="Yes",J$2=$H62),"♦","")</f>
        <v/>
      </c>
      <c r="K62" s="323" t="str">
        <f t="shared" si="70"/>
        <v/>
      </c>
      <c r="L62" s="323" t="str">
        <f t="shared" si="70"/>
        <v/>
      </c>
      <c r="M62" s="323" t="str">
        <f t="shared" si="70"/>
        <v/>
      </c>
      <c r="N62" s="323" t="str">
        <f t="shared" si="70"/>
        <v/>
      </c>
      <c r="O62" s="323" t="str">
        <f t="shared" si="70"/>
        <v/>
      </c>
      <c r="P62" s="323" t="str">
        <f t="shared" si="70"/>
        <v/>
      </c>
      <c r="Q62" s="323" t="str">
        <f t="shared" si="70"/>
        <v/>
      </c>
      <c r="R62" s="323" t="str">
        <f t="shared" si="70"/>
        <v/>
      </c>
      <c r="S62" s="323" t="str">
        <f t="shared" si="70"/>
        <v/>
      </c>
      <c r="T62" s="323" t="str">
        <f t="shared" si="70"/>
        <v/>
      </c>
      <c r="U62" s="323" t="str">
        <f t="shared" si="70"/>
        <v/>
      </c>
      <c r="V62" s="323" t="str">
        <f t="shared" si="70"/>
        <v/>
      </c>
      <c r="W62" s="323" t="str">
        <f t="shared" si="70"/>
        <v/>
      </c>
      <c r="X62" s="323" t="str">
        <f t="shared" si="70"/>
        <v/>
      </c>
      <c r="Y62" s="323" t="str">
        <f t="shared" si="70"/>
        <v/>
      </c>
      <c r="Z62" s="323" t="str">
        <f t="shared" si="70"/>
        <v/>
      </c>
      <c r="AA62" s="323" t="str">
        <f t="shared" si="70"/>
        <v/>
      </c>
      <c r="AB62" s="323" t="str">
        <f t="shared" si="70"/>
        <v/>
      </c>
      <c r="AC62" s="323" t="str">
        <f t="shared" si="70"/>
        <v/>
      </c>
      <c r="AD62" s="323" t="str">
        <f t="shared" si="70"/>
        <v/>
      </c>
      <c r="AE62" s="323" t="str">
        <f t="shared" si="70"/>
        <v/>
      </c>
      <c r="AF62" s="323" t="str">
        <f t="shared" si="70"/>
        <v/>
      </c>
      <c r="AG62" s="323" t="str">
        <f t="shared" si="70"/>
        <v/>
      </c>
      <c r="AH62" s="323" t="str">
        <f t="shared" si="70"/>
        <v/>
      </c>
      <c r="AI62" s="323" t="str">
        <f t="shared" si="70"/>
        <v/>
      </c>
      <c r="AJ62" s="323" t="str">
        <f t="shared" si="70"/>
        <v/>
      </c>
      <c r="AK62" s="323" t="str">
        <f t="shared" si="70"/>
        <v/>
      </c>
      <c r="AL62" s="323" t="str">
        <f t="shared" si="70"/>
        <v/>
      </c>
      <c r="AM62" s="323" t="str">
        <f t="shared" si="70"/>
        <v/>
      </c>
      <c r="AN62" s="323" t="str">
        <f t="shared" si="70"/>
        <v/>
      </c>
      <c r="AO62" s="323" t="str">
        <f t="shared" si="70"/>
        <v/>
      </c>
      <c r="AP62" s="323" t="str">
        <f t="shared" si="70"/>
        <v/>
      </c>
      <c r="AQ62" s="323" t="str">
        <f t="shared" si="70"/>
        <v/>
      </c>
      <c r="AR62" s="323" t="str">
        <f t="shared" si="70"/>
        <v/>
      </c>
      <c r="AS62" s="323" t="str">
        <f t="shared" si="70"/>
        <v/>
      </c>
      <c r="AT62" s="323" t="str">
        <f t="shared" si="70"/>
        <v/>
      </c>
      <c r="AU62" s="323" t="str">
        <f t="shared" si="70"/>
        <v/>
      </c>
      <c r="AV62" s="323" t="str">
        <f t="shared" si="70"/>
        <v/>
      </c>
      <c r="AW62" s="323" t="str">
        <f t="shared" si="70"/>
        <v/>
      </c>
      <c r="AX62" s="323" t="str">
        <f t="shared" si="70"/>
        <v/>
      </c>
      <c r="AY62" s="323" t="str">
        <f t="shared" si="70"/>
        <v/>
      </c>
      <c r="AZ62" s="323" t="str">
        <f t="shared" si="70"/>
        <v/>
      </c>
      <c r="BA62" s="323" t="str">
        <f t="shared" si="70"/>
        <v/>
      </c>
      <c r="BB62" s="323" t="str">
        <f t="shared" si="70"/>
        <v/>
      </c>
      <c r="BC62" s="323" t="str">
        <f t="shared" si="70"/>
        <v/>
      </c>
      <c r="BD62" s="323" t="str">
        <f t="shared" si="70"/>
        <v/>
      </c>
      <c r="BE62" s="323" t="str">
        <f t="shared" si="70"/>
        <v/>
      </c>
      <c r="BF62" s="323" t="str">
        <f t="shared" si="70"/>
        <v/>
      </c>
      <c r="BG62" s="323" t="str">
        <f t="shared" si="70"/>
        <v/>
      </c>
      <c r="BH62" s="323" t="str">
        <f t="shared" si="70"/>
        <v/>
      </c>
      <c r="BI62" s="323" t="str">
        <f t="shared" si="70"/>
        <v/>
      </c>
      <c r="BJ62" s="323" t="str">
        <f t="shared" si="70"/>
        <v/>
      </c>
      <c r="BK62" s="323" t="str">
        <f t="shared" si="70"/>
        <v/>
      </c>
      <c r="BL62" s="323" t="str">
        <f t="shared" si="70"/>
        <v/>
      </c>
      <c r="BM62" s="323" t="str">
        <f t="shared" si="70"/>
        <v/>
      </c>
      <c r="BN62" s="323" t="str">
        <f t="shared" si="70"/>
        <v/>
      </c>
      <c r="BO62" s="323" t="str">
        <f t="shared" si="70"/>
        <v/>
      </c>
      <c r="BP62" s="323" t="str">
        <f t="shared" si="70"/>
        <v/>
      </c>
      <c r="BQ62" s="323" t="str">
        <f t="shared" si="70"/>
        <v/>
      </c>
      <c r="BR62" s="323" t="str">
        <f t="shared" si="70"/>
        <v/>
      </c>
      <c r="BS62" s="323" t="str">
        <f t="shared" si="70"/>
        <v/>
      </c>
      <c r="BT62" s="323" t="str">
        <f t="shared" si="70"/>
        <v/>
      </c>
      <c r="BU62" s="323" t="str">
        <f t="shared" si="70"/>
        <v/>
      </c>
      <c r="BV62" s="323" t="str">
        <f t="shared" si="70"/>
        <v/>
      </c>
      <c r="BW62" s="323" t="str">
        <f t="shared" si="70"/>
        <v/>
      </c>
      <c r="BX62" s="323" t="str">
        <f t="shared" si="70"/>
        <v/>
      </c>
      <c r="BY62" s="323" t="str">
        <f t="shared" si="70"/>
        <v/>
      </c>
      <c r="BZ62" s="323" t="str">
        <f t="shared" si="70"/>
        <v/>
      </c>
      <c r="CA62" s="323" t="str">
        <f t="shared" si="70"/>
        <v/>
      </c>
      <c r="CB62" s="323" t="str">
        <f t="shared" si="70"/>
        <v/>
      </c>
      <c r="CC62" s="323" t="str">
        <f t="shared" si="70"/>
        <v/>
      </c>
      <c r="CD62" s="323" t="str">
        <f t="shared" si="70"/>
        <v/>
      </c>
      <c r="CE62" s="323" t="str">
        <f t="shared" si="70"/>
        <v/>
      </c>
      <c r="CF62" s="323" t="str">
        <f t="shared" si="70"/>
        <v/>
      </c>
      <c r="CG62" s="323" t="str">
        <f t="shared" si="70"/>
        <v/>
      </c>
      <c r="CH62" s="323" t="str">
        <f t="shared" si="70"/>
        <v/>
      </c>
      <c r="CI62" s="323" t="str">
        <f t="shared" si="70"/>
        <v/>
      </c>
      <c r="CJ62" s="323" t="str">
        <f t="shared" si="70"/>
        <v/>
      </c>
      <c r="CK62" s="323" t="str">
        <f t="shared" si="70"/>
        <v/>
      </c>
      <c r="CL62" s="323" t="str">
        <f t="shared" si="70"/>
        <v/>
      </c>
      <c r="CM62" s="323" t="str">
        <f t="shared" si="70"/>
        <v/>
      </c>
      <c r="CN62" s="323"/>
      <c r="CO62" s="323"/>
      <c r="CP62" s="323" t="str">
        <f t="shared" si="16"/>
        <v/>
      </c>
      <c r="CQ62" s="323"/>
      <c r="CR62" s="323"/>
      <c r="CS62" s="323"/>
      <c r="CT62" s="323"/>
      <c r="CU62" s="323"/>
      <c r="CV62" s="323"/>
      <c r="CW62" s="323"/>
      <c r="CX62" s="323"/>
      <c r="CY62" s="323"/>
      <c r="CZ62" s="323"/>
      <c r="DA62" s="323"/>
      <c r="DB62" s="323"/>
      <c r="DC62" s="323"/>
      <c r="DD62" s="323"/>
      <c r="DE62" s="323"/>
      <c r="DF62" s="323"/>
      <c r="DG62" s="323"/>
      <c r="DH62" s="323"/>
      <c r="DI62" s="323"/>
      <c r="DJ62" s="323"/>
      <c r="DK62" s="323"/>
      <c r="DL62" s="323"/>
      <c r="DM62" s="323"/>
      <c r="DN62" s="323"/>
      <c r="DO62" s="323"/>
      <c r="DP62" s="323"/>
      <c r="DQ62" s="323"/>
      <c r="DR62" s="323"/>
      <c r="DS62" s="323"/>
      <c r="DT62" s="323"/>
      <c r="DU62" s="323"/>
      <c r="DV62" s="323"/>
      <c r="DW62" s="323"/>
      <c r="DX62" s="323"/>
      <c r="DY62" s="323"/>
      <c r="DZ62" s="323"/>
      <c r="EA62" s="323"/>
      <c r="EB62" s="323"/>
      <c r="EC62" s="323"/>
      <c r="ED62" s="323"/>
      <c r="EE62" s="323"/>
      <c r="EF62" s="323"/>
      <c r="EG62" s="323"/>
      <c r="EH62" s="323"/>
      <c r="EI62" s="323"/>
      <c r="EJ62" s="323"/>
      <c r="EK62" s="323"/>
      <c r="EL62" s="323"/>
      <c r="EM62" s="323"/>
      <c r="EN62" s="323"/>
      <c r="EO62" s="323"/>
      <c r="EP62" s="323"/>
      <c r="EQ62" s="323"/>
      <c r="ER62" s="323"/>
      <c r="ES62" s="323"/>
      <c r="ET62" s="323"/>
      <c r="EU62" s="323"/>
      <c r="EV62" s="323"/>
      <c r="EW62" s="323"/>
      <c r="EX62" s="323"/>
      <c r="EY62" s="323"/>
      <c r="EZ62" s="323"/>
      <c r="FA62" s="323"/>
      <c r="FB62" s="323"/>
      <c r="FC62" s="323"/>
      <c r="FD62" s="323"/>
      <c r="FE62" s="323"/>
      <c r="FF62" s="323"/>
      <c r="FG62" s="323"/>
      <c r="FH62" s="323"/>
      <c r="FI62" s="323"/>
      <c r="FJ62" s="323"/>
      <c r="FK62" s="323"/>
      <c r="FL62" s="323"/>
      <c r="FM62" s="323"/>
      <c r="FN62" s="323"/>
      <c r="FO62" s="323"/>
      <c r="FP62" s="323"/>
      <c r="FQ62" s="323"/>
      <c r="FR62" s="323"/>
      <c r="FS62" s="323"/>
      <c r="FT62" s="323"/>
      <c r="FU62" s="323"/>
      <c r="FV62" s="323"/>
      <c r="FW62" s="323"/>
      <c r="FX62" s="323"/>
    </row>
    <row r="63" ht="15.75" customHeight="1">
      <c r="A63" s="44">
        <v>58.0</v>
      </c>
      <c r="B63" s="27"/>
      <c r="C63" s="44"/>
      <c r="D63" s="44"/>
      <c r="E63" s="330"/>
      <c r="F63" s="47"/>
      <c r="G63" s="47"/>
      <c r="H63" s="47"/>
      <c r="I63" s="26"/>
      <c r="J63" s="323" t="str">
        <f t="shared" ref="J63:CM63" si="71">IF(AND($I63="Yes",J$2=$H63),"♦","")</f>
        <v/>
      </c>
      <c r="K63" s="323" t="str">
        <f t="shared" si="71"/>
        <v/>
      </c>
      <c r="L63" s="323" t="str">
        <f t="shared" si="71"/>
        <v/>
      </c>
      <c r="M63" s="323" t="str">
        <f t="shared" si="71"/>
        <v/>
      </c>
      <c r="N63" s="323" t="str">
        <f t="shared" si="71"/>
        <v/>
      </c>
      <c r="O63" s="323" t="str">
        <f t="shared" si="71"/>
        <v/>
      </c>
      <c r="P63" s="323" t="str">
        <f t="shared" si="71"/>
        <v/>
      </c>
      <c r="Q63" s="323" t="str">
        <f t="shared" si="71"/>
        <v/>
      </c>
      <c r="R63" s="323" t="str">
        <f t="shared" si="71"/>
        <v/>
      </c>
      <c r="S63" s="323" t="str">
        <f t="shared" si="71"/>
        <v/>
      </c>
      <c r="T63" s="323" t="str">
        <f t="shared" si="71"/>
        <v/>
      </c>
      <c r="U63" s="323" t="str">
        <f t="shared" si="71"/>
        <v/>
      </c>
      <c r="V63" s="323" t="str">
        <f t="shared" si="71"/>
        <v/>
      </c>
      <c r="W63" s="323" t="str">
        <f t="shared" si="71"/>
        <v/>
      </c>
      <c r="X63" s="323" t="str">
        <f t="shared" si="71"/>
        <v/>
      </c>
      <c r="Y63" s="323" t="str">
        <f t="shared" si="71"/>
        <v/>
      </c>
      <c r="Z63" s="323" t="str">
        <f t="shared" si="71"/>
        <v/>
      </c>
      <c r="AA63" s="323" t="str">
        <f t="shared" si="71"/>
        <v/>
      </c>
      <c r="AB63" s="323" t="str">
        <f t="shared" si="71"/>
        <v/>
      </c>
      <c r="AC63" s="323" t="str">
        <f t="shared" si="71"/>
        <v/>
      </c>
      <c r="AD63" s="323" t="str">
        <f t="shared" si="71"/>
        <v/>
      </c>
      <c r="AE63" s="323" t="str">
        <f t="shared" si="71"/>
        <v/>
      </c>
      <c r="AF63" s="323" t="str">
        <f t="shared" si="71"/>
        <v/>
      </c>
      <c r="AG63" s="323" t="str">
        <f t="shared" si="71"/>
        <v/>
      </c>
      <c r="AH63" s="323" t="str">
        <f t="shared" si="71"/>
        <v/>
      </c>
      <c r="AI63" s="323" t="str">
        <f t="shared" si="71"/>
        <v/>
      </c>
      <c r="AJ63" s="323" t="str">
        <f t="shared" si="71"/>
        <v/>
      </c>
      <c r="AK63" s="323" t="str">
        <f t="shared" si="71"/>
        <v/>
      </c>
      <c r="AL63" s="323" t="str">
        <f t="shared" si="71"/>
        <v/>
      </c>
      <c r="AM63" s="323" t="str">
        <f t="shared" si="71"/>
        <v/>
      </c>
      <c r="AN63" s="323" t="str">
        <f t="shared" si="71"/>
        <v/>
      </c>
      <c r="AO63" s="323" t="str">
        <f t="shared" si="71"/>
        <v/>
      </c>
      <c r="AP63" s="323" t="str">
        <f t="shared" si="71"/>
        <v/>
      </c>
      <c r="AQ63" s="323" t="str">
        <f t="shared" si="71"/>
        <v/>
      </c>
      <c r="AR63" s="323" t="str">
        <f t="shared" si="71"/>
        <v/>
      </c>
      <c r="AS63" s="323" t="str">
        <f t="shared" si="71"/>
        <v/>
      </c>
      <c r="AT63" s="323" t="str">
        <f t="shared" si="71"/>
        <v/>
      </c>
      <c r="AU63" s="323" t="str">
        <f t="shared" si="71"/>
        <v/>
      </c>
      <c r="AV63" s="323" t="str">
        <f t="shared" si="71"/>
        <v/>
      </c>
      <c r="AW63" s="323" t="str">
        <f t="shared" si="71"/>
        <v/>
      </c>
      <c r="AX63" s="323" t="str">
        <f t="shared" si="71"/>
        <v/>
      </c>
      <c r="AY63" s="323" t="str">
        <f t="shared" si="71"/>
        <v/>
      </c>
      <c r="AZ63" s="323" t="str">
        <f t="shared" si="71"/>
        <v/>
      </c>
      <c r="BA63" s="323" t="str">
        <f t="shared" si="71"/>
        <v/>
      </c>
      <c r="BB63" s="323" t="str">
        <f t="shared" si="71"/>
        <v/>
      </c>
      <c r="BC63" s="323" t="str">
        <f t="shared" si="71"/>
        <v/>
      </c>
      <c r="BD63" s="323" t="str">
        <f t="shared" si="71"/>
        <v/>
      </c>
      <c r="BE63" s="323" t="str">
        <f t="shared" si="71"/>
        <v/>
      </c>
      <c r="BF63" s="323" t="str">
        <f t="shared" si="71"/>
        <v/>
      </c>
      <c r="BG63" s="323" t="str">
        <f t="shared" si="71"/>
        <v/>
      </c>
      <c r="BH63" s="323" t="str">
        <f t="shared" si="71"/>
        <v/>
      </c>
      <c r="BI63" s="323" t="str">
        <f t="shared" si="71"/>
        <v/>
      </c>
      <c r="BJ63" s="323" t="str">
        <f t="shared" si="71"/>
        <v/>
      </c>
      <c r="BK63" s="323" t="str">
        <f t="shared" si="71"/>
        <v/>
      </c>
      <c r="BL63" s="323" t="str">
        <f t="shared" si="71"/>
        <v/>
      </c>
      <c r="BM63" s="323" t="str">
        <f t="shared" si="71"/>
        <v/>
      </c>
      <c r="BN63" s="323" t="str">
        <f t="shared" si="71"/>
        <v/>
      </c>
      <c r="BO63" s="323" t="str">
        <f t="shared" si="71"/>
        <v/>
      </c>
      <c r="BP63" s="323" t="str">
        <f t="shared" si="71"/>
        <v/>
      </c>
      <c r="BQ63" s="323" t="str">
        <f t="shared" si="71"/>
        <v/>
      </c>
      <c r="BR63" s="323" t="str">
        <f t="shared" si="71"/>
        <v/>
      </c>
      <c r="BS63" s="323" t="str">
        <f t="shared" si="71"/>
        <v/>
      </c>
      <c r="BT63" s="323" t="str">
        <f t="shared" si="71"/>
        <v/>
      </c>
      <c r="BU63" s="323" t="str">
        <f t="shared" si="71"/>
        <v/>
      </c>
      <c r="BV63" s="323" t="str">
        <f t="shared" si="71"/>
        <v/>
      </c>
      <c r="BW63" s="323" t="str">
        <f t="shared" si="71"/>
        <v/>
      </c>
      <c r="BX63" s="323" t="str">
        <f t="shared" si="71"/>
        <v/>
      </c>
      <c r="BY63" s="323" t="str">
        <f t="shared" si="71"/>
        <v/>
      </c>
      <c r="BZ63" s="323" t="str">
        <f t="shared" si="71"/>
        <v/>
      </c>
      <c r="CA63" s="323" t="str">
        <f t="shared" si="71"/>
        <v/>
      </c>
      <c r="CB63" s="323" t="str">
        <f t="shared" si="71"/>
        <v/>
      </c>
      <c r="CC63" s="323" t="str">
        <f t="shared" si="71"/>
        <v/>
      </c>
      <c r="CD63" s="323" t="str">
        <f t="shared" si="71"/>
        <v/>
      </c>
      <c r="CE63" s="323" t="str">
        <f t="shared" si="71"/>
        <v/>
      </c>
      <c r="CF63" s="323" t="str">
        <f t="shared" si="71"/>
        <v/>
      </c>
      <c r="CG63" s="323" t="str">
        <f t="shared" si="71"/>
        <v/>
      </c>
      <c r="CH63" s="323" t="str">
        <f t="shared" si="71"/>
        <v/>
      </c>
      <c r="CI63" s="323" t="str">
        <f t="shared" si="71"/>
        <v/>
      </c>
      <c r="CJ63" s="323" t="str">
        <f t="shared" si="71"/>
        <v/>
      </c>
      <c r="CK63" s="323" t="str">
        <f t="shared" si="71"/>
        <v/>
      </c>
      <c r="CL63" s="323" t="str">
        <f t="shared" si="71"/>
        <v/>
      </c>
      <c r="CM63" s="323" t="str">
        <f t="shared" si="71"/>
        <v/>
      </c>
      <c r="CN63" s="323"/>
      <c r="CO63" s="323"/>
      <c r="CP63" s="323" t="str">
        <f t="shared" si="16"/>
        <v/>
      </c>
      <c r="CQ63" s="323"/>
      <c r="CR63" s="323"/>
      <c r="CS63" s="323"/>
      <c r="CT63" s="323"/>
      <c r="CU63" s="323"/>
      <c r="CV63" s="323"/>
      <c r="CW63" s="323"/>
      <c r="CX63" s="323"/>
      <c r="CY63" s="323"/>
      <c r="CZ63" s="323"/>
      <c r="DA63" s="323"/>
      <c r="DB63" s="323"/>
      <c r="DC63" s="323"/>
      <c r="DD63" s="323"/>
      <c r="DE63" s="323"/>
      <c r="DF63" s="323"/>
      <c r="DG63" s="323"/>
      <c r="DH63" s="323"/>
      <c r="DI63" s="323"/>
      <c r="DJ63" s="323"/>
      <c r="DK63" s="323"/>
      <c r="DL63" s="323"/>
      <c r="DM63" s="323"/>
      <c r="DN63" s="323"/>
      <c r="DO63" s="323"/>
      <c r="DP63" s="323"/>
      <c r="DQ63" s="323"/>
      <c r="DR63" s="323"/>
      <c r="DS63" s="323"/>
      <c r="DT63" s="323"/>
      <c r="DU63" s="323"/>
      <c r="DV63" s="323"/>
      <c r="DW63" s="323"/>
      <c r="DX63" s="323"/>
      <c r="DY63" s="323"/>
      <c r="DZ63" s="323"/>
      <c r="EA63" s="323"/>
      <c r="EB63" s="323"/>
      <c r="EC63" s="323"/>
      <c r="ED63" s="323"/>
      <c r="EE63" s="323"/>
      <c r="EF63" s="323"/>
      <c r="EG63" s="323"/>
      <c r="EH63" s="323"/>
      <c r="EI63" s="323"/>
      <c r="EJ63" s="323"/>
      <c r="EK63" s="323"/>
      <c r="EL63" s="323"/>
      <c r="EM63" s="323"/>
      <c r="EN63" s="323"/>
      <c r="EO63" s="323"/>
      <c r="EP63" s="323"/>
      <c r="EQ63" s="323"/>
      <c r="ER63" s="323"/>
      <c r="ES63" s="323"/>
      <c r="ET63" s="323"/>
      <c r="EU63" s="323"/>
      <c r="EV63" s="323"/>
      <c r="EW63" s="323"/>
      <c r="EX63" s="323"/>
      <c r="EY63" s="323"/>
      <c r="EZ63" s="323"/>
      <c r="FA63" s="323"/>
      <c r="FB63" s="323"/>
      <c r="FC63" s="323"/>
      <c r="FD63" s="323"/>
      <c r="FE63" s="323"/>
      <c r="FF63" s="323"/>
      <c r="FG63" s="323"/>
      <c r="FH63" s="323"/>
      <c r="FI63" s="323"/>
      <c r="FJ63" s="323"/>
      <c r="FK63" s="323"/>
      <c r="FL63" s="323"/>
      <c r="FM63" s="323"/>
      <c r="FN63" s="323"/>
      <c r="FO63" s="323"/>
      <c r="FP63" s="323"/>
      <c r="FQ63" s="323"/>
      <c r="FR63" s="323"/>
      <c r="FS63" s="323"/>
      <c r="FT63" s="323"/>
      <c r="FU63" s="323"/>
      <c r="FV63" s="323"/>
      <c r="FW63" s="323"/>
      <c r="FX63" s="323"/>
    </row>
    <row r="64" ht="15.75" customHeight="1">
      <c r="A64" s="44">
        <v>59.0</v>
      </c>
      <c r="B64" s="27"/>
      <c r="C64" s="44"/>
      <c r="D64" s="44"/>
      <c r="E64" s="330"/>
      <c r="F64" s="47"/>
      <c r="G64" s="47"/>
      <c r="H64" s="47"/>
      <c r="I64" s="26"/>
      <c r="J64" s="323" t="str">
        <f t="shared" ref="J64:CM64" si="72">IF(AND($I64="Yes",J$2=$H64),"♦","")</f>
        <v/>
      </c>
      <c r="K64" s="323" t="str">
        <f t="shared" si="72"/>
        <v/>
      </c>
      <c r="L64" s="323" t="str">
        <f t="shared" si="72"/>
        <v/>
      </c>
      <c r="M64" s="323" t="str">
        <f t="shared" si="72"/>
        <v/>
      </c>
      <c r="N64" s="323" t="str">
        <f t="shared" si="72"/>
        <v/>
      </c>
      <c r="O64" s="323" t="str">
        <f t="shared" si="72"/>
        <v/>
      </c>
      <c r="P64" s="323" t="str">
        <f t="shared" si="72"/>
        <v/>
      </c>
      <c r="Q64" s="323" t="str">
        <f t="shared" si="72"/>
        <v/>
      </c>
      <c r="R64" s="323" t="str">
        <f t="shared" si="72"/>
        <v/>
      </c>
      <c r="S64" s="323" t="str">
        <f t="shared" si="72"/>
        <v/>
      </c>
      <c r="T64" s="323" t="str">
        <f t="shared" si="72"/>
        <v/>
      </c>
      <c r="U64" s="323" t="str">
        <f t="shared" si="72"/>
        <v/>
      </c>
      <c r="V64" s="323" t="str">
        <f t="shared" si="72"/>
        <v/>
      </c>
      <c r="W64" s="323" t="str">
        <f t="shared" si="72"/>
        <v/>
      </c>
      <c r="X64" s="323" t="str">
        <f t="shared" si="72"/>
        <v/>
      </c>
      <c r="Y64" s="323" t="str">
        <f t="shared" si="72"/>
        <v/>
      </c>
      <c r="Z64" s="323" t="str">
        <f t="shared" si="72"/>
        <v/>
      </c>
      <c r="AA64" s="323" t="str">
        <f t="shared" si="72"/>
        <v/>
      </c>
      <c r="AB64" s="323" t="str">
        <f t="shared" si="72"/>
        <v/>
      </c>
      <c r="AC64" s="323" t="str">
        <f t="shared" si="72"/>
        <v/>
      </c>
      <c r="AD64" s="323" t="str">
        <f t="shared" si="72"/>
        <v/>
      </c>
      <c r="AE64" s="323" t="str">
        <f t="shared" si="72"/>
        <v/>
      </c>
      <c r="AF64" s="323" t="str">
        <f t="shared" si="72"/>
        <v/>
      </c>
      <c r="AG64" s="323" t="str">
        <f t="shared" si="72"/>
        <v/>
      </c>
      <c r="AH64" s="323" t="str">
        <f t="shared" si="72"/>
        <v/>
      </c>
      <c r="AI64" s="323" t="str">
        <f t="shared" si="72"/>
        <v/>
      </c>
      <c r="AJ64" s="323" t="str">
        <f t="shared" si="72"/>
        <v/>
      </c>
      <c r="AK64" s="323" t="str">
        <f t="shared" si="72"/>
        <v/>
      </c>
      <c r="AL64" s="323" t="str">
        <f t="shared" si="72"/>
        <v/>
      </c>
      <c r="AM64" s="323" t="str">
        <f t="shared" si="72"/>
        <v/>
      </c>
      <c r="AN64" s="323" t="str">
        <f t="shared" si="72"/>
        <v/>
      </c>
      <c r="AO64" s="323" t="str">
        <f t="shared" si="72"/>
        <v/>
      </c>
      <c r="AP64" s="323" t="str">
        <f t="shared" si="72"/>
        <v/>
      </c>
      <c r="AQ64" s="323" t="str">
        <f t="shared" si="72"/>
        <v/>
      </c>
      <c r="AR64" s="323" t="str">
        <f t="shared" si="72"/>
        <v/>
      </c>
      <c r="AS64" s="323" t="str">
        <f t="shared" si="72"/>
        <v/>
      </c>
      <c r="AT64" s="323" t="str">
        <f t="shared" si="72"/>
        <v/>
      </c>
      <c r="AU64" s="323" t="str">
        <f t="shared" si="72"/>
        <v/>
      </c>
      <c r="AV64" s="323" t="str">
        <f t="shared" si="72"/>
        <v/>
      </c>
      <c r="AW64" s="323" t="str">
        <f t="shared" si="72"/>
        <v/>
      </c>
      <c r="AX64" s="323" t="str">
        <f t="shared" si="72"/>
        <v/>
      </c>
      <c r="AY64" s="323" t="str">
        <f t="shared" si="72"/>
        <v/>
      </c>
      <c r="AZ64" s="323" t="str">
        <f t="shared" si="72"/>
        <v/>
      </c>
      <c r="BA64" s="323" t="str">
        <f t="shared" si="72"/>
        <v/>
      </c>
      <c r="BB64" s="323" t="str">
        <f t="shared" si="72"/>
        <v/>
      </c>
      <c r="BC64" s="323" t="str">
        <f t="shared" si="72"/>
        <v/>
      </c>
      <c r="BD64" s="323" t="str">
        <f t="shared" si="72"/>
        <v/>
      </c>
      <c r="BE64" s="323" t="str">
        <f t="shared" si="72"/>
        <v/>
      </c>
      <c r="BF64" s="323" t="str">
        <f t="shared" si="72"/>
        <v/>
      </c>
      <c r="BG64" s="323" t="str">
        <f t="shared" si="72"/>
        <v/>
      </c>
      <c r="BH64" s="323" t="str">
        <f t="shared" si="72"/>
        <v/>
      </c>
      <c r="BI64" s="323" t="str">
        <f t="shared" si="72"/>
        <v/>
      </c>
      <c r="BJ64" s="323" t="str">
        <f t="shared" si="72"/>
        <v/>
      </c>
      <c r="BK64" s="323" t="str">
        <f t="shared" si="72"/>
        <v/>
      </c>
      <c r="BL64" s="323" t="str">
        <f t="shared" si="72"/>
        <v/>
      </c>
      <c r="BM64" s="323" t="str">
        <f t="shared" si="72"/>
        <v/>
      </c>
      <c r="BN64" s="323" t="str">
        <f t="shared" si="72"/>
        <v/>
      </c>
      <c r="BO64" s="323" t="str">
        <f t="shared" si="72"/>
        <v/>
      </c>
      <c r="BP64" s="323" t="str">
        <f t="shared" si="72"/>
        <v/>
      </c>
      <c r="BQ64" s="323" t="str">
        <f t="shared" si="72"/>
        <v/>
      </c>
      <c r="BR64" s="323" t="str">
        <f t="shared" si="72"/>
        <v/>
      </c>
      <c r="BS64" s="323" t="str">
        <f t="shared" si="72"/>
        <v/>
      </c>
      <c r="BT64" s="323" t="str">
        <f t="shared" si="72"/>
        <v/>
      </c>
      <c r="BU64" s="323" t="str">
        <f t="shared" si="72"/>
        <v/>
      </c>
      <c r="BV64" s="323" t="str">
        <f t="shared" si="72"/>
        <v/>
      </c>
      <c r="BW64" s="323" t="str">
        <f t="shared" si="72"/>
        <v/>
      </c>
      <c r="BX64" s="323" t="str">
        <f t="shared" si="72"/>
        <v/>
      </c>
      <c r="BY64" s="323" t="str">
        <f t="shared" si="72"/>
        <v/>
      </c>
      <c r="BZ64" s="323" t="str">
        <f t="shared" si="72"/>
        <v/>
      </c>
      <c r="CA64" s="323" t="str">
        <f t="shared" si="72"/>
        <v/>
      </c>
      <c r="CB64" s="323" t="str">
        <f t="shared" si="72"/>
        <v/>
      </c>
      <c r="CC64" s="323" t="str">
        <f t="shared" si="72"/>
        <v/>
      </c>
      <c r="CD64" s="323" t="str">
        <f t="shared" si="72"/>
        <v/>
      </c>
      <c r="CE64" s="323" t="str">
        <f t="shared" si="72"/>
        <v/>
      </c>
      <c r="CF64" s="323" t="str">
        <f t="shared" si="72"/>
        <v/>
      </c>
      <c r="CG64" s="323" t="str">
        <f t="shared" si="72"/>
        <v/>
      </c>
      <c r="CH64" s="323" t="str">
        <f t="shared" si="72"/>
        <v/>
      </c>
      <c r="CI64" s="323" t="str">
        <f t="shared" si="72"/>
        <v/>
      </c>
      <c r="CJ64" s="323" t="str">
        <f t="shared" si="72"/>
        <v/>
      </c>
      <c r="CK64" s="323" t="str">
        <f t="shared" si="72"/>
        <v/>
      </c>
      <c r="CL64" s="323" t="str">
        <f t="shared" si="72"/>
        <v/>
      </c>
      <c r="CM64" s="323" t="str">
        <f t="shared" si="72"/>
        <v/>
      </c>
      <c r="CN64" s="323"/>
      <c r="CO64" s="323"/>
      <c r="CP64" s="323" t="str">
        <f t="shared" si="16"/>
        <v/>
      </c>
      <c r="CQ64" s="323"/>
      <c r="CR64" s="323"/>
      <c r="CS64" s="323"/>
      <c r="CT64" s="323"/>
      <c r="CU64" s="323"/>
      <c r="CV64" s="323"/>
      <c r="CW64" s="323"/>
      <c r="CX64" s="323"/>
      <c r="CY64" s="323"/>
      <c r="CZ64" s="323"/>
      <c r="DA64" s="323"/>
      <c r="DB64" s="323"/>
      <c r="DC64" s="323"/>
      <c r="DD64" s="323"/>
      <c r="DE64" s="323"/>
      <c r="DF64" s="323"/>
      <c r="DG64" s="323"/>
      <c r="DH64" s="323"/>
      <c r="DI64" s="323"/>
      <c r="DJ64" s="323"/>
      <c r="DK64" s="323"/>
      <c r="DL64" s="323"/>
      <c r="DM64" s="323"/>
      <c r="DN64" s="323"/>
      <c r="DO64" s="323"/>
      <c r="DP64" s="323"/>
      <c r="DQ64" s="323"/>
      <c r="DR64" s="323"/>
      <c r="DS64" s="323"/>
      <c r="DT64" s="323"/>
      <c r="DU64" s="323"/>
      <c r="DV64" s="323"/>
      <c r="DW64" s="323"/>
      <c r="DX64" s="323"/>
      <c r="DY64" s="323"/>
      <c r="DZ64" s="323"/>
      <c r="EA64" s="323"/>
      <c r="EB64" s="323"/>
      <c r="EC64" s="323"/>
      <c r="ED64" s="323"/>
      <c r="EE64" s="323"/>
      <c r="EF64" s="323"/>
      <c r="EG64" s="323"/>
      <c r="EH64" s="323"/>
      <c r="EI64" s="323"/>
      <c r="EJ64" s="323"/>
      <c r="EK64" s="323"/>
      <c r="EL64" s="323"/>
      <c r="EM64" s="323"/>
      <c r="EN64" s="323"/>
      <c r="EO64" s="323"/>
      <c r="EP64" s="323"/>
      <c r="EQ64" s="323"/>
      <c r="ER64" s="323"/>
      <c r="ES64" s="323"/>
      <c r="ET64" s="323"/>
      <c r="EU64" s="323"/>
      <c r="EV64" s="323"/>
      <c r="EW64" s="323"/>
      <c r="EX64" s="323"/>
      <c r="EY64" s="323"/>
      <c r="EZ64" s="323"/>
      <c r="FA64" s="323"/>
      <c r="FB64" s="323"/>
      <c r="FC64" s="323"/>
      <c r="FD64" s="323"/>
      <c r="FE64" s="323"/>
      <c r="FF64" s="323"/>
      <c r="FG64" s="323"/>
      <c r="FH64" s="323"/>
      <c r="FI64" s="323"/>
      <c r="FJ64" s="323"/>
      <c r="FK64" s="323"/>
      <c r="FL64" s="323"/>
      <c r="FM64" s="323"/>
      <c r="FN64" s="323"/>
      <c r="FO64" s="323"/>
      <c r="FP64" s="323"/>
      <c r="FQ64" s="323"/>
      <c r="FR64" s="323"/>
      <c r="FS64" s="323"/>
      <c r="FT64" s="323"/>
      <c r="FU64" s="323"/>
      <c r="FV64" s="323"/>
      <c r="FW64" s="323"/>
      <c r="FX64" s="323"/>
    </row>
    <row r="65" ht="15.75" customHeight="1">
      <c r="A65" s="44">
        <v>60.0</v>
      </c>
      <c r="B65" s="27"/>
      <c r="C65" s="44"/>
      <c r="D65" s="44"/>
      <c r="E65" s="330"/>
      <c r="F65" s="47"/>
      <c r="G65" s="47"/>
      <c r="H65" s="47"/>
      <c r="I65" s="26"/>
      <c r="J65" s="323" t="str">
        <f t="shared" ref="J65:CM65" si="73">IF(AND($I65="Yes",J$2=$H65),"♦","")</f>
        <v/>
      </c>
      <c r="K65" s="323" t="str">
        <f t="shared" si="73"/>
        <v/>
      </c>
      <c r="L65" s="323" t="str">
        <f t="shared" si="73"/>
        <v/>
      </c>
      <c r="M65" s="323" t="str">
        <f t="shared" si="73"/>
        <v/>
      </c>
      <c r="N65" s="323" t="str">
        <f t="shared" si="73"/>
        <v/>
      </c>
      <c r="O65" s="323" t="str">
        <f t="shared" si="73"/>
        <v/>
      </c>
      <c r="P65" s="323" t="str">
        <f t="shared" si="73"/>
        <v/>
      </c>
      <c r="Q65" s="323" t="str">
        <f t="shared" si="73"/>
        <v/>
      </c>
      <c r="R65" s="323" t="str">
        <f t="shared" si="73"/>
        <v/>
      </c>
      <c r="S65" s="323" t="str">
        <f t="shared" si="73"/>
        <v/>
      </c>
      <c r="T65" s="323" t="str">
        <f t="shared" si="73"/>
        <v/>
      </c>
      <c r="U65" s="323" t="str">
        <f t="shared" si="73"/>
        <v/>
      </c>
      <c r="V65" s="323" t="str">
        <f t="shared" si="73"/>
        <v/>
      </c>
      <c r="W65" s="323" t="str">
        <f t="shared" si="73"/>
        <v/>
      </c>
      <c r="X65" s="323" t="str">
        <f t="shared" si="73"/>
        <v/>
      </c>
      <c r="Y65" s="323" t="str">
        <f t="shared" si="73"/>
        <v/>
      </c>
      <c r="Z65" s="323" t="str">
        <f t="shared" si="73"/>
        <v/>
      </c>
      <c r="AA65" s="323" t="str">
        <f t="shared" si="73"/>
        <v/>
      </c>
      <c r="AB65" s="323" t="str">
        <f t="shared" si="73"/>
        <v/>
      </c>
      <c r="AC65" s="323" t="str">
        <f t="shared" si="73"/>
        <v/>
      </c>
      <c r="AD65" s="323" t="str">
        <f t="shared" si="73"/>
        <v/>
      </c>
      <c r="AE65" s="323" t="str">
        <f t="shared" si="73"/>
        <v/>
      </c>
      <c r="AF65" s="323" t="str">
        <f t="shared" si="73"/>
        <v/>
      </c>
      <c r="AG65" s="323" t="str">
        <f t="shared" si="73"/>
        <v/>
      </c>
      <c r="AH65" s="323" t="str">
        <f t="shared" si="73"/>
        <v/>
      </c>
      <c r="AI65" s="323" t="str">
        <f t="shared" si="73"/>
        <v/>
      </c>
      <c r="AJ65" s="323" t="str">
        <f t="shared" si="73"/>
        <v/>
      </c>
      <c r="AK65" s="323" t="str">
        <f t="shared" si="73"/>
        <v/>
      </c>
      <c r="AL65" s="323" t="str">
        <f t="shared" si="73"/>
        <v/>
      </c>
      <c r="AM65" s="323" t="str">
        <f t="shared" si="73"/>
        <v/>
      </c>
      <c r="AN65" s="323" t="str">
        <f t="shared" si="73"/>
        <v/>
      </c>
      <c r="AO65" s="323" t="str">
        <f t="shared" si="73"/>
        <v/>
      </c>
      <c r="AP65" s="323" t="str">
        <f t="shared" si="73"/>
        <v/>
      </c>
      <c r="AQ65" s="323" t="str">
        <f t="shared" si="73"/>
        <v/>
      </c>
      <c r="AR65" s="323" t="str">
        <f t="shared" si="73"/>
        <v/>
      </c>
      <c r="AS65" s="323" t="str">
        <f t="shared" si="73"/>
        <v/>
      </c>
      <c r="AT65" s="323" t="str">
        <f t="shared" si="73"/>
        <v/>
      </c>
      <c r="AU65" s="323" t="str">
        <f t="shared" si="73"/>
        <v/>
      </c>
      <c r="AV65" s="323" t="str">
        <f t="shared" si="73"/>
        <v/>
      </c>
      <c r="AW65" s="323" t="str">
        <f t="shared" si="73"/>
        <v/>
      </c>
      <c r="AX65" s="323" t="str">
        <f t="shared" si="73"/>
        <v/>
      </c>
      <c r="AY65" s="323" t="str">
        <f t="shared" si="73"/>
        <v/>
      </c>
      <c r="AZ65" s="323" t="str">
        <f t="shared" si="73"/>
        <v/>
      </c>
      <c r="BA65" s="323" t="str">
        <f t="shared" si="73"/>
        <v/>
      </c>
      <c r="BB65" s="323" t="str">
        <f t="shared" si="73"/>
        <v/>
      </c>
      <c r="BC65" s="323" t="str">
        <f t="shared" si="73"/>
        <v/>
      </c>
      <c r="BD65" s="323" t="str">
        <f t="shared" si="73"/>
        <v/>
      </c>
      <c r="BE65" s="323" t="str">
        <f t="shared" si="73"/>
        <v/>
      </c>
      <c r="BF65" s="323" t="str">
        <f t="shared" si="73"/>
        <v/>
      </c>
      <c r="BG65" s="323" t="str">
        <f t="shared" si="73"/>
        <v/>
      </c>
      <c r="BH65" s="323" t="str">
        <f t="shared" si="73"/>
        <v/>
      </c>
      <c r="BI65" s="323" t="str">
        <f t="shared" si="73"/>
        <v/>
      </c>
      <c r="BJ65" s="323" t="str">
        <f t="shared" si="73"/>
        <v/>
      </c>
      <c r="BK65" s="323" t="str">
        <f t="shared" si="73"/>
        <v/>
      </c>
      <c r="BL65" s="323" t="str">
        <f t="shared" si="73"/>
        <v/>
      </c>
      <c r="BM65" s="323" t="str">
        <f t="shared" si="73"/>
        <v/>
      </c>
      <c r="BN65" s="323" t="str">
        <f t="shared" si="73"/>
        <v/>
      </c>
      <c r="BO65" s="323" t="str">
        <f t="shared" si="73"/>
        <v/>
      </c>
      <c r="BP65" s="323" t="str">
        <f t="shared" si="73"/>
        <v/>
      </c>
      <c r="BQ65" s="323" t="str">
        <f t="shared" si="73"/>
        <v/>
      </c>
      <c r="BR65" s="323" t="str">
        <f t="shared" si="73"/>
        <v/>
      </c>
      <c r="BS65" s="323" t="str">
        <f t="shared" si="73"/>
        <v/>
      </c>
      <c r="BT65" s="323" t="str">
        <f t="shared" si="73"/>
        <v/>
      </c>
      <c r="BU65" s="323" t="str">
        <f t="shared" si="73"/>
        <v/>
      </c>
      <c r="BV65" s="323" t="str">
        <f t="shared" si="73"/>
        <v/>
      </c>
      <c r="BW65" s="323" t="str">
        <f t="shared" si="73"/>
        <v/>
      </c>
      <c r="BX65" s="323" t="str">
        <f t="shared" si="73"/>
        <v/>
      </c>
      <c r="BY65" s="323" t="str">
        <f t="shared" si="73"/>
        <v/>
      </c>
      <c r="BZ65" s="323" t="str">
        <f t="shared" si="73"/>
        <v/>
      </c>
      <c r="CA65" s="323" t="str">
        <f t="shared" si="73"/>
        <v/>
      </c>
      <c r="CB65" s="323" t="str">
        <f t="shared" si="73"/>
        <v/>
      </c>
      <c r="CC65" s="323" t="str">
        <f t="shared" si="73"/>
        <v/>
      </c>
      <c r="CD65" s="323" t="str">
        <f t="shared" si="73"/>
        <v/>
      </c>
      <c r="CE65" s="323" t="str">
        <f t="shared" si="73"/>
        <v/>
      </c>
      <c r="CF65" s="323" t="str">
        <f t="shared" si="73"/>
        <v/>
      </c>
      <c r="CG65" s="323" t="str">
        <f t="shared" si="73"/>
        <v/>
      </c>
      <c r="CH65" s="323" t="str">
        <f t="shared" si="73"/>
        <v/>
      </c>
      <c r="CI65" s="323" t="str">
        <f t="shared" si="73"/>
        <v/>
      </c>
      <c r="CJ65" s="323" t="str">
        <f t="shared" si="73"/>
        <v/>
      </c>
      <c r="CK65" s="323" t="str">
        <f t="shared" si="73"/>
        <v/>
      </c>
      <c r="CL65" s="323" t="str">
        <f t="shared" si="73"/>
        <v/>
      </c>
      <c r="CM65" s="323" t="str">
        <f t="shared" si="73"/>
        <v/>
      </c>
      <c r="CN65" s="323"/>
      <c r="CO65" s="323"/>
      <c r="CP65" s="323" t="str">
        <f t="shared" si="16"/>
        <v/>
      </c>
      <c r="CQ65" s="323"/>
      <c r="CR65" s="323"/>
      <c r="CS65" s="323"/>
      <c r="CT65" s="323"/>
      <c r="CU65" s="323"/>
      <c r="CV65" s="323"/>
      <c r="CW65" s="323"/>
      <c r="CX65" s="323"/>
      <c r="CY65" s="323"/>
      <c r="CZ65" s="323"/>
      <c r="DA65" s="323"/>
      <c r="DB65" s="323"/>
      <c r="DC65" s="323"/>
      <c r="DD65" s="323"/>
      <c r="DE65" s="323"/>
      <c r="DF65" s="323"/>
      <c r="DG65" s="323"/>
      <c r="DH65" s="323"/>
      <c r="DI65" s="323"/>
      <c r="DJ65" s="323"/>
      <c r="DK65" s="323"/>
      <c r="DL65" s="323"/>
      <c r="DM65" s="323"/>
      <c r="DN65" s="323"/>
      <c r="DO65" s="323"/>
      <c r="DP65" s="323"/>
      <c r="DQ65" s="323"/>
      <c r="DR65" s="323"/>
      <c r="DS65" s="323"/>
      <c r="DT65" s="323"/>
      <c r="DU65" s="323"/>
      <c r="DV65" s="323"/>
      <c r="DW65" s="323"/>
      <c r="DX65" s="323"/>
      <c r="DY65" s="323"/>
      <c r="DZ65" s="323"/>
      <c r="EA65" s="323"/>
      <c r="EB65" s="323"/>
      <c r="EC65" s="323"/>
      <c r="ED65" s="323"/>
      <c r="EE65" s="323"/>
      <c r="EF65" s="323"/>
      <c r="EG65" s="323"/>
      <c r="EH65" s="323"/>
      <c r="EI65" s="323"/>
      <c r="EJ65" s="323"/>
      <c r="EK65" s="323"/>
      <c r="EL65" s="323"/>
      <c r="EM65" s="323"/>
      <c r="EN65" s="323"/>
      <c r="EO65" s="323"/>
      <c r="EP65" s="323"/>
      <c r="EQ65" s="323"/>
      <c r="ER65" s="323"/>
      <c r="ES65" s="323"/>
      <c r="ET65" s="323"/>
      <c r="EU65" s="323"/>
      <c r="EV65" s="323"/>
      <c r="EW65" s="323"/>
      <c r="EX65" s="323"/>
      <c r="EY65" s="323"/>
      <c r="EZ65" s="323"/>
      <c r="FA65" s="323"/>
      <c r="FB65" s="323"/>
      <c r="FC65" s="323"/>
      <c r="FD65" s="323"/>
      <c r="FE65" s="323"/>
      <c r="FF65" s="323"/>
      <c r="FG65" s="323"/>
      <c r="FH65" s="323"/>
      <c r="FI65" s="323"/>
      <c r="FJ65" s="323"/>
      <c r="FK65" s="323"/>
      <c r="FL65" s="323"/>
      <c r="FM65" s="323"/>
      <c r="FN65" s="323"/>
      <c r="FO65" s="323"/>
      <c r="FP65" s="323"/>
      <c r="FQ65" s="323"/>
      <c r="FR65" s="323"/>
      <c r="FS65" s="323"/>
      <c r="FT65" s="323"/>
      <c r="FU65" s="323"/>
      <c r="FV65" s="323"/>
      <c r="FW65" s="323"/>
      <c r="FX65" s="323"/>
    </row>
    <row r="66" ht="15.75" customHeight="1">
      <c r="A66" s="44">
        <v>61.0</v>
      </c>
      <c r="B66" s="27"/>
      <c r="C66" s="44"/>
      <c r="D66" s="44"/>
      <c r="E66" s="330"/>
      <c r="F66" s="47"/>
      <c r="G66" s="47"/>
      <c r="H66" s="47"/>
      <c r="I66" s="26"/>
      <c r="J66" s="323" t="str">
        <f t="shared" ref="J66:CM66" si="74">IF(AND($I66="Yes",J$2=$H66),"♦","")</f>
        <v/>
      </c>
      <c r="K66" s="323" t="str">
        <f t="shared" si="74"/>
        <v/>
      </c>
      <c r="L66" s="323" t="str">
        <f t="shared" si="74"/>
        <v/>
      </c>
      <c r="M66" s="323" t="str">
        <f t="shared" si="74"/>
        <v/>
      </c>
      <c r="N66" s="323" t="str">
        <f t="shared" si="74"/>
        <v/>
      </c>
      <c r="O66" s="323" t="str">
        <f t="shared" si="74"/>
        <v/>
      </c>
      <c r="P66" s="323" t="str">
        <f t="shared" si="74"/>
        <v/>
      </c>
      <c r="Q66" s="323" t="str">
        <f t="shared" si="74"/>
        <v/>
      </c>
      <c r="R66" s="323" t="str">
        <f t="shared" si="74"/>
        <v/>
      </c>
      <c r="S66" s="323" t="str">
        <f t="shared" si="74"/>
        <v/>
      </c>
      <c r="T66" s="323" t="str">
        <f t="shared" si="74"/>
        <v/>
      </c>
      <c r="U66" s="323" t="str">
        <f t="shared" si="74"/>
        <v/>
      </c>
      <c r="V66" s="323" t="str">
        <f t="shared" si="74"/>
        <v/>
      </c>
      <c r="W66" s="323" t="str">
        <f t="shared" si="74"/>
        <v/>
      </c>
      <c r="X66" s="323" t="str">
        <f t="shared" si="74"/>
        <v/>
      </c>
      <c r="Y66" s="323" t="str">
        <f t="shared" si="74"/>
        <v/>
      </c>
      <c r="Z66" s="323" t="str">
        <f t="shared" si="74"/>
        <v/>
      </c>
      <c r="AA66" s="323" t="str">
        <f t="shared" si="74"/>
        <v/>
      </c>
      <c r="AB66" s="323" t="str">
        <f t="shared" si="74"/>
        <v/>
      </c>
      <c r="AC66" s="323" t="str">
        <f t="shared" si="74"/>
        <v/>
      </c>
      <c r="AD66" s="323" t="str">
        <f t="shared" si="74"/>
        <v/>
      </c>
      <c r="AE66" s="323" t="str">
        <f t="shared" si="74"/>
        <v/>
      </c>
      <c r="AF66" s="323" t="str">
        <f t="shared" si="74"/>
        <v/>
      </c>
      <c r="AG66" s="323" t="str">
        <f t="shared" si="74"/>
        <v/>
      </c>
      <c r="AH66" s="323" t="str">
        <f t="shared" si="74"/>
        <v/>
      </c>
      <c r="AI66" s="323" t="str">
        <f t="shared" si="74"/>
        <v/>
      </c>
      <c r="AJ66" s="323" t="str">
        <f t="shared" si="74"/>
        <v/>
      </c>
      <c r="AK66" s="323" t="str">
        <f t="shared" si="74"/>
        <v/>
      </c>
      <c r="AL66" s="323" t="str">
        <f t="shared" si="74"/>
        <v/>
      </c>
      <c r="AM66" s="323" t="str">
        <f t="shared" si="74"/>
        <v/>
      </c>
      <c r="AN66" s="323" t="str">
        <f t="shared" si="74"/>
        <v/>
      </c>
      <c r="AO66" s="323" t="str">
        <f t="shared" si="74"/>
        <v/>
      </c>
      <c r="AP66" s="323" t="str">
        <f t="shared" si="74"/>
        <v/>
      </c>
      <c r="AQ66" s="323" t="str">
        <f t="shared" si="74"/>
        <v/>
      </c>
      <c r="AR66" s="323" t="str">
        <f t="shared" si="74"/>
        <v/>
      </c>
      <c r="AS66" s="323" t="str">
        <f t="shared" si="74"/>
        <v/>
      </c>
      <c r="AT66" s="323" t="str">
        <f t="shared" si="74"/>
        <v/>
      </c>
      <c r="AU66" s="323" t="str">
        <f t="shared" si="74"/>
        <v/>
      </c>
      <c r="AV66" s="323" t="str">
        <f t="shared" si="74"/>
        <v/>
      </c>
      <c r="AW66" s="323" t="str">
        <f t="shared" si="74"/>
        <v/>
      </c>
      <c r="AX66" s="323" t="str">
        <f t="shared" si="74"/>
        <v/>
      </c>
      <c r="AY66" s="323" t="str">
        <f t="shared" si="74"/>
        <v/>
      </c>
      <c r="AZ66" s="323" t="str">
        <f t="shared" si="74"/>
        <v/>
      </c>
      <c r="BA66" s="323" t="str">
        <f t="shared" si="74"/>
        <v/>
      </c>
      <c r="BB66" s="323" t="str">
        <f t="shared" si="74"/>
        <v/>
      </c>
      <c r="BC66" s="323" t="str">
        <f t="shared" si="74"/>
        <v/>
      </c>
      <c r="BD66" s="323" t="str">
        <f t="shared" si="74"/>
        <v/>
      </c>
      <c r="BE66" s="323" t="str">
        <f t="shared" si="74"/>
        <v/>
      </c>
      <c r="BF66" s="323" t="str">
        <f t="shared" si="74"/>
        <v/>
      </c>
      <c r="BG66" s="323" t="str">
        <f t="shared" si="74"/>
        <v/>
      </c>
      <c r="BH66" s="323" t="str">
        <f t="shared" si="74"/>
        <v/>
      </c>
      <c r="BI66" s="323" t="str">
        <f t="shared" si="74"/>
        <v/>
      </c>
      <c r="BJ66" s="323" t="str">
        <f t="shared" si="74"/>
        <v/>
      </c>
      <c r="BK66" s="323" t="str">
        <f t="shared" si="74"/>
        <v/>
      </c>
      <c r="BL66" s="323" t="str">
        <f t="shared" si="74"/>
        <v/>
      </c>
      <c r="BM66" s="323" t="str">
        <f t="shared" si="74"/>
        <v/>
      </c>
      <c r="BN66" s="323" t="str">
        <f t="shared" si="74"/>
        <v/>
      </c>
      <c r="BO66" s="323" t="str">
        <f t="shared" si="74"/>
        <v/>
      </c>
      <c r="BP66" s="323" t="str">
        <f t="shared" si="74"/>
        <v/>
      </c>
      <c r="BQ66" s="323" t="str">
        <f t="shared" si="74"/>
        <v/>
      </c>
      <c r="BR66" s="323" t="str">
        <f t="shared" si="74"/>
        <v/>
      </c>
      <c r="BS66" s="323" t="str">
        <f t="shared" si="74"/>
        <v/>
      </c>
      <c r="BT66" s="323" t="str">
        <f t="shared" si="74"/>
        <v/>
      </c>
      <c r="BU66" s="323" t="str">
        <f t="shared" si="74"/>
        <v/>
      </c>
      <c r="BV66" s="323" t="str">
        <f t="shared" si="74"/>
        <v/>
      </c>
      <c r="BW66" s="323" t="str">
        <f t="shared" si="74"/>
        <v/>
      </c>
      <c r="BX66" s="323" t="str">
        <f t="shared" si="74"/>
        <v/>
      </c>
      <c r="BY66" s="323" t="str">
        <f t="shared" si="74"/>
        <v/>
      </c>
      <c r="BZ66" s="323" t="str">
        <f t="shared" si="74"/>
        <v/>
      </c>
      <c r="CA66" s="323" t="str">
        <f t="shared" si="74"/>
        <v/>
      </c>
      <c r="CB66" s="323" t="str">
        <f t="shared" si="74"/>
        <v/>
      </c>
      <c r="CC66" s="323" t="str">
        <f t="shared" si="74"/>
        <v/>
      </c>
      <c r="CD66" s="323" t="str">
        <f t="shared" si="74"/>
        <v/>
      </c>
      <c r="CE66" s="323" t="str">
        <f t="shared" si="74"/>
        <v/>
      </c>
      <c r="CF66" s="323" t="str">
        <f t="shared" si="74"/>
        <v/>
      </c>
      <c r="CG66" s="323" t="str">
        <f t="shared" si="74"/>
        <v/>
      </c>
      <c r="CH66" s="323" t="str">
        <f t="shared" si="74"/>
        <v/>
      </c>
      <c r="CI66" s="323" t="str">
        <f t="shared" si="74"/>
        <v/>
      </c>
      <c r="CJ66" s="323" t="str">
        <f t="shared" si="74"/>
        <v/>
      </c>
      <c r="CK66" s="323" t="str">
        <f t="shared" si="74"/>
        <v/>
      </c>
      <c r="CL66" s="323" t="str">
        <f t="shared" si="74"/>
        <v/>
      </c>
      <c r="CM66" s="323" t="str">
        <f t="shared" si="74"/>
        <v/>
      </c>
      <c r="CN66" s="323"/>
      <c r="CO66" s="323"/>
      <c r="CP66" s="323" t="str">
        <f t="shared" si="16"/>
        <v/>
      </c>
      <c r="CQ66" s="323"/>
      <c r="CR66" s="323"/>
      <c r="CS66" s="323"/>
      <c r="CT66" s="323"/>
      <c r="CU66" s="323"/>
      <c r="CV66" s="323"/>
      <c r="CW66" s="323"/>
      <c r="CX66" s="323"/>
      <c r="CY66" s="323"/>
      <c r="CZ66" s="323"/>
      <c r="DA66" s="323"/>
      <c r="DB66" s="323"/>
      <c r="DC66" s="323"/>
      <c r="DD66" s="323"/>
      <c r="DE66" s="323"/>
      <c r="DF66" s="323"/>
      <c r="DG66" s="323"/>
      <c r="DH66" s="323"/>
      <c r="DI66" s="323"/>
      <c r="DJ66" s="323"/>
      <c r="DK66" s="323"/>
      <c r="DL66" s="323"/>
      <c r="DM66" s="323"/>
      <c r="DN66" s="323"/>
      <c r="DO66" s="323"/>
      <c r="DP66" s="323"/>
      <c r="DQ66" s="323"/>
      <c r="DR66" s="323"/>
      <c r="DS66" s="323"/>
      <c r="DT66" s="323"/>
      <c r="DU66" s="323"/>
      <c r="DV66" s="323"/>
      <c r="DW66" s="323"/>
      <c r="DX66" s="323"/>
      <c r="DY66" s="323"/>
      <c r="DZ66" s="323"/>
      <c r="EA66" s="323"/>
      <c r="EB66" s="323"/>
      <c r="EC66" s="323"/>
      <c r="ED66" s="323"/>
      <c r="EE66" s="323"/>
      <c r="EF66" s="323"/>
      <c r="EG66" s="323"/>
      <c r="EH66" s="323"/>
      <c r="EI66" s="323"/>
      <c r="EJ66" s="323"/>
      <c r="EK66" s="323"/>
      <c r="EL66" s="323"/>
      <c r="EM66" s="323"/>
      <c r="EN66" s="323"/>
      <c r="EO66" s="323"/>
      <c r="EP66" s="323"/>
      <c r="EQ66" s="323"/>
      <c r="ER66" s="323"/>
      <c r="ES66" s="323"/>
      <c r="ET66" s="323"/>
      <c r="EU66" s="323"/>
      <c r="EV66" s="323"/>
      <c r="EW66" s="323"/>
      <c r="EX66" s="323"/>
      <c r="EY66" s="323"/>
      <c r="EZ66" s="323"/>
      <c r="FA66" s="323"/>
      <c r="FB66" s="323"/>
      <c r="FC66" s="323"/>
      <c r="FD66" s="323"/>
      <c r="FE66" s="323"/>
      <c r="FF66" s="323"/>
      <c r="FG66" s="323"/>
      <c r="FH66" s="323"/>
      <c r="FI66" s="323"/>
      <c r="FJ66" s="323"/>
      <c r="FK66" s="323"/>
      <c r="FL66" s="323"/>
      <c r="FM66" s="323"/>
      <c r="FN66" s="323"/>
      <c r="FO66" s="323"/>
      <c r="FP66" s="323"/>
      <c r="FQ66" s="323"/>
      <c r="FR66" s="323"/>
      <c r="FS66" s="323"/>
      <c r="FT66" s="323"/>
      <c r="FU66" s="323"/>
      <c r="FV66" s="323"/>
      <c r="FW66" s="323"/>
      <c r="FX66" s="323"/>
    </row>
    <row r="67" ht="15.75" customHeight="1">
      <c r="A67" s="44">
        <v>62.0</v>
      </c>
      <c r="B67" s="27"/>
      <c r="C67" s="44"/>
      <c r="D67" s="44"/>
      <c r="E67" s="330"/>
      <c r="F67" s="47"/>
      <c r="G67" s="47"/>
      <c r="H67" s="47"/>
      <c r="I67" s="26"/>
      <c r="J67" s="323" t="str">
        <f t="shared" ref="J67:CM67" si="75">IF(AND($I67="Yes",J$2=$H67),"♦","")</f>
        <v/>
      </c>
      <c r="K67" s="323" t="str">
        <f t="shared" si="75"/>
        <v/>
      </c>
      <c r="L67" s="323" t="str">
        <f t="shared" si="75"/>
        <v/>
      </c>
      <c r="M67" s="323" t="str">
        <f t="shared" si="75"/>
        <v/>
      </c>
      <c r="N67" s="323" t="str">
        <f t="shared" si="75"/>
        <v/>
      </c>
      <c r="O67" s="323" t="str">
        <f t="shared" si="75"/>
        <v/>
      </c>
      <c r="P67" s="323" t="str">
        <f t="shared" si="75"/>
        <v/>
      </c>
      <c r="Q67" s="323" t="str">
        <f t="shared" si="75"/>
        <v/>
      </c>
      <c r="R67" s="323" t="str">
        <f t="shared" si="75"/>
        <v/>
      </c>
      <c r="S67" s="323" t="str">
        <f t="shared" si="75"/>
        <v/>
      </c>
      <c r="T67" s="323" t="str">
        <f t="shared" si="75"/>
        <v/>
      </c>
      <c r="U67" s="323" t="str">
        <f t="shared" si="75"/>
        <v/>
      </c>
      <c r="V67" s="323" t="str">
        <f t="shared" si="75"/>
        <v/>
      </c>
      <c r="W67" s="323" t="str">
        <f t="shared" si="75"/>
        <v/>
      </c>
      <c r="X67" s="323" t="str">
        <f t="shared" si="75"/>
        <v/>
      </c>
      <c r="Y67" s="323" t="str">
        <f t="shared" si="75"/>
        <v/>
      </c>
      <c r="Z67" s="323" t="str">
        <f t="shared" si="75"/>
        <v/>
      </c>
      <c r="AA67" s="323" t="str">
        <f t="shared" si="75"/>
        <v/>
      </c>
      <c r="AB67" s="323" t="str">
        <f t="shared" si="75"/>
        <v/>
      </c>
      <c r="AC67" s="323" t="str">
        <f t="shared" si="75"/>
        <v/>
      </c>
      <c r="AD67" s="323" t="str">
        <f t="shared" si="75"/>
        <v/>
      </c>
      <c r="AE67" s="323" t="str">
        <f t="shared" si="75"/>
        <v/>
      </c>
      <c r="AF67" s="323" t="str">
        <f t="shared" si="75"/>
        <v/>
      </c>
      <c r="AG67" s="323" t="str">
        <f t="shared" si="75"/>
        <v/>
      </c>
      <c r="AH67" s="323" t="str">
        <f t="shared" si="75"/>
        <v/>
      </c>
      <c r="AI67" s="323" t="str">
        <f t="shared" si="75"/>
        <v/>
      </c>
      <c r="AJ67" s="323" t="str">
        <f t="shared" si="75"/>
        <v/>
      </c>
      <c r="AK67" s="323" t="str">
        <f t="shared" si="75"/>
        <v/>
      </c>
      <c r="AL67" s="323" t="str">
        <f t="shared" si="75"/>
        <v/>
      </c>
      <c r="AM67" s="323" t="str">
        <f t="shared" si="75"/>
        <v/>
      </c>
      <c r="AN67" s="323" t="str">
        <f t="shared" si="75"/>
        <v/>
      </c>
      <c r="AO67" s="323" t="str">
        <f t="shared" si="75"/>
        <v/>
      </c>
      <c r="AP67" s="323" t="str">
        <f t="shared" si="75"/>
        <v/>
      </c>
      <c r="AQ67" s="323" t="str">
        <f t="shared" si="75"/>
        <v/>
      </c>
      <c r="AR67" s="323" t="str">
        <f t="shared" si="75"/>
        <v/>
      </c>
      <c r="AS67" s="323" t="str">
        <f t="shared" si="75"/>
        <v/>
      </c>
      <c r="AT67" s="323" t="str">
        <f t="shared" si="75"/>
        <v/>
      </c>
      <c r="AU67" s="323" t="str">
        <f t="shared" si="75"/>
        <v/>
      </c>
      <c r="AV67" s="323" t="str">
        <f t="shared" si="75"/>
        <v/>
      </c>
      <c r="AW67" s="323" t="str">
        <f t="shared" si="75"/>
        <v/>
      </c>
      <c r="AX67" s="323" t="str">
        <f t="shared" si="75"/>
        <v/>
      </c>
      <c r="AY67" s="323" t="str">
        <f t="shared" si="75"/>
        <v/>
      </c>
      <c r="AZ67" s="323" t="str">
        <f t="shared" si="75"/>
        <v/>
      </c>
      <c r="BA67" s="323" t="str">
        <f t="shared" si="75"/>
        <v/>
      </c>
      <c r="BB67" s="323" t="str">
        <f t="shared" si="75"/>
        <v/>
      </c>
      <c r="BC67" s="323" t="str">
        <f t="shared" si="75"/>
        <v/>
      </c>
      <c r="BD67" s="323" t="str">
        <f t="shared" si="75"/>
        <v/>
      </c>
      <c r="BE67" s="323" t="str">
        <f t="shared" si="75"/>
        <v/>
      </c>
      <c r="BF67" s="323" t="str">
        <f t="shared" si="75"/>
        <v/>
      </c>
      <c r="BG67" s="323" t="str">
        <f t="shared" si="75"/>
        <v/>
      </c>
      <c r="BH67" s="323" t="str">
        <f t="shared" si="75"/>
        <v/>
      </c>
      <c r="BI67" s="323" t="str">
        <f t="shared" si="75"/>
        <v/>
      </c>
      <c r="BJ67" s="323" t="str">
        <f t="shared" si="75"/>
        <v/>
      </c>
      <c r="BK67" s="323" t="str">
        <f t="shared" si="75"/>
        <v/>
      </c>
      <c r="BL67" s="323" t="str">
        <f t="shared" si="75"/>
        <v/>
      </c>
      <c r="BM67" s="323" t="str">
        <f t="shared" si="75"/>
        <v/>
      </c>
      <c r="BN67" s="323" t="str">
        <f t="shared" si="75"/>
        <v/>
      </c>
      <c r="BO67" s="323" t="str">
        <f t="shared" si="75"/>
        <v/>
      </c>
      <c r="BP67" s="323" t="str">
        <f t="shared" si="75"/>
        <v/>
      </c>
      <c r="BQ67" s="323" t="str">
        <f t="shared" si="75"/>
        <v/>
      </c>
      <c r="BR67" s="323" t="str">
        <f t="shared" si="75"/>
        <v/>
      </c>
      <c r="BS67" s="323" t="str">
        <f t="shared" si="75"/>
        <v/>
      </c>
      <c r="BT67" s="323" t="str">
        <f t="shared" si="75"/>
        <v/>
      </c>
      <c r="BU67" s="323" t="str">
        <f t="shared" si="75"/>
        <v/>
      </c>
      <c r="BV67" s="323" t="str">
        <f t="shared" si="75"/>
        <v/>
      </c>
      <c r="BW67" s="323" t="str">
        <f t="shared" si="75"/>
        <v/>
      </c>
      <c r="BX67" s="323" t="str">
        <f t="shared" si="75"/>
        <v/>
      </c>
      <c r="BY67" s="323" t="str">
        <f t="shared" si="75"/>
        <v/>
      </c>
      <c r="BZ67" s="323" t="str">
        <f t="shared" si="75"/>
        <v/>
      </c>
      <c r="CA67" s="323" t="str">
        <f t="shared" si="75"/>
        <v/>
      </c>
      <c r="CB67" s="323" t="str">
        <f t="shared" si="75"/>
        <v/>
      </c>
      <c r="CC67" s="323" t="str">
        <f t="shared" si="75"/>
        <v/>
      </c>
      <c r="CD67" s="323" t="str">
        <f t="shared" si="75"/>
        <v/>
      </c>
      <c r="CE67" s="323" t="str">
        <f t="shared" si="75"/>
        <v/>
      </c>
      <c r="CF67" s="323" t="str">
        <f t="shared" si="75"/>
        <v/>
      </c>
      <c r="CG67" s="323" t="str">
        <f t="shared" si="75"/>
        <v/>
      </c>
      <c r="CH67" s="323" t="str">
        <f t="shared" si="75"/>
        <v/>
      </c>
      <c r="CI67" s="323" t="str">
        <f t="shared" si="75"/>
        <v/>
      </c>
      <c r="CJ67" s="323" t="str">
        <f t="shared" si="75"/>
        <v/>
      </c>
      <c r="CK67" s="323" t="str">
        <f t="shared" si="75"/>
        <v/>
      </c>
      <c r="CL67" s="323" t="str">
        <f t="shared" si="75"/>
        <v/>
      </c>
      <c r="CM67" s="323" t="str">
        <f t="shared" si="75"/>
        <v/>
      </c>
      <c r="CN67" s="323"/>
      <c r="CO67" s="323"/>
      <c r="CP67" s="323" t="str">
        <f t="shared" si="16"/>
        <v/>
      </c>
      <c r="CQ67" s="323"/>
      <c r="CR67" s="323"/>
      <c r="CS67" s="323"/>
      <c r="CT67" s="323"/>
      <c r="CU67" s="323"/>
      <c r="CV67" s="323"/>
      <c r="CW67" s="323"/>
      <c r="CX67" s="323"/>
      <c r="CY67" s="323"/>
      <c r="CZ67" s="323"/>
      <c r="DA67" s="323"/>
      <c r="DB67" s="323"/>
      <c r="DC67" s="323"/>
      <c r="DD67" s="323"/>
      <c r="DE67" s="323"/>
      <c r="DF67" s="323"/>
      <c r="DG67" s="323"/>
      <c r="DH67" s="323"/>
      <c r="DI67" s="323"/>
      <c r="DJ67" s="323"/>
      <c r="DK67" s="323"/>
      <c r="DL67" s="323"/>
      <c r="DM67" s="323"/>
      <c r="DN67" s="323"/>
      <c r="DO67" s="323"/>
      <c r="DP67" s="323"/>
      <c r="DQ67" s="323"/>
      <c r="DR67" s="323"/>
      <c r="DS67" s="323"/>
      <c r="DT67" s="323"/>
      <c r="DU67" s="323"/>
      <c r="DV67" s="323"/>
      <c r="DW67" s="323"/>
      <c r="DX67" s="323"/>
      <c r="DY67" s="323"/>
      <c r="DZ67" s="323"/>
      <c r="EA67" s="323"/>
      <c r="EB67" s="323"/>
      <c r="EC67" s="323"/>
      <c r="ED67" s="323"/>
      <c r="EE67" s="323"/>
      <c r="EF67" s="323"/>
      <c r="EG67" s="323"/>
      <c r="EH67" s="323"/>
      <c r="EI67" s="323"/>
      <c r="EJ67" s="323"/>
      <c r="EK67" s="323"/>
      <c r="EL67" s="323"/>
      <c r="EM67" s="323"/>
      <c r="EN67" s="323"/>
      <c r="EO67" s="323"/>
      <c r="EP67" s="323"/>
      <c r="EQ67" s="323"/>
      <c r="ER67" s="323"/>
      <c r="ES67" s="323"/>
      <c r="ET67" s="323"/>
      <c r="EU67" s="323"/>
      <c r="EV67" s="323"/>
      <c r="EW67" s="323"/>
      <c r="EX67" s="323"/>
      <c r="EY67" s="323"/>
      <c r="EZ67" s="323"/>
      <c r="FA67" s="323"/>
      <c r="FB67" s="323"/>
      <c r="FC67" s="323"/>
      <c r="FD67" s="323"/>
      <c r="FE67" s="323"/>
      <c r="FF67" s="323"/>
      <c r="FG67" s="323"/>
      <c r="FH67" s="323"/>
      <c r="FI67" s="323"/>
      <c r="FJ67" s="323"/>
      <c r="FK67" s="323"/>
      <c r="FL67" s="323"/>
      <c r="FM67" s="323"/>
      <c r="FN67" s="323"/>
      <c r="FO67" s="323"/>
      <c r="FP67" s="323"/>
      <c r="FQ67" s="323"/>
      <c r="FR67" s="323"/>
      <c r="FS67" s="323"/>
      <c r="FT67" s="323"/>
      <c r="FU67" s="323"/>
      <c r="FV67" s="323"/>
      <c r="FW67" s="323"/>
      <c r="FX67" s="323"/>
    </row>
    <row r="68" ht="15.75" customHeight="1">
      <c r="A68" s="44">
        <v>63.0</v>
      </c>
      <c r="B68" s="27"/>
      <c r="C68" s="44"/>
      <c r="D68" s="44"/>
      <c r="E68" s="330"/>
      <c r="F68" s="47"/>
      <c r="G68" s="47"/>
      <c r="H68" s="47"/>
      <c r="I68" s="26"/>
      <c r="J68" s="323" t="str">
        <f t="shared" ref="J68:CM68" si="76">IF(AND($I68="Yes",J$2=$H68),"♦","")</f>
        <v/>
      </c>
      <c r="K68" s="323" t="str">
        <f t="shared" si="76"/>
        <v/>
      </c>
      <c r="L68" s="323" t="str">
        <f t="shared" si="76"/>
        <v/>
      </c>
      <c r="M68" s="323" t="str">
        <f t="shared" si="76"/>
        <v/>
      </c>
      <c r="N68" s="323" t="str">
        <f t="shared" si="76"/>
        <v/>
      </c>
      <c r="O68" s="323" t="str">
        <f t="shared" si="76"/>
        <v/>
      </c>
      <c r="P68" s="323" t="str">
        <f t="shared" si="76"/>
        <v/>
      </c>
      <c r="Q68" s="323" t="str">
        <f t="shared" si="76"/>
        <v/>
      </c>
      <c r="R68" s="323" t="str">
        <f t="shared" si="76"/>
        <v/>
      </c>
      <c r="S68" s="323" t="str">
        <f t="shared" si="76"/>
        <v/>
      </c>
      <c r="T68" s="323" t="str">
        <f t="shared" si="76"/>
        <v/>
      </c>
      <c r="U68" s="323" t="str">
        <f t="shared" si="76"/>
        <v/>
      </c>
      <c r="V68" s="323" t="str">
        <f t="shared" si="76"/>
        <v/>
      </c>
      <c r="W68" s="323" t="str">
        <f t="shared" si="76"/>
        <v/>
      </c>
      <c r="X68" s="323" t="str">
        <f t="shared" si="76"/>
        <v/>
      </c>
      <c r="Y68" s="323" t="str">
        <f t="shared" si="76"/>
        <v/>
      </c>
      <c r="Z68" s="323" t="str">
        <f t="shared" si="76"/>
        <v/>
      </c>
      <c r="AA68" s="323" t="str">
        <f t="shared" si="76"/>
        <v/>
      </c>
      <c r="AB68" s="323" t="str">
        <f t="shared" si="76"/>
        <v/>
      </c>
      <c r="AC68" s="323" t="str">
        <f t="shared" si="76"/>
        <v/>
      </c>
      <c r="AD68" s="323" t="str">
        <f t="shared" si="76"/>
        <v/>
      </c>
      <c r="AE68" s="323" t="str">
        <f t="shared" si="76"/>
        <v/>
      </c>
      <c r="AF68" s="323" t="str">
        <f t="shared" si="76"/>
        <v/>
      </c>
      <c r="AG68" s="323" t="str">
        <f t="shared" si="76"/>
        <v/>
      </c>
      <c r="AH68" s="323" t="str">
        <f t="shared" si="76"/>
        <v/>
      </c>
      <c r="AI68" s="323" t="str">
        <f t="shared" si="76"/>
        <v/>
      </c>
      <c r="AJ68" s="323" t="str">
        <f t="shared" si="76"/>
        <v/>
      </c>
      <c r="AK68" s="323" t="str">
        <f t="shared" si="76"/>
        <v/>
      </c>
      <c r="AL68" s="323" t="str">
        <f t="shared" si="76"/>
        <v/>
      </c>
      <c r="AM68" s="323" t="str">
        <f t="shared" si="76"/>
        <v/>
      </c>
      <c r="AN68" s="323" t="str">
        <f t="shared" si="76"/>
        <v/>
      </c>
      <c r="AO68" s="323" t="str">
        <f t="shared" si="76"/>
        <v/>
      </c>
      <c r="AP68" s="323" t="str">
        <f t="shared" si="76"/>
        <v/>
      </c>
      <c r="AQ68" s="323" t="str">
        <f t="shared" si="76"/>
        <v/>
      </c>
      <c r="AR68" s="323" t="str">
        <f t="shared" si="76"/>
        <v/>
      </c>
      <c r="AS68" s="323" t="str">
        <f t="shared" si="76"/>
        <v/>
      </c>
      <c r="AT68" s="323" t="str">
        <f t="shared" si="76"/>
        <v/>
      </c>
      <c r="AU68" s="323" t="str">
        <f t="shared" si="76"/>
        <v/>
      </c>
      <c r="AV68" s="323" t="str">
        <f t="shared" si="76"/>
        <v/>
      </c>
      <c r="AW68" s="323" t="str">
        <f t="shared" si="76"/>
        <v/>
      </c>
      <c r="AX68" s="323" t="str">
        <f t="shared" si="76"/>
        <v/>
      </c>
      <c r="AY68" s="323" t="str">
        <f t="shared" si="76"/>
        <v/>
      </c>
      <c r="AZ68" s="323" t="str">
        <f t="shared" si="76"/>
        <v/>
      </c>
      <c r="BA68" s="323" t="str">
        <f t="shared" si="76"/>
        <v/>
      </c>
      <c r="BB68" s="323" t="str">
        <f t="shared" si="76"/>
        <v/>
      </c>
      <c r="BC68" s="323" t="str">
        <f t="shared" si="76"/>
        <v/>
      </c>
      <c r="BD68" s="323" t="str">
        <f t="shared" si="76"/>
        <v/>
      </c>
      <c r="BE68" s="323" t="str">
        <f t="shared" si="76"/>
        <v/>
      </c>
      <c r="BF68" s="323" t="str">
        <f t="shared" si="76"/>
        <v/>
      </c>
      <c r="BG68" s="323" t="str">
        <f t="shared" si="76"/>
        <v/>
      </c>
      <c r="BH68" s="323" t="str">
        <f t="shared" si="76"/>
        <v/>
      </c>
      <c r="BI68" s="323" t="str">
        <f t="shared" si="76"/>
        <v/>
      </c>
      <c r="BJ68" s="323" t="str">
        <f t="shared" si="76"/>
        <v/>
      </c>
      <c r="BK68" s="323" t="str">
        <f t="shared" si="76"/>
        <v/>
      </c>
      <c r="BL68" s="323" t="str">
        <f t="shared" si="76"/>
        <v/>
      </c>
      <c r="BM68" s="323" t="str">
        <f t="shared" si="76"/>
        <v/>
      </c>
      <c r="BN68" s="323" t="str">
        <f t="shared" si="76"/>
        <v/>
      </c>
      <c r="BO68" s="323" t="str">
        <f t="shared" si="76"/>
        <v/>
      </c>
      <c r="BP68" s="323" t="str">
        <f t="shared" si="76"/>
        <v/>
      </c>
      <c r="BQ68" s="323" t="str">
        <f t="shared" si="76"/>
        <v/>
      </c>
      <c r="BR68" s="323" t="str">
        <f t="shared" si="76"/>
        <v/>
      </c>
      <c r="BS68" s="323" t="str">
        <f t="shared" si="76"/>
        <v/>
      </c>
      <c r="BT68" s="323" t="str">
        <f t="shared" si="76"/>
        <v/>
      </c>
      <c r="BU68" s="323" t="str">
        <f t="shared" si="76"/>
        <v/>
      </c>
      <c r="BV68" s="323" t="str">
        <f t="shared" si="76"/>
        <v/>
      </c>
      <c r="BW68" s="323" t="str">
        <f t="shared" si="76"/>
        <v/>
      </c>
      <c r="BX68" s="323" t="str">
        <f t="shared" si="76"/>
        <v/>
      </c>
      <c r="BY68" s="323" t="str">
        <f t="shared" si="76"/>
        <v/>
      </c>
      <c r="BZ68" s="323" t="str">
        <f t="shared" si="76"/>
        <v/>
      </c>
      <c r="CA68" s="323" t="str">
        <f t="shared" si="76"/>
        <v/>
      </c>
      <c r="CB68" s="323" t="str">
        <f t="shared" si="76"/>
        <v/>
      </c>
      <c r="CC68" s="323" t="str">
        <f t="shared" si="76"/>
        <v/>
      </c>
      <c r="CD68" s="323" t="str">
        <f t="shared" si="76"/>
        <v/>
      </c>
      <c r="CE68" s="323" t="str">
        <f t="shared" si="76"/>
        <v/>
      </c>
      <c r="CF68" s="323" t="str">
        <f t="shared" si="76"/>
        <v/>
      </c>
      <c r="CG68" s="323" t="str">
        <f t="shared" si="76"/>
        <v/>
      </c>
      <c r="CH68" s="323" t="str">
        <f t="shared" si="76"/>
        <v/>
      </c>
      <c r="CI68" s="323" t="str">
        <f t="shared" si="76"/>
        <v/>
      </c>
      <c r="CJ68" s="323" t="str">
        <f t="shared" si="76"/>
        <v/>
      </c>
      <c r="CK68" s="323" t="str">
        <f t="shared" si="76"/>
        <v/>
      </c>
      <c r="CL68" s="323" t="str">
        <f t="shared" si="76"/>
        <v/>
      </c>
      <c r="CM68" s="323" t="str">
        <f t="shared" si="76"/>
        <v/>
      </c>
      <c r="CN68" s="323"/>
      <c r="CO68" s="323"/>
      <c r="CP68" s="323" t="str">
        <f t="shared" si="16"/>
        <v/>
      </c>
      <c r="CQ68" s="323"/>
      <c r="CR68" s="323"/>
      <c r="CS68" s="323"/>
      <c r="CT68" s="323"/>
      <c r="CU68" s="323"/>
      <c r="CV68" s="323"/>
      <c r="CW68" s="323"/>
      <c r="CX68" s="323"/>
      <c r="CY68" s="323"/>
      <c r="CZ68" s="323"/>
      <c r="DA68" s="323"/>
      <c r="DB68" s="323"/>
      <c r="DC68" s="323"/>
      <c r="DD68" s="323"/>
      <c r="DE68" s="323"/>
      <c r="DF68" s="323"/>
      <c r="DG68" s="323"/>
      <c r="DH68" s="323"/>
      <c r="DI68" s="323"/>
      <c r="DJ68" s="323"/>
      <c r="DK68" s="323"/>
      <c r="DL68" s="323"/>
      <c r="DM68" s="323"/>
      <c r="DN68" s="323"/>
      <c r="DO68" s="323"/>
      <c r="DP68" s="323"/>
      <c r="DQ68" s="323"/>
      <c r="DR68" s="323"/>
      <c r="DS68" s="323"/>
      <c r="DT68" s="323"/>
      <c r="DU68" s="323"/>
      <c r="DV68" s="323"/>
      <c r="DW68" s="323"/>
      <c r="DX68" s="323"/>
      <c r="DY68" s="323"/>
      <c r="DZ68" s="323"/>
      <c r="EA68" s="323"/>
      <c r="EB68" s="323"/>
      <c r="EC68" s="323"/>
      <c r="ED68" s="323"/>
      <c r="EE68" s="323"/>
      <c r="EF68" s="323"/>
      <c r="EG68" s="323"/>
      <c r="EH68" s="323"/>
      <c r="EI68" s="323"/>
      <c r="EJ68" s="323"/>
      <c r="EK68" s="323"/>
      <c r="EL68" s="323"/>
      <c r="EM68" s="323"/>
      <c r="EN68" s="323"/>
      <c r="EO68" s="323"/>
      <c r="EP68" s="323"/>
      <c r="EQ68" s="323"/>
      <c r="ER68" s="323"/>
      <c r="ES68" s="323"/>
      <c r="ET68" s="323"/>
      <c r="EU68" s="323"/>
      <c r="EV68" s="323"/>
      <c r="EW68" s="323"/>
      <c r="EX68" s="323"/>
      <c r="EY68" s="323"/>
      <c r="EZ68" s="323"/>
      <c r="FA68" s="323"/>
      <c r="FB68" s="323"/>
      <c r="FC68" s="323"/>
      <c r="FD68" s="323"/>
      <c r="FE68" s="323"/>
      <c r="FF68" s="323"/>
      <c r="FG68" s="323"/>
      <c r="FH68" s="323"/>
      <c r="FI68" s="323"/>
      <c r="FJ68" s="323"/>
      <c r="FK68" s="323"/>
      <c r="FL68" s="323"/>
      <c r="FM68" s="323"/>
      <c r="FN68" s="323"/>
      <c r="FO68" s="323"/>
      <c r="FP68" s="323"/>
      <c r="FQ68" s="323"/>
      <c r="FR68" s="323"/>
      <c r="FS68" s="323"/>
      <c r="FT68" s="323"/>
      <c r="FU68" s="323"/>
      <c r="FV68" s="323"/>
      <c r="FW68" s="323"/>
      <c r="FX68" s="323"/>
    </row>
    <row r="69" ht="15.75" customHeight="1">
      <c r="A69" s="44">
        <v>64.0</v>
      </c>
      <c r="B69" s="27"/>
      <c r="C69" s="44"/>
      <c r="D69" s="44"/>
      <c r="E69" s="330"/>
      <c r="F69" s="47"/>
      <c r="G69" s="47"/>
      <c r="H69" s="47"/>
      <c r="I69" s="26"/>
      <c r="J69" s="323" t="str">
        <f t="shared" ref="J69:CM69" si="77">IF(AND($I69="Yes",J$2=$H69),"♦","")</f>
        <v/>
      </c>
      <c r="K69" s="323" t="str">
        <f t="shared" si="77"/>
        <v/>
      </c>
      <c r="L69" s="323" t="str">
        <f t="shared" si="77"/>
        <v/>
      </c>
      <c r="M69" s="323" t="str">
        <f t="shared" si="77"/>
        <v/>
      </c>
      <c r="N69" s="323" t="str">
        <f t="shared" si="77"/>
        <v/>
      </c>
      <c r="O69" s="323" t="str">
        <f t="shared" si="77"/>
        <v/>
      </c>
      <c r="P69" s="323" t="str">
        <f t="shared" si="77"/>
        <v/>
      </c>
      <c r="Q69" s="323" t="str">
        <f t="shared" si="77"/>
        <v/>
      </c>
      <c r="R69" s="323" t="str">
        <f t="shared" si="77"/>
        <v/>
      </c>
      <c r="S69" s="323" t="str">
        <f t="shared" si="77"/>
        <v/>
      </c>
      <c r="T69" s="323" t="str">
        <f t="shared" si="77"/>
        <v/>
      </c>
      <c r="U69" s="323" t="str">
        <f t="shared" si="77"/>
        <v/>
      </c>
      <c r="V69" s="323" t="str">
        <f t="shared" si="77"/>
        <v/>
      </c>
      <c r="W69" s="323" t="str">
        <f t="shared" si="77"/>
        <v/>
      </c>
      <c r="X69" s="323" t="str">
        <f t="shared" si="77"/>
        <v/>
      </c>
      <c r="Y69" s="323" t="str">
        <f t="shared" si="77"/>
        <v/>
      </c>
      <c r="Z69" s="323" t="str">
        <f t="shared" si="77"/>
        <v/>
      </c>
      <c r="AA69" s="323" t="str">
        <f t="shared" si="77"/>
        <v/>
      </c>
      <c r="AB69" s="323" t="str">
        <f t="shared" si="77"/>
        <v/>
      </c>
      <c r="AC69" s="323" t="str">
        <f t="shared" si="77"/>
        <v/>
      </c>
      <c r="AD69" s="323" t="str">
        <f t="shared" si="77"/>
        <v/>
      </c>
      <c r="AE69" s="323" t="str">
        <f t="shared" si="77"/>
        <v/>
      </c>
      <c r="AF69" s="323" t="str">
        <f t="shared" si="77"/>
        <v/>
      </c>
      <c r="AG69" s="323" t="str">
        <f t="shared" si="77"/>
        <v/>
      </c>
      <c r="AH69" s="323" t="str">
        <f t="shared" si="77"/>
        <v/>
      </c>
      <c r="AI69" s="323" t="str">
        <f t="shared" si="77"/>
        <v/>
      </c>
      <c r="AJ69" s="323" t="str">
        <f t="shared" si="77"/>
        <v/>
      </c>
      <c r="AK69" s="323" t="str">
        <f t="shared" si="77"/>
        <v/>
      </c>
      <c r="AL69" s="323" t="str">
        <f t="shared" si="77"/>
        <v/>
      </c>
      <c r="AM69" s="323" t="str">
        <f t="shared" si="77"/>
        <v/>
      </c>
      <c r="AN69" s="323" t="str">
        <f t="shared" si="77"/>
        <v/>
      </c>
      <c r="AO69" s="323" t="str">
        <f t="shared" si="77"/>
        <v/>
      </c>
      <c r="AP69" s="323" t="str">
        <f t="shared" si="77"/>
        <v/>
      </c>
      <c r="AQ69" s="323" t="str">
        <f t="shared" si="77"/>
        <v/>
      </c>
      <c r="AR69" s="323" t="str">
        <f t="shared" si="77"/>
        <v/>
      </c>
      <c r="AS69" s="323" t="str">
        <f t="shared" si="77"/>
        <v/>
      </c>
      <c r="AT69" s="323" t="str">
        <f t="shared" si="77"/>
        <v/>
      </c>
      <c r="AU69" s="323" t="str">
        <f t="shared" si="77"/>
        <v/>
      </c>
      <c r="AV69" s="323" t="str">
        <f t="shared" si="77"/>
        <v/>
      </c>
      <c r="AW69" s="323" t="str">
        <f t="shared" si="77"/>
        <v/>
      </c>
      <c r="AX69" s="323" t="str">
        <f t="shared" si="77"/>
        <v/>
      </c>
      <c r="AY69" s="323" t="str">
        <f t="shared" si="77"/>
        <v/>
      </c>
      <c r="AZ69" s="323" t="str">
        <f t="shared" si="77"/>
        <v/>
      </c>
      <c r="BA69" s="323" t="str">
        <f t="shared" si="77"/>
        <v/>
      </c>
      <c r="BB69" s="323" t="str">
        <f t="shared" si="77"/>
        <v/>
      </c>
      <c r="BC69" s="323" t="str">
        <f t="shared" si="77"/>
        <v/>
      </c>
      <c r="BD69" s="323" t="str">
        <f t="shared" si="77"/>
        <v/>
      </c>
      <c r="BE69" s="323" t="str">
        <f t="shared" si="77"/>
        <v/>
      </c>
      <c r="BF69" s="323" t="str">
        <f t="shared" si="77"/>
        <v/>
      </c>
      <c r="BG69" s="323" t="str">
        <f t="shared" si="77"/>
        <v/>
      </c>
      <c r="BH69" s="323" t="str">
        <f t="shared" si="77"/>
        <v/>
      </c>
      <c r="BI69" s="323" t="str">
        <f t="shared" si="77"/>
        <v/>
      </c>
      <c r="BJ69" s="323" t="str">
        <f t="shared" si="77"/>
        <v/>
      </c>
      <c r="BK69" s="323" t="str">
        <f t="shared" si="77"/>
        <v/>
      </c>
      <c r="BL69" s="323" t="str">
        <f t="shared" si="77"/>
        <v/>
      </c>
      <c r="BM69" s="323" t="str">
        <f t="shared" si="77"/>
        <v/>
      </c>
      <c r="BN69" s="323" t="str">
        <f t="shared" si="77"/>
        <v/>
      </c>
      <c r="BO69" s="323" t="str">
        <f t="shared" si="77"/>
        <v/>
      </c>
      <c r="BP69" s="323" t="str">
        <f t="shared" si="77"/>
        <v/>
      </c>
      <c r="BQ69" s="323" t="str">
        <f t="shared" si="77"/>
        <v/>
      </c>
      <c r="BR69" s="323" t="str">
        <f t="shared" si="77"/>
        <v/>
      </c>
      <c r="BS69" s="323" t="str">
        <f t="shared" si="77"/>
        <v/>
      </c>
      <c r="BT69" s="323" t="str">
        <f t="shared" si="77"/>
        <v/>
      </c>
      <c r="BU69" s="323" t="str">
        <f t="shared" si="77"/>
        <v/>
      </c>
      <c r="BV69" s="323" t="str">
        <f t="shared" si="77"/>
        <v/>
      </c>
      <c r="BW69" s="323" t="str">
        <f t="shared" si="77"/>
        <v/>
      </c>
      <c r="BX69" s="323" t="str">
        <f t="shared" si="77"/>
        <v/>
      </c>
      <c r="BY69" s="323" t="str">
        <f t="shared" si="77"/>
        <v/>
      </c>
      <c r="BZ69" s="323" t="str">
        <f t="shared" si="77"/>
        <v/>
      </c>
      <c r="CA69" s="323" t="str">
        <f t="shared" si="77"/>
        <v/>
      </c>
      <c r="CB69" s="323" t="str">
        <f t="shared" si="77"/>
        <v/>
      </c>
      <c r="CC69" s="323" t="str">
        <f t="shared" si="77"/>
        <v/>
      </c>
      <c r="CD69" s="323" t="str">
        <f t="shared" si="77"/>
        <v/>
      </c>
      <c r="CE69" s="323" t="str">
        <f t="shared" si="77"/>
        <v/>
      </c>
      <c r="CF69" s="323" t="str">
        <f t="shared" si="77"/>
        <v/>
      </c>
      <c r="CG69" s="323" t="str">
        <f t="shared" si="77"/>
        <v/>
      </c>
      <c r="CH69" s="323" t="str">
        <f t="shared" si="77"/>
        <v/>
      </c>
      <c r="CI69" s="323" t="str">
        <f t="shared" si="77"/>
        <v/>
      </c>
      <c r="CJ69" s="323" t="str">
        <f t="shared" si="77"/>
        <v/>
      </c>
      <c r="CK69" s="323" t="str">
        <f t="shared" si="77"/>
        <v/>
      </c>
      <c r="CL69" s="323" t="str">
        <f t="shared" si="77"/>
        <v/>
      </c>
      <c r="CM69" s="323" t="str">
        <f t="shared" si="77"/>
        <v/>
      </c>
      <c r="CN69" s="323"/>
      <c r="CO69" s="323"/>
      <c r="CP69" s="323" t="str">
        <f t="shared" si="16"/>
        <v/>
      </c>
      <c r="CQ69" s="323"/>
      <c r="CR69" s="323"/>
      <c r="CS69" s="323"/>
      <c r="CT69" s="323"/>
      <c r="CU69" s="323"/>
      <c r="CV69" s="323"/>
      <c r="CW69" s="323"/>
      <c r="CX69" s="323"/>
      <c r="CY69" s="323"/>
      <c r="CZ69" s="323"/>
      <c r="DA69" s="323"/>
      <c r="DB69" s="323"/>
      <c r="DC69" s="323"/>
      <c r="DD69" s="323"/>
      <c r="DE69" s="323"/>
      <c r="DF69" s="323"/>
      <c r="DG69" s="323"/>
      <c r="DH69" s="323"/>
      <c r="DI69" s="323"/>
      <c r="DJ69" s="323"/>
      <c r="DK69" s="323"/>
      <c r="DL69" s="323"/>
      <c r="DM69" s="323"/>
      <c r="DN69" s="323"/>
      <c r="DO69" s="323"/>
      <c r="DP69" s="323"/>
      <c r="DQ69" s="323"/>
      <c r="DR69" s="323"/>
      <c r="DS69" s="323"/>
      <c r="DT69" s="323"/>
      <c r="DU69" s="323"/>
      <c r="DV69" s="323"/>
      <c r="DW69" s="323"/>
      <c r="DX69" s="323"/>
      <c r="DY69" s="323"/>
      <c r="DZ69" s="323"/>
      <c r="EA69" s="323"/>
      <c r="EB69" s="323"/>
      <c r="EC69" s="323"/>
      <c r="ED69" s="323"/>
      <c r="EE69" s="323"/>
      <c r="EF69" s="323"/>
      <c r="EG69" s="323"/>
      <c r="EH69" s="323"/>
      <c r="EI69" s="323"/>
      <c r="EJ69" s="323"/>
      <c r="EK69" s="323"/>
      <c r="EL69" s="323"/>
      <c r="EM69" s="323"/>
      <c r="EN69" s="323"/>
      <c r="EO69" s="323"/>
      <c r="EP69" s="323"/>
      <c r="EQ69" s="323"/>
      <c r="ER69" s="323"/>
      <c r="ES69" s="323"/>
      <c r="ET69" s="323"/>
      <c r="EU69" s="323"/>
      <c r="EV69" s="323"/>
      <c r="EW69" s="323"/>
      <c r="EX69" s="323"/>
      <c r="EY69" s="323"/>
      <c r="EZ69" s="323"/>
      <c r="FA69" s="323"/>
      <c r="FB69" s="323"/>
      <c r="FC69" s="323"/>
      <c r="FD69" s="323"/>
      <c r="FE69" s="323"/>
      <c r="FF69" s="323"/>
      <c r="FG69" s="323"/>
      <c r="FH69" s="323"/>
      <c r="FI69" s="323"/>
      <c r="FJ69" s="323"/>
      <c r="FK69" s="323"/>
      <c r="FL69" s="323"/>
      <c r="FM69" s="323"/>
      <c r="FN69" s="323"/>
      <c r="FO69" s="323"/>
      <c r="FP69" s="323"/>
      <c r="FQ69" s="323"/>
      <c r="FR69" s="323"/>
      <c r="FS69" s="323"/>
      <c r="FT69" s="323"/>
      <c r="FU69" s="323"/>
      <c r="FV69" s="323"/>
      <c r="FW69" s="323"/>
      <c r="FX69" s="323"/>
    </row>
    <row r="70" ht="15.75" customHeight="1">
      <c r="A70" s="44">
        <v>65.0</v>
      </c>
      <c r="B70" s="27"/>
      <c r="C70" s="44"/>
      <c r="D70" s="44"/>
      <c r="E70" s="330"/>
      <c r="F70" s="47"/>
      <c r="G70" s="47"/>
      <c r="H70" s="47"/>
      <c r="I70" s="26"/>
      <c r="J70" s="323" t="str">
        <f t="shared" ref="J70:CM70" si="78">IF(AND($I70="Yes",J$2=$H70),"♦","")</f>
        <v/>
      </c>
      <c r="K70" s="323" t="str">
        <f t="shared" si="78"/>
        <v/>
      </c>
      <c r="L70" s="323" t="str">
        <f t="shared" si="78"/>
        <v/>
      </c>
      <c r="M70" s="323" t="str">
        <f t="shared" si="78"/>
        <v/>
      </c>
      <c r="N70" s="323" t="str">
        <f t="shared" si="78"/>
        <v/>
      </c>
      <c r="O70" s="323" t="str">
        <f t="shared" si="78"/>
        <v/>
      </c>
      <c r="P70" s="323" t="str">
        <f t="shared" si="78"/>
        <v/>
      </c>
      <c r="Q70" s="323" t="str">
        <f t="shared" si="78"/>
        <v/>
      </c>
      <c r="R70" s="323" t="str">
        <f t="shared" si="78"/>
        <v/>
      </c>
      <c r="S70" s="323" t="str">
        <f t="shared" si="78"/>
        <v/>
      </c>
      <c r="T70" s="323" t="str">
        <f t="shared" si="78"/>
        <v/>
      </c>
      <c r="U70" s="323" t="str">
        <f t="shared" si="78"/>
        <v/>
      </c>
      <c r="V70" s="323" t="str">
        <f t="shared" si="78"/>
        <v/>
      </c>
      <c r="W70" s="323" t="str">
        <f t="shared" si="78"/>
        <v/>
      </c>
      <c r="X70" s="323" t="str">
        <f t="shared" si="78"/>
        <v/>
      </c>
      <c r="Y70" s="323" t="str">
        <f t="shared" si="78"/>
        <v/>
      </c>
      <c r="Z70" s="323" t="str">
        <f t="shared" si="78"/>
        <v/>
      </c>
      <c r="AA70" s="323" t="str">
        <f t="shared" si="78"/>
        <v/>
      </c>
      <c r="AB70" s="323" t="str">
        <f t="shared" si="78"/>
        <v/>
      </c>
      <c r="AC70" s="323" t="str">
        <f t="shared" si="78"/>
        <v/>
      </c>
      <c r="AD70" s="323" t="str">
        <f t="shared" si="78"/>
        <v/>
      </c>
      <c r="AE70" s="323" t="str">
        <f t="shared" si="78"/>
        <v/>
      </c>
      <c r="AF70" s="323" t="str">
        <f t="shared" si="78"/>
        <v/>
      </c>
      <c r="AG70" s="323" t="str">
        <f t="shared" si="78"/>
        <v/>
      </c>
      <c r="AH70" s="323" t="str">
        <f t="shared" si="78"/>
        <v/>
      </c>
      <c r="AI70" s="323" t="str">
        <f t="shared" si="78"/>
        <v/>
      </c>
      <c r="AJ70" s="323" t="str">
        <f t="shared" si="78"/>
        <v/>
      </c>
      <c r="AK70" s="323" t="str">
        <f t="shared" si="78"/>
        <v/>
      </c>
      <c r="AL70" s="323" t="str">
        <f t="shared" si="78"/>
        <v/>
      </c>
      <c r="AM70" s="323" t="str">
        <f t="shared" si="78"/>
        <v/>
      </c>
      <c r="AN70" s="323" t="str">
        <f t="shared" si="78"/>
        <v/>
      </c>
      <c r="AO70" s="323" t="str">
        <f t="shared" si="78"/>
        <v/>
      </c>
      <c r="AP70" s="323" t="str">
        <f t="shared" si="78"/>
        <v/>
      </c>
      <c r="AQ70" s="323" t="str">
        <f t="shared" si="78"/>
        <v/>
      </c>
      <c r="AR70" s="323" t="str">
        <f t="shared" si="78"/>
        <v/>
      </c>
      <c r="AS70" s="323" t="str">
        <f t="shared" si="78"/>
        <v/>
      </c>
      <c r="AT70" s="323" t="str">
        <f t="shared" si="78"/>
        <v/>
      </c>
      <c r="AU70" s="323" t="str">
        <f t="shared" si="78"/>
        <v/>
      </c>
      <c r="AV70" s="323" t="str">
        <f t="shared" si="78"/>
        <v/>
      </c>
      <c r="AW70" s="323" t="str">
        <f t="shared" si="78"/>
        <v/>
      </c>
      <c r="AX70" s="323" t="str">
        <f t="shared" si="78"/>
        <v/>
      </c>
      <c r="AY70" s="323" t="str">
        <f t="shared" si="78"/>
        <v/>
      </c>
      <c r="AZ70" s="323" t="str">
        <f t="shared" si="78"/>
        <v/>
      </c>
      <c r="BA70" s="323" t="str">
        <f t="shared" si="78"/>
        <v/>
      </c>
      <c r="BB70" s="323" t="str">
        <f t="shared" si="78"/>
        <v/>
      </c>
      <c r="BC70" s="323" t="str">
        <f t="shared" si="78"/>
        <v/>
      </c>
      <c r="BD70" s="323" t="str">
        <f t="shared" si="78"/>
        <v/>
      </c>
      <c r="BE70" s="323" t="str">
        <f t="shared" si="78"/>
        <v/>
      </c>
      <c r="BF70" s="323" t="str">
        <f t="shared" si="78"/>
        <v/>
      </c>
      <c r="BG70" s="323" t="str">
        <f t="shared" si="78"/>
        <v/>
      </c>
      <c r="BH70" s="323" t="str">
        <f t="shared" si="78"/>
        <v/>
      </c>
      <c r="BI70" s="323" t="str">
        <f t="shared" si="78"/>
        <v/>
      </c>
      <c r="BJ70" s="323" t="str">
        <f t="shared" si="78"/>
        <v/>
      </c>
      <c r="BK70" s="323" t="str">
        <f t="shared" si="78"/>
        <v/>
      </c>
      <c r="BL70" s="323" t="str">
        <f t="shared" si="78"/>
        <v/>
      </c>
      <c r="BM70" s="323" t="str">
        <f t="shared" si="78"/>
        <v/>
      </c>
      <c r="BN70" s="323" t="str">
        <f t="shared" si="78"/>
        <v/>
      </c>
      <c r="BO70" s="323" t="str">
        <f t="shared" si="78"/>
        <v/>
      </c>
      <c r="BP70" s="323" t="str">
        <f t="shared" si="78"/>
        <v/>
      </c>
      <c r="BQ70" s="323" t="str">
        <f t="shared" si="78"/>
        <v/>
      </c>
      <c r="BR70" s="323" t="str">
        <f t="shared" si="78"/>
        <v/>
      </c>
      <c r="BS70" s="323" t="str">
        <f t="shared" si="78"/>
        <v/>
      </c>
      <c r="BT70" s="323" t="str">
        <f t="shared" si="78"/>
        <v/>
      </c>
      <c r="BU70" s="323" t="str">
        <f t="shared" si="78"/>
        <v/>
      </c>
      <c r="BV70" s="323" t="str">
        <f t="shared" si="78"/>
        <v/>
      </c>
      <c r="BW70" s="323" t="str">
        <f t="shared" si="78"/>
        <v/>
      </c>
      <c r="BX70" s="323" t="str">
        <f t="shared" si="78"/>
        <v/>
      </c>
      <c r="BY70" s="323" t="str">
        <f t="shared" si="78"/>
        <v/>
      </c>
      <c r="BZ70" s="323" t="str">
        <f t="shared" si="78"/>
        <v/>
      </c>
      <c r="CA70" s="323" t="str">
        <f t="shared" si="78"/>
        <v/>
      </c>
      <c r="CB70" s="323" t="str">
        <f t="shared" si="78"/>
        <v/>
      </c>
      <c r="CC70" s="323" t="str">
        <f t="shared" si="78"/>
        <v/>
      </c>
      <c r="CD70" s="323" t="str">
        <f t="shared" si="78"/>
        <v/>
      </c>
      <c r="CE70" s="323" t="str">
        <f t="shared" si="78"/>
        <v/>
      </c>
      <c r="CF70" s="323" t="str">
        <f t="shared" si="78"/>
        <v/>
      </c>
      <c r="CG70" s="323" t="str">
        <f t="shared" si="78"/>
        <v/>
      </c>
      <c r="CH70" s="323" t="str">
        <f t="shared" si="78"/>
        <v/>
      </c>
      <c r="CI70" s="323" t="str">
        <f t="shared" si="78"/>
        <v/>
      </c>
      <c r="CJ70" s="323" t="str">
        <f t="shared" si="78"/>
        <v/>
      </c>
      <c r="CK70" s="323" t="str">
        <f t="shared" si="78"/>
        <v/>
      </c>
      <c r="CL70" s="323" t="str">
        <f t="shared" si="78"/>
        <v/>
      </c>
      <c r="CM70" s="323" t="str">
        <f t="shared" si="78"/>
        <v/>
      </c>
      <c r="CN70" s="323"/>
      <c r="CO70" s="323"/>
      <c r="CP70" s="323" t="str">
        <f t="shared" si="16"/>
        <v/>
      </c>
      <c r="CQ70" s="323"/>
      <c r="CR70" s="323"/>
      <c r="CS70" s="323"/>
      <c r="CT70" s="323"/>
      <c r="CU70" s="323"/>
      <c r="CV70" s="323"/>
      <c r="CW70" s="323"/>
      <c r="CX70" s="323"/>
      <c r="CY70" s="323"/>
      <c r="CZ70" s="323"/>
      <c r="DA70" s="323"/>
      <c r="DB70" s="323"/>
      <c r="DC70" s="323"/>
      <c r="DD70" s="323"/>
      <c r="DE70" s="323"/>
      <c r="DF70" s="323"/>
      <c r="DG70" s="323"/>
      <c r="DH70" s="323"/>
      <c r="DI70" s="323"/>
      <c r="DJ70" s="323"/>
      <c r="DK70" s="323"/>
      <c r="DL70" s="323"/>
      <c r="DM70" s="323"/>
      <c r="DN70" s="323"/>
      <c r="DO70" s="323"/>
      <c r="DP70" s="323"/>
      <c r="DQ70" s="323"/>
      <c r="DR70" s="323"/>
      <c r="DS70" s="323"/>
      <c r="DT70" s="323"/>
      <c r="DU70" s="323"/>
      <c r="DV70" s="323"/>
      <c r="DW70" s="323"/>
      <c r="DX70" s="323"/>
      <c r="DY70" s="323"/>
      <c r="DZ70" s="323"/>
      <c r="EA70" s="323"/>
      <c r="EB70" s="323"/>
      <c r="EC70" s="323"/>
      <c r="ED70" s="323"/>
      <c r="EE70" s="323"/>
      <c r="EF70" s="323"/>
      <c r="EG70" s="323"/>
      <c r="EH70" s="323"/>
      <c r="EI70" s="323"/>
      <c r="EJ70" s="323"/>
      <c r="EK70" s="323"/>
      <c r="EL70" s="323"/>
      <c r="EM70" s="323"/>
      <c r="EN70" s="323"/>
      <c r="EO70" s="323"/>
      <c r="EP70" s="323"/>
      <c r="EQ70" s="323"/>
      <c r="ER70" s="323"/>
      <c r="ES70" s="323"/>
      <c r="ET70" s="323"/>
      <c r="EU70" s="323"/>
      <c r="EV70" s="323"/>
      <c r="EW70" s="323"/>
      <c r="EX70" s="323"/>
      <c r="EY70" s="323"/>
      <c r="EZ70" s="323"/>
      <c r="FA70" s="323"/>
      <c r="FB70" s="323"/>
      <c r="FC70" s="323"/>
      <c r="FD70" s="323"/>
      <c r="FE70" s="323"/>
      <c r="FF70" s="323"/>
      <c r="FG70" s="323"/>
      <c r="FH70" s="323"/>
      <c r="FI70" s="323"/>
      <c r="FJ70" s="323"/>
      <c r="FK70" s="323"/>
      <c r="FL70" s="323"/>
      <c r="FM70" s="323"/>
      <c r="FN70" s="323"/>
      <c r="FO70" s="323"/>
      <c r="FP70" s="323"/>
      <c r="FQ70" s="323"/>
      <c r="FR70" s="323"/>
      <c r="FS70" s="323"/>
      <c r="FT70" s="323"/>
      <c r="FU70" s="323"/>
      <c r="FV70" s="323"/>
      <c r="FW70" s="323"/>
      <c r="FX70" s="323"/>
    </row>
    <row r="71" ht="15.75" customHeight="1">
      <c r="A71" s="44">
        <v>66.0</v>
      </c>
      <c r="B71" s="27"/>
      <c r="C71" s="44"/>
      <c r="D71" s="44"/>
      <c r="E71" s="330"/>
      <c r="F71" s="47"/>
      <c r="G71" s="47"/>
      <c r="H71" s="47"/>
      <c r="I71" s="26"/>
      <c r="J71" s="323" t="str">
        <f t="shared" ref="J71:CM71" si="79">IF(AND($I71="Yes",J$2=$H71),"♦","")</f>
        <v/>
      </c>
      <c r="K71" s="323" t="str">
        <f t="shared" si="79"/>
        <v/>
      </c>
      <c r="L71" s="323" t="str">
        <f t="shared" si="79"/>
        <v/>
      </c>
      <c r="M71" s="323" t="str">
        <f t="shared" si="79"/>
        <v/>
      </c>
      <c r="N71" s="323" t="str">
        <f t="shared" si="79"/>
        <v/>
      </c>
      <c r="O71" s="323" t="str">
        <f t="shared" si="79"/>
        <v/>
      </c>
      <c r="P71" s="323" t="str">
        <f t="shared" si="79"/>
        <v/>
      </c>
      <c r="Q71" s="323" t="str">
        <f t="shared" si="79"/>
        <v/>
      </c>
      <c r="R71" s="323" t="str">
        <f t="shared" si="79"/>
        <v/>
      </c>
      <c r="S71" s="323" t="str">
        <f t="shared" si="79"/>
        <v/>
      </c>
      <c r="T71" s="323" t="str">
        <f t="shared" si="79"/>
        <v/>
      </c>
      <c r="U71" s="323" t="str">
        <f t="shared" si="79"/>
        <v/>
      </c>
      <c r="V71" s="323" t="str">
        <f t="shared" si="79"/>
        <v/>
      </c>
      <c r="W71" s="323" t="str">
        <f t="shared" si="79"/>
        <v/>
      </c>
      <c r="X71" s="323" t="str">
        <f t="shared" si="79"/>
        <v/>
      </c>
      <c r="Y71" s="323" t="str">
        <f t="shared" si="79"/>
        <v/>
      </c>
      <c r="Z71" s="323" t="str">
        <f t="shared" si="79"/>
        <v/>
      </c>
      <c r="AA71" s="323" t="str">
        <f t="shared" si="79"/>
        <v/>
      </c>
      <c r="AB71" s="323" t="str">
        <f t="shared" si="79"/>
        <v/>
      </c>
      <c r="AC71" s="323" t="str">
        <f t="shared" si="79"/>
        <v/>
      </c>
      <c r="AD71" s="323" t="str">
        <f t="shared" si="79"/>
        <v/>
      </c>
      <c r="AE71" s="323" t="str">
        <f t="shared" si="79"/>
        <v/>
      </c>
      <c r="AF71" s="323" t="str">
        <f t="shared" si="79"/>
        <v/>
      </c>
      <c r="AG71" s="323" t="str">
        <f t="shared" si="79"/>
        <v/>
      </c>
      <c r="AH71" s="323" t="str">
        <f t="shared" si="79"/>
        <v/>
      </c>
      <c r="AI71" s="323" t="str">
        <f t="shared" si="79"/>
        <v/>
      </c>
      <c r="AJ71" s="323" t="str">
        <f t="shared" si="79"/>
        <v/>
      </c>
      <c r="AK71" s="323" t="str">
        <f t="shared" si="79"/>
        <v/>
      </c>
      <c r="AL71" s="323" t="str">
        <f t="shared" si="79"/>
        <v/>
      </c>
      <c r="AM71" s="323" t="str">
        <f t="shared" si="79"/>
        <v/>
      </c>
      <c r="AN71" s="323" t="str">
        <f t="shared" si="79"/>
        <v/>
      </c>
      <c r="AO71" s="323" t="str">
        <f t="shared" si="79"/>
        <v/>
      </c>
      <c r="AP71" s="323" t="str">
        <f t="shared" si="79"/>
        <v/>
      </c>
      <c r="AQ71" s="323" t="str">
        <f t="shared" si="79"/>
        <v/>
      </c>
      <c r="AR71" s="323" t="str">
        <f t="shared" si="79"/>
        <v/>
      </c>
      <c r="AS71" s="323" t="str">
        <f t="shared" si="79"/>
        <v/>
      </c>
      <c r="AT71" s="323" t="str">
        <f t="shared" si="79"/>
        <v/>
      </c>
      <c r="AU71" s="323" t="str">
        <f t="shared" si="79"/>
        <v/>
      </c>
      <c r="AV71" s="323" t="str">
        <f t="shared" si="79"/>
        <v/>
      </c>
      <c r="AW71" s="323" t="str">
        <f t="shared" si="79"/>
        <v/>
      </c>
      <c r="AX71" s="323" t="str">
        <f t="shared" si="79"/>
        <v/>
      </c>
      <c r="AY71" s="323" t="str">
        <f t="shared" si="79"/>
        <v/>
      </c>
      <c r="AZ71" s="323" t="str">
        <f t="shared" si="79"/>
        <v/>
      </c>
      <c r="BA71" s="323" t="str">
        <f t="shared" si="79"/>
        <v/>
      </c>
      <c r="BB71" s="323" t="str">
        <f t="shared" si="79"/>
        <v/>
      </c>
      <c r="BC71" s="323" t="str">
        <f t="shared" si="79"/>
        <v/>
      </c>
      <c r="BD71" s="323" t="str">
        <f t="shared" si="79"/>
        <v/>
      </c>
      <c r="BE71" s="323" t="str">
        <f t="shared" si="79"/>
        <v/>
      </c>
      <c r="BF71" s="323" t="str">
        <f t="shared" si="79"/>
        <v/>
      </c>
      <c r="BG71" s="323" t="str">
        <f t="shared" si="79"/>
        <v/>
      </c>
      <c r="BH71" s="323" t="str">
        <f t="shared" si="79"/>
        <v/>
      </c>
      <c r="BI71" s="323" t="str">
        <f t="shared" si="79"/>
        <v/>
      </c>
      <c r="BJ71" s="323" t="str">
        <f t="shared" si="79"/>
        <v/>
      </c>
      <c r="BK71" s="323" t="str">
        <f t="shared" si="79"/>
        <v/>
      </c>
      <c r="BL71" s="323" t="str">
        <f t="shared" si="79"/>
        <v/>
      </c>
      <c r="BM71" s="323" t="str">
        <f t="shared" si="79"/>
        <v/>
      </c>
      <c r="BN71" s="323" t="str">
        <f t="shared" si="79"/>
        <v/>
      </c>
      <c r="BO71" s="323" t="str">
        <f t="shared" si="79"/>
        <v/>
      </c>
      <c r="BP71" s="323" t="str">
        <f t="shared" si="79"/>
        <v/>
      </c>
      <c r="BQ71" s="323" t="str">
        <f t="shared" si="79"/>
        <v/>
      </c>
      <c r="BR71" s="323" t="str">
        <f t="shared" si="79"/>
        <v/>
      </c>
      <c r="BS71" s="323" t="str">
        <f t="shared" si="79"/>
        <v/>
      </c>
      <c r="BT71" s="323" t="str">
        <f t="shared" si="79"/>
        <v/>
      </c>
      <c r="BU71" s="323" t="str">
        <f t="shared" si="79"/>
        <v/>
      </c>
      <c r="BV71" s="323" t="str">
        <f t="shared" si="79"/>
        <v/>
      </c>
      <c r="BW71" s="323" t="str">
        <f t="shared" si="79"/>
        <v/>
      </c>
      <c r="BX71" s="323" t="str">
        <f t="shared" si="79"/>
        <v/>
      </c>
      <c r="BY71" s="323" t="str">
        <f t="shared" si="79"/>
        <v/>
      </c>
      <c r="BZ71" s="323" t="str">
        <f t="shared" si="79"/>
        <v/>
      </c>
      <c r="CA71" s="323" t="str">
        <f t="shared" si="79"/>
        <v/>
      </c>
      <c r="CB71" s="323" t="str">
        <f t="shared" si="79"/>
        <v/>
      </c>
      <c r="CC71" s="323" t="str">
        <f t="shared" si="79"/>
        <v/>
      </c>
      <c r="CD71" s="323" t="str">
        <f t="shared" si="79"/>
        <v/>
      </c>
      <c r="CE71" s="323" t="str">
        <f t="shared" si="79"/>
        <v/>
      </c>
      <c r="CF71" s="323" t="str">
        <f t="shared" si="79"/>
        <v/>
      </c>
      <c r="CG71" s="323" t="str">
        <f t="shared" si="79"/>
        <v/>
      </c>
      <c r="CH71" s="323" t="str">
        <f t="shared" si="79"/>
        <v/>
      </c>
      <c r="CI71" s="323" t="str">
        <f t="shared" si="79"/>
        <v/>
      </c>
      <c r="CJ71" s="323" t="str">
        <f t="shared" si="79"/>
        <v/>
      </c>
      <c r="CK71" s="323" t="str">
        <f t="shared" si="79"/>
        <v/>
      </c>
      <c r="CL71" s="323" t="str">
        <f t="shared" si="79"/>
        <v/>
      </c>
      <c r="CM71" s="323" t="str">
        <f t="shared" si="79"/>
        <v/>
      </c>
      <c r="CN71" s="323"/>
      <c r="CO71" s="323"/>
      <c r="CP71" s="323" t="str">
        <f t="shared" si="16"/>
        <v/>
      </c>
      <c r="CQ71" s="323"/>
      <c r="CR71" s="323"/>
      <c r="CS71" s="323"/>
      <c r="CT71" s="323"/>
      <c r="CU71" s="323"/>
      <c r="CV71" s="323"/>
      <c r="CW71" s="323"/>
      <c r="CX71" s="323"/>
      <c r="CY71" s="323"/>
      <c r="CZ71" s="323"/>
      <c r="DA71" s="323"/>
      <c r="DB71" s="323"/>
      <c r="DC71" s="323"/>
      <c r="DD71" s="323"/>
      <c r="DE71" s="323"/>
      <c r="DF71" s="323"/>
      <c r="DG71" s="323"/>
      <c r="DH71" s="323"/>
      <c r="DI71" s="323"/>
      <c r="DJ71" s="323"/>
      <c r="DK71" s="323"/>
      <c r="DL71" s="323"/>
      <c r="DM71" s="323"/>
      <c r="DN71" s="323"/>
      <c r="DO71" s="323"/>
      <c r="DP71" s="323"/>
      <c r="DQ71" s="323"/>
      <c r="DR71" s="323"/>
      <c r="DS71" s="323"/>
      <c r="DT71" s="323"/>
      <c r="DU71" s="323"/>
      <c r="DV71" s="323"/>
      <c r="DW71" s="323"/>
      <c r="DX71" s="323"/>
      <c r="DY71" s="323"/>
      <c r="DZ71" s="323"/>
      <c r="EA71" s="323"/>
      <c r="EB71" s="323"/>
      <c r="EC71" s="323"/>
      <c r="ED71" s="323"/>
      <c r="EE71" s="323"/>
      <c r="EF71" s="323"/>
      <c r="EG71" s="323"/>
      <c r="EH71" s="323"/>
      <c r="EI71" s="323"/>
      <c r="EJ71" s="323"/>
      <c r="EK71" s="323"/>
      <c r="EL71" s="323"/>
      <c r="EM71" s="323"/>
      <c r="EN71" s="323"/>
      <c r="EO71" s="323"/>
      <c r="EP71" s="323"/>
      <c r="EQ71" s="323"/>
      <c r="ER71" s="323"/>
      <c r="ES71" s="323"/>
      <c r="ET71" s="323"/>
      <c r="EU71" s="323"/>
      <c r="EV71" s="323"/>
      <c r="EW71" s="323"/>
      <c r="EX71" s="323"/>
      <c r="EY71" s="323"/>
      <c r="EZ71" s="323"/>
      <c r="FA71" s="323"/>
      <c r="FB71" s="323"/>
      <c r="FC71" s="323"/>
      <c r="FD71" s="323"/>
      <c r="FE71" s="323"/>
      <c r="FF71" s="323"/>
      <c r="FG71" s="323"/>
      <c r="FH71" s="323"/>
      <c r="FI71" s="323"/>
      <c r="FJ71" s="323"/>
      <c r="FK71" s="323"/>
      <c r="FL71" s="323"/>
      <c r="FM71" s="323"/>
      <c r="FN71" s="323"/>
      <c r="FO71" s="323"/>
      <c r="FP71" s="323"/>
      <c r="FQ71" s="323"/>
      <c r="FR71" s="323"/>
      <c r="FS71" s="323"/>
      <c r="FT71" s="323"/>
      <c r="FU71" s="323"/>
      <c r="FV71" s="323"/>
      <c r="FW71" s="323"/>
      <c r="FX71" s="323"/>
    </row>
    <row r="72" ht="15.75" customHeight="1">
      <c r="A72" s="44">
        <v>67.0</v>
      </c>
      <c r="B72" s="27"/>
      <c r="C72" s="44"/>
      <c r="D72" s="44"/>
      <c r="E72" s="330"/>
      <c r="F72" s="47"/>
      <c r="G72" s="47"/>
      <c r="H72" s="47"/>
      <c r="I72" s="26"/>
      <c r="J72" s="323" t="str">
        <f t="shared" ref="J72:CM72" si="80">IF(AND($I72="Yes",J$2=$H72),"♦","")</f>
        <v/>
      </c>
      <c r="K72" s="323" t="str">
        <f t="shared" si="80"/>
        <v/>
      </c>
      <c r="L72" s="323" t="str">
        <f t="shared" si="80"/>
        <v/>
      </c>
      <c r="M72" s="323" t="str">
        <f t="shared" si="80"/>
        <v/>
      </c>
      <c r="N72" s="323" t="str">
        <f t="shared" si="80"/>
        <v/>
      </c>
      <c r="O72" s="323" t="str">
        <f t="shared" si="80"/>
        <v/>
      </c>
      <c r="P72" s="323" t="str">
        <f t="shared" si="80"/>
        <v/>
      </c>
      <c r="Q72" s="323" t="str">
        <f t="shared" si="80"/>
        <v/>
      </c>
      <c r="R72" s="323" t="str">
        <f t="shared" si="80"/>
        <v/>
      </c>
      <c r="S72" s="323" t="str">
        <f t="shared" si="80"/>
        <v/>
      </c>
      <c r="T72" s="323" t="str">
        <f t="shared" si="80"/>
        <v/>
      </c>
      <c r="U72" s="323" t="str">
        <f t="shared" si="80"/>
        <v/>
      </c>
      <c r="V72" s="323" t="str">
        <f t="shared" si="80"/>
        <v/>
      </c>
      <c r="W72" s="323" t="str">
        <f t="shared" si="80"/>
        <v/>
      </c>
      <c r="X72" s="323" t="str">
        <f t="shared" si="80"/>
        <v/>
      </c>
      <c r="Y72" s="323" t="str">
        <f t="shared" si="80"/>
        <v/>
      </c>
      <c r="Z72" s="323" t="str">
        <f t="shared" si="80"/>
        <v/>
      </c>
      <c r="AA72" s="323" t="str">
        <f t="shared" si="80"/>
        <v/>
      </c>
      <c r="AB72" s="323" t="str">
        <f t="shared" si="80"/>
        <v/>
      </c>
      <c r="AC72" s="323" t="str">
        <f t="shared" si="80"/>
        <v/>
      </c>
      <c r="AD72" s="323" t="str">
        <f t="shared" si="80"/>
        <v/>
      </c>
      <c r="AE72" s="323" t="str">
        <f t="shared" si="80"/>
        <v/>
      </c>
      <c r="AF72" s="323" t="str">
        <f t="shared" si="80"/>
        <v/>
      </c>
      <c r="AG72" s="323" t="str">
        <f t="shared" si="80"/>
        <v/>
      </c>
      <c r="AH72" s="323" t="str">
        <f t="shared" si="80"/>
        <v/>
      </c>
      <c r="AI72" s="323" t="str">
        <f t="shared" si="80"/>
        <v/>
      </c>
      <c r="AJ72" s="323" t="str">
        <f t="shared" si="80"/>
        <v/>
      </c>
      <c r="AK72" s="323" t="str">
        <f t="shared" si="80"/>
        <v/>
      </c>
      <c r="AL72" s="323" t="str">
        <f t="shared" si="80"/>
        <v/>
      </c>
      <c r="AM72" s="323" t="str">
        <f t="shared" si="80"/>
        <v/>
      </c>
      <c r="AN72" s="323" t="str">
        <f t="shared" si="80"/>
        <v/>
      </c>
      <c r="AO72" s="323" t="str">
        <f t="shared" si="80"/>
        <v/>
      </c>
      <c r="AP72" s="323" t="str">
        <f t="shared" si="80"/>
        <v/>
      </c>
      <c r="AQ72" s="323" t="str">
        <f t="shared" si="80"/>
        <v/>
      </c>
      <c r="AR72" s="323" t="str">
        <f t="shared" si="80"/>
        <v/>
      </c>
      <c r="AS72" s="323" t="str">
        <f t="shared" si="80"/>
        <v/>
      </c>
      <c r="AT72" s="323" t="str">
        <f t="shared" si="80"/>
        <v/>
      </c>
      <c r="AU72" s="323" t="str">
        <f t="shared" si="80"/>
        <v/>
      </c>
      <c r="AV72" s="323" t="str">
        <f t="shared" si="80"/>
        <v/>
      </c>
      <c r="AW72" s="323" t="str">
        <f t="shared" si="80"/>
        <v/>
      </c>
      <c r="AX72" s="323" t="str">
        <f t="shared" si="80"/>
        <v/>
      </c>
      <c r="AY72" s="323" t="str">
        <f t="shared" si="80"/>
        <v/>
      </c>
      <c r="AZ72" s="323" t="str">
        <f t="shared" si="80"/>
        <v/>
      </c>
      <c r="BA72" s="323" t="str">
        <f t="shared" si="80"/>
        <v/>
      </c>
      <c r="BB72" s="323" t="str">
        <f t="shared" si="80"/>
        <v/>
      </c>
      <c r="BC72" s="323" t="str">
        <f t="shared" si="80"/>
        <v/>
      </c>
      <c r="BD72" s="323" t="str">
        <f t="shared" si="80"/>
        <v/>
      </c>
      <c r="BE72" s="323" t="str">
        <f t="shared" si="80"/>
        <v/>
      </c>
      <c r="BF72" s="323" t="str">
        <f t="shared" si="80"/>
        <v/>
      </c>
      <c r="BG72" s="323" t="str">
        <f t="shared" si="80"/>
        <v/>
      </c>
      <c r="BH72" s="323" t="str">
        <f t="shared" si="80"/>
        <v/>
      </c>
      <c r="BI72" s="323" t="str">
        <f t="shared" si="80"/>
        <v/>
      </c>
      <c r="BJ72" s="323" t="str">
        <f t="shared" si="80"/>
        <v/>
      </c>
      <c r="BK72" s="323" t="str">
        <f t="shared" si="80"/>
        <v/>
      </c>
      <c r="BL72" s="323" t="str">
        <f t="shared" si="80"/>
        <v/>
      </c>
      <c r="BM72" s="323" t="str">
        <f t="shared" si="80"/>
        <v/>
      </c>
      <c r="BN72" s="323" t="str">
        <f t="shared" si="80"/>
        <v/>
      </c>
      <c r="BO72" s="323" t="str">
        <f t="shared" si="80"/>
        <v/>
      </c>
      <c r="BP72" s="323" t="str">
        <f t="shared" si="80"/>
        <v/>
      </c>
      <c r="BQ72" s="323" t="str">
        <f t="shared" si="80"/>
        <v/>
      </c>
      <c r="BR72" s="323" t="str">
        <f t="shared" si="80"/>
        <v/>
      </c>
      <c r="BS72" s="323" t="str">
        <f t="shared" si="80"/>
        <v/>
      </c>
      <c r="BT72" s="323" t="str">
        <f t="shared" si="80"/>
        <v/>
      </c>
      <c r="BU72" s="323" t="str">
        <f t="shared" si="80"/>
        <v/>
      </c>
      <c r="BV72" s="323" t="str">
        <f t="shared" si="80"/>
        <v/>
      </c>
      <c r="BW72" s="323" t="str">
        <f t="shared" si="80"/>
        <v/>
      </c>
      <c r="BX72" s="323" t="str">
        <f t="shared" si="80"/>
        <v/>
      </c>
      <c r="BY72" s="323" t="str">
        <f t="shared" si="80"/>
        <v/>
      </c>
      <c r="BZ72" s="323" t="str">
        <f t="shared" si="80"/>
        <v/>
      </c>
      <c r="CA72" s="323" t="str">
        <f t="shared" si="80"/>
        <v/>
      </c>
      <c r="CB72" s="323" t="str">
        <f t="shared" si="80"/>
        <v/>
      </c>
      <c r="CC72" s="323" t="str">
        <f t="shared" si="80"/>
        <v/>
      </c>
      <c r="CD72" s="323" t="str">
        <f t="shared" si="80"/>
        <v/>
      </c>
      <c r="CE72" s="323" t="str">
        <f t="shared" si="80"/>
        <v/>
      </c>
      <c r="CF72" s="323" t="str">
        <f t="shared" si="80"/>
        <v/>
      </c>
      <c r="CG72" s="323" t="str">
        <f t="shared" si="80"/>
        <v/>
      </c>
      <c r="CH72" s="323" t="str">
        <f t="shared" si="80"/>
        <v/>
      </c>
      <c r="CI72" s="323" t="str">
        <f t="shared" si="80"/>
        <v/>
      </c>
      <c r="CJ72" s="323" t="str">
        <f t="shared" si="80"/>
        <v/>
      </c>
      <c r="CK72" s="323" t="str">
        <f t="shared" si="80"/>
        <v/>
      </c>
      <c r="CL72" s="323" t="str">
        <f t="shared" si="80"/>
        <v/>
      </c>
      <c r="CM72" s="323" t="str">
        <f t="shared" si="80"/>
        <v/>
      </c>
      <c r="CN72" s="323"/>
      <c r="CO72" s="323"/>
      <c r="CP72" s="323" t="str">
        <f t="shared" si="16"/>
        <v/>
      </c>
      <c r="CQ72" s="323"/>
      <c r="CR72" s="323"/>
      <c r="CS72" s="323"/>
      <c r="CT72" s="323"/>
      <c r="CU72" s="323"/>
      <c r="CV72" s="323"/>
      <c r="CW72" s="323"/>
      <c r="CX72" s="323"/>
      <c r="CY72" s="323"/>
      <c r="CZ72" s="323"/>
      <c r="DA72" s="323"/>
      <c r="DB72" s="323"/>
      <c r="DC72" s="323"/>
      <c r="DD72" s="323"/>
      <c r="DE72" s="323"/>
      <c r="DF72" s="323"/>
      <c r="DG72" s="323"/>
      <c r="DH72" s="323"/>
      <c r="DI72" s="323"/>
      <c r="DJ72" s="323"/>
      <c r="DK72" s="323"/>
      <c r="DL72" s="323"/>
      <c r="DM72" s="323"/>
      <c r="DN72" s="323"/>
      <c r="DO72" s="323"/>
      <c r="DP72" s="323"/>
      <c r="DQ72" s="323"/>
      <c r="DR72" s="323"/>
      <c r="DS72" s="323"/>
      <c r="DT72" s="323"/>
      <c r="DU72" s="323"/>
      <c r="DV72" s="323"/>
      <c r="DW72" s="323"/>
      <c r="DX72" s="323"/>
      <c r="DY72" s="323"/>
      <c r="DZ72" s="323"/>
      <c r="EA72" s="323"/>
      <c r="EB72" s="323"/>
      <c r="EC72" s="323"/>
      <c r="ED72" s="323"/>
      <c r="EE72" s="323"/>
      <c r="EF72" s="323"/>
      <c r="EG72" s="323"/>
      <c r="EH72" s="323"/>
      <c r="EI72" s="323"/>
      <c r="EJ72" s="323"/>
      <c r="EK72" s="323"/>
      <c r="EL72" s="323"/>
      <c r="EM72" s="323"/>
      <c r="EN72" s="323"/>
      <c r="EO72" s="323"/>
      <c r="EP72" s="323"/>
      <c r="EQ72" s="323"/>
      <c r="ER72" s="323"/>
      <c r="ES72" s="323"/>
      <c r="ET72" s="323"/>
      <c r="EU72" s="323"/>
      <c r="EV72" s="323"/>
      <c r="EW72" s="323"/>
      <c r="EX72" s="323"/>
      <c r="EY72" s="323"/>
      <c r="EZ72" s="323"/>
      <c r="FA72" s="323"/>
      <c r="FB72" s="323"/>
      <c r="FC72" s="323"/>
      <c r="FD72" s="323"/>
      <c r="FE72" s="323"/>
      <c r="FF72" s="323"/>
      <c r="FG72" s="323"/>
      <c r="FH72" s="323"/>
      <c r="FI72" s="323"/>
      <c r="FJ72" s="323"/>
      <c r="FK72" s="323"/>
      <c r="FL72" s="323"/>
      <c r="FM72" s="323"/>
      <c r="FN72" s="323"/>
      <c r="FO72" s="323"/>
      <c r="FP72" s="323"/>
      <c r="FQ72" s="323"/>
      <c r="FR72" s="323"/>
      <c r="FS72" s="323"/>
      <c r="FT72" s="323"/>
      <c r="FU72" s="323"/>
      <c r="FV72" s="323"/>
      <c r="FW72" s="323"/>
      <c r="FX72" s="323"/>
    </row>
    <row r="73" ht="15.75" customHeight="1">
      <c r="A73" s="44">
        <v>68.0</v>
      </c>
      <c r="B73" s="27"/>
      <c r="C73" s="44"/>
      <c r="D73" s="44"/>
      <c r="E73" s="330"/>
      <c r="F73" s="47"/>
      <c r="G73" s="47"/>
      <c r="H73" s="47"/>
      <c r="I73" s="26"/>
      <c r="J73" s="323" t="str">
        <f t="shared" ref="J73:CM73" si="81">IF(AND($I73="Yes",J$2=$H73),"♦","")</f>
        <v/>
      </c>
      <c r="K73" s="323" t="str">
        <f t="shared" si="81"/>
        <v/>
      </c>
      <c r="L73" s="323" t="str">
        <f t="shared" si="81"/>
        <v/>
      </c>
      <c r="M73" s="323" t="str">
        <f t="shared" si="81"/>
        <v/>
      </c>
      <c r="N73" s="323" t="str">
        <f t="shared" si="81"/>
        <v/>
      </c>
      <c r="O73" s="323" t="str">
        <f t="shared" si="81"/>
        <v/>
      </c>
      <c r="P73" s="323" t="str">
        <f t="shared" si="81"/>
        <v/>
      </c>
      <c r="Q73" s="323" t="str">
        <f t="shared" si="81"/>
        <v/>
      </c>
      <c r="R73" s="323" t="str">
        <f t="shared" si="81"/>
        <v/>
      </c>
      <c r="S73" s="323" t="str">
        <f t="shared" si="81"/>
        <v/>
      </c>
      <c r="T73" s="323" t="str">
        <f t="shared" si="81"/>
        <v/>
      </c>
      <c r="U73" s="323" t="str">
        <f t="shared" si="81"/>
        <v/>
      </c>
      <c r="V73" s="323" t="str">
        <f t="shared" si="81"/>
        <v/>
      </c>
      <c r="W73" s="323" t="str">
        <f t="shared" si="81"/>
        <v/>
      </c>
      <c r="X73" s="323" t="str">
        <f t="shared" si="81"/>
        <v/>
      </c>
      <c r="Y73" s="323" t="str">
        <f t="shared" si="81"/>
        <v/>
      </c>
      <c r="Z73" s="323" t="str">
        <f t="shared" si="81"/>
        <v/>
      </c>
      <c r="AA73" s="323" t="str">
        <f t="shared" si="81"/>
        <v/>
      </c>
      <c r="AB73" s="323" t="str">
        <f t="shared" si="81"/>
        <v/>
      </c>
      <c r="AC73" s="323" t="str">
        <f t="shared" si="81"/>
        <v/>
      </c>
      <c r="AD73" s="323" t="str">
        <f t="shared" si="81"/>
        <v/>
      </c>
      <c r="AE73" s="323" t="str">
        <f t="shared" si="81"/>
        <v/>
      </c>
      <c r="AF73" s="323" t="str">
        <f t="shared" si="81"/>
        <v/>
      </c>
      <c r="AG73" s="323" t="str">
        <f t="shared" si="81"/>
        <v/>
      </c>
      <c r="AH73" s="323" t="str">
        <f t="shared" si="81"/>
        <v/>
      </c>
      <c r="AI73" s="323" t="str">
        <f t="shared" si="81"/>
        <v/>
      </c>
      <c r="AJ73" s="323" t="str">
        <f t="shared" si="81"/>
        <v/>
      </c>
      <c r="AK73" s="323" t="str">
        <f t="shared" si="81"/>
        <v/>
      </c>
      <c r="AL73" s="323" t="str">
        <f t="shared" si="81"/>
        <v/>
      </c>
      <c r="AM73" s="323" t="str">
        <f t="shared" si="81"/>
        <v/>
      </c>
      <c r="AN73" s="323" t="str">
        <f t="shared" si="81"/>
        <v/>
      </c>
      <c r="AO73" s="323" t="str">
        <f t="shared" si="81"/>
        <v/>
      </c>
      <c r="AP73" s="323" t="str">
        <f t="shared" si="81"/>
        <v/>
      </c>
      <c r="AQ73" s="323" t="str">
        <f t="shared" si="81"/>
        <v/>
      </c>
      <c r="AR73" s="323" t="str">
        <f t="shared" si="81"/>
        <v/>
      </c>
      <c r="AS73" s="323" t="str">
        <f t="shared" si="81"/>
        <v/>
      </c>
      <c r="AT73" s="323" t="str">
        <f t="shared" si="81"/>
        <v/>
      </c>
      <c r="AU73" s="323" t="str">
        <f t="shared" si="81"/>
        <v/>
      </c>
      <c r="AV73" s="323" t="str">
        <f t="shared" si="81"/>
        <v/>
      </c>
      <c r="AW73" s="323" t="str">
        <f t="shared" si="81"/>
        <v/>
      </c>
      <c r="AX73" s="323" t="str">
        <f t="shared" si="81"/>
        <v/>
      </c>
      <c r="AY73" s="323" t="str">
        <f t="shared" si="81"/>
        <v/>
      </c>
      <c r="AZ73" s="323" t="str">
        <f t="shared" si="81"/>
        <v/>
      </c>
      <c r="BA73" s="323" t="str">
        <f t="shared" si="81"/>
        <v/>
      </c>
      <c r="BB73" s="323" t="str">
        <f t="shared" si="81"/>
        <v/>
      </c>
      <c r="BC73" s="323" t="str">
        <f t="shared" si="81"/>
        <v/>
      </c>
      <c r="BD73" s="323" t="str">
        <f t="shared" si="81"/>
        <v/>
      </c>
      <c r="BE73" s="323" t="str">
        <f t="shared" si="81"/>
        <v/>
      </c>
      <c r="BF73" s="323" t="str">
        <f t="shared" si="81"/>
        <v/>
      </c>
      <c r="BG73" s="323" t="str">
        <f t="shared" si="81"/>
        <v/>
      </c>
      <c r="BH73" s="323" t="str">
        <f t="shared" si="81"/>
        <v/>
      </c>
      <c r="BI73" s="323" t="str">
        <f t="shared" si="81"/>
        <v/>
      </c>
      <c r="BJ73" s="323" t="str">
        <f t="shared" si="81"/>
        <v/>
      </c>
      <c r="BK73" s="323" t="str">
        <f t="shared" si="81"/>
        <v/>
      </c>
      <c r="BL73" s="323" t="str">
        <f t="shared" si="81"/>
        <v/>
      </c>
      <c r="BM73" s="323" t="str">
        <f t="shared" si="81"/>
        <v/>
      </c>
      <c r="BN73" s="323" t="str">
        <f t="shared" si="81"/>
        <v/>
      </c>
      <c r="BO73" s="323" t="str">
        <f t="shared" si="81"/>
        <v/>
      </c>
      <c r="BP73" s="323" t="str">
        <f t="shared" si="81"/>
        <v/>
      </c>
      <c r="BQ73" s="323" t="str">
        <f t="shared" si="81"/>
        <v/>
      </c>
      <c r="BR73" s="323" t="str">
        <f t="shared" si="81"/>
        <v/>
      </c>
      <c r="BS73" s="323" t="str">
        <f t="shared" si="81"/>
        <v/>
      </c>
      <c r="BT73" s="323" t="str">
        <f t="shared" si="81"/>
        <v/>
      </c>
      <c r="BU73" s="323" t="str">
        <f t="shared" si="81"/>
        <v/>
      </c>
      <c r="BV73" s="323" t="str">
        <f t="shared" si="81"/>
        <v/>
      </c>
      <c r="BW73" s="323" t="str">
        <f t="shared" si="81"/>
        <v/>
      </c>
      <c r="BX73" s="323" t="str">
        <f t="shared" si="81"/>
        <v/>
      </c>
      <c r="BY73" s="323" t="str">
        <f t="shared" si="81"/>
        <v/>
      </c>
      <c r="BZ73" s="323" t="str">
        <f t="shared" si="81"/>
        <v/>
      </c>
      <c r="CA73" s="323" t="str">
        <f t="shared" si="81"/>
        <v/>
      </c>
      <c r="CB73" s="323" t="str">
        <f t="shared" si="81"/>
        <v/>
      </c>
      <c r="CC73" s="323" t="str">
        <f t="shared" si="81"/>
        <v/>
      </c>
      <c r="CD73" s="323" t="str">
        <f t="shared" si="81"/>
        <v/>
      </c>
      <c r="CE73" s="323" t="str">
        <f t="shared" si="81"/>
        <v/>
      </c>
      <c r="CF73" s="323" t="str">
        <f t="shared" si="81"/>
        <v/>
      </c>
      <c r="CG73" s="323" t="str">
        <f t="shared" si="81"/>
        <v/>
      </c>
      <c r="CH73" s="323" t="str">
        <f t="shared" si="81"/>
        <v/>
      </c>
      <c r="CI73" s="323" t="str">
        <f t="shared" si="81"/>
        <v/>
      </c>
      <c r="CJ73" s="323" t="str">
        <f t="shared" si="81"/>
        <v/>
      </c>
      <c r="CK73" s="323" t="str">
        <f t="shared" si="81"/>
        <v/>
      </c>
      <c r="CL73" s="323" t="str">
        <f t="shared" si="81"/>
        <v/>
      </c>
      <c r="CM73" s="323" t="str">
        <f t="shared" si="81"/>
        <v/>
      </c>
      <c r="CN73" s="323"/>
      <c r="CO73" s="323"/>
      <c r="CP73" s="323" t="str">
        <f t="shared" si="16"/>
        <v/>
      </c>
      <c r="CQ73" s="323"/>
      <c r="CR73" s="323"/>
      <c r="CS73" s="323"/>
      <c r="CT73" s="323"/>
      <c r="CU73" s="323"/>
      <c r="CV73" s="323"/>
      <c r="CW73" s="323"/>
      <c r="CX73" s="323"/>
      <c r="CY73" s="323"/>
      <c r="CZ73" s="323"/>
      <c r="DA73" s="323"/>
      <c r="DB73" s="323"/>
      <c r="DC73" s="323"/>
      <c r="DD73" s="323"/>
      <c r="DE73" s="323"/>
      <c r="DF73" s="323"/>
      <c r="DG73" s="323"/>
      <c r="DH73" s="323"/>
      <c r="DI73" s="323"/>
      <c r="DJ73" s="323"/>
      <c r="DK73" s="323"/>
      <c r="DL73" s="323"/>
      <c r="DM73" s="323"/>
      <c r="DN73" s="323"/>
      <c r="DO73" s="323"/>
      <c r="DP73" s="323"/>
      <c r="DQ73" s="323"/>
      <c r="DR73" s="323"/>
      <c r="DS73" s="323"/>
      <c r="DT73" s="323"/>
      <c r="DU73" s="323"/>
      <c r="DV73" s="323"/>
      <c r="DW73" s="323"/>
      <c r="DX73" s="323"/>
      <c r="DY73" s="323"/>
      <c r="DZ73" s="323"/>
      <c r="EA73" s="323"/>
      <c r="EB73" s="323"/>
      <c r="EC73" s="323"/>
      <c r="ED73" s="323"/>
      <c r="EE73" s="323"/>
      <c r="EF73" s="323"/>
      <c r="EG73" s="323"/>
      <c r="EH73" s="323"/>
      <c r="EI73" s="323"/>
      <c r="EJ73" s="323"/>
      <c r="EK73" s="323"/>
      <c r="EL73" s="323"/>
      <c r="EM73" s="323"/>
      <c r="EN73" s="323"/>
      <c r="EO73" s="323"/>
      <c r="EP73" s="323"/>
      <c r="EQ73" s="323"/>
      <c r="ER73" s="323"/>
      <c r="ES73" s="323"/>
      <c r="ET73" s="323"/>
      <c r="EU73" s="323"/>
      <c r="EV73" s="323"/>
      <c r="EW73" s="323"/>
      <c r="EX73" s="323"/>
      <c r="EY73" s="323"/>
      <c r="EZ73" s="323"/>
      <c r="FA73" s="323"/>
      <c r="FB73" s="323"/>
      <c r="FC73" s="323"/>
      <c r="FD73" s="323"/>
      <c r="FE73" s="323"/>
      <c r="FF73" s="323"/>
      <c r="FG73" s="323"/>
      <c r="FH73" s="323"/>
      <c r="FI73" s="323"/>
      <c r="FJ73" s="323"/>
      <c r="FK73" s="323"/>
      <c r="FL73" s="323"/>
      <c r="FM73" s="323"/>
      <c r="FN73" s="323"/>
      <c r="FO73" s="323"/>
      <c r="FP73" s="323"/>
      <c r="FQ73" s="323"/>
      <c r="FR73" s="323"/>
      <c r="FS73" s="323"/>
      <c r="FT73" s="323"/>
      <c r="FU73" s="323"/>
      <c r="FV73" s="323"/>
      <c r="FW73" s="323"/>
      <c r="FX73" s="323"/>
    </row>
    <row r="74" ht="15.75" customHeight="1">
      <c r="A74" s="44">
        <v>69.0</v>
      </c>
      <c r="B74" s="27"/>
      <c r="C74" s="44"/>
      <c r="D74" s="44"/>
      <c r="E74" s="330"/>
      <c r="F74" s="47"/>
      <c r="G74" s="47"/>
      <c r="H74" s="47"/>
      <c r="I74" s="26"/>
      <c r="J74" s="323" t="str">
        <f t="shared" ref="J74:CM74" si="82">IF(AND($I74="Yes",J$2=$H74),"♦","")</f>
        <v/>
      </c>
      <c r="K74" s="323" t="str">
        <f t="shared" si="82"/>
        <v/>
      </c>
      <c r="L74" s="323" t="str">
        <f t="shared" si="82"/>
        <v/>
      </c>
      <c r="M74" s="323" t="str">
        <f t="shared" si="82"/>
        <v/>
      </c>
      <c r="N74" s="323" t="str">
        <f t="shared" si="82"/>
        <v/>
      </c>
      <c r="O74" s="323" t="str">
        <f t="shared" si="82"/>
        <v/>
      </c>
      <c r="P74" s="323" t="str">
        <f t="shared" si="82"/>
        <v/>
      </c>
      <c r="Q74" s="323" t="str">
        <f t="shared" si="82"/>
        <v/>
      </c>
      <c r="R74" s="323" t="str">
        <f t="shared" si="82"/>
        <v/>
      </c>
      <c r="S74" s="323" t="str">
        <f t="shared" si="82"/>
        <v/>
      </c>
      <c r="T74" s="323" t="str">
        <f t="shared" si="82"/>
        <v/>
      </c>
      <c r="U74" s="323" t="str">
        <f t="shared" si="82"/>
        <v/>
      </c>
      <c r="V74" s="323" t="str">
        <f t="shared" si="82"/>
        <v/>
      </c>
      <c r="W74" s="323" t="str">
        <f t="shared" si="82"/>
        <v/>
      </c>
      <c r="X74" s="323" t="str">
        <f t="shared" si="82"/>
        <v/>
      </c>
      <c r="Y74" s="323" t="str">
        <f t="shared" si="82"/>
        <v/>
      </c>
      <c r="Z74" s="323" t="str">
        <f t="shared" si="82"/>
        <v/>
      </c>
      <c r="AA74" s="323" t="str">
        <f t="shared" si="82"/>
        <v/>
      </c>
      <c r="AB74" s="323" t="str">
        <f t="shared" si="82"/>
        <v/>
      </c>
      <c r="AC74" s="323" t="str">
        <f t="shared" si="82"/>
        <v/>
      </c>
      <c r="AD74" s="323" t="str">
        <f t="shared" si="82"/>
        <v/>
      </c>
      <c r="AE74" s="323" t="str">
        <f t="shared" si="82"/>
        <v/>
      </c>
      <c r="AF74" s="323" t="str">
        <f t="shared" si="82"/>
        <v/>
      </c>
      <c r="AG74" s="323" t="str">
        <f t="shared" si="82"/>
        <v/>
      </c>
      <c r="AH74" s="323" t="str">
        <f t="shared" si="82"/>
        <v/>
      </c>
      <c r="AI74" s="323" t="str">
        <f t="shared" si="82"/>
        <v/>
      </c>
      <c r="AJ74" s="323" t="str">
        <f t="shared" si="82"/>
        <v/>
      </c>
      <c r="AK74" s="323" t="str">
        <f t="shared" si="82"/>
        <v/>
      </c>
      <c r="AL74" s="323" t="str">
        <f t="shared" si="82"/>
        <v/>
      </c>
      <c r="AM74" s="323" t="str">
        <f t="shared" si="82"/>
        <v/>
      </c>
      <c r="AN74" s="323" t="str">
        <f t="shared" si="82"/>
        <v/>
      </c>
      <c r="AO74" s="323" t="str">
        <f t="shared" si="82"/>
        <v/>
      </c>
      <c r="AP74" s="323" t="str">
        <f t="shared" si="82"/>
        <v/>
      </c>
      <c r="AQ74" s="323" t="str">
        <f t="shared" si="82"/>
        <v/>
      </c>
      <c r="AR74" s="323" t="str">
        <f t="shared" si="82"/>
        <v/>
      </c>
      <c r="AS74" s="323" t="str">
        <f t="shared" si="82"/>
        <v/>
      </c>
      <c r="AT74" s="323" t="str">
        <f t="shared" si="82"/>
        <v/>
      </c>
      <c r="AU74" s="323" t="str">
        <f t="shared" si="82"/>
        <v/>
      </c>
      <c r="AV74" s="323" t="str">
        <f t="shared" si="82"/>
        <v/>
      </c>
      <c r="AW74" s="323" t="str">
        <f t="shared" si="82"/>
        <v/>
      </c>
      <c r="AX74" s="323" t="str">
        <f t="shared" si="82"/>
        <v/>
      </c>
      <c r="AY74" s="323" t="str">
        <f t="shared" si="82"/>
        <v/>
      </c>
      <c r="AZ74" s="323" t="str">
        <f t="shared" si="82"/>
        <v/>
      </c>
      <c r="BA74" s="323" t="str">
        <f t="shared" si="82"/>
        <v/>
      </c>
      <c r="BB74" s="323" t="str">
        <f t="shared" si="82"/>
        <v/>
      </c>
      <c r="BC74" s="323" t="str">
        <f t="shared" si="82"/>
        <v/>
      </c>
      <c r="BD74" s="323" t="str">
        <f t="shared" si="82"/>
        <v/>
      </c>
      <c r="BE74" s="323" t="str">
        <f t="shared" si="82"/>
        <v/>
      </c>
      <c r="BF74" s="323" t="str">
        <f t="shared" si="82"/>
        <v/>
      </c>
      <c r="BG74" s="323" t="str">
        <f t="shared" si="82"/>
        <v/>
      </c>
      <c r="BH74" s="323" t="str">
        <f t="shared" si="82"/>
        <v/>
      </c>
      <c r="BI74" s="323" t="str">
        <f t="shared" si="82"/>
        <v/>
      </c>
      <c r="BJ74" s="323" t="str">
        <f t="shared" si="82"/>
        <v/>
      </c>
      <c r="BK74" s="323" t="str">
        <f t="shared" si="82"/>
        <v/>
      </c>
      <c r="BL74" s="323" t="str">
        <f t="shared" si="82"/>
        <v/>
      </c>
      <c r="BM74" s="323" t="str">
        <f t="shared" si="82"/>
        <v/>
      </c>
      <c r="BN74" s="323" t="str">
        <f t="shared" si="82"/>
        <v/>
      </c>
      <c r="BO74" s="323" t="str">
        <f t="shared" si="82"/>
        <v/>
      </c>
      <c r="BP74" s="323" t="str">
        <f t="shared" si="82"/>
        <v/>
      </c>
      <c r="BQ74" s="323" t="str">
        <f t="shared" si="82"/>
        <v/>
      </c>
      <c r="BR74" s="323" t="str">
        <f t="shared" si="82"/>
        <v/>
      </c>
      <c r="BS74" s="323" t="str">
        <f t="shared" si="82"/>
        <v/>
      </c>
      <c r="BT74" s="323" t="str">
        <f t="shared" si="82"/>
        <v/>
      </c>
      <c r="BU74" s="323" t="str">
        <f t="shared" si="82"/>
        <v/>
      </c>
      <c r="BV74" s="323" t="str">
        <f t="shared" si="82"/>
        <v/>
      </c>
      <c r="BW74" s="323" t="str">
        <f t="shared" si="82"/>
        <v/>
      </c>
      <c r="BX74" s="323" t="str">
        <f t="shared" si="82"/>
        <v/>
      </c>
      <c r="BY74" s="323" t="str">
        <f t="shared" si="82"/>
        <v/>
      </c>
      <c r="BZ74" s="323" t="str">
        <f t="shared" si="82"/>
        <v/>
      </c>
      <c r="CA74" s="323" t="str">
        <f t="shared" si="82"/>
        <v/>
      </c>
      <c r="CB74" s="323" t="str">
        <f t="shared" si="82"/>
        <v/>
      </c>
      <c r="CC74" s="323" t="str">
        <f t="shared" si="82"/>
        <v/>
      </c>
      <c r="CD74" s="323" t="str">
        <f t="shared" si="82"/>
        <v/>
      </c>
      <c r="CE74" s="323" t="str">
        <f t="shared" si="82"/>
        <v/>
      </c>
      <c r="CF74" s="323" t="str">
        <f t="shared" si="82"/>
        <v/>
      </c>
      <c r="CG74" s="323" t="str">
        <f t="shared" si="82"/>
        <v/>
      </c>
      <c r="CH74" s="323" t="str">
        <f t="shared" si="82"/>
        <v/>
      </c>
      <c r="CI74" s="323" t="str">
        <f t="shared" si="82"/>
        <v/>
      </c>
      <c r="CJ74" s="323" t="str">
        <f t="shared" si="82"/>
        <v/>
      </c>
      <c r="CK74" s="323" t="str">
        <f t="shared" si="82"/>
        <v/>
      </c>
      <c r="CL74" s="323" t="str">
        <f t="shared" si="82"/>
        <v/>
      </c>
      <c r="CM74" s="323" t="str">
        <f t="shared" si="82"/>
        <v/>
      </c>
      <c r="CN74" s="323"/>
      <c r="CO74" s="323"/>
      <c r="CP74" s="323" t="str">
        <f t="shared" si="16"/>
        <v/>
      </c>
      <c r="CQ74" s="323"/>
      <c r="CR74" s="323"/>
      <c r="CS74" s="323"/>
      <c r="CT74" s="323"/>
      <c r="CU74" s="323"/>
      <c r="CV74" s="323"/>
      <c r="CW74" s="323"/>
      <c r="CX74" s="323"/>
      <c r="CY74" s="323"/>
      <c r="CZ74" s="323"/>
      <c r="DA74" s="323"/>
      <c r="DB74" s="323"/>
      <c r="DC74" s="323"/>
      <c r="DD74" s="323"/>
      <c r="DE74" s="323"/>
      <c r="DF74" s="323"/>
      <c r="DG74" s="323"/>
      <c r="DH74" s="323"/>
      <c r="DI74" s="323"/>
      <c r="DJ74" s="323"/>
      <c r="DK74" s="323"/>
      <c r="DL74" s="323"/>
      <c r="DM74" s="323"/>
      <c r="DN74" s="323"/>
      <c r="DO74" s="323"/>
      <c r="DP74" s="323"/>
      <c r="DQ74" s="323"/>
      <c r="DR74" s="323"/>
      <c r="DS74" s="323"/>
      <c r="DT74" s="323"/>
      <c r="DU74" s="323"/>
      <c r="DV74" s="323"/>
      <c r="DW74" s="323"/>
      <c r="DX74" s="323"/>
      <c r="DY74" s="323"/>
      <c r="DZ74" s="323"/>
      <c r="EA74" s="323"/>
      <c r="EB74" s="323"/>
      <c r="EC74" s="323"/>
      <c r="ED74" s="323"/>
      <c r="EE74" s="323"/>
      <c r="EF74" s="323"/>
      <c r="EG74" s="323"/>
      <c r="EH74" s="323"/>
      <c r="EI74" s="323"/>
      <c r="EJ74" s="323"/>
      <c r="EK74" s="323"/>
      <c r="EL74" s="323"/>
      <c r="EM74" s="323"/>
      <c r="EN74" s="323"/>
      <c r="EO74" s="323"/>
      <c r="EP74" s="323"/>
      <c r="EQ74" s="323"/>
      <c r="ER74" s="323"/>
      <c r="ES74" s="323"/>
      <c r="ET74" s="323"/>
      <c r="EU74" s="323"/>
      <c r="EV74" s="323"/>
      <c r="EW74" s="323"/>
      <c r="EX74" s="323"/>
      <c r="EY74" s="323"/>
      <c r="EZ74" s="323"/>
      <c r="FA74" s="323"/>
      <c r="FB74" s="323"/>
      <c r="FC74" s="323"/>
      <c r="FD74" s="323"/>
      <c r="FE74" s="323"/>
      <c r="FF74" s="323"/>
      <c r="FG74" s="323"/>
      <c r="FH74" s="323"/>
      <c r="FI74" s="323"/>
      <c r="FJ74" s="323"/>
      <c r="FK74" s="323"/>
      <c r="FL74" s="323"/>
      <c r="FM74" s="323"/>
      <c r="FN74" s="323"/>
      <c r="FO74" s="323"/>
      <c r="FP74" s="323"/>
      <c r="FQ74" s="323"/>
      <c r="FR74" s="323"/>
      <c r="FS74" s="323"/>
      <c r="FT74" s="323"/>
      <c r="FU74" s="323"/>
      <c r="FV74" s="323"/>
      <c r="FW74" s="323"/>
      <c r="FX74" s="323"/>
    </row>
    <row r="75" ht="15.75" customHeight="1">
      <c r="A75" s="44">
        <v>70.0</v>
      </c>
      <c r="B75" s="27"/>
      <c r="C75" s="44"/>
      <c r="D75" s="44"/>
      <c r="E75" s="330"/>
      <c r="F75" s="47"/>
      <c r="G75" s="47"/>
      <c r="H75" s="47"/>
      <c r="I75" s="26"/>
      <c r="J75" s="323" t="str">
        <f t="shared" ref="J75:CM75" si="83">IF(AND($I75="Yes",J$2=$H75),"♦","")</f>
        <v/>
      </c>
      <c r="K75" s="323" t="str">
        <f t="shared" si="83"/>
        <v/>
      </c>
      <c r="L75" s="323" t="str">
        <f t="shared" si="83"/>
        <v/>
      </c>
      <c r="M75" s="323" t="str">
        <f t="shared" si="83"/>
        <v/>
      </c>
      <c r="N75" s="323" t="str">
        <f t="shared" si="83"/>
        <v/>
      </c>
      <c r="O75" s="323" t="str">
        <f t="shared" si="83"/>
        <v/>
      </c>
      <c r="P75" s="323" t="str">
        <f t="shared" si="83"/>
        <v/>
      </c>
      <c r="Q75" s="323" t="str">
        <f t="shared" si="83"/>
        <v/>
      </c>
      <c r="R75" s="323" t="str">
        <f t="shared" si="83"/>
        <v/>
      </c>
      <c r="S75" s="323" t="str">
        <f t="shared" si="83"/>
        <v/>
      </c>
      <c r="T75" s="323" t="str">
        <f t="shared" si="83"/>
        <v/>
      </c>
      <c r="U75" s="323" t="str">
        <f t="shared" si="83"/>
        <v/>
      </c>
      <c r="V75" s="323" t="str">
        <f t="shared" si="83"/>
        <v/>
      </c>
      <c r="W75" s="323" t="str">
        <f t="shared" si="83"/>
        <v/>
      </c>
      <c r="X75" s="323" t="str">
        <f t="shared" si="83"/>
        <v/>
      </c>
      <c r="Y75" s="323" t="str">
        <f t="shared" si="83"/>
        <v/>
      </c>
      <c r="Z75" s="323" t="str">
        <f t="shared" si="83"/>
        <v/>
      </c>
      <c r="AA75" s="323" t="str">
        <f t="shared" si="83"/>
        <v/>
      </c>
      <c r="AB75" s="323" t="str">
        <f t="shared" si="83"/>
        <v/>
      </c>
      <c r="AC75" s="323" t="str">
        <f t="shared" si="83"/>
        <v/>
      </c>
      <c r="AD75" s="323" t="str">
        <f t="shared" si="83"/>
        <v/>
      </c>
      <c r="AE75" s="323" t="str">
        <f t="shared" si="83"/>
        <v/>
      </c>
      <c r="AF75" s="323" t="str">
        <f t="shared" si="83"/>
        <v/>
      </c>
      <c r="AG75" s="323" t="str">
        <f t="shared" si="83"/>
        <v/>
      </c>
      <c r="AH75" s="323" t="str">
        <f t="shared" si="83"/>
        <v/>
      </c>
      <c r="AI75" s="323" t="str">
        <f t="shared" si="83"/>
        <v/>
      </c>
      <c r="AJ75" s="323" t="str">
        <f t="shared" si="83"/>
        <v/>
      </c>
      <c r="AK75" s="323" t="str">
        <f t="shared" si="83"/>
        <v/>
      </c>
      <c r="AL75" s="323" t="str">
        <f t="shared" si="83"/>
        <v/>
      </c>
      <c r="AM75" s="323" t="str">
        <f t="shared" si="83"/>
        <v/>
      </c>
      <c r="AN75" s="323" t="str">
        <f t="shared" si="83"/>
        <v/>
      </c>
      <c r="AO75" s="323" t="str">
        <f t="shared" si="83"/>
        <v/>
      </c>
      <c r="AP75" s="323" t="str">
        <f t="shared" si="83"/>
        <v/>
      </c>
      <c r="AQ75" s="323" t="str">
        <f t="shared" si="83"/>
        <v/>
      </c>
      <c r="AR75" s="323" t="str">
        <f t="shared" si="83"/>
        <v/>
      </c>
      <c r="AS75" s="323" t="str">
        <f t="shared" si="83"/>
        <v/>
      </c>
      <c r="AT75" s="323" t="str">
        <f t="shared" si="83"/>
        <v/>
      </c>
      <c r="AU75" s="323" t="str">
        <f t="shared" si="83"/>
        <v/>
      </c>
      <c r="AV75" s="323" t="str">
        <f t="shared" si="83"/>
        <v/>
      </c>
      <c r="AW75" s="323" t="str">
        <f t="shared" si="83"/>
        <v/>
      </c>
      <c r="AX75" s="323" t="str">
        <f t="shared" si="83"/>
        <v/>
      </c>
      <c r="AY75" s="323" t="str">
        <f t="shared" si="83"/>
        <v/>
      </c>
      <c r="AZ75" s="323" t="str">
        <f t="shared" si="83"/>
        <v/>
      </c>
      <c r="BA75" s="323" t="str">
        <f t="shared" si="83"/>
        <v/>
      </c>
      <c r="BB75" s="323" t="str">
        <f t="shared" si="83"/>
        <v/>
      </c>
      <c r="BC75" s="323" t="str">
        <f t="shared" si="83"/>
        <v/>
      </c>
      <c r="BD75" s="323" t="str">
        <f t="shared" si="83"/>
        <v/>
      </c>
      <c r="BE75" s="323" t="str">
        <f t="shared" si="83"/>
        <v/>
      </c>
      <c r="BF75" s="323" t="str">
        <f t="shared" si="83"/>
        <v/>
      </c>
      <c r="BG75" s="323" t="str">
        <f t="shared" si="83"/>
        <v/>
      </c>
      <c r="BH75" s="323" t="str">
        <f t="shared" si="83"/>
        <v/>
      </c>
      <c r="BI75" s="323" t="str">
        <f t="shared" si="83"/>
        <v/>
      </c>
      <c r="BJ75" s="323" t="str">
        <f t="shared" si="83"/>
        <v/>
      </c>
      <c r="BK75" s="323" t="str">
        <f t="shared" si="83"/>
        <v/>
      </c>
      <c r="BL75" s="323" t="str">
        <f t="shared" si="83"/>
        <v/>
      </c>
      <c r="BM75" s="323" t="str">
        <f t="shared" si="83"/>
        <v/>
      </c>
      <c r="BN75" s="323" t="str">
        <f t="shared" si="83"/>
        <v/>
      </c>
      <c r="BO75" s="323" t="str">
        <f t="shared" si="83"/>
        <v/>
      </c>
      <c r="BP75" s="323" t="str">
        <f t="shared" si="83"/>
        <v/>
      </c>
      <c r="BQ75" s="323" t="str">
        <f t="shared" si="83"/>
        <v/>
      </c>
      <c r="BR75" s="323" t="str">
        <f t="shared" si="83"/>
        <v/>
      </c>
      <c r="BS75" s="323" t="str">
        <f t="shared" si="83"/>
        <v/>
      </c>
      <c r="BT75" s="323" t="str">
        <f t="shared" si="83"/>
        <v/>
      </c>
      <c r="BU75" s="323" t="str">
        <f t="shared" si="83"/>
        <v/>
      </c>
      <c r="BV75" s="323" t="str">
        <f t="shared" si="83"/>
        <v/>
      </c>
      <c r="BW75" s="323" t="str">
        <f t="shared" si="83"/>
        <v/>
      </c>
      <c r="BX75" s="323" t="str">
        <f t="shared" si="83"/>
        <v/>
      </c>
      <c r="BY75" s="323" t="str">
        <f t="shared" si="83"/>
        <v/>
      </c>
      <c r="BZ75" s="323" t="str">
        <f t="shared" si="83"/>
        <v/>
      </c>
      <c r="CA75" s="323" t="str">
        <f t="shared" si="83"/>
        <v/>
      </c>
      <c r="CB75" s="323" t="str">
        <f t="shared" si="83"/>
        <v/>
      </c>
      <c r="CC75" s="323" t="str">
        <f t="shared" si="83"/>
        <v/>
      </c>
      <c r="CD75" s="323" t="str">
        <f t="shared" si="83"/>
        <v/>
      </c>
      <c r="CE75" s="323" t="str">
        <f t="shared" si="83"/>
        <v/>
      </c>
      <c r="CF75" s="323" t="str">
        <f t="shared" si="83"/>
        <v/>
      </c>
      <c r="CG75" s="323" t="str">
        <f t="shared" si="83"/>
        <v/>
      </c>
      <c r="CH75" s="323" t="str">
        <f t="shared" si="83"/>
        <v/>
      </c>
      <c r="CI75" s="323" t="str">
        <f t="shared" si="83"/>
        <v/>
      </c>
      <c r="CJ75" s="323" t="str">
        <f t="shared" si="83"/>
        <v/>
      </c>
      <c r="CK75" s="323" t="str">
        <f t="shared" si="83"/>
        <v/>
      </c>
      <c r="CL75" s="323" t="str">
        <f t="shared" si="83"/>
        <v/>
      </c>
      <c r="CM75" s="323" t="str">
        <f t="shared" si="83"/>
        <v/>
      </c>
      <c r="CN75" s="323"/>
      <c r="CO75" s="323"/>
      <c r="CP75" s="323" t="str">
        <f t="shared" si="16"/>
        <v/>
      </c>
      <c r="CQ75" s="323"/>
      <c r="CR75" s="323"/>
      <c r="CS75" s="323"/>
      <c r="CT75" s="323"/>
      <c r="CU75" s="323"/>
      <c r="CV75" s="323"/>
      <c r="CW75" s="323"/>
      <c r="CX75" s="323"/>
      <c r="CY75" s="323"/>
      <c r="CZ75" s="323"/>
      <c r="DA75" s="323"/>
      <c r="DB75" s="323"/>
      <c r="DC75" s="323"/>
      <c r="DD75" s="323"/>
      <c r="DE75" s="323"/>
      <c r="DF75" s="323"/>
      <c r="DG75" s="323"/>
      <c r="DH75" s="323"/>
      <c r="DI75" s="323"/>
      <c r="DJ75" s="323"/>
      <c r="DK75" s="323"/>
      <c r="DL75" s="323"/>
      <c r="DM75" s="323"/>
      <c r="DN75" s="323"/>
      <c r="DO75" s="323"/>
      <c r="DP75" s="323"/>
      <c r="DQ75" s="323"/>
      <c r="DR75" s="323"/>
      <c r="DS75" s="323"/>
      <c r="DT75" s="323"/>
      <c r="DU75" s="323"/>
      <c r="DV75" s="323"/>
      <c r="DW75" s="323"/>
      <c r="DX75" s="323"/>
      <c r="DY75" s="323"/>
      <c r="DZ75" s="323"/>
      <c r="EA75" s="323"/>
      <c r="EB75" s="323"/>
      <c r="EC75" s="323"/>
      <c r="ED75" s="323"/>
      <c r="EE75" s="323"/>
      <c r="EF75" s="323"/>
      <c r="EG75" s="323"/>
      <c r="EH75" s="323"/>
      <c r="EI75" s="323"/>
      <c r="EJ75" s="323"/>
      <c r="EK75" s="323"/>
      <c r="EL75" s="323"/>
      <c r="EM75" s="323"/>
      <c r="EN75" s="323"/>
      <c r="EO75" s="323"/>
      <c r="EP75" s="323"/>
      <c r="EQ75" s="323"/>
      <c r="ER75" s="323"/>
      <c r="ES75" s="323"/>
      <c r="ET75" s="323"/>
      <c r="EU75" s="323"/>
      <c r="EV75" s="323"/>
      <c r="EW75" s="323"/>
      <c r="EX75" s="323"/>
      <c r="EY75" s="323"/>
      <c r="EZ75" s="323"/>
      <c r="FA75" s="323"/>
      <c r="FB75" s="323"/>
      <c r="FC75" s="323"/>
      <c r="FD75" s="323"/>
      <c r="FE75" s="323"/>
      <c r="FF75" s="323"/>
      <c r="FG75" s="323"/>
      <c r="FH75" s="323"/>
      <c r="FI75" s="323"/>
      <c r="FJ75" s="323"/>
      <c r="FK75" s="323"/>
      <c r="FL75" s="323"/>
      <c r="FM75" s="323"/>
      <c r="FN75" s="323"/>
      <c r="FO75" s="323"/>
      <c r="FP75" s="323"/>
      <c r="FQ75" s="323"/>
      <c r="FR75" s="323"/>
      <c r="FS75" s="323"/>
      <c r="FT75" s="323"/>
      <c r="FU75" s="323"/>
      <c r="FV75" s="323"/>
      <c r="FW75" s="323"/>
      <c r="FX75" s="323"/>
    </row>
    <row r="76" ht="15.75" customHeight="1">
      <c r="A76" s="44">
        <v>71.0</v>
      </c>
      <c r="B76" s="27"/>
      <c r="C76" s="44"/>
      <c r="D76" s="44"/>
      <c r="E76" s="330"/>
      <c r="F76" s="47"/>
      <c r="G76" s="47"/>
      <c r="H76" s="47"/>
      <c r="I76" s="26"/>
      <c r="J76" s="323" t="str">
        <f t="shared" ref="J76:CM76" si="84">IF(AND($I76="Yes",J$2=$H76),"♦","")</f>
        <v/>
      </c>
      <c r="K76" s="323" t="str">
        <f t="shared" si="84"/>
        <v/>
      </c>
      <c r="L76" s="323" t="str">
        <f t="shared" si="84"/>
        <v/>
      </c>
      <c r="M76" s="323" t="str">
        <f t="shared" si="84"/>
        <v/>
      </c>
      <c r="N76" s="323" t="str">
        <f t="shared" si="84"/>
        <v/>
      </c>
      <c r="O76" s="323" t="str">
        <f t="shared" si="84"/>
        <v/>
      </c>
      <c r="P76" s="323" t="str">
        <f t="shared" si="84"/>
        <v/>
      </c>
      <c r="Q76" s="323" t="str">
        <f t="shared" si="84"/>
        <v/>
      </c>
      <c r="R76" s="323" t="str">
        <f t="shared" si="84"/>
        <v/>
      </c>
      <c r="S76" s="323" t="str">
        <f t="shared" si="84"/>
        <v/>
      </c>
      <c r="T76" s="323" t="str">
        <f t="shared" si="84"/>
        <v/>
      </c>
      <c r="U76" s="323" t="str">
        <f t="shared" si="84"/>
        <v/>
      </c>
      <c r="V76" s="323" t="str">
        <f t="shared" si="84"/>
        <v/>
      </c>
      <c r="W76" s="323" t="str">
        <f t="shared" si="84"/>
        <v/>
      </c>
      <c r="X76" s="323" t="str">
        <f t="shared" si="84"/>
        <v/>
      </c>
      <c r="Y76" s="323" t="str">
        <f t="shared" si="84"/>
        <v/>
      </c>
      <c r="Z76" s="323" t="str">
        <f t="shared" si="84"/>
        <v/>
      </c>
      <c r="AA76" s="323" t="str">
        <f t="shared" si="84"/>
        <v/>
      </c>
      <c r="AB76" s="323" t="str">
        <f t="shared" si="84"/>
        <v/>
      </c>
      <c r="AC76" s="323" t="str">
        <f t="shared" si="84"/>
        <v/>
      </c>
      <c r="AD76" s="323" t="str">
        <f t="shared" si="84"/>
        <v/>
      </c>
      <c r="AE76" s="323" t="str">
        <f t="shared" si="84"/>
        <v/>
      </c>
      <c r="AF76" s="323" t="str">
        <f t="shared" si="84"/>
        <v/>
      </c>
      <c r="AG76" s="323" t="str">
        <f t="shared" si="84"/>
        <v/>
      </c>
      <c r="AH76" s="323" t="str">
        <f t="shared" si="84"/>
        <v/>
      </c>
      <c r="AI76" s="323" t="str">
        <f t="shared" si="84"/>
        <v/>
      </c>
      <c r="AJ76" s="323" t="str">
        <f t="shared" si="84"/>
        <v/>
      </c>
      <c r="AK76" s="323" t="str">
        <f t="shared" si="84"/>
        <v/>
      </c>
      <c r="AL76" s="323" t="str">
        <f t="shared" si="84"/>
        <v/>
      </c>
      <c r="AM76" s="323" t="str">
        <f t="shared" si="84"/>
        <v/>
      </c>
      <c r="AN76" s="323" t="str">
        <f t="shared" si="84"/>
        <v/>
      </c>
      <c r="AO76" s="323" t="str">
        <f t="shared" si="84"/>
        <v/>
      </c>
      <c r="AP76" s="323" t="str">
        <f t="shared" si="84"/>
        <v/>
      </c>
      <c r="AQ76" s="323" t="str">
        <f t="shared" si="84"/>
        <v/>
      </c>
      <c r="AR76" s="323" t="str">
        <f t="shared" si="84"/>
        <v/>
      </c>
      <c r="AS76" s="323" t="str">
        <f t="shared" si="84"/>
        <v/>
      </c>
      <c r="AT76" s="323" t="str">
        <f t="shared" si="84"/>
        <v/>
      </c>
      <c r="AU76" s="323" t="str">
        <f t="shared" si="84"/>
        <v/>
      </c>
      <c r="AV76" s="323" t="str">
        <f t="shared" si="84"/>
        <v/>
      </c>
      <c r="AW76" s="323" t="str">
        <f t="shared" si="84"/>
        <v/>
      </c>
      <c r="AX76" s="323" t="str">
        <f t="shared" si="84"/>
        <v/>
      </c>
      <c r="AY76" s="323" t="str">
        <f t="shared" si="84"/>
        <v/>
      </c>
      <c r="AZ76" s="323" t="str">
        <f t="shared" si="84"/>
        <v/>
      </c>
      <c r="BA76" s="323" t="str">
        <f t="shared" si="84"/>
        <v/>
      </c>
      <c r="BB76" s="323" t="str">
        <f t="shared" si="84"/>
        <v/>
      </c>
      <c r="BC76" s="323" t="str">
        <f t="shared" si="84"/>
        <v/>
      </c>
      <c r="BD76" s="323" t="str">
        <f t="shared" si="84"/>
        <v/>
      </c>
      <c r="BE76" s="323" t="str">
        <f t="shared" si="84"/>
        <v/>
      </c>
      <c r="BF76" s="323" t="str">
        <f t="shared" si="84"/>
        <v/>
      </c>
      <c r="BG76" s="323" t="str">
        <f t="shared" si="84"/>
        <v/>
      </c>
      <c r="BH76" s="323" t="str">
        <f t="shared" si="84"/>
        <v/>
      </c>
      <c r="BI76" s="323" t="str">
        <f t="shared" si="84"/>
        <v/>
      </c>
      <c r="BJ76" s="323" t="str">
        <f t="shared" si="84"/>
        <v/>
      </c>
      <c r="BK76" s="323" t="str">
        <f t="shared" si="84"/>
        <v/>
      </c>
      <c r="BL76" s="323" t="str">
        <f t="shared" si="84"/>
        <v/>
      </c>
      <c r="BM76" s="323" t="str">
        <f t="shared" si="84"/>
        <v/>
      </c>
      <c r="BN76" s="323" t="str">
        <f t="shared" si="84"/>
        <v/>
      </c>
      <c r="BO76" s="323" t="str">
        <f t="shared" si="84"/>
        <v/>
      </c>
      <c r="BP76" s="323" t="str">
        <f t="shared" si="84"/>
        <v/>
      </c>
      <c r="BQ76" s="323" t="str">
        <f t="shared" si="84"/>
        <v/>
      </c>
      <c r="BR76" s="323" t="str">
        <f t="shared" si="84"/>
        <v/>
      </c>
      <c r="BS76" s="323" t="str">
        <f t="shared" si="84"/>
        <v/>
      </c>
      <c r="BT76" s="323" t="str">
        <f t="shared" si="84"/>
        <v/>
      </c>
      <c r="BU76" s="323" t="str">
        <f t="shared" si="84"/>
        <v/>
      </c>
      <c r="BV76" s="323" t="str">
        <f t="shared" si="84"/>
        <v/>
      </c>
      <c r="BW76" s="323" t="str">
        <f t="shared" si="84"/>
        <v/>
      </c>
      <c r="BX76" s="323" t="str">
        <f t="shared" si="84"/>
        <v/>
      </c>
      <c r="BY76" s="323" t="str">
        <f t="shared" si="84"/>
        <v/>
      </c>
      <c r="BZ76" s="323" t="str">
        <f t="shared" si="84"/>
        <v/>
      </c>
      <c r="CA76" s="323" t="str">
        <f t="shared" si="84"/>
        <v/>
      </c>
      <c r="CB76" s="323" t="str">
        <f t="shared" si="84"/>
        <v/>
      </c>
      <c r="CC76" s="323" t="str">
        <f t="shared" si="84"/>
        <v/>
      </c>
      <c r="CD76" s="323" t="str">
        <f t="shared" si="84"/>
        <v/>
      </c>
      <c r="CE76" s="323" t="str">
        <f t="shared" si="84"/>
        <v/>
      </c>
      <c r="CF76" s="323" t="str">
        <f t="shared" si="84"/>
        <v/>
      </c>
      <c r="CG76" s="323" t="str">
        <f t="shared" si="84"/>
        <v/>
      </c>
      <c r="CH76" s="323" t="str">
        <f t="shared" si="84"/>
        <v/>
      </c>
      <c r="CI76" s="323" t="str">
        <f t="shared" si="84"/>
        <v/>
      </c>
      <c r="CJ76" s="323" t="str">
        <f t="shared" si="84"/>
        <v/>
      </c>
      <c r="CK76" s="323" t="str">
        <f t="shared" si="84"/>
        <v/>
      </c>
      <c r="CL76" s="323" t="str">
        <f t="shared" si="84"/>
        <v/>
      </c>
      <c r="CM76" s="323" t="str">
        <f t="shared" si="84"/>
        <v/>
      </c>
      <c r="CN76" s="323"/>
      <c r="CO76" s="323"/>
      <c r="CP76" s="323" t="str">
        <f t="shared" si="16"/>
        <v/>
      </c>
      <c r="CQ76" s="323"/>
      <c r="CR76" s="323"/>
      <c r="CS76" s="323"/>
      <c r="CT76" s="323"/>
      <c r="CU76" s="323"/>
      <c r="CV76" s="323"/>
      <c r="CW76" s="323"/>
      <c r="CX76" s="323"/>
      <c r="CY76" s="323"/>
      <c r="CZ76" s="323"/>
      <c r="DA76" s="323"/>
      <c r="DB76" s="323"/>
      <c r="DC76" s="323"/>
      <c r="DD76" s="323"/>
      <c r="DE76" s="323"/>
      <c r="DF76" s="323"/>
      <c r="DG76" s="323"/>
      <c r="DH76" s="323"/>
      <c r="DI76" s="323"/>
      <c r="DJ76" s="323"/>
      <c r="DK76" s="323"/>
      <c r="DL76" s="323"/>
      <c r="DM76" s="323"/>
      <c r="DN76" s="323"/>
      <c r="DO76" s="323"/>
      <c r="DP76" s="323"/>
      <c r="DQ76" s="323"/>
      <c r="DR76" s="323"/>
      <c r="DS76" s="323"/>
      <c r="DT76" s="323"/>
      <c r="DU76" s="323"/>
      <c r="DV76" s="323"/>
      <c r="DW76" s="323"/>
      <c r="DX76" s="323"/>
      <c r="DY76" s="323"/>
      <c r="DZ76" s="323"/>
      <c r="EA76" s="323"/>
      <c r="EB76" s="323"/>
      <c r="EC76" s="323"/>
      <c r="ED76" s="323"/>
      <c r="EE76" s="323"/>
      <c r="EF76" s="323"/>
      <c r="EG76" s="323"/>
      <c r="EH76" s="323"/>
      <c r="EI76" s="323"/>
      <c r="EJ76" s="323"/>
      <c r="EK76" s="323"/>
      <c r="EL76" s="323"/>
      <c r="EM76" s="323"/>
      <c r="EN76" s="323"/>
      <c r="EO76" s="323"/>
      <c r="EP76" s="323"/>
      <c r="EQ76" s="323"/>
      <c r="ER76" s="323"/>
      <c r="ES76" s="323"/>
      <c r="ET76" s="323"/>
      <c r="EU76" s="323"/>
      <c r="EV76" s="323"/>
      <c r="EW76" s="323"/>
      <c r="EX76" s="323"/>
      <c r="EY76" s="323"/>
      <c r="EZ76" s="323"/>
      <c r="FA76" s="323"/>
      <c r="FB76" s="323"/>
      <c r="FC76" s="323"/>
      <c r="FD76" s="323"/>
      <c r="FE76" s="323"/>
      <c r="FF76" s="323"/>
      <c r="FG76" s="323"/>
      <c r="FH76" s="323"/>
      <c r="FI76" s="323"/>
      <c r="FJ76" s="323"/>
      <c r="FK76" s="323"/>
      <c r="FL76" s="323"/>
      <c r="FM76" s="323"/>
      <c r="FN76" s="323"/>
      <c r="FO76" s="323"/>
      <c r="FP76" s="323"/>
      <c r="FQ76" s="323"/>
      <c r="FR76" s="323"/>
      <c r="FS76" s="323"/>
      <c r="FT76" s="323"/>
      <c r="FU76" s="323"/>
      <c r="FV76" s="323"/>
      <c r="FW76" s="323"/>
      <c r="FX76" s="323"/>
    </row>
    <row r="77" ht="15.75" customHeight="1">
      <c r="A77" s="44">
        <v>72.0</v>
      </c>
      <c r="B77" s="27"/>
      <c r="C77" s="44"/>
      <c r="D77" s="44"/>
      <c r="E77" s="330"/>
      <c r="F77" s="47"/>
      <c r="G77" s="47"/>
      <c r="H77" s="47"/>
      <c r="I77" s="26"/>
      <c r="J77" s="323" t="str">
        <f t="shared" ref="J77:CM77" si="85">IF(AND($I77="Yes",J$2=$H77),"♦","")</f>
        <v/>
      </c>
      <c r="K77" s="323" t="str">
        <f t="shared" si="85"/>
        <v/>
      </c>
      <c r="L77" s="323" t="str">
        <f t="shared" si="85"/>
        <v/>
      </c>
      <c r="M77" s="323" t="str">
        <f t="shared" si="85"/>
        <v/>
      </c>
      <c r="N77" s="323" t="str">
        <f t="shared" si="85"/>
        <v/>
      </c>
      <c r="O77" s="323" t="str">
        <f t="shared" si="85"/>
        <v/>
      </c>
      <c r="P77" s="323" t="str">
        <f t="shared" si="85"/>
        <v/>
      </c>
      <c r="Q77" s="323" t="str">
        <f t="shared" si="85"/>
        <v/>
      </c>
      <c r="R77" s="323" t="str">
        <f t="shared" si="85"/>
        <v/>
      </c>
      <c r="S77" s="323" t="str">
        <f t="shared" si="85"/>
        <v/>
      </c>
      <c r="T77" s="323" t="str">
        <f t="shared" si="85"/>
        <v/>
      </c>
      <c r="U77" s="323" t="str">
        <f t="shared" si="85"/>
        <v/>
      </c>
      <c r="V77" s="323" t="str">
        <f t="shared" si="85"/>
        <v/>
      </c>
      <c r="W77" s="323" t="str">
        <f t="shared" si="85"/>
        <v/>
      </c>
      <c r="X77" s="323" t="str">
        <f t="shared" si="85"/>
        <v/>
      </c>
      <c r="Y77" s="323" t="str">
        <f t="shared" si="85"/>
        <v/>
      </c>
      <c r="Z77" s="323" t="str">
        <f t="shared" si="85"/>
        <v/>
      </c>
      <c r="AA77" s="323" t="str">
        <f t="shared" si="85"/>
        <v/>
      </c>
      <c r="AB77" s="323" t="str">
        <f t="shared" si="85"/>
        <v/>
      </c>
      <c r="AC77" s="323" t="str">
        <f t="shared" si="85"/>
        <v/>
      </c>
      <c r="AD77" s="323" t="str">
        <f t="shared" si="85"/>
        <v/>
      </c>
      <c r="AE77" s="323" t="str">
        <f t="shared" si="85"/>
        <v/>
      </c>
      <c r="AF77" s="323" t="str">
        <f t="shared" si="85"/>
        <v/>
      </c>
      <c r="AG77" s="323" t="str">
        <f t="shared" si="85"/>
        <v/>
      </c>
      <c r="AH77" s="323" t="str">
        <f t="shared" si="85"/>
        <v/>
      </c>
      <c r="AI77" s="323" t="str">
        <f t="shared" si="85"/>
        <v/>
      </c>
      <c r="AJ77" s="323" t="str">
        <f t="shared" si="85"/>
        <v/>
      </c>
      <c r="AK77" s="323" t="str">
        <f t="shared" si="85"/>
        <v/>
      </c>
      <c r="AL77" s="323" t="str">
        <f t="shared" si="85"/>
        <v/>
      </c>
      <c r="AM77" s="323" t="str">
        <f t="shared" si="85"/>
        <v/>
      </c>
      <c r="AN77" s="323" t="str">
        <f t="shared" si="85"/>
        <v/>
      </c>
      <c r="AO77" s="323" t="str">
        <f t="shared" si="85"/>
        <v/>
      </c>
      <c r="AP77" s="323" t="str">
        <f t="shared" si="85"/>
        <v/>
      </c>
      <c r="AQ77" s="323" t="str">
        <f t="shared" si="85"/>
        <v/>
      </c>
      <c r="AR77" s="323" t="str">
        <f t="shared" si="85"/>
        <v/>
      </c>
      <c r="AS77" s="323" t="str">
        <f t="shared" si="85"/>
        <v/>
      </c>
      <c r="AT77" s="323" t="str">
        <f t="shared" si="85"/>
        <v/>
      </c>
      <c r="AU77" s="323" t="str">
        <f t="shared" si="85"/>
        <v/>
      </c>
      <c r="AV77" s="323" t="str">
        <f t="shared" si="85"/>
        <v/>
      </c>
      <c r="AW77" s="323" t="str">
        <f t="shared" si="85"/>
        <v/>
      </c>
      <c r="AX77" s="323" t="str">
        <f t="shared" si="85"/>
        <v/>
      </c>
      <c r="AY77" s="323" t="str">
        <f t="shared" si="85"/>
        <v/>
      </c>
      <c r="AZ77" s="323" t="str">
        <f t="shared" si="85"/>
        <v/>
      </c>
      <c r="BA77" s="323" t="str">
        <f t="shared" si="85"/>
        <v/>
      </c>
      <c r="BB77" s="323" t="str">
        <f t="shared" si="85"/>
        <v/>
      </c>
      <c r="BC77" s="323" t="str">
        <f t="shared" si="85"/>
        <v/>
      </c>
      <c r="BD77" s="323" t="str">
        <f t="shared" si="85"/>
        <v/>
      </c>
      <c r="BE77" s="323" t="str">
        <f t="shared" si="85"/>
        <v/>
      </c>
      <c r="BF77" s="323" t="str">
        <f t="shared" si="85"/>
        <v/>
      </c>
      <c r="BG77" s="323" t="str">
        <f t="shared" si="85"/>
        <v/>
      </c>
      <c r="BH77" s="323" t="str">
        <f t="shared" si="85"/>
        <v/>
      </c>
      <c r="BI77" s="323" t="str">
        <f t="shared" si="85"/>
        <v/>
      </c>
      <c r="BJ77" s="323" t="str">
        <f t="shared" si="85"/>
        <v/>
      </c>
      <c r="BK77" s="323" t="str">
        <f t="shared" si="85"/>
        <v/>
      </c>
      <c r="BL77" s="323" t="str">
        <f t="shared" si="85"/>
        <v/>
      </c>
      <c r="BM77" s="323" t="str">
        <f t="shared" si="85"/>
        <v/>
      </c>
      <c r="BN77" s="323" t="str">
        <f t="shared" si="85"/>
        <v/>
      </c>
      <c r="BO77" s="323" t="str">
        <f t="shared" si="85"/>
        <v/>
      </c>
      <c r="BP77" s="323" t="str">
        <f t="shared" si="85"/>
        <v/>
      </c>
      <c r="BQ77" s="323" t="str">
        <f t="shared" si="85"/>
        <v/>
      </c>
      <c r="BR77" s="323" t="str">
        <f t="shared" si="85"/>
        <v/>
      </c>
      <c r="BS77" s="323" t="str">
        <f t="shared" si="85"/>
        <v/>
      </c>
      <c r="BT77" s="323" t="str">
        <f t="shared" si="85"/>
        <v/>
      </c>
      <c r="BU77" s="323" t="str">
        <f t="shared" si="85"/>
        <v/>
      </c>
      <c r="BV77" s="323" t="str">
        <f t="shared" si="85"/>
        <v/>
      </c>
      <c r="BW77" s="323" t="str">
        <f t="shared" si="85"/>
        <v/>
      </c>
      <c r="BX77" s="323" t="str">
        <f t="shared" si="85"/>
        <v/>
      </c>
      <c r="BY77" s="323" t="str">
        <f t="shared" si="85"/>
        <v/>
      </c>
      <c r="BZ77" s="323" t="str">
        <f t="shared" si="85"/>
        <v/>
      </c>
      <c r="CA77" s="323" t="str">
        <f t="shared" si="85"/>
        <v/>
      </c>
      <c r="CB77" s="323" t="str">
        <f t="shared" si="85"/>
        <v/>
      </c>
      <c r="CC77" s="323" t="str">
        <f t="shared" si="85"/>
        <v/>
      </c>
      <c r="CD77" s="323" t="str">
        <f t="shared" si="85"/>
        <v/>
      </c>
      <c r="CE77" s="323" t="str">
        <f t="shared" si="85"/>
        <v/>
      </c>
      <c r="CF77" s="323" t="str">
        <f t="shared" si="85"/>
        <v/>
      </c>
      <c r="CG77" s="323" t="str">
        <f t="shared" si="85"/>
        <v/>
      </c>
      <c r="CH77" s="323" t="str">
        <f t="shared" si="85"/>
        <v/>
      </c>
      <c r="CI77" s="323" t="str">
        <f t="shared" si="85"/>
        <v/>
      </c>
      <c r="CJ77" s="323" t="str">
        <f t="shared" si="85"/>
        <v/>
      </c>
      <c r="CK77" s="323" t="str">
        <f t="shared" si="85"/>
        <v/>
      </c>
      <c r="CL77" s="323" t="str">
        <f t="shared" si="85"/>
        <v/>
      </c>
      <c r="CM77" s="323" t="str">
        <f t="shared" si="85"/>
        <v/>
      </c>
      <c r="CN77" s="323"/>
      <c r="CO77" s="323"/>
      <c r="CP77" s="323" t="str">
        <f t="shared" si="16"/>
        <v/>
      </c>
      <c r="CQ77" s="323"/>
      <c r="CR77" s="323"/>
      <c r="CS77" s="323"/>
      <c r="CT77" s="323"/>
      <c r="CU77" s="323"/>
      <c r="CV77" s="323"/>
      <c r="CW77" s="323"/>
      <c r="CX77" s="323"/>
      <c r="CY77" s="323"/>
      <c r="CZ77" s="323"/>
      <c r="DA77" s="323"/>
      <c r="DB77" s="323"/>
      <c r="DC77" s="323"/>
      <c r="DD77" s="323"/>
      <c r="DE77" s="323"/>
      <c r="DF77" s="323"/>
      <c r="DG77" s="323"/>
      <c r="DH77" s="323"/>
      <c r="DI77" s="323"/>
      <c r="DJ77" s="323"/>
      <c r="DK77" s="323"/>
      <c r="DL77" s="323"/>
      <c r="DM77" s="323"/>
      <c r="DN77" s="323"/>
      <c r="DO77" s="323"/>
      <c r="DP77" s="323"/>
      <c r="DQ77" s="323"/>
      <c r="DR77" s="323"/>
      <c r="DS77" s="323"/>
      <c r="DT77" s="323"/>
      <c r="DU77" s="323"/>
      <c r="DV77" s="323"/>
      <c r="DW77" s="323"/>
      <c r="DX77" s="323"/>
      <c r="DY77" s="323"/>
      <c r="DZ77" s="323"/>
      <c r="EA77" s="323"/>
      <c r="EB77" s="323"/>
      <c r="EC77" s="323"/>
      <c r="ED77" s="323"/>
      <c r="EE77" s="323"/>
      <c r="EF77" s="323"/>
      <c r="EG77" s="323"/>
      <c r="EH77" s="323"/>
      <c r="EI77" s="323"/>
      <c r="EJ77" s="323"/>
      <c r="EK77" s="323"/>
      <c r="EL77" s="323"/>
      <c r="EM77" s="323"/>
      <c r="EN77" s="323"/>
      <c r="EO77" s="323"/>
      <c r="EP77" s="323"/>
      <c r="EQ77" s="323"/>
      <c r="ER77" s="323"/>
      <c r="ES77" s="323"/>
      <c r="ET77" s="323"/>
      <c r="EU77" s="323"/>
      <c r="EV77" s="323"/>
      <c r="EW77" s="323"/>
      <c r="EX77" s="323"/>
      <c r="EY77" s="323"/>
      <c r="EZ77" s="323"/>
      <c r="FA77" s="323"/>
      <c r="FB77" s="323"/>
      <c r="FC77" s="323"/>
      <c r="FD77" s="323"/>
      <c r="FE77" s="323"/>
      <c r="FF77" s="323"/>
      <c r="FG77" s="323"/>
      <c r="FH77" s="323"/>
      <c r="FI77" s="323"/>
      <c r="FJ77" s="323"/>
      <c r="FK77" s="323"/>
      <c r="FL77" s="323"/>
      <c r="FM77" s="323"/>
      <c r="FN77" s="323"/>
      <c r="FO77" s="323"/>
      <c r="FP77" s="323"/>
      <c r="FQ77" s="323"/>
      <c r="FR77" s="323"/>
      <c r="FS77" s="323"/>
      <c r="FT77" s="323"/>
      <c r="FU77" s="323"/>
      <c r="FV77" s="323"/>
      <c r="FW77" s="323"/>
      <c r="FX77" s="323"/>
    </row>
    <row r="78" ht="15.75" customHeight="1">
      <c r="A78" s="44">
        <v>73.0</v>
      </c>
      <c r="B78" s="27"/>
      <c r="C78" s="44"/>
      <c r="D78" s="44"/>
      <c r="E78" s="330"/>
      <c r="F78" s="47"/>
      <c r="G78" s="47"/>
      <c r="H78" s="47"/>
      <c r="I78" s="26"/>
      <c r="J78" s="323" t="str">
        <f t="shared" ref="J78:CM78" si="86">IF(AND($I78="Yes",J$2=$H78),"♦","")</f>
        <v/>
      </c>
      <c r="K78" s="323" t="str">
        <f t="shared" si="86"/>
        <v/>
      </c>
      <c r="L78" s="323" t="str">
        <f t="shared" si="86"/>
        <v/>
      </c>
      <c r="M78" s="323" t="str">
        <f t="shared" si="86"/>
        <v/>
      </c>
      <c r="N78" s="323" t="str">
        <f t="shared" si="86"/>
        <v/>
      </c>
      <c r="O78" s="323" t="str">
        <f t="shared" si="86"/>
        <v/>
      </c>
      <c r="P78" s="323" t="str">
        <f t="shared" si="86"/>
        <v/>
      </c>
      <c r="Q78" s="323" t="str">
        <f t="shared" si="86"/>
        <v/>
      </c>
      <c r="R78" s="323" t="str">
        <f t="shared" si="86"/>
        <v/>
      </c>
      <c r="S78" s="323" t="str">
        <f t="shared" si="86"/>
        <v/>
      </c>
      <c r="T78" s="323" t="str">
        <f t="shared" si="86"/>
        <v/>
      </c>
      <c r="U78" s="323" t="str">
        <f t="shared" si="86"/>
        <v/>
      </c>
      <c r="V78" s="323" t="str">
        <f t="shared" si="86"/>
        <v/>
      </c>
      <c r="W78" s="323" t="str">
        <f t="shared" si="86"/>
        <v/>
      </c>
      <c r="X78" s="323" t="str">
        <f t="shared" si="86"/>
        <v/>
      </c>
      <c r="Y78" s="323" t="str">
        <f t="shared" si="86"/>
        <v/>
      </c>
      <c r="Z78" s="323" t="str">
        <f t="shared" si="86"/>
        <v/>
      </c>
      <c r="AA78" s="323" t="str">
        <f t="shared" si="86"/>
        <v/>
      </c>
      <c r="AB78" s="323" t="str">
        <f t="shared" si="86"/>
        <v/>
      </c>
      <c r="AC78" s="323" t="str">
        <f t="shared" si="86"/>
        <v/>
      </c>
      <c r="AD78" s="323" t="str">
        <f t="shared" si="86"/>
        <v/>
      </c>
      <c r="AE78" s="323" t="str">
        <f t="shared" si="86"/>
        <v/>
      </c>
      <c r="AF78" s="323" t="str">
        <f t="shared" si="86"/>
        <v/>
      </c>
      <c r="AG78" s="323" t="str">
        <f t="shared" si="86"/>
        <v/>
      </c>
      <c r="AH78" s="323" t="str">
        <f t="shared" si="86"/>
        <v/>
      </c>
      <c r="AI78" s="323" t="str">
        <f t="shared" si="86"/>
        <v/>
      </c>
      <c r="AJ78" s="323" t="str">
        <f t="shared" si="86"/>
        <v/>
      </c>
      <c r="AK78" s="323" t="str">
        <f t="shared" si="86"/>
        <v/>
      </c>
      <c r="AL78" s="323" t="str">
        <f t="shared" si="86"/>
        <v/>
      </c>
      <c r="AM78" s="323" t="str">
        <f t="shared" si="86"/>
        <v/>
      </c>
      <c r="AN78" s="323" t="str">
        <f t="shared" si="86"/>
        <v/>
      </c>
      <c r="AO78" s="323" t="str">
        <f t="shared" si="86"/>
        <v/>
      </c>
      <c r="AP78" s="323" t="str">
        <f t="shared" si="86"/>
        <v/>
      </c>
      <c r="AQ78" s="323" t="str">
        <f t="shared" si="86"/>
        <v/>
      </c>
      <c r="AR78" s="323" t="str">
        <f t="shared" si="86"/>
        <v/>
      </c>
      <c r="AS78" s="323" t="str">
        <f t="shared" si="86"/>
        <v/>
      </c>
      <c r="AT78" s="323" t="str">
        <f t="shared" si="86"/>
        <v/>
      </c>
      <c r="AU78" s="323" t="str">
        <f t="shared" si="86"/>
        <v/>
      </c>
      <c r="AV78" s="323" t="str">
        <f t="shared" si="86"/>
        <v/>
      </c>
      <c r="AW78" s="323" t="str">
        <f t="shared" si="86"/>
        <v/>
      </c>
      <c r="AX78" s="323" t="str">
        <f t="shared" si="86"/>
        <v/>
      </c>
      <c r="AY78" s="323" t="str">
        <f t="shared" si="86"/>
        <v/>
      </c>
      <c r="AZ78" s="323" t="str">
        <f t="shared" si="86"/>
        <v/>
      </c>
      <c r="BA78" s="323" t="str">
        <f t="shared" si="86"/>
        <v/>
      </c>
      <c r="BB78" s="323" t="str">
        <f t="shared" si="86"/>
        <v/>
      </c>
      <c r="BC78" s="323" t="str">
        <f t="shared" si="86"/>
        <v/>
      </c>
      <c r="BD78" s="323" t="str">
        <f t="shared" si="86"/>
        <v/>
      </c>
      <c r="BE78" s="323" t="str">
        <f t="shared" si="86"/>
        <v/>
      </c>
      <c r="BF78" s="323" t="str">
        <f t="shared" si="86"/>
        <v/>
      </c>
      <c r="BG78" s="323" t="str">
        <f t="shared" si="86"/>
        <v/>
      </c>
      <c r="BH78" s="323" t="str">
        <f t="shared" si="86"/>
        <v/>
      </c>
      <c r="BI78" s="323" t="str">
        <f t="shared" si="86"/>
        <v/>
      </c>
      <c r="BJ78" s="323" t="str">
        <f t="shared" si="86"/>
        <v/>
      </c>
      <c r="BK78" s="323" t="str">
        <f t="shared" si="86"/>
        <v/>
      </c>
      <c r="BL78" s="323" t="str">
        <f t="shared" si="86"/>
        <v/>
      </c>
      <c r="BM78" s="323" t="str">
        <f t="shared" si="86"/>
        <v/>
      </c>
      <c r="BN78" s="323" t="str">
        <f t="shared" si="86"/>
        <v/>
      </c>
      <c r="BO78" s="323" t="str">
        <f t="shared" si="86"/>
        <v/>
      </c>
      <c r="BP78" s="323" t="str">
        <f t="shared" si="86"/>
        <v/>
      </c>
      <c r="BQ78" s="323" t="str">
        <f t="shared" si="86"/>
        <v/>
      </c>
      <c r="BR78" s="323" t="str">
        <f t="shared" si="86"/>
        <v/>
      </c>
      <c r="BS78" s="323" t="str">
        <f t="shared" si="86"/>
        <v/>
      </c>
      <c r="BT78" s="323" t="str">
        <f t="shared" si="86"/>
        <v/>
      </c>
      <c r="BU78" s="323" t="str">
        <f t="shared" si="86"/>
        <v/>
      </c>
      <c r="BV78" s="323" t="str">
        <f t="shared" si="86"/>
        <v/>
      </c>
      <c r="BW78" s="323" t="str">
        <f t="shared" si="86"/>
        <v/>
      </c>
      <c r="BX78" s="323" t="str">
        <f t="shared" si="86"/>
        <v/>
      </c>
      <c r="BY78" s="323" t="str">
        <f t="shared" si="86"/>
        <v/>
      </c>
      <c r="BZ78" s="323" t="str">
        <f t="shared" si="86"/>
        <v/>
      </c>
      <c r="CA78" s="323" t="str">
        <f t="shared" si="86"/>
        <v/>
      </c>
      <c r="CB78" s="323" t="str">
        <f t="shared" si="86"/>
        <v/>
      </c>
      <c r="CC78" s="323" t="str">
        <f t="shared" si="86"/>
        <v/>
      </c>
      <c r="CD78" s="323" t="str">
        <f t="shared" si="86"/>
        <v/>
      </c>
      <c r="CE78" s="323" t="str">
        <f t="shared" si="86"/>
        <v/>
      </c>
      <c r="CF78" s="323" t="str">
        <f t="shared" si="86"/>
        <v/>
      </c>
      <c r="CG78" s="323" t="str">
        <f t="shared" si="86"/>
        <v/>
      </c>
      <c r="CH78" s="323" t="str">
        <f t="shared" si="86"/>
        <v/>
      </c>
      <c r="CI78" s="323" t="str">
        <f t="shared" si="86"/>
        <v/>
      </c>
      <c r="CJ78" s="323" t="str">
        <f t="shared" si="86"/>
        <v/>
      </c>
      <c r="CK78" s="323" t="str">
        <f t="shared" si="86"/>
        <v/>
      </c>
      <c r="CL78" s="323" t="str">
        <f t="shared" si="86"/>
        <v/>
      </c>
      <c r="CM78" s="323" t="str">
        <f t="shared" si="86"/>
        <v/>
      </c>
      <c r="CN78" s="323"/>
      <c r="CO78" s="323"/>
      <c r="CP78" s="323" t="str">
        <f t="shared" si="16"/>
        <v/>
      </c>
      <c r="CQ78" s="323"/>
      <c r="CR78" s="323"/>
      <c r="CS78" s="323"/>
      <c r="CT78" s="323"/>
      <c r="CU78" s="323"/>
      <c r="CV78" s="323"/>
      <c r="CW78" s="323"/>
      <c r="CX78" s="323"/>
      <c r="CY78" s="323"/>
      <c r="CZ78" s="323"/>
      <c r="DA78" s="323"/>
      <c r="DB78" s="323"/>
      <c r="DC78" s="323"/>
      <c r="DD78" s="323"/>
      <c r="DE78" s="323"/>
      <c r="DF78" s="323"/>
      <c r="DG78" s="323"/>
      <c r="DH78" s="323"/>
      <c r="DI78" s="323"/>
      <c r="DJ78" s="323"/>
      <c r="DK78" s="323"/>
      <c r="DL78" s="323"/>
      <c r="DM78" s="323"/>
      <c r="DN78" s="323"/>
      <c r="DO78" s="323"/>
      <c r="DP78" s="323"/>
      <c r="DQ78" s="323"/>
      <c r="DR78" s="323"/>
      <c r="DS78" s="323"/>
      <c r="DT78" s="323"/>
      <c r="DU78" s="323"/>
      <c r="DV78" s="323"/>
      <c r="DW78" s="323"/>
      <c r="DX78" s="323"/>
      <c r="DY78" s="323"/>
      <c r="DZ78" s="323"/>
      <c r="EA78" s="323"/>
      <c r="EB78" s="323"/>
      <c r="EC78" s="323"/>
      <c r="ED78" s="323"/>
      <c r="EE78" s="323"/>
      <c r="EF78" s="323"/>
      <c r="EG78" s="323"/>
      <c r="EH78" s="323"/>
      <c r="EI78" s="323"/>
      <c r="EJ78" s="323"/>
      <c r="EK78" s="323"/>
      <c r="EL78" s="323"/>
      <c r="EM78" s="323"/>
      <c r="EN78" s="323"/>
      <c r="EO78" s="323"/>
      <c r="EP78" s="323"/>
      <c r="EQ78" s="323"/>
      <c r="ER78" s="323"/>
      <c r="ES78" s="323"/>
      <c r="ET78" s="323"/>
      <c r="EU78" s="323"/>
      <c r="EV78" s="323"/>
      <c r="EW78" s="323"/>
      <c r="EX78" s="323"/>
      <c r="EY78" s="323"/>
      <c r="EZ78" s="323"/>
      <c r="FA78" s="323"/>
      <c r="FB78" s="323"/>
      <c r="FC78" s="323"/>
      <c r="FD78" s="323"/>
      <c r="FE78" s="323"/>
      <c r="FF78" s="323"/>
      <c r="FG78" s="323"/>
      <c r="FH78" s="323"/>
      <c r="FI78" s="323"/>
      <c r="FJ78" s="323"/>
      <c r="FK78" s="323"/>
      <c r="FL78" s="323"/>
      <c r="FM78" s="323"/>
      <c r="FN78" s="323"/>
      <c r="FO78" s="323"/>
      <c r="FP78" s="323"/>
      <c r="FQ78" s="323"/>
      <c r="FR78" s="323"/>
      <c r="FS78" s="323"/>
      <c r="FT78" s="323"/>
      <c r="FU78" s="323"/>
      <c r="FV78" s="323"/>
      <c r="FW78" s="323"/>
      <c r="FX78" s="323"/>
    </row>
    <row r="79" ht="15.75" customHeight="1">
      <c r="A79" s="44">
        <v>74.0</v>
      </c>
      <c r="B79" s="27"/>
      <c r="C79" s="44"/>
      <c r="D79" s="44"/>
      <c r="E79" s="330"/>
      <c r="F79" s="47"/>
      <c r="G79" s="47"/>
      <c r="H79" s="47"/>
      <c r="I79" s="26"/>
      <c r="J79" s="323" t="str">
        <f t="shared" ref="J79:CM79" si="87">IF(AND($I79="Yes",J$2=$H79),"♦","")</f>
        <v/>
      </c>
      <c r="K79" s="323" t="str">
        <f t="shared" si="87"/>
        <v/>
      </c>
      <c r="L79" s="323" t="str">
        <f t="shared" si="87"/>
        <v/>
      </c>
      <c r="M79" s="323" t="str">
        <f t="shared" si="87"/>
        <v/>
      </c>
      <c r="N79" s="323" t="str">
        <f t="shared" si="87"/>
        <v/>
      </c>
      <c r="O79" s="323" t="str">
        <f t="shared" si="87"/>
        <v/>
      </c>
      <c r="P79" s="323" t="str">
        <f t="shared" si="87"/>
        <v/>
      </c>
      <c r="Q79" s="323" t="str">
        <f t="shared" si="87"/>
        <v/>
      </c>
      <c r="R79" s="323" t="str">
        <f t="shared" si="87"/>
        <v/>
      </c>
      <c r="S79" s="323" t="str">
        <f t="shared" si="87"/>
        <v/>
      </c>
      <c r="T79" s="323" t="str">
        <f t="shared" si="87"/>
        <v/>
      </c>
      <c r="U79" s="323" t="str">
        <f t="shared" si="87"/>
        <v/>
      </c>
      <c r="V79" s="323" t="str">
        <f t="shared" si="87"/>
        <v/>
      </c>
      <c r="W79" s="323" t="str">
        <f t="shared" si="87"/>
        <v/>
      </c>
      <c r="X79" s="323" t="str">
        <f t="shared" si="87"/>
        <v/>
      </c>
      <c r="Y79" s="323" t="str">
        <f t="shared" si="87"/>
        <v/>
      </c>
      <c r="Z79" s="323" t="str">
        <f t="shared" si="87"/>
        <v/>
      </c>
      <c r="AA79" s="323" t="str">
        <f t="shared" si="87"/>
        <v/>
      </c>
      <c r="AB79" s="323" t="str">
        <f t="shared" si="87"/>
        <v/>
      </c>
      <c r="AC79" s="323" t="str">
        <f t="shared" si="87"/>
        <v/>
      </c>
      <c r="AD79" s="323" t="str">
        <f t="shared" si="87"/>
        <v/>
      </c>
      <c r="AE79" s="323" t="str">
        <f t="shared" si="87"/>
        <v/>
      </c>
      <c r="AF79" s="323" t="str">
        <f t="shared" si="87"/>
        <v/>
      </c>
      <c r="AG79" s="323" t="str">
        <f t="shared" si="87"/>
        <v/>
      </c>
      <c r="AH79" s="323" t="str">
        <f t="shared" si="87"/>
        <v/>
      </c>
      <c r="AI79" s="323" t="str">
        <f t="shared" si="87"/>
        <v/>
      </c>
      <c r="AJ79" s="323" t="str">
        <f t="shared" si="87"/>
        <v/>
      </c>
      <c r="AK79" s="323" t="str">
        <f t="shared" si="87"/>
        <v/>
      </c>
      <c r="AL79" s="323" t="str">
        <f t="shared" si="87"/>
        <v/>
      </c>
      <c r="AM79" s="323" t="str">
        <f t="shared" si="87"/>
        <v/>
      </c>
      <c r="AN79" s="323" t="str">
        <f t="shared" si="87"/>
        <v/>
      </c>
      <c r="AO79" s="323" t="str">
        <f t="shared" si="87"/>
        <v/>
      </c>
      <c r="AP79" s="323" t="str">
        <f t="shared" si="87"/>
        <v/>
      </c>
      <c r="AQ79" s="323" t="str">
        <f t="shared" si="87"/>
        <v/>
      </c>
      <c r="AR79" s="323" t="str">
        <f t="shared" si="87"/>
        <v/>
      </c>
      <c r="AS79" s="323" t="str">
        <f t="shared" si="87"/>
        <v/>
      </c>
      <c r="AT79" s="323" t="str">
        <f t="shared" si="87"/>
        <v/>
      </c>
      <c r="AU79" s="323" t="str">
        <f t="shared" si="87"/>
        <v/>
      </c>
      <c r="AV79" s="323" t="str">
        <f t="shared" si="87"/>
        <v/>
      </c>
      <c r="AW79" s="323" t="str">
        <f t="shared" si="87"/>
        <v/>
      </c>
      <c r="AX79" s="323" t="str">
        <f t="shared" si="87"/>
        <v/>
      </c>
      <c r="AY79" s="323" t="str">
        <f t="shared" si="87"/>
        <v/>
      </c>
      <c r="AZ79" s="323" t="str">
        <f t="shared" si="87"/>
        <v/>
      </c>
      <c r="BA79" s="323" t="str">
        <f t="shared" si="87"/>
        <v/>
      </c>
      <c r="BB79" s="323" t="str">
        <f t="shared" si="87"/>
        <v/>
      </c>
      <c r="BC79" s="323" t="str">
        <f t="shared" si="87"/>
        <v/>
      </c>
      <c r="BD79" s="323" t="str">
        <f t="shared" si="87"/>
        <v/>
      </c>
      <c r="BE79" s="323" t="str">
        <f t="shared" si="87"/>
        <v/>
      </c>
      <c r="BF79" s="323" t="str">
        <f t="shared" si="87"/>
        <v/>
      </c>
      <c r="BG79" s="323" t="str">
        <f t="shared" si="87"/>
        <v/>
      </c>
      <c r="BH79" s="323" t="str">
        <f t="shared" si="87"/>
        <v/>
      </c>
      <c r="BI79" s="323" t="str">
        <f t="shared" si="87"/>
        <v/>
      </c>
      <c r="BJ79" s="323" t="str">
        <f t="shared" si="87"/>
        <v/>
      </c>
      <c r="BK79" s="323" t="str">
        <f t="shared" si="87"/>
        <v/>
      </c>
      <c r="BL79" s="323" t="str">
        <f t="shared" si="87"/>
        <v/>
      </c>
      <c r="BM79" s="323" t="str">
        <f t="shared" si="87"/>
        <v/>
      </c>
      <c r="BN79" s="323" t="str">
        <f t="shared" si="87"/>
        <v/>
      </c>
      <c r="BO79" s="323" t="str">
        <f t="shared" si="87"/>
        <v/>
      </c>
      <c r="BP79" s="323" t="str">
        <f t="shared" si="87"/>
        <v/>
      </c>
      <c r="BQ79" s="323" t="str">
        <f t="shared" si="87"/>
        <v/>
      </c>
      <c r="BR79" s="323" t="str">
        <f t="shared" si="87"/>
        <v/>
      </c>
      <c r="BS79" s="323" t="str">
        <f t="shared" si="87"/>
        <v/>
      </c>
      <c r="BT79" s="323" t="str">
        <f t="shared" si="87"/>
        <v/>
      </c>
      <c r="BU79" s="323" t="str">
        <f t="shared" si="87"/>
        <v/>
      </c>
      <c r="BV79" s="323" t="str">
        <f t="shared" si="87"/>
        <v/>
      </c>
      <c r="BW79" s="323" t="str">
        <f t="shared" si="87"/>
        <v/>
      </c>
      <c r="BX79" s="323" t="str">
        <f t="shared" si="87"/>
        <v/>
      </c>
      <c r="BY79" s="323" t="str">
        <f t="shared" si="87"/>
        <v/>
      </c>
      <c r="BZ79" s="323" t="str">
        <f t="shared" si="87"/>
        <v/>
      </c>
      <c r="CA79" s="323" t="str">
        <f t="shared" si="87"/>
        <v/>
      </c>
      <c r="CB79" s="323" t="str">
        <f t="shared" si="87"/>
        <v/>
      </c>
      <c r="CC79" s="323" t="str">
        <f t="shared" si="87"/>
        <v/>
      </c>
      <c r="CD79" s="323" t="str">
        <f t="shared" si="87"/>
        <v/>
      </c>
      <c r="CE79" s="323" t="str">
        <f t="shared" si="87"/>
        <v/>
      </c>
      <c r="CF79" s="323" t="str">
        <f t="shared" si="87"/>
        <v/>
      </c>
      <c r="CG79" s="323" t="str">
        <f t="shared" si="87"/>
        <v/>
      </c>
      <c r="CH79" s="323" t="str">
        <f t="shared" si="87"/>
        <v/>
      </c>
      <c r="CI79" s="323" t="str">
        <f t="shared" si="87"/>
        <v/>
      </c>
      <c r="CJ79" s="323" t="str">
        <f t="shared" si="87"/>
        <v/>
      </c>
      <c r="CK79" s="323" t="str">
        <f t="shared" si="87"/>
        <v/>
      </c>
      <c r="CL79" s="323" t="str">
        <f t="shared" si="87"/>
        <v/>
      </c>
      <c r="CM79" s="323" t="str">
        <f t="shared" si="87"/>
        <v/>
      </c>
      <c r="CN79" s="323"/>
      <c r="CO79" s="323"/>
      <c r="CP79" s="323" t="str">
        <f t="shared" si="16"/>
        <v/>
      </c>
      <c r="CQ79" s="323"/>
      <c r="CR79" s="323"/>
      <c r="CS79" s="323"/>
      <c r="CT79" s="323"/>
      <c r="CU79" s="323"/>
      <c r="CV79" s="323"/>
      <c r="CW79" s="323"/>
      <c r="CX79" s="323"/>
      <c r="CY79" s="323"/>
      <c r="CZ79" s="323"/>
      <c r="DA79" s="323"/>
      <c r="DB79" s="323"/>
      <c r="DC79" s="323"/>
      <c r="DD79" s="323"/>
      <c r="DE79" s="323"/>
      <c r="DF79" s="323"/>
      <c r="DG79" s="323"/>
      <c r="DH79" s="323"/>
      <c r="DI79" s="323"/>
      <c r="DJ79" s="323"/>
      <c r="DK79" s="323"/>
      <c r="DL79" s="323"/>
      <c r="DM79" s="323"/>
      <c r="DN79" s="323"/>
      <c r="DO79" s="323"/>
      <c r="DP79" s="323"/>
      <c r="DQ79" s="323"/>
      <c r="DR79" s="323"/>
      <c r="DS79" s="323"/>
      <c r="DT79" s="323"/>
      <c r="DU79" s="323"/>
      <c r="DV79" s="323"/>
      <c r="DW79" s="323"/>
      <c r="DX79" s="323"/>
      <c r="DY79" s="323"/>
      <c r="DZ79" s="323"/>
      <c r="EA79" s="323"/>
      <c r="EB79" s="323"/>
      <c r="EC79" s="323"/>
      <c r="ED79" s="323"/>
      <c r="EE79" s="323"/>
      <c r="EF79" s="323"/>
      <c r="EG79" s="323"/>
      <c r="EH79" s="323"/>
      <c r="EI79" s="323"/>
      <c r="EJ79" s="323"/>
      <c r="EK79" s="323"/>
      <c r="EL79" s="323"/>
      <c r="EM79" s="323"/>
      <c r="EN79" s="323"/>
      <c r="EO79" s="323"/>
      <c r="EP79" s="323"/>
      <c r="EQ79" s="323"/>
      <c r="ER79" s="323"/>
      <c r="ES79" s="323"/>
      <c r="ET79" s="323"/>
      <c r="EU79" s="323"/>
      <c r="EV79" s="323"/>
      <c r="EW79" s="323"/>
      <c r="EX79" s="323"/>
      <c r="EY79" s="323"/>
      <c r="EZ79" s="323"/>
      <c r="FA79" s="323"/>
      <c r="FB79" s="323"/>
      <c r="FC79" s="323"/>
      <c r="FD79" s="323"/>
      <c r="FE79" s="323"/>
      <c r="FF79" s="323"/>
      <c r="FG79" s="323"/>
      <c r="FH79" s="323"/>
      <c r="FI79" s="323"/>
      <c r="FJ79" s="323"/>
      <c r="FK79" s="323"/>
      <c r="FL79" s="323"/>
      <c r="FM79" s="323"/>
      <c r="FN79" s="323"/>
      <c r="FO79" s="323"/>
      <c r="FP79" s="323"/>
      <c r="FQ79" s="323"/>
      <c r="FR79" s="323"/>
      <c r="FS79" s="323"/>
      <c r="FT79" s="323"/>
      <c r="FU79" s="323"/>
      <c r="FV79" s="323"/>
      <c r="FW79" s="323"/>
      <c r="FX79" s="323"/>
    </row>
    <row r="80" ht="15.75" customHeight="1">
      <c r="A80" s="44">
        <v>75.0</v>
      </c>
      <c r="B80" s="27"/>
      <c r="C80" s="44"/>
      <c r="D80" s="44"/>
      <c r="E80" s="330"/>
      <c r="F80" s="47"/>
      <c r="G80" s="47"/>
      <c r="H80" s="47"/>
      <c r="I80" s="26"/>
      <c r="J80" s="323" t="str">
        <f t="shared" ref="J80:CM80" si="88">IF(AND($I80="Yes",J$2=$H80),"♦","")</f>
        <v/>
      </c>
      <c r="K80" s="323" t="str">
        <f t="shared" si="88"/>
        <v/>
      </c>
      <c r="L80" s="323" t="str">
        <f t="shared" si="88"/>
        <v/>
      </c>
      <c r="M80" s="323" t="str">
        <f t="shared" si="88"/>
        <v/>
      </c>
      <c r="N80" s="323" t="str">
        <f t="shared" si="88"/>
        <v/>
      </c>
      <c r="O80" s="323" t="str">
        <f t="shared" si="88"/>
        <v/>
      </c>
      <c r="P80" s="323" t="str">
        <f t="shared" si="88"/>
        <v/>
      </c>
      <c r="Q80" s="323" t="str">
        <f t="shared" si="88"/>
        <v/>
      </c>
      <c r="R80" s="323" t="str">
        <f t="shared" si="88"/>
        <v/>
      </c>
      <c r="S80" s="323" t="str">
        <f t="shared" si="88"/>
        <v/>
      </c>
      <c r="T80" s="323" t="str">
        <f t="shared" si="88"/>
        <v/>
      </c>
      <c r="U80" s="323" t="str">
        <f t="shared" si="88"/>
        <v/>
      </c>
      <c r="V80" s="323" t="str">
        <f t="shared" si="88"/>
        <v/>
      </c>
      <c r="W80" s="323" t="str">
        <f t="shared" si="88"/>
        <v/>
      </c>
      <c r="X80" s="323" t="str">
        <f t="shared" si="88"/>
        <v/>
      </c>
      <c r="Y80" s="323" t="str">
        <f t="shared" si="88"/>
        <v/>
      </c>
      <c r="Z80" s="323" t="str">
        <f t="shared" si="88"/>
        <v/>
      </c>
      <c r="AA80" s="323" t="str">
        <f t="shared" si="88"/>
        <v/>
      </c>
      <c r="AB80" s="323" t="str">
        <f t="shared" si="88"/>
        <v/>
      </c>
      <c r="AC80" s="323" t="str">
        <f t="shared" si="88"/>
        <v/>
      </c>
      <c r="AD80" s="323" t="str">
        <f t="shared" si="88"/>
        <v/>
      </c>
      <c r="AE80" s="323" t="str">
        <f t="shared" si="88"/>
        <v/>
      </c>
      <c r="AF80" s="323" t="str">
        <f t="shared" si="88"/>
        <v/>
      </c>
      <c r="AG80" s="323" t="str">
        <f t="shared" si="88"/>
        <v/>
      </c>
      <c r="AH80" s="323" t="str">
        <f t="shared" si="88"/>
        <v/>
      </c>
      <c r="AI80" s="323" t="str">
        <f t="shared" si="88"/>
        <v/>
      </c>
      <c r="AJ80" s="323" t="str">
        <f t="shared" si="88"/>
        <v/>
      </c>
      <c r="AK80" s="323" t="str">
        <f t="shared" si="88"/>
        <v/>
      </c>
      <c r="AL80" s="323" t="str">
        <f t="shared" si="88"/>
        <v/>
      </c>
      <c r="AM80" s="323" t="str">
        <f t="shared" si="88"/>
        <v/>
      </c>
      <c r="AN80" s="323" t="str">
        <f t="shared" si="88"/>
        <v/>
      </c>
      <c r="AO80" s="323" t="str">
        <f t="shared" si="88"/>
        <v/>
      </c>
      <c r="AP80" s="323" t="str">
        <f t="shared" si="88"/>
        <v/>
      </c>
      <c r="AQ80" s="323" t="str">
        <f t="shared" si="88"/>
        <v/>
      </c>
      <c r="AR80" s="323" t="str">
        <f t="shared" si="88"/>
        <v/>
      </c>
      <c r="AS80" s="323" t="str">
        <f t="shared" si="88"/>
        <v/>
      </c>
      <c r="AT80" s="323" t="str">
        <f t="shared" si="88"/>
        <v/>
      </c>
      <c r="AU80" s="323" t="str">
        <f t="shared" si="88"/>
        <v/>
      </c>
      <c r="AV80" s="323" t="str">
        <f t="shared" si="88"/>
        <v/>
      </c>
      <c r="AW80" s="323" t="str">
        <f t="shared" si="88"/>
        <v/>
      </c>
      <c r="AX80" s="323" t="str">
        <f t="shared" si="88"/>
        <v/>
      </c>
      <c r="AY80" s="323" t="str">
        <f t="shared" si="88"/>
        <v/>
      </c>
      <c r="AZ80" s="323" t="str">
        <f t="shared" si="88"/>
        <v/>
      </c>
      <c r="BA80" s="323" t="str">
        <f t="shared" si="88"/>
        <v/>
      </c>
      <c r="BB80" s="323" t="str">
        <f t="shared" si="88"/>
        <v/>
      </c>
      <c r="BC80" s="323" t="str">
        <f t="shared" si="88"/>
        <v/>
      </c>
      <c r="BD80" s="323" t="str">
        <f t="shared" si="88"/>
        <v/>
      </c>
      <c r="BE80" s="323" t="str">
        <f t="shared" si="88"/>
        <v/>
      </c>
      <c r="BF80" s="323" t="str">
        <f t="shared" si="88"/>
        <v/>
      </c>
      <c r="BG80" s="323" t="str">
        <f t="shared" si="88"/>
        <v/>
      </c>
      <c r="BH80" s="323" t="str">
        <f t="shared" si="88"/>
        <v/>
      </c>
      <c r="BI80" s="323" t="str">
        <f t="shared" si="88"/>
        <v/>
      </c>
      <c r="BJ80" s="323" t="str">
        <f t="shared" si="88"/>
        <v/>
      </c>
      <c r="BK80" s="323" t="str">
        <f t="shared" si="88"/>
        <v/>
      </c>
      <c r="BL80" s="323" t="str">
        <f t="shared" si="88"/>
        <v/>
      </c>
      <c r="BM80" s="323" t="str">
        <f t="shared" si="88"/>
        <v/>
      </c>
      <c r="BN80" s="323" t="str">
        <f t="shared" si="88"/>
        <v/>
      </c>
      <c r="BO80" s="323" t="str">
        <f t="shared" si="88"/>
        <v/>
      </c>
      <c r="BP80" s="323" t="str">
        <f t="shared" si="88"/>
        <v/>
      </c>
      <c r="BQ80" s="323" t="str">
        <f t="shared" si="88"/>
        <v/>
      </c>
      <c r="BR80" s="323" t="str">
        <f t="shared" si="88"/>
        <v/>
      </c>
      <c r="BS80" s="323" t="str">
        <f t="shared" si="88"/>
        <v/>
      </c>
      <c r="BT80" s="323" t="str">
        <f t="shared" si="88"/>
        <v/>
      </c>
      <c r="BU80" s="323" t="str">
        <f t="shared" si="88"/>
        <v/>
      </c>
      <c r="BV80" s="323" t="str">
        <f t="shared" si="88"/>
        <v/>
      </c>
      <c r="BW80" s="323" t="str">
        <f t="shared" si="88"/>
        <v/>
      </c>
      <c r="BX80" s="323" t="str">
        <f t="shared" si="88"/>
        <v/>
      </c>
      <c r="BY80" s="323" t="str">
        <f t="shared" si="88"/>
        <v/>
      </c>
      <c r="BZ80" s="323" t="str">
        <f t="shared" si="88"/>
        <v/>
      </c>
      <c r="CA80" s="323" t="str">
        <f t="shared" si="88"/>
        <v/>
      </c>
      <c r="CB80" s="323" t="str">
        <f t="shared" si="88"/>
        <v/>
      </c>
      <c r="CC80" s="323" t="str">
        <f t="shared" si="88"/>
        <v/>
      </c>
      <c r="CD80" s="323" t="str">
        <f t="shared" si="88"/>
        <v/>
      </c>
      <c r="CE80" s="323" t="str">
        <f t="shared" si="88"/>
        <v/>
      </c>
      <c r="CF80" s="323" t="str">
        <f t="shared" si="88"/>
        <v/>
      </c>
      <c r="CG80" s="323" t="str">
        <f t="shared" si="88"/>
        <v/>
      </c>
      <c r="CH80" s="323" t="str">
        <f t="shared" si="88"/>
        <v/>
      </c>
      <c r="CI80" s="323" t="str">
        <f t="shared" si="88"/>
        <v/>
      </c>
      <c r="CJ80" s="323" t="str">
        <f t="shared" si="88"/>
        <v/>
      </c>
      <c r="CK80" s="323" t="str">
        <f t="shared" si="88"/>
        <v/>
      </c>
      <c r="CL80" s="323" t="str">
        <f t="shared" si="88"/>
        <v/>
      </c>
      <c r="CM80" s="323" t="str">
        <f t="shared" si="88"/>
        <v/>
      </c>
      <c r="CN80" s="323"/>
      <c r="CO80" s="323"/>
      <c r="CP80" s="323" t="str">
        <f t="shared" si="16"/>
        <v/>
      </c>
      <c r="CQ80" s="323"/>
      <c r="CR80" s="323"/>
      <c r="CS80" s="323"/>
      <c r="CT80" s="323"/>
      <c r="CU80" s="323"/>
      <c r="CV80" s="323"/>
      <c r="CW80" s="323"/>
      <c r="CX80" s="323"/>
      <c r="CY80" s="323"/>
      <c r="CZ80" s="323"/>
      <c r="DA80" s="323"/>
      <c r="DB80" s="323"/>
      <c r="DC80" s="323"/>
      <c r="DD80" s="323"/>
      <c r="DE80" s="323"/>
      <c r="DF80" s="323"/>
      <c r="DG80" s="323"/>
      <c r="DH80" s="323"/>
      <c r="DI80" s="323"/>
      <c r="DJ80" s="323"/>
      <c r="DK80" s="323"/>
      <c r="DL80" s="323"/>
      <c r="DM80" s="323"/>
      <c r="DN80" s="323"/>
      <c r="DO80" s="323"/>
      <c r="DP80" s="323"/>
      <c r="DQ80" s="323"/>
      <c r="DR80" s="323"/>
      <c r="DS80" s="323"/>
      <c r="DT80" s="323"/>
      <c r="DU80" s="323"/>
      <c r="DV80" s="323"/>
      <c r="DW80" s="323"/>
      <c r="DX80" s="323"/>
      <c r="DY80" s="323"/>
      <c r="DZ80" s="323"/>
      <c r="EA80" s="323"/>
      <c r="EB80" s="323"/>
      <c r="EC80" s="323"/>
      <c r="ED80" s="323"/>
      <c r="EE80" s="323"/>
      <c r="EF80" s="323"/>
      <c r="EG80" s="323"/>
      <c r="EH80" s="323"/>
      <c r="EI80" s="323"/>
      <c r="EJ80" s="323"/>
      <c r="EK80" s="323"/>
      <c r="EL80" s="323"/>
      <c r="EM80" s="323"/>
      <c r="EN80" s="323"/>
      <c r="EO80" s="323"/>
      <c r="EP80" s="323"/>
      <c r="EQ80" s="323"/>
      <c r="ER80" s="323"/>
      <c r="ES80" s="323"/>
      <c r="ET80" s="323"/>
      <c r="EU80" s="323"/>
      <c r="EV80" s="323"/>
      <c r="EW80" s="323"/>
      <c r="EX80" s="323"/>
      <c r="EY80" s="323"/>
      <c r="EZ80" s="323"/>
      <c r="FA80" s="323"/>
      <c r="FB80" s="323"/>
      <c r="FC80" s="323"/>
      <c r="FD80" s="323"/>
      <c r="FE80" s="323"/>
      <c r="FF80" s="323"/>
      <c r="FG80" s="323"/>
      <c r="FH80" s="323"/>
      <c r="FI80" s="323"/>
      <c r="FJ80" s="323"/>
      <c r="FK80" s="323"/>
      <c r="FL80" s="323"/>
      <c r="FM80" s="323"/>
      <c r="FN80" s="323"/>
      <c r="FO80" s="323"/>
      <c r="FP80" s="323"/>
      <c r="FQ80" s="323"/>
      <c r="FR80" s="323"/>
      <c r="FS80" s="323"/>
      <c r="FT80" s="323"/>
      <c r="FU80" s="323"/>
      <c r="FV80" s="323"/>
      <c r="FW80" s="323"/>
      <c r="FX80" s="323"/>
    </row>
    <row r="81" ht="15.75" customHeight="1">
      <c r="A81" s="44">
        <v>76.0</v>
      </c>
      <c r="B81" s="27"/>
      <c r="C81" s="44"/>
      <c r="D81" s="44"/>
      <c r="E81" s="330"/>
      <c r="F81" s="47"/>
      <c r="G81" s="47"/>
      <c r="H81" s="47"/>
      <c r="I81" s="26"/>
      <c r="J81" s="323" t="str">
        <f t="shared" ref="J81:CM81" si="89">IF(AND($I81="Yes",J$2=$H81),"♦","")</f>
        <v/>
      </c>
      <c r="K81" s="323" t="str">
        <f t="shared" si="89"/>
        <v/>
      </c>
      <c r="L81" s="323" t="str">
        <f t="shared" si="89"/>
        <v/>
      </c>
      <c r="M81" s="323" t="str">
        <f t="shared" si="89"/>
        <v/>
      </c>
      <c r="N81" s="323" t="str">
        <f t="shared" si="89"/>
        <v/>
      </c>
      <c r="O81" s="323" t="str">
        <f t="shared" si="89"/>
        <v/>
      </c>
      <c r="P81" s="323" t="str">
        <f t="shared" si="89"/>
        <v/>
      </c>
      <c r="Q81" s="323" t="str">
        <f t="shared" si="89"/>
        <v/>
      </c>
      <c r="R81" s="323" t="str">
        <f t="shared" si="89"/>
        <v/>
      </c>
      <c r="S81" s="323" t="str">
        <f t="shared" si="89"/>
        <v/>
      </c>
      <c r="T81" s="323" t="str">
        <f t="shared" si="89"/>
        <v/>
      </c>
      <c r="U81" s="323" t="str">
        <f t="shared" si="89"/>
        <v/>
      </c>
      <c r="V81" s="323" t="str">
        <f t="shared" si="89"/>
        <v/>
      </c>
      <c r="W81" s="323" t="str">
        <f t="shared" si="89"/>
        <v/>
      </c>
      <c r="X81" s="323" t="str">
        <f t="shared" si="89"/>
        <v/>
      </c>
      <c r="Y81" s="323" t="str">
        <f t="shared" si="89"/>
        <v/>
      </c>
      <c r="Z81" s="323" t="str">
        <f t="shared" si="89"/>
        <v/>
      </c>
      <c r="AA81" s="323" t="str">
        <f t="shared" si="89"/>
        <v/>
      </c>
      <c r="AB81" s="323" t="str">
        <f t="shared" si="89"/>
        <v/>
      </c>
      <c r="AC81" s="323" t="str">
        <f t="shared" si="89"/>
        <v/>
      </c>
      <c r="AD81" s="323" t="str">
        <f t="shared" si="89"/>
        <v/>
      </c>
      <c r="AE81" s="323" t="str">
        <f t="shared" si="89"/>
        <v/>
      </c>
      <c r="AF81" s="323" t="str">
        <f t="shared" si="89"/>
        <v/>
      </c>
      <c r="AG81" s="323" t="str">
        <f t="shared" si="89"/>
        <v/>
      </c>
      <c r="AH81" s="323" t="str">
        <f t="shared" si="89"/>
        <v/>
      </c>
      <c r="AI81" s="323" t="str">
        <f t="shared" si="89"/>
        <v/>
      </c>
      <c r="AJ81" s="323" t="str">
        <f t="shared" si="89"/>
        <v/>
      </c>
      <c r="AK81" s="323" t="str">
        <f t="shared" si="89"/>
        <v/>
      </c>
      <c r="AL81" s="323" t="str">
        <f t="shared" si="89"/>
        <v/>
      </c>
      <c r="AM81" s="323" t="str">
        <f t="shared" si="89"/>
        <v/>
      </c>
      <c r="AN81" s="323" t="str">
        <f t="shared" si="89"/>
        <v/>
      </c>
      <c r="AO81" s="323" t="str">
        <f t="shared" si="89"/>
        <v/>
      </c>
      <c r="AP81" s="323" t="str">
        <f t="shared" si="89"/>
        <v/>
      </c>
      <c r="AQ81" s="323" t="str">
        <f t="shared" si="89"/>
        <v/>
      </c>
      <c r="AR81" s="323" t="str">
        <f t="shared" si="89"/>
        <v/>
      </c>
      <c r="AS81" s="323" t="str">
        <f t="shared" si="89"/>
        <v/>
      </c>
      <c r="AT81" s="323" t="str">
        <f t="shared" si="89"/>
        <v/>
      </c>
      <c r="AU81" s="323" t="str">
        <f t="shared" si="89"/>
        <v/>
      </c>
      <c r="AV81" s="323" t="str">
        <f t="shared" si="89"/>
        <v/>
      </c>
      <c r="AW81" s="323" t="str">
        <f t="shared" si="89"/>
        <v/>
      </c>
      <c r="AX81" s="323" t="str">
        <f t="shared" si="89"/>
        <v/>
      </c>
      <c r="AY81" s="323" t="str">
        <f t="shared" si="89"/>
        <v/>
      </c>
      <c r="AZ81" s="323" t="str">
        <f t="shared" si="89"/>
        <v/>
      </c>
      <c r="BA81" s="323" t="str">
        <f t="shared" si="89"/>
        <v/>
      </c>
      <c r="BB81" s="323" t="str">
        <f t="shared" si="89"/>
        <v/>
      </c>
      <c r="BC81" s="323" t="str">
        <f t="shared" si="89"/>
        <v/>
      </c>
      <c r="BD81" s="323" t="str">
        <f t="shared" si="89"/>
        <v/>
      </c>
      <c r="BE81" s="323" t="str">
        <f t="shared" si="89"/>
        <v/>
      </c>
      <c r="BF81" s="323" t="str">
        <f t="shared" si="89"/>
        <v/>
      </c>
      <c r="BG81" s="323" t="str">
        <f t="shared" si="89"/>
        <v/>
      </c>
      <c r="BH81" s="323" t="str">
        <f t="shared" si="89"/>
        <v/>
      </c>
      <c r="BI81" s="323" t="str">
        <f t="shared" si="89"/>
        <v/>
      </c>
      <c r="BJ81" s="323" t="str">
        <f t="shared" si="89"/>
        <v/>
      </c>
      <c r="BK81" s="323" t="str">
        <f t="shared" si="89"/>
        <v/>
      </c>
      <c r="BL81" s="323" t="str">
        <f t="shared" si="89"/>
        <v/>
      </c>
      <c r="BM81" s="323" t="str">
        <f t="shared" si="89"/>
        <v/>
      </c>
      <c r="BN81" s="323" t="str">
        <f t="shared" si="89"/>
        <v/>
      </c>
      <c r="BO81" s="323" t="str">
        <f t="shared" si="89"/>
        <v/>
      </c>
      <c r="BP81" s="323" t="str">
        <f t="shared" si="89"/>
        <v/>
      </c>
      <c r="BQ81" s="323" t="str">
        <f t="shared" si="89"/>
        <v/>
      </c>
      <c r="BR81" s="323" t="str">
        <f t="shared" si="89"/>
        <v/>
      </c>
      <c r="BS81" s="323" t="str">
        <f t="shared" si="89"/>
        <v/>
      </c>
      <c r="BT81" s="323" t="str">
        <f t="shared" si="89"/>
        <v/>
      </c>
      <c r="BU81" s="323" t="str">
        <f t="shared" si="89"/>
        <v/>
      </c>
      <c r="BV81" s="323" t="str">
        <f t="shared" si="89"/>
        <v/>
      </c>
      <c r="BW81" s="323" t="str">
        <f t="shared" si="89"/>
        <v/>
      </c>
      <c r="BX81" s="323" t="str">
        <f t="shared" si="89"/>
        <v/>
      </c>
      <c r="BY81" s="323" t="str">
        <f t="shared" si="89"/>
        <v/>
      </c>
      <c r="BZ81" s="323" t="str">
        <f t="shared" si="89"/>
        <v/>
      </c>
      <c r="CA81" s="323" t="str">
        <f t="shared" si="89"/>
        <v/>
      </c>
      <c r="CB81" s="323" t="str">
        <f t="shared" si="89"/>
        <v/>
      </c>
      <c r="CC81" s="323" t="str">
        <f t="shared" si="89"/>
        <v/>
      </c>
      <c r="CD81" s="323" t="str">
        <f t="shared" si="89"/>
        <v/>
      </c>
      <c r="CE81" s="323" t="str">
        <f t="shared" si="89"/>
        <v/>
      </c>
      <c r="CF81" s="323" t="str">
        <f t="shared" si="89"/>
        <v/>
      </c>
      <c r="CG81" s="323" t="str">
        <f t="shared" si="89"/>
        <v/>
      </c>
      <c r="CH81" s="323" t="str">
        <f t="shared" si="89"/>
        <v/>
      </c>
      <c r="CI81" s="323" t="str">
        <f t="shared" si="89"/>
        <v/>
      </c>
      <c r="CJ81" s="323" t="str">
        <f t="shared" si="89"/>
        <v/>
      </c>
      <c r="CK81" s="323" t="str">
        <f t="shared" si="89"/>
        <v/>
      </c>
      <c r="CL81" s="323" t="str">
        <f t="shared" si="89"/>
        <v/>
      </c>
      <c r="CM81" s="323" t="str">
        <f t="shared" si="89"/>
        <v/>
      </c>
      <c r="CN81" s="323"/>
      <c r="CO81" s="323"/>
      <c r="CP81" s="323" t="str">
        <f t="shared" si="16"/>
        <v/>
      </c>
      <c r="CQ81" s="323"/>
      <c r="CR81" s="323"/>
      <c r="CS81" s="323"/>
      <c r="CT81" s="323"/>
      <c r="CU81" s="323"/>
      <c r="CV81" s="323"/>
      <c r="CW81" s="323"/>
      <c r="CX81" s="323"/>
      <c r="CY81" s="323"/>
      <c r="CZ81" s="323"/>
      <c r="DA81" s="323"/>
      <c r="DB81" s="323"/>
      <c r="DC81" s="323"/>
      <c r="DD81" s="323"/>
      <c r="DE81" s="323"/>
      <c r="DF81" s="323"/>
      <c r="DG81" s="323"/>
      <c r="DH81" s="323"/>
      <c r="DI81" s="323"/>
      <c r="DJ81" s="323"/>
      <c r="DK81" s="323"/>
      <c r="DL81" s="323"/>
      <c r="DM81" s="323"/>
      <c r="DN81" s="323"/>
      <c r="DO81" s="323"/>
      <c r="DP81" s="323"/>
      <c r="DQ81" s="323"/>
      <c r="DR81" s="323"/>
      <c r="DS81" s="323"/>
      <c r="DT81" s="323"/>
      <c r="DU81" s="323"/>
      <c r="DV81" s="323"/>
      <c r="DW81" s="323"/>
      <c r="DX81" s="323"/>
      <c r="DY81" s="323"/>
      <c r="DZ81" s="323"/>
      <c r="EA81" s="323"/>
      <c r="EB81" s="323"/>
      <c r="EC81" s="323"/>
      <c r="ED81" s="323"/>
      <c r="EE81" s="323"/>
      <c r="EF81" s="323"/>
      <c r="EG81" s="323"/>
      <c r="EH81" s="323"/>
      <c r="EI81" s="323"/>
      <c r="EJ81" s="323"/>
      <c r="EK81" s="323"/>
      <c r="EL81" s="323"/>
      <c r="EM81" s="323"/>
      <c r="EN81" s="323"/>
      <c r="EO81" s="323"/>
      <c r="EP81" s="323"/>
      <c r="EQ81" s="323"/>
      <c r="ER81" s="323"/>
      <c r="ES81" s="323"/>
      <c r="ET81" s="323"/>
      <c r="EU81" s="323"/>
      <c r="EV81" s="323"/>
      <c r="EW81" s="323"/>
      <c r="EX81" s="323"/>
      <c r="EY81" s="323"/>
      <c r="EZ81" s="323"/>
      <c r="FA81" s="323"/>
      <c r="FB81" s="323"/>
      <c r="FC81" s="323"/>
      <c r="FD81" s="323"/>
      <c r="FE81" s="323"/>
      <c r="FF81" s="323"/>
      <c r="FG81" s="323"/>
      <c r="FH81" s="323"/>
      <c r="FI81" s="323"/>
      <c r="FJ81" s="323"/>
      <c r="FK81" s="323"/>
      <c r="FL81" s="323"/>
      <c r="FM81" s="323"/>
      <c r="FN81" s="323"/>
      <c r="FO81" s="323"/>
      <c r="FP81" s="323"/>
      <c r="FQ81" s="323"/>
      <c r="FR81" s="323"/>
      <c r="FS81" s="323"/>
      <c r="FT81" s="323"/>
      <c r="FU81" s="323"/>
      <c r="FV81" s="323"/>
      <c r="FW81" s="323"/>
      <c r="FX81" s="323"/>
    </row>
    <row r="82" ht="15.75" customHeight="1">
      <c r="A82" s="44">
        <v>77.0</v>
      </c>
      <c r="B82" s="27"/>
      <c r="C82" s="44"/>
      <c r="D82" s="44"/>
      <c r="E82" s="330"/>
      <c r="F82" s="47"/>
      <c r="G82" s="47"/>
      <c r="H82" s="47"/>
      <c r="I82" s="26"/>
      <c r="J82" s="323" t="str">
        <f t="shared" ref="J82:CM82" si="90">IF(AND($I82="Yes",J$2=$H82),"♦","")</f>
        <v/>
      </c>
      <c r="K82" s="323" t="str">
        <f t="shared" si="90"/>
        <v/>
      </c>
      <c r="L82" s="323" t="str">
        <f t="shared" si="90"/>
        <v/>
      </c>
      <c r="M82" s="323" t="str">
        <f t="shared" si="90"/>
        <v/>
      </c>
      <c r="N82" s="323" t="str">
        <f t="shared" si="90"/>
        <v/>
      </c>
      <c r="O82" s="323" t="str">
        <f t="shared" si="90"/>
        <v/>
      </c>
      <c r="P82" s="323" t="str">
        <f t="shared" si="90"/>
        <v/>
      </c>
      <c r="Q82" s="323" t="str">
        <f t="shared" si="90"/>
        <v/>
      </c>
      <c r="R82" s="323" t="str">
        <f t="shared" si="90"/>
        <v/>
      </c>
      <c r="S82" s="323" t="str">
        <f t="shared" si="90"/>
        <v/>
      </c>
      <c r="T82" s="323" t="str">
        <f t="shared" si="90"/>
        <v/>
      </c>
      <c r="U82" s="323" t="str">
        <f t="shared" si="90"/>
        <v/>
      </c>
      <c r="V82" s="323" t="str">
        <f t="shared" si="90"/>
        <v/>
      </c>
      <c r="W82" s="323" t="str">
        <f t="shared" si="90"/>
        <v/>
      </c>
      <c r="X82" s="323" t="str">
        <f t="shared" si="90"/>
        <v/>
      </c>
      <c r="Y82" s="323" t="str">
        <f t="shared" si="90"/>
        <v/>
      </c>
      <c r="Z82" s="323" t="str">
        <f t="shared" si="90"/>
        <v/>
      </c>
      <c r="AA82" s="323" t="str">
        <f t="shared" si="90"/>
        <v/>
      </c>
      <c r="AB82" s="323" t="str">
        <f t="shared" si="90"/>
        <v/>
      </c>
      <c r="AC82" s="323" t="str">
        <f t="shared" si="90"/>
        <v/>
      </c>
      <c r="AD82" s="323" t="str">
        <f t="shared" si="90"/>
        <v/>
      </c>
      <c r="AE82" s="323" t="str">
        <f t="shared" si="90"/>
        <v/>
      </c>
      <c r="AF82" s="323" t="str">
        <f t="shared" si="90"/>
        <v/>
      </c>
      <c r="AG82" s="323" t="str">
        <f t="shared" si="90"/>
        <v/>
      </c>
      <c r="AH82" s="323" t="str">
        <f t="shared" si="90"/>
        <v/>
      </c>
      <c r="AI82" s="323" t="str">
        <f t="shared" si="90"/>
        <v/>
      </c>
      <c r="AJ82" s="323" t="str">
        <f t="shared" si="90"/>
        <v/>
      </c>
      <c r="AK82" s="323" t="str">
        <f t="shared" si="90"/>
        <v/>
      </c>
      <c r="AL82" s="323" t="str">
        <f t="shared" si="90"/>
        <v/>
      </c>
      <c r="AM82" s="323" t="str">
        <f t="shared" si="90"/>
        <v/>
      </c>
      <c r="AN82" s="323" t="str">
        <f t="shared" si="90"/>
        <v/>
      </c>
      <c r="AO82" s="323" t="str">
        <f t="shared" si="90"/>
        <v/>
      </c>
      <c r="AP82" s="323" t="str">
        <f t="shared" si="90"/>
        <v/>
      </c>
      <c r="AQ82" s="323" t="str">
        <f t="shared" si="90"/>
        <v/>
      </c>
      <c r="AR82" s="323" t="str">
        <f t="shared" si="90"/>
        <v/>
      </c>
      <c r="AS82" s="323" t="str">
        <f t="shared" si="90"/>
        <v/>
      </c>
      <c r="AT82" s="323" t="str">
        <f t="shared" si="90"/>
        <v/>
      </c>
      <c r="AU82" s="323" t="str">
        <f t="shared" si="90"/>
        <v/>
      </c>
      <c r="AV82" s="323" t="str">
        <f t="shared" si="90"/>
        <v/>
      </c>
      <c r="AW82" s="323" t="str">
        <f t="shared" si="90"/>
        <v/>
      </c>
      <c r="AX82" s="323" t="str">
        <f t="shared" si="90"/>
        <v/>
      </c>
      <c r="AY82" s="323" t="str">
        <f t="shared" si="90"/>
        <v/>
      </c>
      <c r="AZ82" s="323" t="str">
        <f t="shared" si="90"/>
        <v/>
      </c>
      <c r="BA82" s="323" t="str">
        <f t="shared" si="90"/>
        <v/>
      </c>
      <c r="BB82" s="323" t="str">
        <f t="shared" si="90"/>
        <v/>
      </c>
      <c r="BC82" s="323" t="str">
        <f t="shared" si="90"/>
        <v/>
      </c>
      <c r="BD82" s="323" t="str">
        <f t="shared" si="90"/>
        <v/>
      </c>
      <c r="BE82" s="323" t="str">
        <f t="shared" si="90"/>
        <v/>
      </c>
      <c r="BF82" s="323" t="str">
        <f t="shared" si="90"/>
        <v/>
      </c>
      <c r="BG82" s="323" t="str">
        <f t="shared" si="90"/>
        <v/>
      </c>
      <c r="BH82" s="323" t="str">
        <f t="shared" si="90"/>
        <v/>
      </c>
      <c r="BI82" s="323" t="str">
        <f t="shared" si="90"/>
        <v/>
      </c>
      <c r="BJ82" s="323" t="str">
        <f t="shared" si="90"/>
        <v/>
      </c>
      <c r="BK82" s="323" t="str">
        <f t="shared" si="90"/>
        <v/>
      </c>
      <c r="BL82" s="323" t="str">
        <f t="shared" si="90"/>
        <v/>
      </c>
      <c r="BM82" s="323" t="str">
        <f t="shared" si="90"/>
        <v/>
      </c>
      <c r="BN82" s="323" t="str">
        <f t="shared" si="90"/>
        <v/>
      </c>
      <c r="BO82" s="323" t="str">
        <f t="shared" si="90"/>
        <v/>
      </c>
      <c r="BP82" s="323" t="str">
        <f t="shared" si="90"/>
        <v/>
      </c>
      <c r="BQ82" s="323" t="str">
        <f t="shared" si="90"/>
        <v/>
      </c>
      <c r="BR82" s="323" t="str">
        <f t="shared" si="90"/>
        <v/>
      </c>
      <c r="BS82" s="323" t="str">
        <f t="shared" si="90"/>
        <v/>
      </c>
      <c r="BT82" s="323" t="str">
        <f t="shared" si="90"/>
        <v/>
      </c>
      <c r="BU82" s="323" t="str">
        <f t="shared" si="90"/>
        <v/>
      </c>
      <c r="BV82" s="323" t="str">
        <f t="shared" si="90"/>
        <v/>
      </c>
      <c r="BW82" s="323" t="str">
        <f t="shared" si="90"/>
        <v/>
      </c>
      <c r="BX82" s="323" t="str">
        <f t="shared" si="90"/>
        <v/>
      </c>
      <c r="BY82" s="323" t="str">
        <f t="shared" si="90"/>
        <v/>
      </c>
      <c r="BZ82" s="323" t="str">
        <f t="shared" si="90"/>
        <v/>
      </c>
      <c r="CA82" s="323" t="str">
        <f t="shared" si="90"/>
        <v/>
      </c>
      <c r="CB82" s="323" t="str">
        <f t="shared" si="90"/>
        <v/>
      </c>
      <c r="CC82" s="323" t="str">
        <f t="shared" si="90"/>
        <v/>
      </c>
      <c r="CD82" s="323" t="str">
        <f t="shared" si="90"/>
        <v/>
      </c>
      <c r="CE82" s="323" t="str">
        <f t="shared" si="90"/>
        <v/>
      </c>
      <c r="CF82" s="323" t="str">
        <f t="shared" si="90"/>
        <v/>
      </c>
      <c r="CG82" s="323" t="str">
        <f t="shared" si="90"/>
        <v/>
      </c>
      <c r="CH82" s="323" t="str">
        <f t="shared" si="90"/>
        <v/>
      </c>
      <c r="CI82" s="323" t="str">
        <f t="shared" si="90"/>
        <v/>
      </c>
      <c r="CJ82" s="323" t="str">
        <f t="shared" si="90"/>
        <v/>
      </c>
      <c r="CK82" s="323" t="str">
        <f t="shared" si="90"/>
        <v/>
      </c>
      <c r="CL82" s="323" t="str">
        <f t="shared" si="90"/>
        <v/>
      </c>
      <c r="CM82" s="323" t="str">
        <f t="shared" si="90"/>
        <v/>
      </c>
      <c r="CN82" s="323"/>
      <c r="CO82" s="323"/>
      <c r="CP82" s="323" t="str">
        <f t="shared" si="16"/>
        <v/>
      </c>
      <c r="CQ82" s="323"/>
      <c r="CR82" s="323"/>
      <c r="CS82" s="323"/>
      <c r="CT82" s="323"/>
      <c r="CU82" s="323"/>
      <c r="CV82" s="323"/>
      <c r="CW82" s="323"/>
      <c r="CX82" s="323"/>
      <c r="CY82" s="323"/>
      <c r="CZ82" s="323"/>
      <c r="DA82" s="323"/>
      <c r="DB82" s="323"/>
      <c r="DC82" s="323"/>
      <c r="DD82" s="323"/>
      <c r="DE82" s="323"/>
      <c r="DF82" s="323"/>
      <c r="DG82" s="323"/>
      <c r="DH82" s="323"/>
      <c r="DI82" s="323"/>
      <c r="DJ82" s="323"/>
      <c r="DK82" s="323"/>
      <c r="DL82" s="323"/>
      <c r="DM82" s="323"/>
      <c r="DN82" s="323"/>
      <c r="DO82" s="323"/>
      <c r="DP82" s="323"/>
      <c r="DQ82" s="323"/>
      <c r="DR82" s="323"/>
      <c r="DS82" s="323"/>
      <c r="DT82" s="323"/>
      <c r="DU82" s="323"/>
      <c r="DV82" s="323"/>
      <c r="DW82" s="323"/>
      <c r="DX82" s="323"/>
      <c r="DY82" s="323"/>
      <c r="DZ82" s="323"/>
      <c r="EA82" s="323"/>
      <c r="EB82" s="323"/>
      <c r="EC82" s="323"/>
      <c r="ED82" s="323"/>
      <c r="EE82" s="323"/>
      <c r="EF82" s="323"/>
      <c r="EG82" s="323"/>
      <c r="EH82" s="323"/>
      <c r="EI82" s="323"/>
      <c r="EJ82" s="323"/>
      <c r="EK82" s="323"/>
      <c r="EL82" s="323"/>
      <c r="EM82" s="323"/>
      <c r="EN82" s="323"/>
      <c r="EO82" s="323"/>
      <c r="EP82" s="323"/>
      <c r="EQ82" s="323"/>
      <c r="ER82" s="323"/>
      <c r="ES82" s="323"/>
      <c r="ET82" s="323"/>
      <c r="EU82" s="323"/>
      <c r="EV82" s="323"/>
      <c r="EW82" s="323"/>
      <c r="EX82" s="323"/>
      <c r="EY82" s="323"/>
      <c r="EZ82" s="323"/>
      <c r="FA82" s="323"/>
      <c r="FB82" s="323"/>
      <c r="FC82" s="323"/>
      <c r="FD82" s="323"/>
      <c r="FE82" s="323"/>
      <c r="FF82" s="323"/>
      <c r="FG82" s="323"/>
      <c r="FH82" s="323"/>
      <c r="FI82" s="323"/>
      <c r="FJ82" s="323"/>
      <c r="FK82" s="323"/>
      <c r="FL82" s="323"/>
      <c r="FM82" s="323"/>
      <c r="FN82" s="323"/>
      <c r="FO82" s="323"/>
      <c r="FP82" s="323"/>
      <c r="FQ82" s="323"/>
      <c r="FR82" s="323"/>
      <c r="FS82" s="323"/>
      <c r="FT82" s="323"/>
      <c r="FU82" s="323"/>
      <c r="FV82" s="323"/>
      <c r="FW82" s="323"/>
      <c r="FX82" s="323"/>
    </row>
    <row r="83" ht="15.75" customHeight="1">
      <c r="A83" s="44">
        <v>78.0</v>
      </c>
      <c r="B83" s="27"/>
      <c r="C83" s="44"/>
      <c r="D83" s="44"/>
      <c r="E83" s="330"/>
      <c r="F83" s="47"/>
      <c r="G83" s="47"/>
      <c r="H83" s="47"/>
      <c r="I83" s="26"/>
      <c r="J83" s="323" t="str">
        <f t="shared" ref="J83:CM83" si="91">IF(AND($I83="Yes",J$2=$H83),"♦","")</f>
        <v/>
      </c>
      <c r="K83" s="323" t="str">
        <f t="shared" si="91"/>
        <v/>
      </c>
      <c r="L83" s="323" t="str">
        <f t="shared" si="91"/>
        <v/>
      </c>
      <c r="M83" s="323" t="str">
        <f t="shared" si="91"/>
        <v/>
      </c>
      <c r="N83" s="323" t="str">
        <f t="shared" si="91"/>
        <v/>
      </c>
      <c r="O83" s="323" t="str">
        <f t="shared" si="91"/>
        <v/>
      </c>
      <c r="P83" s="323" t="str">
        <f t="shared" si="91"/>
        <v/>
      </c>
      <c r="Q83" s="323" t="str">
        <f t="shared" si="91"/>
        <v/>
      </c>
      <c r="R83" s="323" t="str">
        <f t="shared" si="91"/>
        <v/>
      </c>
      <c r="S83" s="323" t="str">
        <f t="shared" si="91"/>
        <v/>
      </c>
      <c r="T83" s="323" t="str">
        <f t="shared" si="91"/>
        <v/>
      </c>
      <c r="U83" s="323" t="str">
        <f t="shared" si="91"/>
        <v/>
      </c>
      <c r="V83" s="323" t="str">
        <f t="shared" si="91"/>
        <v/>
      </c>
      <c r="W83" s="323" t="str">
        <f t="shared" si="91"/>
        <v/>
      </c>
      <c r="X83" s="323" t="str">
        <f t="shared" si="91"/>
        <v/>
      </c>
      <c r="Y83" s="323" t="str">
        <f t="shared" si="91"/>
        <v/>
      </c>
      <c r="Z83" s="323" t="str">
        <f t="shared" si="91"/>
        <v/>
      </c>
      <c r="AA83" s="323" t="str">
        <f t="shared" si="91"/>
        <v/>
      </c>
      <c r="AB83" s="323" t="str">
        <f t="shared" si="91"/>
        <v/>
      </c>
      <c r="AC83" s="323" t="str">
        <f t="shared" si="91"/>
        <v/>
      </c>
      <c r="AD83" s="323" t="str">
        <f t="shared" si="91"/>
        <v/>
      </c>
      <c r="AE83" s="323" t="str">
        <f t="shared" si="91"/>
        <v/>
      </c>
      <c r="AF83" s="323" t="str">
        <f t="shared" si="91"/>
        <v/>
      </c>
      <c r="AG83" s="323" t="str">
        <f t="shared" si="91"/>
        <v/>
      </c>
      <c r="AH83" s="323" t="str">
        <f t="shared" si="91"/>
        <v/>
      </c>
      <c r="AI83" s="323" t="str">
        <f t="shared" si="91"/>
        <v/>
      </c>
      <c r="AJ83" s="323" t="str">
        <f t="shared" si="91"/>
        <v/>
      </c>
      <c r="AK83" s="323" t="str">
        <f t="shared" si="91"/>
        <v/>
      </c>
      <c r="AL83" s="323" t="str">
        <f t="shared" si="91"/>
        <v/>
      </c>
      <c r="AM83" s="323" t="str">
        <f t="shared" si="91"/>
        <v/>
      </c>
      <c r="AN83" s="323" t="str">
        <f t="shared" si="91"/>
        <v/>
      </c>
      <c r="AO83" s="323" t="str">
        <f t="shared" si="91"/>
        <v/>
      </c>
      <c r="AP83" s="323" t="str">
        <f t="shared" si="91"/>
        <v/>
      </c>
      <c r="AQ83" s="323" t="str">
        <f t="shared" si="91"/>
        <v/>
      </c>
      <c r="AR83" s="323" t="str">
        <f t="shared" si="91"/>
        <v/>
      </c>
      <c r="AS83" s="323" t="str">
        <f t="shared" si="91"/>
        <v/>
      </c>
      <c r="AT83" s="323" t="str">
        <f t="shared" si="91"/>
        <v/>
      </c>
      <c r="AU83" s="323" t="str">
        <f t="shared" si="91"/>
        <v/>
      </c>
      <c r="AV83" s="323" t="str">
        <f t="shared" si="91"/>
        <v/>
      </c>
      <c r="AW83" s="323" t="str">
        <f t="shared" si="91"/>
        <v/>
      </c>
      <c r="AX83" s="323" t="str">
        <f t="shared" si="91"/>
        <v/>
      </c>
      <c r="AY83" s="323" t="str">
        <f t="shared" si="91"/>
        <v/>
      </c>
      <c r="AZ83" s="323" t="str">
        <f t="shared" si="91"/>
        <v/>
      </c>
      <c r="BA83" s="323" t="str">
        <f t="shared" si="91"/>
        <v/>
      </c>
      <c r="BB83" s="323" t="str">
        <f t="shared" si="91"/>
        <v/>
      </c>
      <c r="BC83" s="323" t="str">
        <f t="shared" si="91"/>
        <v/>
      </c>
      <c r="BD83" s="323" t="str">
        <f t="shared" si="91"/>
        <v/>
      </c>
      <c r="BE83" s="323" t="str">
        <f t="shared" si="91"/>
        <v/>
      </c>
      <c r="BF83" s="323" t="str">
        <f t="shared" si="91"/>
        <v/>
      </c>
      <c r="BG83" s="323" t="str">
        <f t="shared" si="91"/>
        <v/>
      </c>
      <c r="BH83" s="323" t="str">
        <f t="shared" si="91"/>
        <v/>
      </c>
      <c r="BI83" s="323" t="str">
        <f t="shared" si="91"/>
        <v/>
      </c>
      <c r="BJ83" s="323" t="str">
        <f t="shared" si="91"/>
        <v/>
      </c>
      <c r="BK83" s="323" t="str">
        <f t="shared" si="91"/>
        <v/>
      </c>
      <c r="BL83" s="323" t="str">
        <f t="shared" si="91"/>
        <v/>
      </c>
      <c r="BM83" s="323" t="str">
        <f t="shared" si="91"/>
        <v/>
      </c>
      <c r="BN83" s="323" t="str">
        <f t="shared" si="91"/>
        <v/>
      </c>
      <c r="BO83" s="323" t="str">
        <f t="shared" si="91"/>
        <v/>
      </c>
      <c r="BP83" s="323" t="str">
        <f t="shared" si="91"/>
        <v/>
      </c>
      <c r="BQ83" s="323" t="str">
        <f t="shared" si="91"/>
        <v/>
      </c>
      <c r="BR83" s="323" t="str">
        <f t="shared" si="91"/>
        <v/>
      </c>
      <c r="BS83" s="323" t="str">
        <f t="shared" si="91"/>
        <v/>
      </c>
      <c r="BT83" s="323" t="str">
        <f t="shared" si="91"/>
        <v/>
      </c>
      <c r="BU83" s="323" t="str">
        <f t="shared" si="91"/>
        <v/>
      </c>
      <c r="BV83" s="323" t="str">
        <f t="shared" si="91"/>
        <v/>
      </c>
      <c r="BW83" s="323" t="str">
        <f t="shared" si="91"/>
        <v/>
      </c>
      <c r="BX83" s="323" t="str">
        <f t="shared" si="91"/>
        <v/>
      </c>
      <c r="BY83" s="323" t="str">
        <f t="shared" si="91"/>
        <v/>
      </c>
      <c r="BZ83" s="323" t="str">
        <f t="shared" si="91"/>
        <v/>
      </c>
      <c r="CA83" s="323" t="str">
        <f t="shared" si="91"/>
        <v/>
      </c>
      <c r="CB83" s="323" t="str">
        <f t="shared" si="91"/>
        <v/>
      </c>
      <c r="CC83" s="323" t="str">
        <f t="shared" si="91"/>
        <v/>
      </c>
      <c r="CD83" s="323" t="str">
        <f t="shared" si="91"/>
        <v/>
      </c>
      <c r="CE83" s="323" t="str">
        <f t="shared" si="91"/>
        <v/>
      </c>
      <c r="CF83" s="323" t="str">
        <f t="shared" si="91"/>
        <v/>
      </c>
      <c r="CG83" s="323" t="str">
        <f t="shared" si="91"/>
        <v/>
      </c>
      <c r="CH83" s="323" t="str">
        <f t="shared" si="91"/>
        <v/>
      </c>
      <c r="CI83" s="323" t="str">
        <f t="shared" si="91"/>
        <v/>
      </c>
      <c r="CJ83" s="323" t="str">
        <f t="shared" si="91"/>
        <v/>
      </c>
      <c r="CK83" s="323" t="str">
        <f t="shared" si="91"/>
        <v/>
      </c>
      <c r="CL83" s="323" t="str">
        <f t="shared" si="91"/>
        <v/>
      </c>
      <c r="CM83" s="323" t="str">
        <f t="shared" si="91"/>
        <v/>
      </c>
      <c r="CN83" s="323"/>
      <c r="CO83" s="323"/>
      <c r="CP83" s="323" t="str">
        <f t="shared" si="16"/>
        <v/>
      </c>
      <c r="CQ83" s="323"/>
      <c r="CR83" s="323"/>
      <c r="CS83" s="323"/>
      <c r="CT83" s="323"/>
      <c r="CU83" s="323"/>
      <c r="CV83" s="323"/>
      <c r="CW83" s="323"/>
      <c r="CX83" s="323"/>
      <c r="CY83" s="323"/>
      <c r="CZ83" s="323"/>
      <c r="DA83" s="323"/>
      <c r="DB83" s="323"/>
      <c r="DC83" s="323"/>
      <c r="DD83" s="323"/>
      <c r="DE83" s="323"/>
      <c r="DF83" s="323"/>
      <c r="DG83" s="323"/>
      <c r="DH83" s="323"/>
      <c r="DI83" s="323"/>
      <c r="DJ83" s="323"/>
      <c r="DK83" s="323"/>
      <c r="DL83" s="323"/>
      <c r="DM83" s="323"/>
      <c r="DN83" s="323"/>
      <c r="DO83" s="323"/>
      <c r="DP83" s="323"/>
      <c r="DQ83" s="323"/>
      <c r="DR83" s="323"/>
      <c r="DS83" s="323"/>
      <c r="DT83" s="323"/>
      <c r="DU83" s="323"/>
      <c r="DV83" s="323"/>
      <c r="DW83" s="323"/>
      <c r="DX83" s="323"/>
      <c r="DY83" s="323"/>
      <c r="DZ83" s="323"/>
      <c r="EA83" s="323"/>
      <c r="EB83" s="323"/>
      <c r="EC83" s="323"/>
      <c r="ED83" s="323"/>
      <c r="EE83" s="323"/>
      <c r="EF83" s="323"/>
      <c r="EG83" s="323"/>
      <c r="EH83" s="323"/>
      <c r="EI83" s="323"/>
      <c r="EJ83" s="323"/>
      <c r="EK83" s="323"/>
      <c r="EL83" s="323"/>
      <c r="EM83" s="323"/>
      <c r="EN83" s="323"/>
      <c r="EO83" s="323"/>
      <c r="EP83" s="323"/>
      <c r="EQ83" s="323"/>
      <c r="ER83" s="323"/>
      <c r="ES83" s="323"/>
      <c r="ET83" s="323"/>
      <c r="EU83" s="323"/>
      <c r="EV83" s="323"/>
      <c r="EW83" s="323"/>
      <c r="EX83" s="323"/>
      <c r="EY83" s="323"/>
      <c r="EZ83" s="323"/>
      <c r="FA83" s="323"/>
      <c r="FB83" s="323"/>
      <c r="FC83" s="323"/>
      <c r="FD83" s="323"/>
      <c r="FE83" s="323"/>
      <c r="FF83" s="323"/>
      <c r="FG83" s="323"/>
      <c r="FH83" s="323"/>
      <c r="FI83" s="323"/>
      <c r="FJ83" s="323"/>
      <c r="FK83" s="323"/>
      <c r="FL83" s="323"/>
      <c r="FM83" s="323"/>
      <c r="FN83" s="323"/>
      <c r="FO83" s="323"/>
      <c r="FP83" s="323"/>
      <c r="FQ83" s="323"/>
      <c r="FR83" s="323"/>
      <c r="FS83" s="323"/>
      <c r="FT83" s="323"/>
      <c r="FU83" s="323"/>
      <c r="FV83" s="323"/>
      <c r="FW83" s="323"/>
      <c r="FX83" s="323"/>
    </row>
    <row r="84" ht="15.75" customHeight="1">
      <c r="A84" s="44">
        <v>79.0</v>
      </c>
      <c r="B84" s="27"/>
      <c r="C84" s="44"/>
      <c r="D84" s="44"/>
      <c r="E84" s="330"/>
      <c r="F84" s="47"/>
      <c r="G84" s="47"/>
      <c r="H84" s="47"/>
      <c r="I84" s="26"/>
      <c r="J84" s="323" t="str">
        <f t="shared" ref="J84:CM84" si="92">IF(AND($I84="Yes",J$2=$H84),"♦","")</f>
        <v/>
      </c>
      <c r="K84" s="323" t="str">
        <f t="shared" si="92"/>
        <v/>
      </c>
      <c r="L84" s="323" t="str">
        <f t="shared" si="92"/>
        <v/>
      </c>
      <c r="M84" s="323" t="str">
        <f t="shared" si="92"/>
        <v/>
      </c>
      <c r="N84" s="323" t="str">
        <f t="shared" si="92"/>
        <v/>
      </c>
      <c r="O84" s="323" t="str">
        <f t="shared" si="92"/>
        <v/>
      </c>
      <c r="P84" s="323" t="str">
        <f t="shared" si="92"/>
        <v/>
      </c>
      <c r="Q84" s="323" t="str">
        <f t="shared" si="92"/>
        <v/>
      </c>
      <c r="R84" s="323" t="str">
        <f t="shared" si="92"/>
        <v/>
      </c>
      <c r="S84" s="323" t="str">
        <f t="shared" si="92"/>
        <v/>
      </c>
      <c r="T84" s="323" t="str">
        <f t="shared" si="92"/>
        <v/>
      </c>
      <c r="U84" s="323" t="str">
        <f t="shared" si="92"/>
        <v/>
      </c>
      <c r="V84" s="323" t="str">
        <f t="shared" si="92"/>
        <v/>
      </c>
      <c r="W84" s="323" t="str">
        <f t="shared" si="92"/>
        <v/>
      </c>
      <c r="X84" s="323" t="str">
        <f t="shared" si="92"/>
        <v/>
      </c>
      <c r="Y84" s="323" t="str">
        <f t="shared" si="92"/>
        <v/>
      </c>
      <c r="Z84" s="323" t="str">
        <f t="shared" si="92"/>
        <v/>
      </c>
      <c r="AA84" s="323" t="str">
        <f t="shared" si="92"/>
        <v/>
      </c>
      <c r="AB84" s="323" t="str">
        <f t="shared" si="92"/>
        <v/>
      </c>
      <c r="AC84" s="323" t="str">
        <f t="shared" si="92"/>
        <v/>
      </c>
      <c r="AD84" s="323" t="str">
        <f t="shared" si="92"/>
        <v/>
      </c>
      <c r="AE84" s="323" t="str">
        <f t="shared" si="92"/>
        <v/>
      </c>
      <c r="AF84" s="323" t="str">
        <f t="shared" si="92"/>
        <v/>
      </c>
      <c r="AG84" s="323" t="str">
        <f t="shared" si="92"/>
        <v/>
      </c>
      <c r="AH84" s="323" t="str">
        <f t="shared" si="92"/>
        <v/>
      </c>
      <c r="AI84" s="323" t="str">
        <f t="shared" si="92"/>
        <v/>
      </c>
      <c r="AJ84" s="323" t="str">
        <f t="shared" si="92"/>
        <v/>
      </c>
      <c r="AK84" s="323" t="str">
        <f t="shared" si="92"/>
        <v/>
      </c>
      <c r="AL84" s="323" t="str">
        <f t="shared" si="92"/>
        <v/>
      </c>
      <c r="AM84" s="323" t="str">
        <f t="shared" si="92"/>
        <v/>
      </c>
      <c r="AN84" s="323" t="str">
        <f t="shared" si="92"/>
        <v/>
      </c>
      <c r="AO84" s="323" t="str">
        <f t="shared" si="92"/>
        <v/>
      </c>
      <c r="AP84" s="323" t="str">
        <f t="shared" si="92"/>
        <v/>
      </c>
      <c r="AQ84" s="323" t="str">
        <f t="shared" si="92"/>
        <v/>
      </c>
      <c r="AR84" s="323" t="str">
        <f t="shared" si="92"/>
        <v/>
      </c>
      <c r="AS84" s="323" t="str">
        <f t="shared" si="92"/>
        <v/>
      </c>
      <c r="AT84" s="323" t="str">
        <f t="shared" si="92"/>
        <v/>
      </c>
      <c r="AU84" s="323" t="str">
        <f t="shared" si="92"/>
        <v/>
      </c>
      <c r="AV84" s="323" t="str">
        <f t="shared" si="92"/>
        <v/>
      </c>
      <c r="AW84" s="323" t="str">
        <f t="shared" si="92"/>
        <v/>
      </c>
      <c r="AX84" s="323" t="str">
        <f t="shared" si="92"/>
        <v/>
      </c>
      <c r="AY84" s="323" t="str">
        <f t="shared" si="92"/>
        <v/>
      </c>
      <c r="AZ84" s="323" t="str">
        <f t="shared" si="92"/>
        <v/>
      </c>
      <c r="BA84" s="323" t="str">
        <f t="shared" si="92"/>
        <v/>
      </c>
      <c r="BB84" s="323" t="str">
        <f t="shared" si="92"/>
        <v/>
      </c>
      <c r="BC84" s="323" t="str">
        <f t="shared" si="92"/>
        <v/>
      </c>
      <c r="BD84" s="323" t="str">
        <f t="shared" si="92"/>
        <v/>
      </c>
      <c r="BE84" s="323" t="str">
        <f t="shared" si="92"/>
        <v/>
      </c>
      <c r="BF84" s="323" t="str">
        <f t="shared" si="92"/>
        <v/>
      </c>
      <c r="BG84" s="323" t="str">
        <f t="shared" si="92"/>
        <v/>
      </c>
      <c r="BH84" s="323" t="str">
        <f t="shared" si="92"/>
        <v/>
      </c>
      <c r="BI84" s="323" t="str">
        <f t="shared" si="92"/>
        <v/>
      </c>
      <c r="BJ84" s="323" t="str">
        <f t="shared" si="92"/>
        <v/>
      </c>
      <c r="BK84" s="323" t="str">
        <f t="shared" si="92"/>
        <v/>
      </c>
      <c r="BL84" s="323" t="str">
        <f t="shared" si="92"/>
        <v/>
      </c>
      <c r="BM84" s="323" t="str">
        <f t="shared" si="92"/>
        <v/>
      </c>
      <c r="BN84" s="323" t="str">
        <f t="shared" si="92"/>
        <v/>
      </c>
      <c r="BO84" s="323" t="str">
        <f t="shared" si="92"/>
        <v/>
      </c>
      <c r="BP84" s="323" t="str">
        <f t="shared" si="92"/>
        <v/>
      </c>
      <c r="BQ84" s="323" t="str">
        <f t="shared" si="92"/>
        <v/>
      </c>
      <c r="BR84" s="323" t="str">
        <f t="shared" si="92"/>
        <v/>
      </c>
      <c r="BS84" s="323" t="str">
        <f t="shared" si="92"/>
        <v/>
      </c>
      <c r="BT84" s="323" t="str">
        <f t="shared" si="92"/>
        <v/>
      </c>
      <c r="BU84" s="323" t="str">
        <f t="shared" si="92"/>
        <v/>
      </c>
      <c r="BV84" s="323" t="str">
        <f t="shared" si="92"/>
        <v/>
      </c>
      <c r="BW84" s="323" t="str">
        <f t="shared" si="92"/>
        <v/>
      </c>
      <c r="BX84" s="323" t="str">
        <f t="shared" si="92"/>
        <v/>
      </c>
      <c r="BY84" s="323" t="str">
        <f t="shared" si="92"/>
        <v/>
      </c>
      <c r="BZ84" s="323" t="str">
        <f t="shared" si="92"/>
        <v/>
      </c>
      <c r="CA84" s="323" t="str">
        <f t="shared" si="92"/>
        <v/>
      </c>
      <c r="CB84" s="323" t="str">
        <f t="shared" si="92"/>
        <v/>
      </c>
      <c r="CC84" s="323" t="str">
        <f t="shared" si="92"/>
        <v/>
      </c>
      <c r="CD84" s="323" t="str">
        <f t="shared" si="92"/>
        <v/>
      </c>
      <c r="CE84" s="323" t="str">
        <f t="shared" si="92"/>
        <v/>
      </c>
      <c r="CF84" s="323" t="str">
        <f t="shared" si="92"/>
        <v/>
      </c>
      <c r="CG84" s="323" t="str">
        <f t="shared" si="92"/>
        <v/>
      </c>
      <c r="CH84" s="323" t="str">
        <f t="shared" si="92"/>
        <v/>
      </c>
      <c r="CI84" s="323" t="str">
        <f t="shared" si="92"/>
        <v/>
      </c>
      <c r="CJ84" s="323" t="str">
        <f t="shared" si="92"/>
        <v/>
      </c>
      <c r="CK84" s="323" t="str">
        <f t="shared" si="92"/>
        <v/>
      </c>
      <c r="CL84" s="323" t="str">
        <f t="shared" si="92"/>
        <v/>
      </c>
      <c r="CM84" s="323" t="str">
        <f t="shared" si="92"/>
        <v/>
      </c>
      <c r="CN84" s="323"/>
      <c r="CO84" s="323"/>
      <c r="CP84" s="323" t="str">
        <f t="shared" si="16"/>
        <v/>
      </c>
      <c r="CQ84" s="323"/>
      <c r="CR84" s="323"/>
      <c r="CS84" s="323"/>
      <c r="CT84" s="323"/>
      <c r="CU84" s="323"/>
      <c r="CV84" s="323"/>
      <c r="CW84" s="323"/>
      <c r="CX84" s="323"/>
      <c r="CY84" s="323"/>
      <c r="CZ84" s="323"/>
      <c r="DA84" s="323"/>
      <c r="DB84" s="323"/>
      <c r="DC84" s="323"/>
      <c r="DD84" s="323"/>
      <c r="DE84" s="323"/>
      <c r="DF84" s="323"/>
      <c r="DG84" s="323"/>
      <c r="DH84" s="323"/>
      <c r="DI84" s="323"/>
      <c r="DJ84" s="323"/>
      <c r="DK84" s="323"/>
      <c r="DL84" s="323"/>
      <c r="DM84" s="323"/>
      <c r="DN84" s="323"/>
      <c r="DO84" s="323"/>
      <c r="DP84" s="323"/>
      <c r="DQ84" s="323"/>
      <c r="DR84" s="323"/>
      <c r="DS84" s="323"/>
      <c r="DT84" s="323"/>
      <c r="DU84" s="323"/>
      <c r="DV84" s="323"/>
      <c r="DW84" s="323"/>
      <c r="DX84" s="323"/>
      <c r="DY84" s="323"/>
      <c r="DZ84" s="323"/>
      <c r="EA84" s="323"/>
      <c r="EB84" s="323"/>
      <c r="EC84" s="323"/>
      <c r="ED84" s="323"/>
      <c r="EE84" s="323"/>
      <c r="EF84" s="323"/>
      <c r="EG84" s="323"/>
      <c r="EH84" s="323"/>
      <c r="EI84" s="323"/>
      <c r="EJ84" s="323"/>
      <c r="EK84" s="323"/>
      <c r="EL84" s="323"/>
      <c r="EM84" s="323"/>
      <c r="EN84" s="323"/>
      <c r="EO84" s="323"/>
      <c r="EP84" s="323"/>
      <c r="EQ84" s="323"/>
      <c r="ER84" s="323"/>
      <c r="ES84" s="323"/>
      <c r="ET84" s="323"/>
      <c r="EU84" s="323"/>
      <c r="EV84" s="323"/>
      <c r="EW84" s="323"/>
      <c r="EX84" s="323"/>
      <c r="EY84" s="323"/>
      <c r="EZ84" s="323"/>
      <c r="FA84" s="323"/>
      <c r="FB84" s="323"/>
      <c r="FC84" s="323"/>
      <c r="FD84" s="323"/>
      <c r="FE84" s="323"/>
      <c r="FF84" s="323"/>
      <c r="FG84" s="323"/>
      <c r="FH84" s="323"/>
      <c r="FI84" s="323"/>
      <c r="FJ84" s="323"/>
      <c r="FK84" s="323"/>
      <c r="FL84" s="323"/>
      <c r="FM84" s="323"/>
      <c r="FN84" s="323"/>
      <c r="FO84" s="323"/>
      <c r="FP84" s="323"/>
      <c r="FQ84" s="323"/>
      <c r="FR84" s="323"/>
      <c r="FS84" s="323"/>
      <c r="FT84" s="323"/>
      <c r="FU84" s="323"/>
      <c r="FV84" s="323"/>
      <c r="FW84" s="323"/>
      <c r="FX84" s="323"/>
    </row>
    <row r="85" ht="15.75" customHeight="1">
      <c r="A85" s="44">
        <v>80.0</v>
      </c>
      <c r="B85" s="27"/>
      <c r="C85" s="44"/>
      <c r="D85" s="44"/>
      <c r="E85" s="330"/>
      <c r="F85" s="47"/>
      <c r="G85" s="47"/>
      <c r="H85" s="47"/>
      <c r="I85" s="26"/>
      <c r="J85" s="323" t="str">
        <f t="shared" ref="J85:CM85" si="93">IF(AND($I85="Yes",J$2=$H85),"♦","")</f>
        <v/>
      </c>
      <c r="K85" s="323" t="str">
        <f t="shared" si="93"/>
        <v/>
      </c>
      <c r="L85" s="323" t="str">
        <f t="shared" si="93"/>
        <v/>
      </c>
      <c r="M85" s="323" t="str">
        <f t="shared" si="93"/>
        <v/>
      </c>
      <c r="N85" s="323" t="str">
        <f t="shared" si="93"/>
        <v/>
      </c>
      <c r="O85" s="323" t="str">
        <f t="shared" si="93"/>
        <v/>
      </c>
      <c r="P85" s="323" t="str">
        <f t="shared" si="93"/>
        <v/>
      </c>
      <c r="Q85" s="323" t="str">
        <f t="shared" si="93"/>
        <v/>
      </c>
      <c r="R85" s="323" t="str">
        <f t="shared" si="93"/>
        <v/>
      </c>
      <c r="S85" s="323" t="str">
        <f t="shared" si="93"/>
        <v/>
      </c>
      <c r="T85" s="323" t="str">
        <f t="shared" si="93"/>
        <v/>
      </c>
      <c r="U85" s="323" t="str">
        <f t="shared" si="93"/>
        <v/>
      </c>
      <c r="V85" s="323" t="str">
        <f t="shared" si="93"/>
        <v/>
      </c>
      <c r="W85" s="323" t="str">
        <f t="shared" si="93"/>
        <v/>
      </c>
      <c r="X85" s="323" t="str">
        <f t="shared" si="93"/>
        <v/>
      </c>
      <c r="Y85" s="323" t="str">
        <f t="shared" si="93"/>
        <v/>
      </c>
      <c r="Z85" s="323" t="str">
        <f t="shared" si="93"/>
        <v/>
      </c>
      <c r="AA85" s="323" t="str">
        <f t="shared" si="93"/>
        <v/>
      </c>
      <c r="AB85" s="323" t="str">
        <f t="shared" si="93"/>
        <v/>
      </c>
      <c r="AC85" s="323" t="str">
        <f t="shared" si="93"/>
        <v/>
      </c>
      <c r="AD85" s="323" t="str">
        <f t="shared" si="93"/>
        <v/>
      </c>
      <c r="AE85" s="323" t="str">
        <f t="shared" si="93"/>
        <v/>
      </c>
      <c r="AF85" s="323" t="str">
        <f t="shared" si="93"/>
        <v/>
      </c>
      <c r="AG85" s="323" t="str">
        <f t="shared" si="93"/>
        <v/>
      </c>
      <c r="AH85" s="323" t="str">
        <f t="shared" si="93"/>
        <v/>
      </c>
      <c r="AI85" s="323" t="str">
        <f t="shared" si="93"/>
        <v/>
      </c>
      <c r="AJ85" s="323" t="str">
        <f t="shared" si="93"/>
        <v/>
      </c>
      <c r="AK85" s="323" t="str">
        <f t="shared" si="93"/>
        <v/>
      </c>
      <c r="AL85" s="323" t="str">
        <f t="shared" si="93"/>
        <v/>
      </c>
      <c r="AM85" s="323" t="str">
        <f t="shared" si="93"/>
        <v/>
      </c>
      <c r="AN85" s="323" t="str">
        <f t="shared" si="93"/>
        <v/>
      </c>
      <c r="AO85" s="323" t="str">
        <f t="shared" si="93"/>
        <v/>
      </c>
      <c r="AP85" s="323" t="str">
        <f t="shared" si="93"/>
        <v/>
      </c>
      <c r="AQ85" s="323" t="str">
        <f t="shared" si="93"/>
        <v/>
      </c>
      <c r="AR85" s="323" t="str">
        <f t="shared" si="93"/>
        <v/>
      </c>
      <c r="AS85" s="323" t="str">
        <f t="shared" si="93"/>
        <v/>
      </c>
      <c r="AT85" s="323" t="str">
        <f t="shared" si="93"/>
        <v/>
      </c>
      <c r="AU85" s="323" t="str">
        <f t="shared" si="93"/>
        <v/>
      </c>
      <c r="AV85" s="323" t="str">
        <f t="shared" si="93"/>
        <v/>
      </c>
      <c r="AW85" s="323" t="str">
        <f t="shared" si="93"/>
        <v/>
      </c>
      <c r="AX85" s="323" t="str">
        <f t="shared" si="93"/>
        <v/>
      </c>
      <c r="AY85" s="323" t="str">
        <f t="shared" si="93"/>
        <v/>
      </c>
      <c r="AZ85" s="323" t="str">
        <f t="shared" si="93"/>
        <v/>
      </c>
      <c r="BA85" s="323" t="str">
        <f t="shared" si="93"/>
        <v/>
      </c>
      <c r="BB85" s="323" t="str">
        <f t="shared" si="93"/>
        <v/>
      </c>
      <c r="BC85" s="323" t="str">
        <f t="shared" si="93"/>
        <v/>
      </c>
      <c r="BD85" s="323" t="str">
        <f t="shared" si="93"/>
        <v/>
      </c>
      <c r="BE85" s="323" t="str">
        <f t="shared" si="93"/>
        <v/>
      </c>
      <c r="BF85" s="323" t="str">
        <f t="shared" si="93"/>
        <v/>
      </c>
      <c r="BG85" s="323" t="str">
        <f t="shared" si="93"/>
        <v/>
      </c>
      <c r="BH85" s="323" t="str">
        <f t="shared" si="93"/>
        <v/>
      </c>
      <c r="BI85" s="323" t="str">
        <f t="shared" si="93"/>
        <v/>
      </c>
      <c r="BJ85" s="323" t="str">
        <f t="shared" si="93"/>
        <v/>
      </c>
      <c r="BK85" s="323" t="str">
        <f t="shared" si="93"/>
        <v/>
      </c>
      <c r="BL85" s="323" t="str">
        <f t="shared" si="93"/>
        <v/>
      </c>
      <c r="BM85" s="323" t="str">
        <f t="shared" si="93"/>
        <v/>
      </c>
      <c r="BN85" s="323" t="str">
        <f t="shared" si="93"/>
        <v/>
      </c>
      <c r="BO85" s="323" t="str">
        <f t="shared" si="93"/>
        <v/>
      </c>
      <c r="BP85" s="323" t="str">
        <f t="shared" si="93"/>
        <v/>
      </c>
      <c r="BQ85" s="323" t="str">
        <f t="shared" si="93"/>
        <v/>
      </c>
      <c r="BR85" s="323" t="str">
        <f t="shared" si="93"/>
        <v/>
      </c>
      <c r="BS85" s="323" t="str">
        <f t="shared" si="93"/>
        <v/>
      </c>
      <c r="BT85" s="323" t="str">
        <f t="shared" si="93"/>
        <v/>
      </c>
      <c r="BU85" s="323" t="str">
        <f t="shared" si="93"/>
        <v/>
      </c>
      <c r="BV85" s="323" t="str">
        <f t="shared" si="93"/>
        <v/>
      </c>
      <c r="BW85" s="323" t="str">
        <f t="shared" si="93"/>
        <v/>
      </c>
      <c r="BX85" s="323" t="str">
        <f t="shared" si="93"/>
        <v/>
      </c>
      <c r="BY85" s="323" t="str">
        <f t="shared" si="93"/>
        <v/>
      </c>
      <c r="BZ85" s="323" t="str">
        <f t="shared" si="93"/>
        <v/>
      </c>
      <c r="CA85" s="323" t="str">
        <f t="shared" si="93"/>
        <v/>
      </c>
      <c r="CB85" s="323" t="str">
        <f t="shared" si="93"/>
        <v/>
      </c>
      <c r="CC85" s="323" t="str">
        <f t="shared" si="93"/>
        <v/>
      </c>
      <c r="CD85" s="323" t="str">
        <f t="shared" si="93"/>
        <v/>
      </c>
      <c r="CE85" s="323" t="str">
        <f t="shared" si="93"/>
        <v/>
      </c>
      <c r="CF85" s="323" t="str">
        <f t="shared" si="93"/>
        <v/>
      </c>
      <c r="CG85" s="323" t="str">
        <f t="shared" si="93"/>
        <v/>
      </c>
      <c r="CH85" s="323" t="str">
        <f t="shared" si="93"/>
        <v/>
      </c>
      <c r="CI85" s="323" t="str">
        <f t="shared" si="93"/>
        <v/>
      </c>
      <c r="CJ85" s="323" t="str">
        <f t="shared" si="93"/>
        <v/>
      </c>
      <c r="CK85" s="323" t="str">
        <f t="shared" si="93"/>
        <v/>
      </c>
      <c r="CL85" s="323" t="str">
        <f t="shared" si="93"/>
        <v/>
      </c>
      <c r="CM85" s="323" t="str">
        <f t="shared" si="93"/>
        <v/>
      </c>
      <c r="CN85" s="323"/>
      <c r="CO85" s="323"/>
      <c r="CP85" s="323" t="str">
        <f t="shared" si="16"/>
        <v/>
      </c>
      <c r="CQ85" s="323"/>
      <c r="CR85" s="323"/>
      <c r="CS85" s="323"/>
      <c r="CT85" s="323"/>
      <c r="CU85" s="323"/>
      <c r="CV85" s="323"/>
      <c r="CW85" s="323"/>
      <c r="CX85" s="323"/>
      <c r="CY85" s="323"/>
      <c r="CZ85" s="323"/>
      <c r="DA85" s="323"/>
      <c r="DB85" s="323"/>
      <c r="DC85" s="323"/>
      <c r="DD85" s="323"/>
      <c r="DE85" s="323"/>
      <c r="DF85" s="323"/>
      <c r="DG85" s="323"/>
      <c r="DH85" s="323"/>
      <c r="DI85" s="323"/>
      <c r="DJ85" s="323"/>
      <c r="DK85" s="323"/>
      <c r="DL85" s="323"/>
      <c r="DM85" s="323"/>
      <c r="DN85" s="323"/>
      <c r="DO85" s="323"/>
      <c r="DP85" s="323"/>
      <c r="DQ85" s="323"/>
      <c r="DR85" s="323"/>
      <c r="DS85" s="323"/>
      <c r="DT85" s="323"/>
      <c r="DU85" s="323"/>
      <c r="DV85" s="323"/>
      <c r="DW85" s="323"/>
      <c r="DX85" s="323"/>
      <c r="DY85" s="323"/>
      <c r="DZ85" s="323"/>
      <c r="EA85" s="323"/>
      <c r="EB85" s="323"/>
      <c r="EC85" s="323"/>
      <c r="ED85" s="323"/>
      <c r="EE85" s="323"/>
      <c r="EF85" s="323"/>
      <c r="EG85" s="323"/>
      <c r="EH85" s="323"/>
      <c r="EI85" s="323"/>
      <c r="EJ85" s="323"/>
      <c r="EK85" s="323"/>
      <c r="EL85" s="323"/>
      <c r="EM85" s="323"/>
      <c r="EN85" s="323"/>
      <c r="EO85" s="323"/>
      <c r="EP85" s="323"/>
      <c r="EQ85" s="323"/>
      <c r="ER85" s="323"/>
      <c r="ES85" s="323"/>
      <c r="ET85" s="323"/>
      <c r="EU85" s="323"/>
      <c r="EV85" s="323"/>
      <c r="EW85" s="323"/>
      <c r="EX85" s="323"/>
      <c r="EY85" s="323"/>
      <c r="EZ85" s="323"/>
      <c r="FA85" s="323"/>
      <c r="FB85" s="323"/>
      <c r="FC85" s="323"/>
      <c r="FD85" s="323"/>
      <c r="FE85" s="323"/>
      <c r="FF85" s="323"/>
      <c r="FG85" s="323"/>
      <c r="FH85" s="323"/>
      <c r="FI85" s="323"/>
      <c r="FJ85" s="323"/>
      <c r="FK85" s="323"/>
      <c r="FL85" s="323"/>
      <c r="FM85" s="323"/>
      <c r="FN85" s="323"/>
      <c r="FO85" s="323"/>
      <c r="FP85" s="323"/>
      <c r="FQ85" s="323"/>
      <c r="FR85" s="323"/>
      <c r="FS85" s="323"/>
      <c r="FT85" s="323"/>
      <c r="FU85" s="323"/>
      <c r="FV85" s="323"/>
      <c r="FW85" s="323"/>
      <c r="FX85" s="323"/>
    </row>
    <row r="86" ht="15.75" customHeight="1">
      <c r="A86" s="44">
        <v>81.0</v>
      </c>
      <c r="B86" s="27"/>
      <c r="C86" s="44"/>
      <c r="D86" s="44"/>
      <c r="E86" s="330"/>
      <c r="F86" s="47"/>
      <c r="G86" s="47"/>
      <c r="H86" s="47"/>
      <c r="I86" s="26"/>
      <c r="J86" s="323" t="str">
        <f t="shared" ref="J86:CM86" si="94">IF(AND($I86="Yes",J$2=$H86),"♦","")</f>
        <v/>
      </c>
      <c r="K86" s="323" t="str">
        <f t="shared" si="94"/>
        <v/>
      </c>
      <c r="L86" s="323" t="str">
        <f t="shared" si="94"/>
        <v/>
      </c>
      <c r="M86" s="323" t="str">
        <f t="shared" si="94"/>
        <v/>
      </c>
      <c r="N86" s="323" t="str">
        <f t="shared" si="94"/>
        <v/>
      </c>
      <c r="O86" s="323" t="str">
        <f t="shared" si="94"/>
        <v/>
      </c>
      <c r="P86" s="323" t="str">
        <f t="shared" si="94"/>
        <v/>
      </c>
      <c r="Q86" s="323" t="str">
        <f t="shared" si="94"/>
        <v/>
      </c>
      <c r="R86" s="323" t="str">
        <f t="shared" si="94"/>
        <v/>
      </c>
      <c r="S86" s="323" t="str">
        <f t="shared" si="94"/>
        <v/>
      </c>
      <c r="T86" s="323" t="str">
        <f t="shared" si="94"/>
        <v/>
      </c>
      <c r="U86" s="323" t="str">
        <f t="shared" si="94"/>
        <v/>
      </c>
      <c r="V86" s="323" t="str">
        <f t="shared" si="94"/>
        <v/>
      </c>
      <c r="W86" s="323" t="str">
        <f t="shared" si="94"/>
        <v/>
      </c>
      <c r="X86" s="323" t="str">
        <f t="shared" si="94"/>
        <v/>
      </c>
      <c r="Y86" s="323" t="str">
        <f t="shared" si="94"/>
        <v/>
      </c>
      <c r="Z86" s="323" t="str">
        <f t="shared" si="94"/>
        <v/>
      </c>
      <c r="AA86" s="323" t="str">
        <f t="shared" si="94"/>
        <v/>
      </c>
      <c r="AB86" s="323" t="str">
        <f t="shared" si="94"/>
        <v/>
      </c>
      <c r="AC86" s="323" t="str">
        <f t="shared" si="94"/>
        <v/>
      </c>
      <c r="AD86" s="323" t="str">
        <f t="shared" si="94"/>
        <v/>
      </c>
      <c r="AE86" s="323" t="str">
        <f t="shared" si="94"/>
        <v/>
      </c>
      <c r="AF86" s="323" t="str">
        <f t="shared" si="94"/>
        <v/>
      </c>
      <c r="AG86" s="323" t="str">
        <f t="shared" si="94"/>
        <v/>
      </c>
      <c r="AH86" s="323" t="str">
        <f t="shared" si="94"/>
        <v/>
      </c>
      <c r="AI86" s="323" t="str">
        <f t="shared" si="94"/>
        <v/>
      </c>
      <c r="AJ86" s="323" t="str">
        <f t="shared" si="94"/>
        <v/>
      </c>
      <c r="AK86" s="323" t="str">
        <f t="shared" si="94"/>
        <v/>
      </c>
      <c r="AL86" s="323" t="str">
        <f t="shared" si="94"/>
        <v/>
      </c>
      <c r="AM86" s="323" t="str">
        <f t="shared" si="94"/>
        <v/>
      </c>
      <c r="AN86" s="323" t="str">
        <f t="shared" si="94"/>
        <v/>
      </c>
      <c r="AO86" s="323" t="str">
        <f t="shared" si="94"/>
        <v/>
      </c>
      <c r="AP86" s="323" t="str">
        <f t="shared" si="94"/>
        <v/>
      </c>
      <c r="AQ86" s="323" t="str">
        <f t="shared" si="94"/>
        <v/>
      </c>
      <c r="AR86" s="323" t="str">
        <f t="shared" si="94"/>
        <v/>
      </c>
      <c r="AS86" s="323" t="str">
        <f t="shared" si="94"/>
        <v/>
      </c>
      <c r="AT86" s="323" t="str">
        <f t="shared" si="94"/>
        <v/>
      </c>
      <c r="AU86" s="323" t="str">
        <f t="shared" si="94"/>
        <v/>
      </c>
      <c r="AV86" s="323" t="str">
        <f t="shared" si="94"/>
        <v/>
      </c>
      <c r="AW86" s="323" t="str">
        <f t="shared" si="94"/>
        <v/>
      </c>
      <c r="AX86" s="323" t="str">
        <f t="shared" si="94"/>
        <v/>
      </c>
      <c r="AY86" s="323" t="str">
        <f t="shared" si="94"/>
        <v/>
      </c>
      <c r="AZ86" s="323" t="str">
        <f t="shared" si="94"/>
        <v/>
      </c>
      <c r="BA86" s="323" t="str">
        <f t="shared" si="94"/>
        <v/>
      </c>
      <c r="BB86" s="323" t="str">
        <f t="shared" si="94"/>
        <v/>
      </c>
      <c r="BC86" s="323" t="str">
        <f t="shared" si="94"/>
        <v/>
      </c>
      <c r="BD86" s="323" t="str">
        <f t="shared" si="94"/>
        <v/>
      </c>
      <c r="BE86" s="323" t="str">
        <f t="shared" si="94"/>
        <v/>
      </c>
      <c r="BF86" s="323" t="str">
        <f t="shared" si="94"/>
        <v/>
      </c>
      <c r="BG86" s="323" t="str">
        <f t="shared" si="94"/>
        <v/>
      </c>
      <c r="BH86" s="323" t="str">
        <f t="shared" si="94"/>
        <v/>
      </c>
      <c r="BI86" s="323" t="str">
        <f t="shared" si="94"/>
        <v/>
      </c>
      <c r="BJ86" s="323" t="str">
        <f t="shared" si="94"/>
        <v/>
      </c>
      <c r="BK86" s="323" t="str">
        <f t="shared" si="94"/>
        <v/>
      </c>
      <c r="BL86" s="323" t="str">
        <f t="shared" si="94"/>
        <v/>
      </c>
      <c r="BM86" s="323" t="str">
        <f t="shared" si="94"/>
        <v/>
      </c>
      <c r="BN86" s="323" t="str">
        <f t="shared" si="94"/>
        <v/>
      </c>
      <c r="BO86" s="323" t="str">
        <f t="shared" si="94"/>
        <v/>
      </c>
      <c r="BP86" s="323" t="str">
        <f t="shared" si="94"/>
        <v/>
      </c>
      <c r="BQ86" s="323" t="str">
        <f t="shared" si="94"/>
        <v/>
      </c>
      <c r="BR86" s="323" t="str">
        <f t="shared" si="94"/>
        <v/>
      </c>
      <c r="BS86" s="323" t="str">
        <f t="shared" si="94"/>
        <v/>
      </c>
      <c r="BT86" s="323" t="str">
        <f t="shared" si="94"/>
        <v/>
      </c>
      <c r="BU86" s="323" t="str">
        <f t="shared" si="94"/>
        <v/>
      </c>
      <c r="BV86" s="323" t="str">
        <f t="shared" si="94"/>
        <v/>
      </c>
      <c r="BW86" s="323" t="str">
        <f t="shared" si="94"/>
        <v/>
      </c>
      <c r="BX86" s="323" t="str">
        <f t="shared" si="94"/>
        <v/>
      </c>
      <c r="BY86" s="323" t="str">
        <f t="shared" si="94"/>
        <v/>
      </c>
      <c r="BZ86" s="323" t="str">
        <f t="shared" si="94"/>
        <v/>
      </c>
      <c r="CA86" s="323" t="str">
        <f t="shared" si="94"/>
        <v/>
      </c>
      <c r="CB86" s="323" t="str">
        <f t="shared" si="94"/>
        <v/>
      </c>
      <c r="CC86" s="323" t="str">
        <f t="shared" si="94"/>
        <v/>
      </c>
      <c r="CD86" s="323" t="str">
        <f t="shared" si="94"/>
        <v/>
      </c>
      <c r="CE86" s="323" t="str">
        <f t="shared" si="94"/>
        <v/>
      </c>
      <c r="CF86" s="323" t="str">
        <f t="shared" si="94"/>
        <v/>
      </c>
      <c r="CG86" s="323" t="str">
        <f t="shared" si="94"/>
        <v/>
      </c>
      <c r="CH86" s="323" t="str">
        <f t="shared" si="94"/>
        <v/>
      </c>
      <c r="CI86" s="323" t="str">
        <f t="shared" si="94"/>
        <v/>
      </c>
      <c r="CJ86" s="323" t="str">
        <f t="shared" si="94"/>
        <v/>
      </c>
      <c r="CK86" s="323" t="str">
        <f t="shared" si="94"/>
        <v/>
      </c>
      <c r="CL86" s="323" t="str">
        <f t="shared" si="94"/>
        <v/>
      </c>
      <c r="CM86" s="323" t="str">
        <f t="shared" si="94"/>
        <v/>
      </c>
      <c r="CN86" s="323"/>
      <c r="CO86" s="323"/>
      <c r="CP86" s="323" t="str">
        <f t="shared" si="16"/>
        <v/>
      </c>
      <c r="CQ86" s="323"/>
      <c r="CR86" s="323"/>
      <c r="CS86" s="323"/>
      <c r="CT86" s="323"/>
      <c r="CU86" s="323"/>
      <c r="CV86" s="323"/>
      <c r="CW86" s="323"/>
      <c r="CX86" s="323"/>
      <c r="CY86" s="323"/>
      <c r="CZ86" s="323"/>
      <c r="DA86" s="323"/>
      <c r="DB86" s="323"/>
      <c r="DC86" s="323"/>
      <c r="DD86" s="323"/>
      <c r="DE86" s="323"/>
      <c r="DF86" s="323"/>
      <c r="DG86" s="323"/>
      <c r="DH86" s="323"/>
      <c r="DI86" s="323"/>
      <c r="DJ86" s="323"/>
      <c r="DK86" s="323"/>
      <c r="DL86" s="323"/>
      <c r="DM86" s="323"/>
      <c r="DN86" s="323"/>
      <c r="DO86" s="323"/>
      <c r="DP86" s="323"/>
      <c r="DQ86" s="323"/>
      <c r="DR86" s="323"/>
      <c r="DS86" s="323"/>
      <c r="DT86" s="323"/>
      <c r="DU86" s="323"/>
      <c r="DV86" s="323"/>
      <c r="DW86" s="323"/>
      <c r="DX86" s="323"/>
      <c r="DY86" s="323"/>
      <c r="DZ86" s="323"/>
      <c r="EA86" s="323"/>
      <c r="EB86" s="323"/>
      <c r="EC86" s="323"/>
      <c r="ED86" s="323"/>
      <c r="EE86" s="323"/>
      <c r="EF86" s="323"/>
      <c r="EG86" s="323"/>
      <c r="EH86" s="323"/>
      <c r="EI86" s="323"/>
      <c r="EJ86" s="323"/>
      <c r="EK86" s="323"/>
      <c r="EL86" s="323"/>
      <c r="EM86" s="323"/>
      <c r="EN86" s="323"/>
      <c r="EO86" s="323"/>
      <c r="EP86" s="323"/>
      <c r="EQ86" s="323"/>
      <c r="ER86" s="323"/>
      <c r="ES86" s="323"/>
      <c r="ET86" s="323"/>
      <c r="EU86" s="323"/>
      <c r="EV86" s="323"/>
      <c r="EW86" s="323"/>
      <c r="EX86" s="323"/>
      <c r="EY86" s="323"/>
      <c r="EZ86" s="323"/>
      <c r="FA86" s="323"/>
      <c r="FB86" s="323"/>
      <c r="FC86" s="323"/>
      <c r="FD86" s="323"/>
      <c r="FE86" s="323"/>
      <c r="FF86" s="323"/>
      <c r="FG86" s="323"/>
      <c r="FH86" s="323"/>
      <c r="FI86" s="323"/>
      <c r="FJ86" s="323"/>
      <c r="FK86" s="323"/>
      <c r="FL86" s="323"/>
      <c r="FM86" s="323"/>
      <c r="FN86" s="323"/>
      <c r="FO86" s="323"/>
      <c r="FP86" s="323"/>
      <c r="FQ86" s="323"/>
      <c r="FR86" s="323"/>
      <c r="FS86" s="323"/>
      <c r="FT86" s="323"/>
      <c r="FU86" s="323"/>
      <c r="FV86" s="323"/>
      <c r="FW86" s="323"/>
      <c r="FX86" s="323"/>
    </row>
    <row r="87" ht="15.75" customHeight="1">
      <c r="A87" s="44">
        <v>82.0</v>
      </c>
      <c r="B87" s="27"/>
      <c r="C87" s="44"/>
      <c r="D87" s="44"/>
      <c r="E87" s="330"/>
      <c r="F87" s="47"/>
      <c r="G87" s="47"/>
      <c r="H87" s="47"/>
      <c r="I87" s="26"/>
      <c r="J87" s="323" t="str">
        <f t="shared" ref="J87:CM87" si="95">IF(AND($I87="Yes",J$2=$H87),"♦","")</f>
        <v/>
      </c>
      <c r="K87" s="323" t="str">
        <f t="shared" si="95"/>
        <v/>
      </c>
      <c r="L87" s="323" t="str">
        <f t="shared" si="95"/>
        <v/>
      </c>
      <c r="M87" s="323" t="str">
        <f t="shared" si="95"/>
        <v/>
      </c>
      <c r="N87" s="323" t="str">
        <f t="shared" si="95"/>
        <v/>
      </c>
      <c r="O87" s="323" t="str">
        <f t="shared" si="95"/>
        <v/>
      </c>
      <c r="P87" s="323" t="str">
        <f t="shared" si="95"/>
        <v/>
      </c>
      <c r="Q87" s="323" t="str">
        <f t="shared" si="95"/>
        <v/>
      </c>
      <c r="R87" s="323" t="str">
        <f t="shared" si="95"/>
        <v/>
      </c>
      <c r="S87" s="323" t="str">
        <f t="shared" si="95"/>
        <v/>
      </c>
      <c r="T87" s="323" t="str">
        <f t="shared" si="95"/>
        <v/>
      </c>
      <c r="U87" s="323" t="str">
        <f t="shared" si="95"/>
        <v/>
      </c>
      <c r="V87" s="323" t="str">
        <f t="shared" si="95"/>
        <v/>
      </c>
      <c r="W87" s="323" t="str">
        <f t="shared" si="95"/>
        <v/>
      </c>
      <c r="X87" s="323" t="str">
        <f t="shared" si="95"/>
        <v/>
      </c>
      <c r="Y87" s="323" t="str">
        <f t="shared" si="95"/>
        <v/>
      </c>
      <c r="Z87" s="323" t="str">
        <f t="shared" si="95"/>
        <v/>
      </c>
      <c r="AA87" s="323" t="str">
        <f t="shared" si="95"/>
        <v/>
      </c>
      <c r="AB87" s="323" t="str">
        <f t="shared" si="95"/>
        <v/>
      </c>
      <c r="AC87" s="323" t="str">
        <f t="shared" si="95"/>
        <v/>
      </c>
      <c r="AD87" s="323" t="str">
        <f t="shared" si="95"/>
        <v/>
      </c>
      <c r="AE87" s="323" t="str">
        <f t="shared" si="95"/>
        <v/>
      </c>
      <c r="AF87" s="323" t="str">
        <f t="shared" si="95"/>
        <v/>
      </c>
      <c r="AG87" s="323" t="str">
        <f t="shared" si="95"/>
        <v/>
      </c>
      <c r="AH87" s="323" t="str">
        <f t="shared" si="95"/>
        <v/>
      </c>
      <c r="AI87" s="323" t="str">
        <f t="shared" si="95"/>
        <v/>
      </c>
      <c r="AJ87" s="323" t="str">
        <f t="shared" si="95"/>
        <v/>
      </c>
      <c r="AK87" s="323" t="str">
        <f t="shared" si="95"/>
        <v/>
      </c>
      <c r="AL87" s="323" t="str">
        <f t="shared" si="95"/>
        <v/>
      </c>
      <c r="AM87" s="323" t="str">
        <f t="shared" si="95"/>
        <v/>
      </c>
      <c r="AN87" s="323" t="str">
        <f t="shared" si="95"/>
        <v/>
      </c>
      <c r="AO87" s="323" t="str">
        <f t="shared" si="95"/>
        <v/>
      </c>
      <c r="AP87" s="323" t="str">
        <f t="shared" si="95"/>
        <v/>
      </c>
      <c r="AQ87" s="323" t="str">
        <f t="shared" si="95"/>
        <v/>
      </c>
      <c r="AR87" s="323" t="str">
        <f t="shared" si="95"/>
        <v/>
      </c>
      <c r="AS87" s="323" t="str">
        <f t="shared" si="95"/>
        <v/>
      </c>
      <c r="AT87" s="323" t="str">
        <f t="shared" si="95"/>
        <v/>
      </c>
      <c r="AU87" s="323" t="str">
        <f t="shared" si="95"/>
        <v/>
      </c>
      <c r="AV87" s="323" t="str">
        <f t="shared" si="95"/>
        <v/>
      </c>
      <c r="AW87" s="323" t="str">
        <f t="shared" si="95"/>
        <v/>
      </c>
      <c r="AX87" s="323" t="str">
        <f t="shared" si="95"/>
        <v/>
      </c>
      <c r="AY87" s="323" t="str">
        <f t="shared" si="95"/>
        <v/>
      </c>
      <c r="AZ87" s="323" t="str">
        <f t="shared" si="95"/>
        <v/>
      </c>
      <c r="BA87" s="323" t="str">
        <f t="shared" si="95"/>
        <v/>
      </c>
      <c r="BB87" s="323" t="str">
        <f t="shared" si="95"/>
        <v/>
      </c>
      <c r="BC87" s="323" t="str">
        <f t="shared" si="95"/>
        <v/>
      </c>
      <c r="BD87" s="323" t="str">
        <f t="shared" si="95"/>
        <v/>
      </c>
      <c r="BE87" s="323" t="str">
        <f t="shared" si="95"/>
        <v/>
      </c>
      <c r="BF87" s="323" t="str">
        <f t="shared" si="95"/>
        <v/>
      </c>
      <c r="BG87" s="323" t="str">
        <f t="shared" si="95"/>
        <v/>
      </c>
      <c r="BH87" s="323" t="str">
        <f t="shared" si="95"/>
        <v/>
      </c>
      <c r="BI87" s="323" t="str">
        <f t="shared" si="95"/>
        <v/>
      </c>
      <c r="BJ87" s="323" t="str">
        <f t="shared" si="95"/>
        <v/>
      </c>
      <c r="BK87" s="323" t="str">
        <f t="shared" si="95"/>
        <v/>
      </c>
      <c r="BL87" s="323" t="str">
        <f t="shared" si="95"/>
        <v/>
      </c>
      <c r="BM87" s="323" t="str">
        <f t="shared" si="95"/>
        <v/>
      </c>
      <c r="BN87" s="323" t="str">
        <f t="shared" si="95"/>
        <v/>
      </c>
      <c r="BO87" s="323" t="str">
        <f t="shared" si="95"/>
        <v/>
      </c>
      <c r="BP87" s="323" t="str">
        <f t="shared" si="95"/>
        <v/>
      </c>
      <c r="BQ87" s="323" t="str">
        <f t="shared" si="95"/>
        <v/>
      </c>
      <c r="BR87" s="323" t="str">
        <f t="shared" si="95"/>
        <v/>
      </c>
      <c r="BS87" s="323" t="str">
        <f t="shared" si="95"/>
        <v/>
      </c>
      <c r="BT87" s="323" t="str">
        <f t="shared" si="95"/>
        <v/>
      </c>
      <c r="BU87" s="323" t="str">
        <f t="shared" si="95"/>
        <v/>
      </c>
      <c r="BV87" s="323" t="str">
        <f t="shared" si="95"/>
        <v/>
      </c>
      <c r="BW87" s="323" t="str">
        <f t="shared" si="95"/>
        <v/>
      </c>
      <c r="BX87" s="323" t="str">
        <f t="shared" si="95"/>
        <v/>
      </c>
      <c r="BY87" s="323" t="str">
        <f t="shared" si="95"/>
        <v/>
      </c>
      <c r="BZ87" s="323" t="str">
        <f t="shared" si="95"/>
        <v/>
      </c>
      <c r="CA87" s="323" t="str">
        <f t="shared" si="95"/>
        <v/>
      </c>
      <c r="CB87" s="323" t="str">
        <f t="shared" si="95"/>
        <v/>
      </c>
      <c r="CC87" s="323" t="str">
        <f t="shared" si="95"/>
        <v/>
      </c>
      <c r="CD87" s="323" t="str">
        <f t="shared" si="95"/>
        <v/>
      </c>
      <c r="CE87" s="323" t="str">
        <f t="shared" si="95"/>
        <v/>
      </c>
      <c r="CF87" s="323" t="str">
        <f t="shared" si="95"/>
        <v/>
      </c>
      <c r="CG87" s="323" t="str">
        <f t="shared" si="95"/>
        <v/>
      </c>
      <c r="CH87" s="323" t="str">
        <f t="shared" si="95"/>
        <v/>
      </c>
      <c r="CI87" s="323" t="str">
        <f t="shared" si="95"/>
        <v/>
      </c>
      <c r="CJ87" s="323" t="str">
        <f t="shared" si="95"/>
        <v/>
      </c>
      <c r="CK87" s="323" t="str">
        <f t="shared" si="95"/>
        <v/>
      </c>
      <c r="CL87" s="323" t="str">
        <f t="shared" si="95"/>
        <v/>
      </c>
      <c r="CM87" s="323" t="str">
        <f t="shared" si="95"/>
        <v/>
      </c>
      <c r="CN87" s="323"/>
      <c r="CO87" s="323"/>
      <c r="CP87" s="323" t="str">
        <f t="shared" si="16"/>
        <v/>
      </c>
      <c r="CQ87" s="323"/>
      <c r="CR87" s="323"/>
      <c r="CS87" s="323"/>
      <c r="CT87" s="323"/>
      <c r="CU87" s="323"/>
      <c r="CV87" s="323"/>
      <c r="CW87" s="323"/>
      <c r="CX87" s="323"/>
      <c r="CY87" s="323"/>
      <c r="CZ87" s="323"/>
      <c r="DA87" s="323"/>
      <c r="DB87" s="323"/>
      <c r="DC87" s="323"/>
      <c r="DD87" s="323"/>
      <c r="DE87" s="323"/>
      <c r="DF87" s="323"/>
      <c r="DG87" s="323"/>
      <c r="DH87" s="323"/>
      <c r="DI87" s="323"/>
      <c r="DJ87" s="323"/>
      <c r="DK87" s="323"/>
      <c r="DL87" s="323"/>
      <c r="DM87" s="323"/>
      <c r="DN87" s="323"/>
      <c r="DO87" s="323"/>
      <c r="DP87" s="323"/>
      <c r="DQ87" s="323"/>
      <c r="DR87" s="323"/>
      <c r="DS87" s="323"/>
      <c r="DT87" s="323"/>
      <c r="DU87" s="323"/>
      <c r="DV87" s="323"/>
      <c r="DW87" s="323"/>
      <c r="DX87" s="323"/>
      <c r="DY87" s="323"/>
      <c r="DZ87" s="323"/>
      <c r="EA87" s="323"/>
      <c r="EB87" s="323"/>
      <c r="EC87" s="323"/>
      <c r="ED87" s="323"/>
      <c r="EE87" s="323"/>
      <c r="EF87" s="323"/>
      <c r="EG87" s="323"/>
      <c r="EH87" s="323"/>
      <c r="EI87" s="323"/>
      <c r="EJ87" s="323"/>
      <c r="EK87" s="323"/>
      <c r="EL87" s="323"/>
      <c r="EM87" s="323"/>
      <c r="EN87" s="323"/>
      <c r="EO87" s="323"/>
      <c r="EP87" s="323"/>
      <c r="EQ87" s="323"/>
      <c r="ER87" s="323"/>
      <c r="ES87" s="323"/>
      <c r="ET87" s="323"/>
      <c r="EU87" s="323"/>
      <c r="EV87" s="323"/>
      <c r="EW87" s="323"/>
      <c r="EX87" s="323"/>
      <c r="EY87" s="323"/>
      <c r="EZ87" s="323"/>
      <c r="FA87" s="323"/>
      <c r="FB87" s="323"/>
      <c r="FC87" s="323"/>
      <c r="FD87" s="323"/>
      <c r="FE87" s="323"/>
      <c r="FF87" s="323"/>
      <c r="FG87" s="323"/>
      <c r="FH87" s="323"/>
      <c r="FI87" s="323"/>
      <c r="FJ87" s="323"/>
      <c r="FK87" s="323"/>
      <c r="FL87" s="323"/>
      <c r="FM87" s="323"/>
      <c r="FN87" s="323"/>
      <c r="FO87" s="323"/>
      <c r="FP87" s="323"/>
      <c r="FQ87" s="323"/>
      <c r="FR87" s="323"/>
      <c r="FS87" s="323"/>
      <c r="FT87" s="323"/>
      <c r="FU87" s="323"/>
      <c r="FV87" s="323"/>
      <c r="FW87" s="323"/>
      <c r="FX87" s="323"/>
    </row>
    <row r="88" ht="15.75" customHeight="1">
      <c r="A88" s="44">
        <v>83.0</v>
      </c>
      <c r="B88" s="27"/>
      <c r="C88" s="44"/>
      <c r="D88" s="44"/>
      <c r="E88" s="330"/>
      <c r="F88" s="47"/>
      <c r="G88" s="47"/>
      <c r="H88" s="47"/>
      <c r="I88" s="26"/>
      <c r="J88" s="323" t="str">
        <f t="shared" ref="J88:CM88" si="96">IF(AND($I88="Yes",J$2=$H88),"♦","")</f>
        <v/>
      </c>
      <c r="K88" s="323" t="str">
        <f t="shared" si="96"/>
        <v/>
      </c>
      <c r="L88" s="323" t="str">
        <f t="shared" si="96"/>
        <v/>
      </c>
      <c r="M88" s="323" t="str">
        <f t="shared" si="96"/>
        <v/>
      </c>
      <c r="N88" s="323" t="str">
        <f t="shared" si="96"/>
        <v/>
      </c>
      <c r="O88" s="323" t="str">
        <f t="shared" si="96"/>
        <v/>
      </c>
      <c r="P88" s="323" t="str">
        <f t="shared" si="96"/>
        <v/>
      </c>
      <c r="Q88" s="323" t="str">
        <f t="shared" si="96"/>
        <v/>
      </c>
      <c r="R88" s="323" t="str">
        <f t="shared" si="96"/>
        <v/>
      </c>
      <c r="S88" s="323" t="str">
        <f t="shared" si="96"/>
        <v/>
      </c>
      <c r="T88" s="323" t="str">
        <f t="shared" si="96"/>
        <v/>
      </c>
      <c r="U88" s="323" t="str">
        <f t="shared" si="96"/>
        <v/>
      </c>
      <c r="V88" s="323" t="str">
        <f t="shared" si="96"/>
        <v/>
      </c>
      <c r="W88" s="323" t="str">
        <f t="shared" si="96"/>
        <v/>
      </c>
      <c r="X88" s="323" t="str">
        <f t="shared" si="96"/>
        <v/>
      </c>
      <c r="Y88" s="323" t="str">
        <f t="shared" si="96"/>
        <v/>
      </c>
      <c r="Z88" s="323" t="str">
        <f t="shared" si="96"/>
        <v/>
      </c>
      <c r="AA88" s="323" t="str">
        <f t="shared" si="96"/>
        <v/>
      </c>
      <c r="AB88" s="323" t="str">
        <f t="shared" si="96"/>
        <v/>
      </c>
      <c r="AC88" s="323" t="str">
        <f t="shared" si="96"/>
        <v/>
      </c>
      <c r="AD88" s="323" t="str">
        <f t="shared" si="96"/>
        <v/>
      </c>
      <c r="AE88" s="323" t="str">
        <f t="shared" si="96"/>
        <v/>
      </c>
      <c r="AF88" s="323" t="str">
        <f t="shared" si="96"/>
        <v/>
      </c>
      <c r="AG88" s="323" t="str">
        <f t="shared" si="96"/>
        <v/>
      </c>
      <c r="AH88" s="323" t="str">
        <f t="shared" si="96"/>
        <v/>
      </c>
      <c r="AI88" s="323" t="str">
        <f t="shared" si="96"/>
        <v/>
      </c>
      <c r="AJ88" s="323" t="str">
        <f t="shared" si="96"/>
        <v/>
      </c>
      <c r="AK88" s="323" t="str">
        <f t="shared" si="96"/>
        <v/>
      </c>
      <c r="AL88" s="323" t="str">
        <f t="shared" si="96"/>
        <v/>
      </c>
      <c r="AM88" s="323" t="str">
        <f t="shared" si="96"/>
        <v/>
      </c>
      <c r="AN88" s="323" t="str">
        <f t="shared" si="96"/>
        <v/>
      </c>
      <c r="AO88" s="323" t="str">
        <f t="shared" si="96"/>
        <v/>
      </c>
      <c r="AP88" s="323" t="str">
        <f t="shared" si="96"/>
        <v/>
      </c>
      <c r="AQ88" s="323" t="str">
        <f t="shared" si="96"/>
        <v/>
      </c>
      <c r="AR88" s="323" t="str">
        <f t="shared" si="96"/>
        <v/>
      </c>
      <c r="AS88" s="323" t="str">
        <f t="shared" si="96"/>
        <v/>
      </c>
      <c r="AT88" s="323" t="str">
        <f t="shared" si="96"/>
        <v/>
      </c>
      <c r="AU88" s="323" t="str">
        <f t="shared" si="96"/>
        <v/>
      </c>
      <c r="AV88" s="323" t="str">
        <f t="shared" si="96"/>
        <v/>
      </c>
      <c r="AW88" s="323" t="str">
        <f t="shared" si="96"/>
        <v/>
      </c>
      <c r="AX88" s="323" t="str">
        <f t="shared" si="96"/>
        <v/>
      </c>
      <c r="AY88" s="323" t="str">
        <f t="shared" si="96"/>
        <v/>
      </c>
      <c r="AZ88" s="323" t="str">
        <f t="shared" si="96"/>
        <v/>
      </c>
      <c r="BA88" s="323" t="str">
        <f t="shared" si="96"/>
        <v/>
      </c>
      <c r="BB88" s="323" t="str">
        <f t="shared" si="96"/>
        <v/>
      </c>
      <c r="BC88" s="323" t="str">
        <f t="shared" si="96"/>
        <v/>
      </c>
      <c r="BD88" s="323" t="str">
        <f t="shared" si="96"/>
        <v/>
      </c>
      <c r="BE88" s="323" t="str">
        <f t="shared" si="96"/>
        <v/>
      </c>
      <c r="BF88" s="323" t="str">
        <f t="shared" si="96"/>
        <v/>
      </c>
      <c r="BG88" s="323" t="str">
        <f t="shared" si="96"/>
        <v/>
      </c>
      <c r="BH88" s="323" t="str">
        <f t="shared" si="96"/>
        <v/>
      </c>
      <c r="BI88" s="323" t="str">
        <f t="shared" si="96"/>
        <v/>
      </c>
      <c r="BJ88" s="323" t="str">
        <f t="shared" si="96"/>
        <v/>
      </c>
      <c r="BK88" s="323" t="str">
        <f t="shared" si="96"/>
        <v/>
      </c>
      <c r="BL88" s="323" t="str">
        <f t="shared" si="96"/>
        <v/>
      </c>
      <c r="BM88" s="323" t="str">
        <f t="shared" si="96"/>
        <v/>
      </c>
      <c r="BN88" s="323" t="str">
        <f t="shared" si="96"/>
        <v/>
      </c>
      <c r="BO88" s="323" t="str">
        <f t="shared" si="96"/>
        <v/>
      </c>
      <c r="BP88" s="323" t="str">
        <f t="shared" si="96"/>
        <v/>
      </c>
      <c r="BQ88" s="323" t="str">
        <f t="shared" si="96"/>
        <v/>
      </c>
      <c r="BR88" s="323" t="str">
        <f t="shared" si="96"/>
        <v/>
      </c>
      <c r="BS88" s="323" t="str">
        <f t="shared" si="96"/>
        <v/>
      </c>
      <c r="BT88" s="323" t="str">
        <f t="shared" si="96"/>
        <v/>
      </c>
      <c r="BU88" s="323" t="str">
        <f t="shared" si="96"/>
        <v/>
      </c>
      <c r="BV88" s="323" t="str">
        <f t="shared" si="96"/>
        <v/>
      </c>
      <c r="BW88" s="323" t="str">
        <f t="shared" si="96"/>
        <v/>
      </c>
      <c r="BX88" s="323" t="str">
        <f t="shared" si="96"/>
        <v/>
      </c>
      <c r="BY88" s="323" t="str">
        <f t="shared" si="96"/>
        <v/>
      </c>
      <c r="BZ88" s="323" t="str">
        <f t="shared" si="96"/>
        <v/>
      </c>
      <c r="CA88" s="323" t="str">
        <f t="shared" si="96"/>
        <v/>
      </c>
      <c r="CB88" s="323" t="str">
        <f t="shared" si="96"/>
        <v/>
      </c>
      <c r="CC88" s="323" t="str">
        <f t="shared" si="96"/>
        <v/>
      </c>
      <c r="CD88" s="323" t="str">
        <f t="shared" si="96"/>
        <v/>
      </c>
      <c r="CE88" s="323" t="str">
        <f t="shared" si="96"/>
        <v/>
      </c>
      <c r="CF88" s="323" t="str">
        <f t="shared" si="96"/>
        <v/>
      </c>
      <c r="CG88" s="323" t="str">
        <f t="shared" si="96"/>
        <v/>
      </c>
      <c r="CH88" s="323" t="str">
        <f t="shared" si="96"/>
        <v/>
      </c>
      <c r="CI88" s="323" t="str">
        <f t="shared" si="96"/>
        <v/>
      </c>
      <c r="CJ88" s="323" t="str">
        <f t="shared" si="96"/>
        <v/>
      </c>
      <c r="CK88" s="323" t="str">
        <f t="shared" si="96"/>
        <v/>
      </c>
      <c r="CL88" s="323" t="str">
        <f t="shared" si="96"/>
        <v/>
      </c>
      <c r="CM88" s="323" t="str">
        <f t="shared" si="96"/>
        <v/>
      </c>
      <c r="CN88" s="323"/>
      <c r="CO88" s="323"/>
      <c r="CP88" s="323" t="str">
        <f t="shared" si="16"/>
        <v/>
      </c>
      <c r="CQ88" s="323"/>
      <c r="CR88" s="323"/>
      <c r="CS88" s="323"/>
      <c r="CT88" s="323"/>
      <c r="CU88" s="323"/>
      <c r="CV88" s="323"/>
      <c r="CW88" s="323"/>
      <c r="CX88" s="323"/>
      <c r="CY88" s="323"/>
      <c r="CZ88" s="323"/>
      <c r="DA88" s="323"/>
      <c r="DB88" s="323"/>
      <c r="DC88" s="323"/>
      <c r="DD88" s="323"/>
      <c r="DE88" s="323"/>
      <c r="DF88" s="323"/>
      <c r="DG88" s="323"/>
      <c r="DH88" s="323"/>
      <c r="DI88" s="323"/>
      <c r="DJ88" s="323"/>
      <c r="DK88" s="323"/>
      <c r="DL88" s="323"/>
      <c r="DM88" s="323"/>
      <c r="DN88" s="323"/>
      <c r="DO88" s="323"/>
      <c r="DP88" s="323"/>
      <c r="DQ88" s="323"/>
      <c r="DR88" s="323"/>
      <c r="DS88" s="323"/>
      <c r="DT88" s="323"/>
      <c r="DU88" s="323"/>
      <c r="DV88" s="323"/>
      <c r="DW88" s="323"/>
      <c r="DX88" s="323"/>
      <c r="DY88" s="323"/>
      <c r="DZ88" s="323"/>
      <c r="EA88" s="323"/>
      <c r="EB88" s="323"/>
      <c r="EC88" s="323"/>
      <c r="ED88" s="323"/>
      <c r="EE88" s="323"/>
      <c r="EF88" s="323"/>
      <c r="EG88" s="323"/>
      <c r="EH88" s="323"/>
      <c r="EI88" s="323"/>
      <c r="EJ88" s="323"/>
      <c r="EK88" s="323"/>
      <c r="EL88" s="323"/>
      <c r="EM88" s="323"/>
      <c r="EN88" s="323"/>
      <c r="EO88" s="323"/>
      <c r="EP88" s="323"/>
      <c r="EQ88" s="323"/>
      <c r="ER88" s="323"/>
      <c r="ES88" s="323"/>
      <c r="ET88" s="323"/>
      <c r="EU88" s="323"/>
      <c r="EV88" s="323"/>
      <c r="EW88" s="323"/>
      <c r="EX88" s="323"/>
      <c r="EY88" s="323"/>
      <c r="EZ88" s="323"/>
      <c r="FA88" s="323"/>
      <c r="FB88" s="323"/>
      <c r="FC88" s="323"/>
      <c r="FD88" s="323"/>
      <c r="FE88" s="323"/>
      <c r="FF88" s="323"/>
      <c r="FG88" s="323"/>
      <c r="FH88" s="323"/>
      <c r="FI88" s="323"/>
      <c r="FJ88" s="323"/>
      <c r="FK88" s="323"/>
      <c r="FL88" s="323"/>
      <c r="FM88" s="323"/>
      <c r="FN88" s="323"/>
      <c r="FO88" s="323"/>
      <c r="FP88" s="323"/>
      <c r="FQ88" s="323"/>
      <c r="FR88" s="323"/>
      <c r="FS88" s="323"/>
      <c r="FT88" s="323"/>
      <c r="FU88" s="323"/>
      <c r="FV88" s="323"/>
      <c r="FW88" s="323"/>
      <c r="FX88" s="323"/>
    </row>
    <row r="89" ht="15.75" customHeight="1">
      <c r="A89" s="44">
        <v>84.0</v>
      </c>
      <c r="B89" s="27"/>
      <c r="C89" s="44"/>
      <c r="D89" s="44"/>
      <c r="E89" s="330"/>
      <c r="F89" s="47"/>
      <c r="G89" s="47"/>
      <c r="H89" s="47"/>
      <c r="I89" s="26"/>
      <c r="J89" s="323" t="str">
        <f t="shared" ref="J89:CM89" si="97">IF(AND($I89="Yes",J$2=$H89),"♦","")</f>
        <v/>
      </c>
      <c r="K89" s="323" t="str">
        <f t="shared" si="97"/>
        <v/>
      </c>
      <c r="L89" s="323" t="str">
        <f t="shared" si="97"/>
        <v/>
      </c>
      <c r="M89" s="323" t="str">
        <f t="shared" si="97"/>
        <v/>
      </c>
      <c r="N89" s="323" t="str">
        <f t="shared" si="97"/>
        <v/>
      </c>
      <c r="O89" s="323" t="str">
        <f t="shared" si="97"/>
        <v/>
      </c>
      <c r="P89" s="323" t="str">
        <f t="shared" si="97"/>
        <v/>
      </c>
      <c r="Q89" s="323" t="str">
        <f t="shared" si="97"/>
        <v/>
      </c>
      <c r="R89" s="323" t="str">
        <f t="shared" si="97"/>
        <v/>
      </c>
      <c r="S89" s="323" t="str">
        <f t="shared" si="97"/>
        <v/>
      </c>
      <c r="T89" s="323" t="str">
        <f t="shared" si="97"/>
        <v/>
      </c>
      <c r="U89" s="323" t="str">
        <f t="shared" si="97"/>
        <v/>
      </c>
      <c r="V89" s="323" t="str">
        <f t="shared" si="97"/>
        <v/>
      </c>
      <c r="W89" s="323" t="str">
        <f t="shared" si="97"/>
        <v/>
      </c>
      <c r="X89" s="323" t="str">
        <f t="shared" si="97"/>
        <v/>
      </c>
      <c r="Y89" s="323" t="str">
        <f t="shared" si="97"/>
        <v/>
      </c>
      <c r="Z89" s="323" t="str">
        <f t="shared" si="97"/>
        <v/>
      </c>
      <c r="AA89" s="323" t="str">
        <f t="shared" si="97"/>
        <v/>
      </c>
      <c r="AB89" s="323" t="str">
        <f t="shared" si="97"/>
        <v/>
      </c>
      <c r="AC89" s="323" t="str">
        <f t="shared" si="97"/>
        <v/>
      </c>
      <c r="AD89" s="323" t="str">
        <f t="shared" si="97"/>
        <v/>
      </c>
      <c r="AE89" s="323" t="str">
        <f t="shared" si="97"/>
        <v/>
      </c>
      <c r="AF89" s="323" t="str">
        <f t="shared" si="97"/>
        <v/>
      </c>
      <c r="AG89" s="323" t="str">
        <f t="shared" si="97"/>
        <v/>
      </c>
      <c r="AH89" s="323" t="str">
        <f t="shared" si="97"/>
        <v/>
      </c>
      <c r="AI89" s="323" t="str">
        <f t="shared" si="97"/>
        <v/>
      </c>
      <c r="AJ89" s="323" t="str">
        <f t="shared" si="97"/>
        <v/>
      </c>
      <c r="AK89" s="323" t="str">
        <f t="shared" si="97"/>
        <v/>
      </c>
      <c r="AL89" s="323" t="str">
        <f t="shared" si="97"/>
        <v/>
      </c>
      <c r="AM89" s="323" t="str">
        <f t="shared" si="97"/>
        <v/>
      </c>
      <c r="AN89" s="323" t="str">
        <f t="shared" si="97"/>
        <v/>
      </c>
      <c r="AO89" s="323" t="str">
        <f t="shared" si="97"/>
        <v/>
      </c>
      <c r="AP89" s="323" t="str">
        <f t="shared" si="97"/>
        <v/>
      </c>
      <c r="AQ89" s="323" t="str">
        <f t="shared" si="97"/>
        <v/>
      </c>
      <c r="AR89" s="323" t="str">
        <f t="shared" si="97"/>
        <v/>
      </c>
      <c r="AS89" s="323" t="str">
        <f t="shared" si="97"/>
        <v/>
      </c>
      <c r="AT89" s="323" t="str">
        <f t="shared" si="97"/>
        <v/>
      </c>
      <c r="AU89" s="323" t="str">
        <f t="shared" si="97"/>
        <v/>
      </c>
      <c r="AV89" s="323" t="str">
        <f t="shared" si="97"/>
        <v/>
      </c>
      <c r="AW89" s="323" t="str">
        <f t="shared" si="97"/>
        <v/>
      </c>
      <c r="AX89" s="323" t="str">
        <f t="shared" si="97"/>
        <v/>
      </c>
      <c r="AY89" s="323" t="str">
        <f t="shared" si="97"/>
        <v/>
      </c>
      <c r="AZ89" s="323" t="str">
        <f t="shared" si="97"/>
        <v/>
      </c>
      <c r="BA89" s="323" t="str">
        <f t="shared" si="97"/>
        <v/>
      </c>
      <c r="BB89" s="323" t="str">
        <f t="shared" si="97"/>
        <v/>
      </c>
      <c r="BC89" s="323" t="str">
        <f t="shared" si="97"/>
        <v/>
      </c>
      <c r="BD89" s="323" t="str">
        <f t="shared" si="97"/>
        <v/>
      </c>
      <c r="BE89" s="323" t="str">
        <f t="shared" si="97"/>
        <v/>
      </c>
      <c r="BF89" s="323" t="str">
        <f t="shared" si="97"/>
        <v/>
      </c>
      <c r="BG89" s="323" t="str">
        <f t="shared" si="97"/>
        <v/>
      </c>
      <c r="BH89" s="323" t="str">
        <f t="shared" si="97"/>
        <v/>
      </c>
      <c r="BI89" s="323" t="str">
        <f t="shared" si="97"/>
        <v/>
      </c>
      <c r="BJ89" s="323" t="str">
        <f t="shared" si="97"/>
        <v/>
      </c>
      <c r="BK89" s="323" t="str">
        <f t="shared" si="97"/>
        <v/>
      </c>
      <c r="BL89" s="323" t="str">
        <f t="shared" si="97"/>
        <v/>
      </c>
      <c r="BM89" s="323" t="str">
        <f t="shared" si="97"/>
        <v/>
      </c>
      <c r="BN89" s="323" t="str">
        <f t="shared" si="97"/>
        <v/>
      </c>
      <c r="BO89" s="323" t="str">
        <f t="shared" si="97"/>
        <v/>
      </c>
      <c r="BP89" s="323" t="str">
        <f t="shared" si="97"/>
        <v/>
      </c>
      <c r="BQ89" s="323" t="str">
        <f t="shared" si="97"/>
        <v/>
      </c>
      <c r="BR89" s="323" t="str">
        <f t="shared" si="97"/>
        <v/>
      </c>
      <c r="BS89" s="323" t="str">
        <f t="shared" si="97"/>
        <v/>
      </c>
      <c r="BT89" s="323" t="str">
        <f t="shared" si="97"/>
        <v/>
      </c>
      <c r="BU89" s="323" t="str">
        <f t="shared" si="97"/>
        <v/>
      </c>
      <c r="BV89" s="323" t="str">
        <f t="shared" si="97"/>
        <v/>
      </c>
      <c r="BW89" s="323" t="str">
        <f t="shared" si="97"/>
        <v/>
      </c>
      <c r="BX89" s="323" t="str">
        <f t="shared" si="97"/>
        <v/>
      </c>
      <c r="BY89" s="323" t="str">
        <f t="shared" si="97"/>
        <v/>
      </c>
      <c r="BZ89" s="323" t="str">
        <f t="shared" si="97"/>
        <v/>
      </c>
      <c r="CA89" s="323" t="str">
        <f t="shared" si="97"/>
        <v/>
      </c>
      <c r="CB89" s="323" t="str">
        <f t="shared" si="97"/>
        <v/>
      </c>
      <c r="CC89" s="323" t="str">
        <f t="shared" si="97"/>
        <v/>
      </c>
      <c r="CD89" s="323" t="str">
        <f t="shared" si="97"/>
        <v/>
      </c>
      <c r="CE89" s="323" t="str">
        <f t="shared" si="97"/>
        <v/>
      </c>
      <c r="CF89" s="323" t="str">
        <f t="shared" si="97"/>
        <v/>
      </c>
      <c r="CG89" s="323" t="str">
        <f t="shared" si="97"/>
        <v/>
      </c>
      <c r="CH89" s="323" t="str">
        <f t="shared" si="97"/>
        <v/>
      </c>
      <c r="CI89" s="323" t="str">
        <f t="shared" si="97"/>
        <v/>
      </c>
      <c r="CJ89" s="323" t="str">
        <f t="shared" si="97"/>
        <v/>
      </c>
      <c r="CK89" s="323" t="str">
        <f t="shared" si="97"/>
        <v/>
      </c>
      <c r="CL89" s="323" t="str">
        <f t="shared" si="97"/>
        <v/>
      </c>
      <c r="CM89" s="323" t="str">
        <f t="shared" si="97"/>
        <v/>
      </c>
      <c r="CN89" s="323"/>
      <c r="CO89" s="323"/>
      <c r="CP89" s="323" t="str">
        <f t="shared" si="16"/>
        <v/>
      </c>
      <c r="CQ89" s="323"/>
      <c r="CR89" s="323"/>
      <c r="CS89" s="323"/>
      <c r="CT89" s="323"/>
      <c r="CU89" s="323"/>
      <c r="CV89" s="323"/>
      <c r="CW89" s="323"/>
      <c r="CX89" s="323"/>
      <c r="CY89" s="323"/>
      <c r="CZ89" s="323"/>
      <c r="DA89" s="323"/>
      <c r="DB89" s="323"/>
      <c r="DC89" s="323"/>
      <c r="DD89" s="323"/>
      <c r="DE89" s="323"/>
      <c r="DF89" s="323"/>
      <c r="DG89" s="323"/>
      <c r="DH89" s="323"/>
      <c r="DI89" s="323"/>
      <c r="DJ89" s="323"/>
      <c r="DK89" s="323"/>
      <c r="DL89" s="323"/>
      <c r="DM89" s="323"/>
      <c r="DN89" s="323"/>
      <c r="DO89" s="323"/>
      <c r="DP89" s="323"/>
      <c r="DQ89" s="323"/>
      <c r="DR89" s="323"/>
      <c r="DS89" s="323"/>
      <c r="DT89" s="323"/>
      <c r="DU89" s="323"/>
      <c r="DV89" s="323"/>
      <c r="DW89" s="323"/>
      <c r="DX89" s="323"/>
      <c r="DY89" s="323"/>
      <c r="DZ89" s="323"/>
      <c r="EA89" s="323"/>
      <c r="EB89" s="323"/>
      <c r="EC89" s="323"/>
      <c r="ED89" s="323"/>
      <c r="EE89" s="323"/>
      <c r="EF89" s="323"/>
      <c r="EG89" s="323"/>
      <c r="EH89" s="323"/>
      <c r="EI89" s="323"/>
      <c r="EJ89" s="323"/>
      <c r="EK89" s="323"/>
      <c r="EL89" s="323"/>
      <c r="EM89" s="323"/>
      <c r="EN89" s="323"/>
      <c r="EO89" s="323"/>
      <c r="EP89" s="323"/>
      <c r="EQ89" s="323"/>
      <c r="ER89" s="323"/>
      <c r="ES89" s="323"/>
      <c r="ET89" s="323"/>
      <c r="EU89" s="323"/>
      <c r="EV89" s="323"/>
      <c r="EW89" s="323"/>
      <c r="EX89" s="323"/>
      <c r="EY89" s="323"/>
      <c r="EZ89" s="323"/>
      <c r="FA89" s="323"/>
      <c r="FB89" s="323"/>
      <c r="FC89" s="323"/>
      <c r="FD89" s="323"/>
      <c r="FE89" s="323"/>
      <c r="FF89" s="323"/>
      <c r="FG89" s="323"/>
      <c r="FH89" s="323"/>
      <c r="FI89" s="323"/>
      <c r="FJ89" s="323"/>
      <c r="FK89" s="323"/>
      <c r="FL89" s="323"/>
      <c r="FM89" s="323"/>
      <c r="FN89" s="323"/>
      <c r="FO89" s="323"/>
      <c r="FP89" s="323"/>
      <c r="FQ89" s="323"/>
      <c r="FR89" s="323"/>
      <c r="FS89" s="323"/>
      <c r="FT89" s="323"/>
      <c r="FU89" s="323"/>
      <c r="FV89" s="323"/>
      <c r="FW89" s="323"/>
      <c r="FX89" s="323"/>
    </row>
    <row r="90" ht="15.75" customHeight="1">
      <c r="A90" s="44">
        <v>85.0</v>
      </c>
      <c r="B90" s="27"/>
      <c r="C90" s="44"/>
      <c r="D90" s="44"/>
      <c r="E90" s="330"/>
      <c r="F90" s="47"/>
      <c r="G90" s="47"/>
      <c r="H90" s="47"/>
      <c r="I90" s="26"/>
      <c r="J90" s="323" t="str">
        <f t="shared" ref="J90:CM90" si="98">IF(AND($I90="Yes",J$2=$H90),"♦","")</f>
        <v/>
      </c>
      <c r="K90" s="323" t="str">
        <f t="shared" si="98"/>
        <v/>
      </c>
      <c r="L90" s="323" t="str">
        <f t="shared" si="98"/>
        <v/>
      </c>
      <c r="M90" s="323" t="str">
        <f t="shared" si="98"/>
        <v/>
      </c>
      <c r="N90" s="323" t="str">
        <f t="shared" si="98"/>
        <v/>
      </c>
      <c r="O90" s="323" t="str">
        <f t="shared" si="98"/>
        <v/>
      </c>
      <c r="P90" s="323" t="str">
        <f t="shared" si="98"/>
        <v/>
      </c>
      <c r="Q90" s="323" t="str">
        <f t="shared" si="98"/>
        <v/>
      </c>
      <c r="R90" s="323" t="str">
        <f t="shared" si="98"/>
        <v/>
      </c>
      <c r="S90" s="323" t="str">
        <f t="shared" si="98"/>
        <v/>
      </c>
      <c r="T90" s="323" t="str">
        <f t="shared" si="98"/>
        <v/>
      </c>
      <c r="U90" s="323" t="str">
        <f t="shared" si="98"/>
        <v/>
      </c>
      <c r="V90" s="323" t="str">
        <f t="shared" si="98"/>
        <v/>
      </c>
      <c r="W90" s="323" t="str">
        <f t="shared" si="98"/>
        <v/>
      </c>
      <c r="X90" s="323" t="str">
        <f t="shared" si="98"/>
        <v/>
      </c>
      <c r="Y90" s="323" t="str">
        <f t="shared" si="98"/>
        <v/>
      </c>
      <c r="Z90" s="323" t="str">
        <f t="shared" si="98"/>
        <v/>
      </c>
      <c r="AA90" s="323" t="str">
        <f t="shared" si="98"/>
        <v/>
      </c>
      <c r="AB90" s="323" t="str">
        <f t="shared" si="98"/>
        <v/>
      </c>
      <c r="AC90" s="323" t="str">
        <f t="shared" si="98"/>
        <v/>
      </c>
      <c r="AD90" s="323" t="str">
        <f t="shared" si="98"/>
        <v/>
      </c>
      <c r="AE90" s="323" t="str">
        <f t="shared" si="98"/>
        <v/>
      </c>
      <c r="AF90" s="323" t="str">
        <f t="shared" si="98"/>
        <v/>
      </c>
      <c r="AG90" s="323" t="str">
        <f t="shared" si="98"/>
        <v/>
      </c>
      <c r="AH90" s="323" t="str">
        <f t="shared" si="98"/>
        <v/>
      </c>
      <c r="AI90" s="323" t="str">
        <f t="shared" si="98"/>
        <v/>
      </c>
      <c r="AJ90" s="323" t="str">
        <f t="shared" si="98"/>
        <v/>
      </c>
      <c r="AK90" s="323" t="str">
        <f t="shared" si="98"/>
        <v/>
      </c>
      <c r="AL90" s="323" t="str">
        <f t="shared" si="98"/>
        <v/>
      </c>
      <c r="AM90" s="323" t="str">
        <f t="shared" si="98"/>
        <v/>
      </c>
      <c r="AN90" s="323" t="str">
        <f t="shared" si="98"/>
        <v/>
      </c>
      <c r="AO90" s="323" t="str">
        <f t="shared" si="98"/>
        <v/>
      </c>
      <c r="AP90" s="323" t="str">
        <f t="shared" si="98"/>
        <v/>
      </c>
      <c r="AQ90" s="323" t="str">
        <f t="shared" si="98"/>
        <v/>
      </c>
      <c r="AR90" s="323" t="str">
        <f t="shared" si="98"/>
        <v/>
      </c>
      <c r="AS90" s="323" t="str">
        <f t="shared" si="98"/>
        <v/>
      </c>
      <c r="AT90" s="323" t="str">
        <f t="shared" si="98"/>
        <v/>
      </c>
      <c r="AU90" s="323" t="str">
        <f t="shared" si="98"/>
        <v/>
      </c>
      <c r="AV90" s="323" t="str">
        <f t="shared" si="98"/>
        <v/>
      </c>
      <c r="AW90" s="323" t="str">
        <f t="shared" si="98"/>
        <v/>
      </c>
      <c r="AX90" s="323" t="str">
        <f t="shared" si="98"/>
        <v/>
      </c>
      <c r="AY90" s="323" t="str">
        <f t="shared" si="98"/>
        <v/>
      </c>
      <c r="AZ90" s="323" t="str">
        <f t="shared" si="98"/>
        <v/>
      </c>
      <c r="BA90" s="323" t="str">
        <f t="shared" si="98"/>
        <v/>
      </c>
      <c r="BB90" s="323" t="str">
        <f t="shared" si="98"/>
        <v/>
      </c>
      <c r="BC90" s="323" t="str">
        <f t="shared" si="98"/>
        <v/>
      </c>
      <c r="BD90" s="323" t="str">
        <f t="shared" si="98"/>
        <v/>
      </c>
      <c r="BE90" s="323" t="str">
        <f t="shared" si="98"/>
        <v/>
      </c>
      <c r="BF90" s="323" t="str">
        <f t="shared" si="98"/>
        <v/>
      </c>
      <c r="BG90" s="323" t="str">
        <f t="shared" si="98"/>
        <v/>
      </c>
      <c r="BH90" s="323" t="str">
        <f t="shared" si="98"/>
        <v/>
      </c>
      <c r="BI90" s="323" t="str">
        <f t="shared" si="98"/>
        <v/>
      </c>
      <c r="BJ90" s="323" t="str">
        <f t="shared" si="98"/>
        <v/>
      </c>
      <c r="BK90" s="323" t="str">
        <f t="shared" si="98"/>
        <v/>
      </c>
      <c r="BL90" s="323" t="str">
        <f t="shared" si="98"/>
        <v/>
      </c>
      <c r="BM90" s="323" t="str">
        <f t="shared" si="98"/>
        <v/>
      </c>
      <c r="BN90" s="323" t="str">
        <f t="shared" si="98"/>
        <v/>
      </c>
      <c r="BO90" s="323" t="str">
        <f t="shared" si="98"/>
        <v/>
      </c>
      <c r="BP90" s="323" t="str">
        <f t="shared" si="98"/>
        <v/>
      </c>
      <c r="BQ90" s="323" t="str">
        <f t="shared" si="98"/>
        <v/>
      </c>
      <c r="BR90" s="323" t="str">
        <f t="shared" si="98"/>
        <v/>
      </c>
      <c r="BS90" s="323" t="str">
        <f t="shared" si="98"/>
        <v/>
      </c>
      <c r="BT90" s="323" t="str">
        <f t="shared" si="98"/>
        <v/>
      </c>
      <c r="BU90" s="323" t="str">
        <f t="shared" si="98"/>
        <v/>
      </c>
      <c r="BV90" s="323" t="str">
        <f t="shared" si="98"/>
        <v/>
      </c>
      <c r="BW90" s="323" t="str">
        <f t="shared" si="98"/>
        <v/>
      </c>
      <c r="BX90" s="323" t="str">
        <f t="shared" si="98"/>
        <v/>
      </c>
      <c r="BY90" s="323" t="str">
        <f t="shared" si="98"/>
        <v/>
      </c>
      <c r="BZ90" s="323" t="str">
        <f t="shared" si="98"/>
        <v/>
      </c>
      <c r="CA90" s="323" t="str">
        <f t="shared" si="98"/>
        <v/>
      </c>
      <c r="CB90" s="323" t="str">
        <f t="shared" si="98"/>
        <v/>
      </c>
      <c r="CC90" s="323" t="str">
        <f t="shared" si="98"/>
        <v/>
      </c>
      <c r="CD90" s="323" t="str">
        <f t="shared" si="98"/>
        <v/>
      </c>
      <c r="CE90" s="323" t="str">
        <f t="shared" si="98"/>
        <v/>
      </c>
      <c r="CF90" s="323" t="str">
        <f t="shared" si="98"/>
        <v/>
      </c>
      <c r="CG90" s="323" t="str">
        <f t="shared" si="98"/>
        <v/>
      </c>
      <c r="CH90" s="323" t="str">
        <f t="shared" si="98"/>
        <v/>
      </c>
      <c r="CI90" s="323" t="str">
        <f t="shared" si="98"/>
        <v/>
      </c>
      <c r="CJ90" s="323" t="str">
        <f t="shared" si="98"/>
        <v/>
      </c>
      <c r="CK90" s="323" t="str">
        <f t="shared" si="98"/>
        <v/>
      </c>
      <c r="CL90" s="323" t="str">
        <f t="shared" si="98"/>
        <v/>
      </c>
      <c r="CM90" s="323" t="str">
        <f t="shared" si="98"/>
        <v/>
      </c>
      <c r="CN90" s="323"/>
      <c r="CO90" s="323"/>
      <c r="CP90" s="323" t="str">
        <f t="shared" si="16"/>
        <v/>
      </c>
      <c r="CQ90" s="323"/>
      <c r="CR90" s="323"/>
      <c r="CS90" s="323"/>
      <c r="CT90" s="323"/>
      <c r="CU90" s="323"/>
      <c r="CV90" s="323"/>
      <c r="CW90" s="323"/>
      <c r="CX90" s="323"/>
      <c r="CY90" s="323"/>
      <c r="CZ90" s="323"/>
      <c r="DA90" s="323"/>
      <c r="DB90" s="323"/>
      <c r="DC90" s="323"/>
      <c r="DD90" s="323"/>
      <c r="DE90" s="323"/>
      <c r="DF90" s="323"/>
      <c r="DG90" s="323"/>
      <c r="DH90" s="323"/>
      <c r="DI90" s="323"/>
      <c r="DJ90" s="323"/>
      <c r="DK90" s="323"/>
      <c r="DL90" s="323"/>
      <c r="DM90" s="323"/>
      <c r="DN90" s="323"/>
      <c r="DO90" s="323"/>
      <c r="DP90" s="323"/>
      <c r="DQ90" s="323"/>
      <c r="DR90" s="323"/>
      <c r="DS90" s="323"/>
      <c r="DT90" s="323"/>
      <c r="DU90" s="323"/>
      <c r="DV90" s="323"/>
      <c r="DW90" s="323"/>
      <c r="DX90" s="323"/>
      <c r="DY90" s="323"/>
      <c r="DZ90" s="323"/>
      <c r="EA90" s="323"/>
      <c r="EB90" s="323"/>
      <c r="EC90" s="323"/>
      <c r="ED90" s="323"/>
      <c r="EE90" s="323"/>
      <c r="EF90" s="323"/>
      <c r="EG90" s="323"/>
      <c r="EH90" s="323"/>
      <c r="EI90" s="323"/>
      <c r="EJ90" s="323"/>
      <c r="EK90" s="323"/>
      <c r="EL90" s="323"/>
      <c r="EM90" s="323"/>
      <c r="EN90" s="323"/>
      <c r="EO90" s="323"/>
      <c r="EP90" s="323"/>
      <c r="EQ90" s="323"/>
      <c r="ER90" s="323"/>
      <c r="ES90" s="323"/>
      <c r="ET90" s="323"/>
      <c r="EU90" s="323"/>
      <c r="EV90" s="323"/>
      <c r="EW90" s="323"/>
      <c r="EX90" s="323"/>
      <c r="EY90" s="323"/>
      <c r="EZ90" s="323"/>
      <c r="FA90" s="323"/>
      <c r="FB90" s="323"/>
      <c r="FC90" s="323"/>
      <c r="FD90" s="323"/>
      <c r="FE90" s="323"/>
      <c r="FF90" s="323"/>
      <c r="FG90" s="323"/>
      <c r="FH90" s="323"/>
      <c r="FI90" s="323"/>
      <c r="FJ90" s="323"/>
      <c r="FK90" s="323"/>
      <c r="FL90" s="323"/>
      <c r="FM90" s="323"/>
      <c r="FN90" s="323"/>
      <c r="FO90" s="323"/>
      <c r="FP90" s="323"/>
      <c r="FQ90" s="323"/>
      <c r="FR90" s="323"/>
      <c r="FS90" s="323"/>
      <c r="FT90" s="323"/>
      <c r="FU90" s="323"/>
      <c r="FV90" s="323"/>
      <c r="FW90" s="323"/>
      <c r="FX90" s="323"/>
    </row>
    <row r="91" ht="15.75" customHeight="1">
      <c r="A91" s="44">
        <v>86.0</v>
      </c>
      <c r="B91" s="27"/>
      <c r="C91" s="44"/>
      <c r="D91" s="44"/>
      <c r="E91" s="330"/>
      <c r="F91" s="47"/>
      <c r="G91" s="47"/>
      <c r="H91" s="47"/>
      <c r="I91" s="26"/>
      <c r="J91" s="323" t="str">
        <f t="shared" ref="J91:CM91" si="99">IF(AND($I91="Yes",J$2=$H91),"♦","")</f>
        <v/>
      </c>
      <c r="K91" s="323" t="str">
        <f t="shared" si="99"/>
        <v/>
      </c>
      <c r="L91" s="323" t="str">
        <f t="shared" si="99"/>
        <v/>
      </c>
      <c r="M91" s="323" t="str">
        <f t="shared" si="99"/>
        <v/>
      </c>
      <c r="N91" s="323" t="str">
        <f t="shared" si="99"/>
        <v/>
      </c>
      <c r="O91" s="323" t="str">
        <f t="shared" si="99"/>
        <v/>
      </c>
      <c r="P91" s="323" t="str">
        <f t="shared" si="99"/>
        <v/>
      </c>
      <c r="Q91" s="323" t="str">
        <f t="shared" si="99"/>
        <v/>
      </c>
      <c r="R91" s="323" t="str">
        <f t="shared" si="99"/>
        <v/>
      </c>
      <c r="S91" s="323" t="str">
        <f t="shared" si="99"/>
        <v/>
      </c>
      <c r="T91" s="323" t="str">
        <f t="shared" si="99"/>
        <v/>
      </c>
      <c r="U91" s="323" t="str">
        <f t="shared" si="99"/>
        <v/>
      </c>
      <c r="V91" s="323" t="str">
        <f t="shared" si="99"/>
        <v/>
      </c>
      <c r="W91" s="323" t="str">
        <f t="shared" si="99"/>
        <v/>
      </c>
      <c r="X91" s="323" t="str">
        <f t="shared" si="99"/>
        <v/>
      </c>
      <c r="Y91" s="323" t="str">
        <f t="shared" si="99"/>
        <v/>
      </c>
      <c r="Z91" s="323" t="str">
        <f t="shared" si="99"/>
        <v/>
      </c>
      <c r="AA91" s="323" t="str">
        <f t="shared" si="99"/>
        <v/>
      </c>
      <c r="AB91" s="323" t="str">
        <f t="shared" si="99"/>
        <v/>
      </c>
      <c r="AC91" s="323" t="str">
        <f t="shared" si="99"/>
        <v/>
      </c>
      <c r="AD91" s="323" t="str">
        <f t="shared" si="99"/>
        <v/>
      </c>
      <c r="AE91" s="323" t="str">
        <f t="shared" si="99"/>
        <v/>
      </c>
      <c r="AF91" s="323" t="str">
        <f t="shared" si="99"/>
        <v/>
      </c>
      <c r="AG91" s="323" t="str">
        <f t="shared" si="99"/>
        <v/>
      </c>
      <c r="AH91" s="323" t="str">
        <f t="shared" si="99"/>
        <v/>
      </c>
      <c r="AI91" s="323" t="str">
        <f t="shared" si="99"/>
        <v/>
      </c>
      <c r="AJ91" s="323" t="str">
        <f t="shared" si="99"/>
        <v/>
      </c>
      <c r="AK91" s="323" t="str">
        <f t="shared" si="99"/>
        <v/>
      </c>
      <c r="AL91" s="323" t="str">
        <f t="shared" si="99"/>
        <v/>
      </c>
      <c r="AM91" s="323" t="str">
        <f t="shared" si="99"/>
        <v/>
      </c>
      <c r="AN91" s="323" t="str">
        <f t="shared" si="99"/>
        <v/>
      </c>
      <c r="AO91" s="323" t="str">
        <f t="shared" si="99"/>
        <v/>
      </c>
      <c r="AP91" s="323" t="str">
        <f t="shared" si="99"/>
        <v/>
      </c>
      <c r="AQ91" s="323" t="str">
        <f t="shared" si="99"/>
        <v/>
      </c>
      <c r="AR91" s="323" t="str">
        <f t="shared" si="99"/>
        <v/>
      </c>
      <c r="AS91" s="323" t="str">
        <f t="shared" si="99"/>
        <v/>
      </c>
      <c r="AT91" s="323" t="str">
        <f t="shared" si="99"/>
        <v/>
      </c>
      <c r="AU91" s="323" t="str">
        <f t="shared" si="99"/>
        <v/>
      </c>
      <c r="AV91" s="323" t="str">
        <f t="shared" si="99"/>
        <v/>
      </c>
      <c r="AW91" s="323" t="str">
        <f t="shared" si="99"/>
        <v/>
      </c>
      <c r="AX91" s="323" t="str">
        <f t="shared" si="99"/>
        <v/>
      </c>
      <c r="AY91" s="323" t="str">
        <f t="shared" si="99"/>
        <v/>
      </c>
      <c r="AZ91" s="323" t="str">
        <f t="shared" si="99"/>
        <v/>
      </c>
      <c r="BA91" s="323" t="str">
        <f t="shared" si="99"/>
        <v/>
      </c>
      <c r="BB91" s="323" t="str">
        <f t="shared" si="99"/>
        <v/>
      </c>
      <c r="BC91" s="323" t="str">
        <f t="shared" si="99"/>
        <v/>
      </c>
      <c r="BD91" s="323" t="str">
        <f t="shared" si="99"/>
        <v/>
      </c>
      <c r="BE91" s="323" t="str">
        <f t="shared" si="99"/>
        <v/>
      </c>
      <c r="BF91" s="323" t="str">
        <f t="shared" si="99"/>
        <v/>
      </c>
      <c r="BG91" s="323" t="str">
        <f t="shared" si="99"/>
        <v/>
      </c>
      <c r="BH91" s="323" t="str">
        <f t="shared" si="99"/>
        <v/>
      </c>
      <c r="BI91" s="323" t="str">
        <f t="shared" si="99"/>
        <v/>
      </c>
      <c r="BJ91" s="323" t="str">
        <f t="shared" si="99"/>
        <v/>
      </c>
      <c r="BK91" s="323" t="str">
        <f t="shared" si="99"/>
        <v/>
      </c>
      <c r="BL91" s="323" t="str">
        <f t="shared" si="99"/>
        <v/>
      </c>
      <c r="BM91" s="323" t="str">
        <f t="shared" si="99"/>
        <v/>
      </c>
      <c r="BN91" s="323" t="str">
        <f t="shared" si="99"/>
        <v/>
      </c>
      <c r="BO91" s="323" t="str">
        <f t="shared" si="99"/>
        <v/>
      </c>
      <c r="BP91" s="323" t="str">
        <f t="shared" si="99"/>
        <v/>
      </c>
      <c r="BQ91" s="323" t="str">
        <f t="shared" si="99"/>
        <v/>
      </c>
      <c r="BR91" s="323" t="str">
        <f t="shared" si="99"/>
        <v/>
      </c>
      <c r="BS91" s="323" t="str">
        <f t="shared" si="99"/>
        <v/>
      </c>
      <c r="BT91" s="323" t="str">
        <f t="shared" si="99"/>
        <v/>
      </c>
      <c r="BU91" s="323" t="str">
        <f t="shared" si="99"/>
        <v/>
      </c>
      <c r="BV91" s="323" t="str">
        <f t="shared" si="99"/>
        <v/>
      </c>
      <c r="BW91" s="323" t="str">
        <f t="shared" si="99"/>
        <v/>
      </c>
      <c r="BX91" s="323" t="str">
        <f t="shared" si="99"/>
        <v/>
      </c>
      <c r="BY91" s="323" t="str">
        <f t="shared" si="99"/>
        <v/>
      </c>
      <c r="BZ91" s="323" t="str">
        <f t="shared" si="99"/>
        <v/>
      </c>
      <c r="CA91" s="323" t="str">
        <f t="shared" si="99"/>
        <v/>
      </c>
      <c r="CB91" s="323" t="str">
        <f t="shared" si="99"/>
        <v/>
      </c>
      <c r="CC91" s="323" t="str">
        <f t="shared" si="99"/>
        <v/>
      </c>
      <c r="CD91" s="323" t="str">
        <f t="shared" si="99"/>
        <v/>
      </c>
      <c r="CE91" s="323" t="str">
        <f t="shared" si="99"/>
        <v/>
      </c>
      <c r="CF91" s="323" t="str">
        <f t="shared" si="99"/>
        <v/>
      </c>
      <c r="CG91" s="323" t="str">
        <f t="shared" si="99"/>
        <v/>
      </c>
      <c r="CH91" s="323" t="str">
        <f t="shared" si="99"/>
        <v/>
      </c>
      <c r="CI91" s="323" t="str">
        <f t="shared" si="99"/>
        <v/>
      </c>
      <c r="CJ91" s="323" t="str">
        <f t="shared" si="99"/>
        <v/>
      </c>
      <c r="CK91" s="323" t="str">
        <f t="shared" si="99"/>
        <v/>
      </c>
      <c r="CL91" s="323" t="str">
        <f t="shared" si="99"/>
        <v/>
      </c>
      <c r="CM91" s="323" t="str">
        <f t="shared" si="99"/>
        <v/>
      </c>
      <c r="CN91" s="323"/>
      <c r="CO91" s="323"/>
      <c r="CP91" s="323" t="str">
        <f t="shared" si="16"/>
        <v/>
      </c>
      <c r="CQ91" s="323"/>
      <c r="CR91" s="323"/>
      <c r="CS91" s="323"/>
      <c r="CT91" s="323"/>
      <c r="CU91" s="323"/>
      <c r="CV91" s="323"/>
      <c r="CW91" s="323"/>
      <c r="CX91" s="323"/>
      <c r="CY91" s="323"/>
      <c r="CZ91" s="323"/>
      <c r="DA91" s="323"/>
      <c r="DB91" s="323"/>
      <c r="DC91" s="323"/>
      <c r="DD91" s="323"/>
      <c r="DE91" s="323"/>
      <c r="DF91" s="323"/>
      <c r="DG91" s="323"/>
      <c r="DH91" s="323"/>
      <c r="DI91" s="323"/>
      <c r="DJ91" s="323"/>
      <c r="DK91" s="323"/>
      <c r="DL91" s="323"/>
      <c r="DM91" s="323"/>
      <c r="DN91" s="323"/>
      <c r="DO91" s="323"/>
      <c r="DP91" s="323"/>
      <c r="DQ91" s="323"/>
      <c r="DR91" s="323"/>
      <c r="DS91" s="323"/>
      <c r="DT91" s="323"/>
      <c r="DU91" s="323"/>
      <c r="DV91" s="323"/>
      <c r="DW91" s="323"/>
      <c r="DX91" s="323"/>
      <c r="DY91" s="323"/>
      <c r="DZ91" s="323"/>
      <c r="EA91" s="323"/>
      <c r="EB91" s="323"/>
      <c r="EC91" s="323"/>
      <c r="ED91" s="323"/>
      <c r="EE91" s="323"/>
      <c r="EF91" s="323"/>
      <c r="EG91" s="323"/>
      <c r="EH91" s="323"/>
      <c r="EI91" s="323"/>
      <c r="EJ91" s="323"/>
      <c r="EK91" s="323"/>
      <c r="EL91" s="323"/>
      <c r="EM91" s="323"/>
      <c r="EN91" s="323"/>
      <c r="EO91" s="323"/>
      <c r="EP91" s="323"/>
      <c r="EQ91" s="323"/>
      <c r="ER91" s="323"/>
      <c r="ES91" s="323"/>
      <c r="ET91" s="323"/>
      <c r="EU91" s="323"/>
      <c r="EV91" s="323"/>
      <c r="EW91" s="323"/>
      <c r="EX91" s="323"/>
      <c r="EY91" s="323"/>
      <c r="EZ91" s="323"/>
      <c r="FA91" s="323"/>
      <c r="FB91" s="323"/>
      <c r="FC91" s="323"/>
      <c r="FD91" s="323"/>
      <c r="FE91" s="323"/>
      <c r="FF91" s="323"/>
      <c r="FG91" s="323"/>
      <c r="FH91" s="323"/>
      <c r="FI91" s="323"/>
      <c r="FJ91" s="323"/>
      <c r="FK91" s="323"/>
      <c r="FL91" s="323"/>
      <c r="FM91" s="323"/>
      <c r="FN91" s="323"/>
      <c r="FO91" s="323"/>
      <c r="FP91" s="323"/>
      <c r="FQ91" s="323"/>
      <c r="FR91" s="323"/>
      <c r="FS91" s="323"/>
      <c r="FT91" s="323"/>
      <c r="FU91" s="323"/>
      <c r="FV91" s="323"/>
      <c r="FW91" s="323"/>
      <c r="FX91" s="323"/>
    </row>
    <row r="92" ht="15.75" customHeight="1">
      <c r="A92" s="44">
        <v>87.0</v>
      </c>
      <c r="B92" s="27"/>
      <c r="C92" s="44"/>
      <c r="D92" s="44"/>
      <c r="E92" s="330"/>
      <c r="F92" s="47"/>
      <c r="G92" s="47"/>
      <c r="H92" s="47"/>
      <c r="I92" s="26"/>
      <c r="J92" s="323" t="str">
        <f t="shared" ref="J92:CM92" si="100">IF(AND($I92="Yes",J$2=$H92),"♦","")</f>
        <v/>
      </c>
      <c r="K92" s="323" t="str">
        <f t="shared" si="100"/>
        <v/>
      </c>
      <c r="L92" s="323" t="str">
        <f t="shared" si="100"/>
        <v/>
      </c>
      <c r="M92" s="323" t="str">
        <f t="shared" si="100"/>
        <v/>
      </c>
      <c r="N92" s="323" t="str">
        <f t="shared" si="100"/>
        <v/>
      </c>
      <c r="O92" s="323" t="str">
        <f t="shared" si="100"/>
        <v/>
      </c>
      <c r="P92" s="323" t="str">
        <f t="shared" si="100"/>
        <v/>
      </c>
      <c r="Q92" s="323" t="str">
        <f t="shared" si="100"/>
        <v/>
      </c>
      <c r="R92" s="323" t="str">
        <f t="shared" si="100"/>
        <v/>
      </c>
      <c r="S92" s="323" t="str">
        <f t="shared" si="100"/>
        <v/>
      </c>
      <c r="T92" s="323" t="str">
        <f t="shared" si="100"/>
        <v/>
      </c>
      <c r="U92" s="323" t="str">
        <f t="shared" si="100"/>
        <v/>
      </c>
      <c r="V92" s="323" t="str">
        <f t="shared" si="100"/>
        <v/>
      </c>
      <c r="W92" s="323" t="str">
        <f t="shared" si="100"/>
        <v/>
      </c>
      <c r="X92" s="323" t="str">
        <f t="shared" si="100"/>
        <v/>
      </c>
      <c r="Y92" s="323" t="str">
        <f t="shared" si="100"/>
        <v/>
      </c>
      <c r="Z92" s="323" t="str">
        <f t="shared" si="100"/>
        <v/>
      </c>
      <c r="AA92" s="323" t="str">
        <f t="shared" si="100"/>
        <v/>
      </c>
      <c r="AB92" s="323" t="str">
        <f t="shared" si="100"/>
        <v/>
      </c>
      <c r="AC92" s="323" t="str">
        <f t="shared" si="100"/>
        <v/>
      </c>
      <c r="AD92" s="323" t="str">
        <f t="shared" si="100"/>
        <v/>
      </c>
      <c r="AE92" s="323" t="str">
        <f t="shared" si="100"/>
        <v/>
      </c>
      <c r="AF92" s="323" t="str">
        <f t="shared" si="100"/>
        <v/>
      </c>
      <c r="AG92" s="323" t="str">
        <f t="shared" si="100"/>
        <v/>
      </c>
      <c r="AH92" s="323" t="str">
        <f t="shared" si="100"/>
        <v/>
      </c>
      <c r="AI92" s="323" t="str">
        <f t="shared" si="100"/>
        <v/>
      </c>
      <c r="AJ92" s="323" t="str">
        <f t="shared" si="100"/>
        <v/>
      </c>
      <c r="AK92" s="323" t="str">
        <f t="shared" si="100"/>
        <v/>
      </c>
      <c r="AL92" s="323" t="str">
        <f t="shared" si="100"/>
        <v/>
      </c>
      <c r="AM92" s="323" t="str">
        <f t="shared" si="100"/>
        <v/>
      </c>
      <c r="AN92" s="323" t="str">
        <f t="shared" si="100"/>
        <v/>
      </c>
      <c r="AO92" s="323" t="str">
        <f t="shared" si="100"/>
        <v/>
      </c>
      <c r="AP92" s="323" t="str">
        <f t="shared" si="100"/>
        <v/>
      </c>
      <c r="AQ92" s="323" t="str">
        <f t="shared" si="100"/>
        <v/>
      </c>
      <c r="AR92" s="323" t="str">
        <f t="shared" si="100"/>
        <v/>
      </c>
      <c r="AS92" s="323" t="str">
        <f t="shared" si="100"/>
        <v/>
      </c>
      <c r="AT92" s="323" t="str">
        <f t="shared" si="100"/>
        <v/>
      </c>
      <c r="AU92" s="323" t="str">
        <f t="shared" si="100"/>
        <v/>
      </c>
      <c r="AV92" s="323" t="str">
        <f t="shared" si="100"/>
        <v/>
      </c>
      <c r="AW92" s="323" t="str">
        <f t="shared" si="100"/>
        <v/>
      </c>
      <c r="AX92" s="323" t="str">
        <f t="shared" si="100"/>
        <v/>
      </c>
      <c r="AY92" s="323" t="str">
        <f t="shared" si="100"/>
        <v/>
      </c>
      <c r="AZ92" s="323" t="str">
        <f t="shared" si="100"/>
        <v/>
      </c>
      <c r="BA92" s="323" t="str">
        <f t="shared" si="100"/>
        <v/>
      </c>
      <c r="BB92" s="323" t="str">
        <f t="shared" si="100"/>
        <v/>
      </c>
      <c r="BC92" s="323" t="str">
        <f t="shared" si="100"/>
        <v/>
      </c>
      <c r="BD92" s="323" t="str">
        <f t="shared" si="100"/>
        <v/>
      </c>
      <c r="BE92" s="323" t="str">
        <f t="shared" si="100"/>
        <v/>
      </c>
      <c r="BF92" s="323" t="str">
        <f t="shared" si="100"/>
        <v/>
      </c>
      <c r="BG92" s="323" t="str">
        <f t="shared" si="100"/>
        <v/>
      </c>
      <c r="BH92" s="323" t="str">
        <f t="shared" si="100"/>
        <v/>
      </c>
      <c r="BI92" s="323" t="str">
        <f t="shared" si="100"/>
        <v/>
      </c>
      <c r="BJ92" s="323" t="str">
        <f t="shared" si="100"/>
        <v/>
      </c>
      <c r="BK92" s="323" t="str">
        <f t="shared" si="100"/>
        <v/>
      </c>
      <c r="BL92" s="323" t="str">
        <f t="shared" si="100"/>
        <v/>
      </c>
      <c r="BM92" s="323" t="str">
        <f t="shared" si="100"/>
        <v/>
      </c>
      <c r="BN92" s="323" t="str">
        <f t="shared" si="100"/>
        <v/>
      </c>
      <c r="BO92" s="323" t="str">
        <f t="shared" si="100"/>
        <v/>
      </c>
      <c r="BP92" s="323" t="str">
        <f t="shared" si="100"/>
        <v/>
      </c>
      <c r="BQ92" s="323" t="str">
        <f t="shared" si="100"/>
        <v/>
      </c>
      <c r="BR92" s="323" t="str">
        <f t="shared" si="100"/>
        <v/>
      </c>
      <c r="BS92" s="323" t="str">
        <f t="shared" si="100"/>
        <v/>
      </c>
      <c r="BT92" s="323" t="str">
        <f t="shared" si="100"/>
        <v/>
      </c>
      <c r="BU92" s="323" t="str">
        <f t="shared" si="100"/>
        <v/>
      </c>
      <c r="BV92" s="323" t="str">
        <f t="shared" si="100"/>
        <v/>
      </c>
      <c r="BW92" s="323" t="str">
        <f t="shared" si="100"/>
        <v/>
      </c>
      <c r="BX92" s="323" t="str">
        <f t="shared" si="100"/>
        <v/>
      </c>
      <c r="BY92" s="323" t="str">
        <f t="shared" si="100"/>
        <v/>
      </c>
      <c r="BZ92" s="323" t="str">
        <f t="shared" si="100"/>
        <v/>
      </c>
      <c r="CA92" s="323" t="str">
        <f t="shared" si="100"/>
        <v/>
      </c>
      <c r="CB92" s="323" t="str">
        <f t="shared" si="100"/>
        <v/>
      </c>
      <c r="CC92" s="323" t="str">
        <f t="shared" si="100"/>
        <v/>
      </c>
      <c r="CD92" s="323" t="str">
        <f t="shared" si="100"/>
        <v/>
      </c>
      <c r="CE92" s="323" t="str">
        <f t="shared" si="100"/>
        <v/>
      </c>
      <c r="CF92" s="323" t="str">
        <f t="shared" si="100"/>
        <v/>
      </c>
      <c r="CG92" s="323" t="str">
        <f t="shared" si="100"/>
        <v/>
      </c>
      <c r="CH92" s="323" t="str">
        <f t="shared" si="100"/>
        <v/>
      </c>
      <c r="CI92" s="323" t="str">
        <f t="shared" si="100"/>
        <v/>
      </c>
      <c r="CJ92" s="323" t="str">
        <f t="shared" si="100"/>
        <v/>
      </c>
      <c r="CK92" s="323" t="str">
        <f t="shared" si="100"/>
        <v/>
      </c>
      <c r="CL92" s="323" t="str">
        <f t="shared" si="100"/>
        <v/>
      </c>
      <c r="CM92" s="323" t="str">
        <f t="shared" si="100"/>
        <v/>
      </c>
      <c r="CN92" s="323"/>
      <c r="CO92" s="323"/>
      <c r="CP92" s="323" t="str">
        <f t="shared" si="16"/>
        <v/>
      </c>
      <c r="CQ92" s="323"/>
      <c r="CR92" s="323"/>
      <c r="CS92" s="323"/>
      <c r="CT92" s="323"/>
      <c r="CU92" s="323"/>
      <c r="CV92" s="323"/>
      <c r="CW92" s="323"/>
      <c r="CX92" s="323"/>
      <c r="CY92" s="323"/>
      <c r="CZ92" s="323"/>
      <c r="DA92" s="323"/>
      <c r="DB92" s="323"/>
      <c r="DC92" s="323"/>
      <c r="DD92" s="323"/>
      <c r="DE92" s="323"/>
      <c r="DF92" s="323"/>
      <c r="DG92" s="323"/>
      <c r="DH92" s="323"/>
      <c r="DI92" s="323"/>
      <c r="DJ92" s="323"/>
      <c r="DK92" s="323"/>
      <c r="DL92" s="323"/>
      <c r="DM92" s="323"/>
      <c r="DN92" s="323"/>
      <c r="DO92" s="323"/>
      <c r="DP92" s="323"/>
      <c r="DQ92" s="323"/>
      <c r="DR92" s="323"/>
      <c r="DS92" s="323"/>
      <c r="DT92" s="323"/>
      <c r="DU92" s="323"/>
      <c r="DV92" s="323"/>
      <c r="DW92" s="323"/>
      <c r="DX92" s="323"/>
      <c r="DY92" s="323"/>
      <c r="DZ92" s="323"/>
      <c r="EA92" s="323"/>
      <c r="EB92" s="323"/>
      <c r="EC92" s="323"/>
      <c r="ED92" s="323"/>
      <c r="EE92" s="323"/>
      <c r="EF92" s="323"/>
      <c r="EG92" s="323"/>
      <c r="EH92" s="323"/>
      <c r="EI92" s="323"/>
      <c r="EJ92" s="323"/>
      <c r="EK92" s="323"/>
      <c r="EL92" s="323"/>
      <c r="EM92" s="323"/>
      <c r="EN92" s="323"/>
      <c r="EO92" s="323"/>
      <c r="EP92" s="323"/>
      <c r="EQ92" s="323"/>
      <c r="ER92" s="323"/>
      <c r="ES92" s="323"/>
      <c r="ET92" s="323"/>
      <c r="EU92" s="323"/>
      <c r="EV92" s="323"/>
      <c r="EW92" s="323"/>
      <c r="EX92" s="323"/>
      <c r="EY92" s="323"/>
      <c r="EZ92" s="323"/>
      <c r="FA92" s="323"/>
      <c r="FB92" s="323"/>
      <c r="FC92" s="323"/>
      <c r="FD92" s="323"/>
      <c r="FE92" s="323"/>
      <c r="FF92" s="323"/>
      <c r="FG92" s="323"/>
      <c r="FH92" s="323"/>
      <c r="FI92" s="323"/>
      <c r="FJ92" s="323"/>
      <c r="FK92" s="323"/>
      <c r="FL92" s="323"/>
      <c r="FM92" s="323"/>
      <c r="FN92" s="323"/>
      <c r="FO92" s="323"/>
      <c r="FP92" s="323"/>
      <c r="FQ92" s="323"/>
      <c r="FR92" s="323"/>
      <c r="FS92" s="323"/>
      <c r="FT92" s="323"/>
      <c r="FU92" s="323"/>
      <c r="FV92" s="323"/>
      <c r="FW92" s="323"/>
      <c r="FX92" s="323"/>
    </row>
    <row r="93" ht="15.75" customHeight="1">
      <c r="A93" s="44">
        <v>88.0</v>
      </c>
      <c r="B93" s="27"/>
      <c r="C93" s="44"/>
      <c r="D93" s="44"/>
      <c r="E93" s="330"/>
      <c r="F93" s="47"/>
      <c r="G93" s="47"/>
      <c r="H93" s="47"/>
      <c r="I93" s="26"/>
      <c r="J93" s="323" t="str">
        <f t="shared" ref="J93:CM93" si="101">IF(AND($I93="Yes",J$2=$H93),"♦","")</f>
        <v/>
      </c>
      <c r="K93" s="323" t="str">
        <f t="shared" si="101"/>
        <v/>
      </c>
      <c r="L93" s="323" t="str">
        <f t="shared" si="101"/>
        <v/>
      </c>
      <c r="M93" s="323" t="str">
        <f t="shared" si="101"/>
        <v/>
      </c>
      <c r="N93" s="323" t="str">
        <f t="shared" si="101"/>
        <v/>
      </c>
      <c r="O93" s="323" t="str">
        <f t="shared" si="101"/>
        <v/>
      </c>
      <c r="P93" s="323" t="str">
        <f t="shared" si="101"/>
        <v/>
      </c>
      <c r="Q93" s="323" t="str">
        <f t="shared" si="101"/>
        <v/>
      </c>
      <c r="R93" s="323" t="str">
        <f t="shared" si="101"/>
        <v/>
      </c>
      <c r="S93" s="323" t="str">
        <f t="shared" si="101"/>
        <v/>
      </c>
      <c r="T93" s="323" t="str">
        <f t="shared" si="101"/>
        <v/>
      </c>
      <c r="U93" s="323" t="str">
        <f t="shared" si="101"/>
        <v/>
      </c>
      <c r="V93" s="323" t="str">
        <f t="shared" si="101"/>
        <v/>
      </c>
      <c r="W93" s="323" t="str">
        <f t="shared" si="101"/>
        <v/>
      </c>
      <c r="X93" s="323" t="str">
        <f t="shared" si="101"/>
        <v/>
      </c>
      <c r="Y93" s="323" t="str">
        <f t="shared" si="101"/>
        <v/>
      </c>
      <c r="Z93" s="323" t="str">
        <f t="shared" si="101"/>
        <v/>
      </c>
      <c r="AA93" s="323" t="str">
        <f t="shared" si="101"/>
        <v/>
      </c>
      <c r="AB93" s="323" t="str">
        <f t="shared" si="101"/>
        <v/>
      </c>
      <c r="AC93" s="323" t="str">
        <f t="shared" si="101"/>
        <v/>
      </c>
      <c r="AD93" s="323" t="str">
        <f t="shared" si="101"/>
        <v/>
      </c>
      <c r="AE93" s="323" t="str">
        <f t="shared" si="101"/>
        <v/>
      </c>
      <c r="AF93" s="323" t="str">
        <f t="shared" si="101"/>
        <v/>
      </c>
      <c r="AG93" s="323" t="str">
        <f t="shared" si="101"/>
        <v/>
      </c>
      <c r="AH93" s="323" t="str">
        <f t="shared" si="101"/>
        <v/>
      </c>
      <c r="AI93" s="323" t="str">
        <f t="shared" si="101"/>
        <v/>
      </c>
      <c r="AJ93" s="323" t="str">
        <f t="shared" si="101"/>
        <v/>
      </c>
      <c r="AK93" s="323" t="str">
        <f t="shared" si="101"/>
        <v/>
      </c>
      <c r="AL93" s="323" t="str">
        <f t="shared" si="101"/>
        <v/>
      </c>
      <c r="AM93" s="323" t="str">
        <f t="shared" si="101"/>
        <v/>
      </c>
      <c r="AN93" s="323" t="str">
        <f t="shared" si="101"/>
        <v/>
      </c>
      <c r="AO93" s="323" t="str">
        <f t="shared" si="101"/>
        <v/>
      </c>
      <c r="AP93" s="323" t="str">
        <f t="shared" si="101"/>
        <v/>
      </c>
      <c r="AQ93" s="323" t="str">
        <f t="shared" si="101"/>
        <v/>
      </c>
      <c r="AR93" s="323" t="str">
        <f t="shared" si="101"/>
        <v/>
      </c>
      <c r="AS93" s="323" t="str">
        <f t="shared" si="101"/>
        <v/>
      </c>
      <c r="AT93" s="323" t="str">
        <f t="shared" si="101"/>
        <v/>
      </c>
      <c r="AU93" s="323" t="str">
        <f t="shared" si="101"/>
        <v/>
      </c>
      <c r="AV93" s="323" t="str">
        <f t="shared" si="101"/>
        <v/>
      </c>
      <c r="AW93" s="323" t="str">
        <f t="shared" si="101"/>
        <v/>
      </c>
      <c r="AX93" s="323" t="str">
        <f t="shared" si="101"/>
        <v/>
      </c>
      <c r="AY93" s="323" t="str">
        <f t="shared" si="101"/>
        <v/>
      </c>
      <c r="AZ93" s="323" t="str">
        <f t="shared" si="101"/>
        <v/>
      </c>
      <c r="BA93" s="323" t="str">
        <f t="shared" si="101"/>
        <v/>
      </c>
      <c r="BB93" s="323" t="str">
        <f t="shared" si="101"/>
        <v/>
      </c>
      <c r="BC93" s="323" t="str">
        <f t="shared" si="101"/>
        <v/>
      </c>
      <c r="BD93" s="323" t="str">
        <f t="shared" si="101"/>
        <v/>
      </c>
      <c r="BE93" s="323" t="str">
        <f t="shared" si="101"/>
        <v/>
      </c>
      <c r="BF93" s="323" t="str">
        <f t="shared" si="101"/>
        <v/>
      </c>
      <c r="BG93" s="323" t="str">
        <f t="shared" si="101"/>
        <v/>
      </c>
      <c r="BH93" s="323" t="str">
        <f t="shared" si="101"/>
        <v/>
      </c>
      <c r="BI93" s="323" t="str">
        <f t="shared" si="101"/>
        <v/>
      </c>
      <c r="BJ93" s="323" t="str">
        <f t="shared" si="101"/>
        <v/>
      </c>
      <c r="BK93" s="323" t="str">
        <f t="shared" si="101"/>
        <v/>
      </c>
      <c r="BL93" s="323" t="str">
        <f t="shared" si="101"/>
        <v/>
      </c>
      <c r="BM93" s="323" t="str">
        <f t="shared" si="101"/>
        <v/>
      </c>
      <c r="BN93" s="323" t="str">
        <f t="shared" si="101"/>
        <v/>
      </c>
      <c r="BO93" s="323" t="str">
        <f t="shared" si="101"/>
        <v/>
      </c>
      <c r="BP93" s="323" t="str">
        <f t="shared" si="101"/>
        <v/>
      </c>
      <c r="BQ93" s="323" t="str">
        <f t="shared" si="101"/>
        <v/>
      </c>
      <c r="BR93" s="323" t="str">
        <f t="shared" si="101"/>
        <v/>
      </c>
      <c r="BS93" s="323" t="str">
        <f t="shared" si="101"/>
        <v/>
      </c>
      <c r="BT93" s="323" t="str">
        <f t="shared" si="101"/>
        <v/>
      </c>
      <c r="BU93" s="323" t="str">
        <f t="shared" si="101"/>
        <v/>
      </c>
      <c r="BV93" s="323" t="str">
        <f t="shared" si="101"/>
        <v/>
      </c>
      <c r="BW93" s="323" t="str">
        <f t="shared" si="101"/>
        <v/>
      </c>
      <c r="BX93" s="323" t="str">
        <f t="shared" si="101"/>
        <v/>
      </c>
      <c r="BY93" s="323" t="str">
        <f t="shared" si="101"/>
        <v/>
      </c>
      <c r="BZ93" s="323" t="str">
        <f t="shared" si="101"/>
        <v/>
      </c>
      <c r="CA93" s="323" t="str">
        <f t="shared" si="101"/>
        <v/>
      </c>
      <c r="CB93" s="323" t="str">
        <f t="shared" si="101"/>
        <v/>
      </c>
      <c r="CC93" s="323" t="str">
        <f t="shared" si="101"/>
        <v/>
      </c>
      <c r="CD93" s="323" t="str">
        <f t="shared" si="101"/>
        <v/>
      </c>
      <c r="CE93" s="323" t="str">
        <f t="shared" si="101"/>
        <v/>
      </c>
      <c r="CF93" s="323" t="str">
        <f t="shared" si="101"/>
        <v/>
      </c>
      <c r="CG93" s="323" t="str">
        <f t="shared" si="101"/>
        <v/>
      </c>
      <c r="CH93" s="323" t="str">
        <f t="shared" si="101"/>
        <v/>
      </c>
      <c r="CI93" s="323" t="str">
        <f t="shared" si="101"/>
        <v/>
      </c>
      <c r="CJ93" s="323" t="str">
        <f t="shared" si="101"/>
        <v/>
      </c>
      <c r="CK93" s="323" t="str">
        <f t="shared" si="101"/>
        <v/>
      </c>
      <c r="CL93" s="323" t="str">
        <f t="shared" si="101"/>
        <v/>
      </c>
      <c r="CM93" s="323" t="str">
        <f t="shared" si="101"/>
        <v/>
      </c>
      <c r="CN93" s="323"/>
      <c r="CO93" s="323"/>
      <c r="CP93" s="323" t="str">
        <f t="shared" si="16"/>
        <v/>
      </c>
      <c r="CQ93" s="323"/>
      <c r="CR93" s="323"/>
      <c r="CS93" s="323"/>
      <c r="CT93" s="323"/>
      <c r="CU93" s="323"/>
      <c r="CV93" s="323"/>
      <c r="CW93" s="323"/>
      <c r="CX93" s="323"/>
      <c r="CY93" s="323"/>
      <c r="CZ93" s="323"/>
      <c r="DA93" s="323"/>
      <c r="DB93" s="323"/>
      <c r="DC93" s="323"/>
      <c r="DD93" s="323"/>
      <c r="DE93" s="323"/>
      <c r="DF93" s="323"/>
      <c r="DG93" s="323"/>
      <c r="DH93" s="323"/>
      <c r="DI93" s="323"/>
      <c r="DJ93" s="323"/>
      <c r="DK93" s="323"/>
      <c r="DL93" s="323"/>
      <c r="DM93" s="323"/>
      <c r="DN93" s="323"/>
      <c r="DO93" s="323"/>
      <c r="DP93" s="323"/>
      <c r="DQ93" s="323"/>
      <c r="DR93" s="323"/>
      <c r="DS93" s="323"/>
      <c r="DT93" s="323"/>
      <c r="DU93" s="323"/>
      <c r="DV93" s="323"/>
      <c r="DW93" s="323"/>
      <c r="DX93" s="323"/>
      <c r="DY93" s="323"/>
      <c r="DZ93" s="323"/>
      <c r="EA93" s="323"/>
      <c r="EB93" s="323"/>
      <c r="EC93" s="323"/>
      <c r="ED93" s="323"/>
      <c r="EE93" s="323"/>
      <c r="EF93" s="323"/>
      <c r="EG93" s="323"/>
      <c r="EH93" s="323"/>
      <c r="EI93" s="323"/>
      <c r="EJ93" s="323"/>
      <c r="EK93" s="323"/>
      <c r="EL93" s="323"/>
      <c r="EM93" s="323"/>
      <c r="EN93" s="323"/>
      <c r="EO93" s="323"/>
      <c r="EP93" s="323"/>
      <c r="EQ93" s="323"/>
      <c r="ER93" s="323"/>
      <c r="ES93" s="323"/>
      <c r="ET93" s="323"/>
      <c r="EU93" s="323"/>
      <c r="EV93" s="323"/>
      <c r="EW93" s="323"/>
      <c r="EX93" s="323"/>
      <c r="EY93" s="323"/>
      <c r="EZ93" s="323"/>
      <c r="FA93" s="323"/>
      <c r="FB93" s="323"/>
      <c r="FC93" s="323"/>
      <c r="FD93" s="323"/>
      <c r="FE93" s="323"/>
      <c r="FF93" s="323"/>
      <c r="FG93" s="323"/>
      <c r="FH93" s="323"/>
      <c r="FI93" s="323"/>
      <c r="FJ93" s="323"/>
      <c r="FK93" s="323"/>
      <c r="FL93" s="323"/>
      <c r="FM93" s="323"/>
      <c r="FN93" s="323"/>
      <c r="FO93" s="323"/>
      <c r="FP93" s="323"/>
      <c r="FQ93" s="323"/>
      <c r="FR93" s="323"/>
      <c r="FS93" s="323"/>
      <c r="FT93" s="323"/>
      <c r="FU93" s="323"/>
      <c r="FV93" s="323"/>
      <c r="FW93" s="323"/>
      <c r="FX93" s="323"/>
    </row>
    <row r="94" ht="15.75" customHeight="1">
      <c r="A94" s="44">
        <v>89.0</v>
      </c>
      <c r="B94" s="27"/>
      <c r="C94" s="44"/>
      <c r="D94" s="44"/>
      <c r="E94" s="330"/>
      <c r="F94" s="47"/>
      <c r="G94" s="47"/>
      <c r="H94" s="47"/>
      <c r="I94" s="26"/>
      <c r="J94" s="323" t="str">
        <f t="shared" ref="J94:CM94" si="102">IF(AND($I94="Yes",J$2=$H94),"♦","")</f>
        <v/>
      </c>
      <c r="K94" s="323" t="str">
        <f t="shared" si="102"/>
        <v/>
      </c>
      <c r="L94" s="323" t="str">
        <f t="shared" si="102"/>
        <v/>
      </c>
      <c r="M94" s="323" t="str">
        <f t="shared" si="102"/>
        <v/>
      </c>
      <c r="N94" s="323" t="str">
        <f t="shared" si="102"/>
        <v/>
      </c>
      <c r="O94" s="323" t="str">
        <f t="shared" si="102"/>
        <v/>
      </c>
      <c r="P94" s="323" t="str">
        <f t="shared" si="102"/>
        <v/>
      </c>
      <c r="Q94" s="323" t="str">
        <f t="shared" si="102"/>
        <v/>
      </c>
      <c r="R94" s="323" t="str">
        <f t="shared" si="102"/>
        <v/>
      </c>
      <c r="S94" s="323" t="str">
        <f t="shared" si="102"/>
        <v/>
      </c>
      <c r="T94" s="323" t="str">
        <f t="shared" si="102"/>
        <v/>
      </c>
      <c r="U94" s="323" t="str">
        <f t="shared" si="102"/>
        <v/>
      </c>
      <c r="V94" s="323" t="str">
        <f t="shared" si="102"/>
        <v/>
      </c>
      <c r="W94" s="323" t="str">
        <f t="shared" si="102"/>
        <v/>
      </c>
      <c r="X94" s="323" t="str">
        <f t="shared" si="102"/>
        <v/>
      </c>
      <c r="Y94" s="323" t="str">
        <f t="shared" si="102"/>
        <v/>
      </c>
      <c r="Z94" s="323" t="str">
        <f t="shared" si="102"/>
        <v/>
      </c>
      <c r="AA94" s="323" t="str">
        <f t="shared" si="102"/>
        <v/>
      </c>
      <c r="AB94" s="323" t="str">
        <f t="shared" si="102"/>
        <v/>
      </c>
      <c r="AC94" s="323" t="str">
        <f t="shared" si="102"/>
        <v/>
      </c>
      <c r="AD94" s="323" t="str">
        <f t="shared" si="102"/>
        <v/>
      </c>
      <c r="AE94" s="323" t="str">
        <f t="shared" si="102"/>
        <v/>
      </c>
      <c r="AF94" s="323" t="str">
        <f t="shared" si="102"/>
        <v/>
      </c>
      <c r="AG94" s="323" t="str">
        <f t="shared" si="102"/>
        <v/>
      </c>
      <c r="AH94" s="323" t="str">
        <f t="shared" si="102"/>
        <v/>
      </c>
      <c r="AI94" s="323" t="str">
        <f t="shared" si="102"/>
        <v/>
      </c>
      <c r="AJ94" s="323" t="str">
        <f t="shared" si="102"/>
        <v/>
      </c>
      <c r="AK94" s="323" t="str">
        <f t="shared" si="102"/>
        <v/>
      </c>
      <c r="AL94" s="323" t="str">
        <f t="shared" si="102"/>
        <v/>
      </c>
      <c r="AM94" s="323" t="str">
        <f t="shared" si="102"/>
        <v/>
      </c>
      <c r="AN94" s="323" t="str">
        <f t="shared" si="102"/>
        <v/>
      </c>
      <c r="AO94" s="323" t="str">
        <f t="shared" si="102"/>
        <v/>
      </c>
      <c r="AP94" s="323" t="str">
        <f t="shared" si="102"/>
        <v/>
      </c>
      <c r="AQ94" s="323" t="str">
        <f t="shared" si="102"/>
        <v/>
      </c>
      <c r="AR94" s="323" t="str">
        <f t="shared" si="102"/>
        <v/>
      </c>
      <c r="AS94" s="323" t="str">
        <f t="shared" si="102"/>
        <v/>
      </c>
      <c r="AT94" s="323" t="str">
        <f t="shared" si="102"/>
        <v/>
      </c>
      <c r="AU94" s="323" t="str">
        <f t="shared" si="102"/>
        <v/>
      </c>
      <c r="AV94" s="323" t="str">
        <f t="shared" si="102"/>
        <v/>
      </c>
      <c r="AW94" s="323" t="str">
        <f t="shared" si="102"/>
        <v/>
      </c>
      <c r="AX94" s="323" t="str">
        <f t="shared" si="102"/>
        <v/>
      </c>
      <c r="AY94" s="323" t="str">
        <f t="shared" si="102"/>
        <v/>
      </c>
      <c r="AZ94" s="323" t="str">
        <f t="shared" si="102"/>
        <v/>
      </c>
      <c r="BA94" s="323" t="str">
        <f t="shared" si="102"/>
        <v/>
      </c>
      <c r="BB94" s="323" t="str">
        <f t="shared" si="102"/>
        <v/>
      </c>
      <c r="BC94" s="323" t="str">
        <f t="shared" si="102"/>
        <v/>
      </c>
      <c r="BD94" s="323" t="str">
        <f t="shared" si="102"/>
        <v/>
      </c>
      <c r="BE94" s="323" t="str">
        <f t="shared" si="102"/>
        <v/>
      </c>
      <c r="BF94" s="323" t="str">
        <f t="shared" si="102"/>
        <v/>
      </c>
      <c r="BG94" s="323" t="str">
        <f t="shared" si="102"/>
        <v/>
      </c>
      <c r="BH94" s="323" t="str">
        <f t="shared" si="102"/>
        <v/>
      </c>
      <c r="BI94" s="323" t="str">
        <f t="shared" si="102"/>
        <v/>
      </c>
      <c r="BJ94" s="323" t="str">
        <f t="shared" si="102"/>
        <v/>
      </c>
      <c r="BK94" s="323" t="str">
        <f t="shared" si="102"/>
        <v/>
      </c>
      <c r="BL94" s="323" t="str">
        <f t="shared" si="102"/>
        <v/>
      </c>
      <c r="BM94" s="323" t="str">
        <f t="shared" si="102"/>
        <v/>
      </c>
      <c r="BN94" s="323" t="str">
        <f t="shared" si="102"/>
        <v/>
      </c>
      <c r="BO94" s="323" t="str">
        <f t="shared" si="102"/>
        <v/>
      </c>
      <c r="BP94" s="323" t="str">
        <f t="shared" si="102"/>
        <v/>
      </c>
      <c r="BQ94" s="323" t="str">
        <f t="shared" si="102"/>
        <v/>
      </c>
      <c r="BR94" s="323" t="str">
        <f t="shared" si="102"/>
        <v/>
      </c>
      <c r="BS94" s="323" t="str">
        <f t="shared" si="102"/>
        <v/>
      </c>
      <c r="BT94" s="323" t="str">
        <f t="shared" si="102"/>
        <v/>
      </c>
      <c r="BU94" s="323" t="str">
        <f t="shared" si="102"/>
        <v/>
      </c>
      <c r="BV94" s="323" t="str">
        <f t="shared" si="102"/>
        <v/>
      </c>
      <c r="BW94" s="323" t="str">
        <f t="shared" si="102"/>
        <v/>
      </c>
      <c r="BX94" s="323" t="str">
        <f t="shared" si="102"/>
        <v/>
      </c>
      <c r="BY94" s="323" t="str">
        <f t="shared" si="102"/>
        <v/>
      </c>
      <c r="BZ94" s="323" t="str">
        <f t="shared" si="102"/>
        <v/>
      </c>
      <c r="CA94" s="323" t="str">
        <f t="shared" si="102"/>
        <v/>
      </c>
      <c r="CB94" s="323" t="str">
        <f t="shared" si="102"/>
        <v/>
      </c>
      <c r="CC94" s="323" t="str">
        <f t="shared" si="102"/>
        <v/>
      </c>
      <c r="CD94" s="323" t="str">
        <f t="shared" si="102"/>
        <v/>
      </c>
      <c r="CE94" s="323" t="str">
        <f t="shared" si="102"/>
        <v/>
      </c>
      <c r="CF94" s="323" t="str">
        <f t="shared" si="102"/>
        <v/>
      </c>
      <c r="CG94" s="323" t="str">
        <f t="shared" si="102"/>
        <v/>
      </c>
      <c r="CH94" s="323" t="str">
        <f t="shared" si="102"/>
        <v/>
      </c>
      <c r="CI94" s="323" t="str">
        <f t="shared" si="102"/>
        <v/>
      </c>
      <c r="CJ94" s="323" t="str">
        <f t="shared" si="102"/>
        <v/>
      </c>
      <c r="CK94" s="323" t="str">
        <f t="shared" si="102"/>
        <v/>
      </c>
      <c r="CL94" s="323" t="str">
        <f t="shared" si="102"/>
        <v/>
      </c>
      <c r="CM94" s="323" t="str">
        <f t="shared" si="102"/>
        <v/>
      </c>
      <c r="CN94" s="323"/>
      <c r="CO94" s="323"/>
      <c r="CP94" s="323" t="str">
        <f t="shared" si="16"/>
        <v/>
      </c>
      <c r="CQ94" s="323"/>
      <c r="CR94" s="323"/>
      <c r="CS94" s="323"/>
      <c r="CT94" s="323"/>
      <c r="CU94" s="323"/>
      <c r="CV94" s="323"/>
      <c r="CW94" s="323"/>
      <c r="CX94" s="323"/>
      <c r="CY94" s="323"/>
      <c r="CZ94" s="323"/>
      <c r="DA94" s="323"/>
      <c r="DB94" s="323"/>
      <c r="DC94" s="323"/>
      <c r="DD94" s="323"/>
      <c r="DE94" s="323"/>
      <c r="DF94" s="323"/>
      <c r="DG94" s="323"/>
      <c r="DH94" s="323"/>
      <c r="DI94" s="323"/>
      <c r="DJ94" s="323"/>
      <c r="DK94" s="323"/>
      <c r="DL94" s="323"/>
      <c r="DM94" s="323"/>
      <c r="DN94" s="323"/>
      <c r="DO94" s="323"/>
      <c r="DP94" s="323"/>
      <c r="DQ94" s="323"/>
      <c r="DR94" s="323"/>
      <c r="DS94" s="323"/>
      <c r="DT94" s="323"/>
      <c r="DU94" s="323"/>
      <c r="DV94" s="323"/>
      <c r="DW94" s="323"/>
      <c r="DX94" s="323"/>
      <c r="DY94" s="323"/>
      <c r="DZ94" s="323"/>
      <c r="EA94" s="323"/>
      <c r="EB94" s="323"/>
      <c r="EC94" s="323"/>
      <c r="ED94" s="323"/>
      <c r="EE94" s="323"/>
      <c r="EF94" s="323"/>
      <c r="EG94" s="323"/>
      <c r="EH94" s="323"/>
      <c r="EI94" s="323"/>
      <c r="EJ94" s="323"/>
      <c r="EK94" s="323"/>
      <c r="EL94" s="323"/>
      <c r="EM94" s="323"/>
      <c r="EN94" s="323"/>
      <c r="EO94" s="323"/>
      <c r="EP94" s="323"/>
      <c r="EQ94" s="323"/>
      <c r="ER94" s="323"/>
      <c r="ES94" s="323"/>
      <c r="ET94" s="323"/>
      <c r="EU94" s="323"/>
      <c r="EV94" s="323"/>
      <c r="EW94" s="323"/>
      <c r="EX94" s="323"/>
      <c r="EY94" s="323"/>
      <c r="EZ94" s="323"/>
      <c r="FA94" s="323"/>
      <c r="FB94" s="323"/>
      <c r="FC94" s="323"/>
      <c r="FD94" s="323"/>
      <c r="FE94" s="323"/>
      <c r="FF94" s="323"/>
      <c r="FG94" s="323"/>
      <c r="FH94" s="323"/>
      <c r="FI94" s="323"/>
      <c r="FJ94" s="323"/>
      <c r="FK94" s="323"/>
      <c r="FL94" s="323"/>
      <c r="FM94" s="323"/>
      <c r="FN94" s="323"/>
      <c r="FO94" s="323"/>
      <c r="FP94" s="323"/>
      <c r="FQ94" s="323"/>
      <c r="FR94" s="323"/>
      <c r="FS94" s="323"/>
      <c r="FT94" s="323"/>
      <c r="FU94" s="323"/>
      <c r="FV94" s="323"/>
      <c r="FW94" s="323"/>
      <c r="FX94" s="323"/>
    </row>
    <row r="95" ht="15.75" customHeight="1">
      <c r="A95" s="44">
        <v>90.0</v>
      </c>
      <c r="B95" s="27"/>
      <c r="C95" s="44"/>
      <c r="D95" s="44"/>
      <c r="E95" s="330"/>
      <c r="F95" s="47"/>
      <c r="G95" s="47"/>
      <c r="H95" s="47"/>
      <c r="I95" s="26"/>
      <c r="J95" s="323" t="str">
        <f t="shared" ref="J95:CM95" si="103">IF(AND($I95="Yes",J$2=$H95),"♦","")</f>
        <v/>
      </c>
      <c r="K95" s="323" t="str">
        <f t="shared" si="103"/>
        <v/>
      </c>
      <c r="L95" s="323" t="str">
        <f t="shared" si="103"/>
        <v/>
      </c>
      <c r="M95" s="323" t="str">
        <f t="shared" si="103"/>
        <v/>
      </c>
      <c r="N95" s="323" t="str">
        <f t="shared" si="103"/>
        <v/>
      </c>
      <c r="O95" s="323" t="str">
        <f t="shared" si="103"/>
        <v/>
      </c>
      <c r="P95" s="323" t="str">
        <f t="shared" si="103"/>
        <v/>
      </c>
      <c r="Q95" s="323" t="str">
        <f t="shared" si="103"/>
        <v/>
      </c>
      <c r="R95" s="323" t="str">
        <f t="shared" si="103"/>
        <v/>
      </c>
      <c r="S95" s="323" t="str">
        <f t="shared" si="103"/>
        <v/>
      </c>
      <c r="T95" s="323" t="str">
        <f t="shared" si="103"/>
        <v/>
      </c>
      <c r="U95" s="323" t="str">
        <f t="shared" si="103"/>
        <v/>
      </c>
      <c r="V95" s="323" t="str">
        <f t="shared" si="103"/>
        <v/>
      </c>
      <c r="W95" s="323" t="str">
        <f t="shared" si="103"/>
        <v/>
      </c>
      <c r="X95" s="323" t="str">
        <f t="shared" si="103"/>
        <v/>
      </c>
      <c r="Y95" s="323" t="str">
        <f t="shared" si="103"/>
        <v/>
      </c>
      <c r="Z95" s="323" t="str">
        <f t="shared" si="103"/>
        <v/>
      </c>
      <c r="AA95" s="323" t="str">
        <f t="shared" si="103"/>
        <v/>
      </c>
      <c r="AB95" s="323" t="str">
        <f t="shared" si="103"/>
        <v/>
      </c>
      <c r="AC95" s="323" t="str">
        <f t="shared" si="103"/>
        <v/>
      </c>
      <c r="AD95" s="323" t="str">
        <f t="shared" si="103"/>
        <v/>
      </c>
      <c r="AE95" s="323" t="str">
        <f t="shared" si="103"/>
        <v/>
      </c>
      <c r="AF95" s="323" t="str">
        <f t="shared" si="103"/>
        <v/>
      </c>
      <c r="AG95" s="323" t="str">
        <f t="shared" si="103"/>
        <v/>
      </c>
      <c r="AH95" s="323" t="str">
        <f t="shared" si="103"/>
        <v/>
      </c>
      <c r="AI95" s="323" t="str">
        <f t="shared" si="103"/>
        <v/>
      </c>
      <c r="AJ95" s="323" t="str">
        <f t="shared" si="103"/>
        <v/>
      </c>
      <c r="AK95" s="323" t="str">
        <f t="shared" si="103"/>
        <v/>
      </c>
      <c r="AL95" s="323" t="str">
        <f t="shared" si="103"/>
        <v/>
      </c>
      <c r="AM95" s="323" t="str">
        <f t="shared" si="103"/>
        <v/>
      </c>
      <c r="AN95" s="323" t="str">
        <f t="shared" si="103"/>
        <v/>
      </c>
      <c r="AO95" s="323" t="str">
        <f t="shared" si="103"/>
        <v/>
      </c>
      <c r="AP95" s="323" t="str">
        <f t="shared" si="103"/>
        <v/>
      </c>
      <c r="AQ95" s="323" t="str">
        <f t="shared" si="103"/>
        <v/>
      </c>
      <c r="AR95" s="323" t="str">
        <f t="shared" si="103"/>
        <v/>
      </c>
      <c r="AS95" s="323" t="str">
        <f t="shared" si="103"/>
        <v/>
      </c>
      <c r="AT95" s="323" t="str">
        <f t="shared" si="103"/>
        <v/>
      </c>
      <c r="AU95" s="323" t="str">
        <f t="shared" si="103"/>
        <v/>
      </c>
      <c r="AV95" s="323" t="str">
        <f t="shared" si="103"/>
        <v/>
      </c>
      <c r="AW95" s="323" t="str">
        <f t="shared" si="103"/>
        <v/>
      </c>
      <c r="AX95" s="323" t="str">
        <f t="shared" si="103"/>
        <v/>
      </c>
      <c r="AY95" s="323" t="str">
        <f t="shared" si="103"/>
        <v/>
      </c>
      <c r="AZ95" s="323" t="str">
        <f t="shared" si="103"/>
        <v/>
      </c>
      <c r="BA95" s="323" t="str">
        <f t="shared" si="103"/>
        <v/>
      </c>
      <c r="BB95" s="323" t="str">
        <f t="shared" si="103"/>
        <v/>
      </c>
      <c r="BC95" s="323" t="str">
        <f t="shared" si="103"/>
        <v/>
      </c>
      <c r="BD95" s="323" t="str">
        <f t="shared" si="103"/>
        <v/>
      </c>
      <c r="BE95" s="323" t="str">
        <f t="shared" si="103"/>
        <v/>
      </c>
      <c r="BF95" s="323" t="str">
        <f t="shared" si="103"/>
        <v/>
      </c>
      <c r="BG95" s="323" t="str">
        <f t="shared" si="103"/>
        <v/>
      </c>
      <c r="BH95" s="323" t="str">
        <f t="shared" si="103"/>
        <v/>
      </c>
      <c r="BI95" s="323" t="str">
        <f t="shared" si="103"/>
        <v/>
      </c>
      <c r="BJ95" s="323" t="str">
        <f t="shared" si="103"/>
        <v/>
      </c>
      <c r="BK95" s="323" t="str">
        <f t="shared" si="103"/>
        <v/>
      </c>
      <c r="BL95" s="323" t="str">
        <f t="shared" si="103"/>
        <v/>
      </c>
      <c r="BM95" s="323" t="str">
        <f t="shared" si="103"/>
        <v/>
      </c>
      <c r="BN95" s="323" t="str">
        <f t="shared" si="103"/>
        <v/>
      </c>
      <c r="BO95" s="323" t="str">
        <f t="shared" si="103"/>
        <v/>
      </c>
      <c r="BP95" s="323" t="str">
        <f t="shared" si="103"/>
        <v/>
      </c>
      <c r="BQ95" s="323" t="str">
        <f t="shared" si="103"/>
        <v/>
      </c>
      <c r="BR95" s="323" t="str">
        <f t="shared" si="103"/>
        <v/>
      </c>
      <c r="BS95" s="323" t="str">
        <f t="shared" si="103"/>
        <v/>
      </c>
      <c r="BT95" s="323" t="str">
        <f t="shared" si="103"/>
        <v/>
      </c>
      <c r="BU95" s="323" t="str">
        <f t="shared" si="103"/>
        <v/>
      </c>
      <c r="BV95" s="323" t="str">
        <f t="shared" si="103"/>
        <v/>
      </c>
      <c r="BW95" s="323" t="str">
        <f t="shared" si="103"/>
        <v/>
      </c>
      <c r="BX95" s="323" t="str">
        <f t="shared" si="103"/>
        <v/>
      </c>
      <c r="BY95" s="323" t="str">
        <f t="shared" si="103"/>
        <v/>
      </c>
      <c r="BZ95" s="323" t="str">
        <f t="shared" si="103"/>
        <v/>
      </c>
      <c r="CA95" s="323" t="str">
        <f t="shared" si="103"/>
        <v/>
      </c>
      <c r="CB95" s="323" t="str">
        <f t="shared" si="103"/>
        <v/>
      </c>
      <c r="CC95" s="323" t="str">
        <f t="shared" si="103"/>
        <v/>
      </c>
      <c r="CD95" s="323" t="str">
        <f t="shared" si="103"/>
        <v/>
      </c>
      <c r="CE95" s="323" t="str">
        <f t="shared" si="103"/>
        <v/>
      </c>
      <c r="CF95" s="323" t="str">
        <f t="shared" si="103"/>
        <v/>
      </c>
      <c r="CG95" s="323" t="str">
        <f t="shared" si="103"/>
        <v/>
      </c>
      <c r="CH95" s="323" t="str">
        <f t="shared" si="103"/>
        <v/>
      </c>
      <c r="CI95" s="323" t="str">
        <f t="shared" si="103"/>
        <v/>
      </c>
      <c r="CJ95" s="323" t="str">
        <f t="shared" si="103"/>
        <v/>
      </c>
      <c r="CK95" s="323" t="str">
        <f t="shared" si="103"/>
        <v/>
      </c>
      <c r="CL95" s="323" t="str">
        <f t="shared" si="103"/>
        <v/>
      </c>
      <c r="CM95" s="323" t="str">
        <f t="shared" si="103"/>
        <v/>
      </c>
      <c r="CN95" s="323"/>
      <c r="CO95" s="323"/>
      <c r="CP95" s="323" t="str">
        <f t="shared" si="16"/>
        <v/>
      </c>
      <c r="CQ95" s="323"/>
      <c r="CR95" s="323"/>
      <c r="CS95" s="323"/>
      <c r="CT95" s="323"/>
      <c r="CU95" s="323"/>
      <c r="CV95" s="323"/>
      <c r="CW95" s="323"/>
      <c r="CX95" s="323"/>
      <c r="CY95" s="323"/>
      <c r="CZ95" s="323"/>
      <c r="DA95" s="323"/>
      <c r="DB95" s="323"/>
      <c r="DC95" s="323"/>
      <c r="DD95" s="323"/>
      <c r="DE95" s="323"/>
      <c r="DF95" s="323"/>
      <c r="DG95" s="323"/>
      <c r="DH95" s="323"/>
      <c r="DI95" s="323"/>
      <c r="DJ95" s="323"/>
      <c r="DK95" s="323"/>
      <c r="DL95" s="323"/>
      <c r="DM95" s="323"/>
      <c r="DN95" s="323"/>
      <c r="DO95" s="323"/>
      <c r="DP95" s="323"/>
      <c r="DQ95" s="323"/>
      <c r="DR95" s="323"/>
      <c r="DS95" s="323"/>
      <c r="DT95" s="323"/>
      <c r="DU95" s="323"/>
      <c r="DV95" s="323"/>
      <c r="DW95" s="323"/>
      <c r="DX95" s="323"/>
      <c r="DY95" s="323"/>
      <c r="DZ95" s="323"/>
      <c r="EA95" s="323"/>
      <c r="EB95" s="323"/>
      <c r="EC95" s="323"/>
      <c r="ED95" s="323"/>
      <c r="EE95" s="323"/>
      <c r="EF95" s="323"/>
      <c r="EG95" s="323"/>
      <c r="EH95" s="323"/>
      <c r="EI95" s="323"/>
      <c r="EJ95" s="323"/>
      <c r="EK95" s="323"/>
      <c r="EL95" s="323"/>
      <c r="EM95" s="323"/>
      <c r="EN95" s="323"/>
      <c r="EO95" s="323"/>
      <c r="EP95" s="323"/>
      <c r="EQ95" s="323"/>
      <c r="ER95" s="323"/>
      <c r="ES95" s="323"/>
      <c r="ET95" s="323"/>
      <c r="EU95" s="323"/>
      <c r="EV95" s="323"/>
      <c r="EW95" s="323"/>
      <c r="EX95" s="323"/>
      <c r="EY95" s="323"/>
      <c r="EZ95" s="323"/>
      <c r="FA95" s="323"/>
      <c r="FB95" s="323"/>
      <c r="FC95" s="323"/>
      <c r="FD95" s="323"/>
      <c r="FE95" s="323"/>
      <c r="FF95" s="323"/>
      <c r="FG95" s="323"/>
      <c r="FH95" s="323"/>
      <c r="FI95" s="323"/>
      <c r="FJ95" s="323"/>
      <c r="FK95" s="323"/>
      <c r="FL95" s="323"/>
      <c r="FM95" s="323"/>
      <c r="FN95" s="323"/>
      <c r="FO95" s="323"/>
      <c r="FP95" s="323"/>
      <c r="FQ95" s="323"/>
      <c r="FR95" s="323"/>
      <c r="FS95" s="323"/>
      <c r="FT95" s="323"/>
      <c r="FU95" s="323"/>
      <c r="FV95" s="323"/>
      <c r="FW95" s="323"/>
      <c r="FX95" s="323"/>
    </row>
    <row r="96" ht="15.75" customHeight="1">
      <c r="A96" s="44">
        <v>91.0</v>
      </c>
      <c r="B96" s="27"/>
      <c r="C96" s="44"/>
      <c r="D96" s="44"/>
      <c r="E96" s="330"/>
      <c r="F96" s="47"/>
      <c r="G96" s="47"/>
      <c r="H96" s="47"/>
      <c r="I96" s="26"/>
      <c r="J96" s="323" t="str">
        <f t="shared" ref="J96:CM96" si="104">IF(AND($I96="Yes",J$2=$H96),"♦","")</f>
        <v/>
      </c>
      <c r="K96" s="323" t="str">
        <f t="shared" si="104"/>
        <v/>
      </c>
      <c r="L96" s="323" t="str">
        <f t="shared" si="104"/>
        <v/>
      </c>
      <c r="M96" s="323" t="str">
        <f t="shared" si="104"/>
        <v/>
      </c>
      <c r="N96" s="323" t="str">
        <f t="shared" si="104"/>
        <v/>
      </c>
      <c r="O96" s="323" t="str">
        <f t="shared" si="104"/>
        <v/>
      </c>
      <c r="P96" s="323" t="str">
        <f t="shared" si="104"/>
        <v/>
      </c>
      <c r="Q96" s="323" t="str">
        <f t="shared" si="104"/>
        <v/>
      </c>
      <c r="R96" s="323" t="str">
        <f t="shared" si="104"/>
        <v/>
      </c>
      <c r="S96" s="323" t="str">
        <f t="shared" si="104"/>
        <v/>
      </c>
      <c r="T96" s="323" t="str">
        <f t="shared" si="104"/>
        <v/>
      </c>
      <c r="U96" s="323" t="str">
        <f t="shared" si="104"/>
        <v/>
      </c>
      <c r="V96" s="323" t="str">
        <f t="shared" si="104"/>
        <v/>
      </c>
      <c r="W96" s="323" t="str">
        <f t="shared" si="104"/>
        <v/>
      </c>
      <c r="X96" s="323" t="str">
        <f t="shared" si="104"/>
        <v/>
      </c>
      <c r="Y96" s="323" t="str">
        <f t="shared" si="104"/>
        <v/>
      </c>
      <c r="Z96" s="323" t="str">
        <f t="shared" si="104"/>
        <v/>
      </c>
      <c r="AA96" s="323" t="str">
        <f t="shared" si="104"/>
        <v/>
      </c>
      <c r="AB96" s="323" t="str">
        <f t="shared" si="104"/>
        <v/>
      </c>
      <c r="AC96" s="323" t="str">
        <f t="shared" si="104"/>
        <v/>
      </c>
      <c r="AD96" s="323" t="str">
        <f t="shared" si="104"/>
        <v/>
      </c>
      <c r="AE96" s="323" t="str">
        <f t="shared" si="104"/>
        <v/>
      </c>
      <c r="AF96" s="323" t="str">
        <f t="shared" si="104"/>
        <v/>
      </c>
      <c r="AG96" s="323" t="str">
        <f t="shared" si="104"/>
        <v/>
      </c>
      <c r="AH96" s="323" t="str">
        <f t="shared" si="104"/>
        <v/>
      </c>
      <c r="AI96" s="323" t="str">
        <f t="shared" si="104"/>
        <v/>
      </c>
      <c r="AJ96" s="323" t="str">
        <f t="shared" si="104"/>
        <v/>
      </c>
      <c r="AK96" s="323" t="str">
        <f t="shared" si="104"/>
        <v/>
      </c>
      <c r="AL96" s="323" t="str">
        <f t="shared" si="104"/>
        <v/>
      </c>
      <c r="AM96" s="323" t="str">
        <f t="shared" si="104"/>
        <v/>
      </c>
      <c r="AN96" s="323" t="str">
        <f t="shared" si="104"/>
        <v/>
      </c>
      <c r="AO96" s="323" t="str">
        <f t="shared" si="104"/>
        <v/>
      </c>
      <c r="AP96" s="323" t="str">
        <f t="shared" si="104"/>
        <v/>
      </c>
      <c r="AQ96" s="323" t="str">
        <f t="shared" si="104"/>
        <v/>
      </c>
      <c r="AR96" s="323" t="str">
        <f t="shared" si="104"/>
        <v/>
      </c>
      <c r="AS96" s="323" t="str">
        <f t="shared" si="104"/>
        <v/>
      </c>
      <c r="AT96" s="323" t="str">
        <f t="shared" si="104"/>
        <v/>
      </c>
      <c r="AU96" s="323" t="str">
        <f t="shared" si="104"/>
        <v/>
      </c>
      <c r="AV96" s="323" t="str">
        <f t="shared" si="104"/>
        <v/>
      </c>
      <c r="AW96" s="323" t="str">
        <f t="shared" si="104"/>
        <v/>
      </c>
      <c r="AX96" s="323" t="str">
        <f t="shared" si="104"/>
        <v/>
      </c>
      <c r="AY96" s="323" t="str">
        <f t="shared" si="104"/>
        <v/>
      </c>
      <c r="AZ96" s="323" t="str">
        <f t="shared" si="104"/>
        <v/>
      </c>
      <c r="BA96" s="323" t="str">
        <f t="shared" si="104"/>
        <v/>
      </c>
      <c r="BB96" s="323" t="str">
        <f t="shared" si="104"/>
        <v/>
      </c>
      <c r="BC96" s="323" t="str">
        <f t="shared" si="104"/>
        <v/>
      </c>
      <c r="BD96" s="323" t="str">
        <f t="shared" si="104"/>
        <v/>
      </c>
      <c r="BE96" s="323" t="str">
        <f t="shared" si="104"/>
        <v/>
      </c>
      <c r="BF96" s="323" t="str">
        <f t="shared" si="104"/>
        <v/>
      </c>
      <c r="BG96" s="323" t="str">
        <f t="shared" si="104"/>
        <v/>
      </c>
      <c r="BH96" s="323" t="str">
        <f t="shared" si="104"/>
        <v/>
      </c>
      <c r="BI96" s="323" t="str">
        <f t="shared" si="104"/>
        <v/>
      </c>
      <c r="BJ96" s="323" t="str">
        <f t="shared" si="104"/>
        <v/>
      </c>
      <c r="BK96" s="323" t="str">
        <f t="shared" si="104"/>
        <v/>
      </c>
      <c r="BL96" s="323" t="str">
        <f t="shared" si="104"/>
        <v/>
      </c>
      <c r="BM96" s="323" t="str">
        <f t="shared" si="104"/>
        <v/>
      </c>
      <c r="BN96" s="323" t="str">
        <f t="shared" si="104"/>
        <v/>
      </c>
      <c r="BO96" s="323" t="str">
        <f t="shared" si="104"/>
        <v/>
      </c>
      <c r="BP96" s="323" t="str">
        <f t="shared" si="104"/>
        <v/>
      </c>
      <c r="BQ96" s="323" t="str">
        <f t="shared" si="104"/>
        <v/>
      </c>
      <c r="BR96" s="323" t="str">
        <f t="shared" si="104"/>
        <v/>
      </c>
      <c r="BS96" s="323" t="str">
        <f t="shared" si="104"/>
        <v/>
      </c>
      <c r="BT96" s="323" t="str">
        <f t="shared" si="104"/>
        <v/>
      </c>
      <c r="BU96" s="323" t="str">
        <f t="shared" si="104"/>
        <v/>
      </c>
      <c r="BV96" s="323" t="str">
        <f t="shared" si="104"/>
        <v/>
      </c>
      <c r="BW96" s="323" t="str">
        <f t="shared" si="104"/>
        <v/>
      </c>
      <c r="BX96" s="323" t="str">
        <f t="shared" si="104"/>
        <v/>
      </c>
      <c r="BY96" s="323" t="str">
        <f t="shared" si="104"/>
        <v/>
      </c>
      <c r="BZ96" s="323" t="str">
        <f t="shared" si="104"/>
        <v/>
      </c>
      <c r="CA96" s="323" t="str">
        <f t="shared" si="104"/>
        <v/>
      </c>
      <c r="CB96" s="323" t="str">
        <f t="shared" si="104"/>
        <v/>
      </c>
      <c r="CC96" s="323" t="str">
        <f t="shared" si="104"/>
        <v/>
      </c>
      <c r="CD96" s="323" t="str">
        <f t="shared" si="104"/>
        <v/>
      </c>
      <c r="CE96" s="323" t="str">
        <f t="shared" si="104"/>
        <v/>
      </c>
      <c r="CF96" s="323" t="str">
        <f t="shared" si="104"/>
        <v/>
      </c>
      <c r="CG96" s="323" t="str">
        <f t="shared" si="104"/>
        <v/>
      </c>
      <c r="CH96" s="323" t="str">
        <f t="shared" si="104"/>
        <v/>
      </c>
      <c r="CI96" s="323" t="str">
        <f t="shared" si="104"/>
        <v/>
      </c>
      <c r="CJ96" s="323" t="str">
        <f t="shared" si="104"/>
        <v/>
      </c>
      <c r="CK96" s="323" t="str">
        <f t="shared" si="104"/>
        <v/>
      </c>
      <c r="CL96" s="323" t="str">
        <f t="shared" si="104"/>
        <v/>
      </c>
      <c r="CM96" s="323" t="str">
        <f t="shared" si="104"/>
        <v/>
      </c>
      <c r="CN96" s="323"/>
      <c r="CO96" s="323"/>
      <c r="CP96" s="323" t="str">
        <f t="shared" si="16"/>
        <v/>
      </c>
      <c r="CQ96" s="323"/>
      <c r="CR96" s="323"/>
      <c r="CS96" s="323"/>
      <c r="CT96" s="323"/>
      <c r="CU96" s="323"/>
      <c r="CV96" s="323"/>
      <c r="CW96" s="323"/>
      <c r="CX96" s="323"/>
      <c r="CY96" s="323"/>
      <c r="CZ96" s="323"/>
      <c r="DA96" s="323"/>
      <c r="DB96" s="323"/>
      <c r="DC96" s="323"/>
      <c r="DD96" s="323"/>
      <c r="DE96" s="323"/>
      <c r="DF96" s="323"/>
      <c r="DG96" s="323"/>
      <c r="DH96" s="323"/>
      <c r="DI96" s="323"/>
      <c r="DJ96" s="323"/>
      <c r="DK96" s="323"/>
      <c r="DL96" s="323"/>
      <c r="DM96" s="323"/>
      <c r="DN96" s="323"/>
      <c r="DO96" s="323"/>
      <c r="DP96" s="323"/>
      <c r="DQ96" s="323"/>
      <c r="DR96" s="323"/>
      <c r="DS96" s="323"/>
      <c r="DT96" s="323"/>
      <c r="DU96" s="323"/>
      <c r="DV96" s="323"/>
      <c r="DW96" s="323"/>
      <c r="DX96" s="323"/>
      <c r="DY96" s="323"/>
      <c r="DZ96" s="323"/>
      <c r="EA96" s="323"/>
      <c r="EB96" s="323"/>
      <c r="EC96" s="323"/>
      <c r="ED96" s="323"/>
      <c r="EE96" s="323"/>
      <c r="EF96" s="323"/>
      <c r="EG96" s="323"/>
      <c r="EH96" s="323"/>
      <c r="EI96" s="323"/>
      <c r="EJ96" s="323"/>
      <c r="EK96" s="323"/>
      <c r="EL96" s="323"/>
      <c r="EM96" s="323"/>
      <c r="EN96" s="323"/>
      <c r="EO96" s="323"/>
      <c r="EP96" s="323"/>
      <c r="EQ96" s="323"/>
      <c r="ER96" s="323"/>
      <c r="ES96" s="323"/>
      <c r="ET96" s="323"/>
      <c r="EU96" s="323"/>
      <c r="EV96" s="323"/>
      <c r="EW96" s="323"/>
      <c r="EX96" s="323"/>
      <c r="EY96" s="323"/>
      <c r="EZ96" s="323"/>
      <c r="FA96" s="323"/>
      <c r="FB96" s="323"/>
      <c r="FC96" s="323"/>
      <c r="FD96" s="323"/>
      <c r="FE96" s="323"/>
      <c r="FF96" s="323"/>
      <c r="FG96" s="323"/>
      <c r="FH96" s="323"/>
      <c r="FI96" s="323"/>
      <c r="FJ96" s="323"/>
      <c r="FK96" s="323"/>
      <c r="FL96" s="323"/>
      <c r="FM96" s="323"/>
      <c r="FN96" s="323"/>
      <c r="FO96" s="323"/>
      <c r="FP96" s="323"/>
      <c r="FQ96" s="323"/>
      <c r="FR96" s="323"/>
      <c r="FS96" s="323"/>
      <c r="FT96" s="323"/>
      <c r="FU96" s="323"/>
      <c r="FV96" s="323"/>
      <c r="FW96" s="323"/>
      <c r="FX96" s="323"/>
    </row>
    <row r="97" ht="15.75" customHeight="1">
      <c r="A97" s="44">
        <v>92.0</v>
      </c>
      <c r="B97" s="27"/>
      <c r="C97" s="44"/>
      <c r="D97" s="44"/>
      <c r="E97" s="330"/>
      <c r="F97" s="47"/>
      <c r="G97" s="47"/>
      <c r="H97" s="47"/>
      <c r="I97" s="26"/>
      <c r="J97" s="323" t="str">
        <f t="shared" ref="J97:CM97" si="105">IF(AND($I97="Yes",J$2=$H97),"♦","")</f>
        <v/>
      </c>
      <c r="K97" s="323" t="str">
        <f t="shared" si="105"/>
        <v/>
      </c>
      <c r="L97" s="323" t="str">
        <f t="shared" si="105"/>
        <v/>
      </c>
      <c r="M97" s="323" t="str">
        <f t="shared" si="105"/>
        <v/>
      </c>
      <c r="N97" s="323" t="str">
        <f t="shared" si="105"/>
        <v/>
      </c>
      <c r="O97" s="323" t="str">
        <f t="shared" si="105"/>
        <v/>
      </c>
      <c r="P97" s="323" t="str">
        <f t="shared" si="105"/>
        <v/>
      </c>
      <c r="Q97" s="323" t="str">
        <f t="shared" si="105"/>
        <v/>
      </c>
      <c r="R97" s="323" t="str">
        <f t="shared" si="105"/>
        <v/>
      </c>
      <c r="S97" s="323" t="str">
        <f t="shared" si="105"/>
        <v/>
      </c>
      <c r="T97" s="323" t="str">
        <f t="shared" si="105"/>
        <v/>
      </c>
      <c r="U97" s="323" t="str">
        <f t="shared" si="105"/>
        <v/>
      </c>
      <c r="V97" s="323" t="str">
        <f t="shared" si="105"/>
        <v/>
      </c>
      <c r="W97" s="323" t="str">
        <f t="shared" si="105"/>
        <v/>
      </c>
      <c r="X97" s="323" t="str">
        <f t="shared" si="105"/>
        <v/>
      </c>
      <c r="Y97" s="323" t="str">
        <f t="shared" si="105"/>
        <v/>
      </c>
      <c r="Z97" s="323" t="str">
        <f t="shared" si="105"/>
        <v/>
      </c>
      <c r="AA97" s="323" t="str">
        <f t="shared" si="105"/>
        <v/>
      </c>
      <c r="AB97" s="323" t="str">
        <f t="shared" si="105"/>
        <v/>
      </c>
      <c r="AC97" s="323" t="str">
        <f t="shared" si="105"/>
        <v/>
      </c>
      <c r="AD97" s="323" t="str">
        <f t="shared" si="105"/>
        <v/>
      </c>
      <c r="AE97" s="323" t="str">
        <f t="shared" si="105"/>
        <v/>
      </c>
      <c r="AF97" s="323" t="str">
        <f t="shared" si="105"/>
        <v/>
      </c>
      <c r="AG97" s="323" t="str">
        <f t="shared" si="105"/>
        <v/>
      </c>
      <c r="AH97" s="323" t="str">
        <f t="shared" si="105"/>
        <v/>
      </c>
      <c r="AI97" s="323" t="str">
        <f t="shared" si="105"/>
        <v/>
      </c>
      <c r="AJ97" s="323" t="str">
        <f t="shared" si="105"/>
        <v/>
      </c>
      <c r="AK97" s="323" t="str">
        <f t="shared" si="105"/>
        <v/>
      </c>
      <c r="AL97" s="323" t="str">
        <f t="shared" si="105"/>
        <v/>
      </c>
      <c r="AM97" s="323" t="str">
        <f t="shared" si="105"/>
        <v/>
      </c>
      <c r="AN97" s="323" t="str">
        <f t="shared" si="105"/>
        <v/>
      </c>
      <c r="AO97" s="323" t="str">
        <f t="shared" si="105"/>
        <v/>
      </c>
      <c r="AP97" s="323" t="str">
        <f t="shared" si="105"/>
        <v/>
      </c>
      <c r="AQ97" s="323" t="str">
        <f t="shared" si="105"/>
        <v/>
      </c>
      <c r="AR97" s="323" t="str">
        <f t="shared" si="105"/>
        <v/>
      </c>
      <c r="AS97" s="323" t="str">
        <f t="shared" si="105"/>
        <v/>
      </c>
      <c r="AT97" s="323" t="str">
        <f t="shared" si="105"/>
        <v/>
      </c>
      <c r="AU97" s="323" t="str">
        <f t="shared" si="105"/>
        <v/>
      </c>
      <c r="AV97" s="323" t="str">
        <f t="shared" si="105"/>
        <v/>
      </c>
      <c r="AW97" s="323" t="str">
        <f t="shared" si="105"/>
        <v/>
      </c>
      <c r="AX97" s="323" t="str">
        <f t="shared" si="105"/>
        <v/>
      </c>
      <c r="AY97" s="323" t="str">
        <f t="shared" si="105"/>
        <v/>
      </c>
      <c r="AZ97" s="323" t="str">
        <f t="shared" si="105"/>
        <v/>
      </c>
      <c r="BA97" s="323" t="str">
        <f t="shared" si="105"/>
        <v/>
      </c>
      <c r="BB97" s="323" t="str">
        <f t="shared" si="105"/>
        <v/>
      </c>
      <c r="BC97" s="323" t="str">
        <f t="shared" si="105"/>
        <v/>
      </c>
      <c r="BD97" s="323" t="str">
        <f t="shared" si="105"/>
        <v/>
      </c>
      <c r="BE97" s="323" t="str">
        <f t="shared" si="105"/>
        <v/>
      </c>
      <c r="BF97" s="323" t="str">
        <f t="shared" si="105"/>
        <v/>
      </c>
      <c r="BG97" s="323" t="str">
        <f t="shared" si="105"/>
        <v/>
      </c>
      <c r="BH97" s="323" t="str">
        <f t="shared" si="105"/>
        <v/>
      </c>
      <c r="BI97" s="323" t="str">
        <f t="shared" si="105"/>
        <v/>
      </c>
      <c r="BJ97" s="323" t="str">
        <f t="shared" si="105"/>
        <v/>
      </c>
      <c r="BK97" s="323" t="str">
        <f t="shared" si="105"/>
        <v/>
      </c>
      <c r="BL97" s="323" t="str">
        <f t="shared" si="105"/>
        <v/>
      </c>
      <c r="BM97" s="323" t="str">
        <f t="shared" si="105"/>
        <v/>
      </c>
      <c r="BN97" s="323" t="str">
        <f t="shared" si="105"/>
        <v/>
      </c>
      <c r="BO97" s="323" t="str">
        <f t="shared" si="105"/>
        <v/>
      </c>
      <c r="BP97" s="323" t="str">
        <f t="shared" si="105"/>
        <v/>
      </c>
      <c r="BQ97" s="323" t="str">
        <f t="shared" si="105"/>
        <v/>
      </c>
      <c r="BR97" s="323" t="str">
        <f t="shared" si="105"/>
        <v/>
      </c>
      <c r="BS97" s="323" t="str">
        <f t="shared" si="105"/>
        <v/>
      </c>
      <c r="BT97" s="323" t="str">
        <f t="shared" si="105"/>
        <v/>
      </c>
      <c r="BU97" s="323" t="str">
        <f t="shared" si="105"/>
        <v/>
      </c>
      <c r="BV97" s="323" t="str">
        <f t="shared" si="105"/>
        <v/>
      </c>
      <c r="BW97" s="323" t="str">
        <f t="shared" si="105"/>
        <v/>
      </c>
      <c r="BX97" s="323" t="str">
        <f t="shared" si="105"/>
        <v/>
      </c>
      <c r="BY97" s="323" t="str">
        <f t="shared" si="105"/>
        <v/>
      </c>
      <c r="BZ97" s="323" t="str">
        <f t="shared" si="105"/>
        <v/>
      </c>
      <c r="CA97" s="323" t="str">
        <f t="shared" si="105"/>
        <v/>
      </c>
      <c r="CB97" s="323" t="str">
        <f t="shared" si="105"/>
        <v/>
      </c>
      <c r="CC97" s="323" t="str">
        <f t="shared" si="105"/>
        <v/>
      </c>
      <c r="CD97" s="323" t="str">
        <f t="shared" si="105"/>
        <v/>
      </c>
      <c r="CE97" s="323" t="str">
        <f t="shared" si="105"/>
        <v/>
      </c>
      <c r="CF97" s="323" t="str">
        <f t="shared" si="105"/>
        <v/>
      </c>
      <c r="CG97" s="323" t="str">
        <f t="shared" si="105"/>
        <v/>
      </c>
      <c r="CH97" s="323" t="str">
        <f t="shared" si="105"/>
        <v/>
      </c>
      <c r="CI97" s="323" t="str">
        <f t="shared" si="105"/>
        <v/>
      </c>
      <c r="CJ97" s="323" t="str">
        <f t="shared" si="105"/>
        <v/>
      </c>
      <c r="CK97" s="323" t="str">
        <f t="shared" si="105"/>
        <v/>
      </c>
      <c r="CL97" s="323" t="str">
        <f t="shared" si="105"/>
        <v/>
      </c>
      <c r="CM97" s="323" t="str">
        <f t="shared" si="105"/>
        <v/>
      </c>
      <c r="CN97" s="323"/>
      <c r="CO97" s="323"/>
      <c r="CP97" s="323" t="str">
        <f t="shared" si="16"/>
        <v/>
      </c>
      <c r="CQ97" s="323"/>
      <c r="CR97" s="323"/>
      <c r="CS97" s="323"/>
      <c r="CT97" s="323"/>
      <c r="CU97" s="323"/>
      <c r="CV97" s="323"/>
      <c r="CW97" s="323"/>
      <c r="CX97" s="323"/>
      <c r="CY97" s="323"/>
      <c r="CZ97" s="323"/>
      <c r="DA97" s="323"/>
      <c r="DB97" s="323"/>
      <c r="DC97" s="323"/>
      <c r="DD97" s="323"/>
      <c r="DE97" s="323"/>
      <c r="DF97" s="323"/>
      <c r="DG97" s="323"/>
      <c r="DH97" s="323"/>
      <c r="DI97" s="323"/>
      <c r="DJ97" s="323"/>
      <c r="DK97" s="323"/>
      <c r="DL97" s="323"/>
      <c r="DM97" s="323"/>
      <c r="DN97" s="323"/>
      <c r="DO97" s="323"/>
      <c r="DP97" s="323"/>
      <c r="DQ97" s="323"/>
      <c r="DR97" s="323"/>
      <c r="DS97" s="323"/>
      <c r="DT97" s="323"/>
      <c r="DU97" s="323"/>
      <c r="DV97" s="323"/>
      <c r="DW97" s="323"/>
      <c r="DX97" s="323"/>
      <c r="DY97" s="323"/>
      <c r="DZ97" s="323"/>
      <c r="EA97" s="323"/>
      <c r="EB97" s="323"/>
      <c r="EC97" s="323"/>
      <c r="ED97" s="323"/>
      <c r="EE97" s="323"/>
      <c r="EF97" s="323"/>
      <c r="EG97" s="323"/>
      <c r="EH97" s="323"/>
      <c r="EI97" s="323"/>
      <c r="EJ97" s="323"/>
      <c r="EK97" s="323"/>
      <c r="EL97" s="323"/>
      <c r="EM97" s="323"/>
      <c r="EN97" s="323"/>
      <c r="EO97" s="323"/>
      <c r="EP97" s="323"/>
      <c r="EQ97" s="323"/>
      <c r="ER97" s="323"/>
      <c r="ES97" s="323"/>
      <c r="ET97" s="323"/>
      <c r="EU97" s="323"/>
      <c r="EV97" s="323"/>
      <c r="EW97" s="323"/>
      <c r="EX97" s="323"/>
      <c r="EY97" s="323"/>
      <c r="EZ97" s="323"/>
      <c r="FA97" s="323"/>
      <c r="FB97" s="323"/>
      <c r="FC97" s="323"/>
      <c r="FD97" s="323"/>
      <c r="FE97" s="323"/>
      <c r="FF97" s="323"/>
      <c r="FG97" s="323"/>
      <c r="FH97" s="323"/>
      <c r="FI97" s="323"/>
      <c r="FJ97" s="323"/>
      <c r="FK97" s="323"/>
      <c r="FL97" s="323"/>
      <c r="FM97" s="323"/>
      <c r="FN97" s="323"/>
      <c r="FO97" s="323"/>
      <c r="FP97" s="323"/>
      <c r="FQ97" s="323"/>
      <c r="FR97" s="323"/>
      <c r="FS97" s="323"/>
      <c r="FT97" s="323"/>
      <c r="FU97" s="323"/>
      <c r="FV97" s="323"/>
      <c r="FW97" s="323"/>
      <c r="FX97" s="323"/>
    </row>
    <row r="98" ht="15.75" customHeight="1">
      <c r="A98" s="44">
        <v>93.0</v>
      </c>
      <c r="B98" s="27"/>
      <c r="C98" s="44"/>
      <c r="D98" s="44"/>
      <c r="E98" s="330"/>
      <c r="F98" s="47"/>
      <c r="G98" s="47"/>
      <c r="H98" s="47"/>
      <c r="I98" s="26"/>
      <c r="J98" s="323" t="str">
        <f t="shared" ref="J98:CM98" si="106">IF(AND($I98="Yes",J$2=$H98),"♦","")</f>
        <v/>
      </c>
      <c r="K98" s="323" t="str">
        <f t="shared" si="106"/>
        <v/>
      </c>
      <c r="L98" s="323" t="str">
        <f t="shared" si="106"/>
        <v/>
      </c>
      <c r="M98" s="323" t="str">
        <f t="shared" si="106"/>
        <v/>
      </c>
      <c r="N98" s="323" t="str">
        <f t="shared" si="106"/>
        <v/>
      </c>
      <c r="O98" s="323" t="str">
        <f t="shared" si="106"/>
        <v/>
      </c>
      <c r="P98" s="323" t="str">
        <f t="shared" si="106"/>
        <v/>
      </c>
      <c r="Q98" s="323" t="str">
        <f t="shared" si="106"/>
        <v/>
      </c>
      <c r="R98" s="323" t="str">
        <f t="shared" si="106"/>
        <v/>
      </c>
      <c r="S98" s="323" t="str">
        <f t="shared" si="106"/>
        <v/>
      </c>
      <c r="T98" s="323" t="str">
        <f t="shared" si="106"/>
        <v/>
      </c>
      <c r="U98" s="323" t="str">
        <f t="shared" si="106"/>
        <v/>
      </c>
      <c r="V98" s="323" t="str">
        <f t="shared" si="106"/>
        <v/>
      </c>
      <c r="W98" s="323" t="str">
        <f t="shared" si="106"/>
        <v/>
      </c>
      <c r="X98" s="323" t="str">
        <f t="shared" si="106"/>
        <v/>
      </c>
      <c r="Y98" s="323" t="str">
        <f t="shared" si="106"/>
        <v/>
      </c>
      <c r="Z98" s="323" t="str">
        <f t="shared" si="106"/>
        <v/>
      </c>
      <c r="AA98" s="323" t="str">
        <f t="shared" si="106"/>
        <v/>
      </c>
      <c r="AB98" s="323" t="str">
        <f t="shared" si="106"/>
        <v/>
      </c>
      <c r="AC98" s="323" t="str">
        <f t="shared" si="106"/>
        <v/>
      </c>
      <c r="AD98" s="323" t="str">
        <f t="shared" si="106"/>
        <v/>
      </c>
      <c r="AE98" s="323" t="str">
        <f t="shared" si="106"/>
        <v/>
      </c>
      <c r="AF98" s="323" t="str">
        <f t="shared" si="106"/>
        <v/>
      </c>
      <c r="AG98" s="323" t="str">
        <f t="shared" si="106"/>
        <v/>
      </c>
      <c r="AH98" s="323" t="str">
        <f t="shared" si="106"/>
        <v/>
      </c>
      <c r="AI98" s="323" t="str">
        <f t="shared" si="106"/>
        <v/>
      </c>
      <c r="AJ98" s="323" t="str">
        <f t="shared" si="106"/>
        <v/>
      </c>
      <c r="AK98" s="323" t="str">
        <f t="shared" si="106"/>
        <v/>
      </c>
      <c r="AL98" s="323" t="str">
        <f t="shared" si="106"/>
        <v/>
      </c>
      <c r="AM98" s="323" t="str">
        <f t="shared" si="106"/>
        <v/>
      </c>
      <c r="AN98" s="323" t="str">
        <f t="shared" si="106"/>
        <v/>
      </c>
      <c r="AO98" s="323" t="str">
        <f t="shared" si="106"/>
        <v/>
      </c>
      <c r="AP98" s="323" t="str">
        <f t="shared" si="106"/>
        <v/>
      </c>
      <c r="AQ98" s="323" t="str">
        <f t="shared" si="106"/>
        <v/>
      </c>
      <c r="AR98" s="323" t="str">
        <f t="shared" si="106"/>
        <v/>
      </c>
      <c r="AS98" s="323" t="str">
        <f t="shared" si="106"/>
        <v/>
      </c>
      <c r="AT98" s="323" t="str">
        <f t="shared" si="106"/>
        <v/>
      </c>
      <c r="AU98" s="323" t="str">
        <f t="shared" si="106"/>
        <v/>
      </c>
      <c r="AV98" s="323" t="str">
        <f t="shared" si="106"/>
        <v/>
      </c>
      <c r="AW98" s="323" t="str">
        <f t="shared" si="106"/>
        <v/>
      </c>
      <c r="AX98" s="323" t="str">
        <f t="shared" si="106"/>
        <v/>
      </c>
      <c r="AY98" s="323" t="str">
        <f t="shared" si="106"/>
        <v/>
      </c>
      <c r="AZ98" s="323" t="str">
        <f t="shared" si="106"/>
        <v/>
      </c>
      <c r="BA98" s="323" t="str">
        <f t="shared" si="106"/>
        <v/>
      </c>
      <c r="BB98" s="323" t="str">
        <f t="shared" si="106"/>
        <v/>
      </c>
      <c r="BC98" s="323" t="str">
        <f t="shared" si="106"/>
        <v/>
      </c>
      <c r="BD98" s="323" t="str">
        <f t="shared" si="106"/>
        <v/>
      </c>
      <c r="BE98" s="323" t="str">
        <f t="shared" si="106"/>
        <v/>
      </c>
      <c r="BF98" s="323" t="str">
        <f t="shared" si="106"/>
        <v/>
      </c>
      <c r="BG98" s="323" t="str">
        <f t="shared" si="106"/>
        <v/>
      </c>
      <c r="BH98" s="323" t="str">
        <f t="shared" si="106"/>
        <v/>
      </c>
      <c r="BI98" s="323" t="str">
        <f t="shared" si="106"/>
        <v/>
      </c>
      <c r="BJ98" s="323" t="str">
        <f t="shared" si="106"/>
        <v/>
      </c>
      <c r="BK98" s="323" t="str">
        <f t="shared" si="106"/>
        <v/>
      </c>
      <c r="BL98" s="323" t="str">
        <f t="shared" si="106"/>
        <v/>
      </c>
      <c r="BM98" s="323" t="str">
        <f t="shared" si="106"/>
        <v/>
      </c>
      <c r="BN98" s="323" t="str">
        <f t="shared" si="106"/>
        <v/>
      </c>
      <c r="BO98" s="323" t="str">
        <f t="shared" si="106"/>
        <v/>
      </c>
      <c r="BP98" s="323" t="str">
        <f t="shared" si="106"/>
        <v/>
      </c>
      <c r="BQ98" s="323" t="str">
        <f t="shared" si="106"/>
        <v/>
      </c>
      <c r="BR98" s="323" t="str">
        <f t="shared" si="106"/>
        <v/>
      </c>
      <c r="BS98" s="323" t="str">
        <f t="shared" si="106"/>
        <v/>
      </c>
      <c r="BT98" s="323" t="str">
        <f t="shared" si="106"/>
        <v/>
      </c>
      <c r="BU98" s="323" t="str">
        <f t="shared" si="106"/>
        <v/>
      </c>
      <c r="BV98" s="323" t="str">
        <f t="shared" si="106"/>
        <v/>
      </c>
      <c r="BW98" s="323" t="str">
        <f t="shared" si="106"/>
        <v/>
      </c>
      <c r="BX98" s="323" t="str">
        <f t="shared" si="106"/>
        <v/>
      </c>
      <c r="BY98" s="323" t="str">
        <f t="shared" si="106"/>
        <v/>
      </c>
      <c r="BZ98" s="323" t="str">
        <f t="shared" si="106"/>
        <v/>
      </c>
      <c r="CA98" s="323" t="str">
        <f t="shared" si="106"/>
        <v/>
      </c>
      <c r="CB98" s="323" t="str">
        <f t="shared" si="106"/>
        <v/>
      </c>
      <c r="CC98" s="323" t="str">
        <f t="shared" si="106"/>
        <v/>
      </c>
      <c r="CD98" s="323" t="str">
        <f t="shared" si="106"/>
        <v/>
      </c>
      <c r="CE98" s="323" t="str">
        <f t="shared" si="106"/>
        <v/>
      </c>
      <c r="CF98" s="323" t="str">
        <f t="shared" si="106"/>
        <v/>
      </c>
      <c r="CG98" s="323" t="str">
        <f t="shared" si="106"/>
        <v/>
      </c>
      <c r="CH98" s="323" t="str">
        <f t="shared" si="106"/>
        <v/>
      </c>
      <c r="CI98" s="323" t="str">
        <f t="shared" si="106"/>
        <v/>
      </c>
      <c r="CJ98" s="323" t="str">
        <f t="shared" si="106"/>
        <v/>
      </c>
      <c r="CK98" s="323" t="str">
        <f t="shared" si="106"/>
        <v/>
      </c>
      <c r="CL98" s="323" t="str">
        <f t="shared" si="106"/>
        <v/>
      </c>
      <c r="CM98" s="323" t="str">
        <f t="shared" si="106"/>
        <v/>
      </c>
      <c r="CN98" s="323"/>
      <c r="CO98" s="323"/>
      <c r="CP98" s="323" t="str">
        <f t="shared" si="16"/>
        <v/>
      </c>
      <c r="CQ98" s="323"/>
      <c r="CR98" s="323"/>
      <c r="CS98" s="323"/>
      <c r="CT98" s="323"/>
      <c r="CU98" s="323"/>
      <c r="CV98" s="323"/>
      <c r="CW98" s="323"/>
      <c r="CX98" s="323"/>
      <c r="CY98" s="323"/>
      <c r="CZ98" s="323"/>
      <c r="DA98" s="323"/>
      <c r="DB98" s="323"/>
      <c r="DC98" s="323"/>
      <c r="DD98" s="323"/>
      <c r="DE98" s="323"/>
      <c r="DF98" s="323"/>
      <c r="DG98" s="323"/>
      <c r="DH98" s="323"/>
      <c r="DI98" s="323"/>
      <c r="DJ98" s="323"/>
      <c r="DK98" s="323"/>
      <c r="DL98" s="323"/>
      <c r="DM98" s="323"/>
      <c r="DN98" s="323"/>
      <c r="DO98" s="323"/>
      <c r="DP98" s="323"/>
      <c r="DQ98" s="323"/>
      <c r="DR98" s="323"/>
      <c r="DS98" s="323"/>
      <c r="DT98" s="323"/>
      <c r="DU98" s="323"/>
      <c r="DV98" s="323"/>
      <c r="DW98" s="323"/>
      <c r="DX98" s="323"/>
      <c r="DY98" s="323"/>
      <c r="DZ98" s="323"/>
      <c r="EA98" s="323"/>
      <c r="EB98" s="323"/>
      <c r="EC98" s="323"/>
      <c r="ED98" s="323"/>
      <c r="EE98" s="323"/>
      <c r="EF98" s="323"/>
      <c r="EG98" s="323"/>
      <c r="EH98" s="323"/>
      <c r="EI98" s="323"/>
      <c r="EJ98" s="323"/>
      <c r="EK98" s="323"/>
      <c r="EL98" s="323"/>
      <c r="EM98" s="323"/>
      <c r="EN98" s="323"/>
      <c r="EO98" s="323"/>
      <c r="EP98" s="323"/>
      <c r="EQ98" s="323"/>
      <c r="ER98" s="323"/>
      <c r="ES98" s="323"/>
      <c r="ET98" s="323"/>
      <c r="EU98" s="323"/>
      <c r="EV98" s="323"/>
      <c r="EW98" s="323"/>
      <c r="EX98" s="323"/>
      <c r="EY98" s="323"/>
      <c r="EZ98" s="323"/>
      <c r="FA98" s="323"/>
      <c r="FB98" s="323"/>
      <c r="FC98" s="323"/>
      <c r="FD98" s="323"/>
      <c r="FE98" s="323"/>
      <c r="FF98" s="323"/>
      <c r="FG98" s="323"/>
      <c r="FH98" s="323"/>
      <c r="FI98" s="323"/>
      <c r="FJ98" s="323"/>
      <c r="FK98" s="323"/>
      <c r="FL98" s="323"/>
      <c r="FM98" s="323"/>
      <c r="FN98" s="323"/>
      <c r="FO98" s="323"/>
      <c r="FP98" s="323"/>
      <c r="FQ98" s="323"/>
      <c r="FR98" s="323"/>
      <c r="FS98" s="323"/>
      <c r="FT98" s="323"/>
      <c r="FU98" s="323"/>
      <c r="FV98" s="323"/>
      <c r="FW98" s="323"/>
      <c r="FX98" s="323"/>
    </row>
    <row r="99" ht="15.75" customHeight="1">
      <c r="A99" s="44">
        <v>94.0</v>
      </c>
      <c r="B99" s="27"/>
      <c r="C99" s="44"/>
      <c r="D99" s="44"/>
      <c r="E99" s="330"/>
      <c r="F99" s="47"/>
      <c r="G99" s="47"/>
      <c r="H99" s="47"/>
      <c r="I99" s="26"/>
      <c r="J99" s="323" t="str">
        <f t="shared" ref="J99:CM99" si="107">IF(AND($I99="Yes",J$2=$H99),"♦","")</f>
        <v/>
      </c>
      <c r="K99" s="323" t="str">
        <f t="shared" si="107"/>
        <v/>
      </c>
      <c r="L99" s="323" t="str">
        <f t="shared" si="107"/>
        <v/>
      </c>
      <c r="M99" s="323" t="str">
        <f t="shared" si="107"/>
        <v/>
      </c>
      <c r="N99" s="323" t="str">
        <f t="shared" si="107"/>
        <v/>
      </c>
      <c r="O99" s="323" t="str">
        <f t="shared" si="107"/>
        <v/>
      </c>
      <c r="P99" s="323" t="str">
        <f t="shared" si="107"/>
        <v/>
      </c>
      <c r="Q99" s="323" t="str">
        <f t="shared" si="107"/>
        <v/>
      </c>
      <c r="R99" s="323" t="str">
        <f t="shared" si="107"/>
        <v/>
      </c>
      <c r="S99" s="323" t="str">
        <f t="shared" si="107"/>
        <v/>
      </c>
      <c r="T99" s="323" t="str">
        <f t="shared" si="107"/>
        <v/>
      </c>
      <c r="U99" s="323" t="str">
        <f t="shared" si="107"/>
        <v/>
      </c>
      <c r="V99" s="323" t="str">
        <f t="shared" si="107"/>
        <v/>
      </c>
      <c r="W99" s="323" t="str">
        <f t="shared" si="107"/>
        <v/>
      </c>
      <c r="X99" s="323" t="str">
        <f t="shared" si="107"/>
        <v/>
      </c>
      <c r="Y99" s="323" t="str">
        <f t="shared" si="107"/>
        <v/>
      </c>
      <c r="Z99" s="323" t="str">
        <f t="shared" si="107"/>
        <v/>
      </c>
      <c r="AA99" s="323" t="str">
        <f t="shared" si="107"/>
        <v/>
      </c>
      <c r="AB99" s="323" t="str">
        <f t="shared" si="107"/>
        <v/>
      </c>
      <c r="AC99" s="323" t="str">
        <f t="shared" si="107"/>
        <v/>
      </c>
      <c r="AD99" s="323" t="str">
        <f t="shared" si="107"/>
        <v/>
      </c>
      <c r="AE99" s="323" t="str">
        <f t="shared" si="107"/>
        <v/>
      </c>
      <c r="AF99" s="323" t="str">
        <f t="shared" si="107"/>
        <v/>
      </c>
      <c r="AG99" s="323" t="str">
        <f t="shared" si="107"/>
        <v/>
      </c>
      <c r="AH99" s="323" t="str">
        <f t="shared" si="107"/>
        <v/>
      </c>
      <c r="AI99" s="323" t="str">
        <f t="shared" si="107"/>
        <v/>
      </c>
      <c r="AJ99" s="323" t="str">
        <f t="shared" si="107"/>
        <v/>
      </c>
      <c r="AK99" s="323" t="str">
        <f t="shared" si="107"/>
        <v/>
      </c>
      <c r="AL99" s="323" t="str">
        <f t="shared" si="107"/>
        <v/>
      </c>
      <c r="AM99" s="323" t="str">
        <f t="shared" si="107"/>
        <v/>
      </c>
      <c r="AN99" s="323" t="str">
        <f t="shared" si="107"/>
        <v/>
      </c>
      <c r="AO99" s="323" t="str">
        <f t="shared" si="107"/>
        <v/>
      </c>
      <c r="AP99" s="323" t="str">
        <f t="shared" si="107"/>
        <v/>
      </c>
      <c r="AQ99" s="323" t="str">
        <f t="shared" si="107"/>
        <v/>
      </c>
      <c r="AR99" s="323" t="str">
        <f t="shared" si="107"/>
        <v/>
      </c>
      <c r="AS99" s="323" t="str">
        <f t="shared" si="107"/>
        <v/>
      </c>
      <c r="AT99" s="323" t="str">
        <f t="shared" si="107"/>
        <v/>
      </c>
      <c r="AU99" s="323" t="str">
        <f t="shared" si="107"/>
        <v/>
      </c>
      <c r="AV99" s="323" t="str">
        <f t="shared" si="107"/>
        <v/>
      </c>
      <c r="AW99" s="323" t="str">
        <f t="shared" si="107"/>
        <v/>
      </c>
      <c r="AX99" s="323" t="str">
        <f t="shared" si="107"/>
        <v/>
      </c>
      <c r="AY99" s="323" t="str">
        <f t="shared" si="107"/>
        <v/>
      </c>
      <c r="AZ99" s="323" t="str">
        <f t="shared" si="107"/>
        <v/>
      </c>
      <c r="BA99" s="323" t="str">
        <f t="shared" si="107"/>
        <v/>
      </c>
      <c r="BB99" s="323" t="str">
        <f t="shared" si="107"/>
        <v/>
      </c>
      <c r="BC99" s="323" t="str">
        <f t="shared" si="107"/>
        <v/>
      </c>
      <c r="BD99" s="323" t="str">
        <f t="shared" si="107"/>
        <v/>
      </c>
      <c r="BE99" s="323" t="str">
        <f t="shared" si="107"/>
        <v/>
      </c>
      <c r="BF99" s="323" t="str">
        <f t="shared" si="107"/>
        <v/>
      </c>
      <c r="BG99" s="323" t="str">
        <f t="shared" si="107"/>
        <v/>
      </c>
      <c r="BH99" s="323" t="str">
        <f t="shared" si="107"/>
        <v/>
      </c>
      <c r="BI99" s="323" t="str">
        <f t="shared" si="107"/>
        <v/>
      </c>
      <c r="BJ99" s="323" t="str">
        <f t="shared" si="107"/>
        <v/>
      </c>
      <c r="BK99" s="323" t="str">
        <f t="shared" si="107"/>
        <v/>
      </c>
      <c r="BL99" s="323" t="str">
        <f t="shared" si="107"/>
        <v/>
      </c>
      <c r="BM99" s="323" t="str">
        <f t="shared" si="107"/>
        <v/>
      </c>
      <c r="BN99" s="323" t="str">
        <f t="shared" si="107"/>
        <v/>
      </c>
      <c r="BO99" s="323" t="str">
        <f t="shared" si="107"/>
        <v/>
      </c>
      <c r="BP99" s="323" t="str">
        <f t="shared" si="107"/>
        <v/>
      </c>
      <c r="BQ99" s="323" t="str">
        <f t="shared" si="107"/>
        <v/>
      </c>
      <c r="BR99" s="323" t="str">
        <f t="shared" si="107"/>
        <v/>
      </c>
      <c r="BS99" s="323" t="str">
        <f t="shared" si="107"/>
        <v/>
      </c>
      <c r="BT99" s="323" t="str">
        <f t="shared" si="107"/>
        <v/>
      </c>
      <c r="BU99" s="323" t="str">
        <f t="shared" si="107"/>
        <v/>
      </c>
      <c r="BV99" s="323" t="str">
        <f t="shared" si="107"/>
        <v/>
      </c>
      <c r="BW99" s="323" t="str">
        <f t="shared" si="107"/>
        <v/>
      </c>
      <c r="BX99" s="323" t="str">
        <f t="shared" si="107"/>
        <v/>
      </c>
      <c r="BY99" s="323" t="str">
        <f t="shared" si="107"/>
        <v/>
      </c>
      <c r="BZ99" s="323" t="str">
        <f t="shared" si="107"/>
        <v/>
      </c>
      <c r="CA99" s="323" t="str">
        <f t="shared" si="107"/>
        <v/>
      </c>
      <c r="CB99" s="323" t="str">
        <f t="shared" si="107"/>
        <v/>
      </c>
      <c r="CC99" s="323" t="str">
        <f t="shared" si="107"/>
        <v/>
      </c>
      <c r="CD99" s="323" t="str">
        <f t="shared" si="107"/>
        <v/>
      </c>
      <c r="CE99" s="323" t="str">
        <f t="shared" si="107"/>
        <v/>
      </c>
      <c r="CF99" s="323" t="str">
        <f t="shared" si="107"/>
        <v/>
      </c>
      <c r="CG99" s="323" t="str">
        <f t="shared" si="107"/>
        <v/>
      </c>
      <c r="CH99" s="323" t="str">
        <f t="shared" si="107"/>
        <v/>
      </c>
      <c r="CI99" s="323" t="str">
        <f t="shared" si="107"/>
        <v/>
      </c>
      <c r="CJ99" s="323" t="str">
        <f t="shared" si="107"/>
        <v/>
      </c>
      <c r="CK99" s="323" t="str">
        <f t="shared" si="107"/>
        <v/>
      </c>
      <c r="CL99" s="323" t="str">
        <f t="shared" si="107"/>
        <v/>
      </c>
      <c r="CM99" s="323" t="str">
        <f t="shared" si="107"/>
        <v/>
      </c>
      <c r="CN99" s="323"/>
      <c r="CO99" s="323"/>
      <c r="CP99" s="323" t="str">
        <f t="shared" si="16"/>
        <v/>
      </c>
      <c r="CQ99" s="323"/>
      <c r="CR99" s="323"/>
      <c r="CS99" s="323"/>
      <c r="CT99" s="323"/>
      <c r="CU99" s="323"/>
      <c r="CV99" s="323"/>
      <c r="CW99" s="323"/>
      <c r="CX99" s="323"/>
      <c r="CY99" s="323"/>
      <c r="CZ99" s="323"/>
      <c r="DA99" s="323"/>
      <c r="DB99" s="323"/>
      <c r="DC99" s="323"/>
      <c r="DD99" s="323"/>
      <c r="DE99" s="323"/>
      <c r="DF99" s="323"/>
      <c r="DG99" s="323"/>
      <c r="DH99" s="323"/>
      <c r="DI99" s="323"/>
      <c r="DJ99" s="323"/>
      <c r="DK99" s="323"/>
      <c r="DL99" s="323"/>
      <c r="DM99" s="323"/>
      <c r="DN99" s="323"/>
      <c r="DO99" s="323"/>
      <c r="DP99" s="323"/>
      <c r="DQ99" s="323"/>
      <c r="DR99" s="323"/>
      <c r="DS99" s="323"/>
      <c r="DT99" s="323"/>
      <c r="DU99" s="323"/>
      <c r="DV99" s="323"/>
      <c r="DW99" s="323"/>
      <c r="DX99" s="323"/>
      <c r="DY99" s="323"/>
      <c r="DZ99" s="323"/>
      <c r="EA99" s="323"/>
      <c r="EB99" s="323"/>
      <c r="EC99" s="323"/>
      <c r="ED99" s="323"/>
      <c r="EE99" s="323"/>
      <c r="EF99" s="323"/>
      <c r="EG99" s="323"/>
      <c r="EH99" s="323"/>
      <c r="EI99" s="323"/>
      <c r="EJ99" s="323"/>
      <c r="EK99" s="323"/>
      <c r="EL99" s="323"/>
      <c r="EM99" s="323"/>
      <c r="EN99" s="323"/>
      <c r="EO99" s="323"/>
      <c r="EP99" s="323"/>
      <c r="EQ99" s="323"/>
      <c r="ER99" s="323"/>
      <c r="ES99" s="323"/>
      <c r="ET99" s="323"/>
      <c r="EU99" s="323"/>
      <c r="EV99" s="323"/>
      <c r="EW99" s="323"/>
      <c r="EX99" s="323"/>
      <c r="EY99" s="323"/>
      <c r="EZ99" s="323"/>
      <c r="FA99" s="323"/>
      <c r="FB99" s="323"/>
      <c r="FC99" s="323"/>
      <c r="FD99" s="323"/>
      <c r="FE99" s="323"/>
      <c r="FF99" s="323"/>
      <c r="FG99" s="323"/>
      <c r="FH99" s="323"/>
      <c r="FI99" s="323"/>
      <c r="FJ99" s="323"/>
      <c r="FK99" s="323"/>
      <c r="FL99" s="323"/>
      <c r="FM99" s="323"/>
      <c r="FN99" s="323"/>
      <c r="FO99" s="323"/>
      <c r="FP99" s="323"/>
      <c r="FQ99" s="323"/>
      <c r="FR99" s="323"/>
      <c r="FS99" s="323"/>
      <c r="FT99" s="323"/>
      <c r="FU99" s="323"/>
      <c r="FV99" s="323"/>
      <c r="FW99" s="323"/>
      <c r="FX99" s="323"/>
    </row>
    <row r="100" ht="15.75" customHeight="1">
      <c r="A100" s="44">
        <v>95.0</v>
      </c>
      <c r="B100" s="27"/>
      <c r="C100" s="44"/>
      <c r="D100" s="44"/>
      <c r="E100" s="330"/>
      <c r="F100" s="47"/>
      <c r="G100" s="47"/>
      <c r="H100" s="47"/>
      <c r="I100" s="26"/>
      <c r="J100" s="323" t="str">
        <f t="shared" ref="J100:CM100" si="108">IF(AND($I100="Yes",J$2=$H100),"♦","")</f>
        <v/>
      </c>
      <c r="K100" s="323" t="str">
        <f t="shared" si="108"/>
        <v/>
      </c>
      <c r="L100" s="323" t="str">
        <f t="shared" si="108"/>
        <v/>
      </c>
      <c r="M100" s="323" t="str">
        <f t="shared" si="108"/>
        <v/>
      </c>
      <c r="N100" s="323" t="str">
        <f t="shared" si="108"/>
        <v/>
      </c>
      <c r="O100" s="323" t="str">
        <f t="shared" si="108"/>
        <v/>
      </c>
      <c r="P100" s="323" t="str">
        <f t="shared" si="108"/>
        <v/>
      </c>
      <c r="Q100" s="323" t="str">
        <f t="shared" si="108"/>
        <v/>
      </c>
      <c r="R100" s="323" t="str">
        <f t="shared" si="108"/>
        <v/>
      </c>
      <c r="S100" s="323" t="str">
        <f t="shared" si="108"/>
        <v/>
      </c>
      <c r="T100" s="323" t="str">
        <f t="shared" si="108"/>
        <v/>
      </c>
      <c r="U100" s="323" t="str">
        <f t="shared" si="108"/>
        <v/>
      </c>
      <c r="V100" s="323" t="str">
        <f t="shared" si="108"/>
        <v/>
      </c>
      <c r="W100" s="323" t="str">
        <f t="shared" si="108"/>
        <v/>
      </c>
      <c r="X100" s="323" t="str">
        <f t="shared" si="108"/>
        <v/>
      </c>
      <c r="Y100" s="323" t="str">
        <f t="shared" si="108"/>
        <v/>
      </c>
      <c r="Z100" s="323" t="str">
        <f t="shared" si="108"/>
        <v/>
      </c>
      <c r="AA100" s="323" t="str">
        <f t="shared" si="108"/>
        <v/>
      </c>
      <c r="AB100" s="323" t="str">
        <f t="shared" si="108"/>
        <v/>
      </c>
      <c r="AC100" s="323" t="str">
        <f t="shared" si="108"/>
        <v/>
      </c>
      <c r="AD100" s="323" t="str">
        <f t="shared" si="108"/>
        <v/>
      </c>
      <c r="AE100" s="323" t="str">
        <f t="shared" si="108"/>
        <v/>
      </c>
      <c r="AF100" s="323" t="str">
        <f t="shared" si="108"/>
        <v/>
      </c>
      <c r="AG100" s="323" t="str">
        <f t="shared" si="108"/>
        <v/>
      </c>
      <c r="AH100" s="323" t="str">
        <f t="shared" si="108"/>
        <v/>
      </c>
      <c r="AI100" s="323" t="str">
        <f t="shared" si="108"/>
        <v/>
      </c>
      <c r="AJ100" s="323" t="str">
        <f t="shared" si="108"/>
        <v/>
      </c>
      <c r="AK100" s="323" t="str">
        <f t="shared" si="108"/>
        <v/>
      </c>
      <c r="AL100" s="323" t="str">
        <f t="shared" si="108"/>
        <v/>
      </c>
      <c r="AM100" s="323" t="str">
        <f t="shared" si="108"/>
        <v/>
      </c>
      <c r="AN100" s="323" t="str">
        <f t="shared" si="108"/>
        <v/>
      </c>
      <c r="AO100" s="323" t="str">
        <f t="shared" si="108"/>
        <v/>
      </c>
      <c r="AP100" s="323" t="str">
        <f t="shared" si="108"/>
        <v/>
      </c>
      <c r="AQ100" s="323" t="str">
        <f t="shared" si="108"/>
        <v/>
      </c>
      <c r="AR100" s="323" t="str">
        <f t="shared" si="108"/>
        <v/>
      </c>
      <c r="AS100" s="323" t="str">
        <f t="shared" si="108"/>
        <v/>
      </c>
      <c r="AT100" s="323" t="str">
        <f t="shared" si="108"/>
        <v/>
      </c>
      <c r="AU100" s="323" t="str">
        <f t="shared" si="108"/>
        <v/>
      </c>
      <c r="AV100" s="323" t="str">
        <f t="shared" si="108"/>
        <v/>
      </c>
      <c r="AW100" s="323" t="str">
        <f t="shared" si="108"/>
        <v/>
      </c>
      <c r="AX100" s="323" t="str">
        <f t="shared" si="108"/>
        <v/>
      </c>
      <c r="AY100" s="323" t="str">
        <f t="shared" si="108"/>
        <v/>
      </c>
      <c r="AZ100" s="323" t="str">
        <f t="shared" si="108"/>
        <v/>
      </c>
      <c r="BA100" s="323" t="str">
        <f t="shared" si="108"/>
        <v/>
      </c>
      <c r="BB100" s="323" t="str">
        <f t="shared" si="108"/>
        <v/>
      </c>
      <c r="BC100" s="323" t="str">
        <f t="shared" si="108"/>
        <v/>
      </c>
      <c r="BD100" s="323" t="str">
        <f t="shared" si="108"/>
        <v/>
      </c>
      <c r="BE100" s="323" t="str">
        <f t="shared" si="108"/>
        <v/>
      </c>
      <c r="BF100" s="323" t="str">
        <f t="shared" si="108"/>
        <v/>
      </c>
      <c r="BG100" s="323" t="str">
        <f t="shared" si="108"/>
        <v/>
      </c>
      <c r="BH100" s="323" t="str">
        <f t="shared" si="108"/>
        <v/>
      </c>
      <c r="BI100" s="323" t="str">
        <f t="shared" si="108"/>
        <v/>
      </c>
      <c r="BJ100" s="323" t="str">
        <f t="shared" si="108"/>
        <v/>
      </c>
      <c r="BK100" s="323" t="str">
        <f t="shared" si="108"/>
        <v/>
      </c>
      <c r="BL100" s="323" t="str">
        <f t="shared" si="108"/>
        <v/>
      </c>
      <c r="BM100" s="323" t="str">
        <f t="shared" si="108"/>
        <v/>
      </c>
      <c r="BN100" s="323" t="str">
        <f t="shared" si="108"/>
        <v/>
      </c>
      <c r="BO100" s="323" t="str">
        <f t="shared" si="108"/>
        <v/>
      </c>
      <c r="BP100" s="323" t="str">
        <f t="shared" si="108"/>
        <v/>
      </c>
      <c r="BQ100" s="323" t="str">
        <f t="shared" si="108"/>
        <v/>
      </c>
      <c r="BR100" s="323" t="str">
        <f t="shared" si="108"/>
        <v/>
      </c>
      <c r="BS100" s="323" t="str">
        <f t="shared" si="108"/>
        <v/>
      </c>
      <c r="BT100" s="323" t="str">
        <f t="shared" si="108"/>
        <v/>
      </c>
      <c r="BU100" s="323" t="str">
        <f t="shared" si="108"/>
        <v/>
      </c>
      <c r="BV100" s="323" t="str">
        <f t="shared" si="108"/>
        <v/>
      </c>
      <c r="BW100" s="323" t="str">
        <f t="shared" si="108"/>
        <v/>
      </c>
      <c r="BX100" s="323" t="str">
        <f t="shared" si="108"/>
        <v/>
      </c>
      <c r="BY100" s="323" t="str">
        <f t="shared" si="108"/>
        <v/>
      </c>
      <c r="BZ100" s="323" t="str">
        <f t="shared" si="108"/>
        <v/>
      </c>
      <c r="CA100" s="323" t="str">
        <f t="shared" si="108"/>
        <v/>
      </c>
      <c r="CB100" s="323" t="str">
        <f t="shared" si="108"/>
        <v/>
      </c>
      <c r="CC100" s="323" t="str">
        <f t="shared" si="108"/>
        <v/>
      </c>
      <c r="CD100" s="323" t="str">
        <f t="shared" si="108"/>
        <v/>
      </c>
      <c r="CE100" s="323" t="str">
        <f t="shared" si="108"/>
        <v/>
      </c>
      <c r="CF100" s="323" t="str">
        <f t="shared" si="108"/>
        <v/>
      </c>
      <c r="CG100" s="323" t="str">
        <f t="shared" si="108"/>
        <v/>
      </c>
      <c r="CH100" s="323" t="str">
        <f t="shared" si="108"/>
        <v/>
      </c>
      <c r="CI100" s="323" t="str">
        <f t="shared" si="108"/>
        <v/>
      </c>
      <c r="CJ100" s="323" t="str">
        <f t="shared" si="108"/>
        <v/>
      </c>
      <c r="CK100" s="323" t="str">
        <f t="shared" si="108"/>
        <v/>
      </c>
      <c r="CL100" s="323" t="str">
        <f t="shared" si="108"/>
        <v/>
      </c>
      <c r="CM100" s="323" t="str">
        <f t="shared" si="108"/>
        <v/>
      </c>
      <c r="CN100" s="323"/>
      <c r="CO100" s="323"/>
      <c r="CP100" s="323" t="str">
        <f t="shared" si="16"/>
        <v/>
      </c>
      <c r="CQ100" s="323"/>
      <c r="CR100" s="323"/>
      <c r="CS100" s="323"/>
      <c r="CT100" s="323"/>
      <c r="CU100" s="323"/>
      <c r="CV100" s="323"/>
      <c r="CW100" s="323"/>
      <c r="CX100" s="323"/>
      <c r="CY100" s="323"/>
      <c r="CZ100" s="323"/>
      <c r="DA100" s="323"/>
      <c r="DB100" s="323"/>
      <c r="DC100" s="323"/>
      <c r="DD100" s="323"/>
      <c r="DE100" s="323"/>
      <c r="DF100" s="323"/>
      <c r="DG100" s="323"/>
      <c r="DH100" s="323"/>
      <c r="DI100" s="323"/>
      <c r="DJ100" s="323"/>
      <c r="DK100" s="323"/>
      <c r="DL100" s="323"/>
      <c r="DM100" s="323"/>
      <c r="DN100" s="323"/>
      <c r="DO100" s="323"/>
      <c r="DP100" s="323"/>
      <c r="DQ100" s="323"/>
      <c r="DR100" s="323"/>
      <c r="DS100" s="323"/>
      <c r="DT100" s="323"/>
      <c r="DU100" s="323"/>
      <c r="DV100" s="323"/>
      <c r="DW100" s="323"/>
      <c r="DX100" s="323"/>
      <c r="DY100" s="323"/>
      <c r="DZ100" s="323"/>
      <c r="EA100" s="323"/>
      <c r="EB100" s="323"/>
      <c r="EC100" s="323"/>
      <c r="ED100" s="323"/>
      <c r="EE100" s="323"/>
      <c r="EF100" s="323"/>
      <c r="EG100" s="323"/>
      <c r="EH100" s="323"/>
      <c r="EI100" s="323"/>
      <c r="EJ100" s="323"/>
      <c r="EK100" s="323"/>
      <c r="EL100" s="323"/>
      <c r="EM100" s="323"/>
      <c r="EN100" s="323"/>
      <c r="EO100" s="323"/>
      <c r="EP100" s="323"/>
      <c r="EQ100" s="323"/>
      <c r="ER100" s="323"/>
      <c r="ES100" s="323"/>
      <c r="ET100" s="323"/>
      <c r="EU100" s="323"/>
      <c r="EV100" s="323"/>
      <c r="EW100" s="323"/>
      <c r="EX100" s="323"/>
      <c r="EY100" s="323"/>
      <c r="EZ100" s="323"/>
      <c r="FA100" s="323"/>
      <c r="FB100" s="323"/>
      <c r="FC100" s="323"/>
      <c r="FD100" s="323"/>
      <c r="FE100" s="323"/>
      <c r="FF100" s="323"/>
      <c r="FG100" s="323"/>
      <c r="FH100" s="323"/>
      <c r="FI100" s="323"/>
      <c r="FJ100" s="323"/>
      <c r="FK100" s="323"/>
      <c r="FL100" s="323"/>
      <c r="FM100" s="323"/>
      <c r="FN100" s="323"/>
      <c r="FO100" s="323"/>
      <c r="FP100" s="323"/>
      <c r="FQ100" s="323"/>
      <c r="FR100" s="323"/>
      <c r="FS100" s="323"/>
      <c r="FT100" s="323"/>
      <c r="FU100" s="323"/>
      <c r="FV100" s="323"/>
      <c r="FW100" s="323"/>
      <c r="FX100" s="323"/>
    </row>
    <row r="101" ht="15.75" customHeight="1">
      <c r="A101" s="44">
        <v>96.0</v>
      </c>
      <c r="B101" s="27"/>
      <c r="C101" s="44"/>
      <c r="D101" s="44"/>
      <c r="E101" s="330"/>
      <c r="F101" s="47"/>
      <c r="G101" s="47"/>
      <c r="H101" s="47"/>
      <c r="I101" s="26"/>
      <c r="J101" s="323" t="str">
        <f t="shared" ref="J101:CM101" si="109">IF(AND($I101="Yes",J$2=$H101),"♦","")</f>
        <v/>
      </c>
      <c r="K101" s="323" t="str">
        <f t="shared" si="109"/>
        <v/>
      </c>
      <c r="L101" s="323" t="str">
        <f t="shared" si="109"/>
        <v/>
      </c>
      <c r="M101" s="323" t="str">
        <f t="shared" si="109"/>
        <v/>
      </c>
      <c r="N101" s="323" t="str">
        <f t="shared" si="109"/>
        <v/>
      </c>
      <c r="O101" s="323" t="str">
        <f t="shared" si="109"/>
        <v/>
      </c>
      <c r="P101" s="323" t="str">
        <f t="shared" si="109"/>
        <v/>
      </c>
      <c r="Q101" s="323" t="str">
        <f t="shared" si="109"/>
        <v/>
      </c>
      <c r="R101" s="323" t="str">
        <f t="shared" si="109"/>
        <v/>
      </c>
      <c r="S101" s="323" t="str">
        <f t="shared" si="109"/>
        <v/>
      </c>
      <c r="T101" s="323" t="str">
        <f t="shared" si="109"/>
        <v/>
      </c>
      <c r="U101" s="323" t="str">
        <f t="shared" si="109"/>
        <v/>
      </c>
      <c r="V101" s="323" t="str">
        <f t="shared" si="109"/>
        <v/>
      </c>
      <c r="W101" s="323" t="str">
        <f t="shared" si="109"/>
        <v/>
      </c>
      <c r="X101" s="323" t="str">
        <f t="shared" si="109"/>
        <v/>
      </c>
      <c r="Y101" s="323" t="str">
        <f t="shared" si="109"/>
        <v/>
      </c>
      <c r="Z101" s="323" t="str">
        <f t="shared" si="109"/>
        <v/>
      </c>
      <c r="AA101" s="323" t="str">
        <f t="shared" si="109"/>
        <v/>
      </c>
      <c r="AB101" s="323" t="str">
        <f t="shared" si="109"/>
        <v/>
      </c>
      <c r="AC101" s="323" t="str">
        <f t="shared" si="109"/>
        <v/>
      </c>
      <c r="AD101" s="323" t="str">
        <f t="shared" si="109"/>
        <v/>
      </c>
      <c r="AE101" s="323" t="str">
        <f t="shared" si="109"/>
        <v/>
      </c>
      <c r="AF101" s="323" t="str">
        <f t="shared" si="109"/>
        <v/>
      </c>
      <c r="AG101" s="323" t="str">
        <f t="shared" si="109"/>
        <v/>
      </c>
      <c r="AH101" s="323" t="str">
        <f t="shared" si="109"/>
        <v/>
      </c>
      <c r="AI101" s="323" t="str">
        <f t="shared" si="109"/>
        <v/>
      </c>
      <c r="AJ101" s="323" t="str">
        <f t="shared" si="109"/>
        <v/>
      </c>
      <c r="AK101" s="323" t="str">
        <f t="shared" si="109"/>
        <v/>
      </c>
      <c r="AL101" s="323" t="str">
        <f t="shared" si="109"/>
        <v/>
      </c>
      <c r="AM101" s="323" t="str">
        <f t="shared" si="109"/>
        <v/>
      </c>
      <c r="AN101" s="323" t="str">
        <f t="shared" si="109"/>
        <v/>
      </c>
      <c r="AO101" s="323" t="str">
        <f t="shared" si="109"/>
        <v/>
      </c>
      <c r="AP101" s="323" t="str">
        <f t="shared" si="109"/>
        <v/>
      </c>
      <c r="AQ101" s="323" t="str">
        <f t="shared" si="109"/>
        <v/>
      </c>
      <c r="AR101" s="323" t="str">
        <f t="shared" si="109"/>
        <v/>
      </c>
      <c r="AS101" s="323" t="str">
        <f t="shared" si="109"/>
        <v/>
      </c>
      <c r="AT101" s="323" t="str">
        <f t="shared" si="109"/>
        <v/>
      </c>
      <c r="AU101" s="323" t="str">
        <f t="shared" si="109"/>
        <v/>
      </c>
      <c r="AV101" s="323" t="str">
        <f t="shared" si="109"/>
        <v/>
      </c>
      <c r="AW101" s="323" t="str">
        <f t="shared" si="109"/>
        <v/>
      </c>
      <c r="AX101" s="323" t="str">
        <f t="shared" si="109"/>
        <v/>
      </c>
      <c r="AY101" s="323" t="str">
        <f t="shared" si="109"/>
        <v/>
      </c>
      <c r="AZ101" s="323" t="str">
        <f t="shared" si="109"/>
        <v/>
      </c>
      <c r="BA101" s="323" t="str">
        <f t="shared" si="109"/>
        <v/>
      </c>
      <c r="BB101" s="323" t="str">
        <f t="shared" si="109"/>
        <v/>
      </c>
      <c r="BC101" s="323" t="str">
        <f t="shared" si="109"/>
        <v/>
      </c>
      <c r="BD101" s="323" t="str">
        <f t="shared" si="109"/>
        <v/>
      </c>
      <c r="BE101" s="323" t="str">
        <f t="shared" si="109"/>
        <v/>
      </c>
      <c r="BF101" s="323" t="str">
        <f t="shared" si="109"/>
        <v/>
      </c>
      <c r="BG101" s="323" t="str">
        <f t="shared" si="109"/>
        <v/>
      </c>
      <c r="BH101" s="323" t="str">
        <f t="shared" si="109"/>
        <v/>
      </c>
      <c r="BI101" s="323" t="str">
        <f t="shared" si="109"/>
        <v/>
      </c>
      <c r="BJ101" s="323" t="str">
        <f t="shared" si="109"/>
        <v/>
      </c>
      <c r="BK101" s="323" t="str">
        <f t="shared" si="109"/>
        <v/>
      </c>
      <c r="BL101" s="323" t="str">
        <f t="shared" si="109"/>
        <v/>
      </c>
      <c r="BM101" s="323" t="str">
        <f t="shared" si="109"/>
        <v/>
      </c>
      <c r="BN101" s="323" t="str">
        <f t="shared" si="109"/>
        <v/>
      </c>
      <c r="BO101" s="323" t="str">
        <f t="shared" si="109"/>
        <v/>
      </c>
      <c r="BP101" s="323" t="str">
        <f t="shared" si="109"/>
        <v/>
      </c>
      <c r="BQ101" s="323" t="str">
        <f t="shared" si="109"/>
        <v/>
      </c>
      <c r="BR101" s="323" t="str">
        <f t="shared" si="109"/>
        <v/>
      </c>
      <c r="BS101" s="323" t="str">
        <f t="shared" si="109"/>
        <v/>
      </c>
      <c r="BT101" s="323" t="str">
        <f t="shared" si="109"/>
        <v/>
      </c>
      <c r="BU101" s="323" t="str">
        <f t="shared" si="109"/>
        <v/>
      </c>
      <c r="BV101" s="323" t="str">
        <f t="shared" si="109"/>
        <v/>
      </c>
      <c r="BW101" s="323" t="str">
        <f t="shared" si="109"/>
        <v/>
      </c>
      <c r="BX101" s="323" t="str">
        <f t="shared" si="109"/>
        <v/>
      </c>
      <c r="BY101" s="323" t="str">
        <f t="shared" si="109"/>
        <v/>
      </c>
      <c r="BZ101" s="323" t="str">
        <f t="shared" si="109"/>
        <v/>
      </c>
      <c r="CA101" s="323" t="str">
        <f t="shared" si="109"/>
        <v/>
      </c>
      <c r="CB101" s="323" t="str">
        <f t="shared" si="109"/>
        <v/>
      </c>
      <c r="CC101" s="323" t="str">
        <f t="shared" si="109"/>
        <v/>
      </c>
      <c r="CD101" s="323" t="str">
        <f t="shared" si="109"/>
        <v/>
      </c>
      <c r="CE101" s="323" t="str">
        <f t="shared" si="109"/>
        <v/>
      </c>
      <c r="CF101" s="323" t="str">
        <f t="shared" si="109"/>
        <v/>
      </c>
      <c r="CG101" s="323" t="str">
        <f t="shared" si="109"/>
        <v/>
      </c>
      <c r="CH101" s="323" t="str">
        <f t="shared" si="109"/>
        <v/>
      </c>
      <c r="CI101" s="323" t="str">
        <f t="shared" si="109"/>
        <v/>
      </c>
      <c r="CJ101" s="323" t="str">
        <f t="shared" si="109"/>
        <v/>
      </c>
      <c r="CK101" s="323" t="str">
        <f t="shared" si="109"/>
        <v/>
      </c>
      <c r="CL101" s="323" t="str">
        <f t="shared" si="109"/>
        <v/>
      </c>
      <c r="CM101" s="323" t="str">
        <f t="shared" si="109"/>
        <v/>
      </c>
      <c r="CN101" s="323"/>
      <c r="CO101" s="323"/>
      <c r="CP101" s="323" t="str">
        <f t="shared" si="16"/>
        <v/>
      </c>
      <c r="CQ101" s="323"/>
      <c r="CR101" s="323"/>
      <c r="CS101" s="323"/>
      <c r="CT101" s="323"/>
      <c r="CU101" s="323"/>
      <c r="CV101" s="323"/>
      <c r="CW101" s="323"/>
      <c r="CX101" s="323"/>
      <c r="CY101" s="323"/>
      <c r="CZ101" s="323"/>
      <c r="DA101" s="323"/>
      <c r="DB101" s="323"/>
      <c r="DC101" s="323"/>
      <c r="DD101" s="323"/>
      <c r="DE101" s="323"/>
      <c r="DF101" s="323"/>
      <c r="DG101" s="323"/>
      <c r="DH101" s="323"/>
      <c r="DI101" s="323"/>
      <c r="DJ101" s="323"/>
      <c r="DK101" s="323"/>
      <c r="DL101" s="323"/>
      <c r="DM101" s="323"/>
      <c r="DN101" s="323"/>
      <c r="DO101" s="323"/>
      <c r="DP101" s="323"/>
      <c r="DQ101" s="323"/>
      <c r="DR101" s="323"/>
      <c r="DS101" s="323"/>
      <c r="DT101" s="323"/>
      <c r="DU101" s="323"/>
      <c r="DV101" s="323"/>
      <c r="DW101" s="323"/>
      <c r="DX101" s="323"/>
      <c r="DY101" s="323"/>
      <c r="DZ101" s="323"/>
      <c r="EA101" s="323"/>
      <c r="EB101" s="323"/>
      <c r="EC101" s="323"/>
      <c r="ED101" s="323"/>
      <c r="EE101" s="323"/>
      <c r="EF101" s="323"/>
      <c r="EG101" s="323"/>
      <c r="EH101" s="323"/>
      <c r="EI101" s="323"/>
      <c r="EJ101" s="323"/>
      <c r="EK101" s="323"/>
      <c r="EL101" s="323"/>
      <c r="EM101" s="323"/>
      <c r="EN101" s="323"/>
      <c r="EO101" s="323"/>
      <c r="EP101" s="323"/>
      <c r="EQ101" s="323"/>
      <c r="ER101" s="323"/>
      <c r="ES101" s="323"/>
      <c r="ET101" s="323"/>
      <c r="EU101" s="323"/>
      <c r="EV101" s="323"/>
      <c r="EW101" s="323"/>
      <c r="EX101" s="323"/>
      <c r="EY101" s="323"/>
      <c r="EZ101" s="323"/>
      <c r="FA101" s="323"/>
      <c r="FB101" s="323"/>
      <c r="FC101" s="323"/>
      <c r="FD101" s="323"/>
      <c r="FE101" s="323"/>
      <c r="FF101" s="323"/>
      <c r="FG101" s="323"/>
      <c r="FH101" s="323"/>
      <c r="FI101" s="323"/>
      <c r="FJ101" s="323"/>
      <c r="FK101" s="323"/>
      <c r="FL101" s="323"/>
      <c r="FM101" s="323"/>
      <c r="FN101" s="323"/>
      <c r="FO101" s="323"/>
      <c r="FP101" s="323"/>
      <c r="FQ101" s="323"/>
      <c r="FR101" s="323"/>
      <c r="FS101" s="323"/>
      <c r="FT101" s="323"/>
      <c r="FU101" s="323"/>
      <c r="FV101" s="323"/>
      <c r="FW101" s="323"/>
      <c r="FX101" s="323"/>
    </row>
    <row r="102" ht="15.75" customHeight="1">
      <c r="A102" s="44">
        <v>97.0</v>
      </c>
      <c r="B102" s="27"/>
      <c r="C102" s="44"/>
      <c r="D102" s="44"/>
      <c r="E102" s="330"/>
      <c r="F102" s="47"/>
      <c r="G102" s="47"/>
      <c r="H102" s="47"/>
      <c r="I102" s="26"/>
      <c r="J102" s="323" t="str">
        <f t="shared" ref="J102:CM102" si="110">IF(AND($I102="Yes",J$2=$H102),"♦","")</f>
        <v/>
      </c>
      <c r="K102" s="323" t="str">
        <f t="shared" si="110"/>
        <v/>
      </c>
      <c r="L102" s="323" t="str">
        <f t="shared" si="110"/>
        <v/>
      </c>
      <c r="M102" s="323" t="str">
        <f t="shared" si="110"/>
        <v/>
      </c>
      <c r="N102" s="323" t="str">
        <f t="shared" si="110"/>
        <v/>
      </c>
      <c r="O102" s="323" t="str">
        <f t="shared" si="110"/>
        <v/>
      </c>
      <c r="P102" s="323" t="str">
        <f t="shared" si="110"/>
        <v/>
      </c>
      <c r="Q102" s="323" t="str">
        <f t="shared" si="110"/>
        <v/>
      </c>
      <c r="R102" s="323" t="str">
        <f t="shared" si="110"/>
        <v/>
      </c>
      <c r="S102" s="323" t="str">
        <f t="shared" si="110"/>
        <v/>
      </c>
      <c r="T102" s="323" t="str">
        <f t="shared" si="110"/>
        <v/>
      </c>
      <c r="U102" s="323" t="str">
        <f t="shared" si="110"/>
        <v/>
      </c>
      <c r="V102" s="323" t="str">
        <f t="shared" si="110"/>
        <v/>
      </c>
      <c r="W102" s="323" t="str">
        <f t="shared" si="110"/>
        <v/>
      </c>
      <c r="X102" s="323" t="str">
        <f t="shared" si="110"/>
        <v/>
      </c>
      <c r="Y102" s="323" t="str">
        <f t="shared" si="110"/>
        <v/>
      </c>
      <c r="Z102" s="323" t="str">
        <f t="shared" si="110"/>
        <v/>
      </c>
      <c r="AA102" s="323" t="str">
        <f t="shared" si="110"/>
        <v/>
      </c>
      <c r="AB102" s="323" t="str">
        <f t="shared" si="110"/>
        <v/>
      </c>
      <c r="AC102" s="323" t="str">
        <f t="shared" si="110"/>
        <v/>
      </c>
      <c r="AD102" s="323" t="str">
        <f t="shared" si="110"/>
        <v/>
      </c>
      <c r="AE102" s="323" t="str">
        <f t="shared" si="110"/>
        <v/>
      </c>
      <c r="AF102" s="323" t="str">
        <f t="shared" si="110"/>
        <v/>
      </c>
      <c r="AG102" s="323" t="str">
        <f t="shared" si="110"/>
        <v/>
      </c>
      <c r="AH102" s="323" t="str">
        <f t="shared" si="110"/>
        <v/>
      </c>
      <c r="AI102" s="323" t="str">
        <f t="shared" si="110"/>
        <v/>
      </c>
      <c r="AJ102" s="323" t="str">
        <f t="shared" si="110"/>
        <v/>
      </c>
      <c r="AK102" s="323" t="str">
        <f t="shared" si="110"/>
        <v/>
      </c>
      <c r="AL102" s="323" t="str">
        <f t="shared" si="110"/>
        <v/>
      </c>
      <c r="AM102" s="323" t="str">
        <f t="shared" si="110"/>
        <v/>
      </c>
      <c r="AN102" s="323" t="str">
        <f t="shared" si="110"/>
        <v/>
      </c>
      <c r="AO102" s="323" t="str">
        <f t="shared" si="110"/>
        <v/>
      </c>
      <c r="AP102" s="323" t="str">
        <f t="shared" si="110"/>
        <v/>
      </c>
      <c r="AQ102" s="323" t="str">
        <f t="shared" si="110"/>
        <v/>
      </c>
      <c r="AR102" s="323" t="str">
        <f t="shared" si="110"/>
        <v/>
      </c>
      <c r="AS102" s="323" t="str">
        <f t="shared" si="110"/>
        <v/>
      </c>
      <c r="AT102" s="323" t="str">
        <f t="shared" si="110"/>
        <v/>
      </c>
      <c r="AU102" s="323" t="str">
        <f t="shared" si="110"/>
        <v/>
      </c>
      <c r="AV102" s="323" t="str">
        <f t="shared" si="110"/>
        <v/>
      </c>
      <c r="AW102" s="323" t="str">
        <f t="shared" si="110"/>
        <v/>
      </c>
      <c r="AX102" s="323" t="str">
        <f t="shared" si="110"/>
        <v/>
      </c>
      <c r="AY102" s="323" t="str">
        <f t="shared" si="110"/>
        <v/>
      </c>
      <c r="AZ102" s="323" t="str">
        <f t="shared" si="110"/>
        <v/>
      </c>
      <c r="BA102" s="323" t="str">
        <f t="shared" si="110"/>
        <v/>
      </c>
      <c r="BB102" s="323" t="str">
        <f t="shared" si="110"/>
        <v/>
      </c>
      <c r="BC102" s="323" t="str">
        <f t="shared" si="110"/>
        <v/>
      </c>
      <c r="BD102" s="323" t="str">
        <f t="shared" si="110"/>
        <v/>
      </c>
      <c r="BE102" s="323" t="str">
        <f t="shared" si="110"/>
        <v/>
      </c>
      <c r="BF102" s="323" t="str">
        <f t="shared" si="110"/>
        <v/>
      </c>
      <c r="BG102" s="323" t="str">
        <f t="shared" si="110"/>
        <v/>
      </c>
      <c r="BH102" s="323" t="str">
        <f t="shared" si="110"/>
        <v/>
      </c>
      <c r="BI102" s="323" t="str">
        <f t="shared" si="110"/>
        <v/>
      </c>
      <c r="BJ102" s="323" t="str">
        <f t="shared" si="110"/>
        <v/>
      </c>
      <c r="BK102" s="323" t="str">
        <f t="shared" si="110"/>
        <v/>
      </c>
      <c r="BL102" s="323" t="str">
        <f t="shared" si="110"/>
        <v/>
      </c>
      <c r="BM102" s="323" t="str">
        <f t="shared" si="110"/>
        <v/>
      </c>
      <c r="BN102" s="323" t="str">
        <f t="shared" si="110"/>
        <v/>
      </c>
      <c r="BO102" s="323" t="str">
        <f t="shared" si="110"/>
        <v/>
      </c>
      <c r="BP102" s="323" t="str">
        <f t="shared" si="110"/>
        <v/>
      </c>
      <c r="BQ102" s="323" t="str">
        <f t="shared" si="110"/>
        <v/>
      </c>
      <c r="BR102" s="323" t="str">
        <f t="shared" si="110"/>
        <v/>
      </c>
      <c r="BS102" s="323" t="str">
        <f t="shared" si="110"/>
        <v/>
      </c>
      <c r="BT102" s="323" t="str">
        <f t="shared" si="110"/>
        <v/>
      </c>
      <c r="BU102" s="323" t="str">
        <f t="shared" si="110"/>
        <v/>
      </c>
      <c r="BV102" s="323" t="str">
        <f t="shared" si="110"/>
        <v/>
      </c>
      <c r="BW102" s="323" t="str">
        <f t="shared" si="110"/>
        <v/>
      </c>
      <c r="BX102" s="323" t="str">
        <f t="shared" si="110"/>
        <v/>
      </c>
      <c r="BY102" s="323" t="str">
        <f t="shared" si="110"/>
        <v/>
      </c>
      <c r="BZ102" s="323" t="str">
        <f t="shared" si="110"/>
        <v/>
      </c>
      <c r="CA102" s="323" t="str">
        <f t="shared" si="110"/>
        <v/>
      </c>
      <c r="CB102" s="323" t="str">
        <f t="shared" si="110"/>
        <v/>
      </c>
      <c r="CC102" s="323" t="str">
        <f t="shared" si="110"/>
        <v/>
      </c>
      <c r="CD102" s="323" t="str">
        <f t="shared" si="110"/>
        <v/>
      </c>
      <c r="CE102" s="323" t="str">
        <f t="shared" si="110"/>
        <v/>
      </c>
      <c r="CF102" s="323" t="str">
        <f t="shared" si="110"/>
        <v/>
      </c>
      <c r="CG102" s="323" t="str">
        <f t="shared" si="110"/>
        <v/>
      </c>
      <c r="CH102" s="323" t="str">
        <f t="shared" si="110"/>
        <v/>
      </c>
      <c r="CI102" s="323" t="str">
        <f t="shared" si="110"/>
        <v/>
      </c>
      <c r="CJ102" s="323" t="str">
        <f t="shared" si="110"/>
        <v/>
      </c>
      <c r="CK102" s="323" t="str">
        <f t="shared" si="110"/>
        <v/>
      </c>
      <c r="CL102" s="323" t="str">
        <f t="shared" si="110"/>
        <v/>
      </c>
      <c r="CM102" s="323" t="str">
        <f t="shared" si="110"/>
        <v/>
      </c>
      <c r="CN102" s="323"/>
      <c r="CO102" s="323"/>
      <c r="CP102" s="323" t="str">
        <f t="shared" si="16"/>
        <v/>
      </c>
      <c r="CQ102" s="323"/>
      <c r="CR102" s="323"/>
      <c r="CS102" s="323"/>
      <c r="CT102" s="323"/>
      <c r="CU102" s="323"/>
      <c r="CV102" s="323"/>
      <c r="CW102" s="323"/>
      <c r="CX102" s="323"/>
      <c r="CY102" s="323"/>
      <c r="CZ102" s="323"/>
      <c r="DA102" s="323"/>
      <c r="DB102" s="323"/>
      <c r="DC102" s="323"/>
      <c r="DD102" s="323"/>
      <c r="DE102" s="323"/>
      <c r="DF102" s="323"/>
      <c r="DG102" s="323"/>
      <c r="DH102" s="323"/>
      <c r="DI102" s="323"/>
      <c r="DJ102" s="323"/>
      <c r="DK102" s="323"/>
      <c r="DL102" s="323"/>
      <c r="DM102" s="323"/>
      <c r="DN102" s="323"/>
      <c r="DO102" s="323"/>
      <c r="DP102" s="323"/>
      <c r="DQ102" s="323"/>
      <c r="DR102" s="323"/>
      <c r="DS102" s="323"/>
      <c r="DT102" s="323"/>
      <c r="DU102" s="323"/>
      <c r="DV102" s="323"/>
      <c r="DW102" s="323"/>
      <c r="DX102" s="323"/>
      <c r="DY102" s="323"/>
      <c r="DZ102" s="323"/>
      <c r="EA102" s="323"/>
      <c r="EB102" s="323"/>
      <c r="EC102" s="323"/>
      <c r="ED102" s="323"/>
      <c r="EE102" s="323"/>
      <c r="EF102" s="323"/>
      <c r="EG102" s="323"/>
      <c r="EH102" s="323"/>
      <c r="EI102" s="323"/>
      <c r="EJ102" s="323"/>
      <c r="EK102" s="323"/>
      <c r="EL102" s="323"/>
      <c r="EM102" s="323"/>
      <c r="EN102" s="323"/>
      <c r="EO102" s="323"/>
      <c r="EP102" s="323"/>
      <c r="EQ102" s="323"/>
      <c r="ER102" s="323"/>
      <c r="ES102" s="323"/>
      <c r="ET102" s="323"/>
      <c r="EU102" s="323"/>
      <c r="EV102" s="323"/>
      <c r="EW102" s="323"/>
      <c r="EX102" s="323"/>
      <c r="EY102" s="323"/>
      <c r="EZ102" s="323"/>
      <c r="FA102" s="323"/>
      <c r="FB102" s="323"/>
      <c r="FC102" s="323"/>
      <c r="FD102" s="323"/>
      <c r="FE102" s="323"/>
      <c r="FF102" s="323"/>
      <c r="FG102" s="323"/>
      <c r="FH102" s="323"/>
      <c r="FI102" s="323"/>
      <c r="FJ102" s="323"/>
      <c r="FK102" s="323"/>
      <c r="FL102" s="323"/>
      <c r="FM102" s="323"/>
      <c r="FN102" s="323"/>
      <c r="FO102" s="323"/>
      <c r="FP102" s="323"/>
      <c r="FQ102" s="323"/>
      <c r="FR102" s="323"/>
      <c r="FS102" s="323"/>
      <c r="FT102" s="323"/>
      <c r="FU102" s="323"/>
      <c r="FV102" s="323"/>
      <c r="FW102" s="323"/>
      <c r="FX102" s="323"/>
    </row>
    <row r="103" ht="15.75" customHeight="1">
      <c r="A103" s="44">
        <v>97.0</v>
      </c>
      <c r="B103" s="27"/>
      <c r="C103" s="44"/>
      <c r="D103" s="44"/>
      <c r="E103" s="330"/>
      <c r="F103" s="47"/>
      <c r="G103" s="47"/>
      <c r="H103" s="47"/>
      <c r="I103" s="26"/>
      <c r="J103" s="332"/>
      <c r="K103" s="332"/>
      <c r="L103" s="332"/>
      <c r="M103" s="332"/>
      <c r="N103" s="332"/>
      <c r="O103" s="332"/>
      <c r="P103" s="332"/>
      <c r="Q103" s="332"/>
      <c r="R103" s="332"/>
      <c r="S103" s="332"/>
      <c r="T103" s="332"/>
      <c r="U103" s="332"/>
      <c r="V103" s="332"/>
      <c r="W103" s="332"/>
      <c r="X103" s="332"/>
      <c r="Y103" s="332"/>
      <c r="Z103" s="332"/>
      <c r="AA103" s="332"/>
      <c r="AB103" s="332"/>
      <c r="AC103" s="332"/>
      <c r="AD103" s="332"/>
      <c r="AE103" s="332"/>
      <c r="AF103" s="332"/>
      <c r="AG103" s="332"/>
      <c r="AH103" s="332"/>
      <c r="AI103" s="332"/>
      <c r="AJ103" s="332"/>
      <c r="AK103" s="332"/>
      <c r="AL103" s="332"/>
      <c r="AM103" s="332"/>
      <c r="AN103" s="332"/>
      <c r="AO103" s="332"/>
      <c r="AP103" s="332"/>
      <c r="AQ103" s="332"/>
      <c r="AR103" s="332"/>
      <c r="AS103" s="332"/>
      <c r="AT103" s="332"/>
      <c r="AU103" s="332"/>
      <c r="AV103" s="332"/>
      <c r="AW103" s="332"/>
      <c r="AX103" s="332"/>
      <c r="AY103" s="332"/>
      <c r="AZ103" s="332"/>
      <c r="BA103" s="332"/>
      <c r="BB103" s="332"/>
      <c r="BC103" s="332"/>
      <c r="BD103" s="332"/>
      <c r="BE103" s="332"/>
      <c r="BF103" s="332"/>
      <c r="BG103" s="332"/>
      <c r="BH103" s="332"/>
      <c r="BI103" s="332"/>
      <c r="BJ103" s="332"/>
      <c r="BK103" s="332"/>
      <c r="BL103" s="332"/>
      <c r="BM103" s="332"/>
      <c r="BN103" s="332"/>
      <c r="BO103" s="332"/>
      <c r="BP103" s="332"/>
      <c r="BQ103" s="332"/>
      <c r="BR103" s="332"/>
      <c r="BS103" s="332"/>
      <c r="BT103" s="332"/>
      <c r="BU103" s="332"/>
      <c r="BV103" s="332"/>
      <c r="BW103" s="332"/>
      <c r="BX103" s="332"/>
      <c r="BY103" s="332"/>
      <c r="BZ103" s="332"/>
      <c r="CA103" s="332"/>
      <c r="CB103" s="332"/>
      <c r="CC103" s="332"/>
      <c r="CD103" s="332"/>
      <c r="CE103" s="332"/>
      <c r="CF103" s="332"/>
      <c r="CG103" s="332"/>
      <c r="CH103" s="332"/>
      <c r="CI103" s="332"/>
      <c r="CJ103" s="332"/>
      <c r="CK103" s="332"/>
      <c r="CL103" s="332"/>
      <c r="CM103" s="332"/>
      <c r="CN103" s="332"/>
      <c r="CO103" s="332"/>
      <c r="CP103" s="323" t="str">
        <f t="shared" si="16"/>
        <v/>
      </c>
      <c r="CQ103" s="332"/>
      <c r="CR103" s="332"/>
      <c r="CS103" s="332"/>
      <c r="CT103" s="332"/>
      <c r="CU103" s="332"/>
      <c r="CV103" s="332"/>
      <c r="CW103" s="332"/>
      <c r="CX103" s="332"/>
      <c r="CY103" s="332"/>
      <c r="CZ103" s="332"/>
      <c r="DA103" s="332"/>
      <c r="DB103" s="332"/>
      <c r="DC103" s="332"/>
      <c r="DD103" s="332"/>
      <c r="DE103" s="332"/>
      <c r="DF103" s="332"/>
      <c r="DG103" s="332"/>
      <c r="DH103" s="332"/>
      <c r="DI103" s="332"/>
      <c r="DJ103" s="332"/>
      <c r="DK103" s="332"/>
      <c r="DL103" s="332"/>
      <c r="DM103" s="332"/>
      <c r="DN103" s="332"/>
      <c r="DO103" s="332"/>
      <c r="DP103" s="332"/>
      <c r="DQ103" s="332"/>
      <c r="DR103" s="332"/>
      <c r="DS103" s="332"/>
      <c r="DT103" s="332"/>
      <c r="DU103" s="332"/>
      <c r="DV103" s="332"/>
      <c r="DW103" s="332"/>
      <c r="DX103" s="332"/>
      <c r="DY103" s="332"/>
      <c r="DZ103" s="332"/>
      <c r="EA103" s="332"/>
      <c r="EB103" s="332"/>
      <c r="EC103" s="332"/>
      <c r="ED103" s="332"/>
      <c r="EE103" s="332"/>
      <c r="EF103" s="332"/>
      <c r="EG103" s="332"/>
      <c r="EH103" s="332"/>
      <c r="EI103" s="332"/>
      <c r="EJ103" s="332"/>
      <c r="EK103" s="332"/>
      <c r="EL103" s="332"/>
      <c r="EM103" s="332"/>
      <c r="EN103" s="332"/>
      <c r="EO103" s="332"/>
      <c r="EP103" s="332"/>
      <c r="EQ103" s="332"/>
      <c r="ER103" s="332"/>
      <c r="ES103" s="332"/>
      <c r="ET103" s="332"/>
      <c r="EU103" s="332"/>
      <c r="EV103" s="332"/>
      <c r="EW103" s="332"/>
      <c r="EX103" s="332"/>
      <c r="EY103" s="332"/>
      <c r="EZ103" s="332"/>
      <c r="FA103" s="332"/>
      <c r="FB103" s="332"/>
      <c r="FC103" s="332"/>
      <c r="FD103" s="332"/>
      <c r="FE103" s="332"/>
      <c r="FF103" s="332"/>
      <c r="FG103" s="332"/>
      <c r="FH103" s="332"/>
      <c r="FI103" s="332"/>
      <c r="FJ103" s="332"/>
      <c r="FK103" s="332"/>
      <c r="FL103" s="332"/>
      <c r="FM103" s="332"/>
      <c r="FN103" s="332"/>
      <c r="FO103" s="332"/>
      <c r="FP103" s="332"/>
      <c r="FQ103" s="332"/>
      <c r="FR103" s="332"/>
      <c r="FS103" s="332"/>
      <c r="FT103" s="332"/>
      <c r="FU103" s="332"/>
      <c r="FV103" s="332"/>
      <c r="FW103" s="332"/>
      <c r="FX103" s="332"/>
    </row>
    <row r="104" ht="15.75" customHeight="1">
      <c r="A104" s="27"/>
      <c r="B104" s="27"/>
      <c r="C104" s="51"/>
      <c r="D104" s="51"/>
      <c r="E104" s="313"/>
      <c r="F104" s="35"/>
      <c r="G104" s="35"/>
      <c r="H104" s="35"/>
      <c r="I104" s="26"/>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c r="BY104" s="52"/>
      <c r="BZ104" s="52"/>
      <c r="CA104" s="52"/>
      <c r="CB104" s="52"/>
      <c r="CC104" s="52"/>
      <c r="CD104" s="52"/>
      <c r="CE104" s="52"/>
      <c r="CF104" s="52"/>
      <c r="CG104" s="52"/>
      <c r="CH104" s="52"/>
      <c r="CI104" s="52"/>
      <c r="CJ104" s="52"/>
      <c r="CK104" s="52"/>
      <c r="CL104" s="52"/>
      <c r="CM104" s="52"/>
      <c r="CN104" s="52"/>
      <c r="CO104" s="52"/>
      <c r="CP104" s="52"/>
      <c r="CQ104" s="52"/>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c r="EA104" s="52"/>
      <c r="EB104" s="52"/>
      <c r="EC104" s="52"/>
      <c r="ED104" s="52"/>
      <c r="EE104" s="52"/>
      <c r="EF104" s="52"/>
      <c r="EG104" s="52"/>
      <c r="EH104" s="52"/>
      <c r="EI104" s="52"/>
      <c r="EJ104" s="52"/>
      <c r="EK104" s="52"/>
      <c r="EL104" s="52"/>
      <c r="EM104" s="52"/>
      <c r="EN104" s="52"/>
      <c r="EO104" s="52"/>
      <c r="EP104" s="52"/>
      <c r="EQ104" s="52"/>
      <c r="ER104" s="52"/>
      <c r="ES104" s="52"/>
      <c r="ET104" s="52"/>
      <c r="EU104" s="52"/>
      <c r="EV104" s="52"/>
      <c r="EW104" s="52"/>
      <c r="EX104" s="52"/>
      <c r="EY104" s="52"/>
      <c r="EZ104" s="52"/>
      <c r="FA104" s="52"/>
      <c r="FB104" s="52"/>
      <c r="FC104" s="52"/>
      <c r="FD104" s="52"/>
      <c r="FE104" s="52"/>
      <c r="FF104" s="52"/>
      <c r="FG104" s="52"/>
      <c r="FH104" s="52"/>
      <c r="FI104" s="52"/>
      <c r="FJ104" s="52"/>
      <c r="FK104" s="52"/>
      <c r="FL104" s="52"/>
      <c r="FM104" s="52"/>
      <c r="FN104" s="52"/>
      <c r="FO104" s="52"/>
      <c r="FP104" s="52"/>
      <c r="FQ104" s="52"/>
      <c r="FR104" s="52"/>
      <c r="FS104" s="52"/>
      <c r="FT104" s="52"/>
      <c r="FU104" s="52"/>
      <c r="FV104" s="52"/>
      <c r="FW104" s="52"/>
      <c r="FX104" s="52"/>
    </row>
    <row r="105" ht="15.75" customHeight="1">
      <c r="A105" s="27"/>
      <c r="B105" s="27"/>
      <c r="C105" s="51"/>
      <c r="D105" s="51"/>
      <c r="E105" s="313"/>
      <c r="F105" s="35"/>
      <c r="G105" s="35"/>
      <c r="H105" s="35"/>
      <c r="I105" s="26"/>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c r="BY105" s="52"/>
      <c r="BZ105" s="52"/>
      <c r="CA105" s="52"/>
      <c r="CB105" s="52"/>
      <c r="CC105" s="52"/>
      <c r="CD105" s="52"/>
      <c r="CE105" s="52"/>
      <c r="CF105" s="52"/>
      <c r="CG105" s="52"/>
      <c r="CH105" s="52"/>
      <c r="CI105" s="52"/>
      <c r="CJ105" s="52"/>
      <c r="CK105" s="52"/>
      <c r="CL105" s="52"/>
      <c r="CM105" s="52"/>
      <c r="CN105" s="52"/>
      <c r="CO105" s="52"/>
      <c r="CP105" s="52"/>
      <c r="CQ105" s="52"/>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c r="EA105" s="52"/>
      <c r="EB105" s="52"/>
      <c r="EC105" s="52"/>
      <c r="ED105" s="52"/>
      <c r="EE105" s="52"/>
      <c r="EF105" s="52"/>
      <c r="EG105" s="52"/>
      <c r="EH105" s="52"/>
      <c r="EI105" s="52"/>
      <c r="EJ105" s="52"/>
      <c r="EK105" s="52"/>
      <c r="EL105" s="52"/>
      <c r="EM105" s="52"/>
      <c r="EN105" s="52"/>
      <c r="EO105" s="52"/>
      <c r="EP105" s="52"/>
      <c r="EQ105" s="52"/>
      <c r="ER105" s="52"/>
      <c r="ES105" s="52"/>
      <c r="ET105" s="52"/>
      <c r="EU105" s="52"/>
      <c r="EV105" s="52"/>
      <c r="EW105" s="52"/>
      <c r="EX105" s="52"/>
      <c r="EY105" s="52"/>
      <c r="EZ105" s="52"/>
      <c r="FA105" s="52"/>
      <c r="FB105" s="52"/>
      <c r="FC105" s="52"/>
      <c r="FD105" s="52"/>
      <c r="FE105" s="52"/>
      <c r="FF105" s="52"/>
      <c r="FG105" s="52"/>
      <c r="FH105" s="52"/>
      <c r="FI105" s="52"/>
      <c r="FJ105" s="52"/>
      <c r="FK105" s="52"/>
      <c r="FL105" s="52"/>
      <c r="FM105" s="52"/>
      <c r="FN105" s="52"/>
      <c r="FO105" s="52"/>
      <c r="FP105" s="52"/>
      <c r="FQ105" s="52"/>
      <c r="FR105" s="52"/>
      <c r="FS105" s="52"/>
      <c r="FT105" s="52"/>
      <c r="FU105" s="52"/>
      <c r="FV105" s="52"/>
      <c r="FW105" s="52"/>
      <c r="FX105" s="52"/>
    </row>
    <row r="106" ht="15.75" customHeight="1">
      <c r="A106" s="27"/>
      <c r="B106" s="27"/>
      <c r="C106" s="51"/>
      <c r="D106" s="51"/>
      <c r="E106" s="313"/>
      <c r="F106" s="35"/>
      <c r="G106" s="35"/>
      <c r="H106" s="35"/>
      <c r="I106" s="26"/>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c r="EA106" s="52"/>
      <c r="EB106" s="52"/>
      <c r="EC106" s="52"/>
      <c r="ED106" s="52"/>
      <c r="EE106" s="52"/>
      <c r="EF106" s="52"/>
      <c r="EG106" s="52"/>
      <c r="EH106" s="52"/>
      <c r="EI106" s="52"/>
      <c r="EJ106" s="52"/>
      <c r="EK106" s="52"/>
      <c r="EL106" s="52"/>
      <c r="EM106" s="52"/>
      <c r="EN106" s="52"/>
      <c r="EO106" s="52"/>
      <c r="EP106" s="52"/>
      <c r="EQ106" s="52"/>
      <c r="ER106" s="52"/>
      <c r="ES106" s="52"/>
      <c r="ET106" s="52"/>
      <c r="EU106" s="52"/>
      <c r="EV106" s="52"/>
      <c r="EW106" s="52"/>
      <c r="EX106" s="52"/>
      <c r="EY106" s="52"/>
      <c r="EZ106" s="52"/>
      <c r="FA106" s="52"/>
      <c r="FB106" s="52"/>
      <c r="FC106" s="52"/>
      <c r="FD106" s="52"/>
      <c r="FE106" s="52"/>
      <c r="FF106" s="52"/>
      <c r="FG106" s="52"/>
      <c r="FH106" s="52"/>
      <c r="FI106" s="52"/>
      <c r="FJ106" s="52"/>
      <c r="FK106" s="52"/>
      <c r="FL106" s="52"/>
      <c r="FM106" s="52"/>
      <c r="FN106" s="52"/>
      <c r="FO106" s="52"/>
      <c r="FP106" s="52"/>
      <c r="FQ106" s="52"/>
      <c r="FR106" s="52"/>
      <c r="FS106" s="52"/>
      <c r="FT106" s="52"/>
      <c r="FU106" s="52"/>
      <c r="FV106" s="52"/>
      <c r="FW106" s="52"/>
      <c r="FX106" s="52"/>
    </row>
    <row r="107" ht="15.75" customHeight="1">
      <c r="A107" s="27"/>
      <c r="B107" s="27"/>
      <c r="C107" s="51"/>
      <c r="D107" s="51"/>
      <c r="E107" s="313"/>
      <c r="F107" s="35"/>
      <c r="G107" s="35"/>
      <c r="H107" s="35"/>
      <c r="I107" s="26"/>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c r="EA107" s="52"/>
      <c r="EB107" s="52"/>
      <c r="EC107" s="52"/>
      <c r="ED107" s="52"/>
      <c r="EE107" s="52"/>
      <c r="EF107" s="52"/>
      <c r="EG107" s="52"/>
      <c r="EH107" s="52"/>
      <c r="EI107" s="52"/>
      <c r="EJ107" s="52"/>
      <c r="EK107" s="52"/>
      <c r="EL107" s="52"/>
      <c r="EM107" s="52"/>
      <c r="EN107" s="52"/>
      <c r="EO107" s="52"/>
      <c r="EP107" s="52"/>
      <c r="EQ107" s="52"/>
      <c r="ER107" s="52"/>
      <c r="ES107" s="52"/>
      <c r="ET107" s="52"/>
      <c r="EU107" s="52"/>
      <c r="EV107" s="52"/>
      <c r="EW107" s="52"/>
      <c r="EX107" s="52"/>
      <c r="EY107" s="52"/>
      <c r="EZ107" s="52"/>
      <c r="FA107" s="52"/>
      <c r="FB107" s="52"/>
      <c r="FC107" s="52"/>
      <c r="FD107" s="52"/>
      <c r="FE107" s="52"/>
      <c r="FF107" s="52"/>
      <c r="FG107" s="52"/>
      <c r="FH107" s="52"/>
      <c r="FI107" s="52"/>
      <c r="FJ107" s="52"/>
      <c r="FK107" s="52"/>
      <c r="FL107" s="52"/>
      <c r="FM107" s="52"/>
      <c r="FN107" s="52"/>
      <c r="FO107" s="52"/>
      <c r="FP107" s="52"/>
      <c r="FQ107" s="52"/>
      <c r="FR107" s="52"/>
      <c r="FS107" s="52"/>
      <c r="FT107" s="52"/>
      <c r="FU107" s="52"/>
      <c r="FV107" s="52"/>
      <c r="FW107" s="52"/>
      <c r="FX107" s="52"/>
    </row>
    <row r="108" ht="15.75" customHeight="1">
      <c r="A108" s="27"/>
      <c r="B108" s="27"/>
      <c r="C108" s="51"/>
      <c r="D108" s="51"/>
      <c r="E108" s="313"/>
      <c r="F108" s="35"/>
      <c r="G108" s="35"/>
      <c r="H108" s="35"/>
      <c r="I108" s="26"/>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c r="EA108" s="52"/>
      <c r="EB108" s="52"/>
      <c r="EC108" s="52"/>
      <c r="ED108" s="52"/>
      <c r="EE108" s="52"/>
      <c r="EF108" s="52"/>
      <c r="EG108" s="52"/>
      <c r="EH108" s="52"/>
      <c r="EI108" s="52"/>
      <c r="EJ108" s="52"/>
      <c r="EK108" s="52"/>
      <c r="EL108" s="52"/>
      <c r="EM108" s="52"/>
      <c r="EN108" s="52"/>
      <c r="EO108" s="52"/>
      <c r="EP108" s="52"/>
      <c r="EQ108" s="52"/>
      <c r="ER108" s="52"/>
      <c r="ES108" s="52"/>
      <c r="ET108" s="52"/>
      <c r="EU108" s="52"/>
      <c r="EV108" s="52"/>
      <c r="EW108" s="52"/>
      <c r="EX108" s="52"/>
      <c r="EY108" s="52"/>
      <c r="EZ108" s="52"/>
      <c r="FA108" s="52"/>
      <c r="FB108" s="52"/>
      <c r="FC108" s="52"/>
      <c r="FD108" s="52"/>
      <c r="FE108" s="52"/>
      <c r="FF108" s="52"/>
      <c r="FG108" s="52"/>
      <c r="FH108" s="52"/>
      <c r="FI108" s="52"/>
      <c r="FJ108" s="52"/>
      <c r="FK108" s="52"/>
      <c r="FL108" s="52"/>
      <c r="FM108" s="52"/>
      <c r="FN108" s="52"/>
      <c r="FO108" s="52"/>
      <c r="FP108" s="52"/>
      <c r="FQ108" s="52"/>
      <c r="FR108" s="52"/>
      <c r="FS108" s="52"/>
      <c r="FT108" s="52"/>
      <c r="FU108" s="52"/>
      <c r="FV108" s="52"/>
      <c r="FW108" s="52"/>
      <c r="FX108" s="52"/>
    </row>
    <row r="109" ht="15.75" customHeight="1">
      <c r="A109" s="27"/>
      <c r="B109" s="27"/>
      <c r="C109" s="51"/>
      <c r="D109" s="51"/>
      <c r="E109" s="313"/>
      <c r="F109" s="35"/>
      <c r="G109" s="35"/>
      <c r="H109" s="35"/>
      <c r="I109" s="26"/>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c r="EA109" s="52"/>
      <c r="EB109" s="52"/>
      <c r="EC109" s="52"/>
      <c r="ED109" s="52"/>
      <c r="EE109" s="52"/>
      <c r="EF109" s="52"/>
      <c r="EG109" s="52"/>
      <c r="EH109" s="52"/>
      <c r="EI109" s="52"/>
      <c r="EJ109" s="52"/>
      <c r="EK109" s="52"/>
      <c r="EL109" s="52"/>
      <c r="EM109" s="52"/>
      <c r="EN109" s="52"/>
      <c r="EO109" s="52"/>
      <c r="EP109" s="52"/>
      <c r="EQ109" s="52"/>
      <c r="ER109" s="52"/>
      <c r="ES109" s="52"/>
      <c r="ET109" s="52"/>
      <c r="EU109" s="52"/>
      <c r="EV109" s="52"/>
      <c r="EW109" s="52"/>
      <c r="EX109" s="52"/>
      <c r="EY109" s="52"/>
      <c r="EZ109" s="52"/>
      <c r="FA109" s="52"/>
      <c r="FB109" s="52"/>
      <c r="FC109" s="52"/>
      <c r="FD109" s="52"/>
      <c r="FE109" s="52"/>
      <c r="FF109" s="52"/>
      <c r="FG109" s="52"/>
      <c r="FH109" s="52"/>
      <c r="FI109" s="52"/>
      <c r="FJ109" s="52"/>
      <c r="FK109" s="52"/>
      <c r="FL109" s="52"/>
      <c r="FM109" s="52"/>
      <c r="FN109" s="52"/>
      <c r="FO109" s="52"/>
      <c r="FP109" s="52"/>
      <c r="FQ109" s="52"/>
      <c r="FR109" s="52"/>
      <c r="FS109" s="52"/>
      <c r="FT109" s="52"/>
      <c r="FU109" s="52"/>
      <c r="FV109" s="52"/>
      <c r="FW109" s="52"/>
      <c r="FX109" s="52"/>
    </row>
    <row r="110" ht="15.75" customHeight="1">
      <c r="A110" s="27"/>
      <c r="B110" s="27"/>
      <c r="C110" s="51"/>
      <c r="D110" s="51"/>
      <c r="E110" s="313"/>
      <c r="F110" s="35"/>
      <c r="G110" s="35"/>
      <c r="H110" s="35"/>
      <c r="I110" s="26"/>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c r="EA110" s="52"/>
      <c r="EB110" s="52"/>
      <c r="EC110" s="52"/>
      <c r="ED110" s="52"/>
      <c r="EE110" s="52"/>
      <c r="EF110" s="52"/>
      <c r="EG110" s="52"/>
      <c r="EH110" s="52"/>
      <c r="EI110" s="52"/>
      <c r="EJ110" s="52"/>
      <c r="EK110" s="52"/>
      <c r="EL110" s="52"/>
      <c r="EM110" s="52"/>
      <c r="EN110" s="52"/>
      <c r="EO110" s="52"/>
      <c r="EP110" s="52"/>
      <c r="EQ110" s="52"/>
      <c r="ER110" s="52"/>
      <c r="ES110" s="52"/>
      <c r="ET110" s="52"/>
      <c r="EU110" s="52"/>
      <c r="EV110" s="52"/>
      <c r="EW110" s="52"/>
      <c r="EX110" s="52"/>
      <c r="EY110" s="52"/>
      <c r="EZ110" s="52"/>
      <c r="FA110" s="52"/>
      <c r="FB110" s="52"/>
      <c r="FC110" s="52"/>
      <c r="FD110" s="52"/>
      <c r="FE110" s="52"/>
      <c r="FF110" s="52"/>
      <c r="FG110" s="52"/>
      <c r="FH110" s="52"/>
      <c r="FI110" s="52"/>
      <c r="FJ110" s="52"/>
      <c r="FK110" s="52"/>
      <c r="FL110" s="52"/>
      <c r="FM110" s="52"/>
      <c r="FN110" s="52"/>
      <c r="FO110" s="52"/>
      <c r="FP110" s="52"/>
      <c r="FQ110" s="52"/>
      <c r="FR110" s="52"/>
      <c r="FS110" s="52"/>
      <c r="FT110" s="52"/>
      <c r="FU110" s="52"/>
      <c r="FV110" s="52"/>
      <c r="FW110" s="52"/>
      <c r="FX110" s="52"/>
    </row>
    <row r="111" ht="15.75" customHeight="1">
      <c r="A111" s="27"/>
      <c r="B111" s="27"/>
      <c r="C111" s="51"/>
      <c r="D111" s="51"/>
      <c r="E111" s="313"/>
      <c r="F111" s="35"/>
      <c r="G111" s="35"/>
      <c r="H111" s="35"/>
      <c r="I111" s="26"/>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c r="EA111" s="52"/>
      <c r="EB111" s="52"/>
      <c r="EC111" s="52"/>
      <c r="ED111" s="52"/>
      <c r="EE111" s="52"/>
      <c r="EF111" s="52"/>
      <c r="EG111" s="52"/>
      <c r="EH111" s="52"/>
      <c r="EI111" s="52"/>
      <c r="EJ111" s="52"/>
      <c r="EK111" s="52"/>
      <c r="EL111" s="52"/>
      <c r="EM111" s="52"/>
      <c r="EN111" s="52"/>
      <c r="EO111" s="52"/>
      <c r="EP111" s="52"/>
      <c r="EQ111" s="52"/>
      <c r="ER111" s="52"/>
      <c r="ES111" s="52"/>
      <c r="ET111" s="52"/>
      <c r="EU111" s="52"/>
      <c r="EV111" s="52"/>
      <c r="EW111" s="52"/>
      <c r="EX111" s="52"/>
      <c r="EY111" s="52"/>
      <c r="EZ111" s="52"/>
      <c r="FA111" s="52"/>
      <c r="FB111" s="52"/>
      <c r="FC111" s="52"/>
      <c r="FD111" s="52"/>
      <c r="FE111" s="52"/>
      <c r="FF111" s="52"/>
      <c r="FG111" s="52"/>
      <c r="FH111" s="52"/>
      <c r="FI111" s="52"/>
      <c r="FJ111" s="52"/>
      <c r="FK111" s="52"/>
      <c r="FL111" s="52"/>
      <c r="FM111" s="52"/>
      <c r="FN111" s="52"/>
      <c r="FO111" s="52"/>
      <c r="FP111" s="52"/>
      <c r="FQ111" s="52"/>
      <c r="FR111" s="52"/>
      <c r="FS111" s="52"/>
      <c r="FT111" s="52"/>
      <c r="FU111" s="52"/>
      <c r="FV111" s="52"/>
      <c r="FW111" s="52"/>
      <c r="FX111" s="52"/>
    </row>
    <row r="112" ht="15.75" customHeight="1">
      <c r="A112" s="27"/>
      <c r="B112" s="27"/>
      <c r="C112" s="51"/>
      <c r="D112" s="51"/>
      <c r="E112" s="313"/>
      <c r="F112" s="35"/>
      <c r="G112" s="35"/>
      <c r="H112" s="35"/>
      <c r="I112" s="26"/>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c r="EA112" s="52"/>
      <c r="EB112" s="52"/>
      <c r="EC112" s="52"/>
      <c r="ED112" s="52"/>
      <c r="EE112" s="52"/>
      <c r="EF112" s="52"/>
      <c r="EG112" s="52"/>
      <c r="EH112" s="52"/>
      <c r="EI112" s="52"/>
      <c r="EJ112" s="52"/>
      <c r="EK112" s="52"/>
      <c r="EL112" s="52"/>
      <c r="EM112" s="52"/>
      <c r="EN112" s="52"/>
      <c r="EO112" s="52"/>
      <c r="EP112" s="52"/>
      <c r="EQ112" s="52"/>
      <c r="ER112" s="52"/>
      <c r="ES112" s="52"/>
      <c r="ET112" s="52"/>
      <c r="EU112" s="52"/>
      <c r="EV112" s="52"/>
      <c r="EW112" s="52"/>
      <c r="EX112" s="52"/>
      <c r="EY112" s="52"/>
      <c r="EZ112" s="52"/>
      <c r="FA112" s="52"/>
      <c r="FB112" s="52"/>
      <c r="FC112" s="52"/>
      <c r="FD112" s="52"/>
      <c r="FE112" s="52"/>
      <c r="FF112" s="52"/>
      <c r="FG112" s="52"/>
      <c r="FH112" s="52"/>
      <c r="FI112" s="52"/>
      <c r="FJ112" s="52"/>
      <c r="FK112" s="52"/>
      <c r="FL112" s="52"/>
      <c r="FM112" s="52"/>
      <c r="FN112" s="52"/>
      <c r="FO112" s="52"/>
      <c r="FP112" s="52"/>
      <c r="FQ112" s="52"/>
      <c r="FR112" s="52"/>
      <c r="FS112" s="52"/>
      <c r="FT112" s="52"/>
      <c r="FU112" s="52"/>
      <c r="FV112" s="52"/>
      <c r="FW112" s="52"/>
      <c r="FX112" s="52"/>
    </row>
    <row r="113" ht="15.75" customHeight="1">
      <c r="A113" s="27"/>
      <c r="B113" s="27"/>
      <c r="C113" s="51"/>
      <c r="D113" s="51"/>
      <c r="E113" s="313"/>
      <c r="F113" s="35"/>
      <c r="G113" s="35"/>
      <c r="H113" s="35"/>
      <c r="I113" s="26"/>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c r="EA113" s="52"/>
      <c r="EB113" s="52"/>
      <c r="EC113" s="52"/>
      <c r="ED113" s="52"/>
      <c r="EE113" s="52"/>
      <c r="EF113" s="52"/>
      <c r="EG113" s="52"/>
      <c r="EH113" s="52"/>
      <c r="EI113" s="52"/>
      <c r="EJ113" s="52"/>
      <c r="EK113" s="52"/>
      <c r="EL113" s="52"/>
      <c r="EM113" s="52"/>
      <c r="EN113" s="52"/>
      <c r="EO113" s="52"/>
      <c r="EP113" s="52"/>
      <c r="EQ113" s="52"/>
      <c r="ER113" s="52"/>
      <c r="ES113" s="52"/>
      <c r="ET113" s="52"/>
      <c r="EU113" s="52"/>
      <c r="EV113" s="52"/>
      <c r="EW113" s="52"/>
      <c r="EX113" s="52"/>
      <c r="EY113" s="52"/>
      <c r="EZ113" s="52"/>
      <c r="FA113" s="52"/>
      <c r="FB113" s="52"/>
      <c r="FC113" s="52"/>
      <c r="FD113" s="52"/>
      <c r="FE113" s="52"/>
      <c r="FF113" s="52"/>
      <c r="FG113" s="52"/>
      <c r="FH113" s="52"/>
      <c r="FI113" s="52"/>
      <c r="FJ113" s="52"/>
      <c r="FK113" s="52"/>
      <c r="FL113" s="52"/>
      <c r="FM113" s="52"/>
      <c r="FN113" s="52"/>
      <c r="FO113" s="52"/>
      <c r="FP113" s="52"/>
      <c r="FQ113" s="52"/>
      <c r="FR113" s="52"/>
      <c r="FS113" s="52"/>
      <c r="FT113" s="52"/>
      <c r="FU113" s="52"/>
      <c r="FV113" s="52"/>
      <c r="FW113" s="52"/>
      <c r="FX113" s="52"/>
    </row>
    <row r="114" ht="15.75" customHeight="1">
      <c r="A114" s="27"/>
      <c r="B114" s="27"/>
      <c r="C114" s="51"/>
      <c r="D114" s="51"/>
      <c r="E114" s="313"/>
      <c r="F114" s="35"/>
      <c r="G114" s="35"/>
      <c r="H114" s="35"/>
      <c r="I114" s="26"/>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c r="EA114" s="52"/>
      <c r="EB114" s="52"/>
      <c r="EC114" s="52"/>
      <c r="ED114" s="52"/>
      <c r="EE114" s="52"/>
      <c r="EF114" s="52"/>
      <c r="EG114" s="52"/>
      <c r="EH114" s="52"/>
      <c r="EI114" s="52"/>
      <c r="EJ114" s="52"/>
      <c r="EK114" s="52"/>
      <c r="EL114" s="52"/>
      <c r="EM114" s="52"/>
      <c r="EN114" s="52"/>
      <c r="EO114" s="52"/>
      <c r="EP114" s="52"/>
      <c r="EQ114" s="52"/>
      <c r="ER114" s="52"/>
      <c r="ES114" s="52"/>
      <c r="ET114" s="52"/>
      <c r="EU114" s="52"/>
      <c r="EV114" s="52"/>
      <c r="EW114" s="52"/>
      <c r="EX114" s="52"/>
      <c r="EY114" s="52"/>
      <c r="EZ114" s="52"/>
      <c r="FA114" s="52"/>
      <c r="FB114" s="52"/>
      <c r="FC114" s="52"/>
      <c r="FD114" s="52"/>
      <c r="FE114" s="52"/>
      <c r="FF114" s="52"/>
      <c r="FG114" s="52"/>
      <c r="FH114" s="52"/>
      <c r="FI114" s="52"/>
      <c r="FJ114" s="52"/>
      <c r="FK114" s="52"/>
      <c r="FL114" s="52"/>
      <c r="FM114" s="52"/>
      <c r="FN114" s="52"/>
      <c r="FO114" s="52"/>
      <c r="FP114" s="52"/>
      <c r="FQ114" s="52"/>
      <c r="FR114" s="52"/>
      <c r="FS114" s="52"/>
      <c r="FT114" s="52"/>
      <c r="FU114" s="52"/>
      <c r="FV114" s="52"/>
      <c r="FW114" s="52"/>
      <c r="FX114" s="52"/>
    </row>
    <row r="115" ht="15.75" customHeight="1">
      <c r="A115" s="27"/>
      <c r="B115" s="27"/>
      <c r="C115" s="51"/>
      <c r="D115" s="51"/>
      <c r="E115" s="313"/>
      <c r="F115" s="35"/>
      <c r="G115" s="35"/>
      <c r="H115" s="35"/>
      <c r="I115" s="26"/>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c r="EA115" s="52"/>
      <c r="EB115" s="52"/>
      <c r="EC115" s="52"/>
      <c r="ED115" s="52"/>
      <c r="EE115" s="52"/>
      <c r="EF115" s="52"/>
      <c r="EG115" s="52"/>
      <c r="EH115" s="52"/>
      <c r="EI115" s="52"/>
      <c r="EJ115" s="52"/>
      <c r="EK115" s="52"/>
      <c r="EL115" s="52"/>
      <c r="EM115" s="52"/>
      <c r="EN115" s="52"/>
      <c r="EO115" s="52"/>
      <c r="EP115" s="52"/>
      <c r="EQ115" s="52"/>
      <c r="ER115" s="52"/>
      <c r="ES115" s="52"/>
      <c r="ET115" s="52"/>
      <c r="EU115" s="52"/>
      <c r="EV115" s="52"/>
      <c r="EW115" s="52"/>
      <c r="EX115" s="52"/>
      <c r="EY115" s="52"/>
      <c r="EZ115" s="52"/>
      <c r="FA115" s="52"/>
      <c r="FB115" s="52"/>
      <c r="FC115" s="52"/>
      <c r="FD115" s="52"/>
      <c r="FE115" s="52"/>
      <c r="FF115" s="52"/>
      <c r="FG115" s="52"/>
      <c r="FH115" s="52"/>
      <c r="FI115" s="52"/>
      <c r="FJ115" s="52"/>
      <c r="FK115" s="52"/>
      <c r="FL115" s="52"/>
      <c r="FM115" s="52"/>
      <c r="FN115" s="52"/>
      <c r="FO115" s="52"/>
      <c r="FP115" s="52"/>
      <c r="FQ115" s="52"/>
      <c r="FR115" s="52"/>
      <c r="FS115" s="52"/>
      <c r="FT115" s="52"/>
      <c r="FU115" s="52"/>
      <c r="FV115" s="52"/>
      <c r="FW115" s="52"/>
      <c r="FX115" s="52"/>
    </row>
    <row r="116" ht="15.75" customHeight="1">
      <c r="A116" s="27"/>
      <c r="B116" s="27"/>
      <c r="C116" s="51"/>
      <c r="D116" s="51"/>
      <c r="E116" s="313"/>
      <c r="F116" s="35"/>
      <c r="G116" s="35"/>
      <c r="H116" s="35"/>
      <c r="I116" s="26"/>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c r="EA116" s="52"/>
      <c r="EB116" s="52"/>
      <c r="EC116" s="52"/>
      <c r="ED116" s="52"/>
      <c r="EE116" s="52"/>
      <c r="EF116" s="52"/>
      <c r="EG116" s="52"/>
      <c r="EH116" s="52"/>
      <c r="EI116" s="52"/>
      <c r="EJ116" s="52"/>
      <c r="EK116" s="52"/>
      <c r="EL116" s="52"/>
      <c r="EM116" s="52"/>
      <c r="EN116" s="52"/>
      <c r="EO116" s="52"/>
      <c r="EP116" s="52"/>
      <c r="EQ116" s="52"/>
      <c r="ER116" s="52"/>
      <c r="ES116" s="52"/>
      <c r="ET116" s="52"/>
      <c r="EU116" s="52"/>
      <c r="EV116" s="52"/>
      <c r="EW116" s="52"/>
      <c r="EX116" s="52"/>
      <c r="EY116" s="52"/>
      <c r="EZ116" s="52"/>
      <c r="FA116" s="52"/>
      <c r="FB116" s="52"/>
      <c r="FC116" s="52"/>
      <c r="FD116" s="52"/>
      <c r="FE116" s="52"/>
      <c r="FF116" s="52"/>
      <c r="FG116" s="52"/>
      <c r="FH116" s="52"/>
      <c r="FI116" s="52"/>
      <c r="FJ116" s="52"/>
      <c r="FK116" s="52"/>
      <c r="FL116" s="52"/>
      <c r="FM116" s="52"/>
      <c r="FN116" s="52"/>
      <c r="FO116" s="52"/>
      <c r="FP116" s="52"/>
      <c r="FQ116" s="52"/>
      <c r="FR116" s="52"/>
      <c r="FS116" s="52"/>
      <c r="FT116" s="52"/>
      <c r="FU116" s="52"/>
      <c r="FV116" s="52"/>
      <c r="FW116" s="52"/>
      <c r="FX116" s="52"/>
    </row>
    <row r="117" ht="15.75" customHeight="1">
      <c r="A117" s="27"/>
      <c r="B117" s="27"/>
      <c r="C117" s="51"/>
      <c r="D117" s="51"/>
      <c r="E117" s="313"/>
      <c r="F117" s="35"/>
      <c r="G117" s="35"/>
      <c r="H117" s="35"/>
      <c r="I117" s="26"/>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c r="EA117" s="52"/>
      <c r="EB117" s="52"/>
      <c r="EC117" s="52"/>
      <c r="ED117" s="52"/>
      <c r="EE117" s="52"/>
      <c r="EF117" s="52"/>
      <c r="EG117" s="52"/>
      <c r="EH117" s="52"/>
      <c r="EI117" s="52"/>
      <c r="EJ117" s="52"/>
      <c r="EK117" s="52"/>
      <c r="EL117" s="52"/>
      <c r="EM117" s="52"/>
      <c r="EN117" s="52"/>
      <c r="EO117" s="52"/>
      <c r="EP117" s="52"/>
      <c r="EQ117" s="52"/>
      <c r="ER117" s="52"/>
      <c r="ES117" s="52"/>
      <c r="ET117" s="52"/>
      <c r="EU117" s="52"/>
      <c r="EV117" s="52"/>
      <c r="EW117" s="52"/>
      <c r="EX117" s="52"/>
      <c r="EY117" s="52"/>
      <c r="EZ117" s="52"/>
      <c r="FA117" s="52"/>
      <c r="FB117" s="52"/>
      <c r="FC117" s="52"/>
      <c r="FD117" s="52"/>
      <c r="FE117" s="52"/>
      <c r="FF117" s="52"/>
      <c r="FG117" s="52"/>
      <c r="FH117" s="52"/>
      <c r="FI117" s="52"/>
      <c r="FJ117" s="52"/>
      <c r="FK117" s="52"/>
      <c r="FL117" s="52"/>
      <c r="FM117" s="52"/>
      <c r="FN117" s="52"/>
      <c r="FO117" s="52"/>
      <c r="FP117" s="52"/>
      <c r="FQ117" s="52"/>
      <c r="FR117" s="52"/>
      <c r="FS117" s="52"/>
      <c r="FT117" s="52"/>
      <c r="FU117" s="52"/>
      <c r="FV117" s="52"/>
      <c r="FW117" s="52"/>
      <c r="FX117" s="52"/>
    </row>
    <row r="118" ht="15.75" customHeight="1">
      <c r="A118" s="27"/>
      <c r="B118" s="27"/>
      <c r="C118" s="51"/>
      <c r="D118" s="51"/>
      <c r="E118" s="313"/>
      <c r="F118" s="35"/>
      <c r="G118" s="35"/>
      <c r="H118" s="35"/>
      <c r="I118" s="26"/>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c r="EA118" s="52"/>
      <c r="EB118" s="52"/>
      <c r="EC118" s="52"/>
      <c r="ED118" s="52"/>
      <c r="EE118" s="52"/>
      <c r="EF118" s="52"/>
      <c r="EG118" s="52"/>
      <c r="EH118" s="52"/>
      <c r="EI118" s="52"/>
      <c r="EJ118" s="52"/>
      <c r="EK118" s="52"/>
      <c r="EL118" s="52"/>
      <c r="EM118" s="52"/>
      <c r="EN118" s="52"/>
      <c r="EO118" s="52"/>
      <c r="EP118" s="52"/>
      <c r="EQ118" s="52"/>
      <c r="ER118" s="52"/>
      <c r="ES118" s="52"/>
      <c r="ET118" s="52"/>
      <c r="EU118" s="52"/>
      <c r="EV118" s="52"/>
      <c r="EW118" s="52"/>
      <c r="EX118" s="52"/>
      <c r="EY118" s="52"/>
      <c r="EZ118" s="52"/>
      <c r="FA118" s="52"/>
      <c r="FB118" s="52"/>
      <c r="FC118" s="52"/>
      <c r="FD118" s="52"/>
      <c r="FE118" s="52"/>
      <c r="FF118" s="52"/>
      <c r="FG118" s="52"/>
      <c r="FH118" s="52"/>
      <c r="FI118" s="52"/>
      <c r="FJ118" s="52"/>
      <c r="FK118" s="52"/>
      <c r="FL118" s="52"/>
      <c r="FM118" s="52"/>
      <c r="FN118" s="52"/>
      <c r="FO118" s="52"/>
      <c r="FP118" s="52"/>
      <c r="FQ118" s="52"/>
      <c r="FR118" s="52"/>
      <c r="FS118" s="52"/>
      <c r="FT118" s="52"/>
      <c r="FU118" s="52"/>
      <c r="FV118" s="52"/>
      <c r="FW118" s="52"/>
      <c r="FX118" s="52"/>
    </row>
    <row r="119" ht="15.75" customHeight="1">
      <c r="A119" s="27"/>
      <c r="B119" s="27"/>
      <c r="C119" s="51"/>
      <c r="D119" s="51"/>
      <c r="E119" s="313"/>
      <c r="F119" s="35"/>
      <c r="G119" s="35"/>
      <c r="H119" s="35"/>
      <c r="I119" s="26"/>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c r="EA119" s="52"/>
      <c r="EB119" s="52"/>
      <c r="EC119" s="52"/>
      <c r="ED119" s="52"/>
      <c r="EE119" s="52"/>
      <c r="EF119" s="52"/>
      <c r="EG119" s="52"/>
      <c r="EH119" s="52"/>
      <c r="EI119" s="52"/>
      <c r="EJ119" s="52"/>
      <c r="EK119" s="52"/>
      <c r="EL119" s="52"/>
      <c r="EM119" s="52"/>
      <c r="EN119" s="52"/>
      <c r="EO119" s="52"/>
      <c r="EP119" s="52"/>
      <c r="EQ119" s="52"/>
      <c r="ER119" s="52"/>
      <c r="ES119" s="52"/>
      <c r="ET119" s="52"/>
      <c r="EU119" s="52"/>
      <c r="EV119" s="52"/>
      <c r="EW119" s="52"/>
      <c r="EX119" s="52"/>
      <c r="EY119" s="52"/>
      <c r="EZ119" s="52"/>
      <c r="FA119" s="52"/>
      <c r="FB119" s="52"/>
      <c r="FC119" s="52"/>
      <c r="FD119" s="52"/>
      <c r="FE119" s="52"/>
      <c r="FF119" s="52"/>
      <c r="FG119" s="52"/>
      <c r="FH119" s="52"/>
      <c r="FI119" s="52"/>
      <c r="FJ119" s="52"/>
      <c r="FK119" s="52"/>
      <c r="FL119" s="52"/>
      <c r="FM119" s="52"/>
      <c r="FN119" s="52"/>
      <c r="FO119" s="52"/>
      <c r="FP119" s="52"/>
      <c r="FQ119" s="52"/>
      <c r="FR119" s="52"/>
      <c r="FS119" s="52"/>
      <c r="FT119" s="52"/>
      <c r="FU119" s="52"/>
      <c r="FV119" s="52"/>
      <c r="FW119" s="52"/>
      <c r="FX119" s="52"/>
    </row>
    <row r="120" ht="15.75" customHeight="1">
      <c r="A120" s="27"/>
      <c r="B120" s="27"/>
      <c r="C120" s="51"/>
      <c r="D120" s="51"/>
      <c r="E120" s="313"/>
      <c r="F120" s="35"/>
      <c r="G120" s="35"/>
      <c r="H120" s="35"/>
      <c r="I120" s="26"/>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c r="EA120" s="52"/>
      <c r="EB120" s="52"/>
      <c r="EC120" s="52"/>
      <c r="ED120" s="52"/>
      <c r="EE120" s="52"/>
      <c r="EF120" s="52"/>
      <c r="EG120" s="52"/>
      <c r="EH120" s="52"/>
      <c r="EI120" s="52"/>
      <c r="EJ120" s="52"/>
      <c r="EK120" s="52"/>
      <c r="EL120" s="52"/>
      <c r="EM120" s="52"/>
      <c r="EN120" s="52"/>
      <c r="EO120" s="52"/>
      <c r="EP120" s="52"/>
      <c r="EQ120" s="52"/>
      <c r="ER120" s="52"/>
      <c r="ES120" s="52"/>
      <c r="ET120" s="52"/>
      <c r="EU120" s="52"/>
      <c r="EV120" s="52"/>
      <c r="EW120" s="52"/>
      <c r="EX120" s="52"/>
      <c r="EY120" s="52"/>
      <c r="EZ120" s="52"/>
      <c r="FA120" s="52"/>
      <c r="FB120" s="52"/>
      <c r="FC120" s="52"/>
      <c r="FD120" s="52"/>
      <c r="FE120" s="52"/>
      <c r="FF120" s="52"/>
      <c r="FG120" s="52"/>
      <c r="FH120" s="52"/>
      <c r="FI120" s="52"/>
      <c r="FJ120" s="52"/>
      <c r="FK120" s="52"/>
      <c r="FL120" s="52"/>
      <c r="FM120" s="52"/>
      <c r="FN120" s="52"/>
      <c r="FO120" s="52"/>
      <c r="FP120" s="52"/>
      <c r="FQ120" s="52"/>
      <c r="FR120" s="52"/>
      <c r="FS120" s="52"/>
      <c r="FT120" s="52"/>
      <c r="FU120" s="52"/>
      <c r="FV120" s="52"/>
      <c r="FW120" s="52"/>
      <c r="FX120" s="52"/>
    </row>
    <row r="121" ht="15.75" customHeight="1">
      <c r="A121" s="27"/>
      <c r="B121" s="27"/>
      <c r="C121" s="51"/>
      <c r="D121" s="51"/>
      <c r="E121" s="313"/>
      <c r="F121" s="35"/>
      <c r="G121" s="35"/>
      <c r="H121" s="35"/>
      <c r="I121" s="26"/>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c r="EA121" s="52"/>
      <c r="EB121" s="52"/>
      <c r="EC121" s="52"/>
      <c r="ED121" s="52"/>
      <c r="EE121" s="52"/>
      <c r="EF121" s="52"/>
      <c r="EG121" s="52"/>
      <c r="EH121" s="52"/>
      <c r="EI121" s="52"/>
      <c r="EJ121" s="52"/>
      <c r="EK121" s="52"/>
      <c r="EL121" s="52"/>
      <c r="EM121" s="52"/>
      <c r="EN121" s="52"/>
      <c r="EO121" s="52"/>
      <c r="EP121" s="52"/>
      <c r="EQ121" s="52"/>
      <c r="ER121" s="52"/>
      <c r="ES121" s="52"/>
      <c r="ET121" s="52"/>
      <c r="EU121" s="52"/>
      <c r="EV121" s="52"/>
      <c r="EW121" s="52"/>
      <c r="EX121" s="52"/>
      <c r="EY121" s="52"/>
      <c r="EZ121" s="52"/>
      <c r="FA121" s="52"/>
      <c r="FB121" s="52"/>
      <c r="FC121" s="52"/>
      <c r="FD121" s="52"/>
      <c r="FE121" s="52"/>
      <c r="FF121" s="52"/>
      <c r="FG121" s="52"/>
      <c r="FH121" s="52"/>
      <c r="FI121" s="52"/>
      <c r="FJ121" s="52"/>
      <c r="FK121" s="52"/>
      <c r="FL121" s="52"/>
      <c r="FM121" s="52"/>
      <c r="FN121" s="52"/>
      <c r="FO121" s="52"/>
      <c r="FP121" s="52"/>
      <c r="FQ121" s="52"/>
      <c r="FR121" s="52"/>
      <c r="FS121" s="52"/>
      <c r="FT121" s="52"/>
      <c r="FU121" s="52"/>
      <c r="FV121" s="52"/>
      <c r="FW121" s="52"/>
      <c r="FX121" s="52"/>
    </row>
    <row r="122" ht="15.75" customHeight="1">
      <c r="A122" s="27"/>
      <c r="B122" s="27"/>
      <c r="C122" s="51"/>
      <c r="D122" s="51"/>
      <c r="E122" s="313"/>
      <c r="F122" s="35"/>
      <c r="G122" s="35"/>
      <c r="H122" s="35"/>
      <c r="I122" s="26"/>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c r="BU122" s="52"/>
      <c r="BV122" s="52"/>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c r="EA122" s="52"/>
      <c r="EB122" s="52"/>
      <c r="EC122" s="52"/>
      <c r="ED122" s="52"/>
      <c r="EE122" s="52"/>
      <c r="EF122" s="52"/>
      <c r="EG122" s="52"/>
      <c r="EH122" s="52"/>
      <c r="EI122" s="52"/>
      <c r="EJ122" s="52"/>
      <c r="EK122" s="52"/>
      <c r="EL122" s="52"/>
      <c r="EM122" s="52"/>
      <c r="EN122" s="52"/>
      <c r="EO122" s="52"/>
      <c r="EP122" s="52"/>
      <c r="EQ122" s="52"/>
      <c r="ER122" s="52"/>
      <c r="ES122" s="52"/>
      <c r="ET122" s="52"/>
      <c r="EU122" s="52"/>
      <c r="EV122" s="52"/>
      <c r="EW122" s="52"/>
      <c r="EX122" s="52"/>
      <c r="EY122" s="52"/>
      <c r="EZ122" s="52"/>
      <c r="FA122" s="52"/>
      <c r="FB122" s="52"/>
      <c r="FC122" s="52"/>
      <c r="FD122" s="52"/>
      <c r="FE122" s="52"/>
      <c r="FF122" s="52"/>
      <c r="FG122" s="52"/>
      <c r="FH122" s="52"/>
      <c r="FI122" s="52"/>
      <c r="FJ122" s="52"/>
      <c r="FK122" s="52"/>
      <c r="FL122" s="52"/>
      <c r="FM122" s="52"/>
      <c r="FN122" s="52"/>
      <c r="FO122" s="52"/>
      <c r="FP122" s="52"/>
      <c r="FQ122" s="52"/>
      <c r="FR122" s="52"/>
      <c r="FS122" s="52"/>
      <c r="FT122" s="52"/>
      <c r="FU122" s="52"/>
      <c r="FV122" s="52"/>
      <c r="FW122" s="52"/>
      <c r="FX122" s="52"/>
    </row>
    <row r="123" ht="15.75" customHeight="1">
      <c r="A123" s="27"/>
      <c r="B123" s="27"/>
      <c r="C123" s="51"/>
      <c r="D123" s="51"/>
      <c r="E123" s="313"/>
      <c r="F123" s="35"/>
      <c r="G123" s="35"/>
      <c r="H123" s="35"/>
      <c r="I123" s="26"/>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c r="EA123" s="52"/>
      <c r="EB123" s="52"/>
      <c r="EC123" s="52"/>
      <c r="ED123" s="52"/>
      <c r="EE123" s="52"/>
      <c r="EF123" s="52"/>
      <c r="EG123" s="52"/>
      <c r="EH123" s="52"/>
      <c r="EI123" s="52"/>
      <c r="EJ123" s="52"/>
      <c r="EK123" s="52"/>
      <c r="EL123" s="52"/>
      <c r="EM123" s="52"/>
      <c r="EN123" s="52"/>
      <c r="EO123" s="52"/>
      <c r="EP123" s="52"/>
      <c r="EQ123" s="52"/>
      <c r="ER123" s="52"/>
      <c r="ES123" s="52"/>
      <c r="ET123" s="52"/>
      <c r="EU123" s="52"/>
      <c r="EV123" s="52"/>
      <c r="EW123" s="52"/>
      <c r="EX123" s="52"/>
      <c r="EY123" s="52"/>
      <c r="EZ123" s="52"/>
      <c r="FA123" s="52"/>
      <c r="FB123" s="52"/>
      <c r="FC123" s="52"/>
      <c r="FD123" s="52"/>
      <c r="FE123" s="52"/>
      <c r="FF123" s="52"/>
      <c r="FG123" s="52"/>
      <c r="FH123" s="52"/>
      <c r="FI123" s="52"/>
      <c r="FJ123" s="52"/>
      <c r="FK123" s="52"/>
      <c r="FL123" s="52"/>
      <c r="FM123" s="52"/>
      <c r="FN123" s="52"/>
      <c r="FO123" s="52"/>
      <c r="FP123" s="52"/>
      <c r="FQ123" s="52"/>
      <c r="FR123" s="52"/>
      <c r="FS123" s="52"/>
      <c r="FT123" s="52"/>
      <c r="FU123" s="52"/>
      <c r="FV123" s="52"/>
      <c r="FW123" s="52"/>
      <c r="FX123" s="52"/>
    </row>
    <row r="124" ht="15.75" customHeight="1">
      <c r="A124" s="27"/>
      <c r="B124" s="27"/>
      <c r="C124" s="51"/>
      <c r="D124" s="51"/>
      <c r="E124" s="313"/>
      <c r="F124" s="35"/>
      <c r="G124" s="35"/>
      <c r="H124" s="35"/>
      <c r="I124" s="26"/>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c r="EA124" s="52"/>
      <c r="EB124" s="52"/>
      <c r="EC124" s="52"/>
      <c r="ED124" s="52"/>
      <c r="EE124" s="52"/>
      <c r="EF124" s="52"/>
      <c r="EG124" s="52"/>
      <c r="EH124" s="52"/>
      <c r="EI124" s="52"/>
      <c r="EJ124" s="52"/>
      <c r="EK124" s="52"/>
      <c r="EL124" s="52"/>
      <c r="EM124" s="52"/>
      <c r="EN124" s="52"/>
      <c r="EO124" s="52"/>
      <c r="EP124" s="52"/>
      <c r="EQ124" s="52"/>
      <c r="ER124" s="52"/>
      <c r="ES124" s="52"/>
      <c r="ET124" s="52"/>
      <c r="EU124" s="52"/>
      <c r="EV124" s="52"/>
      <c r="EW124" s="52"/>
      <c r="EX124" s="52"/>
      <c r="EY124" s="52"/>
      <c r="EZ124" s="52"/>
      <c r="FA124" s="52"/>
      <c r="FB124" s="52"/>
      <c r="FC124" s="52"/>
      <c r="FD124" s="52"/>
      <c r="FE124" s="52"/>
      <c r="FF124" s="52"/>
      <c r="FG124" s="52"/>
      <c r="FH124" s="52"/>
      <c r="FI124" s="52"/>
      <c r="FJ124" s="52"/>
      <c r="FK124" s="52"/>
      <c r="FL124" s="52"/>
      <c r="FM124" s="52"/>
      <c r="FN124" s="52"/>
      <c r="FO124" s="52"/>
      <c r="FP124" s="52"/>
      <c r="FQ124" s="52"/>
      <c r="FR124" s="52"/>
      <c r="FS124" s="52"/>
      <c r="FT124" s="52"/>
      <c r="FU124" s="52"/>
      <c r="FV124" s="52"/>
      <c r="FW124" s="52"/>
      <c r="FX124" s="52"/>
    </row>
    <row r="125" ht="15.75" customHeight="1">
      <c r="A125" s="27"/>
      <c r="B125" s="27"/>
      <c r="C125" s="51"/>
      <c r="D125" s="51"/>
      <c r="E125" s="313"/>
      <c r="F125" s="35"/>
      <c r="G125" s="35"/>
      <c r="H125" s="35"/>
      <c r="I125" s="26"/>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c r="EA125" s="52"/>
      <c r="EB125" s="52"/>
      <c r="EC125" s="52"/>
      <c r="ED125" s="52"/>
      <c r="EE125" s="52"/>
      <c r="EF125" s="52"/>
      <c r="EG125" s="52"/>
      <c r="EH125" s="52"/>
      <c r="EI125" s="52"/>
      <c r="EJ125" s="52"/>
      <c r="EK125" s="52"/>
      <c r="EL125" s="52"/>
      <c r="EM125" s="52"/>
      <c r="EN125" s="52"/>
      <c r="EO125" s="52"/>
      <c r="EP125" s="52"/>
      <c r="EQ125" s="52"/>
      <c r="ER125" s="52"/>
      <c r="ES125" s="52"/>
      <c r="ET125" s="52"/>
      <c r="EU125" s="52"/>
      <c r="EV125" s="52"/>
      <c r="EW125" s="52"/>
      <c r="EX125" s="52"/>
      <c r="EY125" s="52"/>
      <c r="EZ125" s="52"/>
      <c r="FA125" s="52"/>
      <c r="FB125" s="52"/>
      <c r="FC125" s="52"/>
      <c r="FD125" s="52"/>
      <c r="FE125" s="52"/>
      <c r="FF125" s="52"/>
      <c r="FG125" s="52"/>
      <c r="FH125" s="52"/>
      <c r="FI125" s="52"/>
      <c r="FJ125" s="52"/>
      <c r="FK125" s="52"/>
      <c r="FL125" s="52"/>
      <c r="FM125" s="52"/>
      <c r="FN125" s="52"/>
      <c r="FO125" s="52"/>
      <c r="FP125" s="52"/>
      <c r="FQ125" s="52"/>
      <c r="FR125" s="52"/>
      <c r="FS125" s="52"/>
      <c r="FT125" s="52"/>
      <c r="FU125" s="52"/>
      <c r="FV125" s="52"/>
      <c r="FW125" s="52"/>
      <c r="FX125" s="52"/>
    </row>
    <row r="126" ht="15.75" customHeight="1">
      <c r="A126" s="27"/>
      <c r="B126" s="27"/>
      <c r="C126" s="51"/>
      <c r="D126" s="51"/>
      <c r="E126" s="313"/>
      <c r="F126" s="35"/>
      <c r="G126" s="35"/>
      <c r="H126" s="35"/>
      <c r="I126" s="26"/>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c r="EA126" s="52"/>
      <c r="EB126" s="52"/>
      <c r="EC126" s="52"/>
      <c r="ED126" s="52"/>
      <c r="EE126" s="52"/>
      <c r="EF126" s="52"/>
      <c r="EG126" s="52"/>
      <c r="EH126" s="52"/>
      <c r="EI126" s="52"/>
      <c r="EJ126" s="52"/>
      <c r="EK126" s="52"/>
      <c r="EL126" s="52"/>
      <c r="EM126" s="52"/>
      <c r="EN126" s="52"/>
      <c r="EO126" s="52"/>
      <c r="EP126" s="52"/>
      <c r="EQ126" s="52"/>
      <c r="ER126" s="52"/>
      <c r="ES126" s="52"/>
      <c r="ET126" s="52"/>
      <c r="EU126" s="52"/>
      <c r="EV126" s="52"/>
      <c r="EW126" s="52"/>
      <c r="EX126" s="52"/>
      <c r="EY126" s="52"/>
      <c r="EZ126" s="52"/>
      <c r="FA126" s="52"/>
      <c r="FB126" s="52"/>
      <c r="FC126" s="52"/>
      <c r="FD126" s="52"/>
      <c r="FE126" s="52"/>
      <c r="FF126" s="52"/>
      <c r="FG126" s="52"/>
      <c r="FH126" s="52"/>
      <c r="FI126" s="52"/>
      <c r="FJ126" s="52"/>
      <c r="FK126" s="52"/>
      <c r="FL126" s="52"/>
      <c r="FM126" s="52"/>
      <c r="FN126" s="52"/>
      <c r="FO126" s="52"/>
      <c r="FP126" s="52"/>
      <c r="FQ126" s="52"/>
      <c r="FR126" s="52"/>
      <c r="FS126" s="52"/>
      <c r="FT126" s="52"/>
      <c r="FU126" s="52"/>
      <c r="FV126" s="52"/>
      <c r="FW126" s="52"/>
      <c r="FX126" s="52"/>
    </row>
    <row r="127" ht="15.75" customHeight="1">
      <c r="A127" s="27"/>
      <c r="B127" s="27"/>
      <c r="C127" s="51"/>
      <c r="D127" s="51"/>
      <c r="E127" s="313"/>
      <c r="F127" s="35"/>
      <c r="G127" s="35"/>
      <c r="H127" s="35"/>
      <c r="I127" s="26"/>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c r="EA127" s="52"/>
      <c r="EB127" s="52"/>
      <c r="EC127" s="52"/>
      <c r="ED127" s="52"/>
      <c r="EE127" s="52"/>
      <c r="EF127" s="52"/>
      <c r="EG127" s="52"/>
      <c r="EH127" s="52"/>
      <c r="EI127" s="52"/>
      <c r="EJ127" s="52"/>
      <c r="EK127" s="52"/>
      <c r="EL127" s="52"/>
      <c r="EM127" s="52"/>
      <c r="EN127" s="52"/>
      <c r="EO127" s="52"/>
      <c r="EP127" s="52"/>
      <c r="EQ127" s="52"/>
      <c r="ER127" s="52"/>
      <c r="ES127" s="52"/>
      <c r="ET127" s="52"/>
      <c r="EU127" s="52"/>
      <c r="EV127" s="52"/>
      <c r="EW127" s="52"/>
      <c r="EX127" s="52"/>
      <c r="EY127" s="52"/>
      <c r="EZ127" s="52"/>
      <c r="FA127" s="52"/>
      <c r="FB127" s="52"/>
      <c r="FC127" s="52"/>
      <c r="FD127" s="52"/>
      <c r="FE127" s="52"/>
      <c r="FF127" s="52"/>
      <c r="FG127" s="52"/>
      <c r="FH127" s="52"/>
      <c r="FI127" s="52"/>
      <c r="FJ127" s="52"/>
      <c r="FK127" s="52"/>
      <c r="FL127" s="52"/>
      <c r="FM127" s="52"/>
      <c r="FN127" s="52"/>
      <c r="FO127" s="52"/>
      <c r="FP127" s="52"/>
      <c r="FQ127" s="52"/>
      <c r="FR127" s="52"/>
      <c r="FS127" s="52"/>
      <c r="FT127" s="52"/>
      <c r="FU127" s="52"/>
      <c r="FV127" s="52"/>
      <c r="FW127" s="52"/>
      <c r="FX127" s="52"/>
    </row>
    <row r="128" ht="15.75" customHeight="1">
      <c r="A128" s="27"/>
      <c r="B128" s="27"/>
      <c r="C128" s="51"/>
      <c r="D128" s="51"/>
      <c r="E128" s="313"/>
      <c r="F128" s="35"/>
      <c r="G128" s="35"/>
      <c r="H128" s="35"/>
      <c r="I128" s="26"/>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c r="EA128" s="52"/>
      <c r="EB128" s="52"/>
      <c r="EC128" s="52"/>
      <c r="ED128" s="52"/>
      <c r="EE128" s="52"/>
      <c r="EF128" s="52"/>
      <c r="EG128" s="52"/>
      <c r="EH128" s="52"/>
      <c r="EI128" s="52"/>
      <c r="EJ128" s="52"/>
      <c r="EK128" s="52"/>
      <c r="EL128" s="52"/>
      <c r="EM128" s="52"/>
      <c r="EN128" s="52"/>
      <c r="EO128" s="52"/>
      <c r="EP128" s="52"/>
      <c r="EQ128" s="52"/>
      <c r="ER128" s="52"/>
      <c r="ES128" s="52"/>
      <c r="ET128" s="52"/>
      <c r="EU128" s="52"/>
      <c r="EV128" s="52"/>
      <c r="EW128" s="52"/>
      <c r="EX128" s="52"/>
      <c r="EY128" s="52"/>
      <c r="EZ128" s="52"/>
      <c r="FA128" s="52"/>
      <c r="FB128" s="52"/>
      <c r="FC128" s="52"/>
      <c r="FD128" s="52"/>
      <c r="FE128" s="52"/>
      <c r="FF128" s="52"/>
      <c r="FG128" s="52"/>
      <c r="FH128" s="52"/>
      <c r="FI128" s="52"/>
      <c r="FJ128" s="52"/>
      <c r="FK128" s="52"/>
      <c r="FL128" s="52"/>
      <c r="FM128" s="52"/>
      <c r="FN128" s="52"/>
      <c r="FO128" s="52"/>
      <c r="FP128" s="52"/>
      <c r="FQ128" s="52"/>
      <c r="FR128" s="52"/>
      <c r="FS128" s="52"/>
      <c r="FT128" s="52"/>
      <c r="FU128" s="52"/>
      <c r="FV128" s="52"/>
      <c r="FW128" s="52"/>
      <c r="FX128" s="52"/>
    </row>
    <row r="129" ht="15.75" customHeight="1">
      <c r="A129" s="27"/>
      <c r="B129" s="27"/>
      <c r="C129" s="51"/>
      <c r="D129" s="51"/>
      <c r="E129" s="313"/>
      <c r="F129" s="35"/>
      <c r="G129" s="35"/>
      <c r="H129" s="35"/>
      <c r="I129" s="26"/>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c r="BY129" s="52"/>
      <c r="BZ129" s="52"/>
      <c r="CA129" s="52"/>
      <c r="CB129" s="52"/>
      <c r="CC129" s="52"/>
      <c r="CD129" s="52"/>
      <c r="CE129" s="52"/>
      <c r="CF129" s="52"/>
      <c r="CG129" s="52"/>
      <c r="CH129" s="52"/>
      <c r="CI129" s="52"/>
      <c r="CJ129" s="52"/>
      <c r="CK129" s="52"/>
      <c r="CL129" s="52"/>
      <c r="CM129" s="52"/>
      <c r="CN129" s="52"/>
      <c r="CO129" s="52"/>
      <c r="CP129" s="52"/>
      <c r="CQ129" s="52"/>
      <c r="CR129" s="52"/>
      <c r="CS129" s="52"/>
      <c r="CT129" s="52"/>
      <c r="CU129" s="52"/>
      <c r="CV129" s="52"/>
      <c r="CW129" s="52"/>
      <c r="CX129" s="52"/>
      <c r="CY129" s="52"/>
      <c r="CZ129" s="52"/>
      <c r="DA129" s="52"/>
      <c r="DB129" s="52"/>
      <c r="DC129" s="52"/>
      <c r="DD129" s="52"/>
      <c r="DE129" s="52"/>
      <c r="DF129" s="52"/>
      <c r="DG129" s="52"/>
      <c r="DH129" s="52"/>
      <c r="DI129" s="52"/>
      <c r="DJ129" s="52"/>
      <c r="DK129" s="52"/>
      <c r="DL129" s="52"/>
      <c r="DM129" s="52"/>
      <c r="DN129" s="52"/>
      <c r="DO129" s="52"/>
      <c r="DP129" s="52"/>
      <c r="DQ129" s="52"/>
      <c r="DR129" s="52"/>
      <c r="DS129" s="52"/>
      <c r="DT129" s="52"/>
      <c r="DU129" s="52"/>
      <c r="DV129" s="52"/>
      <c r="DW129" s="52"/>
      <c r="DX129" s="52"/>
      <c r="DY129" s="52"/>
      <c r="DZ129" s="52"/>
      <c r="EA129" s="52"/>
      <c r="EB129" s="52"/>
      <c r="EC129" s="52"/>
      <c r="ED129" s="52"/>
      <c r="EE129" s="52"/>
      <c r="EF129" s="52"/>
      <c r="EG129" s="52"/>
      <c r="EH129" s="52"/>
      <c r="EI129" s="52"/>
      <c r="EJ129" s="52"/>
      <c r="EK129" s="52"/>
      <c r="EL129" s="52"/>
      <c r="EM129" s="52"/>
      <c r="EN129" s="52"/>
      <c r="EO129" s="52"/>
      <c r="EP129" s="52"/>
      <c r="EQ129" s="52"/>
      <c r="ER129" s="52"/>
      <c r="ES129" s="52"/>
      <c r="ET129" s="52"/>
      <c r="EU129" s="52"/>
      <c r="EV129" s="52"/>
      <c r="EW129" s="52"/>
      <c r="EX129" s="52"/>
      <c r="EY129" s="52"/>
      <c r="EZ129" s="52"/>
      <c r="FA129" s="52"/>
      <c r="FB129" s="52"/>
      <c r="FC129" s="52"/>
      <c r="FD129" s="52"/>
      <c r="FE129" s="52"/>
      <c r="FF129" s="52"/>
      <c r="FG129" s="52"/>
      <c r="FH129" s="52"/>
      <c r="FI129" s="52"/>
      <c r="FJ129" s="52"/>
      <c r="FK129" s="52"/>
      <c r="FL129" s="52"/>
      <c r="FM129" s="52"/>
      <c r="FN129" s="52"/>
      <c r="FO129" s="52"/>
      <c r="FP129" s="52"/>
      <c r="FQ129" s="52"/>
      <c r="FR129" s="52"/>
      <c r="FS129" s="52"/>
      <c r="FT129" s="52"/>
      <c r="FU129" s="52"/>
      <c r="FV129" s="52"/>
      <c r="FW129" s="52"/>
      <c r="FX129" s="52"/>
    </row>
    <row r="130" ht="15.75" customHeight="1">
      <c r="A130" s="27"/>
      <c r="B130" s="27"/>
      <c r="C130" s="51"/>
      <c r="D130" s="51"/>
      <c r="E130" s="313"/>
      <c r="F130" s="35"/>
      <c r="G130" s="35"/>
      <c r="H130" s="35"/>
      <c r="I130" s="26"/>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c r="BY130" s="52"/>
      <c r="BZ130" s="52"/>
      <c r="CA130" s="52"/>
      <c r="CB130" s="52"/>
      <c r="CC130" s="52"/>
      <c r="CD130" s="52"/>
      <c r="CE130" s="52"/>
      <c r="CF130" s="52"/>
      <c r="CG130" s="52"/>
      <c r="CH130" s="52"/>
      <c r="CI130" s="52"/>
      <c r="CJ130" s="52"/>
      <c r="CK130" s="52"/>
      <c r="CL130" s="52"/>
      <c r="CM130" s="52"/>
      <c r="CN130" s="52"/>
      <c r="CO130" s="52"/>
      <c r="CP130" s="52"/>
      <c r="CQ130" s="52"/>
      <c r="CR130" s="52"/>
      <c r="CS130" s="52"/>
      <c r="CT130" s="52"/>
      <c r="CU130" s="52"/>
      <c r="CV130" s="52"/>
      <c r="CW130" s="52"/>
      <c r="CX130" s="52"/>
      <c r="CY130" s="52"/>
      <c r="CZ130" s="52"/>
      <c r="DA130" s="52"/>
      <c r="DB130" s="52"/>
      <c r="DC130" s="52"/>
      <c r="DD130" s="52"/>
      <c r="DE130" s="52"/>
      <c r="DF130" s="52"/>
      <c r="DG130" s="52"/>
      <c r="DH130" s="52"/>
      <c r="DI130" s="52"/>
      <c r="DJ130" s="52"/>
      <c r="DK130" s="52"/>
      <c r="DL130" s="52"/>
      <c r="DM130" s="52"/>
      <c r="DN130" s="52"/>
      <c r="DO130" s="52"/>
      <c r="DP130" s="52"/>
      <c r="DQ130" s="52"/>
      <c r="DR130" s="52"/>
      <c r="DS130" s="52"/>
      <c r="DT130" s="52"/>
      <c r="DU130" s="52"/>
      <c r="DV130" s="52"/>
      <c r="DW130" s="52"/>
      <c r="DX130" s="52"/>
      <c r="DY130" s="52"/>
      <c r="DZ130" s="52"/>
      <c r="EA130" s="52"/>
      <c r="EB130" s="52"/>
      <c r="EC130" s="52"/>
      <c r="ED130" s="52"/>
      <c r="EE130" s="52"/>
      <c r="EF130" s="52"/>
      <c r="EG130" s="52"/>
      <c r="EH130" s="52"/>
      <c r="EI130" s="52"/>
      <c r="EJ130" s="52"/>
      <c r="EK130" s="52"/>
      <c r="EL130" s="52"/>
      <c r="EM130" s="52"/>
      <c r="EN130" s="52"/>
      <c r="EO130" s="52"/>
      <c r="EP130" s="52"/>
      <c r="EQ130" s="52"/>
      <c r="ER130" s="52"/>
      <c r="ES130" s="52"/>
      <c r="ET130" s="52"/>
      <c r="EU130" s="52"/>
      <c r="EV130" s="52"/>
      <c r="EW130" s="52"/>
      <c r="EX130" s="52"/>
      <c r="EY130" s="52"/>
      <c r="EZ130" s="52"/>
      <c r="FA130" s="52"/>
      <c r="FB130" s="52"/>
      <c r="FC130" s="52"/>
      <c r="FD130" s="52"/>
      <c r="FE130" s="52"/>
      <c r="FF130" s="52"/>
      <c r="FG130" s="52"/>
      <c r="FH130" s="52"/>
      <c r="FI130" s="52"/>
      <c r="FJ130" s="52"/>
      <c r="FK130" s="52"/>
      <c r="FL130" s="52"/>
      <c r="FM130" s="52"/>
      <c r="FN130" s="52"/>
      <c r="FO130" s="52"/>
      <c r="FP130" s="52"/>
      <c r="FQ130" s="52"/>
      <c r="FR130" s="52"/>
      <c r="FS130" s="52"/>
      <c r="FT130" s="52"/>
      <c r="FU130" s="52"/>
      <c r="FV130" s="52"/>
      <c r="FW130" s="52"/>
      <c r="FX130" s="52"/>
    </row>
    <row r="131" ht="15.75" customHeight="1">
      <c r="A131" s="27"/>
      <c r="B131" s="27"/>
      <c r="C131" s="51"/>
      <c r="D131" s="51"/>
      <c r="E131" s="313"/>
      <c r="F131" s="35"/>
      <c r="G131" s="35"/>
      <c r="H131" s="35"/>
      <c r="I131" s="26"/>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c r="BY131" s="52"/>
      <c r="BZ131" s="52"/>
      <c r="CA131" s="52"/>
      <c r="CB131" s="52"/>
      <c r="CC131" s="52"/>
      <c r="CD131" s="52"/>
      <c r="CE131" s="52"/>
      <c r="CF131" s="52"/>
      <c r="CG131" s="52"/>
      <c r="CH131" s="52"/>
      <c r="CI131" s="52"/>
      <c r="CJ131" s="52"/>
      <c r="CK131" s="52"/>
      <c r="CL131" s="52"/>
      <c r="CM131" s="52"/>
      <c r="CN131" s="52"/>
      <c r="CO131" s="52"/>
      <c r="CP131" s="52"/>
      <c r="CQ131" s="52"/>
      <c r="CR131" s="52"/>
      <c r="CS131" s="52"/>
      <c r="CT131" s="52"/>
      <c r="CU131" s="52"/>
      <c r="CV131" s="52"/>
      <c r="CW131" s="52"/>
      <c r="CX131" s="52"/>
      <c r="CY131" s="52"/>
      <c r="CZ131" s="52"/>
      <c r="DA131" s="52"/>
      <c r="DB131" s="52"/>
      <c r="DC131" s="52"/>
      <c r="DD131" s="52"/>
      <c r="DE131" s="52"/>
      <c r="DF131" s="52"/>
      <c r="DG131" s="52"/>
      <c r="DH131" s="52"/>
      <c r="DI131" s="52"/>
      <c r="DJ131" s="52"/>
      <c r="DK131" s="52"/>
      <c r="DL131" s="52"/>
      <c r="DM131" s="52"/>
      <c r="DN131" s="52"/>
      <c r="DO131" s="52"/>
      <c r="DP131" s="52"/>
      <c r="DQ131" s="52"/>
      <c r="DR131" s="52"/>
      <c r="DS131" s="52"/>
      <c r="DT131" s="52"/>
      <c r="DU131" s="52"/>
      <c r="DV131" s="52"/>
      <c r="DW131" s="52"/>
      <c r="DX131" s="52"/>
      <c r="DY131" s="52"/>
      <c r="DZ131" s="52"/>
      <c r="EA131" s="52"/>
      <c r="EB131" s="52"/>
      <c r="EC131" s="52"/>
      <c r="ED131" s="52"/>
      <c r="EE131" s="52"/>
      <c r="EF131" s="52"/>
      <c r="EG131" s="52"/>
      <c r="EH131" s="52"/>
      <c r="EI131" s="52"/>
      <c r="EJ131" s="52"/>
      <c r="EK131" s="52"/>
      <c r="EL131" s="52"/>
      <c r="EM131" s="52"/>
      <c r="EN131" s="52"/>
      <c r="EO131" s="52"/>
      <c r="EP131" s="52"/>
      <c r="EQ131" s="52"/>
      <c r="ER131" s="52"/>
      <c r="ES131" s="52"/>
      <c r="ET131" s="52"/>
      <c r="EU131" s="52"/>
      <c r="EV131" s="52"/>
      <c r="EW131" s="52"/>
      <c r="EX131" s="52"/>
      <c r="EY131" s="52"/>
      <c r="EZ131" s="52"/>
      <c r="FA131" s="52"/>
      <c r="FB131" s="52"/>
      <c r="FC131" s="52"/>
      <c r="FD131" s="52"/>
      <c r="FE131" s="52"/>
      <c r="FF131" s="52"/>
      <c r="FG131" s="52"/>
      <c r="FH131" s="52"/>
      <c r="FI131" s="52"/>
      <c r="FJ131" s="52"/>
      <c r="FK131" s="52"/>
      <c r="FL131" s="52"/>
      <c r="FM131" s="52"/>
      <c r="FN131" s="52"/>
      <c r="FO131" s="52"/>
      <c r="FP131" s="52"/>
      <c r="FQ131" s="52"/>
      <c r="FR131" s="52"/>
      <c r="FS131" s="52"/>
      <c r="FT131" s="52"/>
      <c r="FU131" s="52"/>
      <c r="FV131" s="52"/>
      <c r="FW131" s="52"/>
      <c r="FX131" s="52"/>
    </row>
    <row r="132" ht="15.75" customHeight="1">
      <c r="A132" s="27"/>
      <c r="B132" s="27"/>
      <c r="C132" s="51"/>
      <c r="D132" s="51"/>
      <c r="E132" s="313"/>
      <c r="F132" s="35"/>
      <c r="G132" s="35"/>
      <c r="H132" s="35"/>
      <c r="I132" s="26"/>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c r="BY132" s="52"/>
      <c r="BZ132" s="52"/>
      <c r="CA132" s="52"/>
      <c r="CB132" s="52"/>
      <c r="CC132" s="52"/>
      <c r="CD132" s="52"/>
      <c r="CE132" s="52"/>
      <c r="CF132" s="52"/>
      <c r="CG132" s="52"/>
      <c r="CH132" s="52"/>
      <c r="CI132" s="52"/>
      <c r="CJ132" s="52"/>
      <c r="CK132" s="52"/>
      <c r="CL132" s="52"/>
      <c r="CM132" s="52"/>
      <c r="CN132" s="52"/>
      <c r="CO132" s="52"/>
      <c r="CP132" s="52"/>
      <c r="CQ132" s="52"/>
      <c r="CR132" s="52"/>
      <c r="CS132" s="52"/>
      <c r="CT132" s="52"/>
      <c r="CU132" s="52"/>
      <c r="CV132" s="52"/>
      <c r="CW132" s="52"/>
      <c r="CX132" s="52"/>
      <c r="CY132" s="52"/>
      <c r="CZ132" s="52"/>
      <c r="DA132" s="52"/>
      <c r="DB132" s="52"/>
      <c r="DC132" s="52"/>
      <c r="DD132" s="52"/>
      <c r="DE132" s="52"/>
      <c r="DF132" s="52"/>
      <c r="DG132" s="52"/>
      <c r="DH132" s="52"/>
      <c r="DI132" s="52"/>
      <c r="DJ132" s="52"/>
      <c r="DK132" s="52"/>
      <c r="DL132" s="52"/>
      <c r="DM132" s="52"/>
      <c r="DN132" s="52"/>
      <c r="DO132" s="52"/>
      <c r="DP132" s="52"/>
      <c r="DQ132" s="52"/>
      <c r="DR132" s="52"/>
      <c r="DS132" s="52"/>
      <c r="DT132" s="52"/>
      <c r="DU132" s="52"/>
      <c r="DV132" s="52"/>
      <c r="DW132" s="52"/>
      <c r="DX132" s="52"/>
      <c r="DY132" s="52"/>
      <c r="DZ132" s="52"/>
      <c r="EA132" s="52"/>
      <c r="EB132" s="52"/>
      <c r="EC132" s="52"/>
      <c r="ED132" s="52"/>
      <c r="EE132" s="52"/>
      <c r="EF132" s="52"/>
      <c r="EG132" s="52"/>
      <c r="EH132" s="52"/>
      <c r="EI132" s="52"/>
      <c r="EJ132" s="52"/>
      <c r="EK132" s="52"/>
      <c r="EL132" s="52"/>
      <c r="EM132" s="52"/>
      <c r="EN132" s="52"/>
      <c r="EO132" s="52"/>
      <c r="EP132" s="52"/>
      <c r="EQ132" s="52"/>
      <c r="ER132" s="52"/>
      <c r="ES132" s="52"/>
      <c r="ET132" s="52"/>
      <c r="EU132" s="52"/>
      <c r="EV132" s="52"/>
      <c r="EW132" s="52"/>
      <c r="EX132" s="52"/>
      <c r="EY132" s="52"/>
      <c r="EZ132" s="52"/>
      <c r="FA132" s="52"/>
      <c r="FB132" s="52"/>
      <c r="FC132" s="52"/>
      <c r="FD132" s="52"/>
      <c r="FE132" s="52"/>
      <c r="FF132" s="52"/>
      <c r="FG132" s="52"/>
      <c r="FH132" s="52"/>
      <c r="FI132" s="52"/>
      <c r="FJ132" s="52"/>
      <c r="FK132" s="52"/>
      <c r="FL132" s="52"/>
      <c r="FM132" s="52"/>
      <c r="FN132" s="52"/>
      <c r="FO132" s="52"/>
      <c r="FP132" s="52"/>
      <c r="FQ132" s="52"/>
      <c r="FR132" s="52"/>
      <c r="FS132" s="52"/>
      <c r="FT132" s="52"/>
      <c r="FU132" s="52"/>
      <c r="FV132" s="52"/>
      <c r="FW132" s="52"/>
      <c r="FX132" s="52"/>
    </row>
    <row r="133" ht="15.75" customHeight="1">
      <c r="A133" s="27"/>
      <c r="B133" s="27"/>
      <c r="C133" s="51"/>
      <c r="D133" s="51"/>
      <c r="E133" s="313"/>
      <c r="F133" s="35"/>
      <c r="G133" s="35"/>
      <c r="H133" s="35"/>
      <c r="I133" s="26"/>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c r="BY133" s="52"/>
      <c r="BZ133" s="52"/>
      <c r="CA133" s="52"/>
      <c r="CB133" s="52"/>
      <c r="CC133" s="52"/>
      <c r="CD133" s="52"/>
      <c r="CE133" s="52"/>
      <c r="CF133" s="52"/>
      <c r="CG133" s="52"/>
      <c r="CH133" s="52"/>
      <c r="CI133" s="52"/>
      <c r="CJ133" s="52"/>
      <c r="CK133" s="52"/>
      <c r="CL133" s="52"/>
      <c r="CM133" s="52"/>
      <c r="CN133" s="52"/>
      <c r="CO133" s="52"/>
      <c r="CP133" s="52"/>
      <c r="CQ133" s="52"/>
      <c r="CR133" s="52"/>
      <c r="CS133" s="52"/>
      <c r="CT133" s="52"/>
      <c r="CU133" s="52"/>
      <c r="CV133" s="52"/>
      <c r="CW133" s="52"/>
      <c r="CX133" s="52"/>
      <c r="CY133" s="52"/>
      <c r="CZ133" s="52"/>
      <c r="DA133" s="52"/>
      <c r="DB133" s="52"/>
      <c r="DC133" s="52"/>
      <c r="DD133" s="52"/>
      <c r="DE133" s="52"/>
      <c r="DF133" s="52"/>
      <c r="DG133" s="52"/>
      <c r="DH133" s="52"/>
      <c r="DI133" s="52"/>
      <c r="DJ133" s="52"/>
      <c r="DK133" s="52"/>
      <c r="DL133" s="52"/>
      <c r="DM133" s="52"/>
      <c r="DN133" s="52"/>
      <c r="DO133" s="52"/>
      <c r="DP133" s="52"/>
      <c r="DQ133" s="52"/>
      <c r="DR133" s="52"/>
      <c r="DS133" s="52"/>
      <c r="DT133" s="52"/>
      <c r="DU133" s="52"/>
      <c r="DV133" s="52"/>
      <c r="DW133" s="52"/>
      <c r="DX133" s="52"/>
      <c r="DY133" s="52"/>
      <c r="DZ133" s="52"/>
      <c r="EA133" s="52"/>
      <c r="EB133" s="52"/>
      <c r="EC133" s="52"/>
      <c r="ED133" s="52"/>
      <c r="EE133" s="52"/>
      <c r="EF133" s="52"/>
      <c r="EG133" s="52"/>
      <c r="EH133" s="52"/>
      <c r="EI133" s="52"/>
      <c r="EJ133" s="52"/>
      <c r="EK133" s="52"/>
      <c r="EL133" s="52"/>
      <c r="EM133" s="52"/>
      <c r="EN133" s="52"/>
      <c r="EO133" s="52"/>
      <c r="EP133" s="52"/>
      <c r="EQ133" s="52"/>
      <c r="ER133" s="52"/>
      <c r="ES133" s="52"/>
      <c r="ET133" s="52"/>
      <c r="EU133" s="52"/>
      <c r="EV133" s="52"/>
      <c r="EW133" s="52"/>
      <c r="EX133" s="52"/>
      <c r="EY133" s="52"/>
      <c r="EZ133" s="52"/>
      <c r="FA133" s="52"/>
      <c r="FB133" s="52"/>
      <c r="FC133" s="52"/>
      <c r="FD133" s="52"/>
      <c r="FE133" s="52"/>
      <c r="FF133" s="52"/>
      <c r="FG133" s="52"/>
      <c r="FH133" s="52"/>
      <c r="FI133" s="52"/>
      <c r="FJ133" s="52"/>
      <c r="FK133" s="52"/>
      <c r="FL133" s="52"/>
      <c r="FM133" s="52"/>
      <c r="FN133" s="52"/>
      <c r="FO133" s="52"/>
      <c r="FP133" s="52"/>
      <c r="FQ133" s="52"/>
      <c r="FR133" s="52"/>
      <c r="FS133" s="52"/>
      <c r="FT133" s="52"/>
      <c r="FU133" s="52"/>
      <c r="FV133" s="52"/>
      <c r="FW133" s="52"/>
      <c r="FX133" s="52"/>
    </row>
    <row r="134" ht="15.75" customHeight="1">
      <c r="A134" s="27"/>
      <c r="B134" s="27"/>
      <c r="C134" s="51"/>
      <c r="D134" s="51"/>
      <c r="E134" s="313"/>
      <c r="F134" s="35"/>
      <c r="G134" s="35"/>
      <c r="H134" s="35"/>
      <c r="I134" s="26"/>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c r="BY134" s="52"/>
      <c r="BZ134" s="52"/>
      <c r="CA134" s="52"/>
      <c r="CB134" s="52"/>
      <c r="CC134" s="52"/>
      <c r="CD134" s="52"/>
      <c r="CE134" s="52"/>
      <c r="CF134" s="52"/>
      <c r="CG134" s="52"/>
      <c r="CH134" s="52"/>
      <c r="CI134" s="52"/>
      <c r="CJ134" s="52"/>
      <c r="CK134" s="52"/>
      <c r="CL134" s="52"/>
      <c r="CM134" s="52"/>
      <c r="CN134" s="52"/>
      <c r="CO134" s="52"/>
      <c r="CP134" s="52"/>
      <c r="CQ134" s="52"/>
      <c r="CR134" s="52"/>
      <c r="CS134" s="52"/>
      <c r="CT134" s="52"/>
      <c r="CU134" s="52"/>
      <c r="CV134" s="52"/>
      <c r="CW134" s="52"/>
      <c r="CX134" s="52"/>
      <c r="CY134" s="52"/>
      <c r="CZ134" s="52"/>
      <c r="DA134" s="52"/>
      <c r="DB134" s="52"/>
      <c r="DC134" s="52"/>
      <c r="DD134" s="52"/>
      <c r="DE134" s="52"/>
      <c r="DF134" s="52"/>
      <c r="DG134" s="52"/>
      <c r="DH134" s="52"/>
      <c r="DI134" s="52"/>
      <c r="DJ134" s="52"/>
      <c r="DK134" s="52"/>
      <c r="DL134" s="52"/>
      <c r="DM134" s="52"/>
      <c r="DN134" s="52"/>
      <c r="DO134" s="52"/>
      <c r="DP134" s="52"/>
      <c r="DQ134" s="52"/>
      <c r="DR134" s="52"/>
      <c r="DS134" s="52"/>
      <c r="DT134" s="52"/>
      <c r="DU134" s="52"/>
      <c r="DV134" s="52"/>
      <c r="DW134" s="52"/>
      <c r="DX134" s="52"/>
      <c r="DY134" s="52"/>
      <c r="DZ134" s="52"/>
      <c r="EA134" s="52"/>
      <c r="EB134" s="52"/>
      <c r="EC134" s="52"/>
      <c r="ED134" s="52"/>
      <c r="EE134" s="52"/>
      <c r="EF134" s="52"/>
      <c r="EG134" s="52"/>
      <c r="EH134" s="52"/>
      <c r="EI134" s="52"/>
      <c r="EJ134" s="52"/>
      <c r="EK134" s="52"/>
      <c r="EL134" s="52"/>
      <c r="EM134" s="52"/>
      <c r="EN134" s="52"/>
      <c r="EO134" s="52"/>
      <c r="EP134" s="52"/>
      <c r="EQ134" s="52"/>
      <c r="ER134" s="52"/>
      <c r="ES134" s="52"/>
      <c r="ET134" s="52"/>
      <c r="EU134" s="52"/>
      <c r="EV134" s="52"/>
      <c r="EW134" s="52"/>
      <c r="EX134" s="52"/>
      <c r="EY134" s="52"/>
      <c r="EZ134" s="52"/>
      <c r="FA134" s="52"/>
      <c r="FB134" s="52"/>
      <c r="FC134" s="52"/>
      <c r="FD134" s="52"/>
      <c r="FE134" s="52"/>
      <c r="FF134" s="52"/>
      <c r="FG134" s="52"/>
      <c r="FH134" s="52"/>
      <c r="FI134" s="52"/>
      <c r="FJ134" s="52"/>
      <c r="FK134" s="52"/>
      <c r="FL134" s="52"/>
      <c r="FM134" s="52"/>
      <c r="FN134" s="52"/>
      <c r="FO134" s="52"/>
      <c r="FP134" s="52"/>
      <c r="FQ134" s="52"/>
      <c r="FR134" s="52"/>
      <c r="FS134" s="52"/>
      <c r="FT134" s="52"/>
      <c r="FU134" s="52"/>
      <c r="FV134" s="52"/>
      <c r="FW134" s="52"/>
      <c r="FX134" s="52"/>
    </row>
    <row r="135" ht="15.75" customHeight="1">
      <c r="A135" s="27"/>
      <c r="B135" s="27"/>
      <c r="C135" s="51"/>
      <c r="D135" s="51"/>
      <c r="E135" s="313"/>
      <c r="F135" s="35"/>
      <c r="G135" s="35"/>
      <c r="H135" s="35"/>
      <c r="I135" s="26"/>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c r="BY135" s="52"/>
      <c r="BZ135" s="52"/>
      <c r="CA135" s="52"/>
      <c r="CB135" s="52"/>
      <c r="CC135" s="52"/>
      <c r="CD135" s="52"/>
      <c r="CE135" s="52"/>
      <c r="CF135" s="52"/>
      <c r="CG135" s="52"/>
      <c r="CH135" s="52"/>
      <c r="CI135" s="52"/>
      <c r="CJ135" s="52"/>
      <c r="CK135" s="52"/>
      <c r="CL135" s="52"/>
      <c r="CM135" s="52"/>
      <c r="CN135" s="52"/>
      <c r="CO135" s="52"/>
      <c r="CP135" s="52"/>
      <c r="CQ135" s="52"/>
      <c r="CR135" s="52"/>
      <c r="CS135" s="52"/>
      <c r="CT135" s="52"/>
      <c r="CU135" s="52"/>
      <c r="CV135" s="52"/>
      <c r="CW135" s="52"/>
      <c r="CX135" s="52"/>
      <c r="CY135" s="52"/>
      <c r="CZ135" s="52"/>
      <c r="DA135" s="52"/>
      <c r="DB135" s="52"/>
      <c r="DC135" s="52"/>
      <c r="DD135" s="52"/>
      <c r="DE135" s="52"/>
      <c r="DF135" s="52"/>
      <c r="DG135" s="52"/>
      <c r="DH135" s="52"/>
      <c r="DI135" s="52"/>
      <c r="DJ135" s="52"/>
      <c r="DK135" s="52"/>
      <c r="DL135" s="52"/>
      <c r="DM135" s="52"/>
      <c r="DN135" s="52"/>
      <c r="DO135" s="52"/>
      <c r="DP135" s="52"/>
      <c r="DQ135" s="52"/>
      <c r="DR135" s="52"/>
      <c r="DS135" s="52"/>
      <c r="DT135" s="52"/>
      <c r="DU135" s="52"/>
      <c r="DV135" s="52"/>
      <c r="DW135" s="52"/>
      <c r="DX135" s="52"/>
      <c r="DY135" s="52"/>
      <c r="DZ135" s="52"/>
      <c r="EA135" s="52"/>
      <c r="EB135" s="52"/>
      <c r="EC135" s="52"/>
      <c r="ED135" s="52"/>
      <c r="EE135" s="52"/>
      <c r="EF135" s="52"/>
      <c r="EG135" s="52"/>
      <c r="EH135" s="52"/>
      <c r="EI135" s="52"/>
      <c r="EJ135" s="52"/>
      <c r="EK135" s="52"/>
      <c r="EL135" s="52"/>
      <c r="EM135" s="52"/>
      <c r="EN135" s="52"/>
      <c r="EO135" s="52"/>
      <c r="EP135" s="52"/>
      <c r="EQ135" s="52"/>
      <c r="ER135" s="52"/>
      <c r="ES135" s="52"/>
      <c r="ET135" s="52"/>
      <c r="EU135" s="52"/>
      <c r="EV135" s="52"/>
      <c r="EW135" s="52"/>
      <c r="EX135" s="52"/>
      <c r="EY135" s="52"/>
      <c r="EZ135" s="52"/>
      <c r="FA135" s="52"/>
      <c r="FB135" s="52"/>
      <c r="FC135" s="52"/>
      <c r="FD135" s="52"/>
      <c r="FE135" s="52"/>
      <c r="FF135" s="52"/>
      <c r="FG135" s="52"/>
      <c r="FH135" s="52"/>
      <c r="FI135" s="52"/>
      <c r="FJ135" s="52"/>
      <c r="FK135" s="52"/>
      <c r="FL135" s="52"/>
      <c r="FM135" s="52"/>
      <c r="FN135" s="52"/>
      <c r="FO135" s="52"/>
      <c r="FP135" s="52"/>
      <c r="FQ135" s="52"/>
      <c r="FR135" s="52"/>
      <c r="FS135" s="52"/>
      <c r="FT135" s="52"/>
      <c r="FU135" s="52"/>
      <c r="FV135" s="52"/>
      <c r="FW135" s="52"/>
      <c r="FX135" s="52"/>
    </row>
    <row r="136" ht="15.75" customHeight="1">
      <c r="A136" s="27"/>
      <c r="B136" s="27"/>
      <c r="C136" s="51"/>
      <c r="D136" s="51"/>
      <c r="E136" s="313"/>
      <c r="F136" s="35"/>
      <c r="G136" s="35"/>
      <c r="H136" s="35"/>
      <c r="I136" s="26"/>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c r="BY136" s="52"/>
      <c r="BZ136" s="52"/>
      <c r="CA136" s="52"/>
      <c r="CB136" s="52"/>
      <c r="CC136" s="52"/>
      <c r="CD136" s="52"/>
      <c r="CE136" s="52"/>
      <c r="CF136" s="52"/>
      <c r="CG136" s="52"/>
      <c r="CH136" s="52"/>
      <c r="CI136" s="52"/>
      <c r="CJ136" s="52"/>
      <c r="CK136" s="52"/>
      <c r="CL136" s="52"/>
      <c r="CM136" s="52"/>
      <c r="CN136" s="52"/>
      <c r="CO136" s="52"/>
      <c r="CP136" s="52"/>
      <c r="CQ136" s="52"/>
      <c r="CR136" s="52"/>
      <c r="CS136" s="52"/>
      <c r="CT136" s="52"/>
      <c r="CU136" s="52"/>
      <c r="CV136" s="52"/>
      <c r="CW136" s="52"/>
      <c r="CX136" s="52"/>
      <c r="CY136" s="52"/>
      <c r="CZ136" s="52"/>
      <c r="DA136" s="52"/>
      <c r="DB136" s="52"/>
      <c r="DC136" s="52"/>
      <c r="DD136" s="52"/>
      <c r="DE136" s="52"/>
      <c r="DF136" s="52"/>
      <c r="DG136" s="52"/>
      <c r="DH136" s="52"/>
      <c r="DI136" s="52"/>
      <c r="DJ136" s="52"/>
      <c r="DK136" s="52"/>
      <c r="DL136" s="52"/>
      <c r="DM136" s="52"/>
      <c r="DN136" s="52"/>
      <c r="DO136" s="52"/>
      <c r="DP136" s="52"/>
      <c r="DQ136" s="52"/>
      <c r="DR136" s="52"/>
      <c r="DS136" s="52"/>
      <c r="DT136" s="52"/>
      <c r="DU136" s="52"/>
      <c r="DV136" s="52"/>
      <c r="DW136" s="52"/>
      <c r="DX136" s="52"/>
      <c r="DY136" s="52"/>
      <c r="DZ136" s="52"/>
      <c r="EA136" s="52"/>
      <c r="EB136" s="52"/>
      <c r="EC136" s="52"/>
      <c r="ED136" s="52"/>
      <c r="EE136" s="52"/>
      <c r="EF136" s="52"/>
      <c r="EG136" s="52"/>
      <c r="EH136" s="52"/>
      <c r="EI136" s="52"/>
      <c r="EJ136" s="52"/>
      <c r="EK136" s="52"/>
      <c r="EL136" s="52"/>
      <c r="EM136" s="52"/>
      <c r="EN136" s="52"/>
      <c r="EO136" s="52"/>
      <c r="EP136" s="52"/>
      <c r="EQ136" s="52"/>
      <c r="ER136" s="52"/>
      <c r="ES136" s="52"/>
      <c r="ET136" s="52"/>
      <c r="EU136" s="52"/>
      <c r="EV136" s="52"/>
      <c r="EW136" s="52"/>
      <c r="EX136" s="52"/>
      <c r="EY136" s="52"/>
      <c r="EZ136" s="52"/>
      <c r="FA136" s="52"/>
      <c r="FB136" s="52"/>
      <c r="FC136" s="52"/>
      <c r="FD136" s="52"/>
      <c r="FE136" s="52"/>
      <c r="FF136" s="52"/>
      <c r="FG136" s="52"/>
      <c r="FH136" s="52"/>
      <c r="FI136" s="52"/>
      <c r="FJ136" s="52"/>
      <c r="FK136" s="52"/>
      <c r="FL136" s="52"/>
      <c r="FM136" s="52"/>
      <c r="FN136" s="52"/>
      <c r="FO136" s="52"/>
      <c r="FP136" s="52"/>
      <c r="FQ136" s="52"/>
      <c r="FR136" s="52"/>
      <c r="FS136" s="52"/>
      <c r="FT136" s="52"/>
      <c r="FU136" s="52"/>
      <c r="FV136" s="52"/>
      <c r="FW136" s="52"/>
      <c r="FX136" s="52"/>
    </row>
    <row r="137" ht="15.75" customHeight="1">
      <c r="A137" s="27"/>
      <c r="B137" s="27"/>
      <c r="C137" s="51"/>
      <c r="D137" s="51"/>
      <c r="E137" s="313"/>
      <c r="F137" s="35"/>
      <c r="G137" s="35"/>
      <c r="H137" s="35"/>
      <c r="I137" s="26"/>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c r="BU137" s="52"/>
      <c r="BV137" s="52"/>
      <c r="BW137" s="52"/>
      <c r="BX137" s="52"/>
      <c r="BY137" s="52"/>
      <c r="BZ137" s="52"/>
      <c r="CA137" s="52"/>
      <c r="CB137" s="52"/>
      <c r="CC137" s="52"/>
      <c r="CD137" s="52"/>
      <c r="CE137" s="52"/>
      <c r="CF137" s="52"/>
      <c r="CG137" s="52"/>
      <c r="CH137" s="52"/>
      <c r="CI137" s="52"/>
      <c r="CJ137" s="52"/>
      <c r="CK137" s="52"/>
      <c r="CL137" s="52"/>
      <c r="CM137" s="52"/>
      <c r="CN137" s="52"/>
      <c r="CO137" s="52"/>
      <c r="CP137" s="52"/>
      <c r="CQ137" s="52"/>
      <c r="CR137" s="52"/>
      <c r="CS137" s="52"/>
      <c r="CT137" s="52"/>
      <c r="CU137" s="52"/>
      <c r="CV137" s="52"/>
      <c r="CW137" s="52"/>
      <c r="CX137" s="52"/>
      <c r="CY137" s="52"/>
      <c r="CZ137" s="52"/>
      <c r="DA137" s="52"/>
      <c r="DB137" s="52"/>
      <c r="DC137" s="52"/>
      <c r="DD137" s="52"/>
      <c r="DE137" s="52"/>
      <c r="DF137" s="52"/>
      <c r="DG137" s="52"/>
      <c r="DH137" s="52"/>
      <c r="DI137" s="52"/>
      <c r="DJ137" s="52"/>
      <c r="DK137" s="52"/>
      <c r="DL137" s="52"/>
      <c r="DM137" s="52"/>
      <c r="DN137" s="52"/>
      <c r="DO137" s="52"/>
      <c r="DP137" s="52"/>
      <c r="DQ137" s="52"/>
      <c r="DR137" s="52"/>
      <c r="DS137" s="52"/>
      <c r="DT137" s="52"/>
      <c r="DU137" s="52"/>
      <c r="DV137" s="52"/>
      <c r="DW137" s="52"/>
      <c r="DX137" s="52"/>
      <c r="DY137" s="52"/>
      <c r="DZ137" s="52"/>
      <c r="EA137" s="52"/>
      <c r="EB137" s="52"/>
      <c r="EC137" s="52"/>
      <c r="ED137" s="52"/>
      <c r="EE137" s="52"/>
      <c r="EF137" s="52"/>
      <c r="EG137" s="52"/>
      <c r="EH137" s="52"/>
      <c r="EI137" s="52"/>
      <c r="EJ137" s="52"/>
      <c r="EK137" s="52"/>
      <c r="EL137" s="52"/>
      <c r="EM137" s="52"/>
      <c r="EN137" s="52"/>
      <c r="EO137" s="52"/>
      <c r="EP137" s="52"/>
      <c r="EQ137" s="52"/>
      <c r="ER137" s="52"/>
      <c r="ES137" s="52"/>
      <c r="ET137" s="52"/>
      <c r="EU137" s="52"/>
      <c r="EV137" s="52"/>
      <c r="EW137" s="52"/>
      <c r="EX137" s="52"/>
      <c r="EY137" s="52"/>
      <c r="EZ137" s="52"/>
      <c r="FA137" s="52"/>
      <c r="FB137" s="52"/>
      <c r="FC137" s="52"/>
      <c r="FD137" s="52"/>
      <c r="FE137" s="52"/>
      <c r="FF137" s="52"/>
      <c r="FG137" s="52"/>
      <c r="FH137" s="52"/>
      <c r="FI137" s="52"/>
      <c r="FJ137" s="52"/>
      <c r="FK137" s="52"/>
      <c r="FL137" s="52"/>
      <c r="FM137" s="52"/>
      <c r="FN137" s="52"/>
      <c r="FO137" s="52"/>
      <c r="FP137" s="52"/>
      <c r="FQ137" s="52"/>
      <c r="FR137" s="52"/>
      <c r="FS137" s="52"/>
      <c r="FT137" s="52"/>
      <c r="FU137" s="52"/>
      <c r="FV137" s="52"/>
      <c r="FW137" s="52"/>
      <c r="FX137" s="52"/>
    </row>
    <row r="138" ht="15.75" customHeight="1">
      <c r="A138" s="27"/>
      <c r="B138" s="27"/>
      <c r="C138" s="51"/>
      <c r="D138" s="51"/>
      <c r="E138" s="313"/>
      <c r="F138" s="35"/>
      <c r="G138" s="35"/>
      <c r="H138" s="35"/>
      <c r="I138" s="26"/>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c r="BY138" s="52"/>
      <c r="BZ138" s="52"/>
      <c r="CA138" s="52"/>
      <c r="CB138" s="52"/>
      <c r="CC138" s="52"/>
      <c r="CD138" s="52"/>
      <c r="CE138" s="52"/>
      <c r="CF138" s="52"/>
      <c r="CG138" s="52"/>
      <c r="CH138" s="52"/>
      <c r="CI138" s="52"/>
      <c r="CJ138" s="52"/>
      <c r="CK138" s="52"/>
      <c r="CL138" s="52"/>
      <c r="CM138" s="52"/>
      <c r="CN138" s="52"/>
      <c r="CO138" s="52"/>
      <c r="CP138" s="52"/>
      <c r="CQ138" s="52"/>
      <c r="CR138" s="52"/>
      <c r="CS138" s="52"/>
      <c r="CT138" s="52"/>
      <c r="CU138" s="52"/>
      <c r="CV138" s="52"/>
      <c r="CW138" s="52"/>
      <c r="CX138" s="52"/>
      <c r="CY138" s="52"/>
      <c r="CZ138" s="52"/>
      <c r="DA138" s="52"/>
      <c r="DB138" s="52"/>
      <c r="DC138" s="52"/>
      <c r="DD138" s="52"/>
      <c r="DE138" s="52"/>
      <c r="DF138" s="52"/>
      <c r="DG138" s="52"/>
      <c r="DH138" s="52"/>
      <c r="DI138" s="52"/>
      <c r="DJ138" s="52"/>
      <c r="DK138" s="52"/>
      <c r="DL138" s="52"/>
      <c r="DM138" s="52"/>
      <c r="DN138" s="52"/>
      <c r="DO138" s="52"/>
      <c r="DP138" s="52"/>
      <c r="DQ138" s="52"/>
      <c r="DR138" s="52"/>
      <c r="DS138" s="52"/>
      <c r="DT138" s="52"/>
      <c r="DU138" s="52"/>
      <c r="DV138" s="52"/>
      <c r="DW138" s="52"/>
      <c r="DX138" s="52"/>
      <c r="DY138" s="52"/>
      <c r="DZ138" s="52"/>
      <c r="EA138" s="52"/>
      <c r="EB138" s="52"/>
      <c r="EC138" s="52"/>
      <c r="ED138" s="52"/>
      <c r="EE138" s="52"/>
      <c r="EF138" s="52"/>
      <c r="EG138" s="52"/>
      <c r="EH138" s="52"/>
      <c r="EI138" s="52"/>
      <c r="EJ138" s="52"/>
      <c r="EK138" s="52"/>
      <c r="EL138" s="52"/>
      <c r="EM138" s="52"/>
      <c r="EN138" s="52"/>
      <c r="EO138" s="52"/>
      <c r="EP138" s="52"/>
      <c r="EQ138" s="52"/>
      <c r="ER138" s="52"/>
      <c r="ES138" s="52"/>
      <c r="ET138" s="52"/>
      <c r="EU138" s="52"/>
      <c r="EV138" s="52"/>
      <c r="EW138" s="52"/>
      <c r="EX138" s="52"/>
      <c r="EY138" s="52"/>
      <c r="EZ138" s="52"/>
      <c r="FA138" s="52"/>
      <c r="FB138" s="52"/>
      <c r="FC138" s="52"/>
      <c r="FD138" s="52"/>
      <c r="FE138" s="52"/>
      <c r="FF138" s="52"/>
      <c r="FG138" s="52"/>
      <c r="FH138" s="52"/>
      <c r="FI138" s="52"/>
      <c r="FJ138" s="52"/>
      <c r="FK138" s="52"/>
      <c r="FL138" s="52"/>
      <c r="FM138" s="52"/>
      <c r="FN138" s="52"/>
      <c r="FO138" s="52"/>
      <c r="FP138" s="52"/>
      <c r="FQ138" s="52"/>
      <c r="FR138" s="52"/>
      <c r="FS138" s="52"/>
      <c r="FT138" s="52"/>
      <c r="FU138" s="52"/>
      <c r="FV138" s="52"/>
      <c r="FW138" s="52"/>
      <c r="FX138" s="52"/>
    </row>
    <row r="139" ht="15.75" customHeight="1">
      <c r="A139" s="27"/>
      <c r="B139" s="27"/>
      <c r="C139" s="51"/>
      <c r="D139" s="51"/>
      <c r="E139" s="313"/>
      <c r="F139" s="35"/>
      <c r="G139" s="35"/>
      <c r="H139" s="35"/>
      <c r="I139" s="26"/>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c r="BY139" s="52"/>
      <c r="BZ139" s="52"/>
      <c r="CA139" s="52"/>
      <c r="CB139" s="52"/>
      <c r="CC139" s="52"/>
      <c r="CD139" s="52"/>
      <c r="CE139" s="52"/>
      <c r="CF139" s="52"/>
      <c r="CG139" s="52"/>
      <c r="CH139" s="52"/>
      <c r="CI139" s="52"/>
      <c r="CJ139" s="52"/>
      <c r="CK139" s="52"/>
      <c r="CL139" s="52"/>
      <c r="CM139" s="52"/>
      <c r="CN139" s="52"/>
      <c r="CO139" s="52"/>
      <c r="CP139" s="52"/>
      <c r="CQ139" s="52"/>
      <c r="CR139" s="52"/>
      <c r="CS139" s="52"/>
      <c r="CT139" s="52"/>
      <c r="CU139" s="52"/>
      <c r="CV139" s="52"/>
      <c r="CW139" s="52"/>
      <c r="CX139" s="52"/>
      <c r="CY139" s="52"/>
      <c r="CZ139" s="52"/>
      <c r="DA139" s="52"/>
      <c r="DB139" s="52"/>
      <c r="DC139" s="52"/>
      <c r="DD139" s="52"/>
      <c r="DE139" s="52"/>
      <c r="DF139" s="52"/>
      <c r="DG139" s="52"/>
      <c r="DH139" s="52"/>
      <c r="DI139" s="52"/>
      <c r="DJ139" s="52"/>
      <c r="DK139" s="52"/>
      <c r="DL139" s="52"/>
      <c r="DM139" s="52"/>
      <c r="DN139" s="52"/>
      <c r="DO139" s="52"/>
      <c r="DP139" s="52"/>
      <c r="DQ139" s="52"/>
      <c r="DR139" s="52"/>
      <c r="DS139" s="52"/>
      <c r="DT139" s="52"/>
      <c r="DU139" s="52"/>
      <c r="DV139" s="52"/>
      <c r="DW139" s="52"/>
      <c r="DX139" s="52"/>
      <c r="DY139" s="52"/>
      <c r="DZ139" s="52"/>
      <c r="EA139" s="52"/>
      <c r="EB139" s="52"/>
      <c r="EC139" s="52"/>
      <c r="ED139" s="52"/>
      <c r="EE139" s="52"/>
      <c r="EF139" s="52"/>
      <c r="EG139" s="52"/>
      <c r="EH139" s="52"/>
      <c r="EI139" s="52"/>
      <c r="EJ139" s="52"/>
      <c r="EK139" s="52"/>
      <c r="EL139" s="52"/>
      <c r="EM139" s="52"/>
      <c r="EN139" s="52"/>
      <c r="EO139" s="52"/>
      <c r="EP139" s="52"/>
      <c r="EQ139" s="52"/>
      <c r="ER139" s="52"/>
      <c r="ES139" s="52"/>
      <c r="ET139" s="52"/>
      <c r="EU139" s="52"/>
      <c r="EV139" s="52"/>
      <c r="EW139" s="52"/>
      <c r="EX139" s="52"/>
      <c r="EY139" s="52"/>
      <c r="EZ139" s="52"/>
      <c r="FA139" s="52"/>
      <c r="FB139" s="52"/>
      <c r="FC139" s="52"/>
      <c r="FD139" s="52"/>
      <c r="FE139" s="52"/>
      <c r="FF139" s="52"/>
      <c r="FG139" s="52"/>
      <c r="FH139" s="52"/>
      <c r="FI139" s="52"/>
      <c r="FJ139" s="52"/>
      <c r="FK139" s="52"/>
      <c r="FL139" s="52"/>
      <c r="FM139" s="52"/>
      <c r="FN139" s="52"/>
      <c r="FO139" s="52"/>
      <c r="FP139" s="52"/>
      <c r="FQ139" s="52"/>
      <c r="FR139" s="52"/>
      <c r="FS139" s="52"/>
      <c r="FT139" s="52"/>
      <c r="FU139" s="52"/>
      <c r="FV139" s="52"/>
      <c r="FW139" s="52"/>
      <c r="FX139" s="52"/>
    </row>
    <row r="140" ht="15.75" customHeight="1">
      <c r="A140" s="27"/>
      <c r="B140" s="27"/>
      <c r="C140" s="51"/>
      <c r="D140" s="51"/>
      <c r="E140" s="313"/>
      <c r="F140" s="35"/>
      <c r="G140" s="35"/>
      <c r="H140" s="35"/>
      <c r="I140" s="26"/>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c r="BT140" s="52"/>
      <c r="BU140" s="52"/>
      <c r="BV140" s="52"/>
      <c r="BW140" s="52"/>
      <c r="BX140" s="52"/>
      <c r="BY140" s="52"/>
      <c r="BZ140" s="52"/>
      <c r="CA140" s="52"/>
      <c r="CB140" s="52"/>
      <c r="CC140" s="52"/>
      <c r="CD140" s="52"/>
      <c r="CE140" s="52"/>
      <c r="CF140" s="52"/>
      <c r="CG140" s="52"/>
      <c r="CH140" s="52"/>
      <c r="CI140" s="52"/>
      <c r="CJ140" s="52"/>
      <c r="CK140" s="52"/>
      <c r="CL140" s="52"/>
      <c r="CM140" s="52"/>
      <c r="CN140" s="52"/>
      <c r="CO140" s="52"/>
      <c r="CP140" s="52"/>
      <c r="CQ140" s="52"/>
      <c r="CR140" s="52"/>
      <c r="CS140" s="52"/>
      <c r="CT140" s="52"/>
      <c r="CU140" s="52"/>
      <c r="CV140" s="52"/>
      <c r="CW140" s="52"/>
      <c r="CX140" s="52"/>
      <c r="CY140" s="52"/>
      <c r="CZ140" s="52"/>
      <c r="DA140" s="52"/>
      <c r="DB140" s="52"/>
      <c r="DC140" s="52"/>
      <c r="DD140" s="52"/>
      <c r="DE140" s="52"/>
      <c r="DF140" s="52"/>
      <c r="DG140" s="52"/>
      <c r="DH140" s="52"/>
      <c r="DI140" s="52"/>
      <c r="DJ140" s="52"/>
      <c r="DK140" s="52"/>
      <c r="DL140" s="52"/>
      <c r="DM140" s="52"/>
      <c r="DN140" s="52"/>
      <c r="DO140" s="52"/>
      <c r="DP140" s="52"/>
      <c r="DQ140" s="52"/>
      <c r="DR140" s="52"/>
      <c r="DS140" s="52"/>
      <c r="DT140" s="52"/>
      <c r="DU140" s="52"/>
      <c r="DV140" s="52"/>
      <c r="DW140" s="52"/>
      <c r="DX140" s="52"/>
      <c r="DY140" s="52"/>
      <c r="DZ140" s="52"/>
      <c r="EA140" s="52"/>
      <c r="EB140" s="52"/>
      <c r="EC140" s="52"/>
      <c r="ED140" s="52"/>
      <c r="EE140" s="52"/>
      <c r="EF140" s="52"/>
      <c r="EG140" s="52"/>
      <c r="EH140" s="52"/>
      <c r="EI140" s="52"/>
      <c r="EJ140" s="52"/>
      <c r="EK140" s="52"/>
      <c r="EL140" s="52"/>
      <c r="EM140" s="52"/>
      <c r="EN140" s="52"/>
      <c r="EO140" s="52"/>
      <c r="EP140" s="52"/>
      <c r="EQ140" s="52"/>
      <c r="ER140" s="52"/>
      <c r="ES140" s="52"/>
      <c r="ET140" s="52"/>
      <c r="EU140" s="52"/>
      <c r="EV140" s="52"/>
      <c r="EW140" s="52"/>
      <c r="EX140" s="52"/>
      <c r="EY140" s="52"/>
      <c r="EZ140" s="52"/>
      <c r="FA140" s="52"/>
      <c r="FB140" s="52"/>
      <c r="FC140" s="52"/>
      <c r="FD140" s="52"/>
      <c r="FE140" s="52"/>
      <c r="FF140" s="52"/>
      <c r="FG140" s="52"/>
      <c r="FH140" s="52"/>
      <c r="FI140" s="52"/>
      <c r="FJ140" s="52"/>
      <c r="FK140" s="52"/>
      <c r="FL140" s="52"/>
      <c r="FM140" s="52"/>
      <c r="FN140" s="52"/>
      <c r="FO140" s="52"/>
      <c r="FP140" s="52"/>
      <c r="FQ140" s="52"/>
      <c r="FR140" s="52"/>
      <c r="FS140" s="52"/>
      <c r="FT140" s="52"/>
      <c r="FU140" s="52"/>
      <c r="FV140" s="52"/>
      <c r="FW140" s="52"/>
      <c r="FX140" s="52"/>
    </row>
    <row r="141" ht="15.75" customHeight="1">
      <c r="A141" s="27"/>
      <c r="B141" s="27"/>
      <c r="C141" s="51"/>
      <c r="D141" s="51"/>
      <c r="E141" s="313"/>
      <c r="F141" s="35"/>
      <c r="G141" s="35"/>
      <c r="H141" s="35"/>
      <c r="I141" s="26"/>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c r="BY141" s="52"/>
      <c r="BZ141" s="52"/>
      <c r="CA141" s="52"/>
      <c r="CB141" s="52"/>
      <c r="CC141" s="52"/>
      <c r="CD141" s="52"/>
      <c r="CE141" s="52"/>
      <c r="CF141" s="52"/>
      <c r="CG141" s="52"/>
      <c r="CH141" s="52"/>
      <c r="CI141" s="52"/>
      <c r="CJ141" s="52"/>
      <c r="CK141" s="52"/>
      <c r="CL141" s="52"/>
      <c r="CM141" s="52"/>
      <c r="CN141" s="52"/>
      <c r="CO141" s="52"/>
      <c r="CP141" s="52"/>
      <c r="CQ141" s="52"/>
      <c r="CR141" s="52"/>
      <c r="CS141" s="52"/>
      <c r="CT141" s="52"/>
      <c r="CU141" s="52"/>
      <c r="CV141" s="52"/>
      <c r="CW141" s="52"/>
      <c r="CX141" s="52"/>
      <c r="CY141" s="52"/>
      <c r="CZ141" s="52"/>
      <c r="DA141" s="52"/>
      <c r="DB141" s="52"/>
      <c r="DC141" s="52"/>
      <c r="DD141" s="52"/>
      <c r="DE141" s="52"/>
      <c r="DF141" s="52"/>
      <c r="DG141" s="52"/>
      <c r="DH141" s="52"/>
      <c r="DI141" s="52"/>
      <c r="DJ141" s="52"/>
      <c r="DK141" s="52"/>
      <c r="DL141" s="52"/>
      <c r="DM141" s="52"/>
      <c r="DN141" s="52"/>
      <c r="DO141" s="52"/>
      <c r="DP141" s="52"/>
      <c r="DQ141" s="52"/>
      <c r="DR141" s="52"/>
      <c r="DS141" s="52"/>
      <c r="DT141" s="52"/>
      <c r="DU141" s="52"/>
      <c r="DV141" s="52"/>
      <c r="DW141" s="52"/>
      <c r="DX141" s="52"/>
      <c r="DY141" s="52"/>
      <c r="DZ141" s="52"/>
      <c r="EA141" s="52"/>
      <c r="EB141" s="52"/>
      <c r="EC141" s="52"/>
      <c r="ED141" s="52"/>
      <c r="EE141" s="52"/>
      <c r="EF141" s="52"/>
      <c r="EG141" s="52"/>
      <c r="EH141" s="52"/>
      <c r="EI141" s="52"/>
      <c r="EJ141" s="52"/>
      <c r="EK141" s="52"/>
      <c r="EL141" s="52"/>
      <c r="EM141" s="52"/>
      <c r="EN141" s="52"/>
      <c r="EO141" s="52"/>
      <c r="EP141" s="52"/>
      <c r="EQ141" s="52"/>
      <c r="ER141" s="52"/>
      <c r="ES141" s="52"/>
      <c r="ET141" s="52"/>
      <c r="EU141" s="52"/>
      <c r="EV141" s="52"/>
      <c r="EW141" s="52"/>
      <c r="EX141" s="52"/>
      <c r="EY141" s="52"/>
      <c r="EZ141" s="52"/>
      <c r="FA141" s="52"/>
      <c r="FB141" s="52"/>
      <c r="FC141" s="52"/>
      <c r="FD141" s="52"/>
      <c r="FE141" s="52"/>
      <c r="FF141" s="52"/>
      <c r="FG141" s="52"/>
      <c r="FH141" s="52"/>
      <c r="FI141" s="52"/>
      <c r="FJ141" s="52"/>
      <c r="FK141" s="52"/>
      <c r="FL141" s="52"/>
      <c r="FM141" s="52"/>
      <c r="FN141" s="52"/>
      <c r="FO141" s="52"/>
      <c r="FP141" s="52"/>
      <c r="FQ141" s="52"/>
      <c r="FR141" s="52"/>
      <c r="FS141" s="52"/>
      <c r="FT141" s="52"/>
      <c r="FU141" s="52"/>
      <c r="FV141" s="52"/>
      <c r="FW141" s="52"/>
      <c r="FX141" s="52"/>
    </row>
    <row r="142" ht="15.75" customHeight="1">
      <c r="A142" s="27"/>
      <c r="B142" s="27"/>
      <c r="C142" s="51"/>
      <c r="D142" s="51"/>
      <c r="E142" s="313"/>
      <c r="F142" s="35"/>
      <c r="G142" s="35"/>
      <c r="H142" s="35"/>
      <c r="I142" s="26"/>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c r="BY142" s="52"/>
      <c r="BZ142" s="52"/>
      <c r="CA142" s="52"/>
      <c r="CB142" s="52"/>
      <c r="CC142" s="52"/>
      <c r="CD142" s="52"/>
      <c r="CE142" s="52"/>
      <c r="CF142" s="52"/>
      <c r="CG142" s="52"/>
      <c r="CH142" s="52"/>
      <c r="CI142" s="52"/>
      <c r="CJ142" s="52"/>
      <c r="CK142" s="52"/>
      <c r="CL142" s="52"/>
      <c r="CM142" s="52"/>
      <c r="CN142" s="52"/>
      <c r="CO142" s="52"/>
      <c r="CP142" s="52"/>
      <c r="CQ142" s="52"/>
      <c r="CR142" s="52"/>
      <c r="CS142" s="52"/>
      <c r="CT142" s="52"/>
      <c r="CU142" s="52"/>
      <c r="CV142" s="52"/>
      <c r="CW142" s="52"/>
      <c r="CX142" s="52"/>
      <c r="CY142" s="52"/>
      <c r="CZ142" s="52"/>
      <c r="DA142" s="52"/>
      <c r="DB142" s="52"/>
      <c r="DC142" s="52"/>
      <c r="DD142" s="52"/>
      <c r="DE142" s="52"/>
      <c r="DF142" s="52"/>
      <c r="DG142" s="52"/>
      <c r="DH142" s="52"/>
      <c r="DI142" s="52"/>
      <c r="DJ142" s="52"/>
      <c r="DK142" s="52"/>
      <c r="DL142" s="52"/>
      <c r="DM142" s="52"/>
      <c r="DN142" s="52"/>
      <c r="DO142" s="52"/>
      <c r="DP142" s="52"/>
      <c r="DQ142" s="52"/>
      <c r="DR142" s="52"/>
      <c r="DS142" s="52"/>
      <c r="DT142" s="52"/>
      <c r="DU142" s="52"/>
      <c r="DV142" s="52"/>
      <c r="DW142" s="52"/>
      <c r="DX142" s="52"/>
      <c r="DY142" s="52"/>
      <c r="DZ142" s="52"/>
      <c r="EA142" s="52"/>
      <c r="EB142" s="52"/>
      <c r="EC142" s="52"/>
      <c r="ED142" s="52"/>
      <c r="EE142" s="52"/>
      <c r="EF142" s="52"/>
      <c r="EG142" s="52"/>
      <c r="EH142" s="52"/>
      <c r="EI142" s="52"/>
      <c r="EJ142" s="52"/>
      <c r="EK142" s="52"/>
      <c r="EL142" s="52"/>
      <c r="EM142" s="52"/>
      <c r="EN142" s="52"/>
      <c r="EO142" s="52"/>
      <c r="EP142" s="52"/>
      <c r="EQ142" s="52"/>
      <c r="ER142" s="52"/>
      <c r="ES142" s="52"/>
      <c r="ET142" s="52"/>
      <c r="EU142" s="52"/>
      <c r="EV142" s="52"/>
      <c r="EW142" s="52"/>
      <c r="EX142" s="52"/>
      <c r="EY142" s="52"/>
      <c r="EZ142" s="52"/>
      <c r="FA142" s="52"/>
      <c r="FB142" s="52"/>
      <c r="FC142" s="52"/>
      <c r="FD142" s="52"/>
      <c r="FE142" s="52"/>
      <c r="FF142" s="52"/>
      <c r="FG142" s="52"/>
      <c r="FH142" s="52"/>
      <c r="FI142" s="52"/>
      <c r="FJ142" s="52"/>
      <c r="FK142" s="52"/>
      <c r="FL142" s="52"/>
      <c r="FM142" s="52"/>
      <c r="FN142" s="52"/>
      <c r="FO142" s="52"/>
      <c r="FP142" s="52"/>
      <c r="FQ142" s="52"/>
      <c r="FR142" s="52"/>
      <c r="FS142" s="52"/>
      <c r="FT142" s="52"/>
      <c r="FU142" s="52"/>
      <c r="FV142" s="52"/>
      <c r="FW142" s="52"/>
      <c r="FX142" s="52"/>
    </row>
    <row r="143" ht="15.75" customHeight="1">
      <c r="A143" s="27"/>
      <c r="B143" s="27"/>
      <c r="C143" s="51"/>
      <c r="D143" s="51"/>
      <c r="E143" s="313"/>
      <c r="F143" s="35"/>
      <c r="G143" s="35"/>
      <c r="H143" s="35"/>
      <c r="I143" s="26"/>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c r="BT143" s="52"/>
      <c r="BU143" s="52"/>
      <c r="BV143" s="52"/>
      <c r="BW143" s="52"/>
      <c r="BX143" s="52"/>
      <c r="BY143" s="52"/>
      <c r="BZ143" s="52"/>
      <c r="CA143" s="52"/>
      <c r="CB143" s="52"/>
      <c r="CC143" s="52"/>
      <c r="CD143" s="52"/>
      <c r="CE143" s="52"/>
      <c r="CF143" s="52"/>
      <c r="CG143" s="52"/>
      <c r="CH143" s="52"/>
      <c r="CI143" s="52"/>
      <c r="CJ143" s="52"/>
      <c r="CK143" s="52"/>
      <c r="CL143" s="52"/>
      <c r="CM143" s="52"/>
      <c r="CN143" s="52"/>
      <c r="CO143" s="52"/>
      <c r="CP143" s="52"/>
      <c r="CQ143" s="52"/>
      <c r="CR143" s="52"/>
      <c r="CS143" s="52"/>
      <c r="CT143" s="52"/>
      <c r="CU143" s="52"/>
      <c r="CV143" s="52"/>
      <c r="CW143" s="52"/>
      <c r="CX143" s="52"/>
      <c r="CY143" s="52"/>
      <c r="CZ143" s="52"/>
      <c r="DA143" s="52"/>
      <c r="DB143" s="52"/>
      <c r="DC143" s="52"/>
      <c r="DD143" s="52"/>
      <c r="DE143" s="52"/>
      <c r="DF143" s="52"/>
      <c r="DG143" s="52"/>
      <c r="DH143" s="52"/>
      <c r="DI143" s="52"/>
      <c r="DJ143" s="52"/>
      <c r="DK143" s="52"/>
      <c r="DL143" s="52"/>
      <c r="DM143" s="52"/>
      <c r="DN143" s="52"/>
      <c r="DO143" s="52"/>
      <c r="DP143" s="52"/>
      <c r="DQ143" s="52"/>
      <c r="DR143" s="52"/>
      <c r="DS143" s="52"/>
      <c r="DT143" s="52"/>
      <c r="DU143" s="52"/>
      <c r="DV143" s="52"/>
      <c r="DW143" s="52"/>
      <c r="DX143" s="52"/>
      <c r="DY143" s="52"/>
      <c r="DZ143" s="52"/>
      <c r="EA143" s="52"/>
      <c r="EB143" s="52"/>
      <c r="EC143" s="52"/>
      <c r="ED143" s="52"/>
      <c r="EE143" s="52"/>
      <c r="EF143" s="52"/>
      <c r="EG143" s="52"/>
      <c r="EH143" s="52"/>
      <c r="EI143" s="52"/>
      <c r="EJ143" s="52"/>
      <c r="EK143" s="52"/>
      <c r="EL143" s="52"/>
      <c r="EM143" s="52"/>
      <c r="EN143" s="52"/>
      <c r="EO143" s="52"/>
      <c r="EP143" s="52"/>
      <c r="EQ143" s="52"/>
      <c r="ER143" s="52"/>
      <c r="ES143" s="52"/>
      <c r="ET143" s="52"/>
      <c r="EU143" s="52"/>
      <c r="EV143" s="52"/>
      <c r="EW143" s="52"/>
      <c r="EX143" s="52"/>
      <c r="EY143" s="52"/>
      <c r="EZ143" s="52"/>
      <c r="FA143" s="52"/>
      <c r="FB143" s="52"/>
      <c r="FC143" s="52"/>
      <c r="FD143" s="52"/>
      <c r="FE143" s="52"/>
      <c r="FF143" s="52"/>
      <c r="FG143" s="52"/>
      <c r="FH143" s="52"/>
      <c r="FI143" s="52"/>
      <c r="FJ143" s="52"/>
      <c r="FK143" s="52"/>
      <c r="FL143" s="52"/>
      <c r="FM143" s="52"/>
      <c r="FN143" s="52"/>
      <c r="FO143" s="52"/>
      <c r="FP143" s="52"/>
      <c r="FQ143" s="52"/>
      <c r="FR143" s="52"/>
      <c r="FS143" s="52"/>
      <c r="FT143" s="52"/>
      <c r="FU143" s="52"/>
      <c r="FV143" s="52"/>
      <c r="FW143" s="52"/>
      <c r="FX143" s="52"/>
    </row>
    <row r="144" ht="15.75" customHeight="1">
      <c r="A144" s="27"/>
      <c r="B144" s="27"/>
      <c r="C144" s="51"/>
      <c r="D144" s="51"/>
      <c r="E144" s="313"/>
      <c r="F144" s="35"/>
      <c r="G144" s="35"/>
      <c r="H144" s="35"/>
      <c r="I144" s="26"/>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c r="BY144" s="52"/>
      <c r="BZ144" s="52"/>
      <c r="CA144" s="52"/>
      <c r="CB144" s="52"/>
      <c r="CC144" s="52"/>
      <c r="CD144" s="52"/>
      <c r="CE144" s="52"/>
      <c r="CF144" s="52"/>
      <c r="CG144" s="52"/>
      <c r="CH144" s="52"/>
      <c r="CI144" s="52"/>
      <c r="CJ144" s="52"/>
      <c r="CK144" s="52"/>
      <c r="CL144" s="52"/>
      <c r="CM144" s="52"/>
      <c r="CN144" s="52"/>
      <c r="CO144" s="52"/>
      <c r="CP144" s="52"/>
      <c r="CQ144" s="52"/>
      <c r="CR144" s="52"/>
      <c r="CS144" s="52"/>
      <c r="CT144" s="52"/>
      <c r="CU144" s="52"/>
      <c r="CV144" s="52"/>
      <c r="CW144" s="52"/>
      <c r="CX144" s="52"/>
      <c r="CY144" s="52"/>
      <c r="CZ144" s="52"/>
      <c r="DA144" s="52"/>
      <c r="DB144" s="52"/>
      <c r="DC144" s="52"/>
      <c r="DD144" s="52"/>
      <c r="DE144" s="52"/>
      <c r="DF144" s="52"/>
      <c r="DG144" s="52"/>
      <c r="DH144" s="52"/>
      <c r="DI144" s="52"/>
      <c r="DJ144" s="52"/>
      <c r="DK144" s="52"/>
      <c r="DL144" s="52"/>
      <c r="DM144" s="52"/>
      <c r="DN144" s="52"/>
      <c r="DO144" s="52"/>
      <c r="DP144" s="52"/>
      <c r="DQ144" s="52"/>
      <c r="DR144" s="52"/>
      <c r="DS144" s="52"/>
      <c r="DT144" s="52"/>
      <c r="DU144" s="52"/>
      <c r="DV144" s="52"/>
      <c r="DW144" s="52"/>
      <c r="DX144" s="52"/>
      <c r="DY144" s="52"/>
      <c r="DZ144" s="52"/>
      <c r="EA144" s="52"/>
      <c r="EB144" s="52"/>
      <c r="EC144" s="52"/>
      <c r="ED144" s="52"/>
      <c r="EE144" s="52"/>
      <c r="EF144" s="52"/>
      <c r="EG144" s="52"/>
      <c r="EH144" s="52"/>
      <c r="EI144" s="52"/>
      <c r="EJ144" s="52"/>
      <c r="EK144" s="52"/>
      <c r="EL144" s="52"/>
      <c r="EM144" s="52"/>
      <c r="EN144" s="52"/>
      <c r="EO144" s="52"/>
      <c r="EP144" s="52"/>
      <c r="EQ144" s="52"/>
      <c r="ER144" s="52"/>
      <c r="ES144" s="52"/>
      <c r="ET144" s="52"/>
      <c r="EU144" s="52"/>
      <c r="EV144" s="52"/>
      <c r="EW144" s="52"/>
      <c r="EX144" s="52"/>
      <c r="EY144" s="52"/>
      <c r="EZ144" s="52"/>
      <c r="FA144" s="52"/>
      <c r="FB144" s="52"/>
      <c r="FC144" s="52"/>
      <c r="FD144" s="52"/>
      <c r="FE144" s="52"/>
      <c r="FF144" s="52"/>
      <c r="FG144" s="52"/>
      <c r="FH144" s="52"/>
      <c r="FI144" s="52"/>
      <c r="FJ144" s="52"/>
      <c r="FK144" s="52"/>
      <c r="FL144" s="52"/>
      <c r="FM144" s="52"/>
      <c r="FN144" s="52"/>
      <c r="FO144" s="52"/>
      <c r="FP144" s="52"/>
      <c r="FQ144" s="52"/>
      <c r="FR144" s="52"/>
      <c r="FS144" s="52"/>
      <c r="FT144" s="52"/>
      <c r="FU144" s="52"/>
      <c r="FV144" s="52"/>
      <c r="FW144" s="52"/>
      <c r="FX144" s="52"/>
    </row>
    <row r="145" ht="15.75" customHeight="1">
      <c r="A145" s="27"/>
      <c r="B145" s="27"/>
      <c r="C145" s="51"/>
      <c r="D145" s="51"/>
      <c r="E145" s="313"/>
      <c r="F145" s="35"/>
      <c r="G145" s="35"/>
      <c r="H145" s="35"/>
      <c r="I145" s="26"/>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c r="BY145" s="52"/>
      <c r="BZ145" s="52"/>
      <c r="CA145" s="52"/>
      <c r="CB145" s="52"/>
      <c r="CC145" s="52"/>
      <c r="CD145" s="52"/>
      <c r="CE145" s="52"/>
      <c r="CF145" s="52"/>
      <c r="CG145" s="52"/>
      <c r="CH145" s="52"/>
      <c r="CI145" s="52"/>
      <c r="CJ145" s="52"/>
      <c r="CK145" s="52"/>
      <c r="CL145" s="52"/>
      <c r="CM145" s="52"/>
      <c r="CN145" s="52"/>
      <c r="CO145" s="52"/>
      <c r="CP145" s="52"/>
      <c r="CQ145" s="52"/>
      <c r="CR145" s="52"/>
      <c r="CS145" s="52"/>
      <c r="CT145" s="52"/>
      <c r="CU145" s="52"/>
      <c r="CV145" s="52"/>
      <c r="CW145" s="52"/>
      <c r="CX145" s="52"/>
      <c r="CY145" s="52"/>
      <c r="CZ145" s="52"/>
      <c r="DA145" s="52"/>
      <c r="DB145" s="52"/>
      <c r="DC145" s="52"/>
      <c r="DD145" s="52"/>
      <c r="DE145" s="52"/>
      <c r="DF145" s="52"/>
      <c r="DG145" s="52"/>
      <c r="DH145" s="52"/>
      <c r="DI145" s="52"/>
      <c r="DJ145" s="52"/>
      <c r="DK145" s="52"/>
      <c r="DL145" s="52"/>
      <c r="DM145" s="52"/>
      <c r="DN145" s="52"/>
      <c r="DO145" s="52"/>
      <c r="DP145" s="52"/>
      <c r="DQ145" s="52"/>
      <c r="DR145" s="52"/>
      <c r="DS145" s="52"/>
      <c r="DT145" s="52"/>
      <c r="DU145" s="52"/>
      <c r="DV145" s="52"/>
      <c r="DW145" s="52"/>
      <c r="DX145" s="52"/>
      <c r="DY145" s="52"/>
      <c r="DZ145" s="52"/>
      <c r="EA145" s="52"/>
      <c r="EB145" s="52"/>
      <c r="EC145" s="52"/>
      <c r="ED145" s="52"/>
      <c r="EE145" s="52"/>
      <c r="EF145" s="52"/>
      <c r="EG145" s="52"/>
      <c r="EH145" s="52"/>
      <c r="EI145" s="52"/>
      <c r="EJ145" s="52"/>
      <c r="EK145" s="52"/>
      <c r="EL145" s="52"/>
      <c r="EM145" s="52"/>
      <c r="EN145" s="52"/>
      <c r="EO145" s="52"/>
      <c r="EP145" s="52"/>
      <c r="EQ145" s="52"/>
      <c r="ER145" s="52"/>
      <c r="ES145" s="52"/>
      <c r="ET145" s="52"/>
      <c r="EU145" s="52"/>
      <c r="EV145" s="52"/>
      <c r="EW145" s="52"/>
      <c r="EX145" s="52"/>
      <c r="EY145" s="52"/>
      <c r="EZ145" s="52"/>
      <c r="FA145" s="52"/>
      <c r="FB145" s="52"/>
      <c r="FC145" s="52"/>
      <c r="FD145" s="52"/>
      <c r="FE145" s="52"/>
      <c r="FF145" s="52"/>
      <c r="FG145" s="52"/>
      <c r="FH145" s="52"/>
      <c r="FI145" s="52"/>
      <c r="FJ145" s="52"/>
      <c r="FK145" s="52"/>
      <c r="FL145" s="52"/>
      <c r="FM145" s="52"/>
      <c r="FN145" s="52"/>
      <c r="FO145" s="52"/>
      <c r="FP145" s="52"/>
      <c r="FQ145" s="52"/>
      <c r="FR145" s="52"/>
      <c r="FS145" s="52"/>
      <c r="FT145" s="52"/>
      <c r="FU145" s="52"/>
      <c r="FV145" s="52"/>
      <c r="FW145" s="52"/>
      <c r="FX145" s="52"/>
    </row>
    <row r="146" ht="15.75" customHeight="1">
      <c r="A146" s="27"/>
      <c r="B146" s="27"/>
      <c r="C146" s="51"/>
      <c r="D146" s="51"/>
      <c r="E146" s="313"/>
      <c r="F146" s="35"/>
      <c r="G146" s="35"/>
      <c r="H146" s="35"/>
      <c r="I146" s="26"/>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c r="BT146" s="52"/>
      <c r="BU146" s="52"/>
      <c r="BV146" s="52"/>
      <c r="BW146" s="52"/>
      <c r="BX146" s="52"/>
      <c r="BY146" s="52"/>
      <c r="BZ146" s="52"/>
      <c r="CA146" s="52"/>
      <c r="CB146" s="52"/>
      <c r="CC146" s="52"/>
      <c r="CD146" s="52"/>
      <c r="CE146" s="52"/>
      <c r="CF146" s="52"/>
      <c r="CG146" s="52"/>
      <c r="CH146" s="52"/>
      <c r="CI146" s="52"/>
      <c r="CJ146" s="52"/>
      <c r="CK146" s="52"/>
      <c r="CL146" s="52"/>
      <c r="CM146" s="52"/>
      <c r="CN146" s="52"/>
      <c r="CO146" s="52"/>
      <c r="CP146" s="52"/>
      <c r="CQ146" s="52"/>
      <c r="CR146" s="52"/>
      <c r="CS146" s="52"/>
      <c r="CT146" s="52"/>
      <c r="CU146" s="52"/>
      <c r="CV146" s="52"/>
      <c r="CW146" s="52"/>
      <c r="CX146" s="52"/>
      <c r="CY146" s="52"/>
      <c r="CZ146" s="52"/>
      <c r="DA146" s="52"/>
      <c r="DB146" s="52"/>
      <c r="DC146" s="52"/>
      <c r="DD146" s="52"/>
      <c r="DE146" s="52"/>
      <c r="DF146" s="52"/>
      <c r="DG146" s="52"/>
      <c r="DH146" s="52"/>
      <c r="DI146" s="52"/>
      <c r="DJ146" s="52"/>
      <c r="DK146" s="52"/>
      <c r="DL146" s="52"/>
      <c r="DM146" s="52"/>
      <c r="DN146" s="52"/>
      <c r="DO146" s="52"/>
      <c r="DP146" s="52"/>
      <c r="DQ146" s="52"/>
      <c r="DR146" s="52"/>
      <c r="DS146" s="52"/>
      <c r="DT146" s="52"/>
      <c r="DU146" s="52"/>
      <c r="DV146" s="52"/>
      <c r="DW146" s="52"/>
      <c r="DX146" s="52"/>
      <c r="DY146" s="52"/>
      <c r="DZ146" s="52"/>
      <c r="EA146" s="52"/>
      <c r="EB146" s="52"/>
      <c r="EC146" s="52"/>
      <c r="ED146" s="52"/>
      <c r="EE146" s="52"/>
      <c r="EF146" s="52"/>
      <c r="EG146" s="52"/>
      <c r="EH146" s="52"/>
      <c r="EI146" s="52"/>
      <c r="EJ146" s="52"/>
      <c r="EK146" s="52"/>
      <c r="EL146" s="52"/>
      <c r="EM146" s="52"/>
      <c r="EN146" s="52"/>
      <c r="EO146" s="52"/>
      <c r="EP146" s="52"/>
      <c r="EQ146" s="52"/>
      <c r="ER146" s="52"/>
      <c r="ES146" s="52"/>
      <c r="ET146" s="52"/>
      <c r="EU146" s="52"/>
      <c r="EV146" s="52"/>
      <c r="EW146" s="52"/>
      <c r="EX146" s="52"/>
      <c r="EY146" s="52"/>
      <c r="EZ146" s="52"/>
      <c r="FA146" s="52"/>
      <c r="FB146" s="52"/>
      <c r="FC146" s="52"/>
      <c r="FD146" s="52"/>
      <c r="FE146" s="52"/>
      <c r="FF146" s="52"/>
      <c r="FG146" s="52"/>
      <c r="FH146" s="52"/>
      <c r="FI146" s="52"/>
      <c r="FJ146" s="52"/>
      <c r="FK146" s="52"/>
      <c r="FL146" s="52"/>
      <c r="FM146" s="52"/>
      <c r="FN146" s="52"/>
      <c r="FO146" s="52"/>
      <c r="FP146" s="52"/>
      <c r="FQ146" s="52"/>
      <c r="FR146" s="52"/>
      <c r="FS146" s="52"/>
      <c r="FT146" s="52"/>
      <c r="FU146" s="52"/>
      <c r="FV146" s="52"/>
      <c r="FW146" s="52"/>
      <c r="FX146" s="52"/>
    </row>
    <row r="147" ht="15.75" customHeight="1">
      <c r="A147" s="27"/>
      <c r="B147" s="27"/>
      <c r="C147" s="51"/>
      <c r="D147" s="51"/>
      <c r="E147" s="313"/>
      <c r="F147" s="35"/>
      <c r="G147" s="35"/>
      <c r="H147" s="35"/>
      <c r="I147" s="26"/>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c r="BT147" s="52"/>
      <c r="BU147" s="52"/>
      <c r="BV147" s="52"/>
      <c r="BW147" s="52"/>
      <c r="BX147" s="52"/>
      <c r="BY147" s="52"/>
      <c r="BZ147" s="52"/>
      <c r="CA147" s="52"/>
      <c r="CB147" s="52"/>
      <c r="CC147" s="52"/>
      <c r="CD147" s="52"/>
      <c r="CE147" s="52"/>
      <c r="CF147" s="52"/>
      <c r="CG147" s="52"/>
      <c r="CH147" s="52"/>
      <c r="CI147" s="52"/>
      <c r="CJ147" s="52"/>
      <c r="CK147" s="52"/>
      <c r="CL147" s="52"/>
      <c r="CM147" s="52"/>
      <c r="CN147" s="52"/>
      <c r="CO147" s="52"/>
      <c r="CP147" s="52"/>
      <c r="CQ147" s="52"/>
      <c r="CR147" s="52"/>
      <c r="CS147" s="52"/>
      <c r="CT147" s="52"/>
      <c r="CU147" s="52"/>
      <c r="CV147" s="52"/>
      <c r="CW147" s="52"/>
      <c r="CX147" s="52"/>
      <c r="CY147" s="52"/>
      <c r="CZ147" s="52"/>
      <c r="DA147" s="52"/>
      <c r="DB147" s="52"/>
      <c r="DC147" s="52"/>
      <c r="DD147" s="52"/>
      <c r="DE147" s="52"/>
      <c r="DF147" s="52"/>
      <c r="DG147" s="52"/>
      <c r="DH147" s="52"/>
      <c r="DI147" s="52"/>
      <c r="DJ147" s="52"/>
      <c r="DK147" s="52"/>
      <c r="DL147" s="52"/>
      <c r="DM147" s="52"/>
      <c r="DN147" s="52"/>
      <c r="DO147" s="52"/>
      <c r="DP147" s="52"/>
      <c r="DQ147" s="52"/>
      <c r="DR147" s="52"/>
      <c r="DS147" s="52"/>
      <c r="DT147" s="52"/>
      <c r="DU147" s="52"/>
      <c r="DV147" s="52"/>
      <c r="DW147" s="52"/>
      <c r="DX147" s="52"/>
      <c r="DY147" s="52"/>
      <c r="DZ147" s="52"/>
      <c r="EA147" s="52"/>
      <c r="EB147" s="52"/>
      <c r="EC147" s="52"/>
      <c r="ED147" s="52"/>
      <c r="EE147" s="52"/>
      <c r="EF147" s="52"/>
      <c r="EG147" s="52"/>
      <c r="EH147" s="52"/>
      <c r="EI147" s="52"/>
      <c r="EJ147" s="52"/>
      <c r="EK147" s="52"/>
      <c r="EL147" s="52"/>
      <c r="EM147" s="52"/>
      <c r="EN147" s="52"/>
      <c r="EO147" s="52"/>
      <c r="EP147" s="52"/>
      <c r="EQ147" s="52"/>
      <c r="ER147" s="52"/>
      <c r="ES147" s="52"/>
      <c r="ET147" s="52"/>
      <c r="EU147" s="52"/>
      <c r="EV147" s="52"/>
      <c r="EW147" s="52"/>
      <c r="EX147" s="52"/>
      <c r="EY147" s="52"/>
      <c r="EZ147" s="52"/>
      <c r="FA147" s="52"/>
      <c r="FB147" s="52"/>
      <c r="FC147" s="52"/>
      <c r="FD147" s="52"/>
      <c r="FE147" s="52"/>
      <c r="FF147" s="52"/>
      <c r="FG147" s="52"/>
      <c r="FH147" s="52"/>
      <c r="FI147" s="52"/>
      <c r="FJ147" s="52"/>
      <c r="FK147" s="52"/>
      <c r="FL147" s="52"/>
      <c r="FM147" s="52"/>
      <c r="FN147" s="52"/>
      <c r="FO147" s="52"/>
      <c r="FP147" s="52"/>
      <c r="FQ147" s="52"/>
      <c r="FR147" s="52"/>
      <c r="FS147" s="52"/>
      <c r="FT147" s="52"/>
      <c r="FU147" s="52"/>
      <c r="FV147" s="52"/>
      <c r="FW147" s="52"/>
      <c r="FX147" s="52"/>
    </row>
    <row r="148" ht="15.75" customHeight="1">
      <c r="A148" s="27"/>
      <c r="B148" s="27"/>
      <c r="C148" s="51"/>
      <c r="D148" s="51"/>
      <c r="E148" s="313"/>
      <c r="F148" s="35"/>
      <c r="G148" s="35"/>
      <c r="H148" s="35"/>
      <c r="I148" s="26"/>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c r="BY148" s="52"/>
      <c r="BZ148" s="52"/>
      <c r="CA148" s="52"/>
      <c r="CB148" s="52"/>
      <c r="CC148" s="52"/>
      <c r="CD148" s="52"/>
      <c r="CE148" s="52"/>
      <c r="CF148" s="52"/>
      <c r="CG148" s="52"/>
      <c r="CH148" s="52"/>
      <c r="CI148" s="52"/>
      <c r="CJ148" s="52"/>
      <c r="CK148" s="52"/>
      <c r="CL148" s="52"/>
      <c r="CM148" s="52"/>
      <c r="CN148" s="52"/>
      <c r="CO148" s="52"/>
      <c r="CP148" s="52"/>
      <c r="CQ148" s="52"/>
      <c r="CR148" s="52"/>
      <c r="CS148" s="52"/>
      <c r="CT148" s="52"/>
      <c r="CU148" s="52"/>
      <c r="CV148" s="52"/>
      <c r="CW148" s="52"/>
      <c r="CX148" s="52"/>
      <c r="CY148" s="52"/>
      <c r="CZ148" s="52"/>
      <c r="DA148" s="52"/>
      <c r="DB148" s="52"/>
      <c r="DC148" s="52"/>
      <c r="DD148" s="52"/>
      <c r="DE148" s="52"/>
      <c r="DF148" s="52"/>
      <c r="DG148" s="52"/>
      <c r="DH148" s="52"/>
      <c r="DI148" s="52"/>
      <c r="DJ148" s="52"/>
      <c r="DK148" s="52"/>
      <c r="DL148" s="52"/>
      <c r="DM148" s="52"/>
      <c r="DN148" s="52"/>
      <c r="DO148" s="52"/>
      <c r="DP148" s="52"/>
      <c r="DQ148" s="52"/>
      <c r="DR148" s="52"/>
      <c r="DS148" s="52"/>
      <c r="DT148" s="52"/>
      <c r="DU148" s="52"/>
      <c r="DV148" s="52"/>
      <c r="DW148" s="52"/>
      <c r="DX148" s="52"/>
      <c r="DY148" s="52"/>
      <c r="DZ148" s="52"/>
      <c r="EA148" s="52"/>
      <c r="EB148" s="52"/>
      <c r="EC148" s="52"/>
      <c r="ED148" s="52"/>
      <c r="EE148" s="52"/>
      <c r="EF148" s="52"/>
      <c r="EG148" s="52"/>
      <c r="EH148" s="52"/>
      <c r="EI148" s="52"/>
      <c r="EJ148" s="52"/>
      <c r="EK148" s="52"/>
      <c r="EL148" s="52"/>
      <c r="EM148" s="52"/>
      <c r="EN148" s="52"/>
      <c r="EO148" s="52"/>
      <c r="EP148" s="52"/>
      <c r="EQ148" s="52"/>
      <c r="ER148" s="52"/>
      <c r="ES148" s="52"/>
      <c r="ET148" s="52"/>
      <c r="EU148" s="52"/>
      <c r="EV148" s="52"/>
      <c r="EW148" s="52"/>
      <c r="EX148" s="52"/>
      <c r="EY148" s="52"/>
      <c r="EZ148" s="52"/>
      <c r="FA148" s="52"/>
      <c r="FB148" s="52"/>
      <c r="FC148" s="52"/>
      <c r="FD148" s="52"/>
      <c r="FE148" s="52"/>
      <c r="FF148" s="52"/>
      <c r="FG148" s="52"/>
      <c r="FH148" s="52"/>
      <c r="FI148" s="52"/>
      <c r="FJ148" s="52"/>
      <c r="FK148" s="52"/>
      <c r="FL148" s="52"/>
      <c r="FM148" s="52"/>
      <c r="FN148" s="52"/>
      <c r="FO148" s="52"/>
      <c r="FP148" s="52"/>
      <c r="FQ148" s="52"/>
      <c r="FR148" s="52"/>
      <c r="FS148" s="52"/>
      <c r="FT148" s="52"/>
      <c r="FU148" s="52"/>
      <c r="FV148" s="52"/>
      <c r="FW148" s="52"/>
      <c r="FX148" s="52"/>
    </row>
    <row r="149" ht="15.75" customHeight="1">
      <c r="A149" s="27"/>
      <c r="B149" s="27"/>
      <c r="C149" s="51"/>
      <c r="D149" s="51"/>
      <c r="E149" s="313"/>
      <c r="F149" s="35"/>
      <c r="G149" s="35"/>
      <c r="H149" s="35"/>
      <c r="I149" s="26"/>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c r="BT149" s="52"/>
      <c r="BU149" s="52"/>
      <c r="BV149" s="52"/>
      <c r="BW149" s="52"/>
      <c r="BX149" s="52"/>
      <c r="BY149" s="52"/>
      <c r="BZ149" s="52"/>
      <c r="CA149" s="52"/>
      <c r="CB149" s="52"/>
      <c r="CC149" s="52"/>
      <c r="CD149" s="52"/>
      <c r="CE149" s="52"/>
      <c r="CF149" s="52"/>
      <c r="CG149" s="52"/>
      <c r="CH149" s="52"/>
      <c r="CI149" s="52"/>
      <c r="CJ149" s="52"/>
      <c r="CK149" s="52"/>
      <c r="CL149" s="52"/>
      <c r="CM149" s="52"/>
      <c r="CN149" s="52"/>
      <c r="CO149" s="52"/>
      <c r="CP149" s="52"/>
      <c r="CQ149" s="52"/>
      <c r="CR149" s="52"/>
      <c r="CS149" s="52"/>
      <c r="CT149" s="52"/>
      <c r="CU149" s="52"/>
      <c r="CV149" s="52"/>
      <c r="CW149" s="52"/>
      <c r="CX149" s="52"/>
      <c r="CY149" s="52"/>
      <c r="CZ149" s="52"/>
      <c r="DA149" s="52"/>
      <c r="DB149" s="52"/>
      <c r="DC149" s="52"/>
      <c r="DD149" s="52"/>
      <c r="DE149" s="52"/>
      <c r="DF149" s="52"/>
      <c r="DG149" s="52"/>
      <c r="DH149" s="52"/>
      <c r="DI149" s="52"/>
      <c r="DJ149" s="52"/>
      <c r="DK149" s="52"/>
      <c r="DL149" s="52"/>
      <c r="DM149" s="52"/>
      <c r="DN149" s="52"/>
      <c r="DO149" s="52"/>
      <c r="DP149" s="52"/>
      <c r="DQ149" s="52"/>
      <c r="DR149" s="52"/>
      <c r="DS149" s="52"/>
      <c r="DT149" s="52"/>
      <c r="DU149" s="52"/>
      <c r="DV149" s="52"/>
      <c r="DW149" s="52"/>
      <c r="DX149" s="52"/>
      <c r="DY149" s="52"/>
      <c r="DZ149" s="52"/>
      <c r="EA149" s="52"/>
      <c r="EB149" s="52"/>
      <c r="EC149" s="52"/>
      <c r="ED149" s="52"/>
      <c r="EE149" s="52"/>
      <c r="EF149" s="52"/>
      <c r="EG149" s="52"/>
      <c r="EH149" s="52"/>
      <c r="EI149" s="52"/>
      <c r="EJ149" s="52"/>
      <c r="EK149" s="52"/>
      <c r="EL149" s="52"/>
      <c r="EM149" s="52"/>
      <c r="EN149" s="52"/>
      <c r="EO149" s="52"/>
      <c r="EP149" s="52"/>
      <c r="EQ149" s="52"/>
      <c r="ER149" s="52"/>
      <c r="ES149" s="52"/>
      <c r="ET149" s="52"/>
      <c r="EU149" s="52"/>
      <c r="EV149" s="52"/>
      <c r="EW149" s="52"/>
      <c r="EX149" s="52"/>
      <c r="EY149" s="52"/>
      <c r="EZ149" s="52"/>
      <c r="FA149" s="52"/>
      <c r="FB149" s="52"/>
      <c r="FC149" s="52"/>
      <c r="FD149" s="52"/>
      <c r="FE149" s="52"/>
      <c r="FF149" s="52"/>
      <c r="FG149" s="52"/>
      <c r="FH149" s="52"/>
      <c r="FI149" s="52"/>
      <c r="FJ149" s="52"/>
      <c r="FK149" s="52"/>
      <c r="FL149" s="52"/>
      <c r="FM149" s="52"/>
      <c r="FN149" s="52"/>
      <c r="FO149" s="52"/>
      <c r="FP149" s="52"/>
      <c r="FQ149" s="52"/>
      <c r="FR149" s="52"/>
      <c r="FS149" s="52"/>
      <c r="FT149" s="52"/>
      <c r="FU149" s="52"/>
      <c r="FV149" s="52"/>
      <c r="FW149" s="52"/>
      <c r="FX149" s="52"/>
    </row>
    <row r="150" ht="15.75" customHeight="1">
      <c r="A150" s="27"/>
      <c r="B150" s="27"/>
      <c r="C150" s="51"/>
      <c r="D150" s="51"/>
      <c r="E150" s="313"/>
      <c r="F150" s="35"/>
      <c r="G150" s="35"/>
      <c r="H150" s="35"/>
      <c r="I150" s="26"/>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c r="BY150" s="52"/>
      <c r="BZ150" s="52"/>
      <c r="CA150" s="52"/>
      <c r="CB150" s="52"/>
      <c r="CC150" s="52"/>
      <c r="CD150" s="52"/>
      <c r="CE150" s="52"/>
      <c r="CF150" s="52"/>
      <c r="CG150" s="52"/>
      <c r="CH150" s="52"/>
      <c r="CI150" s="52"/>
      <c r="CJ150" s="52"/>
      <c r="CK150" s="52"/>
      <c r="CL150" s="52"/>
      <c r="CM150" s="52"/>
      <c r="CN150" s="52"/>
      <c r="CO150" s="52"/>
      <c r="CP150" s="52"/>
      <c r="CQ150" s="52"/>
      <c r="CR150" s="52"/>
      <c r="CS150" s="52"/>
      <c r="CT150" s="52"/>
      <c r="CU150" s="52"/>
      <c r="CV150" s="52"/>
      <c r="CW150" s="52"/>
      <c r="CX150" s="52"/>
      <c r="CY150" s="52"/>
      <c r="CZ150" s="52"/>
      <c r="DA150" s="52"/>
      <c r="DB150" s="52"/>
      <c r="DC150" s="52"/>
      <c r="DD150" s="52"/>
      <c r="DE150" s="52"/>
      <c r="DF150" s="52"/>
      <c r="DG150" s="52"/>
      <c r="DH150" s="52"/>
      <c r="DI150" s="52"/>
      <c r="DJ150" s="52"/>
      <c r="DK150" s="52"/>
      <c r="DL150" s="52"/>
      <c r="DM150" s="52"/>
      <c r="DN150" s="52"/>
      <c r="DO150" s="52"/>
      <c r="DP150" s="52"/>
      <c r="DQ150" s="52"/>
      <c r="DR150" s="52"/>
      <c r="DS150" s="52"/>
      <c r="DT150" s="52"/>
      <c r="DU150" s="52"/>
      <c r="DV150" s="52"/>
      <c r="DW150" s="52"/>
      <c r="DX150" s="52"/>
      <c r="DY150" s="52"/>
      <c r="DZ150" s="52"/>
      <c r="EA150" s="52"/>
      <c r="EB150" s="52"/>
      <c r="EC150" s="52"/>
      <c r="ED150" s="52"/>
      <c r="EE150" s="52"/>
      <c r="EF150" s="52"/>
      <c r="EG150" s="52"/>
      <c r="EH150" s="52"/>
      <c r="EI150" s="52"/>
      <c r="EJ150" s="52"/>
      <c r="EK150" s="52"/>
      <c r="EL150" s="52"/>
      <c r="EM150" s="52"/>
      <c r="EN150" s="52"/>
      <c r="EO150" s="52"/>
      <c r="EP150" s="52"/>
      <c r="EQ150" s="52"/>
      <c r="ER150" s="52"/>
      <c r="ES150" s="52"/>
      <c r="ET150" s="52"/>
      <c r="EU150" s="52"/>
      <c r="EV150" s="52"/>
      <c r="EW150" s="52"/>
      <c r="EX150" s="52"/>
      <c r="EY150" s="52"/>
      <c r="EZ150" s="52"/>
      <c r="FA150" s="52"/>
      <c r="FB150" s="52"/>
      <c r="FC150" s="52"/>
      <c r="FD150" s="52"/>
      <c r="FE150" s="52"/>
      <c r="FF150" s="52"/>
      <c r="FG150" s="52"/>
      <c r="FH150" s="52"/>
      <c r="FI150" s="52"/>
      <c r="FJ150" s="52"/>
      <c r="FK150" s="52"/>
      <c r="FL150" s="52"/>
      <c r="FM150" s="52"/>
      <c r="FN150" s="52"/>
      <c r="FO150" s="52"/>
      <c r="FP150" s="52"/>
      <c r="FQ150" s="52"/>
      <c r="FR150" s="52"/>
      <c r="FS150" s="52"/>
      <c r="FT150" s="52"/>
      <c r="FU150" s="52"/>
      <c r="FV150" s="52"/>
      <c r="FW150" s="52"/>
      <c r="FX150" s="52"/>
    </row>
    <row r="151" ht="15.75" customHeight="1">
      <c r="A151" s="27"/>
      <c r="B151" s="27"/>
      <c r="C151" s="51"/>
      <c r="D151" s="51"/>
      <c r="E151" s="313"/>
      <c r="F151" s="35"/>
      <c r="G151" s="35"/>
      <c r="H151" s="35"/>
      <c r="I151" s="26"/>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c r="BY151" s="52"/>
      <c r="BZ151" s="52"/>
      <c r="CA151" s="52"/>
      <c r="CB151" s="52"/>
      <c r="CC151" s="52"/>
      <c r="CD151" s="52"/>
      <c r="CE151" s="52"/>
      <c r="CF151" s="52"/>
      <c r="CG151" s="52"/>
      <c r="CH151" s="52"/>
      <c r="CI151" s="52"/>
      <c r="CJ151" s="52"/>
      <c r="CK151" s="52"/>
      <c r="CL151" s="52"/>
      <c r="CM151" s="52"/>
      <c r="CN151" s="52"/>
      <c r="CO151" s="52"/>
      <c r="CP151" s="52"/>
      <c r="CQ151" s="52"/>
      <c r="CR151" s="52"/>
      <c r="CS151" s="52"/>
      <c r="CT151" s="52"/>
      <c r="CU151" s="52"/>
      <c r="CV151" s="52"/>
      <c r="CW151" s="52"/>
      <c r="CX151" s="52"/>
      <c r="CY151" s="52"/>
      <c r="CZ151" s="52"/>
      <c r="DA151" s="52"/>
      <c r="DB151" s="52"/>
      <c r="DC151" s="52"/>
      <c r="DD151" s="52"/>
      <c r="DE151" s="52"/>
      <c r="DF151" s="52"/>
      <c r="DG151" s="52"/>
      <c r="DH151" s="52"/>
      <c r="DI151" s="52"/>
      <c r="DJ151" s="52"/>
      <c r="DK151" s="52"/>
      <c r="DL151" s="52"/>
      <c r="DM151" s="52"/>
      <c r="DN151" s="52"/>
      <c r="DO151" s="52"/>
      <c r="DP151" s="52"/>
      <c r="DQ151" s="52"/>
      <c r="DR151" s="52"/>
      <c r="DS151" s="52"/>
      <c r="DT151" s="52"/>
      <c r="DU151" s="52"/>
      <c r="DV151" s="52"/>
      <c r="DW151" s="52"/>
      <c r="DX151" s="52"/>
      <c r="DY151" s="52"/>
      <c r="DZ151" s="52"/>
      <c r="EA151" s="52"/>
      <c r="EB151" s="52"/>
      <c r="EC151" s="52"/>
      <c r="ED151" s="52"/>
      <c r="EE151" s="52"/>
      <c r="EF151" s="52"/>
      <c r="EG151" s="52"/>
      <c r="EH151" s="52"/>
      <c r="EI151" s="52"/>
      <c r="EJ151" s="52"/>
      <c r="EK151" s="52"/>
      <c r="EL151" s="52"/>
      <c r="EM151" s="52"/>
      <c r="EN151" s="52"/>
      <c r="EO151" s="52"/>
      <c r="EP151" s="52"/>
      <c r="EQ151" s="52"/>
      <c r="ER151" s="52"/>
      <c r="ES151" s="52"/>
      <c r="ET151" s="52"/>
      <c r="EU151" s="52"/>
      <c r="EV151" s="52"/>
      <c r="EW151" s="52"/>
      <c r="EX151" s="52"/>
      <c r="EY151" s="52"/>
      <c r="EZ151" s="52"/>
      <c r="FA151" s="52"/>
      <c r="FB151" s="52"/>
      <c r="FC151" s="52"/>
      <c r="FD151" s="52"/>
      <c r="FE151" s="52"/>
      <c r="FF151" s="52"/>
      <c r="FG151" s="52"/>
      <c r="FH151" s="52"/>
      <c r="FI151" s="52"/>
      <c r="FJ151" s="52"/>
      <c r="FK151" s="52"/>
      <c r="FL151" s="52"/>
      <c r="FM151" s="52"/>
      <c r="FN151" s="52"/>
      <c r="FO151" s="52"/>
      <c r="FP151" s="52"/>
      <c r="FQ151" s="52"/>
      <c r="FR151" s="52"/>
      <c r="FS151" s="52"/>
      <c r="FT151" s="52"/>
      <c r="FU151" s="52"/>
      <c r="FV151" s="52"/>
      <c r="FW151" s="52"/>
      <c r="FX151" s="52"/>
    </row>
    <row r="152" ht="15.75" customHeight="1">
      <c r="A152" s="27"/>
      <c r="B152" s="27"/>
      <c r="C152" s="51"/>
      <c r="D152" s="51"/>
      <c r="E152" s="313"/>
      <c r="F152" s="35"/>
      <c r="G152" s="35"/>
      <c r="H152" s="35"/>
      <c r="I152" s="26"/>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c r="BY152" s="52"/>
      <c r="BZ152" s="52"/>
      <c r="CA152" s="52"/>
      <c r="CB152" s="52"/>
      <c r="CC152" s="52"/>
      <c r="CD152" s="52"/>
      <c r="CE152" s="52"/>
      <c r="CF152" s="52"/>
      <c r="CG152" s="52"/>
      <c r="CH152" s="52"/>
      <c r="CI152" s="52"/>
      <c r="CJ152" s="52"/>
      <c r="CK152" s="52"/>
      <c r="CL152" s="52"/>
      <c r="CM152" s="52"/>
      <c r="CN152" s="52"/>
      <c r="CO152" s="52"/>
      <c r="CP152" s="52"/>
      <c r="CQ152" s="52"/>
      <c r="CR152" s="52"/>
      <c r="CS152" s="52"/>
      <c r="CT152" s="52"/>
      <c r="CU152" s="52"/>
      <c r="CV152" s="52"/>
      <c r="CW152" s="52"/>
      <c r="CX152" s="52"/>
      <c r="CY152" s="52"/>
      <c r="CZ152" s="52"/>
      <c r="DA152" s="52"/>
      <c r="DB152" s="52"/>
      <c r="DC152" s="52"/>
      <c r="DD152" s="52"/>
      <c r="DE152" s="52"/>
      <c r="DF152" s="52"/>
      <c r="DG152" s="52"/>
      <c r="DH152" s="52"/>
      <c r="DI152" s="52"/>
      <c r="DJ152" s="52"/>
      <c r="DK152" s="52"/>
      <c r="DL152" s="52"/>
      <c r="DM152" s="52"/>
      <c r="DN152" s="52"/>
      <c r="DO152" s="52"/>
      <c r="DP152" s="52"/>
      <c r="DQ152" s="52"/>
      <c r="DR152" s="52"/>
      <c r="DS152" s="52"/>
      <c r="DT152" s="52"/>
      <c r="DU152" s="52"/>
      <c r="DV152" s="52"/>
      <c r="DW152" s="52"/>
      <c r="DX152" s="52"/>
      <c r="DY152" s="52"/>
      <c r="DZ152" s="52"/>
      <c r="EA152" s="52"/>
      <c r="EB152" s="52"/>
      <c r="EC152" s="52"/>
      <c r="ED152" s="52"/>
      <c r="EE152" s="52"/>
      <c r="EF152" s="52"/>
      <c r="EG152" s="52"/>
      <c r="EH152" s="52"/>
      <c r="EI152" s="52"/>
      <c r="EJ152" s="52"/>
      <c r="EK152" s="52"/>
      <c r="EL152" s="52"/>
      <c r="EM152" s="52"/>
      <c r="EN152" s="52"/>
      <c r="EO152" s="52"/>
      <c r="EP152" s="52"/>
      <c r="EQ152" s="52"/>
      <c r="ER152" s="52"/>
      <c r="ES152" s="52"/>
      <c r="ET152" s="52"/>
      <c r="EU152" s="52"/>
      <c r="EV152" s="52"/>
      <c r="EW152" s="52"/>
      <c r="EX152" s="52"/>
      <c r="EY152" s="52"/>
      <c r="EZ152" s="52"/>
      <c r="FA152" s="52"/>
      <c r="FB152" s="52"/>
      <c r="FC152" s="52"/>
      <c r="FD152" s="52"/>
      <c r="FE152" s="52"/>
      <c r="FF152" s="52"/>
      <c r="FG152" s="52"/>
      <c r="FH152" s="52"/>
      <c r="FI152" s="52"/>
      <c r="FJ152" s="52"/>
      <c r="FK152" s="52"/>
      <c r="FL152" s="52"/>
      <c r="FM152" s="52"/>
      <c r="FN152" s="52"/>
      <c r="FO152" s="52"/>
      <c r="FP152" s="52"/>
      <c r="FQ152" s="52"/>
      <c r="FR152" s="52"/>
      <c r="FS152" s="52"/>
      <c r="FT152" s="52"/>
      <c r="FU152" s="52"/>
      <c r="FV152" s="52"/>
      <c r="FW152" s="52"/>
      <c r="FX152" s="52"/>
    </row>
    <row r="153" ht="15.75" customHeight="1">
      <c r="A153" s="27"/>
      <c r="B153" s="27"/>
      <c r="C153" s="51"/>
      <c r="D153" s="51"/>
      <c r="E153" s="313"/>
      <c r="F153" s="35"/>
      <c r="G153" s="35"/>
      <c r="H153" s="35"/>
      <c r="I153" s="26"/>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c r="BY153" s="52"/>
      <c r="BZ153" s="52"/>
      <c r="CA153" s="52"/>
      <c r="CB153" s="52"/>
      <c r="CC153" s="52"/>
      <c r="CD153" s="52"/>
      <c r="CE153" s="52"/>
      <c r="CF153" s="52"/>
      <c r="CG153" s="52"/>
      <c r="CH153" s="52"/>
      <c r="CI153" s="52"/>
      <c r="CJ153" s="52"/>
      <c r="CK153" s="52"/>
      <c r="CL153" s="52"/>
      <c r="CM153" s="52"/>
      <c r="CN153" s="52"/>
      <c r="CO153" s="52"/>
      <c r="CP153" s="52"/>
      <c r="CQ153" s="52"/>
      <c r="CR153" s="52"/>
      <c r="CS153" s="52"/>
      <c r="CT153" s="52"/>
      <c r="CU153" s="52"/>
      <c r="CV153" s="52"/>
      <c r="CW153" s="52"/>
      <c r="CX153" s="52"/>
      <c r="CY153" s="52"/>
      <c r="CZ153" s="52"/>
      <c r="DA153" s="52"/>
      <c r="DB153" s="52"/>
      <c r="DC153" s="52"/>
      <c r="DD153" s="52"/>
      <c r="DE153" s="52"/>
      <c r="DF153" s="52"/>
      <c r="DG153" s="52"/>
      <c r="DH153" s="52"/>
      <c r="DI153" s="52"/>
      <c r="DJ153" s="52"/>
      <c r="DK153" s="52"/>
      <c r="DL153" s="52"/>
      <c r="DM153" s="52"/>
      <c r="DN153" s="52"/>
      <c r="DO153" s="52"/>
      <c r="DP153" s="52"/>
      <c r="DQ153" s="52"/>
      <c r="DR153" s="52"/>
      <c r="DS153" s="52"/>
      <c r="DT153" s="52"/>
      <c r="DU153" s="52"/>
      <c r="DV153" s="52"/>
      <c r="DW153" s="52"/>
      <c r="DX153" s="52"/>
      <c r="DY153" s="52"/>
      <c r="DZ153" s="52"/>
      <c r="EA153" s="52"/>
      <c r="EB153" s="52"/>
      <c r="EC153" s="52"/>
      <c r="ED153" s="52"/>
      <c r="EE153" s="52"/>
      <c r="EF153" s="52"/>
      <c r="EG153" s="52"/>
      <c r="EH153" s="52"/>
      <c r="EI153" s="52"/>
      <c r="EJ153" s="52"/>
      <c r="EK153" s="52"/>
      <c r="EL153" s="52"/>
      <c r="EM153" s="52"/>
      <c r="EN153" s="52"/>
      <c r="EO153" s="52"/>
      <c r="EP153" s="52"/>
      <c r="EQ153" s="52"/>
      <c r="ER153" s="52"/>
      <c r="ES153" s="52"/>
      <c r="ET153" s="52"/>
      <c r="EU153" s="52"/>
      <c r="EV153" s="52"/>
      <c r="EW153" s="52"/>
      <c r="EX153" s="52"/>
      <c r="EY153" s="52"/>
      <c r="EZ153" s="52"/>
      <c r="FA153" s="52"/>
      <c r="FB153" s="52"/>
      <c r="FC153" s="52"/>
      <c r="FD153" s="52"/>
      <c r="FE153" s="52"/>
      <c r="FF153" s="52"/>
      <c r="FG153" s="52"/>
      <c r="FH153" s="52"/>
      <c r="FI153" s="52"/>
      <c r="FJ153" s="52"/>
      <c r="FK153" s="52"/>
      <c r="FL153" s="52"/>
      <c r="FM153" s="52"/>
      <c r="FN153" s="52"/>
      <c r="FO153" s="52"/>
      <c r="FP153" s="52"/>
      <c r="FQ153" s="52"/>
      <c r="FR153" s="52"/>
      <c r="FS153" s="52"/>
      <c r="FT153" s="52"/>
      <c r="FU153" s="52"/>
      <c r="FV153" s="52"/>
      <c r="FW153" s="52"/>
      <c r="FX153" s="52"/>
    </row>
    <row r="154" ht="15.75" customHeight="1">
      <c r="A154" s="27"/>
      <c r="B154" s="27"/>
      <c r="C154" s="51"/>
      <c r="D154" s="51"/>
      <c r="E154" s="313"/>
      <c r="F154" s="35"/>
      <c r="G154" s="35"/>
      <c r="H154" s="35"/>
      <c r="I154" s="26"/>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c r="BY154" s="52"/>
      <c r="BZ154" s="52"/>
      <c r="CA154" s="52"/>
      <c r="CB154" s="52"/>
      <c r="CC154" s="52"/>
      <c r="CD154" s="52"/>
      <c r="CE154" s="52"/>
      <c r="CF154" s="52"/>
      <c r="CG154" s="52"/>
      <c r="CH154" s="52"/>
      <c r="CI154" s="52"/>
      <c r="CJ154" s="52"/>
      <c r="CK154" s="52"/>
      <c r="CL154" s="52"/>
      <c r="CM154" s="52"/>
      <c r="CN154" s="52"/>
      <c r="CO154" s="52"/>
      <c r="CP154" s="52"/>
      <c r="CQ154" s="52"/>
      <c r="CR154" s="52"/>
      <c r="CS154" s="52"/>
      <c r="CT154" s="52"/>
      <c r="CU154" s="52"/>
      <c r="CV154" s="52"/>
      <c r="CW154" s="52"/>
      <c r="CX154" s="52"/>
      <c r="CY154" s="52"/>
      <c r="CZ154" s="52"/>
      <c r="DA154" s="52"/>
      <c r="DB154" s="52"/>
      <c r="DC154" s="52"/>
      <c r="DD154" s="52"/>
      <c r="DE154" s="52"/>
      <c r="DF154" s="52"/>
      <c r="DG154" s="52"/>
      <c r="DH154" s="52"/>
      <c r="DI154" s="52"/>
      <c r="DJ154" s="52"/>
      <c r="DK154" s="52"/>
      <c r="DL154" s="52"/>
      <c r="DM154" s="52"/>
      <c r="DN154" s="52"/>
      <c r="DO154" s="52"/>
      <c r="DP154" s="52"/>
      <c r="DQ154" s="52"/>
      <c r="DR154" s="52"/>
      <c r="DS154" s="52"/>
      <c r="DT154" s="52"/>
      <c r="DU154" s="52"/>
      <c r="DV154" s="52"/>
      <c r="DW154" s="52"/>
      <c r="DX154" s="52"/>
      <c r="DY154" s="52"/>
      <c r="DZ154" s="52"/>
      <c r="EA154" s="52"/>
      <c r="EB154" s="52"/>
      <c r="EC154" s="52"/>
      <c r="ED154" s="52"/>
      <c r="EE154" s="52"/>
      <c r="EF154" s="52"/>
      <c r="EG154" s="52"/>
      <c r="EH154" s="52"/>
      <c r="EI154" s="52"/>
      <c r="EJ154" s="52"/>
      <c r="EK154" s="52"/>
      <c r="EL154" s="52"/>
      <c r="EM154" s="52"/>
      <c r="EN154" s="52"/>
      <c r="EO154" s="52"/>
      <c r="EP154" s="52"/>
      <c r="EQ154" s="52"/>
      <c r="ER154" s="52"/>
      <c r="ES154" s="52"/>
      <c r="ET154" s="52"/>
      <c r="EU154" s="52"/>
      <c r="EV154" s="52"/>
      <c r="EW154" s="52"/>
      <c r="EX154" s="52"/>
      <c r="EY154" s="52"/>
      <c r="EZ154" s="52"/>
      <c r="FA154" s="52"/>
      <c r="FB154" s="52"/>
      <c r="FC154" s="52"/>
      <c r="FD154" s="52"/>
      <c r="FE154" s="52"/>
      <c r="FF154" s="52"/>
      <c r="FG154" s="52"/>
      <c r="FH154" s="52"/>
      <c r="FI154" s="52"/>
      <c r="FJ154" s="52"/>
      <c r="FK154" s="52"/>
      <c r="FL154" s="52"/>
      <c r="FM154" s="52"/>
      <c r="FN154" s="52"/>
      <c r="FO154" s="52"/>
      <c r="FP154" s="52"/>
      <c r="FQ154" s="52"/>
      <c r="FR154" s="52"/>
      <c r="FS154" s="52"/>
      <c r="FT154" s="52"/>
      <c r="FU154" s="52"/>
      <c r="FV154" s="52"/>
      <c r="FW154" s="52"/>
      <c r="FX154" s="52"/>
    </row>
    <row r="155" ht="15.75" customHeight="1">
      <c r="A155" s="27"/>
      <c r="B155" s="27"/>
      <c r="C155" s="51"/>
      <c r="D155" s="51"/>
      <c r="E155" s="313"/>
      <c r="F155" s="35"/>
      <c r="G155" s="35"/>
      <c r="H155" s="35"/>
      <c r="I155" s="26"/>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c r="BY155" s="52"/>
      <c r="BZ155" s="52"/>
      <c r="CA155" s="52"/>
      <c r="CB155" s="52"/>
      <c r="CC155" s="52"/>
      <c r="CD155" s="52"/>
      <c r="CE155" s="52"/>
      <c r="CF155" s="52"/>
      <c r="CG155" s="52"/>
      <c r="CH155" s="52"/>
      <c r="CI155" s="52"/>
      <c r="CJ155" s="52"/>
      <c r="CK155" s="52"/>
      <c r="CL155" s="52"/>
      <c r="CM155" s="52"/>
      <c r="CN155" s="52"/>
      <c r="CO155" s="52"/>
      <c r="CP155" s="52"/>
      <c r="CQ155" s="52"/>
      <c r="CR155" s="52"/>
      <c r="CS155" s="52"/>
      <c r="CT155" s="52"/>
      <c r="CU155" s="52"/>
      <c r="CV155" s="52"/>
      <c r="CW155" s="52"/>
      <c r="CX155" s="52"/>
      <c r="CY155" s="52"/>
      <c r="CZ155" s="52"/>
      <c r="DA155" s="52"/>
      <c r="DB155" s="52"/>
      <c r="DC155" s="52"/>
      <c r="DD155" s="52"/>
      <c r="DE155" s="52"/>
      <c r="DF155" s="52"/>
      <c r="DG155" s="52"/>
      <c r="DH155" s="52"/>
      <c r="DI155" s="52"/>
      <c r="DJ155" s="52"/>
      <c r="DK155" s="52"/>
      <c r="DL155" s="52"/>
      <c r="DM155" s="52"/>
      <c r="DN155" s="52"/>
      <c r="DO155" s="52"/>
      <c r="DP155" s="52"/>
      <c r="DQ155" s="52"/>
      <c r="DR155" s="52"/>
      <c r="DS155" s="52"/>
      <c r="DT155" s="52"/>
      <c r="DU155" s="52"/>
      <c r="DV155" s="52"/>
      <c r="DW155" s="52"/>
      <c r="DX155" s="52"/>
      <c r="DY155" s="52"/>
      <c r="DZ155" s="52"/>
      <c r="EA155" s="52"/>
      <c r="EB155" s="52"/>
      <c r="EC155" s="52"/>
      <c r="ED155" s="52"/>
      <c r="EE155" s="52"/>
      <c r="EF155" s="52"/>
      <c r="EG155" s="52"/>
      <c r="EH155" s="52"/>
      <c r="EI155" s="52"/>
      <c r="EJ155" s="52"/>
      <c r="EK155" s="52"/>
      <c r="EL155" s="52"/>
      <c r="EM155" s="52"/>
      <c r="EN155" s="52"/>
      <c r="EO155" s="52"/>
      <c r="EP155" s="52"/>
      <c r="EQ155" s="52"/>
      <c r="ER155" s="52"/>
      <c r="ES155" s="52"/>
      <c r="ET155" s="52"/>
      <c r="EU155" s="52"/>
      <c r="EV155" s="52"/>
      <c r="EW155" s="52"/>
      <c r="EX155" s="52"/>
      <c r="EY155" s="52"/>
      <c r="EZ155" s="52"/>
      <c r="FA155" s="52"/>
      <c r="FB155" s="52"/>
      <c r="FC155" s="52"/>
      <c r="FD155" s="52"/>
      <c r="FE155" s="52"/>
      <c r="FF155" s="52"/>
      <c r="FG155" s="52"/>
      <c r="FH155" s="52"/>
      <c r="FI155" s="52"/>
      <c r="FJ155" s="52"/>
      <c r="FK155" s="52"/>
      <c r="FL155" s="52"/>
      <c r="FM155" s="52"/>
      <c r="FN155" s="52"/>
      <c r="FO155" s="52"/>
      <c r="FP155" s="52"/>
      <c r="FQ155" s="52"/>
      <c r="FR155" s="52"/>
      <c r="FS155" s="52"/>
      <c r="FT155" s="52"/>
      <c r="FU155" s="52"/>
      <c r="FV155" s="52"/>
      <c r="FW155" s="52"/>
      <c r="FX155" s="52"/>
    </row>
    <row r="156" ht="15.75" customHeight="1">
      <c r="A156" s="27"/>
      <c r="B156" s="27"/>
      <c r="C156" s="51"/>
      <c r="D156" s="51"/>
      <c r="E156" s="313"/>
      <c r="F156" s="35"/>
      <c r="G156" s="35"/>
      <c r="H156" s="35"/>
      <c r="I156" s="26"/>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c r="BY156" s="52"/>
      <c r="BZ156" s="52"/>
      <c r="CA156" s="52"/>
      <c r="CB156" s="52"/>
      <c r="CC156" s="52"/>
      <c r="CD156" s="52"/>
      <c r="CE156" s="52"/>
      <c r="CF156" s="52"/>
      <c r="CG156" s="52"/>
      <c r="CH156" s="52"/>
      <c r="CI156" s="52"/>
      <c r="CJ156" s="52"/>
      <c r="CK156" s="52"/>
      <c r="CL156" s="52"/>
      <c r="CM156" s="52"/>
      <c r="CN156" s="52"/>
      <c r="CO156" s="52"/>
      <c r="CP156" s="52"/>
      <c r="CQ156" s="52"/>
      <c r="CR156" s="52"/>
      <c r="CS156" s="52"/>
      <c r="CT156" s="52"/>
      <c r="CU156" s="52"/>
      <c r="CV156" s="52"/>
      <c r="CW156" s="52"/>
      <c r="CX156" s="52"/>
      <c r="CY156" s="52"/>
      <c r="CZ156" s="52"/>
      <c r="DA156" s="52"/>
      <c r="DB156" s="52"/>
      <c r="DC156" s="52"/>
      <c r="DD156" s="52"/>
      <c r="DE156" s="52"/>
      <c r="DF156" s="52"/>
      <c r="DG156" s="52"/>
      <c r="DH156" s="52"/>
      <c r="DI156" s="52"/>
      <c r="DJ156" s="52"/>
      <c r="DK156" s="52"/>
      <c r="DL156" s="52"/>
      <c r="DM156" s="52"/>
      <c r="DN156" s="52"/>
      <c r="DO156" s="52"/>
      <c r="DP156" s="52"/>
      <c r="DQ156" s="52"/>
      <c r="DR156" s="52"/>
      <c r="DS156" s="52"/>
      <c r="DT156" s="52"/>
      <c r="DU156" s="52"/>
      <c r="DV156" s="52"/>
      <c r="DW156" s="52"/>
      <c r="DX156" s="52"/>
      <c r="DY156" s="52"/>
      <c r="DZ156" s="52"/>
      <c r="EA156" s="52"/>
      <c r="EB156" s="52"/>
      <c r="EC156" s="52"/>
      <c r="ED156" s="52"/>
      <c r="EE156" s="52"/>
      <c r="EF156" s="52"/>
      <c r="EG156" s="52"/>
      <c r="EH156" s="52"/>
      <c r="EI156" s="52"/>
      <c r="EJ156" s="52"/>
      <c r="EK156" s="52"/>
      <c r="EL156" s="52"/>
      <c r="EM156" s="52"/>
      <c r="EN156" s="52"/>
      <c r="EO156" s="52"/>
      <c r="EP156" s="52"/>
      <c r="EQ156" s="52"/>
      <c r="ER156" s="52"/>
      <c r="ES156" s="52"/>
      <c r="ET156" s="52"/>
      <c r="EU156" s="52"/>
      <c r="EV156" s="52"/>
      <c r="EW156" s="52"/>
      <c r="EX156" s="52"/>
      <c r="EY156" s="52"/>
      <c r="EZ156" s="52"/>
      <c r="FA156" s="52"/>
      <c r="FB156" s="52"/>
      <c r="FC156" s="52"/>
      <c r="FD156" s="52"/>
      <c r="FE156" s="52"/>
      <c r="FF156" s="52"/>
      <c r="FG156" s="52"/>
      <c r="FH156" s="52"/>
      <c r="FI156" s="52"/>
      <c r="FJ156" s="52"/>
      <c r="FK156" s="52"/>
      <c r="FL156" s="52"/>
      <c r="FM156" s="52"/>
      <c r="FN156" s="52"/>
      <c r="FO156" s="52"/>
      <c r="FP156" s="52"/>
      <c r="FQ156" s="52"/>
      <c r="FR156" s="52"/>
      <c r="FS156" s="52"/>
      <c r="FT156" s="52"/>
      <c r="FU156" s="52"/>
      <c r="FV156" s="52"/>
      <c r="FW156" s="52"/>
      <c r="FX156" s="52"/>
    </row>
    <row r="157" ht="15.75" customHeight="1">
      <c r="A157" s="27"/>
      <c r="B157" s="27"/>
      <c r="C157" s="51"/>
      <c r="D157" s="51"/>
      <c r="E157" s="313"/>
      <c r="F157" s="35"/>
      <c r="G157" s="35"/>
      <c r="H157" s="35"/>
      <c r="I157" s="26"/>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c r="BT157" s="52"/>
      <c r="BU157" s="52"/>
      <c r="BV157" s="52"/>
      <c r="BW157" s="52"/>
      <c r="BX157" s="52"/>
      <c r="BY157" s="52"/>
      <c r="BZ157" s="52"/>
      <c r="CA157" s="52"/>
      <c r="CB157" s="52"/>
      <c r="CC157" s="52"/>
      <c r="CD157" s="52"/>
      <c r="CE157" s="52"/>
      <c r="CF157" s="52"/>
      <c r="CG157" s="52"/>
      <c r="CH157" s="52"/>
      <c r="CI157" s="52"/>
      <c r="CJ157" s="52"/>
      <c r="CK157" s="52"/>
      <c r="CL157" s="52"/>
      <c r="CM157" s="52"/>
      <c r="CN157" s="52"/>
      <c r="CO157" s="52"/>
      <c r="CP157" s="52"/>
      <c r="CQ157" s="52"/>
      <c r="CR157" s="52"/>
      <c r="CS157" s="52"/>
      <c r="CT157" s="52"/>
      <c r="CU157" s="52"/>
      <c r="CV157" s="52"/>
      <c r="CW157" s="52"/>
      <c r="CX157" s="52"/>
      <c r="CY157" s="52"/>
      <c r="CZ157" s="52"/>
      <c r="DA157" s="52"/>
      <c r="DB157" s="52"/>
      <c r="DC157" s="52"/>
      <c r="DD157" s="52"/>
      <c r="DE157" s="52"/>
      <c r="DF157" s="52"/>
      <c r="DG157" s="52"/>
      <c r="DH157" s="52"/>
      <c r="DI157" s="52"/>
      <c r="DJ157" s="52"/>
      <c r="DK157" s="52"/>
      <c r="DL157" s="52"/>
      <c r="DM157" s="52"/>
      <c r="DN157" s="52"/>
      <c r="DO157" s="52"/>
      <c r="DP157" s="52"/>
      <c r="DQ157" s="52"/>
      <c r="DR157" s="52"/>
      <c r="DS157" s="52"/>
      <c r="DT157" s="52"/>
      <c r="DU157" s="52"/>
      <c r="DV157" s="52"/>
      <c r="DW157" s="52"/>
      <c r="DX157" s="52"/>
      <c r="DY157" s="52"/>
      <c r="DZ157" s="52"/>
      <c r="EA157" s="52"/>
      <c r="EB157" s="52"/>
      <c r="EC157" s="52"/>
      <c r="ED157" s="52"/>
      <c r="EE157" s="52"/>
      <c r="EF157" s="52"/>
      <c r="EG157" s="52"/>
      <c r="EH157" s="52"/>
      <c r="EI157" s="52"/>
      <c r="EJ157" s="52"/>
      <c r="EK157" s="52"/>
      <c r="EL157" s="52"/>
      <c r="EM157" s="52"/>
      <c r="EN157" s="52"/>
      <c r="EO157" s="52"/>
      <c r="EP157" s="52"/>
      <c r="EQ157" s="52"/>
      <c r="ER157" s="52"/>
      <c r="ES157" s="52"/>
      <c r="ET157" s="52"/>
      <c r="EU157" s="52"/>
      <c r="EV157" s="52"/>
      <c r="EW157" s="52"/>
      <c r="EX157" s="52"/>
      <c r="EY157" s="52"/>
      <c r="EZ157" s="52"/>
      <c r="FA157" s="52"/>
      <c r="FB157" s="52"/>
      <c r="FC157" s="52"/>
      <c r="FD157" s="52"/>
      <c r="FE157" s="52"/>
      <c r="FF157" s="52"/>
      <c r="FG157" s="52"/>
      <c r="FH157" s="52"/>
      <c r="FI157" s="52"/>
      <c r="FJ157" s="52"/>
      <c r="FK157" s="52"/>
      <c r="FL157" s="52"/>
      <c r="FM157" s="52"/>
      <c r="FN157" s="52"/>
      <c r="FO157" s="52"/>
      <c r="FP157" s="52"/>
      <c r="FQ157" s="52"/>
      <c r="FR157" s="52"/>
      <c r="FS157" s="52"/>
      <c r="FT157" s="52"/>
      <c r="FU157" s="52"/>
      <c r="FV157" s="52"/>
      <c r="FW157" s="52"/>
      <c r="FX157" s="52"/>
    </row>
    <row r="158" ht="15.75" customHeight="1">
      <c r="A158" s="27"/>
      <c r="B158" s="27"/>
      <c r="C158" s="51"/>
      <c r="D158" s="51"/>
      <c r="E158" s="313"/>
      <c r="F158" s="35"/>
      <c r="G158" s="35"/>
      <c r="H158" s="35"/>
      <c r="I158" s="26"/>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c r="BT158" s="52"/>
      <c r="BU158" s="52"/>
      <c r="BV158" s="52"/>
      <c r="BW158" s="52"/>
      <c r="BX158" s="52"/>
      <c r="BY158" s="52"/>
      <c r="BZ158" s="52"/>
      <c r="CA158" s="52"/>
      <c r="CB158" s="52"/>
      <c r="CC158" s="52"/>
      <c r="CD158" s="52"/>
      <c r="CE158" s="52"/>
      <c r="CF158" s="52"/>
      <c r="CG158" s="52"/>
      <c r="CH158" s="52"/>
      <c r="CI158" s="52"/>
      <c r="CJ158" s="52"/>
      <c r="CK158" s="52"/>
      <c r="CL158" s="52"/>
      <c r="CM158" s="52"/>
      <c r="CN158" s="52"/>
      <c r="CO158" s="52"/>
      <c r="CP158" s="52"/>
      <c r="CQ158" s="52"/>
      <c r="CR158" s="52"/>
      <c r="CS158" s="52"/>
      <c r="CT158" s="52"/>
      <c r="CU158" s="52"/>
      <c r="CV158" s="52"/>
      <c r="CW158" s="52"/>
      <c r="CX158" s="52"/>
      <c r="CY158" s="52"/>
      <c r="CZ158" s="52"/>
      <c r="DA158" s="52"/>
      <c r="DB158" s="52"/>
      <c r="DC158" s="52"/>
      <c r="DD158" s="52"/>
      <c r="DE158" s="52"/>
      <c r="DF158" s="52"/>
      <c r="DG158" s="52"/>
      <c r="DH158" s="52"/>
      <c r="DI158" s="52"/>
      <c r="DJ158" s="52"/>
      <c r="DK158" s="52"/>
      <c r="DL158" s="52"/>
      <c r="DM158" s="52"/>
      <c r="DN158" s="52"/>
      <c r="DO158" s="52"/>
      <c r="DP158" s="52"/>
      <c r="DQ158" s="52"/>
      <c r="DR158" s="52"/>
      <c r="DS158" s="52"/>
      <c r="DT158" s="52"/>
      <c r="DU158" s="52"/>
      <c r="DV158" s="52"/>
      <c r="DW158" s="52"/>
      <c r="DX158" s="52"/>
      <c r="DY158" s="52"/>
      <c r="DZ158" s="52"/>
      <c r="EA158" s="52"/>
      <c r="EB158" s="52"/>
      <c r="EC158" s="52"/>
      <c r="ED158" s="52"/>
      <c r="EE158" s="52"/>
      <c r="EF158" s="52"/>
      <c r="EG158" s="52"/>
      <c r="EH158" s="52"/>
      <c r="EI158" s="52"/>
      <c r="EJ158" s="52"/>
      <c r="EK158" s="52"/>
      <c r="EL158" s="52"/>
      <c r="EM158" s="52"/>
      <c r="EN158" s="52"/>
      <c r="EO158" s="52"/>
      <c r="EP158" s="52"/>
      <c r="EQ158" s="52"/>
      <c r="ER158" s="52"/>
      <c r="ES158" s="52"/>
      <c r="ET158" s="52"/>
      <c r="EU158" s="52"/>
      <c r="EV158" s="52"/>
      <c r="EW158" s="52"/>
      <c r="EX158" s="52"/>
      <c r="EY158" s="52"/>
      <c r="EZ158" s="52"/>
      <c r="FA158" s="52"/>
      <c r="FB158" s="52"/>
      <c r="FC158" s="52"/>
      <c r="FD158" s="52"/>
      <c r="FE158" s="52"/>
      <c r="FF158" s="52"/>
      <c r="FG158" s="52"/>
      <c r="FH158" s="52"/>
      <c r="FI158" s="52"/>
      <c r="FJ158" s="52"/>
      <c r="FK158" s="52"/>
      <c r="FL158" s="52"/>
      <c r="FM158" s="52"/>
      <c r="FN158" s="52"/>
      <c r="FO158" s="52"/>
      <c r="FP158" s="52"/>
      <c r="FQ158" s="52"/>
      <c r="FR158" s="52"/>
      <c r="FS158" s="52"/>
      <c r="FT158" s="52"/>
      <c r="FU158" s="52"/>
      <c r="FV158" s="52"/>
      <c r="FW158" s="52"/>
      <c r="FX158" s="52"/>
    </row>
    <row r="159" ht="15.75" customHeight="1">
      <c r="A159" s="27"/>
      <c r="B159" s="27"/>
      <c r="C159" s="51"/>
      <c r="D159" s="51"/>
      <c r="E159" s="313"/>
      <c r="F159" s="35"/>
      <c r="G159" s="35"/>
      <c r="H159" s="35"/>
      <c r="I159" s="26"/>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c r="BT159" s="52"/>
      <c r="BU159" s="52"/>
      <c r="BV159" s="52"/>
      <c r="BW159" s="52"/>
      <c r="BX159" s="52"/>
      <c r="BY159" s="52"/>
      <c r="BZ159" s="52"/>
      <c r="CA159" s="52"/>
      <c r="CB159" s="52"/>
      <c r="CC159" s="52"/>
      <c r="CD159" s="52"/>
      <c r="CE159" s="52"/>
      <c r="CF159" s="52"/>
      <c r="CG159" s="52"/>
      <c r="CH159" s="52"/>
      <c r="CI159" s="52"/>
      <c r="CJ159" s="52"/>
      <c r="CK159" s="52"/>
      <c r="CL159" s="52"/>
      <c r="CM159" s="52"/>
      <c r="CN159" s="52"/>
      <c r="CO159" s="52"/>
      <c r="CP159" s="52"/>
      <c r="CQ159" s="52"/>
      <c r="CR159" s="52"/>
      <c r="CS159" s="52"/>
      <c r="CT159" s="52"/>
      <c r="CU159" s="52"/>
      <c r="CV159" s="52"/>
      <c r="CW159" s="52"/>
      <c r="CX159" s="52"/>
      <c r="CY159" s="52"/>
      <c r="CZ159" s="52"/>
      <c r="DA159" s="52"/>
      <c r="DB159" s="52"/>
      <c r="DC159" s="52"/>
      <c r="DD159" s="52"/>
      <c r="DE159" s="52"/>
      <c r="DF159" s="52"/>
      <c r="DG159" s="52"/>
      <c r="DH159" s="52"/>
      <c r="DI159" s="52"/>
      <c r="DJ159" s="52"/>
      <c r="DK159" s="52"/>
      <c r="DL159" s="52"/>
      <c r="DM159" s="52"/>
      <c r="DN159" s="52"/>
      <c r="DO159" s="52"/>
      <c r="DP159" s="52"/>
      <c r="DQ159" s="52"/>
      <c r="DR159" s="52"/>
      <c r="DS159" s="52"/>
      <c r="DT159" s="52"/>
      <c r="DU159" s="52"/>
      <c r="DV159" s="52"/>
      <c r="DW159" s="52"/>
      <c r="DX159" s="52"/>
      <c r="DY159" s="52"/>
      <c r="DZ159" s="52"/>
      <c r="EA159" s="52"/>
      <c r="EB159" s="52"/>
      <c r="EC159" s="52"/>
      <c r="ED159" s="52"/>
      <c r="EE159" s="52"/>
      <c r="EF159" s="52"/>
      <c r="EG159" s="52"/>
      <c r="EH159" s="52"/>
      <c r="EI159" s="52"/>
      <c r="EJ159" s="52"/>
      <c r="EK159" s="52"/>
      <c r="EL159" s="52"/>
      <c r="EM159" s="52"/>
      <c r="EN159" s="52"/>
      <c r="EO159" s="52"/>
      <c r="EP159" s="52"/>
      <c r="EQ159" s="52"/>
      <c r="ER159" s="52"/>
      <c r="ES159" s="52"/>
      <c r="ET159" s="52"/>
      <c r="EU159" s="52"/>
      <c r="EV159" s="52"/>
      <c r="EW159" s="52"/>
      <c r="EX159" s="52"/>
      <c r="EY159" s="52"/>
      <c r="EZ159" s="52"/>
      <c r="FA159" s="52"/>
      <c r="FB159" s="52"/>
      <c r="FC159" s="52"/>
      <c r="FD159" s="52"/>
      <c r="FE159" s="52"/>
      <c r="FF159" s="52"/>
      <c r="FG159" s="52"/>
      <c r="FH159" s="52"/>
      <c r="FI159" s="52"/>
      <c r="FJ159" s="52"/>
      <c r="FK159" s="52"/>
      <c r="FL159" s="52"/>
      <c r="FM159" s="52"/>
      <c r="FN159" s="52"/>
      <c r="FO159" s="52"/>
      <c r="FP159" s="52"/>
      <c r="FQ159" s="52"/>
      <c r="FR159" s="52"/>
      <c r="FS159" s="52"/>
      <c r="FT159" s="52"/>
      <c r="FU159" s="52"/>
      <c r="FV159" s="52"/>
      <c r="FW159" s="52"/>
      <c r="FX159" s="52"/>
    </row>
    <row r="160" ht="15.75" customHeight="1">
      <c r="A160" s="27"/>
      <c r="B160" s="27"/>
      <c r="C160" s="51"/>
      <c r="D160" s="51"/>
      <c r="E160" s="313"/>
      <c r="F160" s="35"/>
      <c r="G160" s="35"/>
      <c r="H160" s="35"/>
      <c r="I160" s="26"/>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c r="BY160" s="52"/>
      <c r="BZ160" s="52"/>
      <c r="CA160" s="52"/>
      <c r="CB160" s="52"/>
      <c r="CC160" s="52"/>
      <c r="CD160" s="52"/>
      <c r="CE160" s="52"/>
      <c r="CF160" s="52"/>
      <c r="CG160" s="52"/>
      <c r="CH160" s="52"/>
      <c r="CI160" s="52"/>
      <c r="CJ160" s="52"/>
      <c r="CK160" s="52"/>
      <c r="CL160" s="52"/>
      <c r="CM160" s="52"/>
      <c r="CN160" s="52"/>
      <c r="CO160" s="52"/>
      <c r="CP160" s="52"/>
      <c r="CQ160" s="52"/>
      <c r="CR160" s="52"/>
      <c r="CS160" s="52"/>
      <c r="CT160" s="52"/>
      <c r="CU160" s="52"/>
      <c r="CV160" s="52"/>
      <c r="CW160" s="52"/>
      <c r="CX160" s="52"/>
      <c r="CY160" s="52"/>
      <c r="CZ160" s="52"/>
      <c r="DA160" s="52"/>
      <c r="DB160" s="52"/>
      <c r="DC160" s="52"/>
      <c r="DD160" s="52"/>
      <c r="DE160" s="52"/>
      <c r="DF160" s="52"/>
      <c r="DG160" s="52"/>
      <c r="DH160" s="52"/>
      <c r="DI160" s="52"/>
      <c r="DJ160" s="52"/>
      <c r="DK160" s="52"/>
      <c r="DL160" s="52"/>
      <c r="DM160" s="52"/>
      <c r="DN160" s="52"/>
      <c r="DO160" s="52"/>
      <c r="DP160" s="52"/>
      <c r="DQ160" s="52"/>
      <c r="DR160" s="52"/>
      <c r="DS160" s="52"/>
      <c r="DT160" s="52"/>
      <c r="DU160" s="52"/>
      <c r="DV160" s="52"/>
      <c r="DW160" s="52"/>
      <c r="DX160" s="52"/>
      <c r="DY160" s="52"/>
      <c r="DZ160" s="52"/>
      <c r="EA160" s="52"/>
      <c r="EB160" s="52"/>
      <c r="EC160" s="52"/>
      <c r="ED160" s="52"/>
      <c r="EE160" s="52"/>
      <c r="EF160" s="52"/>
      <c r="EG160" s="52"/>
      <c r="EH160" s="52"/>
      <c r="EI160" s="52"/>
      <c r="EJ160" s="52"/>
      <c r="EK160" s="52"/>
      <c r="EL160" s="52"/>
      <c r="EM160" s="52"/>
      <c r="EN160" s="52"/>
      <c r="EO160" s="52"/>
      <c r="EP160" s="52"/>
      <c r="EQ160" s="52"/>
      <c r="ER160" s="52"/>
      <c r="ES160" s="52"/>
      <c r="ET160" s="52"/>
      <c r="EU160" s="52"/>
      <c r="EV160" s="52"/>
      <c r="EW160" s="52"/>
      <c r="EX160" s="52"/>
      <c r="EY160" s="52"/>
      <c r="EZ160" s="52"/>
      <c r="FA160" s="52"/>
      <c r="FB160" s="52"/>
      <c r="FC160" s="52"/>
      <c r="FD160" s="52"/>
      <c r="FE160" s="52"/>
      <c r="FF160" s="52"/>
      <c r="FG160" s="52"/>
      <c r="FH160" s="52"/>
      <c r="FI160" s="52"/>
      <c r="FJ160" s="52"/>
      <c r="FK160" s="52"/>
      <c r="FL160" s="52"/>
      <c r="FM160" s="52"/>
      <c r="FN160" s="52"/>
      <c r="FO160" s="52"/>
      <c r="FP160" s="52"/>
      <c r="FQ160" s="52"/>
      <c r="FR160" s="52"/>
      <c r="FS160" s="52"/>
      <c r="FT160" s="52"/>
      <c r="FU160" s="52"/>
      <c r="FV160" s="52"/>
      <c r="FW160" s="52"/>
      <c r="FX160" s="52"/>
    </row>
    <row r="161" ht="15.75" customHeight="1">
      <c r="A161" s="27"/>
      <c r="B161" s="27"/>
      <c r="C161" s="51"/>
      <c r="D161" s="51"/>
      <c r="E161" s="313"/>
      <c r="F161" s="35"/>
      <c r="G161" s="35"/>
      <c r="H161" s="35"/>
      <c r="I161" s="26"/>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c r="BY161" s="52"/>
      <c r="BZ161" s="52"/>
      <c r="CA161" s="52"/>
      <c r="CB161" s="52"/>
      <c r="CC161" s="52"/>
      <c r="CD161" s="52"/>
      <c r="CE161" s="52"/>
      <c r="CF161" s="52"/>
      <c r="CG161" s="52"/>
      <c r="CH161" s="52"/>
      <c r="CI161" s="52"/>
      <c r="CJ161" s="52"/>
      <c r="CK161" s="52"/>
      <c r="CL161" s="52"/>
      <c r="CM161" s="52"/>
      <c r="CN161" s="52"/>
      <c r="CO161" s="52"/>
      <c r="CP161" s="52"/>
      <c r="CQ161" s="52"/>
      <c r="CR161" s="52"/>
      <c r="CS161" s="52"/>
      <c r="CT161" s="52"/>
      <c r="CU161" s="52"/>
      <c r="CV161" s="52"/>
      <c r="CW161" s="52"/>
      <c r="CX161" s="52"/>
      <c r="CY161" s="52"/>
      <c r="CZ161" s="52"/>
      <c r="DA161" s="52"/>
      <c r="DB161" s="52"/>
      <c r="DC161" s="52"/>
      <c r="DD161" s="52"/>
      <c r="DE161" s="52"/>
      <c r="DF161" s="52"/>
      <c r="DG161" s="52"/>
      <c r="DH161" s="52"/>
      <c r="DI161" s="52"/>
      <c r="DJ161" s="52"/>
      <c r="DK161" s="52"/>
      <c r="DL161" s="52"/>
      <c r="DM161" s="52"/>
      <c r="DN161" s="52"/>
      <c r="DO161" s="52"/>
      <c r="DP161" s="52"/>
      <c r="DQ161" s="52"/>
      <c r="DR161" s="52"/>
      <c r="DS161" s="52"/>
      <c r="DT161" s="52"/>
      <c r="DU161" s="52"/>
      <c r="DV161" s="52"/>
      <c r="DW161" s="52"/>
      <c r="DX161" s="52"/>
      <c r="DY161" s="52"/>
      <c r="DZ161" s="52"/>
      <c r="EA161" s="52"/>
      <c r="EB161" s="52"/>
      <c r="EC161" s="52"/>
      <c r="ED161" s="52"/>
      <c r="EE161" s="52"/>
      <c r="EF161" s="52"/>
      <c r="EG161" s="52"/>
      <c r="EH161" s="52"/>
      <c r="EI161" s="52"/>
      <c r="EJ161" s="52"/>
      <c r="EK161" s="52"/>
      <c r="EL161" s="52"/>
      <c r="EM161" s="52"/>
      <c r="EN161" s="52"/>
      <c r="EO161" s="52"/>
      <c r="EP161" s="52"/>
      <c r="EQ161" s="52"/>
      <c r="ER161" s="52"/>
      <c r="ES161" s="52"/>
      <c r="ET161" s="52"/>
      <c r="EU161" s="52"/>
      <c r="EV161" s="52"/>
      <c r="EW161" s="52"/>
      <c r="EX161" s="52"/>
      <c r="EY161" s="52"/>
      <c r="EZ161" s="52"/>
      <c r="FA161" s="52"/>
      <c r="FB161" s="52"/>
      <c r="FC161" s="52"/>
      <c r="FD161" s="52"/>
      <c r="FE161" s="52"/>
      <c r="FF161" s="52"/>
      <c r="FG161" s="52"/>
      <c r="FH161" s="52"/>
      <c r="FI161" s="52"/>
      <c r="FJ161" s="52"/>
      <c r="FK161" s="52"/>
      <c r="FL161" s="52"/>
      <c r="FM161" s="52"/>
      <c r="FN161" s="52"/>
      <c r="FO161" s="52"/>
      <c r="FP161" s="52"/>
      <c r="FQ161" s="52"/>
      <c r="FR161" s="52"/>
      <c r="FS161" s="52"/>
      <c r="FT161" s="52"/>
      <c r="FU161" s="52"/>
      <c r="FV161" s="52"/>
      <c r="FW161" s="52"/>
      <c r="FX161" s="52"/>
    </row>
    <row r="162" ht="15.75" customHeight="1">
      <c r="A162" s="27"/>
      <c r="B162" s="27"/>
      <c r="C162" s="51"/>
      <c r="D162" s="51"/>
      <c r="E162" s="313"/>
      <c r="F162" s="35"/>
      <c r="G162" s="35"/>
      <c r="H162" s="35"/>
      <c r="I162" s="26"/>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2"/>
      <c r="BY162" s="52"/>
      <c r="BZ162" s="52"/>
      <c r="CA162" s="52"/>
      <c r="CB162" s="52"/>
      <c r="CC162" s="52"/>
      <c r="CD162" s="52"/>
      <c r="CE162" s="52"/>
      <c r="CF162" s="52"/>
      <c r="CG162" s="52"/>
      <c r="CH162" s="52"/>
      <c r="CI162" s="52"/>
      <c r="CJ162" s="52"/>
      <c r="CK162" s="52"/>
      <c r="CL162" s="52"/>
      <c r="CM162" s="52"/>
      <c r="CN162" s="52"/>
      <c r="CO162" s="52"/>
      <c r="CP162" s="52"/>
      <c r="CQ162" s="52"/>
      <c r="CR162" s="52"/>
      <c r="CS162" s="52"/>
      <c r="CT162" s="52"/>
      <c r="CU162" s="52"/>
      <c r="CV162" s="52"/>
      <c r="CW162" s="52"/>
      <c r="CX162" s="52"/>
      <c r="CY162" s="52"/>
      <c r="CZ162" s="52"/>
      <c r="DA162" s="52"/>
      <c r="DB162" s="52"/>
      <c r="DC162" s="52"/>
      <c r="DD162" s="52"/>
      <c r="DE162" s="52"/>
      <c r="DF162" s="52"/>
      <c r="DG162" s="52"/>
      <c r="DH162" s="52"/>
      <c r="DI162" s="52"/>
      <c r="DJ162" s="52"/>
      <c r="DK162" s="52"/>
      <c r="DL162" s="52"/>
      <c r="DM162" s="52"/>
      <c r="DN162" s="52"/>
      <c r="DO162" s="52"/>
      <c r="DP162" s="52"/>
      <c r="DQ162" s="52"/>
      <c r="DR162" s="52"/>
      <c r="DS162" s="52"/>
      <c r="DT162" s="52"/>
      <c r="DU162" s="52"/>
      <c r="DV162" s="52"/>
      <c r="DW162" s="52"/>
      <c r="DX162" s="52"/>
      <c r="DY162" s="52"/>
      <c r="DZ162" s="52"/>
      <c r="EA162" s="52"/>
      <c r="EB162" s="52"/>
      <c r="EC162" s="52"/>
      <c r="ED162" s="52"/>
      <c r="EE162" s="52"/>
      <c r="EF162" s="52"/>
      <c r="EG162" s="52"/>
      <c r="EH162" s="52"/>
      <c r="EI162" s="52"/>
      <c r="EJ162" s="52"/>
      <c r="EK162" s="52"/>
      <c r="EL162" s="52"/>
      <c r="EM162" s="52"/>
      <c r="EN162" s="52"/>
      <c r="EO162" s="52"/>
      <c r="EP162" s="52"/>
      <c r="EQ162" s="52"/>
      <c r="ER162" s="52"/>
      <c r="ES162" s="52"/>
      <c r="ET162" s="52"/>
      <c r="EU162" s="52"/>
      <c r="EV162" s="52"/>
      <c r="EW162" s="52"/>
      <c r="EX162" s="52"/>
      <c r="EY162" s="52"/>
      <c r="EZ162" s="52"/>
      <c r="FA162" s="52"/>
      <c r="FB162" s="52"/>
      <c r="FC162" s="52"/>
      <c r="FD162" s="52"/>
      <c r="FE162" s="52"/>
      <c r="FF162" s="52"/>
      <c r="FG162" s="52"/>
      <c r="FH162" s="52"/>
      <c r="FI162" s="52"/>
      <c r="FJ162" s="52"/>
      <c r="FK162" s="52"/>
      <c r="FL162" s="52"/>
      <c r="FM162" s="52"/>
      <c r="FN162" s="52"/>
      <c r="FO162" s="52"/>
      <c r="FP162" s="52"/>
      <c r="FQ162" s="52"/>
      <c r="FR162" s="52"/>
      <c r="FS162" s="52"/>
      <c r="FT162" s="52"/>
      <c r="FU162" s="52"/>
      <c r="FV162" s="52"/>
      <c r="FW162" s="52"/>
      <c r="FX162" s="52"/>
    </row>
    <row r="163" ht="15.75" customHeight="1">
      <c r="A163" s="27"/>
      <c r="B163" s="27"/>
      <c r="C163" s="51"/>
      <c r="D163" s="51"/>
      <c r="E163" s="313"/>
      <c r="F163" s="35"/>
      <c r="G163" s="35"/>
      <c r="H163" s="35"/>
      <c r="I163" s="26"/>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c r="BW163" s="52"/>
      <c r="BX163" s="52"/>
      <c r="BY163" s="52"/>
      <c r="BZ163" s="52"/>
      <c r="CA163" s="52"/>
      <c r="CB163" s="52"/>
      <c r="CC163" s="52"/>
      <c r="CD163" s="52"/>
      <c r="CE163" s="52"/>
      <c r="CF163" s="52"/>
      <c r="CG163" s="52"/>
      <c r="CH163" s="52"/>
      <c r="CI163" s="52"/>
      <c r="CJ163" s="52"/>
      <c r="CK163" s="52"/>
      <c r="CL163" s="52"/>
      <c r="CM163" s="52"/>
      <c r="CN163" s="52"/>
      <c r="CO163" s="52"/>
      <c r="CP163" s="52"/>
      <c r="CQ163" s="52"/>
      <c r="CR163" s="52"/>
      <c r="CS163" s="52"/>
      <c r="CT163" s="52"/>
      <c r="CU163" s="52"/>
      <c r="CV163" s="52"/>
      <c r="CW163" s="52"/>
      <c r="CX163" s="52"/>
      <c r="CY163" s="52"/>
      <c r="CZ163" s="52"/>
      <c r="DA163" s="52"/>
      <c r="DB163" s="52"/>
      <c r="DC163" s="52"/>
      <c r="DD163" s="52"/>
      <c r="DE163" s="52"/>
      <c r="DF163" s="52"/>
      <c r="DG163" s="52"/>
      <c r="DH163" s="52"/>
      <c r="DI163" s="52"/>
      <c r="DJ163" s="52"/>
      <c r="DK163" s="52"/>
      <c r="DL163" s="52"/>
      <c r="DM163" s="52"/>
      <c r="DN163" s="52"/>
      <c r="DO163" s="52"/>
      <c r="DP163" s="52"/>
      <c r="DQ163" s="52"/>
      <c r="DR163" s="52"/>
      <c r="DS163" s="52"/>
      <c r="DT163" s="52"/>
      <c r="DU163" s="52"/>
      <c r="DV163" s="52"/>
      <c r="DW163" s="52"/>
      <c r="DX163" s="52"/>
      <c r="DY163" s="52"/>
      <c r="DZ163" s="52"/>
      <c r="EA163" s="52"/>
      <c r="EB163" s="52"/>
      <c r="EC163" s="52"/>
      <c r="ED163" s="52"/>
      <c r="EE163" s="52"/>
      <c r="EF163" s="52"/>
      <c r="EG163" s="52"/>
      <c r="EH163" s="52"/>
      <c r="EI163" s="52"/>
      <c r="EJ163" s="52"/>
      <c r="EK163" s="52"/>
      <c r="EL163" s="52"/>
      <c r="EM163" s="52"/>
      <c r="EN163" s="52"/>
      <c r="EO163" s="52"/>
      <c r="EP163" s="52"/>
      <c r="EQ163" s="52"/>
      <c r="ER163" s="52"/>
      <c r="ES163" s="52"/>
      <c r="ET163" s="52"/>
      <c r="EU163" s="52"/>
      <c r="EV163" s="52"/>
      <c r="EW163" s="52"/>
      <c r="EX163" s="52"/>
      <c r="EY163" s="52"/>
      <c r="EZ163" s="52"/>
      <c r="FA163" s="52"/>
      <c r="FB163" s="52"/>
      <c r="FC163" s="52"/>
      <c r="FD163" s="52"/>
      <c r="FE163" s="52"/>
      <c r="FF163" s="52"/>
      <c r="FG163" s="52"/>
      <c r="FH163" s="52"/>
      <c r="FI163" s="52"/>
      <c r="FJ163" s="52"/>
      <c r="FK163" s="52"/>
      <c r="FL163" s="52"/>
      <c r="FM163" s="52"/>
      <c r="FN163" s="52"/>
      <c r="FO163" s="52"/>
      <c r="FP163" s="52"/>
      <c r="FQ163" s="52"/>
      <c r="FR163" s="52"/>
      <c r="FS163" s="52"/>
      <c r="FT163" s="52"/>
      <c r="FU163" s="52"/>
      <c r="FV163" s="52"/>
      <c r="FW163" s="52"/>
      <c r="FX163" s="52"/>
    </row>
    <row r="164" ht="15.75" customHeight="1">
      <c r="A164" s="27"/>
      <c r="B164" s="27"/>
      <c r="C164" s="51"/>
      <c r="D164" s="51"/>
      <c r="E164" s="313"/>
      <c r="F164" s="35"/>
      <c r="G164" s="35"/>
      <c r="H164" s="35"/>
      <c r="I164" s="26"/>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c r="BY164" s="52"/>
      <c r="BZ164" s="52"/>
      <c r="CA164" s="52"/>
      <c r="CB164" s="52"/>
      <c r="CC164" s="52"/>
      <c r="CD164" s="52"/>
      <c r="CE164" s="52"/>
      <c r="CF164" s="52"/>
      <c r="CG164" s="52"/>
      <c r="CH164" s="52"/>
      <c r="CI164" s="52"/>
      <c r="CJ164" s="52"/>
      <c r="CK164" s="52"/>
      <c r="CL164" s="52"/>
      <c r="CM164" s="52"/>
      <c r="CN164" s="52"/>
      <c r="CO164" s="52"/>
      <c r="CP164" s="52"/>
      <c r="CQ164" s="52"/>
      <c r="CR164" s="52"/>
      <c r="CS164" s="52"/>
      <c r="CT164" s="52"/>
      <c r="CU164" s="52"/>
      <c r="CV164" s="52"/>
      <c r="CW164" s="52"/>
      <c r="CX164" s="52"/>
      <c r="CY164" s="52"/>
      <c r="CZ164" s="52"/>
      <c r="DA164" s="52"/>
      <c r="DB164" s="52"/>
      <c r="DC164" s="52"/>
      <c r="DD164" s="52"/>
      <c r="DE164" s="52"/>
      <c r="DF164" s="52"/>
      <c r="DG164" s="52"/>
      <c r="DH164" s="52"/>
      <c r="DI164" s="52"/>
      <c r="DJ164" s="52"/>
      <c r="DK164" s="52"/>
      <c r="DL164" s="52"/>
      <c r="DM164" s="52"/>
      <c r="DN164" s="52"/>
      <c r="DO164" s="52"/>
      <c r="DP164" s="52"/>
      <c r="DQ164" s="52"/>
      <c r="DR164" s="52"/>
      <c r="DS164" s="52"/>
      <c r="DT164" s="52"/>
      <c r="DU164" s="52"/>
      <c r="DV164" s="52"/>
      <c r="DW164" s="52"/>
      <c r="DX164" s="52"/>
      <c r="DY164" s="52"/>
      <c r="DZ164" s="52"/>
      <c r="EA164" s="52"/>
      <c r="EB164" s="52"/>
      <c r="EC164" s="52"/>
      <c r="ED164" s="52"/>
      <c r="EE164" s="52"/>
      <c r="EF164" s="52"/>
      <c r="EG164" s="52"/>
      <c r="EH164" s="52"/>
      <c r="EI164" s="52"/>
      <c r="EJ164" s="52"/>
      <c r="EK164" s="52"/>
      <c r="EL164" s="52"/>
      <c r="EM164" s="52"/>
      <c r="EN164" s="52"/>
      <c r="EO164" s="52"/>
      <c r="EP164" s="52"/>
      <c r="EQ164" s="52"/>
      <c r="ER164" s="52"/>
      <c r="ES164" s="52"/>
      <c r="ET164" s="52"/>
      <c r="EU164" s="52"/>
      <c r="EV164" s="52"/>
      <c r="EW164" s="52"/>
      <c r="EX164" s="52"/>
      <c r="EY164" s="52"/>
      <c r="EZ164" s="52"/>
      <c r="FA164" s="52"/>
      <c r="FB164" s="52"/>
      <c r="FC164" s="52"/>
      <c r="FD164" s="52"/>
      <c r="FE164" s="52"/>
      <c r="FF164" s="52"/>
      <c r="FG164" s="52"/>
      <c r="FH164" s="52"/>
      <c r="FI164" s="52"/>
      <c r="FJ164" s="52"/>
      <c r="FK164" s="52"/>
      <c r="FL164" s="52"/>
      <c r="FM164" s="52"/>
      <c r="FN164" s="52"/>
      <c r="FO164" s="52"/>
      <c r="FP164" s="52"/>
      <c r="FQ164" s="52"/>
      <c r="FR164" s="52"/>
      <c r="FS164" s="52"/>
      <c r="FT164" s="52"/>
      <c r="FU164" s="52"/>
      <c r="FV164" s="52"/>
      <c r="FW164" s="52"/>
      <c r="FX164" s="52"/>
    </row>
    <row r="165" ht="15.75" customHeight="1">
      <c r="A165" s="27"/>
      <c r="B165" s="27"/>
      <c r="C165" s="51"/>
      <c r="D165" s="51"/>
      <c r="E165" s="313"/>
      <c r="F165" s="35"/>
      <c r="G165" s="35"/>
      <c r="H165" s="35"/>
      <c r="I165" s="26"/>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c r="BY165" s="52"/>
      <c r="BZ165" s="52"/>
      <c r="CA165" s="52"/>
      <c r="CB165" s="52"/>
      <c r="CC165" s="52"/>
      <c r="CD165" s="52"/>
      <c r="CE165" s="52"/>
      <c r="CF165" s="52"/>
      <c r="CG165" s="52"/>
      <c r="CH165" s="52"/>
      <c r="CI165" s="52"/>
      <c r="CJ165" s="52"/>
      <c r="CK165" s="52"/>
      <c r="CL165" s="52"/>
      <c r="CM165" s="52"/>
      <c r="CN165" s="52"/>
      <c r="CO165" s="52"/>
      <c r="CP165" s="52"/>
      <c r="CQ165" s="52"/>
      <c r="CR165" s="52"/>
      <c r="CS165" s="52"/>
      <c r="CT165" s="52"/>
      <c r="CU165" s="52"/>
      <c r="CV165" s="52"/>
      <c r="CW165" s="52"/>
      <c r="CX165" s="52"/>
      <c r="CY165" s="52"/>
      <c r="CZ165" s="52"/>
      <c r="DA165" s="52"/>
      <c r="DB165" s="52"/>
      <c r="DC165" s="52"/>
      <c r="DD165" s="52"/>
      <c r="DE165" s="52"/>
      <c r="DF165" s="52"/>
      <c r="DG165" s="52"/>
      <c r="DH165" s="52"/>
      <c r="DI165" s="52"/>
      <c r="DJ165" s="52"/>
      <c r="DK165" s="52"/>
      <c r="DL165" s="52"/>
      <c r="DM165" s="52"/>
      <c r="DN165" s="52"/>
      <c r="DO165" s="52"/>
      <c r="DP165" s="52"/>
      <c r="DQ165" s="52"/>
      <c r="DR165" s="52"/>
      <c r="DS165" s="52"/>
      <c r="DT165" s="52"/>
      <c r="DU165" s="52"/>
      <c r="DV165" s="52"/>
      <c r="DW165" s="52"/>
      <c r="DX165" s="52"/>
      <c r="DY165" s="52"/>
      <c r="DZ165" s="52"/>
      <c r="EA165" s="52"/>
      <c r="EB165" s="52"/>
      <c r="EC165" s="52"/>
      <c r="ED165" s="52"/>
      <c r="EE165" s="52"/>
      <c r="EF165" s="52"/>
      <c r="EG165" s="52"/>
      <c r="EH165" s="52"/>
      <c r="EI165" s="52"/>
      <c r="EJ165" s="52"/>
      <c r="EK165" s="52"/>
      <c r="EL165" s="52"/>
      <c r="EM165" s="52"/>
      <c r="EN165" s="52"/>
      <c r="EO165" s="52"/>
      <c r="EP165" s="52"/>
      <c r="EQ165" s="52"/>
      <c r="ER165" s="52"/>
      <c r="ES165" s="52"/>
      <c r="ET165" s="52"/>
      <c r="EU165" s="52"/>
      <c r="EV165" s="52"/>
      <c r="EW165" s="52"/>
      <c r="EX165" s="52"/>
      <c r="EY165" s="52"/>
      <c r="EZ165" s="52"/>
      <c r="FA165" s="52"/>
      <c r="FB165" s="52"/>
      <c r="FC165" s="52"/>
      <c r="FD165" s="52"/>
      <c r="FE165" s="52"/>
      <c r="FF165" s="52"/>
      <c r="FG165" s="52"/>
      <c r="FH165" s="52"/>
      <c r="FI165" s="52"/>
      <c r="FJ165" s="52"/>
      <c r="FK165" s="52"/>
      <c r="FL165" s="52"/>
      <c r="FM165" s="52"/>
      <c r="FN165" s="52"/>
      <c r="FO165" s="52"/>
      <c r="FP165" s="52"/>
      <c r="FQ165" s="52"/>
      <c r="FR165" s="52"/>
      <c r="FS165" s="52"/>
      <c r="FT165" s="52"/>
      <c r="FU165" s="52"/>
      <c r="FV165" s="52"/>
      <c r="FW165" s="52"/>
      <c r="FX165" s="52"/>
    </row>
    <row r="166" ht="15.75" customHeight="1">
      <c r="A166" s="27"/>
      <c r="B166" s="27"/>
      <c r="C166" s="51"/>
      <c r="D166" s="51"/>
      <c r="E166" s="313"/>
      <c r="F166" s="35"/>
      <c r="G166" s="35"/>
      <c r="H166" s="35"/>
      <c r="I166" s="26"/>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c r="BY166" s="52"/>
      <c r="BZ166" s="52"/>
      <c r="CA166" s="52"/>
      <c r="CB166" s="52"/>
      <c r="CC166" s="52"/>
      <c r="CD166" s="52"/>
      <c r="CE166" s="52"/>
      <c r="CF166" s="52"/>
      <c r="CG166" s="52"/>
      <c r="CH166" s="52"/>
      <c r="CI166" s="52"/>
      <c r="CJ166" s="52"/>
      <c r="CK166" s="52"/>
      <c r="CL166" s="52"/>
      <c r="CM166" s="52"/>
      <c r="CN166" s="52"/>
      <c r="CO166" s="52"/>
      <c r="CP166" s="52"/>
      <c r="CQ166" s="52"/>
      <c r="CR166" s="52"/>
      <c r="CS166" s="52"/>
      <c r="CT166" s="52"/>
      <c r="CU166" s="52"/>
      <c r="CV166" s="52"/>
      <c r="CW166" s="52"/>
      <c r="CX166" s="52"/>
      <c r="CY166" s="52"/>
      <c r="CZ166" s="52"/>
      <c r="DA166" s="52"/>
      <c r="DB166" s="52"/>
      <c r="DC166" s="52"/>
      <c r="DD166" s="52"/>
      <c r="DE166" s="52"/>
      <c r="DF166" s="52"/>
      <c r="DG166" s="52"/>
      <c r="DH166" s="52"/>
      <c r="DI166" s="52"/>
      <c r="DJ166" s="52"/>
      <c r="DK166" s="52"/>
      <c r="DL166" s="52"/>
      <c r="DM166" s="52"/>
      <c r="DN166" s="52"/>
      <c r="DO166" s="52"/>
      <c r="DP166" s="52"/>
      <c r="DQ166" s="52"/>
      <c r="DR166" s="52"/>
      <c r="DS166" s="52"/>
      <c r="DT166" s="52"/>
      <c r="DU166" s="52"/>
      <c r="DV166" s="52"/>
      <c r="DW166" s="52"/>
      <c r="DX166" s="52"/>
      <c r="DY166" s="52"/>
      <c r="DZ166" s="52"/>
      <c r="EA166" s="52"/>
      <c r="EB166" s="52"/>
      <c r="EC166" s="52"/>
      <c r="ED166" s="52"/>
      <c r="EE166" s="52"/>
      <c r="EF166" s="52"/>
      <c r="EG166" s="52"/>
      <c r="EH166" s="52"/>
      <c r="EI166" s="52"/>
      <c r="EJ166" s="52"/>
      <c r="EK166" s="52"/>
      <c r="EL166" s="52"/>
      <c r="EM166" s="52"/>
      <c r="EN166" s="52"/>
      <c r="EO166" s="52"/>
      <c r="EP166" s="52"/>
      <c r="EQ166" s="52"/>
      <c r="ER166" s="52"/>
      <c r="ES166" s="52"/>
      <c r="ET166" s="52"/>
      <c r="EU166" s="52"/>
      <c r="EV166" s="52"/>
      <c r="EW166" s="52"/>
      <c r="EX166" s="52"/>
      <c r="EY166" s="52"/>
      <c r="EZ166" s="52"/>
      <c r="FA166" s="52"/>
      <c r="FB166" s="52"/>
      <c r="FC166" s="52"/>
      <c r="FD166" s="52"/>
      <c r="FE166" s="52"/>
      <c r="FF166" s="52"/>
      <c r="FG166" s="52"/>
      <c r="FH166" s="52"/>
      <c r="FI166" s="52"/>
      <c r="FJ166" s="52"/>
      <c r="FK166" s="52"/>
      <c r="FL166" s="52"/>
      <c r="FM166" s="52"/>
      <c r="FN166" s="52"/>
      <c r="FO166" s="52"/>
      <c r="FP166" s="52"/>
      <c r="FQ166" s="52"/>
      <c r="FR166" s="52"/>
      <c r="FS166" s="52"/>
      <c r="FT166" s="52"/>
      <c r="FU166" s="52"/>
      <c r="FV166" s="52"/>
      <c r="FW166" s="52"/>
      <c r="FX166" s="52"/>
    </row>
    <row r="167" ht="15.75" customHeight="1">
      <c r="A167" s="27"/>
      <c r="B167" s="27"/>
      <c r="C167" s="51"/>
      <c r="D167" s="51"/>
      <c r="E167" s="313"/>
      <c r="F167" s="35"/>
      <c r="G167" s="35"/>
      <c r="H167" s="35"/>
      <c r="I167" s="26"/>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c r="BY167" s="52"/>
      <c r="BZ167" s="52"/>
      <c r="CA167" s="52"/>
      <c r="CB167" s="52"/>
      <c r="CC167" s="52"/>
      <c r="CD167" s="52"/>
      <c r="CE167" s="52"/>
      <c r="CF167" s="52"/>
      <c r="CG167" s="52"/>
      <c r="CH167" s="52"/>
      <c r="CI167" s="52"/>
      <c r="CJ167" s="52"/>
      <c r="CK167" s="52"/>
      <c r="CL167" s="52"/>
      <c r="CM167" s="52"/>
      <c r="CN167" s="52"/>
      <c r="CO167" s="52"/>
      <c r="CP167" s="52"/>
      <c r="CQ167" s="52"/>
      <c r="CR167" s="52"/>
      <c r="CS167" s="52"/>
      <c r="CT167" s="52"/>
      <c r="CU167" s="52"/>
      <c r="CV167" s="52"/>
      <c r="CW167" s="52"/>
      <c r="CX167" s="52"/>
      <c r="CY167" s="52"/>
      <c r="CZ167" s="52"/>
      <c r="DA167" s="52"/>
      <c r="DB167" s="52"/>
      <c r="DC167" s="52"/>
      <c r="DD167" s="52"/>
      <c r="DE167" s="52"/>
      <c r="DF167" s="52"/>
      <c r="DG167" s="52"/>
      <c r="DH167" s="52"/>
      <c r="DI167" s="52"/>
      <c r="DJ167" s="52"/>
      <c r="DK167" s="52"/>
      <c r="DL167" s="52"/>
      <c r="DM167" s="52"/>
      <c r="DN167" s="52"/>
      <c r="DO167" s="52"/>
      <c r="DP167" s="52"/>
      <c r="DQ167" s="52"/>
      <c r="DR167" s="52"/>
      <c r="DS167" s="52"/>
      <c r="DT167" s="52"/>
      <c r="DU167" s="52"/>
      <c r="DV167" s="52"/>
      <c r="DW167" s="52"/>
      <c r="DX167" s="52"/>
      <c r="DY167" s="52"/>
      <c r="DZ167" s="52"/>
      <c r="EA167" s="52"/>
      <c r="EB167" s="52"/>
      <c r="EC167" s="52"/>
      <c r="ED167" s="52"/>
      <c r="EE167" s="52"/>
      <c r="EF167" s="52"/>
      <c r="EG167" s="52"/>
      <c r="EH167" s="52"/>
      <c r="EI167" s="52"/>
      <c r="EJ167" s="52"/>
      <c r="EK167" s="52"/>
      <c r="EL167" s="52"/>
      <c r="EM167" s="52"/>
      <c r="EN167" s="52"/>
      <c r="EO167" s="52"/>
      <c r="EP167" s="52"/>
      <c r="EQ167" s="52"/>
      <c r="ER167" s="52"/>
      <c r="ES167" s="52"/>
      <c r="ET167" s="52"/>
      <c r="EU167" s="52"/>
      <c r="EV167" s="52"/>
      <c r="EW167" s="52"/>
      <c r="EX167" s="52"/>
      <c r="EY167" s="52"/>
      <c r="EZ167" s="52"/>
      <c r="FA167" s="52"/>
      <c r="FB167" s="52"/>
      <c r="FC167" s="52"/>
      <c r="FD167" s="52"/>
      <c r="FE167" s="52"/>
      <c r="FF167" s="52"/>
      <c r="FG167" s="52"/>
      <c r="FH167" s="52"/>
      <c r="FI167" s="52"/>
      <c r="FJ167" s="52"/>
      <c r="FK167" s="52"/>
      <c r="FL167" s="52"/>
      <c r="FM167" s="52"/>
      <c r="FN167" s="52"/>
      <c r="FO167" s="52"/>
      <c r="FP167" s="52"/>
      <c r="FQ167" s="52"/>
      <c r="FR167" s="52"/>
      <c r="FS167" s="52"/>
      <c r="FT167" s="52"/>
      <c r="FU167" s="52"/>
      <c r="FV167" s="52"/>
      <c r="FW167" s="52"/>
      <c r="FX167" s="52"/>
    </row>
    <row r="168" ht="15.75" customHeight="1">
      <c r="A168" s="27"/>
      <c r="B168" s="27"/>
      <c r="C168" s="51"/>
      <c r="D168" s="51"/>
      <c r="E168" s="313"/>
      <c r="F168" s="35"/>
      <c r="G168" s="35"/>
      <c r="H168" s="35"/>
      <c r="I168" s="26"/>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c r="BY168" s="52"/>
      <c r="BZ168" s="52"/>
      <c r="CA168" s="52"/>
      <c r="CB168" s="52"/>
      <c r="CC168" s="52"/>
      <c r="CD168" s="52"/>
      <c r="CE168" s="52"/>
      <c r="CF168" s="52"/>
      <c r="CG168" s="52"/>
      <c r="CH168" s="52"/>
      <c r="CI168" s="52"/>
      <c r="CJ168" s="52"/>
      <c r="CK168" s="52"/>
      <c r="CL168" s="52"/>
      <c r="CM168" s="52"/>
      <c r="CN168" s="52"/>
      <c r="CO168" s="52"/>
      <c r="CP168" s="52"/>
      <c r="CQ168" s="52"/>
      <c r="CR168" s="52"/>
      <c r="CS168" s="52"/>
      <c r="CT168" s="52"/>
      <c r="CU168" s="52"/>
      <c r="CV168" s="52"/>
      <c r="CW168" s="52"/>
      <c r="CX168" s="52"/>
      <c r="CY168" s="52"/>
      <c r="CZ168" s="52"/>
      <c r="DA168" s="52"/>
      <c r="DB168" s="52"/>
      <c r="DC168" s="52"/>
      <c r="DD168" s="52"/>
      <c r="DE168" s="52"/>
      <c r="DF168" s="52"/>
      <c r="DG168" s="52"/>
      <c r="DH168" s="52"/>
      <c r="DI168" s="52"/>
      <c r="DJ168" s="52"/>
      <c r="DK168" s="52"/>
      <c r="DL168" s="52"/>
      <c r="DM168" s="52"/>
      <c r="DN168" s="52"/>
      <c r="DO168" s="52"/>
      <c r="DP168" s="52"/>
      <c r="DQ168" s="52"/>
      <c r="DR168" s="52"/>
      <c r="DS168" s="52"/>
      <c r="DT168" s="52"/>
      <c r="DU168" s="52"/>
      <c r="DV168" s="52"/>
      <c r="DW168" s="52"/>
      <c r="DX168" s="52"/>
      <c r="DY168" s="52"/>
      <c r="DZ168" s="52"/>
      <c r="EA168" s="52"/>
      <c r="EB168" s="52"/>
      <c r="EC168" s="52"/>
      <c r="ED168" s="52"/>
      <c r="EE168" s="52"/>
      <c r="EF168" s="52"/>
      <c r="EG168" s="52"/>
      <c r="EH168" s="52"/>
      <c r="EI168" s="52"/>
      <c r="EJ168" s="52"/>
      <c r="EK168" s="52"/>
      <c r="EL168" s="52"/>
      <c r="EM168" s="52"/>
      <c r="EN168" s="52"/>
      <c r="EO168" s="52"/>
      <c r="EP168" s="52"/>
      <c r="EQ168" s="52"/>
      <c r="ER168" s="52"/>
      <c r="ES168" s="52"/>
      <c r="ET168" s="52"/>
      <c r="EU168" s="52"/>
      <c r="EV168" s="52"/>
      <c r="EW168" s="52"/>
      <c r="EX168" s="52"/>
      <c r="EY168" s="52"/>
      <c r="EZ168" s="52"/>
      <c r="FA168" s="52"/>
      <c r="FB168" s="52"/>
      <c r="FC168" s="52"/>
      <c r="FD168" s="52"/>
      <c r="FE168" s="52"/>
      <c r="FF168" s="52"/>
      <c r="FG168" s="52"/>
      <c r="FH168" s="52"/>
      <c r="FI168" s="52"/>
      <c r="FJ168" s="52"/>
      <c r="FK168" s="52"/>
      <c r="FL168" s="52"/>
      <c r="FM168" s="52"/>
      <c r="FN168" s="52"/>
      <c r="FO168" s="52"/>
      <c r="FP168" s="52"/>
      <c r="FQ168" s="52"/>
      <c r="FR168" s="52"/>
      <c r="FS168" s="52"/>
      <c r="FT168" s="52"/>
      <c r="FU168" s="52"/>
      <c r="FV168" s="52"/>
      <c r="FW168" s="52"/>
      <c r="FX168" s="52"/>
    </row>
    <row r="169" ht="15.75" customHeight="1">
      <c r="A169" s="27"/>
      <c r="B169" s="27"/>
      <c r="C169" s="51"/>
      <c r="D169" s="51"/>
      <c r="E169" s="313"/>
      <c r="F169" s="35"/>
      <c r="G169" s="35"/>
      <c r="H169" s="35"/>
      <c r="I169" s="26"/>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c r="BY169" s="52"/>
      <c r="BZ169" s="52"/>
      <c r="CA169" s="52"/>
      <c r="CB169" s="52"/>
      <c r="CC169" s="52"/>
      <c r="CD169" s="52"/>
      <c r="CE169" s="52"/>
      <c r="CF169" s="52"/>
      <c r="CG169" s="52"/>
      <c r="CH169" s="52"/>
      <c r="CI169" s="52"/>
      <c r="CJ169" s="52"/>
      <c r="CK169" s="52"/>
      <c r="CL169" s="52"/>
      <c r="CM169" s="52"/>
      <c r="CN169" s="52"/>
      <c r="CO169" s="52"/>
      <c r="CP169" s="52"/>
      <c r="CQ169" s="52"/>
      <c r="CR169" s="52"/>
      <c r="CS169" s="52"/>
      <c r="CT169" s="52"/>
      <c r="CU169" s="52"/>
      <c r="CV169" s="52"/>
      <c r="CW169" s="52"/>
      <c r="CX169" s="52"/>
      <c r="CY169" s="52"/>
      <c r="CZ169" s="52"/>
      <c r="DA169" s="52"/>
      <c r="DB169" s="52"/>
      <c r="DC169" s="52"/>
      <c r="DD169" s="52"/>
      <c r="DE169" s="52"/>
      <c r="DF169" s="52"/>
      <c r="DG169" s="52"/>
      <c r="DH169" s="52"/>
      <c r="DI169" s="52"/>
      <c r="DJ169" s="52"/>
      <c r="DK169" s="52"/>
      <c r="DL169" s="52"/>
      <c r="DM169" s="52"/>
      <c r="DN169" s="52"/>
      <c r="DO169" s="52"/>
      <c r="DP169" s="52"/>
      <c r="DQ169" s="52"/>
      <c r="DR169" s="52"/>
      <c r="DS169" s="52"/>
      <c r="DT169" s="52"/>
      <c r="DU169" s="52"/>
      <c r="DV169" s="52"/>
      <c r="DW169" s="52"/>
      <c r="DX169" s="52"/>
      <c r="DY169" s="52"/>
      <c r="DZ169" s="52"/>
      <c r="EA169" s="52"/>
      <c r="EB169" s="52"/>
      <c r="EC169" s="52"/>
      <c r="ED169" s="52"/>
      <c r="EE169" s="52"/>
      <c r="EF169" s="52"/>
      <c r="EG169" s="52"/>
      <c r="EH169" s="52"/>
      <c r="EI169" s="52"/>
      <c r="EJ169" s="52"/>
      <c r="EK169" s="52"/>
      <c r="EL169" s="52"/>
      <c r="EM169" s="52"/>
      <c r="EN169" s="52"/>
      <c r="EO169" s="52"/>
      <c r="EP169" s="52"/>
      <c r="EQ169" s="52"/>
      <c r="ER169" s="52"/>
      <c r="ES169" s="52"/>
      <c r="ET169" s="52"/>
      <c r="EU169" s="52"/>
      <c r="EV169" s="52"/>
      <c r="EW169" s="52"/>
      <c r="EX169" s="52"/>
      <c r="EY169" s="52"/>
      <c r="EZ169" s="52"/>
      <c r="FA169" s="52"/>
      <c r="FB169" s="52"/>
      <c r="FC169" s="52"/>
      <c r="FD169" s="52"/>
      <c r="FE169" s="52"/>
      <c r="FF169" s="52"/>
      <c r="FG169" s="52"/>
      <c r="FH169" s="52"/>
      <c r="FI169" s="52"/>
      <c r="FJ169" s="52"/>
      <c r="FK169" s="52"/>
      <c r="FL169" s="52"/>
      <c r="FM169" s="52"/>
      <c r="FN169" s="52"/>
      <c r="FO169" s="52"/>
      <c r="FP169" s="52"/>
      <c r="FQ169" s="52"/>
      <c r="FR169" s="52"/>
      <c r="FS169" s="52"/>
      <c r="FT169" s="52"/>
      <c r="FU169" s="52"/>
      <c r="FV169" s="52"/>
      <c r="FW169" s="52"/>
      <c r="FX169" s="52"/>
    </row>
    <row r="170" ht="15.75" customHeight="1">
      <c r="A170" s="27"/>
      <c r="B170" s="27"/>
      <c r="C170" s="51"/>
      <c r="D170" s="51"/>
      <c r="E170" s="313"/>
      <c r="F170" s="35"/>
      <c r="G170" s="35"/>
      <c r="H170" s="35"/>
      <c r="I170" s="26"/>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c r="BY170" s="52"/>
      <c r="BZ170" s="52"/>
      <c r="CA170" s="52"/>
      <c r="CB170" s="52"/>
      <c r="CC170" s="52"/>
      <c r="CD170" s="52"/>
      <c r="CE170" s="52"/>
      <c r="CF170" s="52"/>
      <c r="CG170" s="52"/>
      <c r="CH170" s="52"/>
      <c r="CI170" s="52"/>
      <c r="CJ170" s="52"/>
      <c r="CK170" s="52"/>
      <c r="CL170" s="52"/>
      <c r="CM170" s="52"/>
      <c r="CN170" s="52"/>
      <c r="CO170" s="52"/>
      <c r="CP170" s="52"/>
      <c r="CQ170" s="52"/>
      <c r="CR170" s="52"/>
      <c r="CS170" s="52"/>
      <c r="CT170" s="52"/>
      <c r="CU170" s="52"/>
      <c r="CV170" s="52"/>
      <c r="CW170" s="52"/>
      <c r="CX170" s="52"/>
      <c r="CY170" s="52"/>
      <c r="CZ170" s="52"/>
      <c r="DA170" s="52"/>
      <c r="DB170" s="52"/>
      <c r="DC170" s="52"/>
      <c r="DD170" s="52"/>
      <c r="DE170" s="52"/>
      <c r="DF170" s="52"/>
      <c r="DG170" s="52"/>
      <c r="DH170" s="52"/>
      <c r="DI170" s="52"/>
      <c r="DJ170" s="52"/>
      <c r="DK170" s="52"/>
      <c r="DL170" s="52"/>
      <c r="DM170" s="52"/>
      <c r="DN170" s="52"/>
      <c r="DO170" s="52"/>
      <c r="DP170" s="52"/>
      <c r="DQ170" s="52"/>
      <c r="DR170" s="52"/>
      <c r="DS170" s="52"/>
      <c r="DT170" s="52"/>
      <c r="DU170" s="52"/>
      <c r="DV170" s="52"/>
      <c r="DW170" s="52"/>
      <c r="DX170" s="52"/>
      <c r="DY170" s="52"/>
      <c r="DZ170" s="52"/>
      <c r="EA170" s="52"/>
      <c r="EB170" s="52"/>
      <c r="EC170" s="52"/>
      <c r="ED170" s="52"/>
      <c r="EE170" s="52"/>
      <c r="EF170" s="52"/>
      <c r="EG170" s="52"/>
      <c r="EH170" s="52"/>
      <c r="EI170" s="52"/>
      <c r="EJ170" s="52"/>
      <c r="EK170" s="52"/>
      <c r="EL170" s="52"/>
      <c r="EM170" s="52"/>
      <c r="EN170" s="52"/>
      <c r="EO170" s="52"/>
      <c r="EP170" s="52"/>
      <c r="EQ170" s="52"/>
      <c r="ER170" s="52"/>
      <c r="ES170" s="52"/>
      <c r="ET170" s="52"/>
      <c r="EU170" s="52"/>
      <c r="EV170" s="52"/>
      <c r="EW170" s="52"/>
      <c r="EX170" s="52"/>
      <c r="EY170" s="52"/>
      <c r="EZ170" s="52"/>
      <c r="FA170" s="52"/>
      <c r="FB170" s="52"/>
      <c r="FC170" s="52"/>
      <c r="FD170" s="52"/>
      <c r="FE170" s="52"/>
      <c r="FF170" s="52"/>
      <c r="FG170" s="52"/>
      <c r="FH170" s="52"/>
      <c r="FI170" s="52"/>
      <c r="FJ170" s="52"/>
      <c r="FK170" s="52"/>
      <c r="FL170" s="52"/>
      <c r="FM170" s="52"/>
      <c r="FN170" s="52"/>
      <c r="FO170" s="52"/>
      <c r="FP170" s="52"/>
      <c r="FQ170" s="52"/>
      <c r="FR170" s="52"/>
      <c r="FS170" s="52"/>
      <c r="FT170" s="52"/>
      <c r="FU170" s="52"/>
      <c r="FV170" s="52"/>
      <c r="FW170" s="52"/>
      <c r="FX170" s="52"/>
    </row>
    <row r="171" ht="15.75" customHeight="1">
      <c r="A171" s="27"/>
      <c r="B171" s="27"/>
      <c r="C171" s="51"/>
      <c r="D171" s="51"/>
      <c r="E171" s="313"/>
      <c r="F171" s="35"/>
      <c r="G171" s="35"/>
      <c r="H171" s="35"/>
      <c r="I171" s="26"/>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c r="BY171" s="52"/>
      <c r="BZ171" s="52"/>
      <c r="CA171" s="52"/>
      <c r="CB171" s="52"/>
      <c r="CC171" s="52"/>
      <c r="CD171" s="52"/>
      <c r="CE171" s="52"/>
      <c r="CF171" s="52"/>
      <c r="CG171" s="52"/>
      <c r="CH171" s="52"/>
      <c r="CI171" s="52"/>
      <c r="CJ171" s="52"/>
      <c r="CK171" s="52"/>
      <c r="CL171" s="52"/>
      <c r="CM171" s="52"/>
      <c r="CN171" s="52"/>
      <c r="CO171" s="52"/>
      <c r="CP171" s="52"/>
      <c r="CQ171" s="52"/>
      <c r="CR171" s="52"/>
      <c r="CS171" s="52"/>
      <c r="CT171" s="52"/>
      <c r="CU171" s="52"/>
      <c r="CV171" s="52"/>
      <c r="CW171" s="52"/>
      <c r="CX171" s="52"/>
      <c r="CY171" s="52"/>
      <c r="CZ171" s="52"/>
      <c r="DA171" s="52"/>
      <c r="DB171" s="52"/>
      <c r="DC171" s="52"/>
      <c r="DD171" s="52"/>
      <c r="DE171" s="52"/>
      <c r="DF171" s="52"/>
      <c r="DG171" s="52"/>
      <c r="DH171" s="52"/>
      <c r="DI171" s="52"/>
      <c r="DJ171" s="52"/>
      <c r="DK171" s="52"/>
      <c r="DL171" s="52"/>
      <c r="DM171" s="52"/>
      <c r="DN171" s="52"/>
      <c r="DO171" s="52"/>
      <c r="DP171" s="52"/>
      <c r="DQ171" s="52"/>
      <c r="DR171" s="52"/>
      <c r="DS171" s="52"/>
      <c r="DT171" s="52"/>
      <c r="DU171" s="52"/>
      <c r="DV171" s="52"/>
      <c r="DW171" s="52"/>
      <c r="DX171" s="52"/>
      <c r="DY171" s="52"/>
      <c r="DZ171" s="52"/>
      <c r="EA171" s="52"/>
      <c r="EB171" s="52"/>
      <c r="EC171" s="52"/>
      <c r="ED171" s="52"/>
      <c r="EE171" s="52"/>
      <c r="EF171" s="52"/>
      <c r="EG171" s="52"/>
      <c r="EH171" s="52"/>
      <c r="EI171" s="52"/>
      <c r="EJ171" s="52"/>
      <c r="EK171" s="52"/>
      <c r="EL171" s="52"/>
      <c r="EM171" s="52"/>
      <c r="EN171" s="52"/>
      <c r="EO171" s="52"/>
      <c r="EP171" s="52"/>
      <c r="EQ171" s="52"/>
      <c r="ER171" s="52"/>
      <c r="ES171" s="52"/>
      <c r="ET171" s="52"/>
      <c r="EU171" s="52"/>
      <c r="EV171" s="52"/>
      <c r="EW171" s="52"/>
      <c r="EX171" s="52"/>
      <c r="EY171" s="52"/>
      <c r="EZ171" s="52"/>
      <c r="FA171" s="52"/>
      <c r="FB171" s="52"/>
      <c r="FC171" s="52"/>
      <c r="FD171" s="52"/>
      <c r="FE171" s="52"/>
      <c r="FF171" s="52"/>
      <c r="FG171" s="52"/>
      <c r="FH171" s="52"/>
      <c r="FI171" s="52"/>
      <c r="FJ171" s="52"/>
      <c r="FK171" s="52"/>
      <c r="FL171" s="52"/>
      <c r="FM171" s="52"/>
      <c r="FN171" s="52"/>
      <c r="FO171" s="52"/>
      <c r="FP171" s="52"/>
      <c r="FQ171" s="52"/>
      <c r="FR171" s="52"/>
      <c r="FS171" s="52"/>
      <c r="FT171" s="52"/>
      <c r="FU171" s="52"/>
      <c r="FV171" s="52"/>
      <c r="FW171" s="52"/>
      <c r="FX171" s="52"/>
    </row>
    <row r="172" ht="15.75" customHeight="1">
      <c r="A172" s="27"/>
      <c r="B172" s="27"/>
      <c r="C172" s="51"/>
      <c r="D172" s="51"/>
      <c r="E172" s="313"/>
      <c r="F172" s="35"/>
      <c r="G172" s="35"/>
      <c r="H172" s="35"/>
      <c r="I172" s="26"/>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c r="BY172" s="52"/>
      <c r="BZ172" s="52"/>
      <c r="CA172" s="52"/>
      <c r="CB172" s="52"/>
      <c r="CC172" s="52"/>
      <c r="CD172" s="52"/>
      <c r="CE172" s="52"/>
      <c r="CF172" s="52"/>
      <c r="CG172" s="52"/>
      <c r="CH172" s="52"/>
      <c r="CI172" s="52"/>
      <c r="CJ172" s="52"/>
      <c r="CK172" s="52"/>
      <c r="CL172" s="52"/>
      <c r="CM172" s="52"/>
      <c r="CN172" s="52"/>
      <c r="CO172" s="52"/>
      <c r="CP172" s="52"/>
      <c r="CQ172" s="52"/>
      <c r="CR172" s="52"/>
      <c r="CS172" s="52"/>
      <c r="CT172" s="52"/>
      <c r="CU172" s="52"/>
      <c r="CV172" s="52"/>
      <c r="CW172" s="52"/>
      <c r="CX172" s="52"/>
      <c r="CY172" s="52"/>
      <c r="CZ172" s="52"/>
      <c r="DA172" s="52"/>
      <c r="DB172" s="52"/>
      <c r="DC172" s="52"/>
      <c r="DD172" s="52"/>
      <c r="DE172" s="52"/>
      <c r="DF172" s="52"/>
      <c r="DG172" s="52"/>
      <c r="DH172" s="52"/>
      <c r="DI172" s="52"/>
      <c r="DJ172" s="52"/>
      <c r="DK172" s="52"/>
      <c r="DL172" s="52"/>
      <c r="DM172" s="52"/>
      <c r="DN172" s="52"/>
      <c r="DO172" s="52"/>
      <c r="DP172" s="52"/>
      <c r="DQ172" s="52"/>
      <c r="DR172" s="52"/>
      <c r="DS172" s="52"/>
      <c r="DT172" s="52"/>
      <c r="DU172" s="52"/>
      <c r="DV172" s="52"/>
      <c r="DW172" s="52"/>
      <c r="DX172" s="52"/>
      <c r="DY172" s="52"/>
      <c r="DZ172" s="52"/>
      <c r="EA172" s="52"/>
      <c r="EB172" s="52"/>
      <c r="EC172" s="52"/>
      <c r="ED172" s="52"/>
      <c r="EE172" s="52"/>
      <c r="EF172" s="52"/>
      <c r="EG172" s="52"/>
      <c r="EH172" s="52"/>
      <c r="EI172" s="52"/>
      <c r="EJ172" s="52"/>
      <c r="EK172" s="52"/>
      <c r="EL172" s="52"/>
      <c r="EM172" s="52"/>
      <c r="EN172" s="52"/>
      <c r="EO172" s="52"/>
      <c r="EP172" s="52"/>
      <c r="EQ172" s="52"/>
      <c r="ER172" s="52"/>
      <c r="ES172" s="52"/>
      <c r="ET172" s="52"/>
      <c r="EU172" s="52"/>
      <c r="EV172" s="52"/>
      <c r="EW172" s="52"/>
      <c r="EX172" s="52"/>
      <c r="EY172" s="52"/>
      <c r="EZ172" s="52"/>
      <c r="FA172" s="52"/>
      <c r="FB172" s="52"/>
      <c r="FC172" s="52"/>
      <c r="FD172" s="52"/>
      <c r="FE172" s="52"/>
      <c r="FF172" s="52"/>
      <c r="FG172" s="52"/>
      <c r="FH172" s="52"/>
      <c r="FI172" s="52"/>
      <c r="FJ172" s="52"/>
      <c r="FK172" s="52"/>
      <c r="FL172" s="52"/>
      <c r="FM172" s="52"/>
      <c r="FN172" s="52"/>
      <c r="FO172" s="52"/>
      <c r="FP172" s="52"/>
      <c r="FQ172" s="52"/>
      <c r="FR172" s="52"/>
      <c r="FS172" s="52"/>
      <c r="FT172" s="52"/>
      <c r="FU172" s="52"/>
      <c r="FV172" s="52"/>
      <c r="FW172" s="52"/>
      <c r="FX172" s="52"/>
    </row>
    <row r="173" ht="15.75" customHeight="1">
      <c r="A173" s="27"/>
      <c r="B173" s="27"/>
      <c r="C173" s="51"/>
      <c r="D173" s="51"/>
      <c r="E173" s="313"/>
      <c r="F173" s="35"/>
      <c r="G173" s="35"/>
      <c r="H173" s="35"/>
      <c r="I173" s="26"/>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c r="BY173" s="52"/>
      <c r="BZ173" s="52"/>
      <c r="CA173" s="52"/>
      <c r="CB173" s="52"/>
      <c r="CC173" s="52"/>
      <c r="CD173" s="52"/>
      <c r="CE173" s="52"/>
      <c r="CF173" s="52"/>
      <c r="CG173" s="52"/>
      <c r="CH173" s="52"/>
      <c r="CI173" s="52"/>
      <c r="CJ173" s="52"/>
      <c r="CK173" s="52"/>
      <c r="CL173" s="52"/>
      <c r="CM173" s="52"/>
      <c r="CN173" s="52"/>
      <c r="CO173" s="52"/>
      <c r="CP173" s="52"/>
      <c r="CQ173" s="52"/>
      <c r="CR173" s="52"/>
      <c r="CS173" s="52"/>
      <c r="CT173" s="52"/>
      <c r="CU173" s="52"/>
      <c r="CV173" s="52"/>
      <c r="CW173" s="52"/>
      <c r="CX173" s="52"/>
      <c r="CY173" s="52"/>
      <c r="CZ173" s="52"/>
      <c r="DA173" s="52"/>
      <c r="DB173" s="52"/>
      <c r="DC173" s="52"/>
      <c r="DD173" s="52"/>
      <c r="DE173" s="52"/>
      <c r="DF173" s="52"/>
      <c r="DG173" s="52"/>
      <c r="DH173" s="52"/>
      <c r="DI173" s="52"/>
      <c r="DJ173" s="52"/>
      <c r="DK173" s="52"/>
      <c r="DL173" s="52"/>
      <c r="DM173" s="52"/>
      <c r="DN173" s="52"/>
      <c r="DO173" s="52"/>
      <c r="DP173" s="52"/>
      <c r="DQ173" s="52"/>
      <c r="DR173" s="52"/>
      <c r="DS173" s="52"/>
      <c r="DT173" s="52"/>
      <c r="DU173" s="52"/>
      <c r="DV173" s="52"/>
      <c r="DW173" s="52"/>
      <c r="DX173" s="52"/>
      <c r="DY173" s="52"/>
      <c r="DZ173" s="52"/>
      <c r="EA173" s="52"/>
      <c r="EB173" s="52"/>
      <c r="EC173" s="52"/>
      <c r="ED173" s="52"/>
      <c r="EE173" s="52"/>
      <c r="EF173" s="52"/>
      <c r="EG173" s="52"/>
      <c r="EH173" s="52"/>
      <c r="EI173" s="52"/>
      <c r="EJ173" s="52"/>
      <c r="EK173" s="52"/>
      <c r="EL173" s="52"/>
      <c r="EM173" s="52"/>
      <c r="EN173" s="52"/>
      <c r="EO173" s="52"/>
      <c r="EP173" s="52"/>
      <c r="EQ173" s="52"/>
      <c r="ER173" s="52"/>
      <c r="ES173" s="52"/>
      <c r="ET173" s="52"/>
      <c r="EU173" s="52"/>
      <c r="EV173" s="52"/>
      <c r="EW173" s="52"/>
      <c r="EX173" s="52"/>
      <c r="EY173" s="52"/>
      <c r="EZ173" s="52"/>
      <c r="FA173" s="52"/>
      <c r="FB173" s="52"/>
      <c r="FC173" s="52"/>
      <c r="FD173" s="52"/>
      <c r="FE173" s="52"/>
      <c r="FF173" s="52"/>
      <c r="FG173" s="52"/>
      <c r="FH173" s="52"/>
      <c r="FI173" s="52"/>
      <c r="FJ173" s="52"/>
      <c r="FK173" s="52"/>
      <c r="FL173" s="52"/>
      <c r="FM173" s="52"/>
      <c r="FN173" s="52"/>
      <c r="FO173" s="52"/>
      <c r="FP173" s="52"/>
      <c r="FQ173" s="52"/>
      <c r="FR173" s="52"/>
      <c r="FS173" s="52"/>
      <c r="FT173" s="52"/>
      <c r="FU173" s="52"/>
      <c r="FV173" s="52"/>
      <c r="FW173" s="52"/>
      <c r="FX173" s="52"/>
    </row>
    <row r="174" ht="15.75" customHeight="1">
      <c r="A174" s="27"/>
      <c r="B174" s="27"/>
      <c r="C174" s="51"/>
      <c r="D174" s="51"/>
      <c r="E174" s="313"/>
      <c r="F174" s="35"/>
      <c r="G174" s="35"/>
      <c r="H174" s="35"/>
      <c r="I174" s="26"/>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c r="BT174" s="52"/>
      <c r="BU174" s="52"/>
      <c r="BV174" s="52"/>
      <c r="BW174" s="52"/>
      <c r="BX174" s="52"/>
      <c r="BY174" s="52"/>
      <c r="BZ174" s="52"/>
      <c r="CA174" s="52"/>
      <c r="CB174" s="52"/>
      <c r="CC174" s="52"/>
      <c r="CD174" s="52"/>
      <c r="CE174" s="52"/>
      <c r="CF174" s="52"/>
      <c r="CG174" s="52"/>
      <c r="CH174" s="52"/>
      <c r="CI174" s="52"/>
      <c r="CJ174" s="52"/>
      <c r="CK174" s="52"/>
      <c r="CL174" s="52"/>
      <c r="CM174" s="52"/>
      <c r="CN174" s="52"/>
      <c r="CO174" s="52"/>
      <c r="CP174" s="52"/>
      <c r="CQ174" s="52"/>
      <c r="CR174" s="52"/>
      <c r="CS174" s="52"/>
      <c r="CT174" s="52"/>
      <c r="CU174" s="52"/>
      <c r="CV174" s="52"/>
      <c r="CW174" s="52"/>
      <c r="CX174" s="52"/>
      <c r="CY174" s="52"/>
      <c r="CZ174" s="52"/>
      <c r="DA174" s="52"/>
      <c r="DB174" s="52"/>
      <c r="DC174" s="52"/>
      <c r="DD174" s="52"/>
      <c r="DE174" s="52"/>
      <c r="DF174" s="52"/>
      <c r="DG174" s="52"/>
      <c r="DH174" s="52"/>
      <c r="DI174" s="52"/>
      <c r="DJ174" s="52"/>
      <c r="DK174" s="52"/>
      <c r="DL174" s="52"/>
      <c r="DM174" s="52"/>
      <c r="DN174" s="52"/>
      <c r="DO174" s="52"/>
      <c r="DP174" s="52"/>
      <c r="DQ174" s="52"/>
      <c r="DR174" s="52"/>
      <c r="DS174" s="52"/>
      <c r="DT174" s="52"/>
      <c r="DU174" s="52"/>
      <c r="DV174" s="52"/>
      <c r="DW174" s="52"/>
      <c r="DX174" s="52"/>
      <c r="DY174" s="52"/>
      <c r="DZ174" s="52"/>
      <c r="EA174" s="52"/>
      <c r="EB174" s="52"/>
      <c r="EC174" s="52"/>
      <c r="ED174" s="52"/>
      <c r="EE174" s="52"/>
      <c r="EF174" s="52"/>
      <c r="EG174" s="52"/>
      <c r="EH174" s="52"/>
      <c r="EI174" s="52"/>
      <c r="EJ174" s="52"/>
      <c r="EK174" s="52"/>
      <c r="EL174" s="52"/>
      <c r="EM174" s="52"/>
      <c r="EN174" s="52"/>
      <c r="EO174" s="52"/>
      <c r="EP174" s="52"/>
      <c r="EQ174" s="52"/>
      <c r="ER174" s="52"/>
      <c r="ES174" s="52"/>
      <c r="ET174" s="52"/>
      <c r="EU174" s="52"/>
      <c r="EV174" s="52"/>
      <c r="EW174" s="52"/>
      <c r="EX174" s="52"/>
      <c r="EY174" s="52"/>
      <c r="EZ174" s="52"/>
      <c r="FA174" s="52"/>
      <c r="FB174" s="52"/>
      <c r="FC174" s="52"/>
      <c r="FD174" s="52"/>
      <c r="FE174" s="52"/>
      <c r="FF174" s="52"/>
      <c r="FG174" s="52"/>
      <c r="FH174" s="52"/>
      <c r="FI174" s="52"/>
      <c r="FJ174" s="52"/>
      <c r="FK174" s="52"/>
      <c r="FL174" s="52"/>
      <c r="FM174" s="52"/>
      <c r="FN174" s="52"/>
      <c r="FO174" s="52"/>
      <c r="FP174" s="52"/>
      <c r="FQ174" s="52"/>
      <c r="FR174" s="52"/>
      <c r="FS174" s="52"/>
      <c r="FT174" s="52"/>
      <c r="FU174" s="52"/>
      <c r="FV174" s="52"/>
      <c r="FW174" s="52"/>
      <c r="FX174" s="52"/>
    </row>
    <row r="175" ht="15.75" customHeight="1">
      <c r="A175" s="27"/>
      <c r="B175" s="27"/>
      <c r="C175" s="51"/>
      <c r="D175" s="51"/>
      <c r="E175" s="313"/>
      <c r="F175" s="35"/>
      <c r="G175" s="35"/>
      <c r="H175" s="35"/>
      <c r="I175" s="26"/>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c r="BY175" s="52"/>
      <c r="BZ175" s="52"/>
      <c r="CA175" s="52"/>
      <c r="CB175" s="52"/>
      <c r="CC175" s="52"/>
      <c r="CD175" s="52"/>
      <c r="CE175" s="52"/>
      <c r="CF175" s="52"/>
      <c r="CG175" s="52"/>
      <c r="CH175" s="52"/>
      <c r="CI175" s="52"/>
      <c r="CJ175" s="52"/>
      <c r="CK175" s="52"/>
      <c r="CL175" s="52"/>
      <c r="CM175" s="52"/>
      <c r="CN175" s="52"/>
      <c r="CO175" s="52"/>
      <c r="CP175" s="52"/>
      <c r="CQ175" s="52"/>
      <c r="CR175" s="52"/>
      <c r="CS175" s="52"/>
      <c r="CT175" s="52"/>
      <c r="CU175" s="52"/>
      <c r="CV175" s="52"/>
      <c r="CW175" s="52"/>
      <c r="CX175" s="52"/>
      <c r="CY175" s="52"/>
      <c r="CZ175" s="52"/>
      <c r="DA175" s="52"/>
      <c r="DB175" s="52"/>
      <c r="DC175" s="52"/>
      <c r="DD175" s="52"/>
      <c r="DE175" s="52"/>
      <c r="DF175" s="52"/>
      <c r="DG175" s="52"/>
      <c r="DH175" s="52"/>
      <c r="DI175" s="52"/>
      <c r="DJ175" s="52"/>
      <c r="DK175" s="52"/>
      <c r="DL175" s="52"/>
      <c r="DM175" s="52"/>
      <c r="DN175" s="52"/>
      <c r="DO175" s="52"/>
      <c r="DP175" s="52"/>
      <c r="DQ175" s="52"/>
      <c r="DR175" s="52"/>
      <c r="DS175" s="52"/>
      <c r="DT175" s="52"/>
      <c r="DU175" s="52"/>
      <c r="DV175" s="52"/>
      <c r="DW175" s="52"/>
      <c r="DX175" s="52"/>
      <c r="DY175" s="52"/>
      <c r="DZ175" s="52"/>
      <c r="EA175" s="52"/>
      <c r="EB175" s="52"/>
      <c r="EC175" s="52"/>
      <c r="ED175" s="52"/>
      <c r="EE175" s="52"/>
      <c r="EF175" s="52"/>
      <c r="EG175" s="52"/>
      <c r="EH175" s="52"/>
      <c r="EI175" s="52"/>
      <c r="EJ175" s="52"/>
      <c r="EK175" s="52"/>
      <c r="EL175" s="52"/>
      <c r="EM175" s="52"/>
      <c r="EN175" s="52"/>
      <c r="EO175" s="52"/>
      <c r="EP175" s="52"/>
      <c r="EQ175" s="52"/>
      <c r="ER175" s="52"/>
      <c r="ES175" s="52"/>
      <c r="ET175" s="52"/>
      <c r="EU175" s="52"/>
      <c r="EV175" s="52"/>
      <c r="EW175" s="52"/>
      <c r="EX175" s="52"/>
      <c r="EY175" s="52"/>
      <c r="EZ175" s="52"/>
      <c r="FA175" s="52"/>
      <c r="FB175" s="52"/>
      <c r="FC175" s="52"/>
      <c r="FD175" s="52"/>
      <c r="FE175" s="52"/>
      <c r="FF175" s="52"/>
      <c r="FG175" s="52"/>
      <c r="FH175" s="52"/>
      <c r="FI175" s="52"/>
      <c r="FJ175" s="52"/>
      <c r="FK175" s="52"/>
      <c r="FL175" s="52"/>
      <c r="FM175" s="52"/>
      <c r="FN175" s="52"/>
      <c r="FO175" s="52"/>
      <c r="FP175" s="52"/>
      <c r="FQ175" s="52"/>
      <c r="FR175" s="52"/>
      <c r="FS175" s="52"/>
      <c r="FT175" s="52"/>
      <c r="FU175" s="52"/>
      <c r="FV175" s="52"/>
      <c r="FW175" s="52"/>
      <c r="FX175" s="52"/>
    </row>
    <row r="176" ht="15.75" customHeight="1">
      <c r="A176" s="27"/>
      <c r="B176" s="27"/>
      <c r="C176" s="51"/>
      <c r="D176" s="51"/>
      <c r="E176" s="313"/>
      <c r="F176" s="35"/>
      <c r="G176" s="35"/>
      <c r="H176" s="35"/>
      <c r="I176" s="26"/>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c r="BY176" s="52"/>
      <c r="BZ176" s="52"/>
      <c r="CA176" s="52"/>
      <c r="CB176" s="52"/>
      <c r="CC176" s="52"/>
      <c r="CD176" s="52"/>
      <c r="CE176" s="52"/>
      <c r="CF176" s="52"/>
      <c r="CG176" s="52"/>
      <c r="CH176" s="52"/>
      <c r="CI176" s="52"/>
      <c r="CJ176" s="52"/>
      <c r="CK176" s="52"/>
      <c r="CL176" s="52"/>
      <c r="CM176" s="52"/>
      <c r="CN176" s="52"/>
      <c r="CO176" s="52"/>
      <c r="CP176" s="52"/>
      <c r="CQ176" s="52"/>
      <c r="CR176" s="52"/>
      <c r="CS176" s="52"/>
      <c r="CT176" s="52"/>
      <c r="CU176" s="52"/>
      <c r="CV176" s="52"/>
      <c r="CW176" s="52"/>
      <c r="CX176" s="52"/>
      <c r="CY176" s="52"/>
      <c r="CZ176" s="52"/>
      <c r="DA176" s="52"/>
      <c r="DB176" s="52"/>
      <c r="DC176" s="52"/>
      <c r="DD176" s="52"/>
      <c r="DE176" s="52"/>
      <c r="DF176" s="52"/>
      <c r="DG176" s="52"/>
      <c r="DH176" s="52"/>
      <c r="DI176" s="52"/>
      <c r="DJ176" s="52"/>
      <c r="DK176" s="52"/>
      <c r="DL176" s="52"/>
      <c r="DM176" s="52"/>
      <c r="DN176" s="52"/>
      <c r="DO176" s="52"/>
      <c r="DP176" s="52"/>
      <c r="DQ176" s="52"/>
      <c r="DR176" s="52"/>
      <c r="DS176" s="52"/>
      <c r="DT176" s="52"/>
      <c r="DU176" s="52"/>
      <c r="DV176" s="52"/>
      <c r="DW176" s="52"/>
      <c r="DX176" s="52"/>
      <c r="DY176" s="52"/>
      <c r="DZ176" s="52"/>
      <c r="EA176" s="52"/>
      <c r="EB176" s="52"/>
      <c r="EC176" s="52"/>
      <c r="ED176" s="52"/>
      <c r="EE176" s="52"/>
      <c r="EF176" s="52"/>
      <c r="EG176" s="52"/>
      <c r="EH176" s="52"/>
      <c r="EI176" s="52"/>
      <c r="EJ176" s="52"/>
      <c r="EK176" s="52"/>
      <c r="EL176" s="52"/>
      <c r="EM176" s="52"/>
      <c r="EN176" s="52"/>
      <c r="EO176" s="52"/>
      <c r="EP176" s="52"/>
      <c r="EQ176" s="52"/>
      <c r="ER176" s="52"/>
      <c r="ES176" s="52"/>
      <c r="ET176" s="52"/>
      <c r="EU176" s="52"/>
      <c r="EV176" s="52"/>
      <c r="EW176" s="52"/>
      <c r="EX176" s="52"/>
      <c r="EY176" s="52"/>
      <c r="EZ176" s="52"/>
      <c r="FA176" s="52"/>
      <c r="FB176" s="52"/>
      <c r="FC176" s="52"/>
      <c r="FD176" s="52"/>
      <c r="FE176" s="52"/>
      <c r="FF176" s="52"/>
      <c r="FG176" s="52"/>
      <c r="FH176" s="52"/>
      <c r="FI176" s="52"/>
      <c r="FJ176" s="52"/>
      <c r="FK176" s="52"/>
      <c r="FL176" s="52"/>
      <c r="FM176" s="52"/>
      <c r="FN176" s="52"/>
      <c r="FO176" s="52"/>
      <c r="FP176" s="52"/>
      <c r="FQ176" s="52"/>
      <c r="FR176" s="52"/>
      <c r="FS176" s="52"/>
      <c r="FT176" s="52"/>
      <c r="FU176" s="52"/>
      <c r="FV176" s="52"/>
      <c r="FW176" s="52"/>
      <c r="FX176" s="52"/>
    </row>
    <row r="177" ht="15.75" customHeight="1">
      <c r="A177" s="27"/>
      <c r="B177" s="27"/>
      <c r="C177" s="51"/>
      <c r="D177" s="51"/>
      <c r="E177" s="313"/>
      <c r="F177" s="35"/>
      <c r="G177" s="35"/>
      <c r="H177" s="35"/>
      <c r="I177" s="26"/>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c r="BY177" s="52"/>
      <c r="BZ177" s="52"/>
      <c r="CA177" s="52"/>
      <c r="CB177" s="52"/>
      <c r="CC177" s="52"/>
      <c r="CD177" s="52"/>
      <c r="CE177" s="52"/>
      <c r="CF177" s="52"/>
      <c r="CG177" s="52"/>
      <c r="CH177" s="52"/>
      <c r="CI177" s="52"/>
      <c r="CJ177" s="52"/>
      <c r="CK177" s="52"/>
      <c r="CL177" s="52"/>
      <c r="CM177" s="52"/>
      <c r="CN177" s="52"/>
      <c r="CO177" s="52"/>
      <c r="CP177" s="52"/>
      <c r="CQ177" s="52"/>
      <c r="CR177" s="52"/>
      <c r="CS177" s="52"/>
      <c r="CT177" s="52"/>
      <c r="CU177" s="52"/>
      <c r="CV177" s="52"/>
      <c r="CW177" s="52"/>
      <c r="CX177" s="52"/>
      <c r="CY177" s="52"/>
      <c r="CZ177" s="52"/>
      <c r="DA177" s="52"/>
      <c r="DB177" s="52"/>
      <c r="DC177" s="52"/>
      <c r="DD177" s="52"/>
      <c r="DE177" s="52"/>
      <c r="DF177" s="52"/>
      <c r="DG177" s="52"/>
      <c r="DH177" s="52"/>
      <c r="DI177" s="52"/>
      <c r="DJ177" s="52"/>
      <c r="DK177" s="52"/>
      <c r="DL177" s="52"/>
      <c r="DM177" s="52"/>
      <c r="DN177" s="52"/>
      <c r="DO177" s="52"/>
      <c r="DP177" s="52"/>
      <c r="DQ177" s="52"/>
      <c r="DR177" s="52"/>
      <c r="DS177" s="52"/>
      <c r="DT177" s="52"/>
      <c r="DU177" s="52"/>
      <c r="DV177" s="52"/>
      <c r="DW177" s="52"/>
      <c r="DX177" s="52"/>
      <c r="DY177" s="52"/>
      <c r="DZ177" s="52"/>
      <c r="EA177" s="52"/>
      <c r="EB177" s="52"/>
      <c r="EC177" s="52"/>
      <c r="ED177" s="52"/>
      <c r="EE177" s="52"/>
      <c r="EF177" s="52"/>
      <c r="EG177" s="52"/>
      <c r="EH177" s="52"/>
      <c r="EI177" s="52"/>
      <c r="EJ177" s="52"/>
      <c r="EK177" s="52"/>
      <c r="EL177" s="52"/>
      <c r="EM177" s="52"/>
      <c r="EN177" s="52"/>
      <c r="EO177" s="52"/>
      <c r="EP177" s="52"/>
      <c r="EQ177" s="52"/>
      <c r="ER177" s="52"/>
      <c r="ES177" s="52"/>
      <c r="ET177" s="52"/>
      <c r="EU177" s="52"/>
      <c r="EV177" s="52"/>
      <c r="EW177" s="52"/>
      <c r="EX177" s="52"/>
      <c r="EY177" s="52"/>
      <c r="EZ177" s="52"/>
      <c r="FA177" s="52"/>
      <c r="FB177" s="52"/>
      <c r="FC177" s="52"/>
      <c r="FD177" s="52"/>
      <c r="FE177" s="52"/>
      <c r="FF177" s="52"/>
      <c r="FG177" s="52"/>
      <c r="FH177" s="52"/>
      <c r="FI177" s="52"/>
      <c r="FJ177" s="52"/>
      <c r="FK177" s="52"/>
      <c r="FL177" s="52"/>
      <c r="FM177" s="52"/>
      <c r="FN177" s="52"/>
      <c r="FO177" s="52"/>
      <c r="FP177" s="52"/>
      <c r="FQ177" s="52"/>
      <c r="FR177" s="52"/>
      <c r="FS177" s="52"/>
      <c r="FT177" s="52"/>
      <c r="FU177" s="52"/>
      <c r="FV177" s="52"/>
      <c r="FW177" s="52"/>
      <c r="FX177" s="52"/>
    </row>
    <row r="178" ht="15.75" customHeight="1">
      <c r="A178" s="27"/>
      <c r="B178" s="27"/>
      <c r="C178" s="51"/>
      <c r="D178" s="51"/>
      <c r="E178" s="313"/>
      <c r="F178" s="35"/>
      <c r="G178" s="35"/>
      <c r="H178" s="35"/>
      <c r="I178" s="26"/>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c r="BY178" s="52"/>
      <c r="BZ178" s="52"/>
      <c r="CA178" s="52"/>
      <c r="CB178" s="52"/>
      <c r="CC178" s="52"/>
      <c r="CD178" s="52"/>
      <c r="CE178" s="52"/>
      <c r="CF178" s="52"/>
      <c r="CG178" s="52"/>
      <c r="CH178" s="52"/>
      <c r="CI178" s="52"/>
      <c r="CJ178" s="52"/>
      <c r="CK178" s="52"/>
      <c r="CL178" s="52"/>
      <c r="CM178" s="52"/>
      <c r="CN178" s="52"/>
      <c r="CO178" s="52"/>
      <c r="CP178" s="52"/>
      <c r="CQ178" s="52"/>
      <c r="CR178" s="52"/>
      <c r="CS178" s="52"/>
      <c r="CT178" s="52"/>
      <c r="CU178" s="52"/>
      <c r="CV178" s="52"/>
      <c r="CW178" s="52"/>
      <c r="CX178" s="52"/>
      <c r="CY178" s="52"/>
      <c r="CZ178" s="52"/>
      <c r="DA178" s="52"/>
      <c r="DB178" s="52"/>
      <c r="DC178" s="52"/>
      <c r="DD178" s="52"/>
      <c r="DE178" s="52"/>
      <c r="DF178" s="52"/>
      <c r="DG178" s="52"/>
      <c r="DH178" s="52"/>
      <c r="DI178" s="52"/>
      <c r="DJ178" s="52"/>
      <c r="DK178" s="52"/>
      <c r="DL178" s="52"/>
      <c r="DM178" s="52"/>
      <c r="DN178" s="52"/>
      <c r="DO178" s="52"/>
      <c r="DP178" s="52"/>
      <c r="DQ178" s="52"/>
      <c r="DR178" s="52"/>
      <c r="DS178" s="52"/>
      <c r="DT178" s="52"/>
      <c r="DU178" s="52"/>
      <c r="DV178" s="52"/>
      <c r="DW178" s="52"/>
      <c r="DX178" s="52"/>
      <c r="DY178" s="52"/>
      <c r="DZ178" s="52"/>
      <c r="EA178" s="52"/>
      <c r="EB178" s="52"/>
      <c r="EC178" s="52"/>
      <c r="ED178" s="52"/>
      <c r="EE178" s="52"/>
      <c r="EF178" s="52"/>
      <c r="EG178" s="52"/>
      <c r="EH178" s="52"/>
      <c r="EI178" s="52"/>
      <c r="EJ178" s="52"/>
      <c r="EK178" s="52"/>
      <c r="EL178" s="52"/>
      <c r="EM178" s="52"/>
      <c r="EN178" s="52"/>
      <c r="EO178" s="52"/>
      <c r="EP178" s="52"/>
      <c r="EQ178" s="52"/>
      <c r="ER178" s="52"/>
      <c r="ES178" s="52"/>
      <c r="ET178" s="52"/>
      <c r="EU178" s="52"/>
      <c r="EV178" s="52"/>
      <c r="EW178" s="52"/>
      <c r="EX178" s="52"/>
      <c r="EY178" s="52"/>
      <c r="EZ178" s="52"/>
      <c r="FA178" s="52"/>
      <c r="FB178" s="52"/>
      <c r="FC178" s="52"/>
      <c r="FD178" s="52"/>
      <c r="FE178" s="52"/>
      <c r="FF178" s="52"/>
      <c r="FG178" s="52"/>
      <c r="FH178" s="52"/>
      <c r="FI178" s="52"/>
      <c r="FJ178" s="52"/>
      <c r="FK178" s="52"/>
      <c r="FL178" s="52"/>
      <c r="FM178" s="52"/>
      <c r="FN178" s="52"/>
      <c r="FO178" s="52"/>
      <c r="FP178" s="52"/>
      <c r="FQ178" s="52"/>
      <c r="FR178" s="52"/>
      <c r="FS178" s="52"/>
      <c r="FT178" s="52"/>
      <c r="FU178" s="52"/>
      <c r="FV178" s="52"/>
      <c r="FW178" s="52"/>
      <c r="FX178" s="52"/>
    </row>
    <row r="179" ht="15.75" customHeight="1">
      <c r="A179" s="27"/>
      <c r="B179" s="27"/>
      <c r="C179" s="51"/>
      <c r="D179" s="51"/>
      <c r="E179" s="313"/>
      <c r="F179" s="35"/>
      <c r="G179" s="35"/>
      <c r="H179" s="35"/>
      <c r="I179" s="26"/>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c r="BY179" s="52"/>
      <c r="BZ179" s="52"/>
      <c r="CA179" s="52"/>
      <c r="CB179" s="52"/>
      <c r="CC179" s="52"/>
      <c r="CD179" s="52"/>
      <c r="CE179" s="52"/>
      <c r="CF179" s="52"/>
      <c r="CG179" s="52"/>
      <c r="CH179" s="52"/>
      <c r="CI179" s="52"/>
      <c r="CJ179" s="52"/>
      <c r="CK179" s="52"/>
      <c r="CL179" s="52"/>
      <c r="CM179" s="52"/>
      <c r="CN179" s="52"/>
      <c r="CO179" s="52"/>
      <c r="CP179" s="52"/>
      <c r="CQ179" s="52"/>
      <c r="CR179" s="52"/>
      <c r="CS179" s="52"/>
      <c r="CT179" s="52"/>
      <c r="CU179" s="52"/>
      <c r="CV179" s="52"/>
      <c r="CW179" s="52"/>
      <c r="CX179" s="52"/>
      <c r="CY179" s="52"/>
      <c r="CZ179" s="52"/>
      <c r="DA179" s="52"/>
      <c r="DB179" s="52"/>
      <c r="DC179" s="52"/>
      <c r="DD179" s="52"/>
      <c r="DE179" s="52"/>
      <c r="DF179" s="52"/>
      <c r="DG179" s="52"/>
      <c r="DH179" s="52"/>
      <c r="DI179" s="52"/>
      <c r="DJ179" s="52"/>
      <c r="DK179" s="52"/>
      <c r="DL179" s="52"/>
      <c r="DM179" s="52"/>
      <c r="DN179" s="52"/>
      <c r="DO179" s="52"/>
      <c r="DP179" s="52"/>
      <c r="DQ179" s="52"/>
      <c r="DR179" s="52"/>
      <c r="DS179" s="52"/>
      <c r="DT179" s="52"/>
      <c r="DU179" s="52"/>
      <c r="DV179" s="52"/>
      <c r="DW179" s="52"/>
      <c r="DX179" s="52"/>
      <c r="DY179" s="52"/>
      <c r="DZ179" s="52"/>
      <c r="EA179" s="52"/>
      <c r="EB179" s="52"/>
      <c r="EC179" s="52"/>
      <c r="ED179" s="52"/>
      <c r="EE179" s="52"/>
      <c r="EF179" s="52"/>
      <c r="EG179" s="52"/>
      <c r="EH179" s="52"/>
      <c r="EI179" s="52"/>
      <c r="EJ179" s="52"/>
      <c r="EK179" s="52"/>
      <c r="EL179" s="52"/>
      <c r="EM179" s="52"/>
      <c r="EN179" s="52"/>
      <c r="EO179" s="52"/>
      <c r="EP179" s="52"/>
      <c r="EQ179" s="52"/>
      <c r="ER179" s="52"/>
      <c r="ES179" s="52"/>
      <c r="ET179" s="52"/>
      <c r="EU179" s="52"/>
      <c r="EV179" s="52"/>
      <c r="EW179" s="52"/>
      <c r="EX179" s="52"/>
      <c r="EY179" s="52"/>
      <c r="EZ179" s="52"/>
      <c r="FA179" s="52"/>
      <c r="FB179" s="52"/>
      <c r="FC179" s="52"/>
      <c r="FD179" s="52"/>
      <c r="FE179" s="52"/>
      <c r="FF179" s="52"/>
      <c r="FG179" s="52"/>
      <c r="FH179" s="52"/>
      <c r="FI179" s="52"/>
      <c r="FJ179" s="52"/>
      <c r="FK179" s="52"/>
      <c r="FL179" s="52"/>
      <c r="FM179" s="52"/>
      <c r="FN179" s="52"/>
      <c r="FO179" s="52"/>
      <c r="FP179" s="52"/>
      <c r="FQ179" s="52"/>
      <c r="FR179" s="52"/>
      <c r="FS179" s="52"/>
      <c r="FT179" s="52"/>
      <c r="FU179" s="52"/>
      <c r="FV179" s="52"/>
      <c r="FW179" s="52"/>
      <c r="FX179" s="52"/>
    </row>
    <row r="180" ht="15.75" customHeight="1">
      <c r="A180" s="27"/>
      <c r="B180" s="27"/>
      <c r="C180" s="51"/>
      <c r="D180" s="51"/>
      <c r="E180" s="313"/>
      <c r="F180" s="35"/>
      <c r="G180" s="35"/>
      <c r="H180" s="35"/>
      <c r="I180" s="26"/>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c r="BY180" s="52"/>
      <c r="BZ180" s="52"/>
      <c r="CA180" s="52"/>
      <c r="CB180" s="52"/>
      <c r="CC180" s="52"/>
      <c r="CD180" s="52"/>
      <c r="CE180" s="52"/>
      <c r="CF180" s="52"/>
      <c r="CG180" s="52"/>
      <c r="CH180" s="52"/>
      <c r="CI180" s="52"/>
      <c r="CJ180" s="52"/>
      <c r="CK180" s="52"/>
      <c r="CL180" s="52"/>
      <c r="CM180" s="52"/>
      <c r="CN180" s="52"/>
      <c r="CO180" s="52"/>
      <c r="CP180" s="52"/>
      <c r="CQ180" s="52"/>
      <c r="CR180" s="52"/>
      <c r="CS180" s="52"/>
      <c r="CT180" s="52"/>
      <c r="CU180" s="52"/>
      <c r="CV180" s="52"/>
      <c r="CW180" s="52"/>
      <c r="CX180" s="52"/>
      <c r="CY180" s="52"/>
      <c r="CZ180" s="52"/>
      <c r="DA180" s="52"/>
      <c r="DB180" s="52"/>
      <c r="DC180" s="52"/>
      <c r="DD180" s="52"/>
      <c r="DE180" s="52"/>
      <c r="DF180" s="52"/>
      <c r="DG180" s="52"/>
      <c r="DH180" s="52"/>
      <c r="DI180" s="52"/>
      <c r="DJ180" s="52"/>
      <c r="DK180" s="52"/>
      <c r="DL180" s="52"/>
      <c r="DM180" s="52"/>
      <c r="DN180" s="52"/>
      <c r="DO180" s="52"/>
      <c r="DP180" s="52"/>
      <c r="DQ180" s="52"/>
      <c r="DR180" s="52"/>
      <c r="DS180" s="52"/>
      <c r="DT180" s="52"/>
      <c r="DU180" s="52"/>
      <c r="DV180" s="52"/>
      <c r="DW180" s="52"/>
      <c r="DX180" s="52"/>
      <c r="DY180" s="52"/>
      <c r="DZ180" s="52"/>
      <c r="EA180" s="52"/>
      <c r="EB180" s="52"/>
      <c r="EC180" s="52"/>
      <c r="ED180" s="52"/>
      <c r="EE180" s="52"/>
      <c r="EF180" s="52"/>
      <c r="EG180" s="52"/>
      <c r="EH180" s="52"/>
      <c r="EI180" s="52"/>
      <c r="EJ180" s="52"/>
      <c r="EK180" s="52"/>
      <c r="EL180" s="52"/>
      <c r="EM180" s="52"/>
      <c r="EN180" s="52"/>
      <c r="EO180" s="52"/>
      <c r="EP180" s="52"/>
      <c r="EQ180" s="52"/>
      <c r="ER180" s="52"/>
      <c r="ES180" s="52"/>
      <c r="ET180" s="52"/>
      <c r="EU180" s="52"/>
      <c r="EV180" s="52"/>
      <c r="EW180" s="52"/>
      <c r="EX180" s="52"/>
      <c r="EY180" s="52"/>
      <c r="EZ180" s="52"/>
      <c r="FA180" s="52"/>
      <c r="FB180" s="52"/>
      <c r="FC180" s="52"/>
      <c r="FD180" s="52"/>
      <c r="FE180" s="52"/>
      <c r="FF180" s="52"/>
      <c r="FG180" s="52"/>
      <c r="FH180" s="52"/>
      <c r="FI180" s="52"/>
      <c r="FJ180" s="52"/>
      <c r="FK180" s="52"/>
      <c r="FL180" s="52"/>
      <c r="FM180" s="52"/>
      <c r="FN180" s="52"/>
      <c r="FO180" s="52"/>
      <c r="FP180" s="52"/>
      <c r="FQ180" s="52"/>
      <c r="FR180" s="52"/>
      <c r="FS180" s="52"/>
      <c r="FT180" s="52"/>
      <c r="FU180" s="52"/>
      <c r="FV180" s="52"/>
      <c r="FW180" s="52"/>
      <c r="FX180" s="52"/>
    </row>
    <row r="181" ht="15.75" customHeight="1">
      <c r="A181" s="27"/>
      <c r="B181" s="27"/>
      <c r="C181" s="51"/>
      <c r="D181" s="51"/>
      <c r="E181" s="313"/>
      <c r="F181" s="35"/>
      <c r="G181" s="35"/>
      <c r="H181" s="35"/>
      <c r="I181" s="26"/>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c r="BY181" s="52"/>
      <c r="BZ181" s="52"/>
      <c r="CA181" s="52"/>
      <c r="CB181" s="52"/>
      <c r="CC181" s="52"/>
      <c r="CD181" s="52"/>
      <c r="CE181" s="52"/>
      <c r="CF181" s="52"/>
      <c r="CG181" s="52"/>
      <c r="CH181" s="52"/>
      <c r="CI181" s="52"/>
      <c r="CJ181" s="52"/>
      <c r="CK181" s="52"/>
      <c r="CL181" s="52"/>
      <c r="CM181" s="52"/>
      <c r="CN181" s="52"/>
      <c r="CO181" s="52"/>
      <c r="CP181" s="52"/>
      <c r="CQ181" s="52"/>
      <c r="CR181" s="52"/>
      <c r="CS181" s="52"/>
      <c r="CT181" s="52"/>
      <c r="CU181" s="52"/>
      <c r="CV181" s="52"/>
      <c r="CW181" s="52"/>
      <c r="CX181" s="52"/>
      <c r="CY181" s="52"/>
      <c r="CZ181" s="52"/>
      <c r="DA181" s="52"/>
      <c r="DB181" s="52"/>
      <c r="DC181" s="52"/>
      <c r="DD181" s="52"/>
      <c r="DE181" s="52"/>
      <c r="DF181" s="52"/>
      <c r="DG181" s="52"/>
      <c r="DH181" s="52"/>
      <c r="DI181" s="52"/>
      <c r="DJ181" s="52"/>
      <c r="DK181" s="52"/>
      <c r="DL181" s="52"/>
      <c r="DM181" s="52"/>
      <c r="DN181" s="52"/>
      <c r="DO181" s="52"/>
      <c r="DP181" s="52"/>
      <c r="DQ181" s="52"/>
      <c r="DR181" s="52"/>
      <c r="DS181" s="52"/>
      <c r="DT181" s="52"/>
      <c r="DU181" s="52"/>
      <c r="DV181" s="52"/>
      <c r="DW181" s="52"/>
      <c r="DX181" s="52"/>
      <c r="DY181" s="52"/>
      <c r="DZ181" s="52"/>
      <c r="EA181" s="52"/>
      <c r="EB181" s="52"/>
      <c r="EC181" s="52"/>
      <c r="ED181" s="52"/>
      <c r="EE181" s="52"/>
      <c r="EF181" s="52"/>
      <c r="EG181" s="52"/>
      <c r="EH181" s="52"/>
      <c r="EI181" s="52"/>
      <c r="EJ181" s="52"/>
      <c r="EK181" s="52"/>
      <c r="EL181" s="52"/>
      <c r="EM181" s="52"/>
      <c r="EN181" s="52"/>
      <c r="EO181" s="52"/>
      <c r="EP181" s="52"/>
      <c r="EQ181" s="52"/>
      <c r="ER181" s="52"/>
      <c r="ES181" s="52"/>
      <c r="ET181" s="52"/>
      <c r="EU181" s="52"/>
      <c r="EV181" s="52"/>
      <c r="EW181" s="52"/>
      <c r="EX181" s="52"/>
      <c r="EY181" s="52"/>
      <c r="EZ181" s="52"/>
      <c r="FA181" s="52"/>
      <c r="FB181" s="52"/>
      <c r="FC181" s="52"/>
      <c r="FD181" s="52"/>
      <c r="FE181" s="52"/>
      <c r="FF181" s="52"/>
      <c r="FG181" s="52"/>
      <c r="FH181" s="52"/>
      <c r="FI181" s="52"/>
      <c r="FJ181" s="52"/>
      <c r="FK181" s="52"/>
      <c r="FL181" s="52"/>
      <c r="FM181" s="52"/>
      <c r="FN181" s="52"/>
      <c r="FO181" s="52"/>
      <c r="FP181" s="52"/>
      <c r="FQ181" s="52"/>
      <c r="FR181" s="52"/>
      <c r="FS181" s="52"/>
      <c r="FT181" s="52"/>
      <c r="FU181" s="52"/>
      <c r="FV181" s="52"/>
      <c r="FW181" s="52"/>
      <c r="FX181" s="52"/>
    </row>
    <row r="182" ht="15.75" customHeight="1">
      <c r="A182" s="27"/>
      <c r="B182" s="27"/>
      <c r="C182" s="51"/>
      <c r="D182" s="51"/>
      <c r="E182" s="313"/>
      <c r="F182" s="35"/>
      <c r="G182" s="35"/>
      <c r="H182" s="35"/>
      <c r="I182" s="26"/>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c r="BY182" s="52"/>
      <c r="BZ182" s="52"/>
      <c r="CA182" s="52"/>
      <c r="CB182" s="52"/>
      <c r="CC182" s="52"/>
      <c r="CD182" s="52"/>
      <c r="CE182" s="52"/>
      <c r="CF182" s="52"/>
      <c r="CG182" s="52"/>
      <c r="CH182" s="52"/>
      <c r="CI182" s="52"/>
      <c r="CJ182" s="52"/>
      <c r="CK182" s="52"/>
      <c r="CL182" s="52"/>
      <c r="CM182" s="52"/>
      <c r="CN182" s="52"/>
      <c r="CO182" s="52"/>
      <c r="CP182" s="52"/>
      <c r="CQ182" s="52"/>
      <c r="CR182" s="52"/>
      <c r="CS182" s="52"/>
      <c r="CT182" s="52"/>
      <c r="CU182" s="52"/>
      <c r="CV182" s="52"/>
      <c r="CW182" s="52"/>
      <c r="CX182" s="52"/>
      <c r="CY182" s="52"/>
      <c r="CZ182" s="52"/>
      <c r="DA182" s="52"/>
      <c r="DB182" s="52"/>
      <c r="DC182" s="52"/>
      <c r="DD182" s="52"/>
      <c r="DE182" s="52"/>
      <c r="DF182" s="52"/>
      <c r="DG182" s="52"/>
      <c r="DH182" s="52"/>
      <c r="DI182" s="52"/>
      <c r="DJ182" s="52"/>
      <c r="DK182" s="52"/>
      <c r="DL182" s="52"/>
      <c r="DM182" s="52"/>
      <c r="DN182" s="52"/>
      <c r="DO182" s="52"/>
      <c r="DP182" s="52"/>
      <c r="DQ182" s="52"/>
      <c r="DR182" s="52"/>
      <c r="DS182" s="52"/>
      <c r="DT182" s="52"/>
      <c r="DU182" s="52"/>
      <c r="DV182" s="52"/>
      <c r="DW182" s="52"/>
      <c r="DX182" s="52"/>
      <c r="DY182" s="52"/>
      <c r="DZ182" s="52"/>
      <c r="EA182" s="52"/>
      <c r="EB182" s="52"/>
      <c r="EC182" s="52"/>
      <c r="ED182" s="52"/>
      <c r="EE182" s="52"/>
      <c r="EF182" s="52"/>
      <c r="EG182" s="52"/>
      <c r="EH182" s="52"/>
      <c r="EI182" s="52"/>
      <c r="EJ182" s="52"/>
      <c r="EK182" s="52"/>
      <c r="EL182" s="52"/>
      <c r="EM182" s="52"/>
      <c r="EN182" s="52"/>
      <c r="EO182" s="52"/>
      <c r="EP182" s="52"/>
      <c r="EQ182" s="52"/>
      <c r="ER182" s="52"/>
      <c r="ES182" s="52"/>
      <c r="ET182" s="52"/>
      <c r="EU182" s="52"/>
      <c r="EV182" s="52"/>
      <c r="EW182" s="52"/>
      <c r="EX182" s="52"/>
      <c r="EY182" s="52"/>
      <c r="EZ182" s="52"/>
      <c r="FA182" s="52"/>
      <c r="FB182" s="52"/>
      <c r="FC182" s="52"/>
      <c r="FD182" s="52"/>
      <c r="FE182" s="52"/>
      <c r="FF182" s="52"/>
      <c r="FG182" s="52"/>
      <c r="FH182" s="52"/>
      <c r="FI182" s="52"/>
      <c r="FJ182" s="52"/>
      <c r="FK182" s="52"/>
      <c r="FL182" s="52"/>
      <c r="FM182" s="52"/>
      <c r="FN182" s="52"/>
      <c r="FO182" s="52"/>
      <c r="FP182" s="52"/>
      <c r="FQ182" s="52"/>
      <c r="FR182" s="52"/>
      <c r="FS182" s="52"/>
      <c r="FT182" s="52"/>
      <c r="FU182" s="52"/>
      <c r="FV182" s="52"/>
      <c r="FW182" s="52"/>
      <c r="FX182" s="52"/>
    </row>
    <row r="183" ht="15.75" customHeight="1">
      <c r="A183" s="27"/>
      <c r="B183" s="27"/>
      <c r="C183" s="51"/>
      <c r="D183" s="51"/>
      <c r="E183" s="313"/>
      <c r="F183" s="35"/>
      <c r="G183" s="35"/>
      <c r="H183" s="35"/>
      <c r="I183" s="26"/>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c r="BY183" s="52"/>
      <c r="BZ183" s="52"/>
      <c r="CA183" s="52"/>
      <c r="CB183" s="52"/>
      <c r="CC183" s="52"/>
      <c r="CD183" s="52"/>
      <c r="CE183" s="52"/>
      <c r="CF183" s="52"/>
      <c r="CG183" s="52"/>
      <c r="CH183" s="52"/>
      <c r="CI183" s="52"/>
      <c r="CJ183" s="52"/>
      <c r="CK183" s="52"/>
      <c r="CL183" s="52"/>
      <c r="CM183" s="52"/>
      <c r="CN183" s="52"/>
      <c r="CO183" s="52"/>
      <c r="CP183" s="52"/>
      <c r="CQ183" s="52"/>
      <c r="CR183" s="52"/>
      <c r="CS183" s="52"/>
      <c r="CT183" s="52"/>
      <c r="CU183" s="52"/>
      <c r="CV183" s="52"/>
      <c r="CW183" s="52"/>
      <c r="CX183" s="52"/>
      <c r="CY183" s="52"/>
      <c r="CZ183" s="52"/>
      <c r="DA183" s="52"/>
      <c r="DB183" s="52"/>
      <c r="DC183" s="52"/>
      <c r="DD183" s="52"/>
      <c r="DE183" s="52"/>
      <c r="DF183" s="52"/>
      <c r="DG183" s="52"/>
      <c r="DH183" s="52"/>
      <c r="DI183" s="52"/>
      <c r="DJ183" s="52"/>
      <c r="DK183" s="52"/>
      <c r="DL183" s="52"/>
      <c r="DM183" s="52"/>
      <c r="DN183" s="52"/>
      <c r="DO183" s="52"/>
      <c r="DP183" s="52"/>
      <c r="DQ183" s="52"/>
      <c r="DR183" s="52"/>
      <c r="DS183" s="52"/>
      <c r="DT183" s="52"/>
      <c r="DU183" s="52"/>
      <c r="DV183" s="52"/>
      <c r="DW183" s="52"/>
      <c r="DX183" s="52"/>
      <c r="DY183" s="52"/>
      <c r="DZ183" s="52"/>
      <c r="EA183" s="52"/>
      <c r="EB183" s="52"/>
      <c r="EC183" s="52"/>
      <c r="ED183" s="52"/>
      <c r="EE183" s="52"/>
      <c r="EF183" s="52"/>
      <c r="EG183" s="52"/>
      <c r="EH183" s="52"/>
      <c r="EI183" s="52"/>
      <c r="EJ183" s="52"/>
      <c r="EK183" s="52"/>
      <c r="EL183" s="52"/>
      <c r="EM183" s="52"/>
      <c r="EN183" s="52"/>
      <c r="EO183" s="52"/>
      <c r="EP183" s="52"/>
      <c r="EQ183" s="52"/>
      <c r="ER183" s="52"/>
      <c r="ES183" s="52"/>
      <c r="ET183" s="52"/>
      <c r="EU183" s="52"/>
      <c r="EV183" s="52"/>
      <c r="EW183" s="52"/>
      <c r="EX183" s="52"/>
      <c r="EY183" s="52"/>
      <c r="EZ183" s="52"/>
      <c r="FA183" s="52"/>
      <c r="FB183" s="52"/>
      <c r="FC183" s="52"/>
      <c r="FD183" s="52"/>
      <c r="FE183" s="52"/>
      <c r="FF183" s="52"/>
      <c r="FG183" s="52"/>
      <c r="FH183" s="52"/>
      <c r="FI183" s="52"/>
      <c r="FJ183" s="52"/>
      <c r="FK183" s="52"/>
      <c r="FL183" s="52"/>
      <c r="FM183" s="52"/>
      <c r="FN183" s="52"/>
      <c r="FO183" s="52"/>
      <c r="FP183" s="52"/>
      <c r="FQ183" s="52"/>
      <c r="FR183" s="52"/>
      <c r="FS183" s="52"/>
      <c r="FT183" s="52"/>
      <c r="FU183" s="52"/>
      <c r="FV183" s="52"/>
      <c r="FW183" s="52"/>
      <c r="FX183" s="52"/>
    </row>
    <row r="184" ht="15.75" customHeight="1">
      <c r="A184" s="27"/>
      <c r="B184" s="27"/>
      <c r="C184" s="51"/>
      <c r="D184" s="51"/>
      <c r="E184" s="313"/>
      <c r="F184" s="35"/>
      <c r="G184" s="35"/>
      <c r="H184" s="35"/>
      <c r="I184" s="26"/>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c r="BY184" s="52"/>
      <c r="BZ184" s="52"/>
      <c r="CA184" s="52"/>
      <c r="CB184" s="52"/>
      <c r="CC184" s="52"/>
      <c r="CD184" s="52"/>
      <c r="CE184" s="52"/>
      <c r="CF184" s="52"/>
      <c r="CG184" s="52"/>
      <c r="CH184" s="52"/>
      <c r="CI184" s="52"/>
      <c r="CJ184" s="52"/>
      <c r="CK184" s="52"/>
      <c r="CL184" s="52"/>
      <c r="CM184" s="52"/>
      <c r="CN184" s="52"/>
      <c r="CO184" s="52"/>
      <c r="CP184" s="52"/>
      <c r="CQ184" s="52"/>
      <c r="CR184" s="52"/>
      <c r="CS184" s="52"/>
      <c r="CT184" s="52"/>
      <c r="CU184" s="52"/>
      <c r="CV184" s="52"/>
      <c r="CW184" s="52"/>
      <c r="CX184" s="52"/>
      <c r="CY184" s="52"/>
      <c r="CZ184" s="52"/>
      <c r="DA184" s="52"/>
      <c r="DB184" s="52"/>
      <c r="DC184" s="52"/>
      <c r="DD184" s="52"/>
      <c r="DE184" s="52"/>
      <c r="DF184" s="52"/>
      <c r="DG184" s="52"/>
      <c r="DH184" s="52"/>
      <c r="DI184" s="52"/>
      <c r="DJ184" s="52"/>
      <c r="DK184" s="52"/>
      <c r="DL184" s="52"/>
      <c r="DM184" s="52"/>
      <c r="DN184" s="52"/>
      <c r="DO184" s="52"/>
      <c r="DP184" s="52"/>
      <c r="DQ184" s="52"/>
      <c r="DR184" s="52"/>
      <c r="DS184" s="52"/>
      <c r="DT184" s="52"/>
      <c r="DU184" s="52"/>
      <c r="DV184" s="52"/>
      <c r="DW184" s="52"/>
      <c r="DX184" s="52"/>
      <c r="DY184" s="52"/>
      <c r="DZ184" s="52"/>
      <c r="EA184" s="52"/>
      <c r="EB184" s="52"/>
      <c r="EC184" s="52"/>
      <c r="ED184" s="52"/>
      <c r="EE184" s="52"/>
      <c r="EF184" s="52"/>
      <c r="EG184" s="52"/>
      <c r="EH184" s="52"/>
      <c r="EI184" s="52"/>
      <c r="EJ184" s="52"/>
      <c r="EK184" s="52"/>
      <c r="EL184" s="52"/>
      <c r="EM184" s="52"/>
      <c r="EN184" s="52"/>
      <c r="EO184" s="52"/>
      <c r="EP184" s="52"/>
      <c r="EQ184" s="52"/>
      <c r="ER184" s="52"/>
      <c r="ES184" s="52"/>
      <c r="ET184" s="52"/>
      <c r="EU184" s="52"/>
      <c r="EV184" s="52"/>
      <c r="EW184" s="52"/>
      <c r="EX184" s="52"/>
      <c r="EY184" s="52"/>
      <c r="EZ184" s="52"/>
      <c r="FA184" s="52"/>
      <c r="FB184" s="52"/>
      <c r="FC184" s="52"/>
      <c r="FD184" s="52"/>
      <c r="FE184" s="52"/>
      <c r="FF184" s="52"/>
      <c r="FG184" s="52"/>
      <c r="FH184" s="52"/>
      <c r="FI184" s="52"/>
      <c r="FJ184" s="52"/>
      <c r="FK184" s="52"/>
      <c r="FL184" s="52"/>
      <c r="FM184" s="52"/>
      <c r="FN184" s="52"/>
      <c r="FO184" s="52"/>
      <c r="FP184" s="52"/>
      <c r="FQ184" s="52"/>
      <c r="FR184" s="52"/>
      <c r="FS184" s="52"/>
      <c r="FT184" s="52"/>
      <c r="FU184" s="52"/>
      <c r="FV184" s="52"/>
      <c r="FW184" s="52"/>
      <c r="FX184" s="52"/>
    </row>
    <row r="185" ht="15.75" customHeight="1">
      <c r="A185" s="27"/>
      <c r="B185" s="27"/>
      <c r="C185" s="51"/>
      <c r="D185" s="51"/>
      <c r="E185" s="313"/>
      <c r="F185" s="35"/>
      <c r="G185" s="35"/>
      <c r="H185" s="35"/>
      <c r="I185" s="26"/>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c r="BY185" s="52"/>
      <c r="BZ185" s="52"/>
      <c r="CA185" s="52"/>
      <c r="CB185" s="52"/>
      <c r="CC185" s="52"/>
      <c r="CD185" s="52"/>
      <c r="CE185" s="52"/>
      <c r="CF185" s="52"/>
      <c r="CG185" s="52"/>
      <c r="CH185" s="52"/>
      <c r="CI185" s="52"/>
      <c r="CJ185" s="52"/>
      <c r="CK185" s="52"/>
      <c r="CL185" s="52"/>
      <c r="CM185" s="52"/>
      <c r="CN185" s="52"/>
      <c r="CO185" s="52"/>
      <c r="CP185" s="52"/>
      <c r="CQ185" s="52"/>
      <c r="CR185" s="52"/>
      <c r="CS185" s="52"/>
      <c r="CT185" s="52"/>
      <c r="CU185" s="52"/>
      <c r="CV185" s="52"/>
      <c r="CW185" s="52"/>
      <c r="CX185" s="52"/>
      <c r="CY185" s="52"/>
      <c r="CZ185" s="52"/>
      <c r="DA185" s="52"/>
      <c r="DB185" s="52"/>
      <c r="DC185" s="52"/>
      <c r="DD185" s="52"/>
      <c r="DE185" s="52"/>
      <c r="DF185" s="52"/>
      <c r="DG185" s="52"/>
      <c r="DH185" s="52"/>
      <c r="DI185" s="52"/>
      <c r="DJ185" s="52"/>
      <c r="DK185" s="52"/>
      <c r="DL185" s="52"/>
      <c r="DM185" s="52"/>
      <c r="DN185" s="52"/>
      <c r="DO185" s="52"/>
      <c r="DP185" s="52"/>
      <c r="DQ185" s="52"/>
      <c r="DR185" s="52"/>
      <c r="DS185" s="52"/>
      <c r="DT185" s="52"/>
      <c r="DU185" s="52"/>
      <c r="DV185" s="52"/>
      <c r="DW185" s="52"/>
      <c r="DX185" s="52"/>
      <c r="DY185" s="52"/>
      <c r="DZ185" s="52"/>
      <c r="EA185" s="52"/>
      <c r="EB185" s="52"/>
      <c r="EC185" s="52"/>
      <c r="ED185" s="52"/>
      <c r="EE185" s="52"/>
      <c r="EF185" s="52"/>
      <c r="EG185" s="52"/>
      <c r="EH185" s="52"/>
      <c r="EI185" s="52"/>
      <c r="EJ185" s="52"/>
      <c r="EK185" s="52"/>
      <c r="EL185" s="52"/>
      <c r="EM185" s="52"/>
      <c r="EN185" s="52"/>
      <c r="EO185" s="52"/>
      <c r="EP185" s="52"/>
      <c r="EQ185" s="52"/>
      <c r="ER185" s="52"/>
      <c r="ES185" s="52"/>
      <c r="ET185" s="52"/>
      <c r="EU185" s="52"/>
      <c r="EV185" s="52"/>
      <c r="EW185" s="52"/>
      <c r="EX185" s="52"/>
      <c r="EY185" s="52"/>
      <c r="EZ185" s="52"/>
      <c r="FA185" s="52"/>
      <c r="FB185" s="52"/>
      <c r="FC185" s="52"/>
      <c r="FD185" s="52"/>
      <c r="FE185" s="52"/>
      <c r="FF185" s="52"/>
      <c r="FG185" s="52"/>
      <c r="FH185" s="52"/>
      <c r="FI185" s="52"/>
      <c r="FJ185" s="52"/>
      <c r="FK185" s="52"/>
      <c r="FL185" s="52"/>
      <c r="FM185" s="52"/>
      <c r="FN185" s="52"/>
      <c r="FO185" s="52"/>
      <c r="FP185" s="52"/>
      <c r="FQ185" s="52"/>
      <c r="FR185" s="52"/>
      <c r="FS185" s="52"/>
      <c r="FT185" s="52"/>
      <c r="FU185" s="52"/>
      <c r="FV185" s="52"/>
      <c r="FW185" s="52"/>
      <c r="FX185" s="52"/>
    </row>
    <row r="186" ht="15.75" customHeight="1">
      <c r="A186" s="27"/>
      <c r="B186" s="27"/>
      <c r="C186" s="51"/>
      <c r="D186" s="51"/>
      <c r="E186" s="313"/>
      <c r="F186" s="35"/>
      <c r="G186" s="35"/>
      <c r="H186" s="35"/>
      <c r="I186" s="26"/>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c r="BT186" s="52"/>
      <c r="BU186" s="52"/>
      <c r="BV186" s="52"/>
      <c r="BW186" s="52"/>
      <c r="BX186" s="52"/>
      <c r="BY186" s="52"/>
      <c r="BZ186" s="52"/>
      <c r="CA186" s="52"/>
      <c r="CB186" s="52"/>
      <c r="CC186" s="52"/>
      <c r="CD186" s="52"/>
      <c r="CE186" s="52"/>
      <c r="CF186" s="52"/>
      <c r="CG186" s="52"/>
      <c r="CH186" s="52"/>
      <c r="CI186" s="52"/>
      <c r="CJ186" s="52"/>
      <c r="CK186" s="52"/>
      <c r="CL186" s="52"/>
      <c r="CM186" s="52"/>
      <c r="CN186" s="52"/>
      <c r="CO186" s="52"/>
      <c r="CP186" s="52"/>
      <c r="CQ186" s="52"/>
      <c r="CR186" s="52"/>
      <c r="CS186" s="52"/>
      <c r="CT186" s="52"/>
      <c r="CU186" s="52"/>
      <c r="CV186" s="52"/>
      <c r="CW186" s="52"/>
      <c r="CX186" s="52"/>
      <c r="CY186" s="52"/>
      <c r="CZ186" s="52"/>
      <c r="DA186" s="52"/>
      <c r="DB186" s="52"/>
      <c r="DC186" s="52"/>
      <c r="DD186" s="52"/>
      <c r="DE186" s="52"/>
      <c r="DF186" s="52"/>
      <c r="DG186" s="52"/>
      <c r="DH186" s="52"/>
      <c r="DI186" s="52"/>
      <c r="DJ186" s="52"/>
      <c r="DK186" s="52"/>
      <c r="DL186" s="52"/>
      <c r="DM186" s="52"/>
      <c r="DN186" s="52"/>
      <c r="DO186" s="52"/>
      <c r="DP186" s="52"/>
      <c r="DQ186" s="52"/>
      <c r="DR186" s="52"/>
      <c r="DS186" s="52"/>
      <c r="DT186" s="52"/>
      <c r="DU186" s="52"/>
      <c r="DV186" s="52"/>
      <c r="DW186" s="52"/>
      <c r="DX186" s="52"/>
      <c r="DY186" s="52"/>
      <c r="DZ186" s="52"/>
      <c r="EA186" s="52"/>
      <c r="EB186" s="52"/>
      <c r="EC186" s="52"/>
      <c r="ED186" s="52"/>
      <c r="EE186" s="52"/>
      <c r="EF186" s="52"/>
      <c r="EG186" s="52"/>
      <c r="EH186" s="52"/>
      <c r="EI186" s="52"/>
      <c r="EJ186" s="52"/>
      <c r="EK186" s="52"/>
      <c r="EL186" s="52"/>
      <c r="EM186" s="52"/>
      <c r="EN186" s="52"/>
      <c r="EO186" s="52"/>
      <c r="EP186" s="52"/>
      <c r="EQ186" s="52"/>
      <c r="ER186" s="52"/>
      <c r="ES186" s="52"/>
      <c r="ET186" s="52"/>
      <c r="EU186" s="52"/>
      <c r="EV186" s="52"/>
      <c r="EW186" s="52"/>
      <c r="EX186" s="52"/>
      <c r="EY186" s="52"/>
      <c r="EZ186" s="52"/>
      <c r="FA186" s="52"/>
      <c r="FB186" s="52"/>
      <c r="FC186" s="52"/>
      <c r="FD186" s="52"/>
      <c r="FE186" s="52"/>
      <c r="FF186" s="52"/>
      <c r="FG186" s="52"/>
      <c r="FH186" s="52"/>
      <c r="FI186" s="52"/>
      <c r="FJ186" s="52"/>
      <c r="FK186" s="52"/>
      <c r="FL186" s="52"/>
      <c r="FM186" s="52"/>
      <c r="FN186" s="52"/>
      <c r="FO186" s="52"/>
      <c r="FP186" s="52"/>
      <c r="FQ186" s="52"/>
      <c r="FR186" s="52"/>
      <c r="FS186" s="52"/>
      <c r="FT186" s="52"/>
      <c r="FU186" s="52"/>
      <c r="FV186" s="52"/>
      <c r="FW186" s="52"/>
      <c r="FX186" s="52"/>
    </row>
    <row r="187" ht="15.75" customHeight="1">
      <c r="A187" s="27"/>
      <c r="B187" s="27"/>
      <c r="C187" s="51"/>
      <c r="D187" s="51"/>
      <c r="E187" s="313"/>
      <c r="F187" s="35"/>
      <c r="G187" s="35"/>
      <c r="H187" s="35"/>
      <c r="I187" s="26"/>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c r="BY187" s="52"/>
      <c r="BZ187" s="52"/>
      <c r="CA187" s="52"/>
      <c r="CB187" s="52"/>
      <c r="CC187" s="52"/>
      <c r="CD187" s="52"/>
      <c r="CE187" s="52"/>
      <c r="CF187" s="52"/>
      <c r="CG187" s="52"/>
      <c r="CH187" s="52"/>
      <c r="CI187" s="52"/>
      <c r="CJ187" s="52"/>
      <c r="CK187" s="52"/>
      <c r="CL187" s="52"/>
      <c r="CM187" s="52"/>
      <c r="CN187" s="52"/>
      <c r="CO187" s="52"/>
      <c r="CP187" s="52"/>
      <c r="CQ187" s="52"/>
      <c r="CR187" s="52"/>
      <c r="CS187" s="52"/>
      <c r="CT187" s="52"/>
      <c r="CU187" s="52"/>
      <c r="CV187" s="52"/>
      <c r="CW187" s="52"/>
      <c r="CX187" s="52"/>
      <c r="CY187" s="52"/>
      <c r="CZ187" s="52"/>
      <c r="DA187" s="52"/>
      <c r="DB187" s="52"/>
      <c r="DC187" s="52"/>
      <c r="DD187" s="52"/>
      <c r="DE187" s="52"/>
      <c r="DF187" s="52"/>
      <c r="DG187" s="52"/>
      <c r="DH187" s="52"/>
      <c r="DI187" s="52"/>
      <c r="DJ187" s="52"/>
      <c r="DK187" s="52"/>
      <c r="DL187" s="52"/>
      <c r="DM187" s="52"/>
      <c r="DN187" s="52"/>
      <c r="DO187" s="52"/>
      <c r="DP187" s="52"/>
      <c r="DQ187" s="52"/>
      <c r="DR187" s="52"/>
      <c r="DS187" s="52"/>
      <c r="DT187" s="52"/>
      <c r="DU187" s="52"/>
      <c r="DV187" s="52"/>
      <c r="DW187" s="52"/>
      <c r="DX187" s="52"/>
      <c r="DY187" s="52"/>
      <c r="DZ187" s="52"/>
      <c r="EA187" s="52"/>
      <c r="EB187" s="52"/>
      <c r="EC187" s="52"/>
      <c r="ED187" s="52"/>
      <c r="EE187" s="52"/>
      <c r="EF187" s="52"/>
      <c r="EG187" s="52"/>
      <c r="EH187" s="52"/>
      <c r="EI187" s="52"/>
      <c r="EJ187" s="52"/>
      <c r="EK187" s="52"/>
      <c r="EL187" s="52"/>
      <c r="EM187" s="52"/>
      <c r="EN187" s="52"/>
      <c r="EO187" s="52"/>
      <c r="EP187" s="52"/>
      <c r="EQ187" s="52"/>
      <c r="ER187" s="52"/>
      <c r="ES187" s="52"/>
      <c r="ET187" s="52"/>
      <c r="EU187" s="52"/>
      <c r="EV187" s="52"/>
      <c r="EW187" s="52"/>
      <c r="EX187" s="52"/>
      <c r="EY187" s="52"/>
      <c r="EZ187" s="52"/>
      <c r="FA187" s="52"/>
      <c r="FB187" s="52"/>
      <c r="FC187" s="52"/>
      <c r="FD187" s="52"/>
      <c r="FE187" s="52"/>
      <c r="FF187" s="52"/>
      <c r="FG187" s="52"/>
      <c r="FH187" s="52"/>
      <c r="FI187" s="52"/>
      <c r="FJ187" s="52"/>
      <c r="FK187" s="52"/>
      <c r="FL187" s="52"/>
      <c r="FM187" s="52"/>
      <c r="FN187" s="52"/>
      <c r="FO187" s="52"/>
      <c r="FP187" s="52"/>
      <c r="FQ187" s="52"/>
      <c r="FR187" s="52"/>
      <c r="FS187" s="52"/>
      <c r="FT187" s="52"/>
      <c r="FU187" s="52"/>
      <c r="FV187" s="52"/>
      <c r="FW187" s="52"/>
      <c r="FX187" s="52"/>
    </row>
    <row r="188" ht="15.75" customHeight="1">
      <c r="A188" s="27"/>
      <c r="B188" s="27"/>
      <c r="C188" s="51"/>
      <c r="D188" s="51"/>
      <c r="E188" s="313"/>
      <c r="F188" s="35"/>
      <c r="G188" s="35"/>
      <c r="H188" s="35"/>
      <c r="I188" s="26"/>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c r="BY188" s="52"/>
      <c r="BZ188" s="52"/>
      <c r="CA188" s="52"/>
      <c r="CB188" s="52"/>
      <c r="CC188" s="52"/>
      <c r="CD188" s="52"/>
      <c r="CE188" s="52"/>
      <c r="CF188" s="52"/>
      <c r="CG188" s="52"/>
      <c r="CH188" s="52"/>
      <c r="CI188" s="52"/>
      <c r="CJ188" s="52"/>
      <c r="CK188" s="52"/>
      <c r="CL188" s="52"/>
      <c r="CM188" s="52"/>
      <c r="CN188" s="52"/>
      <c r="CO188" s="52"/>
      <c r="CP188" s="52"/>
      <c r="CQ188" s="52"/>
      <c r="CR188" s="52"/>
      <c r="CS188" s="52"/>
      <c r="CT188" s="52"/>
      <c r="CU188" s="52"/>
      <c r="CV188" s="52"/>
      <c r="CW188" s="52"/>
      <c r="CX188" s="52"/>
      <c r="CY188" s="52"/>
      <c r="CZ188" s="52"/>
      <c r="DA188" s="52"/>
      <c r="DB188" s="52"/>
      <c r="DC188" s="52"/>
      <c r="DD188" s="52"/>
      <c r="DE188" s="52"/>
      <c r="DF188" s="52"/>
      <c r="DG188" s="52"/>
      <c r="DH188" s="52"/>
      <c r="DI188" s="52"/>
      <c r="DJ188" s="52"/>
      <c r="DK188" s="52"/>
      <c r="DL188" s="52"/>
      <c r="DM188" s="52"/>
      <c r="DN188" s="52"/>
      <c r="DO188" s="52"/>
      <c r="DP188" s="52"/>
      <c r="DQ188" s="52"/>
      <c r="DR188" s="52"/>
      <c r="DS188" s="52"/>
      <c r="DT188" s="52"/>
      <c r="DU188" s="52"/>
      <c r="DV188" s="52"/>
      <c r="DW188" s="52"/>
      <c r="DX188" s="52"/>
      <c r="DY188" s="52"/>
      <c r="DZ188" s="52"/>
      <c r="EA188" s="52"/>
      <c r="EB188" s="52"/>
      <c r="EC188" s="52"/>
      <c r="ED188" s="52"/>
      <c r="EE188" s="52"/>
      <c r="EF188" s="52"/>
      <c r="EG188" s="52"/>
      <c r="EH188" s="52"/>
      <c r="EI188" s="52"/>
      <c r="EJ188" s="52"/>
      <c r="EK188" s="52"/>
      <c r="EL188" s="52"/>
      <c r="EM188" s="52"/>
      <c r="EN188" s="52"/>
      <c r="EO188" s="52"/>
      <c r="EP188" s="52"/>
      <c r="EQ188" s="52"/>
      <c r="ER188" s="52"/>
      <c r="ES188" s="52"/>
      <c r="ET188" s="52"/>
      <c r="EU188" s="52"/>
      <c r="EV188" s="52"/>
      <c r="EW188" s="52"/>
      <c r="EX188" s="52"/>
      <c r="EY188" s="52"/>
      <c r="EZ188" s="52"/>
      <c r="FA188" s="52"/>
      <c r="FB188" s="52"/>
      <c r="FC188" s="52"/>
      <c r="FD188" s="52"/>
      <c r="FE188" s="52"/>
      <c r="FF188" s="52"/>
      <c r="FG188" s="52"/>
      <c r="FH188" s="52"/>
      <c r="FI188" s="52"/>
      <c r="FJ188" s="52"/>
      <c r="FK188" s="52"/>
      <c r="FL188" s="52"/>
      <c r="FM188" s="52"/>
      <c r="FN188" s="52"/>
      <c r="FO188" s="52"/>
      <c r="FP188" s="52"/>
      <c r="FQ188" s="52"/>
      <c r="FR188" s="52"/>
      <c r="FS188" s="52"/>
      <c r="FT188" s="52"/>
      <c r="FU188" s="52"/>
      <c r="FV188" s="52"/>
      <c r="FW188" s="52"/>
      <c r="FX188" s="52"/>
    </row>
    <row r="189" ht="15.75" customHeight="1">
      <c r="A189" s="27"/>
      <c r="B189" s="27"/>
      <c r="C189" s="51"/>
      <c r="D189" s="51"/>
      <c r="E189" s="313"/>
      <c r="F189" s="35"/>
      <c r="G189" s="35"/>
      <c r="H189" s="35"/>
      <c r="I189" s="26"/>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c r="BY189" s="52"/>
      <c r="BZ189" s="52"/>
      <c r="CA189" s="52"/>
      <c r="CB189" s="52"/>
      <c r="CC189" s="52"/>
      <c r="CD189" s="52"/>
      <c r="CE189" s="52"/>
      <c r="CF189" s="52"/>
      <c r="CG189" s="52"/>
      <c r="CH189" s="52"/>
      <c r="CI189" s="52"/>
      <c r="CJ189" s="52"/>
      <c r="CK189" s="52"/>
      <c r="CL189" s="52"/>
      <c r="CM189" s="52"/>
      <c r="CN189" s="52"/>
      <c r="CO189" s="52"/>
      <c r="CP189" s="52"/>
      <c r="CQ189" s="52"/>
      <c r="CR189" s="52"/>
      <c r="CS189" s="52"/>
      <c r="CT189" s="52"/>
      <c r="CU189" s="52"/>
      <c r="CV189" s="52"/>
      <c r="CW189" s="52"/>
      <c r="CX189" s="52"/>
      <c r="CY189" s="52"/>
      <c r="CZ189" s="52"/>
      <c r="DA189" s="52"/>
      <c r="DB189" s="52"/>
      <c r="DC189" s="52"/>
      <c r="DD189" s="52"/>
      <c r="DE189" s="52"/>
      <c r="DF189" s="52"/>
      <c r="DG189" s="52"/>
      <c r="DH189" s="52"/>
      <c r="DI189" s="52"/>
      <c r="DJ189" s="52"/>
      <c r="DK189" s="52"/>
      <c r="DL189" s="52"/>
      <c r="DM189" s="52"/>
      <c r="DN189" s="52"/>
      <c r="DO189" s="52"/>
      <c r="DP189" s="52"/>
      <c r="DQ189" s="52"/>
      <c r="DR189" s="52"/>
      <c r="DS189" s="52"/>
      <c r="DT189" s="52"/>
      <c r="DU189" s="52"/>
      <c r="DV189" s="52"/>
      <c r="DW189" s="52"/>
      <c r="DX189" s="52"/>
      <c r="DY189" s="52"/>
      <c r="DZ189" s="52"/>
      <c r="EA189" s="52"/>
      <c r="EB189" s="52"/>
      <c r="EC189" s="52"/>
      <c r="ED189" s="52"/>
      <c r="EE189" s="52"/>
      <c r="EF189" s="52"/>
      <c r="EG189" s="52"/>
      <c r="EH189" s="52"/>
      <c r="EI189" s="52"/>
      <c r="EJ189" s="52"/>
      <c r="EK189" s="52"/>
      <c r="EL189" s="52"/>
      <c r="EM189" s="52"/>
      <c r="EN189" s="52"/>
      <c r="EO189" s="52"/>
      <c r="EP189" s="52"/>
      <c r="EQ189" s="52"/>
      <c r="ER189" s="52"/>
      <c r="ES189" s="52"/>
      <c r="ET189" s="52"/>
      <c r="EU189" s="52"/>
      <c r="EV189" s="52"/>
      <c r="EW189" s="52"/>
      <c r="EX189" s="52"/>
      <c r="EY189" s="52"/>
      <c r="EZ189" s="52"/>
      <c r="FA189" s="52"/>
      <c r="FB189" s="52"/>
      <c r="FC189" s="52"/>
      <c r="FD189" s="52"/>
      <c r="FE189" s="52"/>
      <c r="FF189" s="52"/>
      <c r="FG189" s="52"/>
      <c r="FH189" s="52"/>
      <c r="FI189" s="52"/>
      <c r="FJ189" s="52"/>
      <c r="FK189" s="52"/>
      <c r="FL189" s="52"/>
      <c r="FM189" s="52"/>
      <c r="FN189" s="52"/>
      <c r="FO189" s="52"/>
      <c r="FP189" s="52"/>
      <c r="FQ189" s="52"/>
      <c r="FR189" s="52"/>
      <c r="FS189" s="52"/>
      <c r="FT189" s="52"/>
      <c r="FU189" s="52"/>
      <c r="FV189" s="52"/>
      <c r="FW189" s="52"/>
      <c r="FX189" s="52"/>
    </row>
    <row r="190" ht="15.75" customHeight="1">
      <c r="A190" s="27"/>
      <c r="B190" s="27"/>
      <c r="C190" s="51"/>
      <c r="D190" s="51"/>
      <c r="E190" s="313"/>
      <c r="F190" s="35"/>
      <c r="G190" s="35"/>
      <c r="H190" s="35"/>
      <c r="I190" s="26"/>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c r="BY190" s="52"/>
      <c r="BZ190" s="52"/>
      <c r="CA190" s="52"/>
      <c r="CB190" s="52"/>
      <c r="CC190" s="52"/>
      <c r="CD190" s="52"/>
      <c r="CE190" s="52"/>
      <c r="CF190" s="52"/>
      <c r="CG190" s="52"/>
      <c r="CH190" s="52"/>
      <c r="CI190" s="52"/>
      <c r="CJ190" s="52"/>
      <c r="CK190" s="52"/>
      <c r="CL190" s="52"/>
      <c r="CM190" s="52"/>
      <c r="CN190" s="52"/>
      <c r="CO190" s="52"/>
      <c r="CP190" s="52"/>
      <c r="CQ190" s="52"/>
      <c r="CR190" s="52"/>
      <c r="CS190" s="52"/>
      <c r="CT190" s="52"/>
      <c r="CU190" s="52"/>
      <c r="CV190" s="52"/>
      <c r="CW190" s="52"/>
      <c r="CX190" s="52"/>
      <c r="CY190" s="52"/>
      <c r="CZ190" s="52"/>
      <c r="DA190" s="52"/>
      <c r="DB190" s="52"/>
      <c r="DC190" s="52"/>
      <c r="DD190" s="52"/>
      <c r="DE190" s="52"/>
      <c r="DF190" s="52"/>
      <c r="DG190" s="52"/>
      <c r="DH190" s="52"/>
      <c r="DI190" s="52"/>
      <c r="DJ190" s="52"/>
      <c r="DK190" s="52"/>
      <c r="DL190" s="52"/>
      <c r="DM190" s="52"/>
      <c r="DN190" s="52"/>
      <c r="DO190" s="52"/>
      <c r="DP190" s="52"/>
      <c r="DQ190" s="52"/>
      <c r="DR190" s="52"/>
      <c r="DS190" s="52"/>
      <c r="DT190" s="52"/>
      <c r="DU190" s="52"/>
      <c r="DV190" s="52"/>
      <c r="DW190" s="52"/>
      <c r="DX190" s="52"/>
      <c r="DY190" s="52"/>
      <c r="DZ190" s="52"/>
      <c r="EA190" s="52"/>
      <c r="EB190" s="52"/>
      <c r="EC190" s="52"/>
      <c r="ED190" s="52"/>
      <c r="EE190" s="52"/>
      <c r="EF190" s="52"/>
      <c r="EG190" s="52"/>
      <c r="EH190" s="52"/>
      <c r="EI190" s="52"/>
      <c r="EJ190" s="52"/>
      <c r="EK190" s="52"/>
      <c r="EL190" s="52"/>
      <c r="EM190" s="52"/>
      <c r="EN190" s="52"/>
      <c r="EO190" s="52"/>
      <c r="EP190" s="52"/>
      <c r="EQ190" s="52"/>
      <c r="ER190" s="52"/>
      <c r="ES190" s="52"/>
      <c r="ET190" s="52"/>
      <c r="EU190" s="52"/>
      <c r="EV190" s="52"/>
      <c r="EW190" s="52"/>
      <c r="EX190" s="52"/>
      <c r="EY190" s="52"/>
      <c r="EZ190" s="52"/>
      <c r="FA190" s="52"/>
      <c r="FB190" s="52"/>
      <c r="FC190" s="52"/>
      <c r="FD190" s="52"/>
      <c r="FE190" s="52"/>
      <c r="FF190" s="52"/>
      <c r="FG190" s="52"/>
      <c r="FH190" s="52"/>
      <c r="FI190" s="52"/>
      <c r="FJ190" s="52"/>
      <c r="FK190" s="52"/>
      <c r="FL190" s="52"/>
      <c r="FM190" s="52"/>
      <c r="FN190" s="52"/>
      <c r="FO190" s="52"/>
      <c r="FP190" s="52"/>
      <c r="FQ190" s="52"/>
      <c r="FR190" s="52"/>
      <c r="FS190" s="52"/>
      <c r="FT190" s="52"/>
      <c r="FU190" s="52"/>
      <c r="FV190" s="52"/>
      <c r="FW190" s="52"/>
      <c r="FX190" s="52"/>
    </row>
    <row r="191" ht="15.75" customHeight="1">
      <c r="A191" s="27"/>
      <c r="B191" s="27"/>
      <c r="C191" s="51"/>
      <c r="D191" s="51"/>
      <c r="E191" s="313"/>
      <c r="F191" s="35"/>
      <c r="G191" s="35"/>
      <c r="H191" s="35"/>
      <c r="I191" s="26"/>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c r="BY191" s="52"/>
      <c r="BZ191" s="52"/>
      <c r="CA191" s="52"/>
      <c r="CB191" s="52"/>
      <c r="CC191" s="52"/>
      <c r="CD191" s="52"/>
      <c r="CE191" s="52"/>
      <c r="CF191" s="52"/>
      <c r="CG191" s="52"/>
      <c r="CH191" s="52"/>
      <c r="CI191" s="52"/>
      <c r="CJ191" s="52"/>
      <c r="CK191" s="52"/>
      <c r="CL191" s="52"/>
      <c r="CM191" s="52"/>
      <c r="CN191" s="52"/>
      <c r="CO191" s="52"/>
      <c r="CP191" s="52"/>
      <c r="CQ191" s="52"/>
      <c r="CR191" s="52"/>
      <c r="CS191" s="52"/>
      <c r="CT191" s="52"/>
      <c r="CU191" s="52"/>
      <c r="CV191" s="52"/>
      <c r="CW191" s="52"/>
      <c r="CX191" s="52"/>
      <c r="CY191" s="52"/>
      <c r="CZ191" s="52"/>
      <c r="DA191" s="52"/>
      <c r="DB191" s="52"/>
      <c r="DC191" s="52"/>
      <c r="DD191" s="52"/>
      <c r="DE191" s="52"/>
      <c r="DF191" s="52"/>
      <c r="DG191" s="52"/>
      <c r="DH191" s="52"/>
      <c r="DI191" s="52"/>
      <c r="DJ191" s="52"/>
      <c r="DK191" s="52"/>
      <c r="DL191" s="52"/>
      <c r="DM191" s="52"/>
      <c r="DN191" s="52"/>
      <c r="DO191" s="52"/>
      <c r="DP191" s="52"/>
      <c r="DQ191" s="52"/>
      <c r="DR191" s="52"/>
      <c r="DS191" s="52"/>
      <c r="DT191" s="52"/>
      <c r="DU191" s="52"/>
      <c r="DV191" s="52"/>
      <c r="DW191" s="52"/>
      <c r="DX191" s="52"/>
      <c r="DY191" s="52"/>
      <c r="DZ191" s="52"/>
      <c r="EA191" s="52"/>
      <c r="EB191" s="52"/>
      <c r="EC191" s="52"/>
      <c r="ED191" s="52"/>
      <c r="EE191" s="52"/>
      <c r="EF191" s="52"/>
      <c r="EG191" s="52"/>
      <c r="EH191" s="52"/>
      <c r="EI191" s="52"/>
      <c r="EJ191" s="52"/>
      <c r="EK191" s="52"/>
      <c r="EL191" s="52"/>
      <c r="EM191" s="52"/>
      <c r="EN191" s="52"/>
      <c r="EO191" s="52"/>
      <c r="EP191" s="52"/>
      <c r="EQ191" s="52"/>
      <c r="ER191" s="52"/>
      <c r="ES191" s="52"/>
      <c r="ET191" s="52"/>
      <c r="EU191" s="52"/>
      <c r="EV191" s="52"/>
      <c r="EW191" s="52"/>
      <c r="EX191" s="52"/>
      <c r="EY191" s="52"/>
      <c r="EZ191" s="52"/>
      <c r="FA191" s="52"/>
      <c r="FB191" s="52"/>
      <c r="FC191" s="52"/>
      <c r="FD191" s="52"/>
      <c r="FE191" s="52"/>
      <c r="FF191" s="52"/>
      <c r="FG191" s="52"/>
      <c r="FH191" s="52"/>
      <c r="FI191" s="52"/>
      <c r="FJ191" s="52"/>
      <c r="FK191" s="52"/>
      <c r="FL191" s="52"/>
      <c r="FM191" s="52"/>
      <c r="FN191" s="52"/>
      <c r="FO191" s="52"/>
      <c r="FP191" s="52"/>
      <c r="FQ191" s="52"/>
      <c r="FR191" s="52"/>
      <c r="FS191" s="52"/>
      <c r="FT191" s="52"/>
      <c r="FU191" s="52"/>
      <c r="FV191" s="52"/>
      <c r="FW191" s="52"/>
      <c r="FX191" s="52"/>
    </row>
    <row r="192" ht="15.75" customHeight="1">
      <c r="A192" s="27"/>
      <c r="B192" s="27"/>
      <c r="C192" s="51"/>
      <c r="D192" s="51"/>
      <c r="E192" s="313"/>
      <c r="F192" s="35"/>
      <c r="G192" s="35"/>
      <c r="H192" s="35"/>
      <c r="I192" s="26"/>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c r="BY192" s="52"/>
      <c r="BZ192" s="52"/>
      <c r="CA192" s="52"/>
      <c r="CB192" s="52"/>
      <c r="CC192" s="52"/>
      <c r="CD192" s="52"/>
      <c r="CE192" s="52"/>
      <c r="CF192" s="52"/>
      <c r="CG192" s="52"/>
      <c r="CH192" s="52"/>
      <c r="CI192" s="52"/>
      <c r="CJ192" s="52"/>
      <c r="CK192" s="52"/>
      <c r="CL192" s="52"/>
      <c r="CM192" s="52"/>
      <c r="CN192" s="52"/>
      <c r="CO192" s="52"/>
      <c r="CP192" s="52"/>
      <c r="CQ192" s="52"/>
      <c r="CR192" s="52"/>
      <c r="CS192" s="52"/>
      <c r="CT192" s="52"/>
      <c r="CU192" s="52"/>
      <c r="CV192" s="52"/>
      <c r="CW192" s="52"/>
      <c r="CX192" s="52"/>
      <c r="CY192" s="52"/>
      <c r="CZ192" s="52"/>
      <c r="DA192" s="52"/>
      <c r="DB192" s="52"/>
      <c r="DC192" s="52"/>
      <c r="DD192" s="52"/>
      <c r="DE192" s="52"/>
      <c r="DF192" s="52"/>
      <c r="DG192" s="52"/>
      <c r="DH192" s="52"/>
      <c r="DI192" s="52"/>
      <c r="DJ192" s="52"/>
      <c r="DK192" s="52"/>
      <c r="DL192" s="52"/>
      <c r="DM192" s="52"/>
      <c r="DN192" s="52"/>
      <c r="DO192" s="52"/>
      <c r="DP192" s="52"/>
      <c r="DQ192" s="52"/>
      <c r="DR192" s="52"/>
      <c r="DS192" s="52"/>
      <c r="DT192" s="52"/>
      <c r="DU192" s="52"/>
      <c r="DV192" s="52"/>
      <c r="DW192" s="52"/>
      <c r="DX192" s="52"/>
      <c r="DY192" s="52"/>
      <c r="DZ192" s="52"/>
      <c r="EA192" s="52"/>
      <c r="EB192" s="52"/>
      <c r="EC192" s="52"/>
      <c r="ED192" s="52"/>
      <c r="EE192" s="52"/>
      <c r="EF192" s="52"/>
      <c r="EG192" s="52"/>
      <c r="EH192" s="52"/>
      <c r="EI192" s="52"/>
      <c r="EJ192" s="52"/>
      <c r="EK192" s="52"/>
      <c r="EL192" s="52"/>
      <c r="EM192" s="52"/>
      <c r="EN192" s="52"/>
      <c r="EO192" s="52"/>
      <c r="EP192" s="52"/>
      <c r="EQ192" s="52"/>
      <c r="ER192" s="52"/>
      <c r="ES192" s="52"/>
      <c r="ET192" s="52"/>
      <c r="EU192" s="52"/>
      <c r="EV192" s="52"/>
      <c r="EW192" s="52"/>
      <c r="EX192" s="52"/>
      <c r="EY192" s="52"/>
      <c r="EZ192" s="52"/>
      <c r="FA192" s="52"/>
      <c r="FB192" s="52"/>
      <c r="FC192" s="52"/>
      <c r="FD192" s="52"/>
      <c r="FE192" s="52"/>
      <c r="FF192" s="52"/>
      <c r="FG192" s="52"/>
      <c r="FH192" s="52"/>
      <c r="FI192" s="52"/>
      <c r="FJ192" s="52"/>
      <c r="FK192" s="52"/>
      <c r="FL192" s="52"/>
      <c r="FM192" s="52"/>
      <c r="FN192" s="52"/>
      <c r="FO192" s="52"/>
      <c r="FP192" s="52"/>
      <c r="FQ192" s="52"/>
      <c r="FR192" s="52"/>
      <c r="FS192" s="52"/>
      <c r="FT192" s="52"/>
      <c r="FU192" s="52"/>
      <c r="FV192" s="52"/>
      <c r="FW192" s="52"/>
      <c r="FX192" s="52"/>
    </row>
    <row r="193" ht="15.75" customHeight="1">
      <c r="A193" s="27"/>
      <c r="B193" s="27"/>
      <c r="C193" s="51"/>
      <c r="D193" s="51"/>
      <c r="E193" s="313"/>
      <c r="F193" s="35"/>
      <c r="G193" s="35"/>
      <c r="H193" s="35"/>
      <c r="I193" s="26"/>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c r="BY193" s="52"/>
      <c r="BZ193" s="52"/>
      <c r="CA193" s="52"/>
      <c r="CB193" s="52"/>
      <c r="CC193" s="52"/>
      <c r="CD193" s="52"/>
      <c r="CE193" s="52"/>
      <c r="CF193" s="52"/>
      <c r="CG193" s="52"/>
      <c r="CH193" s="52"/>
      <c r="CI193" s="52"/>
      <c r="CJ193" s="52"/>
      <c r="CK193" s="52"/>
      <c r="CL193" s="52"/>
      <c r="CM193" s="52"/>
      <c r="CN193" s="52"/>
      <c r="CO193" s="52"/>
      <c r="CP193" s="52"/>
      <c r="CQ193" s="52"/>
      <c r="CR193" s="52"/>
      <c r="CS193" s="52"/>
      <c r="CT193" s="52"/>
      <c r="CU193" s="52"/>
      <c r="CV193" s="52"/>
      <c r="CW193" s="52"/>
      <c r="CX193" s="52"/>
      <c r="CY193" s="52"/>
      <c r="CZ193" s="52"/>
      <c r="DA193" s="52"/>
      <c r="DB193" s="52"/>
      <c r="DC193" s="52"/>
      <c r="DD193" s="52"/>
      <c r="DE193" s="52"/>
      <c r="DF193" s="52"/>
      <c r="DG193" s="52"/>
      <c r="DH193" s="52"/>
      <c r="DI193" s="52"/>
      <c r="DJ193" s="52"/>
      <c r="DK193" s="52"/>
      <c r="DL193" s="52"/>
      <c r="DM193" s="52"/>
      <c r="DN193" s="52"/>
      <c r="DO193" s="52"/>
      <c r="DP193" s="52"/>
      <c r="DQ193" s="52"/>
      <c r="DR193" s="52"/>
      <c r="DS193" s="52"/>
      <c r="DT193" s="52"/>
      <c r="DU193" s="52"/>
      <c r="DV193" s="52"/>
      <c r="DW193" s="52"/>
      <c r="DX193" s="52"/>
      <c r="DY193" s="52"/>
      <c r="DZ193" s="52"/>
      <c r="EA193" s="52"/>
      <c r="EB193" s="52"/>
      <c r="EC193" s="52"/>
      <c r="ED193" s="52"/>
      <c r="EE193" s="52"/>
      <c r="EF193" s="52"/>
      <c r="EG193" s="52"/>
      <c r="EH193" s="52"/>
      <c r="EI193" s="52"/>
      <c r="EJ193" s="52"/>
      <c r="EK193" s="52"/>
      <c r="EL193" s="52"/>
      <c r="EM193" s="52"/>
      <c r="EN193" s="52"/>
      <c r="EO193" s="52"/>
      <c r="EP193" s="52"/>
      <c r="EQ193" s="52"/>
      <c r="ER193" s="52"/>
      <c r="ES193" s="52"/>
      <c r="ET193" s="52"/>
      <c r="EU193" s="52"/>
      <c r="EV193" s="52"/>
      <c r="EW193" s="52"/>
      <c r="EX193" s="52"/>
      <c r="EY193" s="52"/>
      <c r="EZ193" s="52"/>
      <c r="FA193" s="52"/>
      <c r="FB193" s="52"/>
      <c r="FC193" s="52"/>
      <c r="FD193" s="52"/>
      <c r="FE193" s="52"/>
      <c r="FF193" s="52"/>
      <c r="FG193" s="52"/>
      <c r="FH193" s="52"/>
      <c r="FI193" s="52"/>
      <c r="FJ193" s="52"/>
      <c r="FK193" s="52"/>
      <c r="FL193" s="52"/>
      <c r="FM193" s="52"/>
      <c r="FN193" s="52"/>
      <c r="FO193" s="52"/>
      <c r="FP193" s="52"/>
      <c r="FQ193" s="52"/>
      <c r="FR193" s="52"/>
      <c r="FS193" s="52"/>
      <c r="FT193" s="52"/>
      <c r="FU193" s="52"/>
      <c r="FV193" s="52"/>
      <c r="FW193" s="52"/>
      <c r="FX193" s="52"/>
    </row>
    <row r="194" ht="15.75" customHeight="1">
      <c r="A194" s="27"/>
      <c r="B194" s="27"/>
      <c r="C194" s="51"/>
      <c r="D194" s="51"/>
      <c r="E194" s="313"/>
      <c r="F194" s="35"/>
      <c r="G194" s="35"/>
      <c r="H194" s="35"/>
      <c r="I194" s="26"/>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c r="BY194" s="52"/>
      <c r="BZ194" s="52"/>
      <c r="CA194" s="52"/>
      <c r="CB194" s="52"/>
      <c r="CC194" s="52"/>
      <c r="CD194" s="52"/>
      <c r="CE194" s="52"/>
      <c r="CF194" s="52"/>
      <c r="CG194" s="52"/>
      <c r="CH194" s="52"/>
      <c r="CI194" s="52"/>
      <c r="CJ194" s="52"/>
      <c r="CK194" s="52"/>
      <c r="CL194" s="52"/>
      <c r="CM194" s="52"/>
      <c r="CN194" s="52"/>
      <c r="CO194" s="52"/>
      <c r="CP194" s="52"/>
      <c r="CQ194" s="52"/>
      <c r="CR194" s="52"/>
      <c r="CS194" s="52"/>
      <c r="CT194" s="52"/>
      <c r="CU194" s="52"/>
      <c r="CV194" s="52"/>
      <c r="CW194" s="52"/>
      <c r="CX194" s="52"/>
      <c r="CY194" s="52"/>
      <c r="CZ194" s="52"/>
      <c r="DA194" s="52"/>
      <c r="DB194" s="52"/>
      <c r="DC194" s="52"/>
      <c r="DD194" s="52"/>
      <c r="DE194" s="52"/>
      <c r="DF194" s="52"/>
      <c r="DG194" s="52"/>
      <c r="DH194" s="52"/>
      <c r="DI194" s="52"/>
      <c r="DJ194" s="52"/>
      <c r="DK194" s="52"/>
      <c r="DL194" s="52"/>
      <c r="DM194" s="52"/>
      <c r="DN194" s="52"/>
      <c r="DO194" s="52"/>
      <c r="DP194" s="52"/>
      <c r="DQ194" s="52"/>
      <c r="DR194" s="52"/>
      <c r="DS194" s="52"/>
      <c r="DT194" s="52"/>
      <c r="DU194" s="52"/>
      <c r="DV194" s="52"/>
      <c r="DW194" s="52"/>
      <c r="DX194" s="52"/>
      <c r="DY194" s="52"/>
      <c r="DZ194" s="52"/>
      <c r="EA194" s="52"/>
      <c r="EB194" s="52"/>
      <c r="EC194" s="52"/>
      <c r="ED194" s="52"/>
      <c r="EE194" s="52"/>
      <c r="EF194" s="52"/>
      <c r="EG194" s="52"/>
      <c r="EH194" s="52"/>
      <c r="EI194" s="52"/>
      <c r="EJ194" s="52"/>
      <c r="EK194" s="52"/>
      <c r="EL194" s="52"/>
      <c r="EM194" s="52"/>
      <c r="EN194" s="52"/>
      <c r="EO194" s="52"/>
      <c r="EP194" s="52"/>
      <c r="EQ194" s="52"/>
      <c r="ER194" s="52"/>
      <c r="ES194" s="52"/>
      <c r="ET194" s="52"/>
      <c r="EU194" s="52"/>
      <c r="EV194" s="52"/>
      <c r="EW194" s="52"/>
      <c r="EX194" s="52"/>
      <c r="EY194" s="52"/>
      <c r="EZ194" s="52"/>
      <c r="FA194" s="52"/>
      <c r="FB194" s="52"/>
      <c r="FC194" s="52"/>
      <c r="FD194" s="52"/>
      <c r="FE194" s="52"/>
      <c r="FF194" s="52"/>
      <c r="FG194" s="52"/>
      <c r="FH194" s="52"/>
      <c r="FI194" s="52"/>
      <c r="FJ194" s="52"/>
      <c r="FK194" s="52"/>
      <c r="FL194" s="52"/>
      <c r="FM194" s="52"/>
      <c r="FN194" s="52"/>
      <c r="FO194" s="52"/>
      <c r="FP194" s="52"/>
      <c r="FQ194" s="52"/>
      <c r="FR194" s="52"/>
      <c r="FS194" s="52"/>
      <c r="FT194" s="52"/>
      <c r="FU194" s="52"/>
      <c r="FV194" s="52"/>
      <c r="FW194" s="52"/>
      <c r="FX194" s="52"/>
    </row>
    <row r="195" ht="15.75" customHeight="1">
      <c r="A195" s="27"/>
      <c r="B195" s="27"/>
      <c r="C195" s="51"/>
      <c r="D195" s="51"/>
      <c r="E195" s="313"/>
      <c r="F195" s="35"/>
      <c r="G195" s="35"/>
      <c r="H195" s="35"/>
      <c r="I195" s="26"/>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c r="BY195" s="52"/>
      <c r="BZ195" s="52"/>
      <c r="CA195" s="52"/>
      <c r="CB195" s="52"/>
      <c r="CC195" s="52"/>
      <c r="CD195" s="52"/>
      <c r="CE195" s="52"/>
      <c r="CF195" s="52"/>
      <c r="CG195" s="52"/>
      <c r="CH195" s="52"/>
      <c r="CI195" s="52"/>
      <c r="CJ195" s="52"/>
      <c r="CK195" s="52"/>
      <c r="CL195" s="52"/>
      <c r="CM195" s="52"/>
      <c r="CN195" s="52"/>
      <c r="CO195" s="52"/>
      <c r="CP195" s="52"/>
      <c r="CQ195" s="52"/>
      <c r="CR195" s="52"/>
      <c r="CS195" s="52"/>
      <c r="CT195" s="52"/>
      <c r="CU195" s="52"/>
      <c r="CV195" s="52"/>
      <c r="CW195" s="52"/>
      <c r="CX195" s="52"/>
      <c r="CY195" s="52"/>
      <c r="CZ195" s="52"/>
      <c r="DA195" s="52"/>
      <c r="DB195" s="52"/>
      <c r="DC195" s="52"/>
      <c r="DD195" s="52"/>
      <c r="DE195" s="52"/>
      <c r="DF195" s="52"/>
      <c r="DG195" s="52"/>
      <c r="DH195" s="52"/>
      <c r="DI195" s="52"/>
      <c r="DJ195" s="52"/>
      <c r="DK195" s="52"/>
      <c r="DL195" s="52"/>
      <c r="DM195" s="52"/>
      <c r="DN195" s="52"/>
      <c r="DO195" s="52"/>
      <c r="DP195" s="52"/>
      <c r="DQ195" s="52"/>
      <c r="DR195" s="52"/>
      <c r="DS195" s="52"/>
      <c r="DT195" s="52"/>
      <c r="DU195" s="52"/>
      <c r="DV195" s="52"/>
      <c r="DW195" s="52"/>
      <c r="DX195" s="52"/>
      <c r="DY195" s="52"/>
      <c r="DZ195" s="52"/>
      <c r="EA195" s="52"/>
      <c r="EB195" s="52"/>
      <c r="EC195" s="52"/>
      <c r="ED195" s="52"/>
      <c r="EE195" s="52"/>
      <c r="EF195" s="52"/>
      <c r="EG195" s="52"/>
      <c r="EH195" s="52"/>
      <c r="EI195" s="52"/>
      <c r="EJ195" s="52"/>
      <c r="EK195" s="52"/>
      <c r="EL195" s="52"/>
      <c r="EM195" s="52"/>
      <c r="EN195" s="52"/>
      <c r="EO195" s="52"/>
      <c r="EP195" s="52"/>
      <c r="EQ195" s="52"/>
      <c r="ER195" s="52"/>
      <c r="ES195" s="52"/>
      <c r="ET195" s="52"/>
      <c r="EU195" s="52"/>
      <c r="EV195" s="52"/>
      <c r="EW195" s="52"/>
      <c r="EX195" s="52"/>
      <c r="EY195" s="52"/>
      <c r="EZ195" s="52"/>
      <c r="FA195" s="52"/>
      <c r="FB195" s="52"/>
      <c r="FC195" s="52"/>
      <c r="FD195" s="52"/>
      <c r="FE195" s="52"/>
      <c r="FF195" s="52"/>
      <c r="FG195" s="52"/>
      <c r="FH195" s="52"/>
      <c r="FI195" s="52"/>
      <c r="FJ195" s="52"/>
      <c r="FK195" s="52"/>
      <c r="FL195" s="52"/>
      <c r="FM195" s="52"/>
      <c r="FN195" s="52"/>
      <c r="FO195" s="52"/>
      <c r="FP195" s="52"/>
      <c r="FQ195" s="52"/>
      <c r="FR195" s="52"/>
      <c r="FS195" s="52"/>
      <c r="FT195" s="52"/>
      <c r="FU195" s="52"/>
      <c r="FV195" s="52"/>
      <c r="FW195" s="52"/>
      <c r="FX195" s="52"/>
    </row>
    <row r="196" ht="15.75" customHeight="1">
      <c r="A196" s="27"/>
      <c r="B196" s="27"/>
      <c r="C196" s="51"/>
      <c r="D196" s="51"/>
      <c r="E196" s="313"/>
      <c r="F196" s="35"/>
      <c r="G196" s="35"/>
      <c r="H196" s="35"/>
      <c r="I196" s="26"/>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c r="BY196" s="52"/>
      <c r="BZ196" s="52"/>
      <c r="CA196" s="52"/>
      <c r="CB196" s="52"/>
      <c r="CC196" s="52"/>
      <c r="CD196" s="52"/>
      <c r="CE196" s="52"/>
      <c r="CF196" s="52"/>
      <c r="CG196" s="52"/>
      <c r="CH196" s="52"/>
      <c r="CI196" s="52"/>
      <c r="CJ196" s="52"/>
      <c r="CK196" s="52"/>
      <c r="CL196" s="52"/>
      <c r="CM196" s="52"/>
      <c r="CN196" s="52"/>
      <c r="CO196" s="52"/>
      <c r="CP196" s="52"/>
      <c r="CQ196" s="52"/>
      <c r="CR196" s="52"/>
      <c r="CS196" s="52"/>
      <c r="CT196" s="52"/>
      <c r="CU196" s="52"/>
      <c r="CV196" s="52"/>
      <c r="CW196" s="52"/>
      <c r="CX196" s="52"/>
      <c r="CY196" s="52"/>
      <c r="CZ196" s="52"/>
      <c r="DA196" s="52"/>
      <c r="DB196" s="52"/>
      <c r="DC196" s="52"/>
      <c r="DD196" s="52"/>
      <c r="DE196" s="52"/>
      <c r="DF196" s="52"/>
      <c r="DG196" s="52"/>
      <c r="DH196" s="52"/>
      <c r="DI196" s="52"/>
      <c r="DJ196" s="52"/>
      <c r="DK196" s="52"/>
      <c r="DL196" s="52"/>
      <c r="DM196" s="52"/>
      <c r="DN196" s="52"/>
      <c r="DO196" s="52"/>
      <c r="DP196" s="52"/>
      <c r="DQ196" s="52"/>
      <c r="DR196" s="52"/>
      <c r="DS196" s="52"/>
      <c r="DT196" s="52"/>
      <c r="DU196" s="52"/>
      <c r="DV196" s="52"/>
      <c r="DW196" s="52"/>
      <c r="DX196" s="52"/>
      <c r="DY196" s="52"/>
      <c r="DZ196" s="52"/>
      <c r="EA196" s="52"/>
      <c r="EB196" s="52"/>
      <c r="EC196" s="52"/>
      <c r="ED196" s="52"/>
      <c r="EE196" s="52"/>
      <c r="EF196" s="52"/>
      <c r="EG196" s="52"/>
      <c r="EH196" s="52"/>
      <c r="EI196" s="52"/>
      <c r="EJ196" s="52"/>
      <c r="EK196" s="52"/>
      <c r="EL196" s="52"/>
      <c r="EM196" s="52"/>
      <c r="EN196" s="52"/>
      <c r="EO196" s="52"/>
      <c r="EP196" s="52"/>
      <c r="EQ196" s="52"/>
      <c r="ER196" s="52"/>
      <c r="ES196" s="52"/>
      <c r="ET196" s="52"/>
      <c r="EU196" s="52"/>
      <c r="EV196" s="52"/>
      <c r="EW196" s="52"/>
      <c r="EX196" s="52"/>
      <c r="EY196" s="52"/>
      <c r="EZ196" s="52"/>
      <c r="FA196" s="52"/>
      <c r="FB196" s="52"/>
      <c r="FC196" s="52"/>
      <c r="FD196" s="52"/>
      <c r="FE196" s="52"/>
      <c r="FF196" s="52"/>
      <c r="FG196" s="52"/>
      <c r="FH196" s="52"/>
      <c r="FI196" s="52"/>
      <c r="FJ196" s="52"/>
      <c r="FK196" s="52"/>
      <c r="FL196" s="52"/>
      <c r="FM196" s="52"/>
      <c r="FN196" s="52"/>
      <c r="FO196" s="52"/>
      <c r="FP196" s="52"/>
      <c r="FQ196" s="52"/>
      <c r="FR196" s="52"/>
      <c r="FS196" s="52"/>
      <c r="FT196" s="52"/>
      <c r="FU196" s="52"/>
      <c r="FV196" s="52"/>
      <c r="FW196" s="52"/>
      <c r="FX196" s="52"/>
    </row>
    <row r="197" ht="15.75" customHeight="1">
      <c r="A197" s="27"/>
      <c r="B197" s="27"/>
      <c r="C197" s="51"/>
      <c r="D197" s="51"/>
      <c r="E197" s="313"/>
      <c r="F197" s="35"/>
      <c r="G197" s="35"/>
      <c r="H197" s="35"/>
      <c r="I197" s="26"/>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c r="BY197" s="52"/>
      <c r="BZ197" s="52"/>
      <c r="CA197" s="52"/>
      <c r="CB197" s="52"/>
      <c r="CC197" s="52"/>
      <c r="CD197" s="52"/>
      <c r="CE197" s="52"/>
      <c r="CF197" s="52"/>
      <c r="CG197" s="52"/>
      <c r="CH197" s="52"/>
      <c r="CI197" s="52"/>
      <c r="CJ197" s="52"/>
      <c r="CK197" s="52"/>
      <c r="CL197" s="52"/>
      <c r="CM197" s="52"/>
      <c r="CN197" s="52"/>
      <c r="CO197" s="52"/>
      <c r="CP197" s="52"/>
      <c r="CQ197" s="52"/>
      <c r="CR197" s="52"/>
      <c r="CS197" s="52"/>
      <c r="CT197" s="52"/>
      <c r="CU197" s="52"/>
      <c r="CV197" s="52"/>
      <c r="CW197" s="52"/>
      <c r="CX197" s="52"/>
      <c r="CY197" s="52"/>
      <c r="CZ197" s="52"/>
      <c r="DA197" s="52"/>
      <c r="DB197" s="52"/>
      <c r="DC197" s="52"/>
      <c r="DD197" s="52"/>
      <c r="DE197" s="52"/>
      <c r="DF197" s="52"/>
      <c r="DG197" s="52"/>
      <c r="DH197" s="52"/>
      <c r="DI197" s="52"/>
      <c r="DJ197" s="52"/>
      <c r="DK197" s="52"/>
      <c r="DL197" s="52"/>
      <c r="DM197" s="52"/>
      <c r="DN197" s="52"/>
      <c r="DO197" s="52"/>
      <c r="DP197" s="52"/>
      <c r="DQ197" s="52"/>
      <c r="DR197" s="52"/>
      <c r="DS197" s="52"/>
      <c r="DT197" s="52"/>
      <c r="DU197" s="52"/>
      <c r="DV197" s="52"/>
      <c r="DW197" s="52"/>
      <c r="DX197" s="52"/>
      <c r="DY197" s="52"/>
      <c r="DZ197" s="52"/>
      <c r="EA197" s="52"/>
      <c r="EB197" s="52"/>
      <c r="EC197" s="52"/>
      <c r="ED197" s="52"/>
      <c r="EE197" s="52"/>
      <c r="EF197" s="52"/>
      <c r="EG197" s="52"/>
      <c r="EH197" s="52"/>
      <c r="EI197" s="52"/>
      <c r="EJ197" s="52"/>
      <c r="EK197" s="52"/>
      <c r="EL197" s="52"/>
      <c r="EM197" s="52"/>
      <c r="EN197" s="52"/>
      <c r="EO197" s="52"/>
      <c r="EP197" s="52"/>
      <c r="EQ197" s="52"/>
      <c r="ER197" s="52"/>
      <c r="ES197" s="52"/>
      <c r="ET197" s="52"/>
      <c r="EU197" s="52"/>
      <c r="EV197" s="52"/>
      <c r="EW197" s="52"/>
      <c r="EX197" s="52"/>
      <c r="EY197" s="52"/>
      <c r="EZ197" s="52"/>
      <c r="FA197" s="52"/>
      <c r="FB197" s="52"/>
      <c r="FC197" s="52"/>
      <c r="FD197" s="52"/>
      <c r="FE197" s="52"/>
      <c r="FF197" s="52"/>
      <c r="FG197" s="52"/>
      <c r="FH197" s="52"/>
      <c r="FI197" s="52"/>
      <c r="FJ197" s="52"/>
      <c r="FK197" s="52"/>
      <c r="FL197" s="52"/>
      <c r="FM197" s="52"/>
      <c r="FN197" s="52"/>
      <c r="FO197" s="52"/>
      <c r="FP197" s="52"/>
      <c r="FQ197" s="52"/>
      <c r="FR197" s="52"/>
      <c r="FS197" s="52"/>
      <c r="FT197" s="52"/>
      <c r="FU197" s="52"/>
      <c r="FV197" s="52"/>
      <c r="FW197" s="52"/>
      <c r="FX197" s="52"/>
    </row>
    <row r="198" ht="15.75" customHeight="1">
      <c r="A198" s="27"/>
      <c r="B198" s="27"/>
      <c r="C198" s="51"/>
      <c r="D198" s="51"/>
      <c r="E198" s="313"/>
      <c r="F198" s="35"/>
      <c r="G198" s="35"/>
      <c r="H198" s="35"/>
      <c r="I198" s="26"/>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c r="BY198" s="52"/>
      <c r="BZ198" s="52"/>
      <c r="CA198" s="52"/>
      <c r="CB198" s="52"/>
      <c r="CC198" s="52"/>
      <c r="CD198" s="52"/>
      <c r="CE198" s="52"/>
      <c r="CF198" s="52"/>
      <c r="CG198" s="52"/>
      <c r="CH198" s="52"/>
      <c r="CI198" s="52"/>
      <c r="CJ198" s="52"/>
      <c r="CK198" s="52"/>
      <c r="CL198" s="52"/>
      <c r="CM198" s="52"/>
      <c r="CN198" s="52"/>
      <c r="CO198" s="52"/>
      <c r="CP198" s="52"/>
      <c r="CQ198" s="52"/>
      <c r="CR198" s="52"/>
      <c r="CS198" s="52"/>
      <c r="CT198" s="52"/>
      <c r="CU198" s="52"/>
      <c r="CV198" s="52"/>
      <c r="CW198" s="52"/>
      <c r="CX198" s="52"/>
      <c r="CY198" s="52"/>
      <c r="CZ198" s="52"/>
      <c r="DA198" s="52"/>
      <c r="DB198" s="52"/>
      <c r="DC198" s="52"/>
      <c r="DD198" s="52"/>
      <c r="DE198" s="52"/>
      <c r="DF198" s="52"/>
      <c r="DG198" s="52"/>
      <c r="DH198" s="52"/>
      <c r="DI198" s="52"/>
      <c r="DJ198" s="52"/>
      <c r="DK198" s="52"/>
      <c r="DL198" s="52"/>
      <c r="DM198" s="52"/>
      <c r="DN198" s="52"/>
      <c r="DO198" s="52"/>
      <c r="DP198" s="52"/>
      <c r="DQ198" s="52"/>
      <c r="DR198" s="52"/>
      <c r="DS198" s="52"/>
      <c r="DT198" s="52"/>
      <c r="DU198" s="52"/>
      <c r="DV198" s="52"/>
      <c r="DW198" s="52"/>
      <c r="DX198" s="52"/>
      <c r="DY198" s="52"/>
      <c r="DZ198" s="52"/>
      <c r="EA198" s="52"/>
      <c r="EB198" s="52"/>
      <c r="EC198" s="52"/>
      <c r="ED198" s="52"/>
      <c r="EE198" s="52"/>
      <c r="EF198" s="52"/>
      <c r="EG198" s="52"/>
      <c r="EH198" s="52"/>
      <c r="EI198" s="52"/>
      <c r="EJ198" s="52"/>
      <c r="EK198" s="52"/>
      <c r="EL198" s="52"/>
      <c r="EM198" s="52"/>
      <c r="EN198" s="52"/>
      <c r="EO198" s="52"/>
      <c r="EP198" s="52"/>
      <c r="EQ198" s="52"/>
      <c r="ER198" s="52"/>
      <c r="ES198" s="52"/>
      <c r="ET198" s="52"/>
      <c r="EU198" s="52"/>
      <c r="EV198" s="52"/>
      <c r="EW198" s="52"/>
      <c r="EX198" s="52"/>
      <c r="EY198" s="52"/>
      <c r="EZ198" s="52"/>
      <c r="FA198" s="52"/>
      <c r="FB198" s="52"/>
      <c r="FC198" s="52"/>
      <c r="FD198" s="52"/>
      <c r="FE198" s="52"/>
      <c r="FF198" s="52"/>
      <c r="FG198" s="52"/>
      <c r="FH198" s="52"/>
      <c r="FI198" s="52"/>
      <c r="FJ198" s="52"/>
      <c r="FK198" s="52"/>
      <c r="FL198" s="52"/>
      <c r="FM198" s="52"/>
      <c r="FN198" s="52"/>
      <c r="FO198" s="52"/>
      <c r="FP198" s="52"/>
      <c r="FQ198" s="52"/>
      <c r="FR198" s="52"/>
      <c r="FS198" s="52"/>
      <c r="FT198" s="52"/>
      <c r="FU198" s="52"/>
      <c r="FV198" s="52"/>
      <c r="FW198" s="52"/>
      <c r="FX198" s="52"/>
    </row>
    <row r="199" ht="15.75" customHeight="1">
      <c r="A199" s="27"/>
      <c r="B199" s="27"/>
      <c r="C199" s="51"/>
      <c r="D199" s="51"/>
      <c r="E199" s="313"/>
      <c r="F199" s="35"/>
      <c r="G199" s="35"/>
      <c r="H199" s="35"/>
      <c r="I199" s="26"/>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c r="BY199" s="52"/>
      <c r="BZ199" s="52"/>
      <c r="CA199" s="52"/>
      <c r="CB199" s="52"/>
      <c r="CC199" s="52"/>
      <c r="CD199" s="52"/>
      <c r="CE199" s="52"/>
      <c r="CF199" s="52"/>
      <c r="CG199" s="52"/>
      <c r="CH199" s="52"/>
      <c r="CI199" s="52"/>
      <c r="CJ199" s="52"/>
      <c r="CK199" s="52"/>
      <c r="CL199" s="52"/>
      <c r="CM199" s="52"/>
      <c r="CN199" s="52"/>
      <c r="CO199" s="52"/>
      <c r="CP199" s="52"/>
      <c r="CQ199" s="52"/>
      <c r="CR199" s="52"/>
      <c r="CS199" s="52"/>
      <c r="CT199" s="52"/>
      <c r="CU199" s="52"/>
      <c r="CV199" s="52"/>
      <c r="CW199" s="52"/>
      <c r="CX199" s="52"/>
      <c r="CY199" s="52"/>
      <c r="CZ199" s="52"/>
      <c r="DA199" s="52"/>
      <c r="DB199" s="52"/>
      <c r="DC199" s="52"/>
      <c r="DD199" s="52"/>
      <c r="DE199" s="52"/>
      <c r="DF199" s="52"/>
      <c r="DG199" s="52"/>
      <c r="DH199" s="52"/>
      <c r="DI199" s="52"/>
      <c r="DJ199" s="52"/>
      <c r="DK199" s="52"/>
      <c r="DL199" s="52"/>
      <c r="DM199" s="52"/>
      <c r="DN199" s="52"/>
      <c r="DO199" s="52"/>
      <c r="DP199" s="52"/>
      <c r="DQ199" s="52"/>
      <c r="DR199" s="52"/>
      <c r="DS199" s="52"/>
      <c r="DT199" s="52"/>
      <c r="DU199" s="52"/>
      <c r="DV199" s="52"/>
      <c r="DW199" s="52"/>
      <c r="DX199" s="52"/>
      <c r="DY199" s="52"/>
      <c r="DZ199" s="52"/>
      <c r="EA199" s="52"/>
      <c r="EB199" s="52"/>
      <c r="EC199" s="52"/>
      <c r="ED199" s="52"/>
      <c r="EE199" s="52"/>
      <c r="EF199" s="52"/>
      <c r="EG199" s="52"/>
      <c r="EH199" s="52"/>
      <c r="EI199" s="52"/>
      <c r="EJ199" s="52"/>
      <c r="EK199" s="52"/>
      <c r="EL199" s="52"/>
      <c r="EM199" s="52"/>
      <c r="EN199" s="52"/>
      <c r="EO199" s="52"/>
      <c r="EP199" s="52"/>
      <c r="EQ199" s="52"/>
      <c r="ER199" s="52"/>
      <c r="ES199" s="52"/>
      <c r="ET199" s="52"/>
      <c r="EU199" s="52"/>
      <c r="EV199" s="52"/>
      <c r="EW199" s="52"/>
      <c r="EX199" s="52"/>
      <c r="EY199" s="52"/>
      <c r="EZ199" s="52"/>
      <c r="FA199" s="52"/>
      <c r="FB199" s="52"/>
      <c r="FC199" s="52"/>
      <c r="FD199" s="52"/>
      <c r="FE199" s="52"/>
      <c r="FF199" s="52"/>
      <c r="FG199" s="52"/>
      <c r="FH199" s="52"/>
      <c r="FI199" s="52"/>
      <c r="FJ199" s="52"/>
      <c r="FK199" s="52"/>
      <c r="FL199" s="52"/>
      <c r="FM199" s="52"/>
      <c r="FN199" s="52"/>
      <c r="FO199" s="52"/>
      <c r="FP199" s="52"/>
      <c r="FQ199" s="52"/>
      <c r="FR199" s="52"/>
      <c r="FS199" s="52"/>
      <c r="FT199" s="52"/>
      <c r="FU199" s="52"/>
      <c r="FV199" s="52"/>
      <c r="FW199" s="52"/>
      <c r="FX199" s="52"/>
    </row>
    <row r="200" ht="15.75" customHeight="1">
      <c r="A200" s="27"/>
      <c r="B200" s="27"/>
      <c r="C200" s="51"/>
      <c r="D200" s="51"/>
      <c r="E200" s="313"/>
      <c r="F200" s="35"/>
      <c r="G200" s="35"/>
      <c r="H200" s="35"/>
      <c r="I200" s="26"/>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c r="BY200" s="52"/>
      <c r="BZ200" s="52"/>
      <c r="CA200" s="52"/>
      <c r="CB200" s="52"/>
      <c r="CC200" s="52"/>
      <c r="CD200" s="52"/>
      <c r="CE200" s="52"/>
      <c r="CF200" s="52"/>
      <c r="CG200" s="52"/>
      <c r="CH200" s="52"/>
      <c r="CI200" s="52"/>
      <c r="CJ200" s="52"/>
      <c r="CK200" s="52"/>
      <c r="CL200" s="52"/>
      <c r="CM200" s="52"/>
      <c r="CN200" s="52"/>
      <c r="CO200" s="52"/>
      <c r="CP200" s="52"/>
      <c r="CQ200" s="52"/>
      <c r="CR200" s="52"/>
      <c r="CS200" s="52"/>
      <c r="CT200" s="52"/>
      <c r="CU200" s="52"/>
      <c r="CV200" s="52"/>
      <c r="CW200" s="52"/>
      <c r="CX200" s="52"/>
      <c r="CY200" s="52"/>
      <c r="CZ200" s="52"/>
      <c r="DA200" s="52"/>
      <c r="DB200" s="52"/>
      <c r="DC200" s="52"/>
      <c r="DD200" s="52"/>
      <c r="DE200" s="52"/>
      <c r="DF200" s="52"/>
      <c r="DG200" s="52"/>
      <c r="DH200" s="52"/>
      <c r="DI200" s="52"/>
      <c r="DJ200" s="52"/>
      <c r="DK200" s="52"/>
      <c r="DL200" s="52"/>
      <c r="DM200" s="52"/>
      <c r="DN200" s="52"/>
      <c r="DO200" s="52"/>
      <c r="DP200" s="52"/>
      <c r="DQ200" s="52"/>
      <c r="DR200" s="52"/>
      <c r="DS200" s="52"/>
      <c r="DT200" s="52"/>
      <c r="DU200" s="52"/>
      <c r="DV200" s="52"/>
      <c r="DW200" s="52"/>
      <c r="DX200" s="52"/>
      <c r="DY200" s="52"/>
      <c r="DZ200" s="52"/>
      <c r="EA200" s="52"/>
      <c r="EB200" s="52"/>
      <c r="EC200" s="52"/>
      <c r="ED200" s="52"/>
      <c r="EE200" s="52"/>
      <c r="EF200" s="52"/>
      <c r="EG200" s="52"/>
      <c r="EH200" s="52"/>
      <c r="EI200" s="52"/>
      <c r="EJ200" s="52"/>
      <c r="EK200" s="52"/>
      <c r="EL200" s="52"/>
      <c r="EM200" s="52"/>
      <c r="EN200" s="52"/>
      <c r="EO200" s="52"/>
      <c r="EP200" s="52"/>
      <c r="EQ200" s="52"/>
      <c r="ER200" s="52"/>
      <c r="ES200" s="52"/>
      <c r="ET200" s="52"/>
      <c r="EU200" s="52"/>
      <c r="EV200" s="52"/>
      <c r="EW200" s="52"/>
      <c r="EX200" s="52"/>
      <c r="EY200" s="52"/>
      <c r="EZ200" s="52"/>
      <c r="FA200" s="52"/>
      <c r="FB200" s="52"/>
      <c r="FC200" s="52"/>
      <c r="FD200" s="52"/>
      <c r="FE200" s="52"/>
      <c r="FF200" s="52"/>
      <c r="FG200" s="52"/>
      <c r="FH200" s="52"/>
      <c r="FI200" s="52"/>
      <c r="FJ200" s="52"/>
      <c r="FK200" s="52"/>
      <c r="FL200" s="52"/>
      <c r="FM200" s="52"/>
      <c r="FN200" s="52"/>
      <c r="FO200" s="52"/>
      <c r="FP200" s="52"/>
      <c r="FQ200" s="52"/>
      <c r="FR200" s="52"/>
      <c r="FS200" s="52"/>
      <c r="FT200" s="52"/>
      <c r="FU200" s="52"/>
      <c r="FV200" s="52"/>
      <c r="FW200" s="52"/>
      <c r="FX200" s="52"/>
    </row>
    <row r="201" ht="15.75" customHeight="1">
      <c r="A201" s="27"/>
      <c r="B201" s="27"/>
      <c r="C201" s="51"/>
      <c r="D201" s="51"/>
      <c r="E201" s="313"/>
      <c r="F201" s="35"/>
      <c r="G201" s="35"/>
      <c r="H201" s="35"/>
      <c r="I201" s="26"/>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c r="BY201" s="52"/>
      <c r="BZ201" s="52"/>
      <c r="CA201" s="52"/>
      <c r="CB201" s="52"/>
      <c r="CC201" s="52"/>
      <c r="CD201" s="52"/>
      <c r="CE201" s="52"/>
      <c r="CF201" s="52"/>
      <c r="CG201" s="52"/>
      <c r="CH201" s="52"/>
      <c r="CI201" s="52"/>
      <c r="CJ201" s="52"/>
      <c r="CK201" s="52"/>
      <c r="CL201" s="52"/>
      <c r="CM201" s="52"/>
      <c r="CN201" s="52"/>
      <c r="CO201" s="52"/>
      <c r="CP201" s="52"/>
      <c r="CQ201" s="52"/>
      <c r="CR201" s="52"/>
      <c r="CS201" s="52"/>
      <c r="CT201" s="52"/>
      <c r="CU201" s="52"/>
      <c r="CV201" s="52"/>
      <c r="CW201" s="52"/>
      <c r="CX201" s="52"/>
      <c r="CY201" s="52"/>
      <c r="CZ201" s="52"/>
      <c r="DA201" s="52"/>
      <c r="DB201" s="52"/>
      <c r="DC201" s="52"/>
      <c r="DD201" s="52"/>
      <c r="DE201" s="52"/>
      <c r="DF201" s="52"/>
      <c r="DG201" s="52"/>
      <c r="DH201" s="52"/>
      <c r="DI201" s="52"/>
      <c r="DJ201" s="52"/>
      <c r="DK201" s="52"/>
      <c r="DL201" s="52"/>
      <c r="DM201" s="52"/>
      <c r="DN201" s="52"/>
      <c r="DO201" s="52"/>
      <c r="DP201" s="52"/>
      <c r="DQ201" s="52"/>
      <c r="DR201" s="52"/>
      <c r="DS201" s="52"/>
      <c r="DT201" s="52"/>
      <c r="DU201" s="52"/>
      <c r="DV201" s="52"/>
      <c r="DW201" s="52"/>
      <c r="DX201" s="52"/>
      <c r="DY201" s="52"/>
      <c r="DZ201" s="52"/>
      <c r="EA201" s="52"/>
      <c r="EB201" s="52"/>
      <c r="EC201" s="52"/>
      <c r="ED201" s="52"/>
      <c r="EE201" s="52"/>
      <c r="EF201" s="52"/>
      <c r="EG201" s="52"/>
      <c r="EH201" s="52"/>
      <c r="EI201" s="52"/>
      <c r="EJ201" s="52"/>
      <c r="EK201" s="52"/>
      <c r="EL201" s="52"/>
      <c r="EM201" s="52"/>
      <c r="EN201" s="52"/>
      <c r="EO201" s="52"/>
      <c r="EP201" s="52"/>
      <c r="EQ201" s="52"/>
      <c r="ER201" s="52"/>
      <c r="ES201" s="52"/>
      <c r="ET201" s="52"/>
      <c r="EU201" s="52"/>
      <c r="EV201" s="52"/>
      <c r="EW201" s="52"/>
      <c r="EX201" s="52"/>
      <c r="EY201" s="52"/>
      <c r="EZ201" s="52"/>
      <c r="FA201" s="52"/>
      <c r="FB201" s="52"/>
      <c r="FC201" s="52"/>
      <c r="FD201" s="52"/>
      <c r="FE201" s="52"/>
      <c r="FF201" s="52"/>
      <c r="FG201" s="52"/>
      <c r="FH201" s="52"/>
      <c r="FI201" s="52"/>
      <c r="FJ201" s="52"/>
      <c r="FK201" s="52"/>
      <c r="FL201" s="52"/>
      <c r="FM201" s="52"/>
      <c r="FN201" s="52"/>
      <c r="FO201" s="52"/>
      <c r="FP201" s="52"/>
      <c r="FQ201" s="52"/>
      <c r="FR201" s="52"/>
      <c r="FS201" s="52"/>
      <c r="FT201" s="52"/>
      <c r="FU201" s="52"/>
      <c r="FV201" s="52"/>
      <c r="FW201" s="52"/>
      <c r="FX201" s="52"/>
    </row>
    <row r="202" ht="15.75" customHeight="1">
      <c r="A202" s="27"/>
      <c r="B202" s="27"/>
      <c r="C202" s="51"/>
      <c r="D202" s="51"/>
      <c r="E202" s="313"/>
      <c r="F202" s="35"/>
      <c r="G202" s="35"/>
      <c r="H202" s="35"/>
      <c r="I202" s="26"/>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c r="BY202" s="52"/>
      <c r="BZ202" s="52"/>
      <c r="CA202" s="52"/>
      <c r="CB202" s="52"/>
      <c r="CC202" s="52"/>
      <c r="CD202" s="52"/>
      <c r="CE202" s="52"/>
      <c r="CF202" s="52"/>
      <c r="CG202" s="52"/>
      <c r="CH202" s="52"/>
      <c r="CI202" s="52"/>
      <c r="CJ202" s="52"/>
      <c r="CK202" s="52"/>
      <c r="CL202" s="52"/>
      <c r="CM202" s="52"/>
      <c r="CN202" s="52"/>
      <c r="CO202" s="52"/>
      <c r="CP202" s="52"/>
      <c r="CQ202" s="52"/>
      <c r="CR202" s="52"/>
      <c r="CS202" s="52"/>
      <c r="CT202" s="52"/>
      <c r="CU202" s="52"/>
      <c r="CV202" s="52"/>
      <c r="CW202" s="52"/>
      <c r="CX202" s="52"/>
      <c r="CY202" s="52"/>
      <c r="CZ202" s="52"/>
      <c r="DA202" s="52"/>
      <c r="DB202" s="52"/>
      <c r="DC202" s="52"/>
      <c r="DD202" s="52"/>
      <c r="DE202" s="52"/>
      <c r="DF202" s="52"/>
      <c r="DG202" s="52"/>
      <c r="DH202" s="52"/>
      <c r="DI202" s="52"/>
      <c r="DJ202" s="52"/>
      <c r="DK202" s="52"/>
      <c r="DL202" s="52"/>
      <c r="DM202" s="52"/>
      <c r="DN202" s="52"/>
      <c r="DO202" s="52"/>
      <c r="DP202" s="52"/>
      <c r="DQ202" s="52"/>
      <c r="DR202" s="52"/>
      <c r="DS202" s="52"/>
      <c r="DT202" s="52"/>
      <c r="DU202" s="52"/>
      <c r="DV202" s="52"/>
      <c r="DW202" s="52"/>
      <c r="DX202" s="52"/>
      <c r="DY202" s="52"/>
      <c r="DZ202" s="52"/>
      <c r="EA202" s="52"/>
      <c r="EB202" s="52"/>
      <c r="EC202" s="52"/>
      <c r="ED202" s="52"/>
      <c r="EE202" s="52"/>
      <c r="EF202" s="52"/>
      <c r="EG202" s="52"/>
      <c r="EH202" s="52"/>
      <c r="EI202" s="52"/>
      <c r="EJ202" s="52"/>
      <c r="EK202" s="52"/>
      <c r="EL202" s="52"/>
      <c r="EM202" s="52"/>
      <c r="EN202" s="52"/>
      <c r="EO202" s="52"/>
      <c r="EP202" s="52"/>
      <c r="EQ202" s="52"/>
      <c r="ER202" s="52"/>
      <c r="ES202" s="52"/>
      <c r="ET202" s="52"/>
      <c r="EU202" s="52"/>
      <c r="EV202" s="52"/>
      <c r="EW202" s="52"/>
      <c r="EX202" s="52"/>
      <c r="EY202" s="52"/>
      <c r="EZ202" s="52"/>
      <c r="FA202" s="52"/>
      <c r="FB202" s="52"/>
      <c r="FC202" s="52"/>
      <c r="FD202" s="52"/>
      <c r="FE202" s="52"/>
      <c r="FF202" s="52"/>
      <c r="FG202" s="52"/>
      <c r="FH202" s="52"/>
      <c r="FI202" s="52"/>
      <c r="FJ202" s="52"/>
      <c r="FK202" s="52"/>
      <c r="FL202" s="52"/>
      <c r="FM202" s="52"/>
      <c r="FN202" s="52"/>
      <c r="FO202" s="52"/>
      <c r="FP202" s="52"/>
      <c r="FQ202" s="52"/>
      <c r="FR202" s="52"/>
      <c r="FS202" s="52"/>
      <c r="FT202" s="52"/>
      <c r="FU202" s="52"/>
      <c r="FV202" s="52"/>
      <c r="FW202" s="52"/>
      <c r="FX202" s="52"/>
    </row>
    <row r="203" ht="15.75" customHeight="1">
      <c r="A203" s="27"/>
      <c r="B203" s="27"/>
      <c r="C203" s="51"/>
      <c r="D203" s="51"/>
      <c r="E203" s="313"/>
      <c r="F203" s="35"/>
      <c r="G203" s="35"/>
      <c r="H203" s="35"/>
      <c r="I203" s="26"/>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c r="BY203" s="52"/>
      <c r="BZ203" s="52"/>
      <c r="CA203" s="52"/>
      <c r="CB203" s="52"/>
      <c r="CC203" s="52"/>
      <c r="CD203" s="52"/>
      <c r="CE203" s="52"/>
      <c r="CF203" s="52"/>
      <c r="CG203" s="52"/>
      <c r="CH203" s="52"/>
      <c r="CI203" s="52"/>
      <c r="CJ203" s="52"/>
      <c r="CK203" s="52"/>
      <c r="CL203" s="52"/>
      <c r="CM203" s="52"/>
      <c r="CN203" s="52"/>
      <c r="CO203" s="52"/>
      <c r="CP203" s="52"/>
      <c r="CQ203" s="52"/>
      <c r="CR203" s="52"/>
      <c r="CS203" s="52"/>
      <c r="CT203" s="52"/>
      <c r="CU203" s="52"/>
      <c r="CV203" s="52"/>
      <c r="CW203" s="52"/>
      <c r="CX203" s="52"/>
      <c r="CY203" s="52"/>
      <c r="CZ203" s="52"/>
      <c r="DA203" s="52"/>
      <c r="DB203" s="52"/>
      <c r="DC203" s="52"/>
      <c r="DD203" s="52"/>
      <c r="DE203" s="52"/>
      <c r="DF203" s="52"/>
      <c r="DG203" s="52"/>
      <c r="DH203" s="52"/>
      <c r="DI203" s="52"/>
      <c r="DJ203" s="52"/>
      <c r="DK203" s="52"/>
      <c r="DL203" s="52"/>
      <c r="DM203" s="52"/>
      <c r="DN203" s="52"/>
      <c r="DO203" s="52"/>
      <c r="DP203" s="52"/>
      <c r="DQ203" s="52"/>
      <c r="DR203" s="52"/>
      <c r="DS203" s="52"/>
      <c r="DT203" s="52"/>
      <c r="DU203" s="52"/>
      <c r="DV203" s="52"/>
      <c r="DW203" s="52"/>
      <c r="DX203" s="52"/>
      <c r="DY203" s="52"/>
      <c r="DZ203" s="52"/>
      <c r="EA203" s="52"/>
      <c r="EB203" s="52"/>
      <c r="EC203" s="52"/>
      <c r="ED203" s="52"/>
      <c r="EE203" s="52"/>
      <c r="EF203" s="52"/>
      <c r="EG203" s="52"/>
      <c r="EH203" s="52"/>
      <c r="EI203" s="52"/>
      <c r="EJ203" s="52"/>
      <c r="EK203" s="52"/>
      <c r="EL203" s="52"/>
      <c r="EM203" s="52"/>
      <c r="EN203" s="52"/>
      <c r="EO203" s="52"/>
      <c r="EP203" s="52"/>
      <c r="EQ203" s="52"/>
      <c r="ER203" s="52"/>
      <c r="ES203" s="52"/>
      <c r="ET203" s="52"/>
      <c r="EU203" s="52"/>
      <c r="EV203" s="52"/>
      <c r="EW203" s="52"/>
      <c r="EX203" s="52"/>
      <c r="EY203" s="52"/>
      <c r="EZ203" s="52"/>
      <c r="FA203" s="52"/>
      <c r="FB203" s="52"/>
      <c r="FC203" s="52"/>
      <c r="FD203" s="52"/>
      <c r="FE203" s="52"/>
      <c r="FF203" s="52"/>
      <c r="FG203" s="52"/>
      <c r="FH203" s="52"/>
      <c r="FI203" s="52"/>
      <c r="FJ203" s="52"/>
      <c r="FK203" s="52"/>
      <c r="FL203" s="52"/>
      <c r="FM203" s="52"/>
      <c r="FN203" s="52"/>
      <c r="FO203" s="52"/>
      <c r="FP203" s="52"/>
      <c r="FQ203" s="52"/>
      <c r="FR203" s="52"/>
      <c r="FS203" s="52"/>
      <c r="FT203" s="52"/>
      <c r="FU203" s="52"/>
      <c r="FV203" s="52"/>
      <c r="FW203" s="52"/>
      <c r="FX203" s="52"/>
    </row>
    <row r="204" ht="15.75" customHeight="1">
      <c r="A204" s="27"/>
      <c r="B204" s="27"/>
      <c r="C204" s="51"/>
      <c r="D204" s="51"/>
      <c r="E204" s="313"/>
      <c r="F204" s="35"/>
      <c r="G204" s="35"/>
      <c r="H204" s="35"/>
      <c r="I204" s="26"/>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c r="BY204" s="52"/>
      <c r="BZ204" s="52"/>
      <c r="CA204" s="52"/>
      <c r="CB204" s="52"/>
      <c r="CC204" s="52"/>
      <c r="CD204" s="52"/>
      <c r="CE204" s="52"/>
      <c r="CF204" s="52"/>
      <c r="CG204" s="52"/>
      <c r="CH204" s="52"/>
      <c r="CI204" s="52"/>
      <c r="CJ204" s="52"/>
      <c r="CK204" s="52"/>
      <c r="CL204" s="52"/>
      <c r="CM204" s="52"/>
      <c r="CN204" s="52"/>
      <c r="CO204" s="52"/>
      <c r="CP204" s="52"/>
      <c r="CQ204" s="52"/>
      <c r="CR204" s="52"/>
      <c r="CS204" s="52"/>
      <c r="CT204" s="52"/>
      <c r="CU204" s="52"/>
      <c r="CV204" s="52"/>
      <c r="CW204" s="52"/>
      <c r="CX204" s="52"/>
      <c r="CY204" s="52"/>
      <c r="CZ204" s="52"/>
      <c r="DA204" s="52"/>
      <c r="DB204" s="52"/>
      <c r="DC204" s="52"/>
      <c r="DD204" s="52"/>
      <c r="DE204" s="52"/>
      <c r="DF204" s="52"/>
      <c r="DG204" s="52"/>
      <c r="DH204" s="52"/>
      <c r="DI204" s="52"/>
      <c r="DJ204" s="52"/>
      <c r="DK204" s="52"/>
      <c r="DL204" s="52"/>
      <c r="DM204" s="52"/>
      <c r="DN204" s="52"/>
      <c r="DO204" s="52"/>
      <c r="DP204" s="52"/>
      <c r="DQ204" s="52"/>
      <c r="DR204" s="52"/>
      <c r="DS204" s="52"/>
      <c r="DT204" s="52"/>
      <c r="DU204" s="52"/>
      <c r="DV204" s="52"/>
      <c r="DW204" s="52"/>
      <c r="DX204" s="52"/>
      <c r="DY204" s="52"/>
      <c r="DZ204" s="52"/>
      <c r="EA204" s="52"/>
      <c r="EB204" s="52"/>
      <c r="EC204" s="52"/>
      <c r="ED204" s="52"/>
      <c r="EE204" s="52"/>
      <c r="EF204" s="52"/>
      <c r="EG204" s="52"/>
      <c r="EH204" s="52"/>
      <c r="EI204" s="52"/>
      <c r="EJ204" s="52"/>
      <c r="EK204" s="52"/>
      <c r="EL204" s="52"/>
      <c r="EM204" s="52"/>
      <c r="EN204" s="52"/>
      <c r="EO204" s="52"/>
      <c r="EP204" s="52"/>
      <c r="EQ204" s="52"/>
      <c r="ER204" s="52"/>
      <c r="ES204" s="52"/>
      <c r="ET204" s="52"/>
      <c r="EU204" s="52"/>
      <c r="EV204" s="52"/>
      <c r="EW204" s="52"/>
      <c r="EX204" s="52"/>
      <c r="EY204" s="52"/>
      <c r="EZ204" s="52"/>
      <c r="FA204" s="52"/>
      <c r="FB204" s="52"/>
      <c r="FC204" s="52"/>
      <c r="FD204" s="52"/>
      <c r="FE204" s="52"/>
      <c r="FF204" s="52"/>
      <c r="FG204" s="52"/>
      <c r="FH204" s="52"/>
      <c r="FI204" s="52"/>
      <c r="FJ204" s="52"/>
      <c r="FK204" s="52"/>
      <c r="FL204" s="52"/>
      <c r="FM204" s="52"/>
      <c r="FN204" s="52"/>
      <c r="FO204" s="52"/>
      <c r="FP204" s="52"/>
      <c r="FQ204" s="52"/>
      <c r="FR204" s="52"/>
      <c r="FS204" s="52"/>
      <c r="FT204" s="52"/>
      <c r="FU204" s="52"/>
      <c r="FV204" s="52"/>
      <c r="FW204" s="52"/>
      <c r="FX204" s="52"/>
    </row>
    <row r="205" ht="15.75" customHeight="1">
      <c r="A205" s="27"/>
      <c r="B205" s="27"/>
      <c r="C205" s="51"/>
      <c r="D205" s="51"/>
      <c r="E205" s="313"/>
      <c r="F205" s="35"/>
      <c r="G205" s="35"/>
      <c r="H205" s="35"/>
      <c r="I205" s="26"/>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52"/>
      <c r="BK205" s="52"/>
      <c r="BL205" s="52"/>
      <c r="BM205" s="52"/>
      <c r="BN205" s="52"/>
      <c r="BO205" s="52"/>
      <c r="BP205" s="52"/>
      <c r="BQ205" s="52"/>
      <c r="BR205" s="52"/>
      <c r="BS205" s="52"/>
      <c r="BT205" s="52"/>
      <c r="BU205" s="52"/>
      <c r="BV205" s="52"/>
      <c r="BW205" s="52"/>
      <c r="BX205" s="52"/>
      <c r="BY205" s="52"/>
      <c r="BZ205" s="52"/>
      <c r="CA205" s="52"/>
      <c r="CB205" s="52"/>
      <c r="CC205" s="52"/>
      <c r="CD205" s="52"/>
      <c r="CE205" s="52"/>
      <c r="CF205" s="52"/>
      <c r="CG205" s="52"/>
      <c r="CH205" s="52"/>
      <c r="CI205" s="52"/>
      <c r="CJ205" s="52"/>
      <c r="CK205" s="52"/>
      <c r="CL205" s="52"/>
      <c r="CM205" s="52"/>
      <c r="CN205" s="52"/>
      <c r="CO205" s="52"/>
      <c r="CP205" s="52"/>
      <c r="CQ205" s="52"/>
      <c r="CR205" s="52"/>
      <c r="CS205" s="52"/>
      <c r="CT205" s="52"/>
      <c r="CU205" s="52"/>
      <c r="CV205" s="52"/>
      <c r="CW205" s="52"/>
      <c r="CX205" s="52"/>
      <c r="CY205" s="52"/>
      <c r="CZ205" s="52"/>
      <c r="DA205" s="52"/>
      <c r="DB205" s="52"/>
      <c r="DC205" s="52"/>
      <c r="DD205" s="52"/>
      <c r="DE205" s="52"/>
      <c r="DF205" s="52"/>
      <c r="DG205" s="52"/>
      <c r="DH205" s="52"/>
      <c r="DI205" s="52"/>
      <c r="DJ205" s="52"/>
      <c r="DK205" s="52"/>
      <c r="DL205" s="52"/>
      <c r="DM205" s="52"/>
      <c r="DN205" s="52"/>
      <c r="DO205" s="52"/>
      <c r="DP205" s="52"/>
      <c r="DQ205" s="52"/>
      <c r="DR205" s="52"/>
      <c r="DS205" s="52"/>
      <c r="DT205" s="52"/>
      <c r="DU205" s="52"/>
      <c r="DV205" s="52"/>
      <c r="DW205" s="52"/>
      <c r="DX205" s="52"/>
      <c r="DY205" s="52"/>
      <c r="DZ205" s="52"/>
      <c r="EA205" s="52"/>
      <c r="EB205" s="52"/>
      <c r="EC205" s="52"/>
      <c r="ED205" s="52"/>
      <c r="EE205" s="52"/>
      <c r="EF205" s="52"/>
      <c r="EG205" s="52"/>
      <c r="EH205" s="52"/>
      <c r="EI205" s="52"/>
      <c r="EJ205" s="52"/>
      <c r="EK205" s="52"/>
      <c r="EL205" s="52"/>
      <c r="EM205" s="52"/>
      <c r="EN205" s="52"/>
      <c r="EO205" s="52"/>
      <c r="EP205" s="52"/>
      <c r="EQ205" s="52"/>
      <c r="ER205" s="52"/>
      <c r="ES205" s="52"/>
      <c r="ET205" s="52"/>
      <c r="EU205" s="52"/>
      <c r="EV205" s="52"/>
      <c r="EW205" s="52"/>
      <c r="EX205" s="52"/>
      <c r="EY205" s="52"/>
      <c r="EZ205" s="52"/>
      <c r="FA205" s="52"/>
      <c r="FB205" s="52"/>
      <c r="FC205" s="52"/>
      <c r="FD205" s="52"/>
      <c r="FE205" s="52"/>
      <c r="FF205" s="52"/>
      <c r="FG205" s="52"/>
      <c r="FH205" s="52"/>
      <c r="FI205" s="52"/>
      <c r="FJ205" s="52"/>
      <c r="FK205" s="52"/>
      <c r="FL205" s="52"/>
      <c r="FM205" s="52"/>
      <c r="FN205" s="52"/>
      <c r="FO205" s="52"/>
      <c r="FP205" s="52"/>
      <c r="FQ205" s="52"/>
      <c r="FR205" s="52"/>
      <c r="FS205" s="52"/>
      <c r="FT205" s="52"/>
      <c r="FU205" s="52"/>
      <c r="FV205" s="52"/>
      <c r="FW205" s="52"/>
      <c r="FX205" s="52"/>
    </row>
    <row r="206" ht="15.75" customHeight="1">
      <c r="A206" s="27"/>
      <c r="B206" s="27"/>
      <c r="C206" s="51"/>
      <c r="D206" s="51"/>
      <c r="E206" s="313"/>
      <c r="F206" s="35"/>
      <c r="G206" s="35"/>
      <c r="H206" s="35"/>
      <c r="I206" s="26"/>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c r="BY206" s="52"/>
      <c r="BZ206" s="52"/>
      <c r="CA206" s="52"/>
      <c r="CB206" s="52"/>
      <c r="CC206" s="52"/>
      <c r="CD206" s="52"/>
      <c r="CE206" s="52"/>
      <c r="CF206" s="52"/>
      <c r="CG206" s="52"/>
      <c r="CH206" s="52"/>
      <c r="CI206" s="52"/>
      <c r="CJ206" s="52"/>
      <c r="CK206" s="52"/>
      <c r="CL206" s="52"/>
      <c r="CM206" s="52"/>
      <c r="CN206" s="52"/>
      <c r="CO206" s="52"/>
      <c r="CP206" s="52"/>
      <c r="CQ206" s="52"/>
      <c r="CR206" s="52"/>
      <c r="CS206" s="52"/>
      <c r="CT206" s="52"/>
      <c r="CU206" s="52"/>
      <c r="CV206" s="52"/>
      <c r="CW206" s="52"/>
      <c r="CX206" s="52"/>
      <c r="CY206" s="52"/>
      <c r="CZ206" s="52"/>
      <c r="DA206" s="52"/>
      <c r="DB206" s="52"/>
      <c r="DC206" s="52"/>
      <c r="DD206" s="52"/>
      <c r="DE206" s="52"/>
      <c r="DF206" s="52"/>
      <c r="DG206" s="52"/>
      <c r="DH206" s="52"/>
      <c r="DI206" s="52"/>
      <c r="DJ206" s="52"/>
      <c r="DK206" s="52"/>
      <c r="DL206" s="52"/>
      <c r="DM206" s="52"/>
      <c r="DN206" s="52"/>
      <c r="DO206" s="52"/>
      <c r="DP206" s="52"/>
      <c r="DQ206" s="52"/>
      <c r="DR206" s="52"/>
      <c r="DS206" s="52"/>
      <c r="DT206" s="52"/>
      <c r="DU206" s="52"/>
      <c r="DV206" s="52"/>
      <c r="DW206" s="52"/>
      <c r="DX206" s="52"/>
      <c r="DY206" s="52"/>
      <c r="DZ206" s="52"/>
      <c r="EA206" s="52"/>
      <c r="EB206" s="52"/>
      <c r="EC206" s="52"/>
      <c r="ED206" s="52"/>
      <c r="EE206" s="52"/>
      <c r="EF206" s="52"/>
      <c r="EG206" s="52"/>
      <c r="EH206" s="52"/>
      <c r="EI206" s="52"/>
      <c r="EJ206" s="52"/>
      <c r="EK206" s="52"/>
      <c r="EL206" s="52"/>
      <c r="EM206" s="52"/>
      <c r="EN206" s="52"/>
      <c r="EO206" s="52"/>
      <c r="EP206" s="52"/>
      <c r="EQ206" s="52"/>
      <c r="ER206" s="52"/>
      <c r="ES206" s="52"/>
      <c r="ET206" s="52"/>
      <c r="EU206" s="52"/>
      <c r="EV206" s="52"/>
      <c r="EW206" s="52"/>
      <c r="EX206" s="52"/>
      <c r="EY206" s="52"/>
      <c r="EZ206" s="52"/>
      <c r="FA206" s="52"/>
      <c r="FB206" s="52"/>
      <c r="FC206" s="52"/>
      <c r="FD206" s="52"/>
      <c r="FE206" s="52"/>
      <c r="FF206" s="52"/>
      <c r="FG206" s="52"/>
      <c r="FH206" s="52"/>
      <c r="FI206" s="52"/>
      <c r="FJ206" s="52"/>
      <c r="FK206" s="52"/>
      <c r="FL206" s="52"/>
      <c r="FM206" s="52"/>
      <c r="FN206" s="52"/>
      <c r="FO206" s="52"/>
      <c r="FP206" s="52"/>
      <c r="FQ206" s="52"/>
      <c r="FR206" s="52"/>
      <c r="FS206" s="52"/>
      <c r="FT206" s="52"/>
      <c r="FU206" s="52"/>
      <c r="FV206" s="52"/>
      <c r="FW206" s="52"/>
      <c r="FX206" s="52"/>
    </row>
    <row r="207" ht="15.75" customHeight="1">
      <c r="A207" s="27"/>
      <c r="B207" s="27"/>
      <c r="C207" s="51"/>
      <c r="D207" s="51"/>
      <c r="E207" s="313"/>
      <c r="F207" s="35"/>
      <c r="G207" s="35"/>
      <c r="H207" s="35"/>
      <c r="I207" s="26"/>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c r="BY207" s="52"/>
      <c r="BZ207" s="52"/>
      <c r="CA207" s="52"/>
      <c r="CB207" s="52"/>
      <c r="CC207" s="52"/>
      <c r="CD207" s="52"/>
      <c r="CE207" s="52"/>
      <c r="CF207" s="52"/>
      <c r="CG207" s="52"/>
      <c r="CH207" s="52"/>
      <c r="CI207" s="52"/>
      <c r="CJ207" s="52"/>
      <c r="CK207" s="52"/>
      <c r="CL207" s="52"/>
      <c r="CM207" s="52"/>
      <c r="CN207" s="52"/>
      <c r="CO207" s="52"/>
      <c r="CP207" s="52"/>
      <c r="CQ207" s="52"/>
      <c r="CR207" s="52"/>
      <c r="CS207" s="52"/>
      <c r="CT207" s="52"/>
      <c r="CU207" s="52"/>
      <c r="CV207" s="52"/>
      <c r="CW207" s="52"/>
      <c r="CX207" s="52"/>
      <c r="CY207" s="52"/>
      <c r="CZ207" s="52"/>
      <c r="DA207" s="52"/>
      <c r="DB207" s="52"/>
      <c r="DC207" s="52"/>
      <c r="DD207" s="52"/>
      <c r="DE207" s="52"/>
      <c r="DF207" s="52"/>
      <c r="DG207" s="52"/>
      <c r="DH207" s="52"/>
      <c r="DI207" s="52"/>
      <c r="DJ207" s="52"/>
      <c r="DK207" s="52"/>
      <c r="DL207" s="52"/>
      <c r="DM207" s="52"/>
      <c r="DN207" s="52"/>
      <c r="DO207" s="52"/>
      <c r="DP207" s="52"/>
      <c r="DQ207" s="52"/>
      <c r="DR207" s="52"/>
      <c r="DS207" s="52"/>
      <c r="DT207" s="52"/>
      <c r="DU207" s="52"/>
      <c r="DV207" s="52"/>
      <c r="DW207" s="52"/>
      <c r="DX207" s="52"/>
      <c r="DY207" s="52"/>
      <c r="DZ207" s="52"/>
      <c r="EA207" s="52"/>
      <c r="EB207" s="52"/>
      <c r="EC207" s="52"/>
      <c r="ED207" s="52"/>
      <c r="EE207" s="52"/>
      <c r="EF207" s="52"/>
      <c r="EG207" s="52"/>
      <c r="EH207" s="52"/>
      <c r="EI207" s="52"/>
      <c r="EJ207" s="52"/>
      <c r="EK207" s="52"/>
      <c r="EL207" s="52"/>
      <c r="EM207" s="52"/>
      <c r="EN207" s="52"/>
      <c r="EO207" s="52"/>
      <c r="EP207" s="52"/>
      <c r="EQ207" s="52"/>
      <c r="ER207" s="52"/>
      <c r="ES207" s="52"/>
      <c r="ET207" s="52"/>
      <c r="EU207" s="52"/>
      <c r="EV207" s="52"/>
      <c r="EW207" s="52"/>
      <c r="EX207" s="52"/>
      <c r="EY207" s="52"/>
      <c r="EZ207" s="52"/>
      <c r="FA207" s="52"/>
      <c r="FB207" s="52"/>
      <c r="FC207" s="52"/>
      <c r="FD207" s="52"/>
      <c r="FE207" s="52"/>
      <c r="FF207" s="52"/>
      <c r="FG207" s="52"/>
      <c r="FH207" s="52"/>
      <c r="FI207" s="52"/>
      <c r="FJ207" s="52"/>
      <c r="FK207" s="52"/>
      <c r="FL207" s="52"/>
      <c r="FM207" s="52"/>
      <c r="FN207" s="52"/>
      <c r="FO207" s="52"/>
      <c r="FP207" s="52"/>
      <c r="FQ207" s="52"/>
      <c r="FR207" s="52"/>
      <c r="FS207" s="52"/>
      <c r="FT207" s="52"/>
      <c r="FU207" s="52"/>
      <c r="FV207" s="52"/>
      <c r="FW207" s="52"/>
      <c r="FX207" s="52"/>
    </row>
    <row r="208" ht="15.75" customHeight="1">
      <c r="A208" s="27"/>
      <c r="B208" s="27"/>
      <c r="C208" s="51"/>
      <c r="D208" s="51"/>
      <c r="E208" s="313"/>
      <c r="F208" s="35"/>
      <c r="G208" s="35"/>
      <c r="H208" s="35"/>
      <c r="I208" s="26"/>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c r="BY208" s="52"/>
      <c r="BZ208" s="52"/>
      <c r="CA208" s="52"/>
      <c r="CB208" s="52"/>
      <c r="CC208" s="52"/>
      <c r="CD208" s="52"/>
      <c r="CE208" s="52"/>
      <c r="CF208" s="52"/>
      <c r="CG208" s="52"/>
      <c r="CH208" s="52"/>
      <c r="CI208" s="52"/>
      <c r="CJ208" s="52"/>
      <c r="CK208" s="52"/>
      <c r="CL208" s="52"/>
      <c r="CM208" s="52"/>
      <c r="CN208" s="52"/>
      <c r="CO208" s="52"/>
      <c r="CP208" s="52"/>
      <c r="CQ208" s="52"/>
      <c r="CR208" s="52"/>
      <c r="CS208" s="52"/>
      <c r="CT208" s="52"/>
      <c r="CU208" s="52"/>
      <c r="CV208" s="52"/>
      <c r="CW208" s="52"/>
      <c r="CX208" s="52"/>
      <c r="CY208" s="52"/>
      <c r="CZ208" s="52"/>
      <c r="DA208" s="52"/>
      <c r="DB208" s="52"/>
      <c r="DC208" s="52"/>
      <c r="DD208" s="52"/>
      <c r="DE208" s="52"/>
      <c r="DF208" s="52"/>
      <c r="DG208" s="52"/>
      <c r="DH208" s="52"/>
      <c r="DI208" s="52"/>
      <c r="DJ208" s="52"/>
      <c r="DK208" s="52"/>
      <c r="DL208" s="52"/>
      <c r="DM208" s="52"/>
      <c r="DN208" s="52"/>
      <c r="DO208" s="52"/>
      <c r="DP208" s="52"/>
      <c r="DQ208" s="52"/>
      <c r="DR208" s="52"/>
      <c r="DS208" s="52"/>
      <c r="DT208" s="52"/>
      <c r="DU208" s="52"/>
      <c r="DV208" s="52"/>
      <c r="DW208" s="52"/>
      <c r="DX208" s="52"/>
      <c r="DY208" s="52"/>
      <c r="DZ208" s="52"/>
      <c r="EA208" s="52"/>
      <c r="EB208" s="52"/>
      <c r="EC208" s="52"/>
      <c r="ED208" s="52"/>
      <c r="EE208" s="52"/>
      <c r="EF208" s="52"/>
      <c r="EG208" s="52"/>
      <c r="EH208" s="52"/>
      <c r="EI208" s="52"/>
      <c r="EJ208" s="52"/>
      <c r="EK208" s="52"/>
      <c r="EL208" s="52"/>
      <c r="EM208" s="52"/>
      <c r="EN208" s="52"/>
      <c r="EO208" s="52"/>
      <c r="EP208" s="52"/>
      <c r="EQ208" s="52"/>
      <c r="ER208" s="52"/>
      <c r="ES208" s="52"/>
      <c r="ET208" s="52"/>
      <c r="EU208" s="52"/>
      <c r="EV208" s="52"/>
      <c r="EW208" s="52"/>
      <c r="EX208" s="52"/>
      <c r="EY208" s="52"/>
      <c r="EZ208" s="52"/>
      <c r="FA208" s="52"/>
      <c r="FB208" s="52"/>
      <c r="FC208" s="52"/>
      <c r="FD208" s="52"/>
      <c r="FE208" s="52"/>
      <c r="FF208" s="52"/>
      <c r="FG208" s="52"/>
      <c r="FH208" s="52"/>
      <c r="FI208" s="52"/>
      <c r="FJ208" s="52"/>
      <c r="FK208" s="52"/>
      <c r="FL208" s="52"/>
      <c r="FM208" s="52"/>
      <c r="FN208" s="52"/>
      <c r="FO208" s="52"/>
      <c r="FP208" s="52"/>
      <c r="FQ208" s="52"/>
      <c r="FR208" s="52"/>
      <c r="FS208" s="52"/>
      <c r="FT208" s="52"/>
      <c r="FU208" s="52"/>
      <c r="FV208" s="52"/>
      <c r="FW208" s="52"/>
      <c r="FX208" s="52"/>
    </row>
    <row r="209" ht="15.75" customHeight="1">
      <c r="A209" s="27"/>
      <c r="B209" s="27"/>
      <c r="C209" s="51"/>
      <c r="D209" s="51"/>
      <c r="E209" s="313"/>
      <c r="F209" s="35"/>
      <c r="G209" s="35"/>
      <c r="H209" s="35"/>
      <c r="I209" s="26"/>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c r="BT209" s="52"/>
      <c r="BU209" s="52"/>
      <c r="BV209" s="52"/>
      <c r="BW209" s="52"/>
      <c r="BX209" s="52"/>
      <c r="BY209" s="52"/>
      <c r="BZ209" s="52"/>
      <c r="CA209" s="52"/>
      <c r="CB209" s="52"/>
      <c r="CC209" s="52"/>
      <c r="CD209" s="52"/>
      <c r="CE209" s="52"/>
      <c r="CF209" s="52"/>
      <c r="CG209" s="52"/>
      <c r="CH209" s="52"/>
      <c r="CI209" s="52"/>
      <c r="CJ209" s="52"/>
      <c r="CK209" s="52"/>
      <c r="CL209" s="52"/>
      <c r="CM209" s="52"/>
      <c r="CN209" s="52"/>
      <c r="CO209" s="52"/>
      <c r="CP209" s="52"/>
      <c r="CQ209" s="52"/>
      <c r="CR209" s="52"/>
      <c r="CS209" s="52"/>
      <c r="CT209" s="52"/>
      <c r="CU209" s="52"/>
      <c r="CV209" s="52"/>
      <c r="CW209" s="52"/>
      <c r="CX209" s="52"/>
      <c r="CY209" s="52"/>
      <c r="CZ209" s="52"/>
      <c r="DA209" s="52"/>
      <c r="DB209" s="52"/>
      <c r="DC209" s="52"/>
      <c r="DD209" s="52"/>
      <c r="DE209" s="52"/>
      <c r="DF209" s="52"/>
      <c r="DG209" s="52"/>
      <c r="DH209" s="52"/>
      <c r="DI209" s="52"/>
      <c r="DJ209" s="52"/>
      <c r="DK209" s="52"/>
      <c r="DL209" s="52"/>
      <c r="DM209" s="52"/>
      <c r="DN209" s="52"/>
      <c r="DO209" s="52"/>
      <c r="DP209" s="52"/>
      <c r="DQ209" s="52"/>
      <c r="DR209" s="52"/>
      <c r="DS209" s="52"/>
      <c r="DT209" s="52"/>
      <c r="DU209" s="52"/>
      <c r="DV209" s="52"/>
      <c r="DW209" s="52"/>
      <c r="DX209" s="52"/>
      <c r="DY209" s="52"/>
      <c r="DZ209" s="52"/>
      <c r="EA209" s="52"/>
      <c r="EB209" s="52"/>
      <c r="EC209" s="52"/>
      <c r="ED209" s="52"/>
      <c r="EE209" s="52"/>
      <c r="EF209" s="52"/>
      <c r="EG209" s="52"/>
      <c r="EH209" s="52"/>
      <c r="EI209" s="52"/>
      <c r="EJ209" s="52"/>
      <c r="EK209" s="52"/>
      <c r="EL209" s="52"/>
      <c r="EM209" s="52"/>
      <c r="EN209" s="52"/>
      <c r="EO209" s="52"/>
      <c r="EP209" s="52"/>
      <c r="EQ209" s="52"/>
      <c r="ER209" s="52"/>
      <c r="ES209" s="52"/>
      <c r="ET209" s="52"/>
      <c r="EU209" s="52"/>
      <c r="EV209" s="52"/>
      <c r="EW209" s="52"/>
      <c r="EX209" s="52"/>
      <c r="EY209" s="52"/>
      <c r="EZ209" s="52"/>
      <c r="FA209" s="52"/>
      <c r="FB209" s="52"/>
      <c r="FC209" s="52"/>
      <c r="FD209" s="52"/>
      <c r="FE209" s="52"/>
      <c r="FF209" s="52"/>
      <c r="FG209" s="52"/>
      <c r="FH209" s="52"/>
      <c r="FI209" s="52"/>
      <c r="FJ209" s="52"/>
      <c r="FK209" s="52"/>
      <c r="FL209" s="52"/>
      <c r="FM209" s="52"/>
      <c r="FN209" s="52"/>
      <c r="FO209" s="52"/>
      <c r="FP209" s="52"/>
      <c r="FQ209" s="52"/>
      <c r="FR209" s="52"/>
      <c r="FS209" s="52"/>
      <c r="FT209" s="52"/>
      <c r="FU209" s="52"/>
      <c r="FV209" s="52"/>
      <c r="FW209" s="52"/>
      <c r="FX209" s="52"/>
    </row>
    <row r="210" ht="15.75" customHeight="1">
      <c r="A210" s="27"/>
      <c r="B210" s="27"/>
      <c r="C210" s="51"/>
      <c r="D210" s="51"/>
      <c r="E210" s="313"/>
      <c r="F210" s="35"/>
      <c r="G210" s="35"/>
      <c r="H210" s="35"/>
      <c r="I210" s="26"/>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c r="BY210" s="52"/>
      <c r="BZ210" s="52"/>
      <c r="CA210" s="52"/>
      <c r="CB210" s="52"/>
      <c r="CC210" s="52"/>
      <c r="CD210" s="52"/>
      <c r="CE210" s="52"/>
      <c r="CF210" s="52"/>
      <c r="CG210" s="52"/>
      <c r="CH210" s="52"/>
      <c r="CI210" s="52"/>
      <c r="CJ210" s="52"/>
      <c r="CK210" s="52"/>
      <c r="CL210" s="52"/>
      <c r="CM210" s="52"/>
      <c r="CN210" s="52"/>
      <c r="CO210" s="52"/>
      <c r="CP210" s="52"/>
      <c r="CQ210" s="52"/>
      <c r="CR210" s="52"/>
      <c r="CS210" s="52"/>
      <c r="CT210" s="52"/>
      <c r="CU210" s="52"/>
      <c r="CV210" s="52"/>
      <c r="CW210" s="52"/>
      <c r="CX210" s="52"/>
      <c r="CY210" s="52"/>
      <c r="CZ210" s="52"/>
      <c r="DA210" s="52"/>
      <c r="DB210" s="52"/>
      <c r="DC210" s="52"/>
      <c r="DD210" s="52"/>
      <c r="DE210" s="52"/>
      <c r="DF210" s="52"/>
      <c r="DG210" s="52"/>
      <c r="DH210" s="52"/>
      <c r="DI210" s="52"/>
      <c r="DJ210" s="52"/>
      <c r="DK210" s="52"/>
      <c r="DL210" s="52"/>
      <c r="DM210" s="52"/>
      <c r="DN210" s="52"/>
      <c r="DO210" s="52"/>
      <c r="DP210" s="52"/>
      <c r="DQ210" s="52"/>
      <c r="DR210" s="52"/>
      <c r="DS210" s="52"/>
      <c r="DT210" s="52"/>
      <c r="DU210" s="52"/>
      <c r="DV210" s="52"/>
      <c r="DW210" s="52"/>
      <c r="DX210" s="52"/>
      <c r="DY210" s="52"/>
      <c r="DZ210" s="52"/>
      <c r="EA210" s="52"/>
      <c r="EB210" s="52"/>
      <c r="EC210" s="52"/>
      <c r="ED210" s="52"/>
      <c r="EE210" s="52"/>
      <c r="EF210" s="52"/>
      <c r="EG210" s="52"/>
      <c r="EH210" s="52"/>
      <c r="EI210" s="52"/>
      <c r="EJ210" s="52"/>
      <c r="EK210" s="52"/>
      <c r="EL210" s="52"/>
      <c r="EM210" s="52"/>
      <c r="EN210" s="52"/>
      <c r="EO210" s="52"/>
      <c r="EP210" s="52"/>
      <c r="EQ210" s="52"/>
      <c r="ER210" s="52"/>
      <c r="ES210" s="52"/>
      <c r="ET210" s="52"/>
      <c r="EU210" s="52"/>
      <c r="EV210" s="52"/>
      <c r="EW210" s="52"/>
      <c r="EX210" s="52"/>
      <c r="EY210" s="52"/>
      <c r="EZ210" s="52"/>
      <c r="FA210" s="52"/>
      <c r="FB210" s="52"/>
      <c r="FC210" s="52"/>
      <c r="FD210" s="52"/>
      <c r="FE210" s="52"/>
      <c r="FF210" s="52"/>
      <c r="FG210" s="52"/>
      <c r="FH210" s="52"/>
      <c r="FI210" s="52"/>
      <c r="FJ210" s="52"/>
      <c r="FK210" s="52"/>
      <c r="FL210" s="52"/>
      <c r="FM210" s="52"/>
      <c r="FN210" s="52"/>
      <c r="FO210" s="52"/>
      <c r="FP210" s="52"/>
      <c r="FQ210" s="52"/>
      <c r="FR210" s="52"/>
      <c r="FS210" s="52"/>
      <c r="FT210" s="52"/>
      <c r="FU210" s="52"/>
      <c r="FV210" s="52"/>
      <c r="FW210" s="52"/>
      <c r="FX210" s="52"/>
    </row>
    <row r="211" ht="15.75" customHeight="1">
      <c r="A211" s="27"/>
      <c r="B211" s="27"/>
      <c r="C211" s="51"/>
      <c r="D211" s="51"/>
      <c r="E211" s="313"/>
      <c r="F211" s="35"/>
      <c r="G211" s="35"/>
      <c r="H211" s="35"/>
      <c r="I211" s="26"/>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c r="BY211" s="52"/>
      <c r="BZ211" s="52"/>
      <c r="CA211" s="52"/>
      <c r="CB211" s="52"/>
      <c r="CC211" s="52"/>
      <c r="CD211" s="52"/>
      <c r="CE211" s="52"/>
      <c r="CF211" s="52"/>
      <c r="CG211" s="52"/>
      <c r="CH211" s="52"/>
      <c r="CI211" s="52"/>
      <c r="CJ211" s="52"/>
      <c r="CK211" s="52"/>
      <c r="CL211" s="52"/>
      <c r="CM211" s="52"/>
      <c r="CN211" s="52"/>
      <c r="CO211" s="52"/>
      <c r="CP211" s="52"/>
      <c r="CQ211" s="52"/>
      <c r="CR211" s="52"/>
      <c r="CS211" s="52"/>
      <c r="CT211" s="52"/>
      <c r="CU211" s="52"/>
      <c r="CV211" s="52"/>
      <c r="CW211" s="52"/>
      <c r="CX211" s="52"/>
      <c r="CY211" s="52"/>
      <c r="CZ211" s="52"/>
      <c r="DA211" s="52"/>
      <c r="DB211" s="52"/>
      <c r="DC211" s="52"/>
      <c r="DD211" s="52"/>
      <c r="DE211" s="52"/>
      <c r="DF211" s="52"/>
      <c r="DG211" s="52"/>
      <c r="DH211" s="52"/>
      <c r="DI211" s="52"/>
      <c r="DJ211" s="52"/>
      <c r="DK211" s="52"/>
      <c r="DL211" s="52"/>
      <c r="DM211" s="52"/>
      <c r="DN211" s="52"/>
      <c r="DO211" s="52"/>
      <c r="DP211" s="52"/>
      <c r="DQ211" s="52"/>
      <c r="DR211" s="52"/>
      <c r="DS211" s="52"/>
      <c r="DT211" s="52"/>
      <c r="DU211" s="52"/>
      <c r="DV211" s="52"/>
      <c r="DW211" s="52"/>
      <c r="DX211" s="52"/>
      <c r="DY211" s="52"/>
      <c r="DZ211" s="52"/>
      <c r="EA211" s="52"/>
      <c r="EB211" s="52"/>
      <c r="EC211" s="52"/>
      <c r="ED211" s="52"/>
      <c r="EE211" s="52"/>
      <c r="EF211" s="52"/>
      <c r="EG211" s="52"/>
      <c r="EH211" s="52"/>
      <c r="EI211" s="52"/>
      <c r="EJ211" s="52"/>
      <c r="EK211" s="52"/>
      <c r="EL211" s="52"/>
      <c r="EM211" s="52"/>
      <c r="EN211" s="52"/>
      <c r="EO211" s="52"/>
      <c r="EP211" s="52"/>
      <c r="EQ211" s="52"/>
      <c r="ER211" s="52"/>
      <c r="ES211" s="52"/>
      <c r="ET211" s="52"/>
      <c r="EU211" s="52"/>
      <c r="EV211" s="52"/>
      <c r="EW211" s="52"/>
      <c r="EX211" s="52"/>
      <c r="EY211" s="52"/>
      <c r="EZ211" s="52"/>
      <c r="FA211" s="52"/>
      <c r="FB211" s="52"/>
      <c r="FC211" s="52"/>
      <c r="FD211" s="52"/>
      <c r="FE211" s="52"/>
      <c r="FF211" s="52"/>
      <c r="FG211" s="52"/>
      <c r="FH211" s="52"/>
      <c r="FI211" s="52"/>
      <c r="FJ211" s="52"/>
      <c r="FK211" s="52"/>
      <c r="FL211" s="52"/>
      <c r="FM211" s="52"/>
      <c r="FN211" s="52"/>
      <c r="FO211" s="52"/>
      <c r="FP211" s="52"/>
      <c r="FQ211" s="52"/>
      <c r="FR211" s="52"/>
      <c r="FS211" s="52"/>
      <c r="FT211" s="52"/>
      <c r="FU211" s="52"/>
      <c r="FV211" s="52"/>
      <c r="FW211" s="52"/>
      <c r="FX211" s="52"/>
    </row>
    <row r="212" ht="15.75" customHeight="1">
      <c r="A212" s="27"/>
      <c r="B212" s="27"/>
      <c r="C212" s="51"/>
      <c r="D212" s="51"/>
      <c r="E212" s="313"/>
      <c r="F212" s="35"/>
      <c r="G212" s="35"/>
      <c r="H212" s="35"/>
      <c r="I212" s="26"/>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c r="BY212" s="52"/>
      <c r="BZ212" s="52"/>
      <c r="CA212" s="52"/>
      <c r="CB212" s="52"/>
      <c r="CC212" s="52"/>
      <c r="CD212" s="52"/>
      <c r="CE212" s="52"/>
      <c r="CF212" s="52"/>
      <c r="CG212" s="52"/>
      <c r="CH212" s="52"/>
      <c r="CI212" s="52"/>
      <c r="CJ212" s="52"/>
      <c r="CK212" s="52"/>
      <c r="CL212" s="52"/>
      <c r="CM212" s="52"/>
      <c r="CN212" s="52"/>
      <c r="CO212" s="52"/>
      <c r="CP212" s="52"/>
      <c r="CQ212" s="52"/>
      <c r="CR212" s="52"/>
      <c r="CS212" s="52"/>
      <c r="CT212" s="52"/>
      <c r="CU212" s="52"/>
      <c r="CV212" s="52"/>
      <c r="CW212" s="52"/>
      <c r="CX212" s="52"/>
      <c r="CY212" s="52"/>
      <c r="CZ212" s="52"/>
      <c r="DA212" s="52"/>
      <c r="DB212" s="52"/>
      <c r="DC212" s="52"/>
      <c r="DD212" s="52"/>
      <c r="DE212" s="52"/>
      <c r="DF212" s="52"/>
      <c r="DG212" s="52"/>
      <c r="DH212" s="52"/>
      <c r="DI212" s="52"/>
      <c r="DJ212" s="52"/>
      <c r="DK212" s="52"/>
      <c r="DL212" s="52"/>
      <c r="DM212" s="52"/>
      <c r="DN212" s="52"/>
      <c r="DO212" s="52"/>
      <c r="DP212" s="52"/>
      <c r="DQ212" s="52"/>
      <c r="DR212" s="52"/>
      <c r="DS212" s="52"/>
      <c r="DT212" s="52"/>
      <c r="DU212" s="52"/>
      <c r="DV212" s="52"/>
      <c r="DW212" s="52"/>
      <c r="DX212" s="52"/>
      <c r="DY212" s="52"/>
      <c r="DZ212" s="52"/>
      <c r="EA212" s="52"/>
      <c r="EB212" s="52"/>
      <c r="EC212" s="52"/>
      <c r="ED212" s="52"/>
      <c r="EE212" s="52"/>
      <c r="EF212" s="52"/>
      <c r="EG212" s="52"/>
      <c r="EH212" s="52"/>
      <c r="EI212" s="52"/>
      <c r="EJ212" s="52"/>
      <c r="EK212" s="52"/>
      <c r="EL212" s="52"/>
      <c r="EM212" s="52"/>
      <c r="EN212" s="52"/>
      <c r="EO212" s="52"/>
      <c r="EP212" s="52"/>
      <c r="EQ212" s="52"/>
      <c r="ER212" s="52"/>
      <c r="ES212" s="52"/>
      <c r="ET212" s="52"/>
      <c r="EU212" s="52"/>
      <c r="EV212" s="52"/>
      <c r="EW212" s="52"/>
      <c r="EX212" s="52"/>
      <c r="EY212" s="52"/>
      <c r="EZ212" s="52"/>
      <c r="FA212" s="52"/>
      <c r="FB212" s="52"/>
      <c r="FC212" s="52"/>
      <c r="FD212" s="52"/>
      <c r="FE212" s="52"/>
      <c r="FF212" s="52"/>
      <c r="FG212" s="52"/>
      <c r="FH212" s="52"/>
      <c r="FI212" s="52"/>
      <c r="FJ212" s="52"/>
      <c r="FK212" s="52"/>
      <c r="FL212" s="52"/>
      <c r="FM212" s="52"/>
      <c r="FN212" s="52"/>
      <c r="FO212" s="52"/>
      <c r="FP212" s="52"/>
      <c r="FQ212" s="52"/>
      <c r="FR212" s="52"/>
      <c r="FS212" s="52"/>
      <c r="FT212" s="52"/>
      <c r="FU212" s="52"/>
      <c r="FV212" s="52"/>
      <c r="FW212" s="52"/>
      <c r="FX212" s="52"/>
    </row>
    <row r="213" ht="15.75" customHeight="1">
      <c r="A213" s="27"/>
      <c r="B213" s="27"/>
      <c r="C213" s="51"/>
      <c r="D213" s="51"/>
      <c r="E213" s="313"/>
      <c r="F213" s="35"/>
      <c r="G213" s="35"/>
      <c r="H213" s="35"/>
      <c r="I213" s="26"/>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c r="BY213" s="52"/>
      <c r="BZ213" s="52"/>
      <c r="CA213" s="52"/>
      <c r="CB213" s="52"/>
      <c r="CC213" s="52"/>
      <c r="CD213" s="52"/>
      <c r="CE213" s="52"/>
      <c r="CF213" s="52"/>
      <c r="CG213" s="52"/>
      <c r="CH213" s="52"/>
      <c r="CI213" s="52"/>
      <c r="CJ213" s="52"/>
      <c r="CK213" s="52"/>
      <c r="CL213" s="52"/>
      <c r="CM213" s="52"/>
      <c r="CN213" s="52"/>
      <c r="CO213" s="52"/>
      <c r="CP213" s="52"/>
      <c r="CQ213" s="52"/>
      <c r="CR213" s="52"/>
      <c r="CS213" s="52"/>
      <c r="CT213" s="52"/>
      <c r="CU213" s="52"/>
      <c r="CV213" s="52"/>
      <c r="CW213" s="52"/>
      <c r="CX213" s="52"/>
      <c r="CY213" s="52"/>
      <c r="CZ213" s="52"/>
      <c r="DA213" s="52"/>
      <c r="DB213" s="52"/>
      <c r="DC213" s="52"/>
      <c r="DD213" s="52"/>
      <c r="DE213" s="52"/>
      <c r="DF213" s="52"/>
      <c r="DG213" s="52"/>
      <c r="DH213" s="52"/>
      <c r="DI213" s="52"/>
      <c r="DJ213" s="52"/>
      <c r="DK213" s="52"/>
      <c r="DL213" s="52"/>
      <c r="DM213" s="52"/>
      <c r="DN213" s="52"/>
      <c r="DO213" s="52"/>
      <c r="DP213" s="52"/>
      <c r="DQ213" s="52"/>
      <c r="DR213" s="52"/>
      <c r="DS213" s="52"/>
      <c r="DT213" s="52"/>
      <c r="DU213" s="52"/>
      <c r="DV213" s="52"/>
      <c r="DW213" s="52"/>
      <c r="DX213" s="52"/>
      <c r="DY213" s="52"/>
      <c r="DZ213" s="52"/>
      <c r="EA213" s="52"/>
      <c r="EB213" s="52"/>
      <c r="EC213" s="52"/>
      <c r="ED213" s="52"/>
      <c r="EE213" s="52"/>
      <c r="EF213" s="52"/>
      <c r="EG213" s="52"/>
      <c r="EH213" s="52"/>
      <c r="EI213" s="52"/>
      <c r="EJ213" s="52"/>
      <c r="EK213" s="52"/>
      <c r="EL213" s="52"/>
      <c r="EM213" s="52"/>
      <c r="EN213" s="52"/>
      <c r="EO213" s="52"/>
      <c r="EP213" s="52"/>
      <c r="EQ213" s="52"/>
      <c r="ER213" s="52"/>
      <c r="ES213" s="52"/>
      <c r="ET213" s="52"/>
      <c r="EU213" s="52"/>
      <c r="EV213" s="52"/>
      <c r="EW213" s="52"/>
      <c r="EX213" s="52"/>
      <c r="EY213" s="52"/>
      <c r="EZ213" s="52"/>
      <c r="FA213" s="52"/>
      <c r="FB213" s="52"/>
      <c r="FC213" s="52"/>
      <c r="FD213" s="52"/>
      <c r="FE213" s="52"/>
      <c r="FF213" s="52"/>
      <c r="FG213" s="52"/>
      <c r="FH213" s="52"/>
      <c r="FI213" s="52"/>
      <c r="FJ213" s="52"/>
      <c r="FK213" s="52"/>
      <c r="FL213" s="52"/>
      <c r="FM213" s="52"/>
      <c r="FN213" s="52"/>
      <c r="FO213" s="52"/>
      <c r="FP213" s="52"/>
      <c r="FQ213" s="52"/>
      <c r="FR213" s="52"/>
      <c r="FS213" s="52"/>
      <c r="FT213" s="52"/>
      <c r="FU213" s="52"/>
      <c r="FV213" s="52"/>
      <c r="FW213" s="52"/>
      <c r="FX213" s="52"/>
    </row>
    <row r="214" ht="15.75" customHeight="1">
      <c r="A214" s="27"/>
      <c r="B214" s="27"/>
      <c r="C214" s="51"/>
      <c r="D214" s="51"/>
      <c r="E214" s="313"/>
      <c r="F214" s="35"/>
      <c r="G214" s="35"/>
      <c r="H214" s="35"/>
      <c r="I214" s="26"/>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c r="BY214" s="52"/>
      <c r="BZ214" s="52"/>
      <c r="CA214" s="52"/>
      <c r="CB214" s="52"/>
      <c r="CC214" s="52"/>
      <c r="CD214" s="52"/>
      <c r="CE214" s="52"/>
      <c r="CF214" s="52"/>
      <c r="CG214" s="52"/>
      <c r="CH214" s="52"/>
      <c r="CI214" s="52"/>
      <c r="CJ214" s="52"/>
      <c r="CK214" s="52"/>
      <c r="CL214" s="52"/>
      <c r="CM214" s="52"/>
      <c r="CN214" s="52"/>
      <c r="CO214" s="52"/>
      <c r="CP214" s="52"/>
      <c r="CQ214" s="52"/>
      <c r="CR214" s="52"/>
      <c r="CS214" s="52"/>
      <c r="CT214" s="52"/>
      <c r="CU214" s="52"/>
      <c r="CV214" s="52"/>
      <c r="CW214" s="52"/>
      <c r="CX214" s="52"/>
      <c r="CY214" s="52"/>
      <c r="CZ214" s="52"/>
      <c r="DA214" s="52"/>
      <c r="DB214" s="52"/>
      <c r="DC214" s="52"/>
      <c r="DD214" s="52"/>
      <c r="DE214" s="52"/>
      <c r="DF214" s="52"/>
      <c r="DG214" s="52"/>
      <c r="DH214" s="52"/>
      <c r="DI214" s="52"/>
      <c r="DJ214" s="52"/>
      <c r="DK214" s="52"/>
      <c r="DL214" s="52"/>
      <c r="DM214" s="52"/>
      <c r="DN214" s="52"/>
      <c r="DO214" s="52"/>
      <c r="DP214" s="52"/>
      <c r="DQ214" s="52"/>
      <c r="DR214" s="52"/>
      <c r="DS214" s="52"/>
      <c r="DT214" s="52"/>
      <c r="DU214" s="52"/>
      <c r="DV214" s="52"/>
      <c r="DW214" s="52"/>
      <c r="DX214" s="52"/>
      <c r="DY214" s="52"/>
      <c r="DZ214" s="52"/>
      <c r="EA214" s="52"/>
      <c r="EB214" s="52"/>
      <c r="EC214" s="52"/>
      <c r="ED214" s="52"/>
      <c r="EE214" s="52"/>
      <c r="EF214" s="52"/>
      <c r="EG214" s="52"/>
      <c r="EH214" s="52"/>
      <c r="EI214" s="52"/>
      <c r="EJ214" s="52"/>
      <c r="EK214" s="52"/>
      <c r="EL214" s="52"/>
      <c r="EM214" s="52"/>
      <c r="EN214" s="52"/>
      <c r="EO214" s="52"/>
      <c r="EP214" s="52"/>
      <c r="EQ214" s="52"/>
      <c r="ER214" s="52"/>
      <c r="ES214" s="52"/>
      <c r="ET214" s="52"/>
      <c r="EU214" s="52"/>
      <c r="EV214" s="52"/>
      <c r="EW214" s="52"/>
      <c r="EX214" s="52"/>
      <c r="EY214" s="52"/>
      <c r="EZ214" s="52"/>
      <c r="FA214" s="52"/>
      <c r="FB214" s="52"/>
      <c r="FC214" s="52"/>
      <c r="FD214" s="52"/>
      <c r="FE214" s="52"/>
      <c r="FF214" s="52"/>
      <c r="FG214" s="52"/>
      <c r="FH214" s="52"/>
      <c r="FI214" s="52"/>
      <c r="FJ214" s="52"/>
      <c r="FK214" s="52"/>
      <c r="FL214" s="52"/>
      <c r="FM214" s="52"/>
      <c r="FN214" s="52"/>
      <c r="FO214" s="52"/>
      <c r="FP214" s="52"/>
      <c r="FQ214" s="52"/>
      <c r="FR214" s="52"/>
      <c r="FS214" s="52"/>
      <c r="FT214" s="52"/>
      <c r="FU214" s="52"/>
      <c r="FV214" s="52"/>
      <c r="FW214" s="52"/>
      <c r="FX214" s="52"/>
    </row>
    <row r="215" ht="15.75" customHeight="1">
      <c r="A215" s="27"/>
      <c r="B215" s="27"/>
      <c r="C215" s="51"/>
      <c r="D215" s="51"/>
      <c r="E215" s="313"/>
      <c r="F215" s="35"/>
      <c r="G215" s="35"/>
      <c r="H215" s="35"/>
      <c r="I215" s="26"/>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c r="BY215" s="52"/>
      <c r="BZ215" s="52"/>
      <c r="CA215" s="52"/>
      <c r="CB215" s="52"/>
      <c r="CC215" s="52"/>
      <c r="CD215" s="52"/>
      <c r="CE215" s="52"/>
      <c r="CF215" s="52"/>
      <c r="CG215" s="52"/>
      <c r="CH215" s="52"/>
      <c r="CI215" s="52"/>
      <c r="CJ215" s="52"/>
      <c r="CK215" s="52"/>
      <c r="CL215" s="52"/>
      <c r="CM215" s="52"/>
      <c r="CN215" s="52"/>
      <c r="CO215" s="52"/>
      <c r="CP215" s="52"/>
      <c r="CQ215" s="52"/>
      <c r="CR215" s="52"/>
      <c r="CS215" s="52"/>
      <c r="CT215" s="52"/>
      <c r="CU215" s="52"/>
      <c r="CV215" s="52"/>
      <c r="CW215" s="52"/>
      <c r="CX215" s="52"/>
      <c r="CY215" s="52"/>
      <c r="CZ215" s="52"/>
      <c r="DA215" s="52"/>
      <c r="DB215" s="52"/>
      <c r="DC215" s="52"/>
      <c r="DD215" s="52"/>
      <c r="DE215" s="52"/>
      <c r="DF215" s="52"/>
      <c r="DG215" s="52"/>
      <c r="DH215" s="52"/>
      <c r="DI215" s="52"/>
      <c r="DJ215" s="52"/>
      <c r="DK215" s="52"/>
      <c r="DL215" s="52"/>
      <c r="DM215" s="52"/>
      <c r="DN215" s="52"/>
      <c r="DO215" s="52"/>
      <c r="DP215" s="52"/>
      <c r="DQ215" s="52"/>
      <c r="DR215" s="52"/>
      <c r="DS215" s="52"/>
      <c r="DT215" s="52"/>
      <c r="DU215" s="52"/>
      <c r="DV215" s="52"/>
      <c r="DW215" s="52"/>
      <c r="DX215" s="52"/>
      <c r="DY215" s="52"/>
      <c r="DZ215" s="52"/>
      <c r="EA215" s="52"/>
      <c r="EB215" s="52"/>
      <c r="EC215" s="52"/>
      <c r="ED215" s="52"/>
      <c r="EE215" s="52"/>
      <c r="EF215" s="52"/>
      <c r="EG215" s="52"/>
      <c r="EH215" s="52"/>
      <c r="EI215" s="52"/>
      <c r="EJ215" s="52"/>
      <c r="EK215" s="52"/>
      <c r="EL215" s="52"/>
      <c r="EM215" s="52"/>
      <c r="EN215" s="52"/>
      <c r="EO215" s="52"/>
      <c r="EP215" s="52"/>
      <c r="EQ215" s="52"/>
      <c r="ER215" s="52"/>
      <c r="ES215" s="52"/>
      <c r="ET215" s="52"/>
      <c r="EU215" s="52"/>
      <c r="EV215" s="52"/>
      <c r="EW215" s="52"/>
      <c r="EX215" s="52"/>
      <c r="EY215" s="52"/>
      <c r="EZ215" s="52"/>
      <c r="FA215" s="52"/>
      <c r="FB215" s="52"/>
      <c r="FC215" s="52"/>
      <c r="FD215" s="52"/>
      <c r="FE215" s="52"/>
      <c r="FF215" s="52"/>
      <c r="FG215" s="52"/>
      <c r="FH215" s="52"/>
      <c r="FI215" s="52"/>
      <c r="FJ215" s="52"/>
      <c r="FK215" s="52"/>
      <c r="FL215" s="52"/>
      <c r="FM215" s="52"/>
      <c r="FN215" s="52"/>
      <c r="FO215" s="52"/>
      <c r="FP215" s="52"/>
      <c r="FQ215" s="52"/>
      <c r="FR215" s="52"/>
      <c r="FS215" s="52"/>
      <c r="FT215" s="52"/>
      <c r="FU215" s="52"/>
      <c r="FV215" s="52"/>
      <c r="FW215" s="52"/>
      <c r="FX215" s="52"/>
    </row>
    <row r="216" ht="15.75" customHeight="1">
      <c r="A216" s="27"/>
      <c r="B216" s="27"/>
      <c r="C216" s="51"/>
      <c r="D216" s="51"/>
      <c r="E216" s="313"/>
      <c r="F216" s="35"/>
      <c r="G216" s="35"/>
      <c r="H216" s="35"/>
      <c r="I216" s="26"/>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c r="BY216" s="52"/>
      <c r="BZ216" s="52"/>
      <c r="CA216" s="52"/>
      <c r="CB216" s="52"/>
      <c r="CC216" s="52"/>
      <c r="CD216" s="52"/>
      <c r="CE216" s="52"/>
      <c r="CF216" s="52"/>
      <c r="CG216" s="52"/>
      <c r="CH216" s="52"/>
      <c r="CI216" s="52"/>
      <c r="CJ216" s="52"/>
      <c r="CK216" s="52"/>
      <c r="CL216" s="52"/>
      <c r="CM216" s="52"/>
      <c r="CN216" s="52"/>
      <c r="CO216" s="52"/>
      <c r="CP216" s="52"/>
      <c r="CQ216" s="52"/>
      <c r="CR216" s="52"/>
      <c r="CS216" s="52"/>
      <c r="CT216" s="52"/>
      <c r="CU216" s="52"/>
      <c r="CV216" s="52"/>
      <c r="CW216" s="52"/>
      <c r="CX216" s="52"/>
      <c r="CY216" s="52"/>
      <c r="CZ216" s="52"/>
      <c r="DA216" s="52"/>
      <c r="DB216" s="52"/>
      <c r="DC216" s="52"/>
      <c r="DD216" s="52"/>
      <c r="DE216" s="52"/>
      <c r="DF216" s="52"/>
      <c r="DG216" s="52"/>
      <c r="DH216" s="52"/>
      <c r="DI216" s="52"/>
      <c r="DJ216" s="52"/>
      <c r="DK216" s="52"/>
      <c r="DL216" s="52"/>
      <c r="DM216" s="52"/>
      <c r="DN216" s="52"/>
      <c r="DO216" s="52"/>
      <c r="DP216" s="52"/>
      <c r="DQ216" s="52"/>
      <c r="DR216" s="52"/>
      <c r="DS216" s="52"/>
      <c r="DT216" s="52"/>
      <c r="DU216" s="52"/>
      <c r="DV216" s="52"/>
      <c r="DW216" s="52"/>
      <c r="DX216" s="52"/>
      <c r="DY216" s="52"/>
      <c r="DZ216" s="52"/>
      <c r="EA216" s="52"/>
      <c r="EB216" s="52"/>
      <c r="EC216" s="52"/>
      <c r="ED216" s="52"/>
      <c r="EE216" s="52"/>
      <c r="EF216" s="52"/>
      <c r="EG216" s="52"/>
      <c r="EH216" s="52"/>
      <c r="EI216" s="52"/>
      <c r="EJ216" s="52"/>
      <c r="EK216" s="52"/>
      <c r="EL216" s="52"/>
      <c r="EM216" s="52"/>
      <c r="EN216" s="52"/>
      <c r="EO216" s="52"/>
      <c r="EP216" s="52"/>
      <c r="EQ216" s="52"/>
      <c r="ER216" s="52"/>
      <c r="ES216" s="52"/>
      <c r="ET216" s="52"/>
      <c r="EU216" s="52"/>
      <c r="EV216" s="52"/>
      <c r="EW216" s="52"/>
      <c r="EX216" s="52"/>
      <c r="EY216" s="52"/>
      <c r="EZ216" s="52"/>
      <c r="FA216" s="52"/>
      <c r="FB216" s="52"/>
      <c r="FC216" s="52"/>
      <c r="FD216" s="52"/>
      <c r="FE216" s="52"/>
      <c r="FF216" s="52"/>
      <c r="FG216" s="52"/>
      <c r="FH216" s="52"/>
      <c r="FI216" s="52"/>
      <c r="FJ216" s="52"/>
      <c r="FK216" s="52"/>
      <c r="FL216" s="52"/>
      <c r="FM216" s="52"/>
      <c r="FN216" s="52"/>
      <c r="FO216" s="52"/>
      <c r="FP216" s="52"/>
      <c r="FQ216" s="52"/>
      <c r="FR216" s="52"/>
      <c r="FS216" s="52"/>
      <c r="FT216" s="52"/>
      <c r="FU216" s="52"/>
      <c r="FV216" s="52"/>
      <c r="FW216" s="52"/>
      <c r="FX216" s="52"/>
    </row>
    <row r="217" ht="15.75" customHeight="1">
      <c r="A217" s="27"/>
      <c r="B217" s="27"/>
      <c r="C217" s="51"/>
      <c r="D217" s="51"/>
      <c r="E217" s="313"/>
      <c r="F217" s="35"/>
      <c r="G217" s="35"/>
      <c r="H217" s="35"/>
      <c r="I217" s="26"/>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c r="BY217" s="52"/>
      <c r="BZ217" s="52"/>
      <c r="CA217" s="52"/>
      <c r="CB217" s="52"/>
      <c r="CC217" s="52"/>
      <c r="CD217" s="52"/>
      <c r="CE217" s="52"/>
      <c r="CF217" s="52"/>
      <c r="CG217" s="52"/>
      <c r="CH217" s="52"/>
      <c r="CI217" s="52"/>
      <c r="CJ217" s="52"/>
      <c r="CK217" s="52"/>
      <c r="CL217" s="52"/>
      <c r="CM217" s="52"/>
      <c r="CN217" s="52"/>
      <c r="CO217" s="52"/>
      <c r="CP217" s="52"/>
      <c r="CQ217" s="52"/>
      <c r="CR217" s="52"/>
      <c r="CS217" s="52"/>
      <c r="CT217" s="52"/>
      <c r="CU217" s="52"/>
      <c r="CV217" s="52"/>
      <c r="CW217" s="52"/>
      <c r="CX217" s="52"/>
      <c r="CY217" s="52"/>
      <c r="CZ217" s="52"/>
      <c r="DA217" s="52"/>
      <c r="DB217" s="52"/>
      <c r="DC217" s="52"/>
      <c r="DD217" s="52"/>
      <c r="DE217" s="52"/>
      <c r="DF217" s="52"/>
      <c r="DG217" s="52"/>
      <c r="DH217" s="52"/>
      <c r="DI217" s="52"/>
      <c r="DJ217" s="52"/>
      <c r="DK217" s="52"/>
      <c r="DL217" s="52"/>
      <c r="DM217" s="52"/>
      <c r="DN217" s="52"/>
      <c r="DO217" s="52"/>
      <c r="DP217" s="52"/>
      <c r="DQ217" s="52"/>
      <c r="DR217" s="52"/>
      <c r="DS217" s="52"/>
      <c r="DT217" s="52"/>
      <c r="DU217" s="52"/>
      <c r="DV217" s="52"/>
      <c r="DW217" s="52"/>
      <c r="DX217" s="52"/>
      <c r="DY217" s="52"/>
      <c r="DZ217" s="52"/>
      <c r="EA217" s="52"/>
      <c r="EB217" s="52"/>
      <c r="EC217" s="52"/>
      <c r="ED217" s="52"/>
      <c r="EE217" s="52"/>
      <c r="EF217" s="52"/>
      <c r="EG217" s="52"/>
      <c r="EH217" s="52"/>
      <c r="EI217" s="52"/>
      <c r="EJ217" s="52"/>
      <c r="EK217" s="52"/>
      <c r="EL217" s="52"/>
      <c r="EM217" s="52"/>
      <c r="EN217" s="52"/>
      <c r="EO217" s="52"/>
      <c r="EP217" s="52"/>
      <c r="EQ217" s="52"/>
      <c r="ER217" s="52"/>
      <c r="ES217" s="52"/>
      <c r="ET217" s="52"/>
      <c r="EU217" s="52"/>
      <c r="EV217" s="52"/>
      <c r="EW217" s="52"/>
      <c r="EX217" s="52"/>
      <c r="EY217" s="52"/>
      <c r="EZ217" s="52"/>
      <c r="FA217" s="52"/>
      <c r="FB217" s="52"/>
      <c r="FC217" s="52"/>
      <c r="FD217" s="52"/>
      <c r="FE217" s="52"/>
      <c r="FF217" s="52"/>
      <c r="FG217" s="52"/>
      <c r="FH217" s="52"/>
      <c r="FI217" s="52"/>
      <c r="FJ217" s="52"/>
      <c r="FK217" s="52"/>
      <c r="FL217" s="52"/>
      <c r="FM217" s="52"/>
      <c r="FN217" s="52"/>
      <c r="FO217" s="52"/>
      <c r="FP217" s="52"/>
      <c r="FQ217" s="52"/>
      <c r="FR217" s="52"/>
      <c r="FS217" s="52"/>
      <c r="FT217" s="52"/>
      <c r="FU217" s="52"/>
      <c r="FV217" s="52"/>
      <c r="FW217" s="52"/>
      <c r="FX217" s="52"/>
    </row>
    <row r="218" ht="15.75" customHeight="1">
      <c r="A218" s="27"/>
      <c r="B218" s="27"/>
      <c r="C218" s="51"/>
      <c r="D218" s="51"/>
      <c r="E218" s="313"/>
      <c r="F218" s="35"/>
      <c r="G218" s="35"/>
      <c r="H218" s="35"/>
      <c r="I218" s="26"/>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c r="BY218" s="52"/>
      <c r="BZ218" s="52"/>
      <c r="CA218" s="52"/>
      <c r="CB218" s="52"/>
      <c r="CC218" s="52"/>
      <c r="CD218" s="52"/>
      <c r="CE218" s="52"/>
      <c r="CF218" s="52"/>
      <c r="CG218" s="52"/>
      <c r="CH218" s="52"/>
      <c r="CI218" s="52"/>
      <c r="CJ218" s="52"/>
      <c r="CK218" s="52"/>
      <c r="CL218" s="52"/>
      <c r="CM218" s="52"/>
      <c r="CN218" s="52"/>
      <c r="CO218" s="52"/>
      <c r="CP218" s="52"/>
      <c r="CQ218" s="52"/>
      <c r="CR218" s="52"/>
      <c r="CS218" s="52"/>
      <c r="CT218" s="52"/>
      <c r="CU218" s="52"/>
      <c r="CV218" s="52"/>
      <c r="CW218" s="52"/>
      <c r="CX218" s="52"/>
      <c r="CY218" s="52"/>
      <c r="CZ218" s="52"/>
      <c r="DA218" s="52"/>
      <c r="DB218" s="52"/>
      <c r="DC218" s="52"/>
      <c r="DD218" s="52"/>
      <c r="DE218" s="52"/>
      <c r="DF218" s="52"/>
      <c r="DG218" s="52"/>
      <c r="DH218" s="52"/>
      <c r="DI218" s="52"/>
      <c r="DJ218" s="52"/>
      <c r="DK218" s="52"/>
      <c r="DL218" s="52"/>
      <c r="DM218" s="52"/>
      <c r="DN218" s="52"/>
      <c r="DO218" s="52"/>
      <c r="DP218" s="52"/>
      <c r="DQ218" s="52"/>
      <c r="DR218" s="52"/>
      <c r="DS218" s="52"/>
      <c r="DT218" s="52"/>
      <c r="DU218" s="52"/>
      <c r="DV218" s="52"/>
      <c r="DW218" s="52"/>
      <c r="DX218" s="52"/>
      <c r="DY218" s="52"/>
      <c r="DZ218" s="52"/>
      <c r="EA218" s="52"/>
      <c r="EB218" s="52"/>
      <c r="EC218" s="52"/>
      <c r="ED218" s="52"/>
      <c r="EE218" s="52"/>
      <c r="EF218" s="52"/>
      <c r="EG218" s="52"/>
      <c r="EH218" s="52"/>
      <c r="EI218" s="52"/>
      <c r="EJ218" s="52"/>
      <c r="EK218" s="52"/>
      <c r="EL218" s="52"/>
      <c r="EM218" s="52"/>
      <c r="EN218" s="52"/>
      <c r="EO218" s="52"/>
      <c r="EP218" s="52"/>
      <c r="EQ218" s="52"/>
      <c r="ER218" s="52"/>
      <c r="ES218" s="52"/>
      <c r="ET218" s="52"/>
      <c r="EU218" s="52"/>
      <c r="EV218" s="52"/>
      <c r="EW218" s="52"/>
      <c r="EX218" s="52"/>
      <c r="EY218" s="52"/>
      <c r="EZ218" s="52"/>
      <c r="FA218" s="52"/>
      <c r="FB218" s="52"/>
      <c r="FC218" s="52"/>
      <c r="FD218" s="52"/>
      <c r="FE218" s="52"/>
      <c r="FF218" s="52"/>
      <c r="FG218" s="52"/>
      <c r="FH218" s="52"/>
      <c r="FI218" s="52"/>
      <c r="FJ218" s="52"/>
      <c r="FK218" s="52"/>
      <c r="FL218" s="52"/>
      <c r="FM218" s="52"/>
      <c r="FN218" s="52"/>
      <c r="FO218" s="52"/>
      <c r="FP218" s="52"/>
      <c r="FQ218" s="52"/>
      <c r="FR218" s="52"/>
      <c r="FS218" s="52"/>
      <c r="FT218" s="52"/>
      <c r="FU218" s="52"/>
      <c r="FV218" s="52"/>
      <c r="FW218" s="52"/>
      <c r="FX218" s="52"/>
    </row>
    <row r="219" ht="15.75" customHeight="1">
      <c r="A219" s="27"/>
      <c r="B219" s="27"/>
      <c r="C219" s="51"/>
      <c r="D219" s="51"/>
      <c r="E219" s="313"/>
      <c r="F219" s="35"/>
      <c r="G219" s="35"/>
      <c r="H219" s="35"/>
      <c r="I219" s="26"/>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c r="BY219" s="52"/>
      <c r="BZ219" s="52"/>
      <c r="CA219" s="52"/>
      <c r="CB219" s="52"/>
      <c r="CC219" s="52"/>
      <c r="CD219" s="52"/>
      <c r="CE219" s="52"/>
      <c r="CF219" s="52"/>
      <c r="CG219" s="52"/>
      <c r="CH219" s="52"/>
      <c r="CI219" s="52"/>
      <c r="CJ219" s="52"/>
      <c r="CK219" s="52"/>
      <c r="CL219" s="52"/>
      <c r="CM219" s="52"/>
      <c r="CN219" s="52"/>
      <c r="CO219" s="52"/>
      <c r="CP219" s="52"/>
      <c r="CQ219" s="52"/>
      <c r="CR219" s="52"/>
      <c r="CS219" s="52"/>
      <c r="CT219" s="52"/>
      <c r="CU219" s="52"/>
      <c r="CV219" s="52"/>
      <c r="CW219" s="52"/>
      <c r="CX219" s="52"/>
      <c r="CY219" s="52"/>
      <c r="CZ219" s="52"/>
      <c r="DA219" s="52"/>
      <c r="DB219" s="52"/>
      <c r="DC219" s="52"/>
      <c r="DD219" s="52"/>
      <c r="DE219" s="52"/>
      <c r="DF219" s="52"/>
      <c r="DG219" s="52"/>
      <c r="DH219" s="52"/>
      <c r="DI219" s="52"/>
      <c r="DJ219" s="52"/>
      <c r="DK219" s="52"/>
      <c r="DL219" s="52"/>
      <c r="DM219" s="52"/>
      <c r="DN219" s="52"/>
      <c r="DO219" s="52"/>
      <c r="DP219" s="52"/>
      <c r="DQ219" s="52"/>
      <c r="DR219" s="52"/>
      <c r="DS219" s="52"/>
      <c r="DT219" s="52"/>
      <c r="DU219" s="52"/>
      <c r="DV219" s="52"/>
      <c r="DW219" s="52"/>
      <c r="DX219" s="52"/>
      <c r="DY219" s="52"/>
      <c r="DZ219" s="52"/>
      <c r="EA219" s="52"/>
      <c r="EB219" s="52"/>
      <c r="EC219" s="52"/>
      <c r="ED219" s="52"/>
      <c r="EE219" s="52"/>
      <c r="EF219" s="52"/>
      <c r="EG219" s="52"/>
      <c r="EH219" s="52"/>
      <c r="EI219" s="52"/>
      <c r="EJ219" s="52"/>
      <c r="EK219" s="52"/>
      <c r="EL219" s="52"/>
      <c r="EM219" s="52"/>
      <c r="EN219" s="52"/>
      <c r="EO219" s="52"/>
      <c r="EP219" s="52"/>
      <c r="EQ219" s="52"/>
      <c r="ER219" s="52"/>
      <c r="ES219" s="52"/>
      <c r="ET219" s="52"/>
      <c r="EU219" s="52"/>
      <c r="EV219" s="52"/>
      <c r="EW219" s="52"/>
      <c r="EX219" s="52"/>
      <c r="EY219" s="52"/>
      <c r="EZ219" s="52"/>
      <c r="FA219" s="52"/>
      <c r="FB219" s="52"/>
      <c r="FC219" s="52"/>
      <c r="FD219" s="52"/>
      <c r="FE219" s="52"/>
      <c r="FF219" s="52"/>
      <c r="FG219" s="52"/>
      <c r="FH219" s="52"/>
      <c r="FI219" s="52"/>
      <c r="FJ219" s="52"/>
      <c r="FK219" s="52"/>
      <c r="FL219" s="52"/>
      <c r="FM219" s="52"/>
      <c r="FN219" s="52"/>
      <c r="FO219" s="52"/>
      <c r="FP219" s="52"/>
      <c r="FQ219" s="52"/>
      <c r="FR219" s="52"/>
      <c r="FS219" s="52"/>
      <c r="FT219" s="52"/>
      <c r="FU219" s="52"/>
      <c r="FV219" s="52"/>
      <c r="FW219" s="52"/>
      <c r="FX219" s="52"/>
    </row>
    <row r="220" ht="15.75" customHeight="1">
      <c r="A220" s="27"/>
      <c r="B220" s="27"/>
      <c r="C220" s="51"/>
      <c r="D220" s="51"/>
      <c r="E220" s="313"/>
      <c r="F220" s="35"/>
      <c r="G220" s="35"/>
      <c r="H220" s="35"/>
      <c r="I220" s="26"/>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c r="BY220" s="52"/>
      <c r="BZ220" s="52"/>
      <c r="CA220" s="52"/>
      <c r="CB220" s="52"/>
      <c r="CC220" s="52"/>
      <c r="CD220" s="52"/>
      <c r="CE220" s="52"/>
      <c r="CF220" s="52"/>
      <c r="CG220" s="52"/>
      <c r="CH220" s="52"/>
      <c r="CI220" s="52"/>
      <c r="CJ220" s="52"/>
      <c r="CK220" s="52"/>
      <c r="CL220" s="52"/>
      <c r="CM220" s="52"/>
      <c r="CN220" s="52"/>
      <c r="CO220" s="52"/>
      <c r="CP220" s="52"/>
      <c r="CQ220" s="52"/>
      <c r="CR220" s="52"/>
      <c r="CS220" s="52"/>
      <c r="CT220" s="52"/>
      <c r="CU220" s="52"/>
      <c r="CV220" s="52"/>
      <c r="CW220" s="52"/>
      <c r="CX220" s="52"/>
      <c r="CY220" s="52"/>
      <c r="CZ220" s="52"/>
      <c r="DA220" s="52"/>
      <c r="DB220" s="52"/>
      <c r="DC220" s="52"/>
      <c r="DD220" s="52"/>
      <c r="DE220" s="52"/>
      <c r="DF220" s="52"/>
      <c r="DG220" s="52"/>
      <c r="DH220" s="52"/>
      <c r="DI220" s="52"/>
      <c r="DJ220" s="52"/>
      <c r="DK220" s="52"/>
      <c r="DL220" s="52"/>
      <c r="DM220" s="52"/>
      <c r="DN220" s="52"/>
      <c r="DO220" s="52"/>
      <c r="DP220" s="52"/>
      <c r="DQ220" s="52"/>
      <c r="DR220" s="52"/>
      <c r="DS220" s="52"/>
      <c r="DT220" s="52"/>
      <c r="DU220" s="52"/>
      <c r="DV220" s="52"/>
      <c r="DW220" s="52"/>
      <c r="DX220" s="52"/>
      <c r="DY220" s="52"/>
      <c r="DZ220" s="52"/>
      <c r="EA220" s="52"/>
      <c r="EB220" s="52"/>
      <c r="EC220" s="52"/>
      <c r="ED220" s="52"/>
      <c r="EE220" s="52"/>
      <c r="EF220" s="52"/>
      <c r="EG220" s="52"/>
      <c r="EH220" s="52"/>
      <c r="EI220" s="52"/>
      <c r="EJ220" s="52"/>
      <c r="EK220" s="52"/>
      <c r="EL220" s="52"/>
      <c r="EM220" s="52"/>
      <c r="EN220" s="52"/>
      <c r="EO220" s="52"/>
      <c r="EP220" s="52"/>
      <c r="EQ220" s="52"/>
      <c r="ER220" s="52"/>
      <c r="ES220" s="52"/>
      <c r="ET220" s="52"/>
      <c r="EU220" s="52"/>
      <c r="EV220" s="52"/>
      <c r="EW220" s="52"/>
      <c r="EX220" s="52"/>
      <c r="EY220" s="52"/>
      <c r="EZ220" s="52"/>
      <c r="FA220" s="52"/>
      <c r="FB220" s="52"/>
      <c r="FC220" s="52"/>
      <c r="FD220" s="52"/>
      <c r="FE220" s="52"/>
      <c r="FF220" s="52"/>
      <c r="FG220" s="52"/>
      <c r="FH220" s="52"/>
      <c r="FI220" s="52"/>
      <c r="FJ220" s="52"/>
      <c r="FK220" s="52"/>
      <c r="FL220" s="52"/>
      <c r="FM220" s="52"/>
      <c r="FN220" s="52"/>
      <c r="FO220" s="52"/>
      <c r="FP220" s="52"/>
      <c r="FQ220" s="52"/>
      <c r="FR220" s="52"/>
      <c r="FS220" s="52"/>
      <c r="FT220" s="52"/>
      <c r="FU220" s="52"/>
      <c r="FV220" s="52"/>
      <c r="FW220" s="52"/>
      <c r="FX220" s="52"/>
    </row>
    <row r="221" ht="15.75" customHeight="1">
      <c r="A221" s="27"/>
      <c r="B221" s="27"/>
      <c r="C221" s="51"/>
      <c r="D221" s="51"/>
      <c r="E221" s="313"/>
      <c r="F221" s="35"/>
      <c r="G221" s="35"/>
      <c r="H221" s="35"/>
      <c r="I221" s="26"/>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c r="BY221" s="52"/>
      <c r="BZ221" s="52"/>
      <c r="CA221" s="52"/>
      <c r="CB221" s="52"/>
      <c r="CC221" s="52"/>
      <c r="CD221" s="52"/>
      <c r="CE221" s="52"/>
      <c r="CF221" s="52"/>
      <c r="CG221" s="52"/>
      <c r="CH221" s="52"/>
      <c r="CI221" s="52"/>
      <c r="CJ221" s="52"/>
      <c r="CK221" s="52"/>
      <c r="CL221" s="52"/>
      <c r="CM221" s="52"/>
      <c r="CN221" s="52"/>
      <c r="CO221" s="52"/>
      <c r="CP221" s="52"/>
      <c r="CQ221" s="52"/>
      <c r="CR221" s="52"/>
      <c r="CS221" s="52"/>
      <c r="CT221" s="52"/>
      <c r="CU221" s="52"/>
      <c r="CV221" s="52"/>
      <c r="CW221" s="52"/>
      <c r="CX221" s="52"/>
      <c r="CY221" s="52"/>
      <c r="CZ221" s="52"/>
      <c r="DA221" s="52"/>
      <c r="DB221" s="52"/>
      <c r="DC221" s="52"/>
      <c r="DD221" s="52"/>
      <c r="DE221" s="52"/>
      <c r="DF221" s="52"/>
      <c r="DG221" s="52"/>
      <c r="DH221" s="52"/>
      <c r="DI221" s="52"/>
      <c r="DJ221" s="52"/>
      <c r="DK221" s="52"/>
      <c r="DL221" s="52"/>
      <c r="DM221" s="52"/>
      <c r="DN221" s="52"/>
      <c r="DO221" s="52"/>
      <c r="DP221" s="52"/>
      <c r="DQ221" s="52"/>
      <c r="DR221" s="52"/>
      <c r="DS221" s="52"/>
      <c r="DT221" s="52"/>
      <c r="DU221" s="52"/>
      <c r="DV221" s="52"/>
      <c r="DW221" s="52"/>
      <c r="DX221" s="52"/>
      <c r="DY221" s="52"/>
      <c r="DZ221" s="52"/>
      <c r="EA221" s="52"/>
      <c r="EB221" s="52"/>
      <c r="EC221" s="52"/>
      <c r="ED221" s="52"/>
      <c r="EE221" s="52"/>
      <c r="EF221" s="52"/>
      <c r="EG221" s="52"/>
      <c r="EH221" s="52"/>
      <c r="EI221" s="52"/>
      <c r="EJ221" s="52"/>
      <c r="EK221" s="52"/>
      <c r="EL221" s="52"/>
      <c r="EM221" s="52"/>
      <c r="EN221" s="52"/>
      <c r="EO221" s="52"/>
      <c r="EP221" s="52"/>
      <c r="EQ221" s="52"/>
      <c r="ER221" s="52"/>
      <c r="ES221" s="52"/>
      <c r="ET221" s="52"/>
      <c r="EU221" s="52"/>
      <c r="EV221" s="52"/>
      <c r="EW221" s="52"/>
      <c r="EX221" s="52"/>
      <c r="EY221" s="52"/>
      <c r="EZ221" s="52"/>
      <c r="FA221" s="52"/>
      <c r="FB221" s="52"/>
      <c r="FC221" s="52"/>
      <c r="FD221" s="52"/>
      <c r="FE221" s="52"/>
      <c r="FF221" s="52"/>
      <c r="FG221" s="52"/>
      <c r="FH221" s="52"/>
      <c r="FI221" s="52"/>
      <c r="FJ221" s="52"/>
      <c r="FK221" s="52"/>
      <c r="FL221" s="52"/>
      <c r="FM221" s="52"/>
      <c r="FN221" s="52"/>
      <c r="FO221" s="52"/>
      <c r="FP221" s="52"/>
      <c r="FQ221" s="52"/>
      <c r="FR221" s="52"/>
      <c r="FS221" s="52"/>
      <c r="FT221" s="52"/>
      <c r="FU221" s="52"/>
      <c r="FV221" s="52"/>
      <c r="FW221" s="52"/>
      <c r="FX221" s="52"/>
    </row>
    <row r="222" ht="15.75" customHeight="1">
      <c r="A222" s="27"/>
      <c r="B222" s="27"/>
      <c r="C222" s="51"/>
      <c r="D222" s="51"/>
      <c r="E222" s="313"/>
      <c r="F222" s="35"/>
      <c r="G222" s="35"/>
      <c r="H222" s="35"/>
      <c r="I222" s="26"/>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c r="BY222" s="52"/>
      <c r="BZ222" s="52"/>
      <c r="CA222" s="52"/>
      <c r="CB222" s="52"/>
      <c r="CC222" s="52"/>
      <c r="CD222" s="52"/>
      <c r="CE222" s="52"/>
      <c r="CF222" s="52"/>
      <c r="CG222" s="52"/>
      <c r="CH222" s="52"/>
      <c r="CI222" s="52"/>
      <c r="CJ222" s="52"/>
      <c r="CK222" s="52"/>
      <c r="CL222" s="52"/>
      <c r="CM222" s="52"/>
      <c r="CN222" s="52"/>
      <c r="CO222" s="52"/>
      <c r="CP222" s="52"/>
      <c r="CQ222" s="52"/>
      <c r="CR222" s="52"/>
      <c r="CS222" s="52"/>
      <c r="CT222" s="52"/>
      <c r="CU222" s="52"/>
      <c r="CV222" s="52"/>
      <c r="CW222" s="52"/>
      <c r="CX222" s="52"/>
      <c r="CY222" s="52"/>
      <c r="CZ222" s="52"/>
      <c r="DA222" s="52"/>
      <c r="DB222" s="52"/>
      <c r="DC222" s="52"/>
      <c r="DD222" s="52"/>
      <c r="DE222" s="52"/>
      <c r="DF222" s="52"/>
      <c r="DG222" s="52"/>
      <c r="DH222" s="52"/>
      <c r="DI222" s="52"/>
      <c r="DJ222" s="52"/>
      <c r="DK222" s="52"/>
      <c r="DL222" s="52"/>
      <c r="DM222" s="52"/>
      <c r="DN222" s="52"/>
      <c r="DO222" s="52"/>
      <c r="DP222" s="52"/>
      <c r="DQ222" s="52"/>
      <c r="DR222" s="52"/>
      <c r="DS222" s="52"/>
      <c r="DT222" s="52"/>
      <c r="DU222" s="52"/>
      <c r="DV222" s="52"/>
      <c r="DW222" s="52"/>
      <c r="DX222" s="52"/>
      <c r="DY222" s="52"/>
      <c r="DZ222" s="52"/>
      <c r="EA222" s="52"/>
      <c r="EB222" s="52"/>
      <c r="EC222" s="52"/>
      <c r="ED222" s="52"/>
      <c r="EE222" s="52"/>
      <c r="EF222" s="52"/>
      <c r="EG222" s="52"/>
      <c r="EH222" s="52"/>
      <c r="EI222" s="52"/>
      <c r="EJ222" s="52"/>
      <c r="EK222" s="52"/>
      <c r="EL222" s="52"/>
      <c r="EM222" s="52"/>
      <c r="EN222" s="52"/>
      <c r="EO222" s="52"/>
      <c r="EP222" s="52"/>
      <c r="EQ222" s="52"/>
      <c r="ER222" s="52"/>
      <c r="ES222" s="52"/>
      <c r="ET222" s="52"/>
      <c r="EU222" s="52"/>
      <c r="EV222" s="52"/>
      <c r="EW222" s="52"/>
      <c r="EX222" s="52"/>
      <c r="EY222" s="52"/>
      <c r="EZ222" s="52"/>
      <c r="FA222" s="52"/>
      <c r="FB222" s="52"/>
      <c r="FC222" s="52"/>
      <c r="FD222" s="52"/>
      <c r="FE222" s="52"/>
      <c r="FF222" s="52"/>
      <c r="FG222" s="52"/>
      <c r="FH222" s="52"/>
      <c r="FI222" s="52"/>
      <c r="FJ222" s="52"/>
      <c r="FK222" s="52"/>
      <c r="FL222" s="52"/>
      <c r="FM222" s="52"/>
      <c r="FN222" s="52"/>
      <c r="FO222" s="52"/>
      <c r="FP222" s="52"/>
      <c r="FQ222" s="52"/>
      <c r="FR222" s="52"/>
      <c r="FS222" s="52"/>
      <c r="FT222" s="52"/>
      <c r="FU222" s="52"/>
      <c r="FV222" s="52"/>
      <c r="FW222" s="52"/>
      <c r="FX222" s="52"/>
    </row>
    <row r="223" ht="15.75" customHeight="1">
      <c r="A223" s="27"/>
      <c r="B223" s="27"/>
      <c r="C223" s="51"/>
      <c r="D223" s="51"/>
      <c r="E223" s="313"/>
      <c r="F223" s="35"/>
      <c r="G223" s="35"/>
      <c r="H223" s="35"/>
      <c r="I223" s="26"/>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c r="BY223" s="52"/>
      <c r="BZ223" s="52"/>
      <c r="CA223" s="52"/>
      <c r="CB223" s="52"/>
      <c r="CC223" s="52"/>
      <c r="CD223" s="52"/>
      <c r="CE223" s="52"/>
      <c r="CF223" s="52"/>
      <c r="CG223" s="52"/>
      <c r="CH223" s="52"/>
      <c r="CI223" s="52"/>
      <c r="CJ223" s="52"/>
      <c r="CK223" s="52"/>
      <c r="CL223" s="52"/>
      <c r="CM223" s="52"/>
      <c r="CN223" s="52"/>
      <c r="CO223" s="52"/>
      <c r="CP223" s="52"/>
      <c r="CQ223" s="52"/>
      <c r="CR223" s="52"/>
      <c r="CS223" s="52"/>
      <c r="CT223" s="52"/>
      <c r="CU223" s="52"/>
      <c r="CV223" s="52"/>
      <c r="CW223" s="52"/>
      <c r="CX223" s="52"/>
      <c r="CY223" s="52"/>
      <c r="CZ223" s="52"/>
      <c r="DA223" s="52"/>
      <c r="DB223" s="52"/>
      <c r="DC223" s="52"/>
      <c r="DD223" s="52"/>
      <c r="DE223" s="52"/>
      <c r="DF223" s="52"/>
      <c r="DG223" s="52"/>
      <c r="DH223" s="52"/>
      <c r="DI223" s="52"/>
      <c r="DJ223" s="52"/>
      <c r="DK223" s="52"/>
      <c r="DL223" s="52"/>
      <c r="DM223" s="52"/>
      <c r="DN223" s="52"/>
      <c r="DO223" s="52"/>
      <c r="DP223" s="52"/>
      <c r="DQ223" s="52"/>
      <c r="DR223" s="52"/>
      <c r="DS223" s="52"/>
      <c r="DT223" s="52"/>
      <c r="DU223" s="52"/>
      <c r="DV223" s="52"/>
      <c r="DW223" s="52"/>
      <c r="DX223" s="52"/>
      <c r="DY223" s="52"/>
      <c r="DZ223" s="52"/>
      <c r="EA223" s="52"/>
      <c r="EB223" s="52"/>
      <c r="EC223" s="52"/>
      <c r="ED223" s="52"/>
      <c r="EE223" s="52"/>
      <c r="EF223" s="52"/>
      <c r="EG223" s="52"/>
      <c r="EH223" s="52"/>
      <c r="EI223" s="52"/>
      <c r="EJ223" s="52"/>
      <c r="EK223" s="52"/>
      <c r="EL223" s="52"/>
      <c r="EM223" s="52"/>
      <c r="EN223" s="52"/>
      <c r="EO223" s="52"/>
      <c r="EP223" s="52"/>
      <c r="EQ223" s="52"/>
      <c r="ER223" s="52"/>
      <c r="ES223" s="52"/>
      <c r="ET223" s="52"/>
      <c r="EU223" s="52"/>
      <c r="EV223" s="52"/>
      <c r="EW223" s="52"/>
      <c r="EX223" s="52"/>
      <c r="EY223" s="52"/>
      <c r="EZ223" s="52"/>
      <c r="FA223" s="52"/>
      <c r="FB223" s="52"/>
      <c r="FC223" s="52"/>
      <c r="FD223" s="52"/>
      <c r="FE223" s="52"/>
      <c r="FF223" s="52"/>
      <c r="FG223" s="52"/>
      <c r="FH223" s="52"/>
      <c r="FI223" s="52"/>
      <c r="FJ223" s="52"/>
      <c r="FK223" s="52"/>
      <c r="FL223" s="52"/>
      <c r="FM223" s="52"/>
      <c r="FN223" s="52"/>
      <c r="FO223" s="52"/>
      <c r="FP223" s="52"/>
      <c r="FQ223" s="52"/>
      <c r="FR223" s="52"/>
      <c r="FS223" s="52"/>
      <c r="FT223" s="52"/>
      <c r="FU223" s="52"/>
      <c r="FV223" s="52"/>
      <c r="FW223" s="52"/>
      <c r="FX223" s="52"/>
    </row>
    <row r="224" ht="15.75" customHeight="1">
      <c r="A224" s="27"/>
      <c r="B224" s="27"/>
      <c r="C224" s="51"/>
      <c r="D224" s="51"/>
      <c r="E224" s="313"/>
      <c r="F224" s="35"/>
      <c r="G224" s="35"/>
      <c r="H224" s="35"/>
      <c r="I224" s="26"/>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c r="BY224" s="52"/>
      <c r="BZ224" s="52"/>
      <c r="CA224" s="52"/>
      <c r="CB224" s="52"/>
      <c r="CC224" s="52"/>
      <c r="CD224" s="52"/>
      <c r="CE224" s="52"/>
      <c r="CF224" s="52"/>
      <c r="CG224" s="52"/>
      <c r="CH224" s="52"/>
      <c r="CI224" s="52"/>
      <c r="CJ224" s="52"/>
      <c r="CK224" s="52"/>
      <c r="CL224" s="52"/>
      <c r="CM224" s="52"/>
      <c r="CN224" s="52"/>
      <c r="CO224" s="52"/>
      <c r="CP224" s="52"/>
      <c r="CQ224" s="52"/>
      <c r="CR224" s="52"/>
      <c r="CS224" s="52"/>
      <c r="CT224" s="52"/>
      <c r="CU224" s="52"/>
      <c r="CV224" s="52"/>
      <c r="CW224" s="52"/>
      <c r="CX224" s="52"/>
      <c r="CY224" s="52"/>
      <c r="CZ224" s="52"/>
      <c r="DA224" s="52"/>
      <c r="DB224" s="52"/>
      <c r="DC224" s="52"/>
      <c r="DD224" s="52"/>
      <c r="DE224" s="52"/>
      <c r="DF224" s="52"/>
      <c r="DG224" s="52"/>
      <c r="DH224" s="52"/>
      <c r="DI224" s="52"/>
      <c r="DJ224" s="52"/>
      <c r="DK224" s="52"/>
      <c r="DL224" s="52"/>
      <c r="DM224" s="52"/>
      <c r="DN224" s="52"/>
      <c r="DO224" s="52"/>
      <c r="DP224" s="52"/>
      <c r="DQ224" s="52"/>
      <c r="DR224" s="52"/>
      <c r="DS224" s="52"/>
      <c r="DT224" s="52"/>
      <c r="DU224" s="52"/>
      <c r="DV224" s="52"/>
      <c r="DW224" s="52"/>
      <c r="DX224" s="52"/>
      <c r="DY224" s="52"/>
      <c r="DZ224" s="52"/>
      <c r="EA224" s="52"/>
      <c r="EB224" s="52"/>
      <c r="EC224" s="52"/>
      <c r="ED224" s="52"/>
      <c r="EE224" s="52"/>
      <c r="EF224" s="52"/>
      <c r="EG224" s="52"/>
      <c r="EH224" s="52"/>
      <c r="EI224" s="52"/>
      <c r="EJ224" s="52"/>
      <c r="EK224" s="52"/>
      <c r="EL224" s="52"/>
      <c r="EM224" s="52"/>
      <c r="EN224" s="52"/>
      <c r="EO224" s="52"/>
      <c r="EP224" s="52"/>
      <c r="EQ224" s="52"/>
      <c r="ER224" s="52"/>
      <c r="ES224" s="52"/>
      <c r="ET224" s="52"/>
      <c r="EU224" s="52"/>
      <c r="EV224" s="52"/>
      <c r="EW224" s="52"/>
      <c r="EX224" s="52"/>
      <c r="EY224" s="52"/>
      <c r="EZ224" s="52"/>
      <c r="FA224" s="52"/>
      <c r="FB224" s="52"/>
      <c r="FC224" s="52"/>
      <c r="FD224" s="52"/>
      <c r="FE224" s="52"/>
      <c r="FF224" s="52"/>
      <c r="FG224" s="52"/>
      <c r="FH224" s="52"/>
      <c r="FI224" s="52"/>
      <c r="FJ224" s="52"/>
      <c r="FK224" s="52"/>
      <c r="FL224" s="52"/>
      <c r="FM224" s="52"/>
      <c r="FN224" s="52"/>
      <c r="FO224" s="52"/>
      <c r="FP224" s="52"/>
      <c r="FQ224" s="52"/>
      <c r="FR224" s="52"/>
      <c r="FS224" s="52"/>
      <c r="FT224" s="52"/>
      <c r="FU224" s="52"/>
      <c r="FV224" s="52"/>
      <c r="FW224" s="52"/>
      <c r="FX224" s="52"/>
    </row>
    <row r="225" ht="15.75" customHeight="1">
      <c r="A225" s="27"/>
      <c r="B225" s="27"/>
      <c r="C225" s="51"/>
      <c r="D225" s="51"/>
      <c r="E225" s="313"/>
      <c r="F225" s="35"/>
      <c r="G225" s="35"/>
      <c r="H225" s="35"/>
      <c r="I225" s="26"/>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c r="BY225" s="52"/>
      <c r="BZ225" s="52"/>
      <c r="CA225" s="52"/>
      <c r="CB225" s="52"/>
      <c r="CC225" s="52"/>
      <c r="CD225" s="52"/>
      <c r="CE225" s="52"/>
      <c r="CF225" s="52"/>
      <c r="CG225" s="52"/>
      <c r="CH225" s="52"/>
      <c r="CI225" s="52"/>
      <c r="CJ225" s="52"/>
      <c r="CK225" s="52"/>
      <c r="CL225" s="52"/>
      <c r="CM225" s="52"/>
      <c r="CN225" s="52"/>
      <c r="CO225" s="52"/>
      <c r="CP225" s="52"/>
      <c r="CQ225" s="52"/>
      <c r="CR225" s="52"/>
      <c r="CS225" s="52"/>
      <c r="CT225" s="52"/>
      <c r="CU225" s="52"/>
      <c r="CV225" s="52"/>
      <c r="CW225" s="52"/>
      <c r="CX225" s="52"/>
      <c r="CY225" s="52"/>
      <c r="CZ225" s="52"/>
      <c r="DA225" s="52"/>
      <c r="DB225" s="52"/>
      <c r="DC225" s="52"/>
      <c r="DD225" s="52"/>
      <c r="DE225" s="52"/>
      <c r="DF225" s="52"/>
      <c r="DG225" s="52"/>
      <c r="DH225" s="52"/>
      <c r="DI225" s="52"/>
      <c r="DJ225" s="52"/>
      <c r="DK225" s="52"/>
      <c r="DL225" s="52"/>
      <c r="DM225" s="52"/>
      <c r="DN225" s="52"/>
      <c r="DO225" s="52"/>
      <c r="DP225" s="52"/>
      <c r="DQ225" s="52"/>
      <c r="DR225" s="52"/>
      <c r="DS225" s="52"/>
      <c r="DT225" s="52"/>
      <c r="DU225" s="52"/>
      <c r="DV225" s="52"/>
      <c r="DW225" s="52"/>
      <c r="DX225" s="52"/>
      <c r="DY225" s="52"/>
      <c r="DZ225" s="52"/>
      <c r="EA225" s="52"/>
      <c r="EB225" s="52"/>
      <c r="EC225" s="52"/>
      <c r="ED225" s="52"/>
      <c r="EE225" s="52"/>
      <c r="EF225" s="52"/>
      <c r="EG225" s="52"/>
      <c r="EH225" s="52"/>
      <c r="EI225" s="52"/>
      <c r="EJ225" s="52"/>
      <c r="EK225" s="52"/>
      <c r="EL225" s="52"/>
      <c r="EM225" s="52"/>
      <c r="EN225" s="52"/>
      <c r="EO225" s="52"/>
      <c r="EP225" s="52"/>
      <c r="EQ225" s="52"/>
      <c r="ER225" s="52"/>
      <c r="ES225" s="52"/>
      <c r="ET225" s="52"/>
      <c r="EU225" s="52"/>
      <c r="EV225" s="52"/>
      <c r="EW225" s="52"/>
      <c r="EX225" s="52"/>
      <c r="EY225" s="52"/>
      <c r="EZ225" s="52"/>
      <c r="FA225" s="52"/>
      <c r="FB225" s="52"/>
      <c r="FC225" s="52"/>
      <c r="FD225" s="52"/>
      <c r="FE225" s="52"/>
      <c r="FF225" s="52"/>
      <c r="FG225" s="52"/>
      <c r="FH225" s="52"/>
      <c r="FI225" s="52"/>
      <c r="FJ225" s="52"/>
      <c r="FK225" s="52"/>
      <c r="FL225" s="52"/>
      <c r="FM225" s="52"/>
      <c r="FN225" s="52"/>
      <c r="FO225" s="52"/>
      <c r="FP225" s="52"/>
      <c r="FQ225" s="52"/>
      <c r="FR225" s="52"/>
      <c r="FS225" s="52"/>
      <c r="FT225" s="52"/>
      <c r="FU225" s="52"/>
      <c r="FV225" s="52"/>
      <c r="FW225" s="52"/>
      <c r="FX225" s="52"/>
    </row>
    <row r="226" ht="15.75" customHeight="1">
      <c r="A226" s="27"/>
      <c r="B226" s="27"/>
      <c r="C226" s="51"/>
      <c r="D226" s="51"/>
      <c r="E226" s="313"/>
      <c r="F226" s="35"/>
      <c r="G226" s="35"/>
      <c r="H226" s="35"/>
      <c r="I226" s="26"/>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c r="BY226" s="52"/>
      <c r="BZ226" s="52"/>
      <c r="CA226" s="52"/>
      <c r="CB226" s="52"/>
      <c r="CC226" s="52"/>
      <c r="CD226" s="52"/>
      <c r="CE226" s="52"/>
      <c r="CF226" s="52"/>
      <c r="CG226" s="52"/>
      <c r="CH226" s="52"/>
      <c r="CI226" s="52"/>
      <c r="CJ226" s="52"/>
      <c r="CK226" s="52"/>
      <c r="CL226" s="52"/>
      <c r="CM226" s="52"/>
      <c r="CN226" s="52"/>
      <c r="CO226" s="52"/>
      <c r="CP226" s="52"/>
      <c r="CQ226" s="52"/>
      <c r="CR226" s="52"/>
      <c r="CS226" s="52"/>
      <c r="CT226" s="52"/>
      <c r="CU226" s="52"/>
      <c r="CV226" s="52"/>
      <c r="CW226" s="52"/>
      <c r="CX226" s="52"/>
      <c r="CY226" s="52"/>
      <c r="CZ226" s="52"/>
      <c r="DA226" s="52"/>
      <c r="DB226" s="52"/>
      <c r="DC226" s="52"/>
      <c r="DD226" s="52"/>
      <c r="DE226" s="52"/>
      <c r="DF226" s="52"/>
      <c r="DG226" s="52"/>
      <c r="DH226" s="52"/>
      <c r="DI226" s="52"/>
      <c r="DJ226" s="52"/>
      <c r="DK226" s="52"/>
      <c r="DL226" s="52"/>
      <c r="DM226" s="52"/>
      <c r="DN226" s="52"/>
      <c r="DO226" s="52"/>
      <c r="DP226" s="52"/>
      <c r="DQ226" s="52"/>
      <c r="DR226" s="52"/>
      <c r="DS226" s="52"/>
      <c r="DT226" s="52"/>
      <c r="DU226" s="52"/>
      <c r="DV226" s="52"/>
      <c r="DW226" s="52"/>
      <c r="DX226" s="52"/>
      <c r="DY226" s="52"/>
      <c r="DZ226" s="52"/>
      <c r="EA226" s="52"/>
      <c r="EB226" s="52"/>
      <c r="EC226" s="52"/>
      <c r="ED226" s="52"/>
      <c r="EE226" s="52"/>
      <c r="EF226" s="52"/>
      <c r="EG226" s="52"/>
      <c r="EH226" s="52"/>
      <c r="EI226" s="52"/>
      <c r="EJ226" s="52"/>
      <c r="EK226" s="52"/>
      <c r="EL226" s="52"/>
      <c r="EM226" s="52"/>
      <c r="EN226" s="52"/>
      <c r="EO226" s="52"/>
      <c r="EP226" s="52"/>
      <c r="EQ226" s="52"/>
      <c r="ER226" s="52"/>
      <c r="ES226" s="52"/>
      <c r="ET226" s="52"/>
      <c r="EU226" s="52"/>
      <c r="EV226" s="52"/>
      <c r="EW226" s="52"/>
      <c r="EX226" s="52"/>
      <c r="EY226" s="52"/>
      <c r="EZ226" s="52"/>
      <c r="FA226" s="52"/>
      <c r="FB226" s="52"/>
      <c r="FC226" s="52"/>
      <c r="FD226" s="52"/>
      <c r="FE226" s="52"/>
      <c r="FF226" s="52"/>
      <c r="FG226" s="52"/>
      <c r="FH226" s="52"/>
      <c r="FI226" s="52"/>
      <c r="FJ226" s="52"/>
      <c r="FK226" s="52"/>
      <c r="FL226" s="52"/>
      <c r="FM226" s="52"/>
      <c r="FN226" s="52"/>
      <c r="FO226" s="52"/>
      <c r="FP226" s="52"/>
      <c r="FQ226" s="52"/>
      <c r="FR226" s="52"/>
      <c r="FS226" s="52"/>
      <c r="FT226" s="52"/>
      <c r="FU226" s="52"/>
      <c r="FV226" s="52"/>
      <c r="FW226" s="52"/>
      <c r="FX226" s="52"/>
    </row>
    <row r="227" ht="15.75" customHeight="1">
      <c r="A227" s="27"/>
      <c r="B227" s="27"/>
      <c r="C227" s="51"/>
      <c r="D227" s="51"/>
      <c r="E227" s="313"/>
      <c r="F227" s="35"/>
      <c r="G227" s="35"/>
      <c r="H227" s="35"/>
      <c r="I227" s="26"/>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c r="BY227" s="52"/>
      <c r="BZ227" s="52"/>
      <c r="CA227" s="52"/>
      <c r="CB227" s="52"/>
      <c r="CC227" s="52"/>
      <c r="CD227" s="52"/>
      <c r="CE227" s="52"/>
      <c r="CF227" s="52"/>
      <c r="CG227" s="52"/>
      <c r="CH227" s="52"/>
      <c r="CI227" s="52"/>
      <c r="CJ227" s="52"/>
      <c r="CK227" s="52"/>
      <c r="CL227" s="52"/>
      <c r="CM227" s="52"/>
      <c r="CN227" s="52"/>
      <c r="CO227" s="52"/>
      <c r="CP227" s="52"/>
      <c r="CQ227" s="52"/>
      <c r="CR227" s="52"/>
      <c r="CS227" s="52"/>
      <c r="CT227" s="52"/>
      <c r="CU227" s="52"/>
      <c r="CV227" s="52"/>
      <c r="CW227" s="52"/>
      <c r="CX227" s="52"/>
      <c r="CY227" s="52"/>
      <c r="CZ227" s="52"/>
      <c r="DA227" s="52"/>
      <c r="DB227" s="52"/>
      <c r="DC227" s="52"/>
      <c r="DD227" s="52"/>
      <c r="DE227" s="52"/>
      <c r="DF227" s="52"/>
      <c r="DG227" s="52"/>
      <c r="DH227" s="52"/>
      <c r="DI227" s="52"/>
      <c r="DJ227" s="52"/>
      <c r="DK227" s="52"/>
      <c r="DL227" s="52"/>
      <c r="DM227" s="52"/>
      <c r="DN227" s="52"/>
      <c r="DO227" s="52"/>
      <c r="DP227" s="52"/>
      <c r="DQ227" s="52"/>
      <c r="DR227" s="52"/>
      <c r="DS227" s="52"/>
      <c r="DT227" s="52"/>
      <c r="DU227" s="52"/>
      <c r="DV227" s="52"/>
      <c r="DW227" s="52"/>
      <c r="DX227" s="52"/>
      <c r="DY227" s="52"/>
      <c r="DZ227" s="52"/>
      <c r="EA227" s="52"/>
      <c r="EB227" s="52"/>
      <c r="EC227" s="52"/>
      <c r="ED227" s="52"/>
      <c r="EE227" s="52"/>
      <c r="EF227" s="52"/>
      <c r="EG227" s="52"/>
      <c r="EH227" s="52"/>
      <c r="EI227" s="52"/>
      <c r="EJ227" s="52"/>
      <c r="EK227" s="52"/>
      <c r="EL227" s="52"/>
      <c r="EM227" s="52"/>
      <c r="EN227" s="52"/>
      <c r="EO227" s="52"/>
      <c r="EP227" s="52"/>
      <c r="EQ227" s="52"/>
      <c r="ER227" s="52"/>
      <c r="ES227" s="52"/>
      <c r="ET227" s="52"/>
      <c r="EU227" s="52"/>
      <c r="EV227" s="52"/>
      <c r="EW227" s="52"/>
      <c r="EX227" s="52"/>
      <c r="EY227" s="52"/>
      <c r="EZ227" s="52"/>
      <c r="FA227" s="52"/>
      <c r="FB227" s="52"/>
      <c r="FC227" s="52"/>
      <c r="FD227" s="52"/>
      <c r="FE227" s="52"/>
      <c r="FF227" s="52"/>
      <c r="FG227" s="52"/>
      <c r="FH227" s="52"/>
      <c r="FI227" s="52"/>
      <c r="FJ227" s="52"/>
      <c r="FK227" s="52"/>
      <c r="FL227" s="52"/>
      <c r="FM227" s="52"/>
      <c r="FN227" s="52"/>
      <c r="FO227" s="52"/>
      <c r="FP227" s="52"/>
      <c r="FQ227" s="52"/>
      <c r="FR227" s="52"/>
      <c r="FS227" s="52"/>
      <c r="FT227" s="52"/>
      <c r="FU227" s="52"/>
      <c r="FV227" s="52"/>
      <c r="FW227" s="52"/>
      <c r="FX227" s="52"/>
    </row>
    <row r="228" ht="15.75" customHeight="1">
      <c r="A228" s="27"/>
      <c r="B228" s="27"/>
      <c r="C228" s="51"/>
      <c r="D228" s="51"/>
      <c r="E228" s="313"/>
      <c r="F228" s="35"/>
      <c r="G228" s="35"/>
      <c r="H228" s="35"/>
      <c r="I228" s="26"/>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c r="BY228" s="52"/>
      <c r="BZ228" s="52"/>
      <c r="CA228" s="52"/>
      <c r="CB228" s="52"/>
      <c r="CC228" s="52"/>
      <c r="CD228" s="52"/>
      <c r="CE228" s="52"/>
      <c r="CF228" s="52"/>
      <c r="CG228" s="52"/>
      <c r="CH228" s="52"/>
      <c r="CI228" s="52"/>
      <c r="CJ228" s="52"/>
      <c r="CK228" s="52"/>
      <c r="CL228" s="52"/>
      <c r="CM228" s="52"/>
      <c r="CN228" s="52"/>
      <c r="CO228" s="52"/>
      <c r="CP228" s="52"/>
      <c r="CQ228" s="52"/>
      <c r="CR228" s="52"/>
      <c r="CS228" s="52"/>
      <c r="CT228" s="52"/>
      <c r="CU228" s="52"/>
      <c r="CV228" s="52"/>
      <c r="CW228" s="52"/>
      <c r="CX228" s="52"/>
      <c r="CY228" s="52"/>
      <c r="CZ228" s="52"/>
      <c r="DA228" s="52"/>
      <c r="DB228" s="52"/>
      <c r="DC228" s="52"/>
      <c r="DD228" s="52"/>
      <c r="DE228" s="52"/>
      <c r="DF228" s="52"/>
      <c r="DG228" s="52"/>
      <c r="DH228" s="52"/>
      <c r="DI228" s="52"/>
      <c r="DJ228" s="52"/>
      <c r="DK228" s="52"/>
      <c r="DL228" s="52"/>
      <c r="DM228" s="52"/>
      <c r="DN228" s="52"/>
      <c r="DO228" s="52"/>
      <c r="DP228" s="52"/>
      <c r="DQ228" s="52"/>
      <c r="DR228" s="52"/>
      <c r="DS228" s="52"/>
      <c r="DT228" s="52"/>
      <c r="DU228" s="52"/>
      <c r="DV228" s="52"/>
      <c r="DW228" s="52"/>
      <c r="DX228" s="52"/>
      <c r="DY228" s="52"/>
      <c r="DZ228" s="52"/>
      <c r="EA228" s="52"/>
      <c r="EB228" s="52"/>
      <c r="EC228" s="52"/>
      <c r="ED228" s="52"/>
      <c r="EE228" s="52"/>
      <c r="EF228" s="52"/>
      <c r="EG228" s="52"/>
      <c r="EH228" s="52"/>
      <c r="EI228" s="52"/>
      <c r="EJ228" s="52"/>
      <c r="EK228" s="52"/>
      <c r="EL228" s="52"/>
      <c r="EM228" s="52"/>
      <c r="EN228" s="52"/>
      <c r="EO228" s="52"/>
      <c r="EP228" s="52"/>
      <c r="EQ228" s="52"/>
      <c r="ER228" s="52"/>
      <c r="ES228" s="52"/>
      <c r="ET228" s="52"/>
      <c r="EU228" s="52"/>
      <c r="EV228" s="52"/>
      <c r="EW228" s="52"/>
      <c r="EX228" s="52"/>
      <c r="EY228" s="52"/>
      <c r="EZ228" s="52"/>
      <c r="FA228" s="52"/>
      <c r="FB228" s="52"/>
      <c r="FC228" s="52"/>
      <c r="FD228" s="52"/>
      <c r="FE228" s="52"/>
      <c r="FF228" s="52"/>
      <c r="FG228" s="52"/>
      <c r="FH228" s="52"/>
      <c r="FI228" s="52"/>
      <c r="FJ228" s="52"/>
      <c r="FK228" s="52"/>
      <c r="FL228" s="52"/>
      <c r="FM228" s="52"/>
      <c r="FN228" s="52"/>
      <c r="FO228" s="52"/>
      <c r="FP228" s="52"/>
      <c r="FQ228" s="52"/>
      <c r="FR228" s="52"/>
      <c r="FS228" s="52"/>
      <c r="FT228" s="52"/>
      <c r="FU228" s="52"/>
      <c r="FV228" s="52"/>
      <c r="FW228" s="52"/>
      <c r="FX228" s="52"/>
    </row>
    <row r="229" ht="15.75" customHeight="1">
      <c r="A229" s="27"/>
      <c r="B229" s="27"/>
      <c r="C229" s="51"/>
      <c r="D229" s="51"/>
      <c r="E229" s="313"/>
      <c r="F229" s="35"/>
      <c r="G229" s="35"/>
      <c r="H229" s="35"/>
      <c r="I229" s="26"/>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c r="BY229" s="52"/>
      <c r="BZ229" s="52"/>
      <c r="CA229" s="52"/>
      <c r="CB229" s="52"/>
      <c r="CC229" s="52"/>
      <c r="CD229" s="52"/>
      <c r="CE229" s="52"/>
      <c r="CF229" s="52"/>
      <c r="CG229" s="52"/>
      <c r="CH229" s="52"/>
      <c r="CI229" s="52"/>
      <c r="CJ229" s="52"/>
      <c r="CK229" s="52"/>
      <c r="CL229" s="52"/>
      <c r="CM229" s="52"/>
      <c r="CN229" s="52"/>
      <c r="CO229" s="52"/>
      <c r="CP229" s="52"/>
      <c r="CQ229" s="52"/>
      <c r="CR229" s="52"/>
      <c r="CS229" s="52"/>
      <c r="CT229" s="52"/>
      <c r="CU229" s="52"/>
      <c r="CV229" s="52"/>
      <c r="CW229" s="52"/>
      <c r="CX229" s="52"/>
      <c r="CY229" s="52"/>
      <c r="CZ229" s="52"/>
      <c r="DA229" s="52"/>
      <c r="DB229" s="52"/>
      <c r="DC229" s="52"/>
      <c r="DD229" s="52"/>
      <c r="DE229" s="52"/>
      <c r="DF229" s="52"/>
      <c r="DG229" s="52"/>
      <c r="DH229" s="52"/>
      <c r="DI229" s="52"/>
      <c r="DJ229" s="52"/>
      <c r="DK229" s="52"/>
      <c r="DL229" s="52"/>
      <c r="DM229" s="52"/>
      <c r="DN229" s="52"/>
      <c r="DO229" s="52"/>
      <c r="DP229" s="52"/>
      <c r="DQ229" s="52"/>
      <c r="DR229" s="52"/>
      <c r="DS229" s="52"/>
      <c r="DT229" s="52"/>
      <c r="DU229" s="52"/>
      <c r="DV229" s="52"/>
      <c r="DW229" s="52"/>
      <c r="DX229" s="52"/>
      <c r="DY229" s="52"/>
      <c r="DZ229" s="52"/>
      <c r="EA229" s="52"/>
      <c r="EB229" s="52"/>
      <c r="EC229" s="52"/>
      <c r="ED229" s="52"/>
      <c r="EE229" s="52"/>
      <c r="EF229" s="52"/>
      <c r="EG229" s="52"/>
      <c r="EH229" s="52"/>
      <c r="EI229" s="52"/>
      <c r="EJ229" s="52"/>
      <c r="EK229" s="52"/>
      <c r="EL229" s="52"/>
      <c r="EM229" s="52"/>
      <c r="EN229" s="52"/>
      <c r="EO229" s="52"/>
      <c r="EP229" s="52"/>
      <c r="EQ229" s="52"/>
      <c r="ER229" s="52"/>
      <c r="ES229" s="52"/>
      <c r="ET229" s="52"/>
      <c r="EU229" s="52"/>
      <c r="EV229" s="52"/>
      <c r="EW229" s="52"/>
      <c r="EX229" s="52"/>
      <c r="EY229" s="52"/>
      <c r="EZ229" s="52"/>
      <c r="FA229" s="52"/>
      <c r="FB229" s="52"/>
      <c r="FC229" s="52"/>
      <c r="FD229" s="52"/>
      <c r="FE229" s="52"/>
      <c r="FF229" s="52"/>
      <c r="FG229" s="52"/>
      <c r="FH229" s="52"/>
      <c r="FI229" s="52"/>
      <c r="FJ229" s="52"/>
      <c r="FK229" s="52"/>
      <c r="FL229" s="52"/>
      <c r="FM229" s="52"/>
      <c r="FN229" s="52"/>
      <c r="FO229" s="52"/>
      <c r="FP229" s="52"/>
      <c r="FQ229" s="52"/>
      <c r="FR229" s="52"/>
      <c r="FS229" s="52"/>
      <c r="FT229" s="52"/>
      <c r="FU229" s="52"/>
      <c r="FV229" s="52"/>
      <c r="FW229" s="52"/>
      <c r="FX229" s="52"/>
    </row>
    <row r="230" ht="15.75" customHeight="1">
      <c r="A230" s="27"/>
      <c r="B230" s="27"/>
      <c r="C230" s="51"/>
      <c r="D230" s="51"/>
      <c r="E230" s="313"/>
      <c r="F230" s="35"/>
      <c r="G230" s="35"/>
      <c r="H230" s="35"/>
      <c r="I230" s="26"/>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c r="BY230" s="52"/>
      <c r="BZ230" s="52"/>
      <c r="CA230" s="52"/>
      <c r="CB230" s="52"/>
      <c r="CC230" s="52"/>
      <c r="CD230" s="52"/>
      <c r="CE230" s="52"/>
      <c r="CF230" s="52"/>
      <c r="CG230" s="52"/>
      <c r="CH230" s="52"/>
      <c r="CI230" s="52"/>
      <c r="CJ230" s="52"/>
      <c r="CK230" s="52"/>
      <c r="CL230" s="52"/>
      <c r="CM230" s="52"/>
      <c r="CN230" s="52"/>
      <c r="CO230" s="52"/>
      <c r="CP230" s="52"/>
      <c r="CQ230" s="52"/>
      <c r="CR230" s="52"/>
      <c r="CS230" s="52"/>
      <c r="CT230" s="52"/>
      <c r="CU230" s="52"/>
      <c r="CV230" s="52"/>
      <c r="CW230" s="52"/>
      <c r="CX230" s="52"/>
      <c r="CY230" s="52"/>
      <c r="CZ230" s="52"/>
      <c r="DA230" s="52"/>
      <c r="DB230" s="52"/>
      <c r="DC230" s="52"/>
      <c r="DD230" s="52"/>
      <c r="DE230" s="52"/>
      <c r="DF230" s="52"/>
      <c r="DG230" s="52"/>
      <c r="DH230" s="52"/>
      <c r="DI230" s="52"/>
      <c r="DJ230" s="52"/>
      <c r="DK230" s="52"/>
      <c r="DL230" s="52"/>
      <c r="DM230" s="52"/>
      <c r="DN230" s="52"/>
      <c r="DO230" s="52"/>
      <c r="DP230" s="52"/>
      <c r="DQ230" s="52"/>
      <c r="DR230" s="52"/>
      <c r="DS230" s="52"/>
      <c r="DT230" s="52"/>
      <c r="DU230" s="52"/>
      <c r="DV230" s="52"/>
      <c r="DW230" s="52"/>
      <c r="DX230" s="52"/>
      <c r="DY230" s="52"/>
      <c r="DZ230" s="52"/>
      <c r="EA230" s="52"/>
      <c r="EB230" s="52"/>
      <c r="EC230" s="52"/>
      <c r="ED230" s="52"/>
      <c r="EE230" s="52"/>
      <c r="EF230" s="52"/>
      <c r="EG230" s="52"/>
      <c r="EH230" s="52"/>
      <c r="EI230" s="52"/>
      <c r="EJ230" s="52"/>
      <c r="EK230" s="52"/>
      <c r="EL230" s="52"/>
      <c r="EM230" s="52"/>
      <c r="EN230" s="52"/>
      <c r="EO230" s="52"/>
      <c r="EP230" s="52"/>
      <c r="EQ230" s="52"/>
      <c r="ER230" s="52"/>
      <c r="ES230" s="52"/>
      <c r="ET230" s="52"/>
      <c r="EU230" s="52"/>
      <c r="EV230" s="52"/>
      <c r="EW230" s="52"/>
      <c r="EX230" s="52"/>
      <c r="EY230" s="52"/>
      <c r="EZ230" s="52"/>
      <c r="FA230" s="52"/>
      <c r="FB230" s="52"/>
      <c r="FC230" s="52"/>
      <c r="FD230" s="52"/>
      <c r="FE230" s="52"/>
      <c r="FF230" s="52"/>
      <c r="FG230" s="52"/>
      <c r="FH230" s="52"/>
      <c r="FI230" s="52"/>
      <c r="FJ230" s="52"/>
      <c r="FK230" s="52"/>
      <c r="FL230" s="52"/>
      <c r="FM230" s="52"/>
      <c r="FN230" s="52"/>
      <c r="FO230" s="52"/>
      <c r="FP230" s="52"/>
      <c r="FQ230" s="52"/>
      <c r="FR230" s="52"/>
      <c r="FS230" s="52"/>
      <c r="FT230" s="52"/>
      <c r="FU230" s="52"/>
      <c r="FV230" s="52"/>
      <c r="FW230" s="52"/>
      <c r="FX230" s="52"/>
    </row>
    <row r="231" ht="15.75" customHeight="1">
      <c r="A231" s="27"/>
      <c r="B231" s="27"/>
      <c r="C231" s="51"/>
      <c r="D231" s="51"/>
      <c r="E231" s="313"/>
      <c r="F231" s="35"/>
      <c r="G231" s="35"/>
      <c r="H231" s="35"/>
      <c r="I231" s="26"/>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c r="BY231" s="52"/>
      <c r="BZ231" s="52"/>
      <c r="CA231" s="52"/>
      <c r="CB231" s="52"/>
      <c r="CC231" s="52"/>
      <c r="CD231" s="52"/>
      <c r="CE231" s="52"/>
      <c r="CF231" s="52"/>
      <c r="CG231" s="52"/>
      <c r="CH231" s="52"/>
      <c r="CI231" s="52"/>
      <c r="CJ231" s="52"/>
      <c r="CK231" s="52"/>
      <c r="CL231" s="52"/>
      <c r="CM231" s="52"/>
      <c r="CN231" s="52"/>
      <c r="CO231" s="52"/>
      <c r="CP231" s="52"/>
      <c r="CQ231" s="52"/>
      <c r="CR231" s="52"/>
      <c r="CS231" s="52"/>
      <c r="CT231" s="52"/>
      <c r="CU231" s="52"/>
      <c r="CV231" s="52"/>
      <c r="CW231" s="52"/>
      <c r="CX231" s="52"/>
      <c r="CY231" s="52"/>
      <c r="CZ231" s="52"/>
      <c r="DA231" s="52"/>
      <c r="DB231" s="52"/>
      <c r="DC231" s="52"/>
      <c r="DD231" s="52"/>
      <c r="DE231" s="52"/>
      <c r="DF231" s="52"/>
      <c r="DG231" s="52"/>
      <c r="DH231" s="52"/>
      <c r="DI231" s="52"/>
      <c r="DJ231" s="52"/>
      <c r="DK231" s="52"/>
      <c r="DL231" s="52"/>
      <c r="DM231" s="52"/>
      <c r="DN231" s="52"/>
      <c r="DO231" s="52"/>
      <c r="DP231" s="52"/>
      <c r="DQ231" s="52"/>
      <c r="DR231" s="52"/>
      <c r="DS231" s="52"/>
      <c r="DT231" s="52"/>
      <c r="DU231" s="52"/>
      <c r="DV231" s="52"/>
      <c r="DW231" s="52"/>
      <c r="DX231" s="52"/>
      <c r="DY231" s="52"/>
      <c r="DZ231" s="52"/>
      <c r="EA231" s="52"/>
      <c r="EB231" s="52"/>
      <c r="EC231" s="52"/>
      <c r="ED231" s="52"/>
      <c r="EE231" s="52"/>
      <c r="EF231" s="52"/>
      <c r="EG231" s="52"/>
      <c r="EH231" s="52"/>
      <c r="EI231" s="52"/>
      <c r="EJ231" s="52"/>
      <c r="EK231" s="52"/>
      <c r="EL231" s="52"/>
      <c r="EM231" s="52"/>
      <c r="EN231" s="52"/>
      <c r="EO231" s="52"/>
      <c r="EP231" s="52"/>
      <c r="EQ231" s="52"/>
      <c r="ER231" s="52"/>
      <c r="ES231" s="52"/>
      <c r="ET231" s="52"/>
      <c r="EU231" s="52"/>
      <c r="EV231" s="52"/>
      <c r="EW231" s="52"/>
      <c r="EX231" s="52"/>
      <c r="EY231" s="52"/>
      <c r="EZ231" s="52"/>
      <c r="FA231" s="52"/>
      <c r="FB231" s="52"/>
      <c r="FC231" s="52"/>
      <c r="FD231" s="52"/>
      <c r="FE231" s="52"/>
      <c r="FF231" s="52"/>
      <c r="FG231" s="52"/>
      <c r="FH231" s="52"/>
      <c r="FI231" s="52"/>
      <c r="FJ231" s="52"/>
      <c r="FK231" s="52"/>
      <c r="FL231" s="52"/>
      <c r="FM231" s="52"/>
      <c r="FN231" s="52"/>
      <c r="FO231" s="52"/>
      <c r="FP231" s="52"/>
      <c r="FQ231" s="52"/>
      <c r="FR231" s="52"/>
      <c r="FS231" s="52"/>
      <c r="FT231" s="52"/>
      <c r="FU231" s="52"/>
      <c r="FV231" s="52"/>
      <c r="FW231" s="52"/>
      <c r="FX231" s="52"/>
    </row>
    <row r="232" ht="15.75" customHeight="1">
      <c r="A232" s="27"/>
      <c r="B232" s="27"/>
      <c r="C232" s="51"/>
      <c r="D232" s="51"/>
      <c r="E232" s="313"/>
      <c r="F232" s="35"/>
      <c r="G232" s="35"/>
      <c r="H232" s="35"/>
      <c r="I232" s="26"/>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c r="BY232" s="52"/>
      <c r="BZ232" s="52"/>
      <c r="CA232" s="52"/>
      <c r="CB232" s="52"/>
      <c r="CC232" s="52"/>
      <c r="CD232" s="52"/>
      <c r="CE232" s="52"/>
      <c r="CF232" s="52"/>
      <c r="CG232" s="52"/>
      <c r="CH232" s="52"/>
      <c r="CI232" s="52"/>
      <c r="CJ232" s="52"/>
      <c r="CK232" s="52"/>
      <c r="CL232" s="52"/>
      <c r="CM232" s="52"/>
      <c r="CN232" s="52"/>
      <c r="CO232" s="52"/>
      <c r="CP232" s="52"/>
      <c r="CQ232" s="52"/>
      <c r="CR232" s="52"/>
      <c r="CS232" s="52"/>
      <c r="CT232" s="52"/>
      <c r="CU232" s="52"/>
      <c r="CV232" s="52"/>
      <c r="CW232" s="52"/>
      <c r="CX232" s="52"/>
      <c r="CY232" s="52"/>
      <c r="CZ232" s="52"/>
      <c r="DA232" s="52"/>
      <c r="DB232" s="52"/>
      <c r="DC232" s="52"/>
      <c r="DD232" s="52"/>
      <c r="DE232" s="52"/>
      <c r="DF232" s="52"/>
      <c r="DG232" s="52"/>
      <c r="DH232" s="52"/>
      <c r="DI232" s="52"/>
      <c r="DJ232" s="52"/>
      <c r="DK232" s="52"/>
      <c r="DL232" s="52"/>
      <c r="DM232" s="52"/>
      <c r="DN232" s="52"/>
      <c r="DO232" s="52"/>
      <c r="DP232" s="52"/>
      <c r="DQ232" s="52"/>
      <c r="DR232" s="52"/>
      <c r="DS232" s="52"/>
      <c r="DT232" s="52"/>
      <c r="DU232" s="52"/>
      <c r="DV232" s="52"/>
      <c r="DW232" s="52"/>
      <c r="DX232" s="52"/>
      <c r="DY232" s="52"/>
      <c r="DZ232" s="52"/>
      <c r="EA232" s="52"/>
      <c r="EB232" s="52"/>
      <c r="EC232" s="52"/>
      <c r="ED232" s="52"/>
      <c r="EE232" s="52"/>
      <c r="EF232" s="52"/>
      <c r="EG232" s="52"/>
      <c r="EH232" s="52"/>
      <c r="EI232" s="52"/>
      <c r="EJ232" s="52"/>
      <c r="EK232" s="52"/>
      <c r="EL232" s="52"/>
      <c r="EM232" s="52"/>
      <c r="EN232" s="52"/>
      <c r="EO232" s="52"/>
      <c r="EP232" s="52"/>
      <c r="EQ232" s="52"/>
      <c r="ER232" s="52"/>
      <c r="ES232" s="52"/>
      <c r="ET232" s="52"/>
      <c r="EU232" s="52"/>
      <c r="EV232" s="52"/>
      <c r="EW232" s="52"/>
      <c r="EX232" s="52"/>
      <c r="EY232" s="52"/>
      <c r="EZ232" s="52"/>
      <c r="FA232" s="52"/>
      <c r="FB232" s="52"/>
      <c r="FC232" s="52"/>
      <c r="FD232" s="52"/>
      <c r="FE232" s="52"/>
      <c r="FF232" s="52"/>
      <c r="FG232" s="52"/>
      <c r="FH232" s="52"/>
      <c r="FI232" s="52"/>
      <c r="FJ232" s="52"/>
      <c r="FK232" s="52"/>
      <c r="FL232" s="52"/>
      <c r="FM232" s="52"/>
      <c r="FN232" s="52"/>
      <c r="FO232" s="52"/>
      <c r="FP232" s="52"/>
      <c r="FQ232" s="52"/>
      <c r="FR232" s="52"/>
      <c r="FS232" s="52"/>
      <c r="FT232" s="52"/>
      <c r="FU232" s="52"/>
      <c r="FV232" s="52"/>
      <c r="FW232" s="52"/>
      <c r="FX232" s="52"/>
    </row>
    <row r="233" ht="15.75" customHeight="1">
      <c r="A233" s="27"/>
      <c r="B233" s="27"/>
      <c r="C233" s="51"/>
      <c r="D233" s="51"/>
      <c r="E233" s="313"/>
      <c r="F233" s="35"/>
      <c r="G233" s="35"/>
      <c r="H233" s="35"/>
      <c r="I233" s="26"/>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c r="BY233" s="52"/>
      <c r="BZ233" s="52"/>
      <c r="CA233" s="52"/>
      <c r="CB233" s="52"/>
      <c r="CC233" s="52"/>
      <c r="CD233" s="52"/>
      <c r="CE233" s="52"/>
      <c r="CF233" s="52"/>
      <c r="CG233" s="52"/>
      <c r="CH233" s="52"/>
      <c r="CI233" s="52"/>
      <c r="CJ233" s="52"/>
      <c r="CK233" s="52"/>
      <c r="CL233" s="52"/>
      <c r="CM233" s="52"/>
      <c r="CN233" s="52"/>
      <c r="CO233" s="52"/>
      <c r="CP233" s="52"/>
      <c r="CQ233" s="52"/>
      <c r="CR233" s="52"/>
      <c r="CS233" s="52"/>
      <c r="CT233" s="52"/>
      <c r="CU233" s="52"/>
      <c r="CV233" s="52"/>
      <c r="CW233" s="52"/>
      <c r="CX233" s="52"/>
      <c r="CY233" s="52"/>
      <c r="CZ233" s="52"/>
      <c r="DA233" s="52"/>
      <c r="DB233" s="52"/>
      <c r="DC233" s="52"/>
      <c r="DD233" s="52"/>
      <c r="DE233" s="52"/>
      <c r="DF233" s="52"/>
      <c r="DG233" s="52"/>
      <c r="DH233" s="52"/>
      <c r="DI233" s="52"/>
      <c r="DJ233" s="52"/>
      <c r="DK233" s="52"/>
      <c r="DL233" s="52"/>
      <c r="DM233" s="52"/>
      <c r="DN233" s="52"/>
      <c r="DO233" s="52"/>
      <c r="DP233" s="52"/>
      <c r="DQ233" s="52"/>
      <c r="DR233" s="52"/>
      <c r="DS233" s="52"/>
      <c r="DT233" s="52"/>
      <c r="DU233" s="52"/>
      <c r="DV233" s="52"/>
      <c r="DW233" s="52"/>
      <c r="DX233" s="52"/>
      <c r="DY233" s="52"/>
      <c r="DZ233" s="52"/>
      <c r="EA233" s="52"/>
      <c r="EB233" s="52"/>
      <c r="EC233" s="52"/>
      <c r="ED233" s="52"/>
      <c r="EE233" s="52"/>
      <c r="EF233" s="52"/>
      <c r="EG233" s="52"/>
      <c r="EH233" s="52"/>
      <c r="EI233" s="52"/>
      <c r="EJ233" s="52"/>
      <c r="EK233" s="52"/>
      <c r="EL233" s="52"/>
      <c r="EM233" s="52"/>
      <c r="EN233" s="52"/>
      <c r="EO233" s="52"/>
      <c r="EP233" s="52"/>
      <c r="EQ233" s="52"/>
      <c r="ER233" s="52"/>
      <c r="ES233" s="52"/>
      <c r="ET233" s="52"/>
      <c r="EU233" s="52"/>
      <c r="EV233" s="52"/>
      <c r="EW233" s="52"/>
      <c r="EX233" s="52"/>
      <c r="EY233" s="52"/>
      <c r="EZ233" s="52"/>
      <c r="FA233" s="52"/>
      <c r="FB233" s="52"/>
      <c r="FC233" s="52"/>
      <c r="FD233" s="52"/>
      <c r="FE233" s="52"/>
      <c r="FF233" s="52"/>
      <c r="FG233" s="52"/>
      <c r="FH233" s="52"/>
      <c r="FI233" s="52"/>
      <c r="FJ233" s="52"/>
      <c r="FK233" s="52"/>
      <c r="FL233" s="52"/>
      <c r="FM233" s="52"/>
      <c r="FN233" s="52"/>
      <c r="FO233" s="52"/>
      <c r="FP233" s="52"/>
      <c r="FQ233" s="52"/>
      <c r="FR233" s="52"/>
      <c r="FS233" s="52"/>
      <c r="FT233" s="52"/>
      <c r="FU233" s="52"/>
      <c r="FV233" s="52"/>
      <c r="FW233" s="52"/>
      <c r="FX233" s="52"/>
    </row>
    <row r="234" ht="15.75" customHeight="1">
      <c r="A234" s="27"/>
      <c r="B234" s="27"/>
      <c r="C234" s="51"/>
      <c r="D234" s="51"/>
      <c r="E234" s="313"/>
      <c r="F234" s="35"/>
      <c r="G234" s="35"/>
      <c r="H234" s="35"/>
      <c r="I234" s="26"/>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c r="BY234" s="52"/>
      <c r="BZ234" s="52"/>
      <c r="CA234" s="52"/>
      <c r="CB234" s="52"/>
      <c r="CC234" s="52"/>
      <c r="CD234" s="52"/>
      <c r="CE234" s="52"/>
      <c r="CF234" s="52"/>
      <c r="CG234" s="52"/>
      <c r="CH234" s="52"/>
      <c r="CI234" s="52"/>
      <c r="CJ234" s="52"/>
      <c r="CK234" s="52"/>
      <c r="CL234" s="52"/>
      <c r="CM234" s="52"/>
      <c r="CN234" s="52"/>
      <c r="CO234" s="52"/>
      <c r="CP234" s="52"/>
      <c r="CQ234" s="52"/>
      <c r="CR234" s="52"/>
      <c r="CS234" s="52"/>
      <c r="CT234" s="52"/>
      <c r="CU234" s="52"/>
      <c r="CV234" s="52"/>
      <c r="CW234" s="52"/>
      <c r="CX234" s="52"/>
      <c r="CY234" s="52"/>
      <c r="CZ234" s="52"/>
      <c r="DA234" s="52"/>
      <c r="DB234" s="52"/>
      <c r="DC234" s="52"/>
      <c r="DD234" s="52"/>
      <c r="DE234" s="52"/>
      <c r="DF234" s="52"/>
      <c r="DG234" s="52"/>
      <c r="DH234" s="52"/>
      <c r="DI234" s="52"/>
      <c r="DJ234" s="52"/>
      <c r="DK234" s="52"/>
      <c r="DL234" s="52"/>
      <c r="DM234" s="52"/>
      <c r="DN234" s="52"/>
      <c r="DO234" s="52"/>
      <c r="DP234" s="52"/>
      <c r="DQ234" s="52"/>
      <c r="DR234" s="52"/>
      <c r="DS234" s="52"/>
      <c r="DT234" s="52"/>
      <c r="DU234" s="52"/>
      <c r="DV234" s="52"/>
      <c r="DW234" s="52"/>
      <c r="DX234" s="52"/>
      <c r="DY234" s="52"/>
      <c r="DZ234" s="52"/>
      <c r="EA234" s="52"/>
      <c r="EB234" s="52"/>
      <c r="EC234" s="52"/>
      <c r="ED234" s="52"/>
      <c r="EE234" s="52"/>
      <c r="EF234" s="52"/>
      <c r="EG234" s="52"/>
      <c r="EH234" s="52"/>
      <c r="EI234" s="52"/>
      <c r="EJ234" s="52"/>
      <c r="EK234" s="52"/>
      <c r="EL234" s="52"/>
      <c r="EM234" s="52"/>
      <c r="EN234" s="52"/>
      <c r="EO234" s="52"/>
      <c r="EP234" s="52"/>
      <c r="EQ234" s="52"/>
      <c r="ER234" s="52"/>
      <c r="ES234" s="52"/>
      <c r="ET234" s="52"/>
      <c r="EU234" s="52"/>
      <c r="EV234" s="52"/>
      <c r="EW234" s="52"/>
      <c r="EX234" s="52"/>
      <c r="EY234" s="52"/>
      <c r="EZ234" s="52"/>
      <c r="FA234" s="52"/>
      <c r="FB234" s="52"/>
      <c r="FC234" s="52"/>
      <c r="FD234" s="52"/>
      <c r="FE234" s="52"/>
      <c r="FF234" s="52"/>
      <c r="FG234" s="52"/>
      <c r="FH234" s="52"/>
      <c r="FI234" s="52"/>
      <c r="FJ234" s="52"/>
      <c r="FK234" s="52"/>
      <c r="FL234" s="52"/>
      <c r="FM234" s="52"/>
      <c r="FN234" s="52"/>
      <c r="FO234" s="52"/>
      <c r="FP234" s="52"/>
      <c r="FQ234" s="52"/>
      <c r="FR234" s="52"/>
      <c r="FS234" s="52"/>
      <c r="FT234" s="52"/>
      <c r="FU234" s="52"/>
      <c r="FV234" s="52"/>
      <c r="FW234" s="52"/>
      <c r="FX234" s="52"/>
    </row>
    <row r="235" ht="15.75" customHeight="1">
      <c r="A235" s="27"/>
      <c r="B235" s="27"/>
      <c r="C235" s="51"/>
      <c r="D235" s="51"/>
      <c r="E235" s="313"/>
      <c r="F235" s="35"/>
      <c r="G235" s="35"/>
      <c r="H235" s="35"/>
      <c r="I235" s="26"/>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c r="BY235" s="52"/>
      <c r="BZ235" s="52"/>
      <c r="CA235" s="52"/>
      <c r="CB235" s="52"/>
      <c r="CC235" s="52"/>
      <c r="CD235" s="52"/>
      <c r="CE235" s="52"/>
      <c r="CF235" s="52"/>
      <c r="CG235" s="52"/>
      <c r="CH235" s="52"/>
      <c r="CI235" s="52"/>
      <c r="CJ235" s="52"/>
      <c r="CK235" s="52"/>
      <c r="CL235" s="52"/>
      <c r="CM235" s="52"/>
      <c r="CN235" s="52"/>
      <c r="CO235" s="52"/>
      <c r="CP235" s="52"/>
      <c r="CQ235" s="52"/>
      <c r="CR235" s="52"/>
      <c r="CS235" s="52"/>
      <c r="CT235" s="52"/>
      <c r="CU235" s="52"/>
      <c r="CV235" s="52"/>
      <c r="CW235" s="52"/>
      <c r="CX235" s="52"/>
      <c r="CY235" s="52"/>
      <c r="CZ235" s="52"/>
      <c r="DA235" s="52"/>
      <c r="DB235" s="52"/>
      <c r="DC235" s="52"/>
      <c r="DD235" s="52"/>
      <c r="DE235" s="52"/>
      <c r="DF235" s="52"/>
      <c r="DG235" s="52"/>
      <c r="DH235" s="52"/>
      <c r="DI235" s="52"/>
      <c r="DJ235" s="52"/>
      <c r="DK235" s="52"/>
      <c r="DL235" s="52"/>
      <c r="DM235" s="52"/>
      <c r="DN235" s="52"/>
      <c r="DO235" s="52"/>
      <c r="DP235" s="52"/>
      <c r="DQ235" s="52"/>
      <c r="DR235" s="52"/>
      <c r="DS235" s="52"/>
      <c r="DT235" s="52"/>
      <c r="DU235" s="52"/>
      <c r="DV235" s="52"/>
      <c r="DW235" s="52"/>
      <c r="DX235" s="52"/>
      <c r="DY235" s="52"/>
      <c r="DZ235" s="52"/>
      <c r="EA235" s="52"/>
      <c r="EB235" s="52"/>
      <c r="EC235" s="52"/>
      <c r="ED235" s="52"/>
      <c r="EE235" s="52"/>
      <c r="EF235" s="52"/>
      <c r="EG235" s="52"/>
      <c r="EH235" s="52"/>
      <c r="EI235" s="52"/>
      <c r="EJ235" s="52"/>
      <c r="EK235" s="52"/>
      <c r="EL235" s="52"/>
      <c r="EM235" s="52"/>
      <c r="EN235" s="52"/>
      <c r="EO235" s="52"/>
      <c r="EP235" s="52"/>
      <c r="EQ235" s="52"/>
      <c r="ER235" s="52"/>
      <c r="ES235" s="52"/>
      <c r="ET235" s="52"/>
      <c r="EU235" s="52"/>
      <c r="EV235" s="52"/>
      <c r="EW235" s="52"/>
      <c r="EX235" s="52"/>
      <c r="EY235" s="52"/>
      <c r="EZ235" s="52"/>
      <c r="FA235" s="52"/>
      <c r="FB235" s="52"/>
      <c r="FC235" s="52"/>
      <c r="FD235" s="52"/>
      <c r="FE235" s="52"/>
      <c r="FF235" s="52"/>
      <c r="FG235" s="52"/>
      <c r="FH235" s="52"/>
      <c r="FI235" s="52"/>
      <c r="FJ235" s="52"/>
      <c r="FK235" s="52"/>
      <c r="FL235" s="52"/>
      <c r="FM235" s="52"/>
      <c r="FN235" s="52"/>
      <c r="FO235" s="52"/>
      <c r="FP235" s="52"/>
      <c r="FQ235" s="52"/>
      <c r="FR235" s="52"/>
      <c r="FS235" s="52"/>
      <c r="FT235" s="52"/>
      <c r="FU235" s="52"/>
      <c r="FV235" s="52"/>
      <c r="FW235" s="52"/>
      <c r="FX235" s="52"/>
    </row>
    <row r="236" ht="15.75" customHeight="1">
      <c r="A236" s="27"/>
      <c r="B236" s="27"/>
      <c r="C236" s="51"/>
      <c r="D236" s="51"/>
      <c r="E236" s="313"/>
      <c r="F236" s="35"/>
      <c r="G236" s="35"/>
      <c r="H236" s="35"/>
      <c r="I236" s="26"/>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c r="BY236" s="52"/>
      <c r="BZ236" s="52"/>
      <c r="CA236" s="52"/>
      <c r="CB236" s="52"/>
      <c r="CC236" s="52"/>
      <c r="CD236" s="52"/>
      <c r="CE236" s="52"/>
      <c r="CF236" s="52"/>
      <c r="CG236" s="52"/>
      <c r="CH236" s="52"/>
      <c r="CI236" s="52"/>
      <c r="CJ236" s="52"/>
      <c r="CK236" s="52"/>
      <c r="CL236" s="52"/>
      <c r="CM236" s="52"/>
      <c r="CN236" s="52"/>
      <c r="CO236" s="52"/>
      <c r="CP236" s="52"/>
      <c r="CQ236" s="52"/>
      <c r="CR236" s="52"/>
      <c r="CS236" s="52"/>
      <c r="CT236" s="52"/>
      <c r="CU236" s="52"/>
      <c r="CV236" s="52"/>
      <c r="CW236" s="52"/>
      <c r="CX236" s="52"/>
      <c r="CY236" s="52"/>
      <c r="CZ236" s="52"/>
      <c r="DA236" s="52"/>
      <c r="DB236" s="52"/>
      <c r="DC236" s="52"/>
      <c r="DD236" s="52"/>
      <c r="DE236" s="52"/>
      <c r="DF236" s="52"/>
      <c r="DG236" s="52"/>
      <c r="DH236" s="52"/>
      <c r="DI236" s="52"/>
      <c r="DJ236" s="52"/>
      <c r="DK236" s="52"/>
      <c r="DL236" s="52"/>
      <c r="DM236" s="52"/>
      <c r="DN236" s="52"/>
      <c r="DO236" s="52"/>
      <c r="DP236" s="52"/>
      <c r="DQ236" s="52"/>
      <c r="DR236" s="52"/>
      <c r="DS236" s="52"/>
      <c r="DT236" s="52"/>
      <c r="DU236" s="52"/>
      <c r="DV236" s="52"/>
      <c r="DW236" s="52"/>
      <c r="DX236" s="52"/>
      <c r="DY236" s="52"/>
      <c r="DZ236" s="52"/>
      <c r="EA236" s="52"/>
      <c r="EB236" s="52"/>
      <c r="EC236" s="52"/>
      <c r="ED236" s="52"/>
      <c r="EE236" s="52"/>
      <c r="EF236" s="52"/>
      <c r="EG236" s="52"/>
      <c r="EH236" s="52"/>
      <c r="EI236" s="52"/>
      <c r="EJ236" s="52"/>
      <c r="EK236" s="52"/>
      <c r="EL236" s="52"/>
      <c r="EM236" s="52"/>
      <c r="EN236" s="52"/>
      <c r="EO236" s="52"/>
      <c r="EP236" s="52"/>
      <c r="EQ236" s="52"/>
      <c r="ER236" s="52"/>
      <c r="ES236" s="52"/>
      <c r="ET236" s="52"/>
      <c r="EU236" s="52"/>
      <c r="EV236" s="52"/>
      <c r="EW236" s="52"/>
      <c r="EX236" s="52"/>
      <c r="EY236" s="52"/>
      <c r="EZ236" s="52"/>
      <c r="FA236" s="52"/>
      <c r="FB236" s="52"/>
      <c r="FC236" s="52"/>
      <c r="FD236" s="52"/>
      <c r="FE236" s="52"/>
      <c r="FF236" s="52"/>
      <c r="FG236" s="52"/>
      <c r="FH236" s="52"/>
      <c r="FI236" s="52"/>
      <c r="FJ236" s="52"/>
      <c r="FK236" s="52"/>
      <c r="FL236" s="52"/>
      <c r="FM236" s="52"/>
      <c r="FN236" s="52"/>
      <c r="FO236" s="52"/>
      <c r="FP236" s="52"/>
      <c r="FQ236" s="52"/>
      <c r="FR236" s="52"/>
      <c r="FS236" s="52"/>
      <c r="FT236" s="52"/>
      <c r="FU236" s="52"/>
      <c r="FV236" s="52"/>
      <c r="FW236" s="52"/>
      <c r="FX236" s="52"/>
    </row>
    <row r="237" ht="15.75" customHeight="1">
      <c r="A237" s="27"/>
      <c r="B237" s="27"/>
      <c r="C237" s="51"/>
      <c r="D237" s="51"/>
      <c r="E237" s="313"/>
      <c r="F237" s="35"/>
      <c r="G237" s="35"/>
      <c r="H237" s="35"/>
      <c r="I237" s="26"/>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c r="BY237" s="52"/>
      <c r="BZ237" s="52"/>
      <c r="CA237" s="52"/>
      <c r="CB237" s="52"/>
      <c r="CC237" s="52"/>
      <c r="CD237" s="52"/>
      <c r="CE237" s="52"/>
      <c r="CF237" s="52"/>
      <c r="CG237" s="52"/>
      <c r="CH237" s="52"/>
      <c r="CI237" s="52"/>
      <c r="CJ237" s="52"/>
      <c r="CK237" s="52"/>
      <c r="CL237" s="52"/>
      <c r="CM237" s="52"/>
      <c r="CN237" s="52"/>
      <c r="CO237" s="52"/>
      <c r="CP237" s="52"/>
      <c r="CQ237" s="52"/>
      <c r="CR237" s="52"/>
      <c r="CS237" s="52"/>
      <c r="CT237" s="52"/>
      <c r="CU237" s="52"/>
      <c r="CV237" s="52"/>
      <c r="CW237" s="52"/>
      <c r="CX237" s="52"/>
      <c r="CY237" s="52"/>
      <c r="CZ237" s="52"/>
      <c r="DA237" s="52"/>
      <c r="DB237" s="52"/>
      <c r="DC237" s="52"/>
      <c r="DD237" s="52"/>
      <c r="DE237" s="52"/>
      <c r="DF237" s="52"/>
      <c r="DG237" s="52"/>
      <c r="DH237" s="52"/>
      <c r="DI237" s="52"/>
      <c r="DJ237" s="52"/>
      <c r="DK237" s="52"/>
      <c r="DL237" s="52"/>
      <c r="DM237" s="52"/>
      <c r="DN237" s="52"/>
      <c r="DO237" s="52"/>
      <c r="DP237" s="52"/>
      <c r="DQ237" s="52"/>
      <c r="DR237" s="52"/>
      <c r="DS237" s="52"/>
      <c r="DT237" s="52"/>
      <c r="DU237" s="52"/>
      <c r="DV237" s="52"/>
      <c r="DW237" s="52"/>
      <c r="DX237" s="52"/>
      <c r="DY237" s="52"/>
      <c r="DZ237" s="52"/>
      <c r="EA237" s="52"/>
      <c r="EB237" s="52"/>
      <c r="EC237" s="52"/>
      <c r="ED237" s="52"/>
      <c r="EE237" s="52"/>
      <c r="EF237" s="52"/>
      <c r="EG237" s="52"/>
      <c r="EH237" s="52"/>
      <c r="EI237" s="52"/>
      <c r="EJ237" s="52"/>
      <c r="EK237" s="52"/>
      <c r="EL237" s="52"/>
      <c r="EM237" s="52"/>
      <c r="EN237" s="52"/>
      <c r="EO237" s="52"/>
      <c r="EP237" s="52"/>
      <c r="EQ237" s="52"/>
      <c r="ER237" s="52"/>
      <c r="ES237" s="52"/>
      <c r="ET237" s="52"/>
      <c r="EU237" s="52"/>
      <c r="EV237" s="52"/>
      <c r="EW237" s="52"/>
      <c r="EX237" s="52"/>
      <c r="EY237" s="52"/>
      <c r="EZ237" s="52"/>
      <c r="FA237" s="52"/>
      <c r="FB237" s="52"/>
      <c r="FC237" s="52"/>
      <c r="FD237" s="52"/>
      <c r="FE237" s="52"/>
      <c r="FF237" s="52"/>
      <c r="FG237" s="52"/>
      <c r="FH237" s="52"/>
      <c r="FI237" s="52"/>
      <c r="FJ237" s="52"/>
      <c r="FK237" s="52"/>
      <c r="FL237" s="52"/>
      <c r="FM237" s="52"/>
      <c r="FN237" s="52"/>
      <c r="FO237" s="52"/>
      <c r="FP237" s="52"/>
      <c r="FQ237" s="52"/>
      <c r="FR237" s="52"/>
      <c r="FS237" s="52"/>
      <c r="FT237" s="52"/>
      <c r="FU237" s="52"/>
      <c r="FV237" s="52"/>
      <c r="FW237" s="52"/>
      <c r="FX237" s="52"/>
    </row>
    <row r="238" ht="15.75" customHeight="1">
      <c r="A238" s="27"/>
      <c r="B238" s="27"/>
      <c r="C238" s="51"/>
      <c r="D238" s="51"/>
      <c r="E238" s="313"/>
      <c r="F238" s="35"/>
      <c r="G238" s="35"/>
      <c r="H238" s="35"/>
      <c r="I238" s="26"/>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c r="BY238" s="52"/>
      <c r="BZ238" s="52"/>
      <c r="CA238" s="52"/>
      <c r="CB238" s="52"/>
      <c r="CC238" s="52"/>
      <c r="CD238" s="52"/>
      <c r="CE238" s="52"/>
      <c r="CF238" s="52"/>
      <c r="CG238" s="52"/>
      <c r="CH238" s="52"/>
      <c r="CI238" s="52"/>
      <c r="CJ238" s="52"/>
      <c r="CK238" s="52"/>
      <c r="CL238" s="52"/>
      <c r="CM238" s="52"/>
      <c r="CN238" s="52"/>
      <c r="CO238" s="52"/>
      <c r="CP238" s="52"/>
      <c r="CQ238" s="52"/>
      <c r="CR238" s="52"/>
      <c r="CS238" s="52"/>
      <c r="CT238" s="52"/>
      <c r="CU238" s="52"/>
      <c r="CV238" s="52"/>
      <c r="CW238" s="52"/>
      <c r="CX238" s="52"/>
      <c r="CY238" s="52"/>
      <c r="CZ238" s="52"/>
      <c r="DA238" s="52"/>
      <c r="DB238" s="52"/>
      <c r="DC238" s="52"/>
      <c r="DD238" s="52"/>
      <c r="DE238" s="52"/>
      <c r="DF238" s="52"/>
      <c r="DG238" s="52"/>
      <c r="DH238" s="52"/>
      <c r="DI238" s="52"/>
      <c r="DJ238" s="52"/>
      <c r="DK238" s="52"/>
      <c r="DL238" s="52"/>
      <c r="DM238" s="52"/>
      <c r="DN238" s="52"/>
      <c r="DO238" s="52"/>
      <c r="DP238" s="52"/>
      <c r="DQ238" s="52"/>
      <c r="DR238" s="52"/>
      <c r="DS238" s="52"/>
      <c r="DT238" s="52"/>
      <c r="DU238" s="52"/>
      <c r="DV238" s="52"/>
      <c r="DW238" s="52"/>
      <c r="DX238" s="52"/>
      <c r="DY238" s="52"/>
      <c r="DZ238" s="52"/>
      <c r="EA238" s="52"/>
      <c r="EB238" s="52"/>
      <c r="EC238" s="52"/>
      <c r="ED238" s="52"/>
      <c r="EE238" s="52"/>
      <c r="EF238" s="52"/>
      <c r="EG238" s="52"/>
      <c r="EH238" s="52"/>
      <c r="EI238" s="52"/>
      <c r="EJ238" s="52"/>
      <c r="EK238" s="52"/>
      <c r="EL238" s="52"/>
      <c r="EM238" s="52"/>
      <c r="EN238" s="52"/>
      <c r="EO238" s="52"/>
      <c r="EP238" s="52"/>
      <c r="EQ238" s="52"/>
      <c r="ER238" s="52"/>
      <c r="ES238" s="52"/>
      <c r="ET238" s="52"/>
      <c r="EU238" s="52"/>
      <c r="EV238" s="52"/>
      <c r="EW238" s="52"/>
      <c r="EX238" s="52"/>
      <c r="EY238" s="52"/>
      <c r="EZ238" s="52"/>
      <c r="FA238" s="52"/>
      <c r="FB238" s="52"/>
      <c r="FC238" s="52"/>
      <c r="FD238" s="52"/>
      <c r="FE238" s="52"/>
      <c r="FF238" s="52"/>
      <c r="FG238" s="52"/>
      <c r="FH238" s="52"/>
      <c r="FI238" s="52"/>
      <c r="FJ238" s="52"/>
      <c r="FK238" s="52"/>
      <c r="FL238" s="52"/>
      <c r="FM238" s="52"/>
      <c r="FN238" s="52"/>
      <c r="FO238" s="52"/>
      <c r="FP238" s="52"/>
      <c r="FQ238" s="52"/>
      <c r="FR238" s="52"/>
      <c r="FS238" s="52"/>
      <c r="FT238" s="52"/>
      <c r="FU238" s="52"/>
      <c r="FV238" s="52"/>
      <c r="FW238" s="52"/>
      <c r="FX238" s="52"/>
    </row>
    <row r="239" ht="15.75" customHeight="1">
      <c r="A239" s="27"/>
      <c r="B239" s="27"/>
      <c r="C239" s="51"/>
      <c r="D239" s="51"/>
      <c r="E239" s="313"/>
      <c r="F239" s="35"/>
      <c r="G239" s="35"/>
      <c r="H239" s="35"/>
      <c r="I239" s="26"/>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c r="BY239" s="52"/>
      <c r="BZ239" s="52"/>
      <c r="CA239" s="52"/>
      <c r="CB239" s="52"/>
      <c r="CC239" s="52"/>
      <c r="CD239" s="52"/>
      <c r="CE239" s="52"/>
      <c r="CF239" s="52"/>
      <c r="CG239" s="52"/>
      <c r="CH239" s="52"/>
      <c r="CI239" s="52"/>
      <c r="CJ239" s="52"/>
      <c r="CK239" s="52"/>
      <c r="CL239" s="52"/>
      <c r="CM239" s="52"/>
      <c r="CN239" s="52"/>
      <c r="CO239" s="52"/>
      <c r="CP239" s="52"/>
      <c r="CQ239" s="52"/>
      <c r="CR239" s="52"/>
      <c r="CS239" s="52"/>
      <c r="CT239" s="52"/>
      <c r="CU239" s="52"/>
      <c r="CV239" s="52"/>
      <c r="CW239" s="52"/>
      <c r="CX239" s="52"/>
      <c r="CY239" s="52"/>
      <c r="CZ239" s="52"/>
      <c r="DA239" s="52"/>
      <c r="DB239" s="52"/>
      <c r="DC239" s="52"/>
      <c r="DD239" s="52"/>
      <c r="DE239" s="52"/>
      <c r="DF239" s="52"/>
      <c r="DG239" s="52"/>
      <c r="DH239" s="52"/>
      <c r="DI239" s="52"/>
      <c r="DJ239" s="52"/>
      <c r="DK239" s="52"/>
      <c r="DL239" s="52"/>
      <c r="DM239" s="52"/>
      <c r="DN239" s="52"/>
      <c r="DO239" s="52"/>
      <c r="DP239" s="52"/>
      <c r="DQ239" s="52"/>
      <c r="DR239" s="52"/>
      <c r="DS239" s="52"/>
      <c r="DT239" s="52"/>
      <c r="DU239" s="52"/>
      <c r="DV239" s="52"/>
      <c r="DW239" s="52"/>
      <c r="DX239" s="52"/>
      <c r="DY239" s="52"/>
      <c r="DZ239" s="52"/>
      <c r="EA239" s="52"/>
      <c r="EB239" s="52"/>
      <c r="EC239" s="52"/>
      <c r="ED239" s="52"/>
      <c r="EE239" s="52"/>
      <c r="EF239" s="52"/>
      <c r="EG239" s="52"/>
      <c r="EH239" s="52"/>
      <c r="EI239" s="52"/>
      <c r="EJ239" s="52"/>
      <c r="EK239" s="52"/>
      <c r="EL239" s="52"/>
      <c r="EM239" s="52"/>
      <c r="EN239" s="52"/>
      <c r="EO239" s="52"/>
      <c r="EP239" s="52"/>
      <c r="EQ239" s="52"/>
      <c r="ER239" s="52"/>
      <c r="ES239" s="52"/>
      <c r="ET239" s="52"/>
      <c r="EU239" s="52"/>
      <c r="EV239" s="52"/>
      <c r="EW239" s="52"/>
      <c r="EX239" s="52"/>
      <c r="EY239" s="52"/>
      <c r="EZ239" s="52"/>
      <c r="FA239" s="52"/>
      <c r="FB239" s="52"/>
      <c r="FC239" s="52"/>
      <c r="FD239" s="52"/>
      <c r="FE239" s="52"/>
      <c r="FF239" s="52"/>
      <c r="FG239" s="52"/>
      <c r="FH239" s="52"/>
      <c r="FI239" s="52"/>
      <c r="FJ239" s="52"/>
      <c r="FK239" s="52"/>
      <c r="FL239" s="52"/>
      <c r="FM239" s="52"/>
      <c r="FN239" s="52"/>
      <c r="FO239" s="52"/>
      <c r="FP239" s="52"/>
      <c r="FQ239" s="52"/>
      <c r="FR239" s="52"/>
      <c r="FS239" s="52"/>
      <c r="FT239" s="52"/>
      <c r="FU239" s="52"/>
      <c r="FV239" s="52"/>
      <c r="FW239" s="52"/>
      <c r="FX239" s="52"/>
    </row>
    <row r="240" ht="15.75" customHeight="1">
      <c r="A240" s="27"/>
      <c r="B240" s="27"/>
      <c r="C240" s="51"/>
      <c r="D240" s="51"/>
      <c r="E240" s="313"/>
      <c r="F240" s="35"/>
      <c r="G240" s="35"/>
      <c r="H240" s="35"/>
      <c r="I240" s="26"/>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c r="BY240" s="52"/>
      <c r="BZ240" s="52"/>
      <c r="CA240" s="52"/>
      <c r="CB240" s="52"/>
      <c r="CC240" s="52"/>
      <c r="CD240" s="52"/>
      <c r="CE240" s="52"/>
      <c r="CF240" s="52"/>
      <c r="CG240" s="52"/>
      <c r="CH240" s="52"/>
      <c r="CI240" s="52"/>
      <c r="CJ240" s="52"/>
      <c r="CK240" s="52"/>
      <c r="CL240" s="52"/>
      <c r="CM240" s="52"/>
      <c r="CN240" s="52"/>
      <c r="CO240" s="52"/>
      <c r="CP240" s="52"/>
      <c r="CQ240" s="52"/>
      <c r="CR240" s="52"/>
      <c r="CS240" s="52"/>
      <c r="CT240" s="52"/>
      <c r="CU240" s="52"/>
      <c r="CV240" s="52"/>
      <c r="CW240" s="52"/>
      <c r="CX240" s="52"/>
      <c r="CY240" s="52"/>
      <c r="CZ240" s="52"/>
      <c r="DA240" s="52"/>
      <c r="DB240" s="52"/>
      <c r="DC240" s="52"/>
      <c r="DD240" s="52"/>
      <c r="DE240" s="52"/>
      <c r="DF240" s="52"/>
      <c r="DG240" s="52"/>
      <c r="DH240" s="52"/>
      <c r="DI240" s="52"/>
      <c r="DJ240" s="52"/>
      <c r="DK240" s="52"/>
      <c r="DL240" s="52"/>
      <c r="DM240" s="52"/>
      <c r="DN240" s="52"/>
      <c r="DO240" s="52"/>
      <c r="DP240" s="52"/>
      <c r="DQ240" s="52"/>
      <c r="DR240" s="52"/>
      <c r="DS240" s="52"/>
      <c r="DT240" s="52"/>
      <c r="DU240" s="52"/>
      <c r="DV240" s="52"/>
      <c r="DW240" s="52"/>
      <c r="DX240" s="52"/>
      <c r="DY240" s="52"/>
      <c r="DZ240" s="52"/>
      <c r="EA240" s="52"/>
      <c r="EB240" s="52"/>
      <c r="EC240" s="52"/>
      <c r="ED240" s="52"/>
      <c r="EE240" s="52"/>
      <c r="EF240" s="52"/>
      <c r="EG240" s="52"/>
      <c r="EH240" s="52"/>
      <c r="EI240" s="52"/>
      <c r="EJ240" s="52"/>
      <c r="EK240" s="52"/>
      <c r="EL240" s="52"/>
      <c r="EM240" s="52"/>
      <c r="EN240" s="52"/>
      <c r="EO240" s="52"/>
      <c r="EP240" s="52"/>
      <c r="EQ240" s="52"/>
      <c r="ER240" s="52"/>
      <c r="ES240" s="52"/>
      <c r="ET240" s="52"/>
      <c r="EU240" s="52"/>
      <c r="EV240" s="52"/>
      <c r="EW240" s="52"/>
      <c r="EX240" s="52"/>
      <c r="EY240" s="52"/>
      <c r="EZ240" s="52"/>
      <c r="FA240" s="52"/>
      <c r="FB240" s="52"/>
      <c r="FC240" s="52"/>
      <c r="FD240" s="52"/>
      <c r="FE240" s="52"/>
      <c r="FF240" s="52"/>
      <c r="FG240" s="52"/>
      <c r="FH240" s="52"/>
      <c r="FI240" s="52"/>
      <c r="FJ240" s="52"/>
      <c r="FK240" s="52"/>
      <c r="FL240" s="52"/>
      <c r="FM240" s="52"/>
      <c r="FN240" s="52"/>
      <c r="FO240" s="52"/>
      <c r="FP240" s="52"/>
      <c r="FQ240" s="52"/>
      <c r="FR240" s="52"/>
      <c r="FS240" s="52"/>
      <c r="FT240" s="52"/>
      <c r="FU240" s="52"/>
      <c r="FV240" s="52"/>
      <c r="FW240" s="52"/>
      <c r="FX240" s="52"/>
    </row>
    <row r="241" ht="15.75" customHeight="1">
      <c r="A241" s="27"/>
      <c r="B241" s="27"/>
      <c r="C241" s="51"/>
      <c r="D241" s="51"/>
      <c r="E241" s="313"/>
      <c r="F241" s="35"/>
      <c r="G241" s="35"/>
      <c r="H241" s="35"/>
      <c r="I241" s="26"/>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c r="BY241" s="52"/>
      <c r="BZ241" s="52"/>
      <c r="CA241" s="52"/>
      <c r="CB241" s="52"/>
      <c r="CC241" s="52"/>
      <c r="CD241" s="52"/>
      <c r="CE241" s="52"/>
      <c r="CF241" s="52"/>
      <c r="CG241" s="52"/>
      <c r="CH241" s="52"/>
      <c r="CI241" s="52"/>
      <c r="CJ241" s="52"/>
      <c r="CK241" s="52"/>
      <c r="CL241" s="52"/>
      <c r="CM241" s="52"/>
      <c r="CN241" s="52"/>
      <c r="CO241" s="52"/>
      <c r="CP241" s="52"/>
      <c r="CQ241" s="52"/>
      <c r="CR241" s="52"/>
      <c r="CS241" s="52"/>
      <c r="CT241" s="52"/>
      <c r="CU241" s="52"/>
      <c r="CV241" s="52"/>
      <c r="CW241" s="52"/>
      <c r="CX241" s="52"/>
      <c r="CY241" s="52"/>
      <c r="CZ241" s="52"/>
      <c r="DA241" s="52"/>
      <c r="DB241" s="52"/>
      <c r="DC241" s="52"/>
      <c r="DD241" s="52"/>
      <c r="DE241" s="52"/>
      <c r="DF241" s="52"/>
      <c r="DG241" s="52"/>
      <c r="DH241" s="52"/>
      <c r="DI241" s="52"/>
      <c r="DJ241" s="52"/>
      <c r="DK241" s="52"/>
      <c r="DL241" s="52"/>
      <c r="DM241" s="52"/>
      <c r="DN241" s="52"/>
      <c r="DO241" s="52"/>
      <c r="DP241" s="52"/>
      <c r="DQ241" s="52"/>
      <c r="DR241" s="52"/>
      <c r="DS241" s="52"/>
      <c r="DT241" s="52"/>
      <c r="DU241" s="52"/>
      <c r="DV241" s="52"/>
      <c r="DW241" s="52"/>
      <c r="DX241" s="52"/>
      <c r="DY241" s="52"/>
      <c r="DZ241" s="52"/>
      <c r="EA241" s="52"/>
      <c r="EB241" s="52"/>
      <c r="EC241" s="52"/>
      <c r="ED241" s="52"/>
      <c r="EE241" s="52"/>
      <c r="EF241" s="52"/>
      <c r="EG241" s="52"/>
      <c r="EH241" s="52"/>
      <c r="EI241" s="52"/>
      <c r="EJ241" s="52"/>
      <c r="EK241" s="52"/>
      <c r="EL241" s="52"/>
      <c r="EM241" s="52"/>
      <c r="EN241" s="52"/>
      <c r="EO241" s="52"/>
      <c r="EP241" s="52"/>
      <c r="EQ241" s="52"/>
      <c r="ER241" s="52"/>
      <c r="ES241" s="52"/>
      <c r="ET241" s="52"/>
      <c r="EU241" s="52"/>
      <c r="EV241" s="52"/>
      <c r="EW241" s="52"/>
      <c r="EX241" s="52"/>
      <c r="EY241" s="52"/>
      <c r="EZ241" s="52"/>
      <c r="FA241" s="52"/>
      <c r="FB241" s="52"/>
      <c r="FC241" s="52"/>
      <c r="FD241" s="52"/>
      <c r="FE241" s="52"/>
      <c r="FF241" s="52"/>
      <c r="FG241" s="52"/>
      <c r="FH241" s="52"/>
      <c r="FI241" s="52"/>
      <c r="FJ241" s="52"/>
      <c r="FK241" s="52"/>
      <c r="FL241" s="52"/>
      <c r="FM241" s="52"/>
      <c r="FN241" s="52"/>
      <c r="FO241" s="52"/>
      <c r="FP241" s="52"/>
      <c r="FQ241" s="52"/>
      <c r="FR241" s="52"/>
      <c r="FS241" s="52"/>
      <c r="FT241" s="52"/>
      <c r="FU241" s="52"/>
      <c r="FV241" s="52"/>
      <c r="FW241" s="52"/>
      <c r="FX241" s="52"/>
    </row>
    <row r="242" ht="15.75" customHeight="1">
      <c r="A242" s="27"/>
      <c r="B242" s="27"/>
      <c r="C242" s="51"/>
      <c r="D242" s="51"/>
      <c r="E242" s="313"/>
      <c r="F242" s="35"/>
      <c r="G242" s="35"/>
      <c r="H242" s="35"/>
      <c r="I242" s="26"/>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c r="BY242" s="52"/>
      <c r="BZ242" s="52"/>
      <c r="CA242" s="52"/>
      <c r="CB242" s="52"/>
      <c r="CC242" s="52"/>
      <c r="CD242" s="52"/>
      <c r="CE242" s="52"/>
      <c r="CF242" s="52"/>
      <c r="CG242" s="52"/>
      <c r="CH242" s="52"/>
      <c r="CI242" s="52"/>
      <c r="CJ242" s="52"/>
      <c r="CK242" s="52"/>
      <c r="CL242" s="52"/>
      <c r="CM242" s="52"/>
      <c r="CN242" s="52"/>
      <c r="CO242" s="52"/>
      <c r="CP242" s="52"/>
      <c r="CQ242" s="52"/>
      <c r="CR242" s="52"/>
      <c r="CS242" s="52"/>
      <c r="CT242" s="52"/>
      <c r="CU242" s="52"/>
      <c r="CV242" s="52"/>
      <c r="CW242" s="52"/>
      <c r="CX242" s="52"/>
      <c r="CY242" s="52"/>
      <c r="CZ242" s="52"/>
      <c r="DA242" s="52"/>
      <c r="DB242" s="52"/>
      <c r="DC242" s="52"/>
      <c r="DD242" s="52"/>
      <c r="DE242" s="52"/>
      <c r="DF242" s="52"/>
      <c r="DG242" s="52"/>
      <c r="DH242" s="52"/>
      <c r="DI242" s="52"/>
      <c r="DJ242" s="52"/>
      <c r="DK242" s="52"/>
      <c r="DL242" s="52"/>
      <c r="DM242" s="52"/>
      <c r="DN242" s="52"/>
      <c r="DO242" s="52"/>
      <c r="DP242" s="52"/>
      <c r="DQ242" s="52"/>
      <c r="DR242" s="52"/>
      <c r="DS242" s="52"/>
      <c r="DT242" s="52"/>
      <c r="DU242" s="52"/>
      <c r="DV242" s="52"/>
      <c r="DW242" s="52"/>
      <c r="DX242" s="52"/>
      <c r="DY242" s="52"/>
      <c r="DZ242" s="52"/>
      <c r="EA242" s="52"/>
      <c r="EB242" s="52"/>
      <c r="EC242" s="52"/>
      <c r="ED242" s="52"/>
      <c r="EE242" s="52"/>
      <c r="EF242" s="52"/>
      <c r="EG242" s="52"/>
      <c r="EH242" s="52"/>
      <c r="EI242" s="52"/>
      <c r="EJ242" s="52"/>
      <c r="EK242" s="52"/>
      <c r="EL242" s="52"/>
      <c r="EM242" s="52"/>
      <c r="EN242" s="52"/>
      <c r="EO242" s="52"/>
      <c r="EP242" s="52"/>
      <c r="EQ242" s="52"/>
      <c r="ER242" s="52"/>
      <c r="ES242" s="52"/>
      <c r="ET242" s="52"/>
      <c r="EU242" s="52"/>
      <c r="EV242" s="52"/>
      <c r="EW242" s="52"/>
      <c r="EX242" s="52"/>
      <c r="EY242" s="52"/>
      <c r="EZ242" s="52"/>
      <c r="FA242" s="52"/>
      <c r="FB242" s="52"/>
      <c r="FC242" s="52"/>
      <c r="FD242" s="52"/>
      <c r="FE242" s="52"/>
      <c r="FF242" s="52"/>
      <c r="FG242" s="52"/>
      <c r="FH242" s="52"/>
      <c r="FI242" s="52"/>
      <c r="FJ242" s="52"/>
      <c r="FK242" s="52"/>
      <c r="FL242" s="52"/>
      <c r="FM242" s="52"/>
      <c r="FN242" s="52"/>
      <c r="FO242" s="52"/>
      <c r="FP242" s="52"/>
      <c r="FQ242" s="52"/>
      <c r="FR242" s="52"/>
      <c r="FS242" s="52"/>
      <c r="FT242" s="52"/>
      <c r="FU242" s="52"/>
      <c r="FV242" s="52"/>
      <c r="FW242" s="52"/>
      <c r="FX242" s="52"/>
    </row>
    <row r="243" ht="15.75" customHeight="1">
      <c r="A243" s="27"/>
      <c r="B243" s="27"/>
      <c r="C243" s="51"/>
      <c r="D243" s="51"/>
      <c r="E243" s="313"/>
      <c r="F243" s="35"/>
      <c r="G243" s="35"/>
      <c r="H243" s="35"/>
      <c r="I243" s="26"/>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c r="BY243" s="52"/>
      <c r="BZ243" s="52"/>
      <c r="CA243" s="52"/>
      <c r="CB243" s="52"/>
      <c r="CC243" s="52"/>
      <c r="CD243" s="52"/>
      <c r="CE243" s="52"/>
      <c r="CF243" s="52"/>
      <c r="CG243" s="52"/>
      <c r="CH243" s="52"/>
      <c r="CI243" s="52"/>
      <c r="CJ243" s="52"/>
      <c r="CK243" s="52"/>
      <c r="CL243" s="52"/>
      <c r="CM243" s="52"/>
      <c r="CN243" s="52"/>
      <c r="CO243" s="52"/>
      <c r="CP243" s="52"/>
      <c r="CQ243" s="52"/>
      <c r="CR243" s="52"/>
      <c r="CS243" s="52"/>
      <c r="CT243" s="52"/>
      <c r="CU243" s="52"/>
      <c r="CV243" s="52"/>
      <c r="CW243" s="52"/>
      <c r="CX243" s="52"/>
      <c r="CY243" s="52"/>
      <c r="CZ243" s="52"/>
      <c r="DA243" s="52"/>
      <c r="DB243" s="52"/>
      <c r="DC243" s="52"/>
      <c r="DD243" s="52"/>
      <c r="DE243" s="52"/>
      <c r="DF243" s="52"/>
      <c r="DG243" s="52"/>
      <c r="DH243" s="52"/>
      <c r="DI243" s="52"/>
      <c r="DJ243" s="52"/>
      <c r="DK243" s="52"/>
      <c r="DL243" s="52"/>
      <c r="DM243" s="52"/>
      <c r="DN243" s="52"/>
      <c r="DO243" s="52"/>
      <c r="DP243" s="52"/>
      <c r="DQ243" s="52"/>
      <c r="DR243" s="52"/>
      <c r="DS243" s="52"/>
      <c r="DT243" s="52"/>
      <c r="DU243" s="52"/>
      <c r="DV243" s="52"/>
      <c r="DW243" s="52"/>
      <c r="DX243" s="52"/>
      <c r="DY243" s="52"/>
      <c r="DZ243" s="52"/>
      <c r="EA243" s="52"/>
      <c r="EB243" s="52"/>
      <c r="EC243" s="52"/>
      <c r="ED243" s="52"/>
      <c r="EE243" s="52"/>
      <c r="EF243" s="52"/>
      <c r="EG243" s="52"/>
      <c r="EH243" s="52"/>
      <c r="EI243" s="52"/>
      <c r="EJ243" s="52"/>
      <c r="EK243" s="52"/>
      <c r="EL243" s="52"/>
      <c r="EM243" s="52"/>
      <c r="EN243" s="52"/>
      <c r="EO243" s="52"/>
      <c r="EP243" s="52"/>
      <c r="EQ243" s="52"/>
      <c r="ER243" s="52"/>
      <c r="ES243" s="52"/>
      <c r="ET243" s="52"/>
      <c r="EU243" s="52"/>
      <c r="EV243" s="52"/>
      <c r="EW243" s="52"/>
      <c r="EX243" s="52"/>
      <c r="EY243" s="52"/>
      <c r="EZ243" s="52"/>
      <c r="FA243" s="52"/>
      <c r="FB243" s="52"/>
      <c r="FC243" s="52"/>
      <c r="FD243" s="52"/>
      <c r="FE243" s="52"/>
      <c r="FF243" s="52"/>
      <c r="FG243" s="52"/>
      <c r="FH243" s="52"/>
      <c r="FI243" s="52"/>
      <c r="FJ243" s="52"/>
      <c r="FK243" s="52"/>
      <c r="FL243" s="52"/>
      <c r="FM243" s="52"/>
      <c r="FN243" s="52"/>
      <c r="FO243" s="52"/>
      <c r="FP243" s="52"/>
      <c r="FQ243" s="52"/>
      <c r="FR243" s="52"/>
      <c r="FS243" s="52"/>
      <c r="FT243" s="52"/>
      <c r="FU243" s="52"/>
      <c r="FV243" s="52"/>
      <c r="FW243" s="52"/>
      <c r="FX243" s="52"/>
    </row>
    <row r="244" ht="15.75" customHeight="1">
      <c r="A244" s="27"/>
      <c r="B244" s="27"/>
      <c r="C244" s="51"/>
      <c r="D244" s="51"/>
      <c r="E244" s="313"/>
      <c r="F244" s="35"/>
      <c r="G244" s="35"/>
      <c r="H244" s="35"/>
      <c r="I244" s="26"/>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c r="BY244" s="52"/>
      <c r="BZ244" s="52"/>
      <c r="CA244" s="52"/>
      <c r="CB244" s="52"/>
      <c r="CC244" s="52"/>
      <c r="CD244" s="52"/>
      <c r="CE244" s="52"/>
      <c r="CF244" s="52"/>
      <c r="CG244" s="52"/>
      <c r="CH244" s="52"/>
      <c r="CI244" s="52"/>
      <c r="CJ244" s="52"/>
      <c r="CK244" s="52"/>
      <c r="CL244" s="52"/>
      <c r="CM244" s="52"/>
      <c r="CN244" s="52"/>
      <c r="CO244" s="52"/>
      <c r="CP244" s="52"/>
      <c r="CQ244" s="52"/>
      <c r="CR244" s="52"/>
      <c r="CS244" s="52"/>
      <c r="CT244" s="52"/>
      <c r="CU244" s="52"/>
      <c r="CV244" s="52"/>
      <c r="CW244" s="52"/>
      <c r="CX244" s="52"/>
      <c r="CY244" s="52"/>
      <c r="CZ244" s="52"/>
      <c r="DA244" s="52"/>
      <c r="DB244" s="52"/>
      <c r="DC244" s="52"/>
      <c r="DD244" s="52"/>
      <c r="DE244" s="52"/>
      <c r="DF244" s="52"/>
      <c r="DG244" s="52"/>
      <c r="DH244" s="52"/>
      <c r="DI244" s="52"/>
      <c r="DJ244" s="52"/>
      <c r="DK244" s="52"/>
      <c r="DL244" s="52"/>
      <c r="DM244" s="52"/>
      <c r="DN244" s="52"/>
      <c r="DO244" s="52"/>
      <c r="DP244" s="52"/>
      <c r="DQ244" s="52"/>
      <c r="DR244" s="52"/>
      <c r="DS244" s="52"/>
      <c r="DT244" s="52"/>
      <c r="DU244" s="52"/>
      <c r="DV244" s="52"/>
      <c r="DW244" s="52"/>
      <c r="DX244" s="52"/>
      <c r="DY244" s="52"/>
      <c r="DZ244" s="52"/>
      <c r="EA244" s="52"/>
      <c r="EB244" s="52"/>
      <c r="EC244" s="52"/>
      <c r="ED244" s="52"/>
      <c r="EE244" s="52"/>
      <c r="EF244" s="52"/>
      <c r="EG244" s="52"/>
      <c r="EH244" s="52"/>
      <c r="EI244" s="52"/>
      <c r="EJ244" s="52"/>
      <c r="EK244" s="52"/>
      <c r="EL244" s="52"/>
      <c r="EM244" s="52"/>
      <c r="EN244" s="52"/>
      <c r="EO244" s="52"/>
      <c r="EP244" s="52"/>
      <c r="EQ244" s="52"/>
      <c r="ER244" s="52"/>
      <c r="ES244" s="52"/>
      <c r="ET244" s="52"/>
      <c r="EU244" s="52"/>
      <c r="EV244" s="52"/>
      <c r="EW244" s="52"/>
      <c r="EX244" s="52"/>
      <c r="EY244" s="52"/>
      <c r="EZ244" s="52"/>
      <c r="FA244" s="52"/>
      <c r="FB244" s="52"/>
      <c r="FC244" s="52"/>
      <c r="FD244" s="52"/>
      <c r="FE244" s="52"/>
      <c r="FF244" s="52"/>
      <c r="FG244" s="52"/>
      <c r="FH244" s="52"/>
      <c r="FI244" s="52"/>
      <c r="FJ244" s="52"/>
      <c r="FK244" s="52"/>
      <c r="FL244" s="52"/>
      <c r="FM244" s="52"/>
      <c r="FN244" s="52"/>
      <c r="FO244" s="52"/>
      <c r="FP244" s="52"/>
      <c r="FQ244" s="52"/>
      <c r="FR244" s="52"/>
      <c r="FS244" s="52"/>
      <c r="FT244" s="52"/>
      <c r="FU244" s="52"/>
      <c r="FV244" s="52"/>
      <c r="FW244" s="52"/>
      <c r="FX244" s="52"/>
    </row>
    <row r="245" ht="15.75" customHeight="1">
      <c r="A245" s="27"/>
      <c r="B245" s="27"/>
      <c r="C245" s="51"/>
      <c r="D245" s="51"/>
      <c r="E245" s="313"/>
      <c r="F245" s="35"/>
      <c r="G245" s="35"/>
      <c r="H245" s="35"/>
      <c r="I245" s="26"/>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c r="BY245" s="52"/>
      <c r="BZ245" s="52"/>
      <c r="CA245" s="52"/>
      <c r="CB245" s="52"/>
      <c r="CC245" s="52"/>
      <c r="CD245" s="52"/>
      <c r="CE245" s="52"/>
      <c r="CF245" s="52"/>
      <c r="CG245" s="52"/>
      <c r="CH245" s="52"/>
      <c r="CI245" s="52"/>
      <c r="CJ245" s="52"/>
      <c r="CK245" s="52"/>
      <c r="CL245" s="52"/>
      <c r="CM245" s="52"/>
      <c r="CN245" s="52"/>
      <c r="CO245" s="52"/>
      <c r="CP245" s="52"/>
      <c r="CQ245" s="52"/>
      <c r="CR245" s="52"/>
      <c r="CS245" s="52"/>
      <c r="CT245" s="52"/>
      <c r="CU245" s="52"/>
      <c r="CV245" s="52"/>
      <c r="CW245" s="52"/>
      <c r="CX245" s="52"/>
      <c r="CY245" s="52"/>
      <c r="CZ245" s="52"/>
      <c r="DA245" s="52"/>
      <c r="DB245" s="52"/>
      <c r="DC245" s="52"/>
      <c r="DD245" s="52"/>
      <c r="DE245" s="52"/>
      <c r="DF245" s="52"/>
      <c r="DG245" s="52"/>
      <c r="DH245" s="52"/>
      <c r="DI245" s="52"/>
      <c r="DJ245" s="52"/>
      <c r="DK245" s="52"/>
      <c r="DL245" s="52"/>
      <c r="DM245" s="52"/>
      <c r="DN245" s="52"/>
      <c r="DO245" s="52"/>
      <c r="DP245" s="52"/>
      <c r="DQ245" s="52"/>
      <c r="DR245" s="52"/>
      <c r="DS245" s="52"/>
      <c r="DT245" s="52"/>
      <c r="DU245" s="52"/>
      <c r="DV245" s="52"/>
      <c r="DW245" s="52"/>
      <c r="DX245" s="52"/>
      <c r="DY245" s="52"/>
      <c r="DZ245" s="52"/>
      <c r="EA245" s="52"/>
      <c r="EB245" s="52"/>
      <c r="EC245" s="52"/>
      <c r="ED245" s="52"/>
      <c r="EE245" s="52"/>
      <c r="EF245" s="52"/>
      <c r="EG245" s="52"/>
      <c r="EH245" s="52"/>
      <c r="EI245" s="52"/>
      <c r="EJ245" s="52"/>
      <c r="EK245" s="52"/>
      <c r="EL245" s="52"/>
      <c r="EM245" s="52"/>
      <c r="EN245" s="52"/>
      <c r="EO245" s="52"/>
      <c r="EP245" s="52"/>
      <c r="EQ245" s="52"/>
      <c r="ER245" s="52"/>
      <c r="ES245" s="52"/>
      <c r="ET245" s="52"/>
      <c r="EU245" s="52"/>
      <c r="EV245" s="52"/>
      <c r="EW245" s="52"/>
      <c r="EX245" s="52"/>
      <c r="EY245" s="52"/>
      <c r="EZ245" s="52"/>
      <c r="FA245" s="52"/>
      <c r="FB245" s="52"/>
      <c r="FC245" s="52"/>
      <c r="FD245" s="52"/>
      <c r="FE245" s="52"/>
      <c r="FF245" s="52"/>
      <c r="FG245" s="52"/>
      <c r="FH245" s="52"/>
      <c r="FI245" s="52"/>
      <c r="FJ245" s="52"/>
      <c r="FK245" s="52"/>
      <c r="FL245" s="52"/>
      <c r="FM245" s="52"/>
      <c r="FN245" s="52"/>
      <c r="FO245" s="52"/>
      <c r="FP245" s="52"/>
      <c r="FQ245" s="52"/>
      <c r="FR245" s="52"/>
      <c r="FS245" s="52"/>
      <c r="FT245" s="52"/>
      <c r="FU245" s="52"/>
      <c r="FV245" s="52"/>
      <c r="FW245" s="52"/>
      <c r="FX245" s="52"/>
    </row>
    <row r="246" ht="15.75" customHeight="1">
      <c r="A246" s="27"/>
      <c r="B246" s="27"/>
      <c r="C246" s="51"/>
      <c r="D246" s="51"/>
      <c r="E246" s="313"/>
      <c r="F246" s="35"/>
      <c r="G246" s="35"/>
      <c r="H246" s="35"/>
      <c r="I246" s="26"/>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c r="BY246" s="52"/>
      <c r="BZ246" s="52"/>
      <c r="CA246" s="52"/>
      <c r="CB246" s="52"/>
      <c r="CC246" s="52"/>
      <c r="CD246" s="52"/>
      <c r="CE246" s="52"/>
      <c r="CF246" s="52"/>
      <c r="CG246" s="52"/>
      <c r="CH246" s="52"/>
      <c r="CI246" s="52"/>
      <c r="CJ246" s="52"/>
      <c r="CK246" s="52"/>
      <c r="CL246" s="52"/>
      <c r="CM246" s="52"/>
      <c r="CN246" s="52"/>
      <c r="CO246" s="52"/>
      <c r="CP246" s="52"/>
      <c r="CQ246" s="52"/>
      <c r="CR246" s="52"/>
      <c r="CS246" s="52"/>
      <c r="CT246" s="52"/>
      <c r="CU246" s="52"/>
      <c r="CV246" s="52"/>
      <c r="CW246" s="52"/>
      <c r="CX246" s="52"/>
      <c r="CY246" s="52"/>
      <c r="CZ246" s="52"/>
      <c r="DA246" s="52"/>
      <c r="DB246" s="52"/>
      <c r="DC246" s="52"/>
      <c r="DD246" s="52"/>
      <c r="DE246" s="52"/>
      <c r="DF246" s="52"/>
      <c r="DG246" s="52"/>
      <c r="DH246" s="52"/>
      <c r="DI246" s="52"/>
      <c r="DJ246" s="52"/>
      <c r="DK246" s="52"/>
      <c r="DL246" s="52"/>
      <c r="DM246" s="52"/>
      <c r="DN246" s="52"/>
      <c r="DO246" s="52"/>
      <c r="DP246" s="52"/>
      <c r="DQ246" s="52"/>
      <c r="DR246" s="52"/>
      <c r="DS246" s="52"/>
      <c r="DT246" s="52"/>
      <c r="DU246" s="52"/>
      <c r="DV246" s="52"/>
      <c r="DW246" s="52"/>
      <c r="DX246" s="52"/>
      <c r="DY246" s="52"/>
      <c r="DZ246" s="52"/>
      <c r="EA246" s="52"/>
      <c r="EB246" s="52"/>
      <c r="EC246" s="52"/>
      <c r="ED246" s="52"/>
      <c r="EE246" s="52"/>
      <c r="EF246" s="52"/>
      <c r="EG246" s="52"/>
      <c r="EH246" s="52"/>
      <c r="EI246" s="52"/>
      <c r="EJ246" s="52"/>
      <c r="EK246" s="52"/>
      <c r="EL246" s="52"/>
      <c r="EM246" s="52"/>
      <c r="EN246" s="52"/>
      <c r="EO246" s="52"/>
      <c r="EP246" s="52"/>
      <c r="EQ246" s="52"/>
      <c r="ER246" s="52"/>
      <c r="ES246" s="52"/>
      <c r="ET246" s="52"/>
      <c r="EU246" s="52"/>
      <c r="EV246" s="52"/>
      <c r="EW246" s="52"/>
      <c r="EX246" s="52"/>
      <c r="EY246" s="52"/>
      <c r="EZ246" s="52"/>
      <c r="FA246" s="52"/>
      <c r="FB246" s="52"/>
      <c r="FC246" s="52"/>
      <c r="FD246" s="52"/>
      <c r="FE246" s="52"/>
      <c r="FF246" s="52"/>
      <c r="FG246" s="52"/>
      <c r="FH246" s="52"/>
      <c r="FI246" s="52"/>
      <c r="FJ246" s="52"/>
      <c r="FK246" s="52"/>
      <c r="FL246" s="52"/>
      <c r="FM246" s="52"/>
      <c r="FN246" s="52"/>
      <c r="FO246" s="52"/>
      <c r="FP246" s="52"/>
      <c r="FQ246" s="52"/>
      <c r="FR246" s="52"/>
      <c r="FS246" s="52"/>
      <c r="FT246" s="52"/>
      <c r="FU246" s="52"/>
      <c r="FV246" s="52"/>
      <c r="FW246" s="52"/>
      <c r="FX246" s="52"/>
    </row>
    <row r="247" ht="15.75" customHeight="1">
      <c r="A247" s="27"/>
      <c r="B247" s="27"/>
      <c r="C247" s="51"/>
      <c r="D247" s="51"/>
      <c r="E247" s="313"/>
      <c r="F247" s="35"/>
      <c r="G247" s="35"/>
      <c r="H247" s="35"/>
      <c r="I247" s="26"/>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c r="BY247" s="52"/>
      <c r="BZ247" s="52"/>
      <c r="CA247" s="52"/>
      <c r="CB247" s="52"/>
      <c r="CC247" s="52"/>
      <c r="CD247" s="52"/>
      <c r="CE247" s="52"/>
      <c r="CF247" s="52"/>
      <c r="CG247" s="52"/>
      <c r="CH247" s="52"/>
      <c r="CI247" s="52"/>
      <c r="CJ247" s="52"/>
      <c r="CK247" s="52"/>
      <c r="CL247" s="52"/>
      <c r="CM247" s="52"/>
      <c r="CN247" s="52"/>
      <c r="CO247" s="52"/>
      <c r="CP247" s="52"/>
      <c r="CQ247" s="52"/>
      <c r="CR247" s="52"/>
      <c r="CS247" s="52"/>
      <c r="CT247" s="52"/>
      <c r="CU247" s="52"/>
      <c r="CV247" s="52"/>
      <c r="CW247" s="52"/>
      <c r="CX247" s="52"/>
      <c r="CY247" s="52"/>
      <c r="CZ247" s="52"/>
      <c r="DA247" s="52"/>
      <c r="DB247" s="52"/>
      <c r="DC247" s="52"/>
      <c r="DD247" s="52"/>
      <c r="DE247" s="52"/>
      <c r="DF247" s="52"/>
      <c r="DG247" s="52"/>
      <c r="DH247" s="52"/>
      <c r="DI247" s="52"/>
      <c r="DJ247" s="52"/>
      <c r="DK247" s="52"/>
      <c r="DL247" s="52"/>
      <c r="DM247" s="52"/>
      <c r="DN247" s="52"/>
      <c r="DO247" s="52"/>
      <c r="DP247" s="52"/>
      <c r="DQ247" s="52"/>
      <c r="DR247" s="52"/>
      <c r="DS247" s="52"/>
      <c r="DT247" s="52"/>
      <c r="DU247" s="52"/>
      <c r="DV247" s="52"/>
      <c r="DW247" s="52"/>
      <c r="DX247" s="52"/>
      <c r="DY247" s="52"/>
      <c r="DZ247" s="52"/>
      <c r="EA247" s="52"/>
      <c r="EB247" s="52"/>
      <c r="EC247" s="52"/>
      <c r="ED247" s="52"/>
      <c r="EE247" s="52"/>
      <c r="EF247" s="52"/>
      <c r="EG247" s="52"/>
      <c r="EH247" s="52"/>
      <c r="EI247" s="52"/>
      <c r="EJ247" s="52"/>
      <c r="EK247" s="52"/>
      <c r="EL247" s="52"/>
      <c r="EM247" s="52"/>
      <c r="EN247" s="52"/>
      <c r="EO247" s="52"/>
      <c r="EP247" s="52"/>
      <c r="EQ247" s="52"/>
      <c r="ER247" s="52"/>
      <c r="ES247" s="52"/>
      <c r="ET247" s="52"/>
      <c r="EU247" s="52"/>
      <c r="EV247" s="52"/>
      <c r="EW247" s="52"/>
      <c r="EX247" s="52"/>
      <c r="EY247" s="52"/>
      <c r="EZ247" s="52"/>
      <c r="FA247" s="52"/>
      <c r="FB247" s="52"/>
      <c r="FC247" s="52"/>
      <c r="FD247" s="52"/>
      <c r="FE247" s="52"/>
      <c r="FF247" s="52"/>
      <c r="FG247" s="52"/>
      <c r="FH247" s="52"/>
      <c r="FI247" s="52"/>
      <c r="FJ247" s="52"/>
      <c r="FK247" s="52"/>
      <c r="FL247" s="52"/>
      <c r="FM247" s="52"/>
      <c r="FN247" s="52"/>
      <c r="FO247" s="52"/>
      <c r="FP247" s="52"/>
      <c r="FQ247" s="52"/>
      <c r="FR247" s="52"/>
      <c r="FS247" s="52"/>
      <c r="FT247" s="52"/>
      <c r="FU247" s="52"/>
      <c r="FV247" s="52"/>
      <c r="FW247" s="52"/>
      <c r="FX247" s="52"/>
    </row>
    <row r="248" ht="15.75" customHeight="1">
      <c r="A248" s="27"/>
      <c r="B248" s="27"/>
      <c r="C248" s="51"/>
      <c r="D248" s="51"/>
      <c r="E248" s="313"/>
      <c r="F248" s="35"/>
      <c r="G248" s="35"/>
      <c r="H248" s="35"/>
      <c r="I248" s="26"/>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c r="BY248" s="52"/>
      <c r="BZ248" s="52"/>
      <c r="CA248" s="52"/>
      <c r="CB248" s="52"/>
      <c r="CC248" s="52"/>
      <c r="CD248" s="52"/>
      <c r="CE248" s="52"/>
      <c r="CF248" s="52"/>
      <c r="CG248" s="52"/>
      <c r="CH248" s="52"/>
      <c r="CI248" s="52"/>
      <c r="CJ248" s="52"/>
      <c r="CK248" s="52"/>
      <c r="CL248" s="52"/>
      <c r="CM248" s="52"/>
      <c r="CN248" s="52"/>
      <c r="CO248" s="52"/>
      <c r="CP248" s="52"/>
      <c r="CQ248" s="52"/>
      <c r="CR248" s="52"/>
      <c r="CS248" s="52"/>
      <c r="CT248" s="52"/>
      <c r="CU248" s="52"/>
      <c r="CV248" s="52"/>
      <c r="CW248" s="52"/>
      <c r="CX248" s="52"/>
      <c r="CY248" s="52"/>
      <c r="CZ248" s="52"/>
      <c r="DA248" s="52"/>
      <c r="DB248" s="52"/>
      <c r="DC248" s="52"/>
      <c r="DD248" s="52"/>
      <c r="DE248" s="52"/>
      <c r="DF248" s="52"/>
      <c r="DG248" s="52"/>
      <c r="DH248" s="52"/>
      <c r="DI248" s="52"/>
      <c r="DJ248" s="52"/>
      <c r="DK248" s="52"/>
      <c r="DL248" s="52"/>
      <c r="DM248" s="52"/>
      <c r="DN248" s="52"/>
      <c r="DO248" s="52"/>
      <c r="DP248" s="52"/>
      <c r="DQ248" s="52"/>
      <c r="DR248" s="52"/>
      <c r="DS248" s="52"/>
      <c r="DT248" s="52"/>
      <c r="DU248" s="52"/>
      <c r="DV248" s="52"/>
      <c r="DW248" s="52"/>
      <c r="DX248" s="52"/>
      <c r="DY248" s="52"/>
      <c r="DZ248" s="52"/>
      <c r="EA248" s="52"/>
      <c r="EB248" s="52"/>
      <c r="EC248" s="52"/>
      <c r="ED248" s="52"/>
      <c r="EE248" s="52"/>
      <c r="EF248" s="52"/>
      <c r="EG248" s="52"/>
      <c r="EH248" s="52"/>
      <c r="EI248" s="52"/>
      <c r="EJ248" s="52"/>
      <c r="EK248" s="52"/>
      <c r="EL248" s="52"/>
      <c r="EM248" s="52"/>
      <c r="EN248" s="52"/>
      <c r="EO248" s="52"/>
      <c r="EP248" s="52"/>
      <c r="EQ248" s="52"/>
      <c r="ER248" s="52"/>
      <c r="ES248" s="52"/>
      <c r="ET248" s="52"/>
      <c r="EU248" s="52"/>
      <c r="EV248" s="52"/>
      <c r="EW248" s="52"/>
      <c r="EX248" s="52"/>
      <c r="EY248" s="52"/>
      <c r="EZ248" s="52"/>
      <c r="FA248" s="52"/>
      <c r="FB248" s="52"/>
      <c r="FC248" s="52"/>
      <c r="FD248" s="52"/>
      <c r="FE248" s="52"/>
      <c r="FF248" s="52"/>
      <c r="FG248" s="52"/>
      <c r="FH248" s="52"/>
      <c r="FI248" s="52"/>
      <c r="FJ248" s="52"/>
      <c r="FK248" s="52"/>
      <c r="FL248" s="52"/>
      <c r="FM248" s="52"/>
      <c r="FN248" s="52"/>
      <c r="FO248" s="52"/>
      <c r="FP248" s="52"/>
      <c r="FQ248" s="52"/>
      <c r="FR248" s="52"/>
      <c r="FS248" s="52"/>
      <c r="FT248" s="52"/>
      <c r="FU248" s="52"/>
      <c r="FV248" s="52"/>
      <c r="FW248" s="52"/>
      <c r="FX248" s="52"/>
    </row>
    <row r="249" ht="15.75" customHeight="1">
      <c r="A249" s="27"/>
      <c r="B249" s="27"/>
      <c r="C249" s="51"/>
      <c r="D249" s="51"/>
      <c r="E249" s="313"/>
      <c r="F249" s="35"/>
      <c r="G249" s="35"/>
      <c r="H249" s="35"/>
      <c r="I249" s="26"/>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c r="BY249" s="52"/>
      <c r="BZ249" s="52"/>
      <c r="CA249" s="52"/>
      <c r="CB249" s="52"/>
      <c r="CC249" s="52"/>
      <c r="CD249" s="52"/>
      <c r="CE249" s="52"/>
      <c r="CF249" s="52"/>
      <c r="CG249" s="52"/>
      <c r="CH249" s="52"/>
      <c r="CI249" s="52"/>
      <c r="CJ249" s="52"/>
      <c r="CK249" s="52"/>
      <c r="CL249" s="52"/>
      <c r="CM249" s="52"/>
      <c r="CN249" s="52"/>
      <c r="CO249" s="52"/>
      <c r="CP249" s="52"/>
      <c r="CQ249" s="52"/>
      <c r="CR249" s="52"/>
      <c r="CS249" s="52"/>
      <c r="CT249" s="52"/>
      <c r="CU249" s="52"/>
      <c r="CV249" s="52"/>
      <c r="CW249" s="52"/>
      <c r="CX249" s="52"/>
      <c r="CY249" s="52"/>
      <c r="CZ249" s="52"/>
      <c r="DA249" s="52"/>
      <c r="DB249" s="52"/>
      <c r="DC249" s="52"/>
      <c r="DD249" s="52"/>
      <c r="DE249" s="52"/>
      <c r="DF249" s="52"/>
      <c r="DG249" s="52"/>
      <c r="DH249" s="52"/>
      <c r="DI249" s="52"/>
      <c r="DJ249" s="52"/>
      <c r="DK249" s="52"/>
      <c r="DL249" s="52"/>
      <c r="DM249" s="52"/>
      <c r="DN249" s="52"/>
      <c r="DO249" s="52"/>
      <c r="DP249" s="52"/>
      <c r="DQ249" s="52"/>
      <c r="DR249" s="52"/>
      <c r="DS249" s="52"/>
      <c r="DT249" s="52"/>
      <c r="DU249" s="52"/>
      <c r="DV249" s="52"/>
      <c r="DW249" s="52"/>
      <c r="DX249" s="52"/>
      <c r="DY249" s="52"/>
      <c r="DZ249" s="52"/>
      <c r="EA249" s="52"/>
      <c r="EB249" s="52"/>
      <c r="EC249" s="52"/>
      <c r="ED249" s="52"/>
      <c r="EE249" s="52"/>
      <c r="EF249" s="52"/>
      <c r="EG249" s="52"/>
      <c r="EH249" s="52"/>
      <c r="EI249" s="52"/>
      <c r="EJ249" s="52"/>
      <c r="EK249" s="52"/>
      <c r="EL249" s="52"/>
      <c r="EM249" s="52"/>
      <c r="EN249" s="52"/>
      <c r="EO249" s="52"/>
      <c r="EP249" s="52"/>
      <c r="EQ249" s="52"/>
      <c r="ER249" s="52"/>
      <c r="ES249" s="52"/>
      <c r="ET249" s="52"/>
      <c r="EU249" s="52"/>
      <c r="EV249" s="52"/>
      <c r="EW249" s="52"/>
      <c r="EX249" s="52"/>
      <c r="EY249" s="52"/>
      <c r="EZ249" s="52"/>
      <c r="FA249" s="52"/>
      <c r="FB249" s="52"/>
      <c r="FC249" s="52"/>
      <c r="FD249" s="52"/>
      <c r="FE249" s="52"/>
      <c r="FF249" s="52"/>
      <c r="FG249" s="52"/>
      <c r="FH249" s="52"/>
      <c r="FI249" s="52"/>
      <c r="FJ249" s="52"/>
      <c r="FK249" s="52"/>
      <c r="FL249" s="52"/>
      <c r="FM249" s="52"/>
      <c r="FN249" s="52"/>
      <c r="FO249" s="52"/>
      <c r="FP249" s="52"/>
      <c r="FQ249" s="52"/>
      <c r="FR249" s="52"/>
      <c r="FS249" s="52"/>
      <c r="FT249" s="52"/>
      <c r="FU249" s="52"/>
      <c r="FV249" s="52"/>
      <c r="FW249" s="52"/>
      <c r="FX249" s="52"/>
    </row>
    <row r="250" ht="15.75" customHeight="1">
      <c r="A250" s="27"/>
      <c r="B250" s="27"/>
      <c r="C250" s="51"/>
      <c r="D250" s="51"/>
      <c r="E250" s="313"/>
      <c r="F250" s="35"/>
      <c r="G250" s="35"/>
      <c r="H250" s="35"/>
      <c r="I250" s="26"/>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c r="BY250" s="52"/>
      <c r="BZ250" s="52"/>
      <c r="CA250" s="52"/>
      <c r="CB250" s="52"/>
      <c r="CC250" s="52"/>
      <c r="CD250" s="52"/>
      <c r="CE250" s="52"/>
      <c r="CF250" s="52"/>
      <c r="CG250" s="52"/>
      <c r="CH250" s="52"/>
      <c r="CI250" s="52"/>
      <c r="CJ250" s="52"/>
      <c r="CK250" s="52"/>
      <c r="CL250" s="52"/>
      <c r="CM250" s="52"/>
      <c r="CN250" s="52"/>
      <c r="CO250" s="52"/>
      <c r="CP250" s="52"/>
      <c r="CQ250" s="52"/>
      <c r="CR250" s="52"/>
      <c r="CS250" s="52"/>
      <c r="CT250" s="52"/>
      <c r="CU250" s="52"/>
      <c r="CV250" s="52"/>
      <c r="CW250" s="52"/>
      <c r="CX250" s="52"/>
      <c r="CY250" s="52"/>
      <c r="CZ250" s="52"/>
      <c r="DA250" s="52"/>
      <c r="DB250" s="52"/>
      <c r="DC250" s="52"/>
      <c r="DD250" s="52"/>
      <c r="DE250" s="52"/>
      <c r="DF250" s="52"/>
      <c r="DG250" s="52"/>
      <c r="DH250" s="52"/>
      <c r="DI250" s="52"/>
      <c r="DJ250" s="52"/>
      <c r="DK250" s="52"/>
      <c r="DL250" s="52"/>
      <c r="DM250" s="52"/>
      <c r="DN250" s="52"/>
      <c r="DO250" s="52"/>
      <c r="DP250" s="52"/>
      <c r="DQ250" s="52"/>
      <c r="DR250" s="52"/>
      <c r="DS250" s="52"/>
      <c r="DT250" s="52"/>
      <c r="DU250" s="52"/>
      <c r="DV250" s="52"/>
      <c r="DW250" s="52"/>
      <c r="DX250" s="52"/>
      <c r="DY250" s="52"/>
      <c r="DZ250" s="52"/>
      <c r="EA250" s="52"/>
      <c r="EB250" s="52"/>
      <c r="EC250" s="52"/>
      <c r="ED250" s="52"/>
      <c r="EE250" s="52"/>
      <c r="EF250" s="52"/>
      <c r="EG250" s="52"/>
      <c r="EH250" s="52"/>
      <c r="EI250" s="52"/>
      <c r="EJ250" s="52"/>
      <c r="EK250" s="52"/>
      <c r="EL250" s="52"/>
      <c r="EM250" s="52"/>
      <c r="EN250" s="52"/>
      <c r="EO250" s="52"/>
      <c r="EP250" s="52"/>
      <c r="EQ250" s="52"/>
      <c r="ER250" s="52"/>
      <c r="ES250" s="52"/>
      <c r="ET250" s="52"/>
      <c r="EU250" s="52"/>
      <c r="EV250" s="52"/>
      <c r="EW250" s="52"/>
      <c r="EX250" s="52"/>
      <c r="EY250" s="52"/>
      <c r="EZ250" s="52"/>
      <c r="FA250" s="52"/>
      <c r="FB250" s="52"/>
      <c r="FC250" s="52"/>
      <c r="FD250" s="52"/>
      <c r="FE250" s="52"/>
      <c r="FF250" s="52"/>
      <c r="FG250" s="52"/>
      <c r="FH250" s="52"/>
      <c r="FI250" s="52"/>
      <c r="FJ250" s="52"/>
      <c r="FK250" s="52"/>
      <c r="FL250" s="52"/>
      <c r="FM250" s="52"/>
      <c r="FN250" s="52"/>
      <c r="FO250" s="52"/>
      <c r="FP250" s="52"/>
      <c r="FQ250" s="52"/>
      <c r="FR250" s="52"/>
      <c r="FS250" s="52"/>
      <c r="FT250" s="52"/>
      <c r="FU250" s="52"/>
      <c r="FV250" s="52"/>
      <c r="FW250" s="52"/>
      <c r="FX250" s="52"/>
    </row>
    <row r="251" ht="15.75" customHeight="1">
      <c r="A251" s="27"/>
      <c r="B251" s="27"/>
      <c r="C251" s="51"/>
      <c r="D251" s="51"/>
      <c r="E251" s="313"/>
      <c r="F251" s="35"/>
      <c r="G251" s="35"/>
      <c r="H251" s="35"/>
      <c r="I251" s="26"/>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c r="BY251" s="52"/>
      <c r="BZ251" s="52"/>
      <c r="CA251" s="52"/>
      <c r="CB251" s="52"/>
      <c r="CC251" s="52"/>
      <c r="CD251" s="52"/>
      <c r="CE251" s="52"/>
      <c r="CF251" s="52"/>
      <c r="CG251" s="52"/>
      <c r="CH251" s="52"/>
      <c r="CI251" s="52"/>
      <c r="CJ251" s="52"/>
      <c r="CK251" s="52"/>
      <c r="CL251" s="52"/>
      <c r="CM251" s="52"/>
      <c r="CN251" s="52"/>
      <c r="CO251" s="52"/>
      <c r="CP251" s="52"/>
      <c r="CQ251" s="52"/>
      <c r="CR251" s="52"/>
      <c r="CS251" s="52"/>
      <c r="CT251" s="52"/>
      <c r="CU251" s="52"/>
      <c r="CV251" s="52"/>
      <c r="CW251" s="52"/>
      <c r="CX251" s="52"/>
      <c r="CY251" s="52"/>
      <c r="CZ251" s="52"/>
      <c r="DA251" s="52"/>
      <c r="DB251" s="52"/>
      <c r="DC251" s="52"/>
      <c r="DD251" s="52"/>
      <c r="DE251" s="52"/>
      <c r="DF251" s="52"/>
      <c r="DG251" s="52"/>
      <c r="DH251" s="52"/>
      <c r="DI251" s="52"/>
      <c r="DJ251" s="52"/>
      <c r="DK251" s="52"/>
      <c r="DL251" s="52"/>
      <c r="DM251" s="52"/>
      <c r="DN251" s="52"/>
      <c r="DO251" s="52"/>
      <c r="DP251" s="52"/>
      <c r="DQ251" s="52"/>
      <c r="DR251" s="52"/>
      <c r="DS251" s="52"/>
      <c r="DT251" s="52"/>
      <c r="DU251" s="52"/>
      <c r="DV251" s="52"/>
      <c r="DW251" s="52"/>
      <c r="DX251" s="52"/>
      <c r="DY251" s="52"/>
      <c r="DZ251" s="52"/>
      <c r="EA251" s="52"/>
      <c r="EB251" s="52"/>
      <c r="EC251" s="52"/>
      <c r="ED251" s="52"/>
      <c r="EE251" s="52"/>
      <c r="EF251" s="52"/>
      <c r="EG251" s="52"/>
      <c r="EH251" s="52"/>
      <c r="EI251" s="52"/>
      <c r="EJ251" s="52"/>
      <c r="EK251" s="52"/>
      <c r="EL251" s="52"/>
      <c r="EM251" s="52"/>
      <c r="EN251" s="52"/>
      <c r="EO251" s="52"/>
      <c r="EP251" s="52"/>
      <c r="EQ251" s="52"/>
      <c r="ER251" s="52"/>
      <c r="ES251" s="52"/>
      <c r="ET251" s="52"/>
      <c r="EU251" s="52"/>
      <c r="EV251" s="52"/>
      <c r="EW251" s="52"/>
      <c r="EX251" s="52"/>
      <c r="EY251" s="52"/>
      <c r="EZ251" s="52"/>
      <c r="FA251" s="52"/>
      <c r="FB251" s="52"/>
      <c r="FC251" s="52"/>
      <c r="FD251" s="52"/>
      <c r="FE251" s="52"/>
      <c r="FF251" s="52"/>
      <c r="FG251" s="52"/>
      <c r="FH251" s="52"/>
      <c r="FI251" s="52"/>
      <c r="FJ251" s="52"/>
      <c r="FK251" s="52"/>
      <c r="FL251" s="52"/>
      <c r="FM251" s="52"/>
      <c r="FN251" s="52"/>
      <c r="FO251" s="52"/>
      <c r="FP251" s="52"/>
      <c r="FQ251" s="52"/>
      <c r="FR251" s="52"/>
      <c r="FS251" s="52"/>
      <c r="FT251" s="52"/>
      <c r="FU251" s="52"/>
      <c r="FV251" s="52"/>
      <c r="FW251" s="52"/>
      <c r="FX251" s="52"/>
    </row>
    <row r="252" ht="15.75" customHeight="1">
      <c r="A252" s="27"/>
      <c r="B252" s="27"/>
      <c r="C252" s="51"/>
      <c r="D252" s="51"/>
      <c r="E252" s="313"/>
      <c r="F252" s="35"/>
      <c r="G252" s="35"/>
      <c r="H252" s="35"/>
      <c r="I252" s="26"/>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c r="BY252" s="52"/>
      <c r="BZ252" s="52"/>
      <c r="CA252" s="52"/>
      <c r="CB252" s="52"/>
      <c r="CC252" s="52"/>
      <c r="CD252" s="52"/>
      <c r="CE252" s="52"/>
      <c r="CF252" s="52"/>
      <c r="CG252" s="52"/>
      <c r="CH252" s="52"/>
      <c r="CI252" s="52"/>
      <c r="CJ252" s="52"/>
      <c r="CK252" s="52"/>
      <c r="CL252" s="52"/>
      <c r="CM252" s="52"/>
      <c r="CN252" s="52"/>
      <c r="CO252" s="52"/>
      <c r="CP252" s="52"/>
      <c r="CQ252" s="52"/>
      <c r="CR252" s="52"/>
      <c r="CS252" s="52"/>
      <c r="CT252" s="52"/>
      <c r="CU252" s="52"/>
      <c r="CV252" s="52"/>
      <c r="CW252" s="52"/>
      <c r="CX252" s="52"/>
      <c r="CY252" s="52"/>
      <c r="CZ252" s="52"/>
      <c r="DA252" s="52"/>
      <c r="DB252" s="52"/>
      <c r="DC252" s="52"/>
      <c r="DD252" s="52"/>
      <c r="DE252" s="52"/>
      <c r="DF252" s="52"/>
      <c r="DG252" s="52"/>
      <c r="DH252" s="52"/>
      <c r="DI252" s="52"/>
      <c r="DJ252" s="52"/>
      <c r="DK252" s="52"/>
      <c r="DL252" s="52"/>
      <c r="DM252" s="52"/>
      <c r="DN252" s="52"/>
      <c r="DO252" s="52"/>
      <c r="DP252" s="52"/>
      <c r="DQ252" s="52"/>
      <c r="DR252" s="52"/>
      <c r="DS252" s="52"/>
      <c r="DT252" s="52"/>
      <c r="DU252" s="52"/>
      <c r="DV252" s="52"/>
      <c r="DW252" s="52"/>
      <c r="DX252" s="52"/>
      <c r="DY252" s="52"/>
      <c r="DZ252" s="52"/>
      <c r="EA252" s="52"/>
      <c r="EB252" s="52"/>
      <c r="EC252" s="52"/>
      <c r="ED252" s="52"/>
      <c r="EE252" s="52"/>
      <c r="EF252" s="52"/>
      <c r="EG252" s="52"/>
      <c r="EH252" s="52"/>
      <c r="EI252" s="52"/>
      <c r="EJ252" s="52"/>
      <c r="EK252" s="52"/>
      <c r="EL252" s="52"/>
      <c r="EM252" s="52"/>
      <c r="EN252" s="52"/>
      <c r="EO252" s="52"/>
      <c r="EP252" s="52"/>
      <c r="EQ252" s="52"/>
      <c r="ER252" s="52"/>
      <c r="ES252" s="52"/>
      <c r="ET252" s="52"/>
      <c r="EU252" s="52"/>
      <c r="EV252" s="52"/>
      <c r="EW252" s="52"/>
      <c r="EX252" s="52"/>
      <c r="EY252" s="52"/>
      <c r="EZ252" s="52"/>
      <c r="FA252" s="52"/>
      <c r="FB252" s="52"/>
      <c r="FC252" s="52"/>
      <c r="FD252" s="52"/>
      <c r="FE252" s="52"/>
      <c r="FF252" s="52"/>
      <c r="FG252" s="52"/>
      <c r="FH252" s="52"/>
      <c r="FI252" s="52"/>
      <c r="FJ252" s="52"/>
      <c r="FK252" s="52"/>
      <c r="FL252" s="52"/>
      <c r="FM252" s="52"/>
      <c r="FN252" s="52"/>
      <c r="FO252" s="52"/>
      <c r="FP252" s="52"/>
      <c r="FQ252" s="52"/>
      <c r="FR252" s="52"/>
      <c r="FS252" s="52"/>
      <c r="FT252" s="52"/>
      <c r="FU252" s="52"/>
      <c r="FV252" s="52"/>
      <c r="FW252" s="52"/>
      <c r="FX252" s="52"/>
    </row>
    <row r="253" ht="15.75" customHeight="1">
      <c r="A253" s="27"/>
      <c r="B253" s="27"/>
      <c r="C253" s="51"/>
      <c r="D253" s="51"/>
      <c r="E253" s="313"/>
      <c r="F253" s="35"/>
      <c r="G253" s="35"/>
      <c r="H253" s="35"/>
      <c r="I253" s="26"/>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c r="BY253" s="52"/>
      <c r="BZ253" s="52"/>
      <c r="CA253" s="52"/>
      <c r="CB253" s="52"/>
      <c r="CC253" s="52"/>
      <c r="CD253" s="52"/>
      <c r="CE253" s="52"/>
      <c r="CF253" s="52"/>
      <c r="CG253" s="52"/>
      <c r="CH253" s="52"/>
      <c r="CI253" s="52"/>
      <c r="CJ253" s="52"/>
      <c r="CK253" s="52"/>
      <c r="CL253" s="52"/>
      <c r="CM253" s="52"/>
      <c r="CN253" s="52"/>
      <c r="CO253" s="52"/>
      <c r="CP253" s="52"/>
      <c r="CQ253" s="52"/>
      <c r="CR253" s="52"/>
      <c r="CS253" s="52"/>
      <c r="CT253" s="52"/>
      <c r="CU253" s="52"/>
      <c r="CV253" s="52"/>
      <c r="CW253" s="52"/>
      <c r="CX253" s="52"/>
      <c r="CY253" s="52"/>
      <c r="CZ253" s="52"/>
      <c r="DA253" s="52"/>
      <c r="DB253" s="52"/>
      <c r="DC253" s="52"/>
      <c r="DD253" s="52"/>
      <c r="DE253" s="52"/>
      <c r="DF253" s="52"/>
      <c r="DG253" s="52"/>
      <c r="DH253" s="52"/>
      <c r="DI253" s="52"/>
      <c r="DJ253" s="52"/>
      <c r="DK253" s="52"/>
      <c r="DL253" s="52"/>
      <c r="DM253" s="52"/>
      <c r="DN253" s="52"/>
      <c r="DO253" s="52"/>
      <c r="DP253" s="52"/>
      <c r="DQ253" s="52"/>
      <c r="DR253" s="52"/>
      <c r="DS253" s="52"/>
      <c r="DT253" s="52"/>
      <c r="DU253" s="52"/>
      <c r="DV253" s="52"/>
      <c r="DW253" s="52"/>
      <c r="DX253" s="52"/>
      <c r="DY253" s="52"/>
      <c r="DZ253" s="52"/>
      <c r="EA253" s="52"/>
      <c r="EB253" s="52"/>
      <c r="EC253" s="52"/>
      <c r="ED253" s="52"/>
      <c r="EE253" s="52"/>
      <c r="EF253" s="52"/>
      <c r="EG253" s="52"/>
      <c r="EH253" s="52"/>
      <c r="EI253" s="52"/>
      <c r="EJ253" s="52"/>
      <c r="EK253" s="52"/>
      <c r="EL253" s="52"/>
      <c r="EM253" s="52"/>
      <c r="EN253" s="52"/>
      <c r="EO253" s="52"/>
      <c r="EP253" s="52"/>
      <c r="EQ253" s="52"/>
      <c r="ER253" s="52"/>
      <c r="ES253" s="52"/>
      <c r="ET253" s="52"/>
      <c r="EU253" s="52"/>
      <c r="EV253" s="52"/>
      <c r="EW253" s="52"/>
      <c r="EX253" s="52"/>
      <c r="EY253" s="52"/>
      <c r="EZ253" s="52"/>
      <c r="FA253" s="52"/>
      <c r="FB253" s="52"/>
      <c r="FC253" s="52"/>
      <c r="FD253" s="52"/>
      <c r="FE253" s="52"/>
      <c r="FF253" s="52"/>
      <c r="FG253" s="52"/>
      <c r="FH253" s="52"/>
      <c r="FI253" s="52"/>
      <c r="FJ253" s="52"/>
      <c r="FK253" s="52"/>
      <c r="FL253" s="52"/>
      <c r="FM253" s="52"/>
      <c r="FN253" s="52"/>
      <c r="FO253" s="52"/>
      <c r="FP253" s="52"/>
      <c r="FQ253" s="52"/>
      <c r="FR253" s="52"/>
      <c r="FS253" s="52"/>
      <c r="FT253" s="52"/>
      <c r="FU253" s="52"/>
      <c r="FV253" s="52"/>
      <c r="FW253" s="52"/>
      <c r="FX253" s="52"/>
    </row>
    <row r="254" ht="15.75" customHeight="1">
      <c r="A254" s="27"/>
      <c r="B254" s="27"/>
      <c r="C254" s="51"/>
      <c r="D254" s="51"/>
      <c r="E254" s="313"/>
      <c r="F254" s="35"/>
      <c r="G254" s="35"/>
      <c r="H254" s="35"/>
      <c r="I254" s="26"/>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c r="BY254" s="52"/>
      <c r="BZ254" s="52"/>
      <c r="CA254" s="52"/>
      <c r="CB254" s="52"/>
      <c r="CC254" s="52"/>
      <c r="CD254" s="52"/>
      <c r="CE254" s="52"/>
      <c r="CF254" s="52"/>
      <c r="CG254" s="52"/>
      <c r="CH254" s="52"/>
      <c r="CI254" s="52"/>
      <c r="CJ254" s="52"/>
      <c r="CK254" s="52"/>
      <c r="CL254" s="52"/>
      <c r="CM254" s="52"/>
      <c r="CN254" s="52"/>
      <c r="CO254" s="52"/>
      <c r="CP254" s="52"/>
      <c r="CQ254" s="52"/>
      <c r="CR254" s="52"/>
      <c r="CS254" s="52"/>
      <c r="CT254" s="52"/>
      <c r="CU254" s="52"/>
      <c r="CV254" s="52"/>
      <c r="CW254" s="52"/>
      <c r="CX254" s="52"/>
      <c r="CY254" s="52"/>
      <c r="CZ254" s="52"/>
      <c r="DA254" s="52"/>
      <c r="DB254" s="52"/>
      <c r="DC254" s="52"/>
      <c r="DD254" s="52"/>
      <c r="DE254" s="52"/>
      <c r="DF254" s="52"/>
      <c r="DG254" s="52"/>
      <c r="DH254" s="52"/>
      <c r="DI254" s="52"/>
      <c r="DJ254" s="52"/>
      <c r="DK254" s="52"/>
      <c r="DL254" s="52"/>
      <c r="DM254" s="52"/>
      <c r="DN254" s="52"/>
      <c r="DO254" s="52"/>
      <c r="DP254" s="52"/>
      <c r="DQ254" s="52"/>
      <c r="DR254" s="52"/>
      <c r="DS254" s="52"/>
      <c r="DT254" s="52"/>
      <c r="DU254" s="52"/>
      <c r="DV254" s="52"/>
      <c r="DW254" s="52"/>
      <c r="DX254" s="52"/>
      <c r="DY254" s="52"/>
      <c r="DZ254" s="52"/>
      <c r="EA254" s="52"/>
      <c r="EB254" s="52"/>
      <c r="EC254" s="52"/>
      <c r="ED254" s="52"/>
      <c r="EE254" s="52"/>
      <c r="EF254" s="52"/>
      <c r="EG254" s="52"/>
      <c r="EH254" s="52"/>
      <c r="EI254" s="52"/>
      <c r="EJ254" s="52"/>
      <c r="EK254" s="52"/>
      <c r="EL254" s="52"/>
      <c r="EM254" s="52"/>
      <c r="EN254" s="52"/>
      <c r="EO254" s="52"/>
      <c r="EP254" s="52"/>
      <c r="EQ254" s="52"/>
      <c r="ER254" s="52"/>
      <c r="ES254" s="52"/>
      <c r="ET254" s="52"/>
      <c r="EU254" s="52"/>
      <c r="EV254" s="52"/>
      <c r="EW254" s="52"/>
      <c r="EX254" s="52"/>
      <c r="EY254" s="52"/>
      <c r="EZ254" s="52"/>
      <c r="FA254" s="52"/>
      <c r="FB254" s="52"/>
      <c r="FC254" s="52"/>
      <c r="FD254" s="52"/>
      <c r="FE254" s="52"/>
      <c r="FF254" s="52"/>
      <c r="FG254" s="52"/>
      <c r="FH254" s="52"/>
      <c r="FI254" s="52"/>
      <c r="FJ254" s="52"/>
      <c r="FK254" s="52"/>
      <c r="FL254" s="52"/>
      <c r="FM254" s="52"/>
      <c r="FN254" s="52"/>
      <c r="FO254" s="52"/>
      <c r="FP254" s="52"/>
      <c r="FQ254" s="52"/>
      <c r="FR254" s="52"/>
      <c r="FS254" s="52"/>
      <c r="FT254" s="52"/>
      <c r="FU254" s="52"/>
      <c r="FV254" s="52"/>
      <c r="FW254" s="52"/>
      <c r="FX254" s="52"/>
    </row>
    <row r="255" ht="15.75" customHeight="1">
      <c r="A255" s="27"/>
      <c r="B255" s="27"/>
      <c r="C255" s="51"/>
      <c r="D255" s="51"/>
      <c r="E255" s="313"/>
      <c r="F255" s="35"/>
      <c r="G255" s="35"/>
      <c r="H255" s="35"/>
      <c r="I255" s="26"/>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c r="BY255" s="52"/>
      <c r="BZ255" s="52"/>
      <c r="CA255" s="52"/>
      <c r="CB255" s="52"/>
      <c r="CC255" s="52"/>
      <c r="CD255" s="52"/>
      <c r="CE255" s="52"/>
      <c r="CF255" s="52"/>
      <c r="CG255" s="52"/>
      <c r="CH255" s="52"/>
      <c r="CI255" s="52"/>
      <c r="CJ255" s="52"/>
      <c r="CK255" s="52"/>
      <c r="CL255" s="52"/>
      <c r="CM255" s="52"/>
      <c r="CN255" s="52"/>
      <c r="CO255" s="52"/>
      <c r="CP255" s="52"/>
      <c r="CQ255" s="52"/>
      <c r="CR255" s="52"/>
      <c r="CS255" s="52"/>
      <c r="CT255" s="52"/>
      <c r="CU255" s="52"/>
      <c r="CV255" s="52"/>
      <c r="CW255" s="52"/>
      <c r="CX255" s="52"/>
      <c r="CY255" s="52"/>
      <c r="CZ255" s="52"/>
      <c r="DA255" s="52"/>
      <c r="DB255" s="52"/>
      <c r="DC255" s="52"/>
      <c r="DD255" s="52"/>
      <c r="DE255" s="52"/>
      <c r="DF255" s="52"/>
      <c r="DG255" s="52"/>
      <c r="DH255" s="52"/>
      <c r="DI255" s="52"/>
      <c r="DJ255" s="52"/>
      <c r="DK255" s="52"/>
      <c r="DL255" s="52"/>
      <c r="DM255" s="52"/>
      <c r="DN255" s="52"/>
      <c r="DO255" s="52"/>
      <c r="DP255" s="52"/>
      <c r="DQ255" s="52"/>
      <c r="DR255" s="52"/>
      <c r="DS255" s="52"/>
      <c r="DT255" s="52"/>
      <c r="DU255" s="52"/>
      <c r="DV255" s="52"/>
      <c r="DW255" s="52"/>
      <c r="DX255" s="52"/>
      <c r="DY255" s="52"/>
      <c r="DZ255" s="52"/>
      <c r="EA255" s="52"/>
      <c r="EB255" s="52"/>
      <c r="EC255" s="52"/>
      <c r="ED255" s="52"/>
      <c r="EE255" s="52"/>
      <c r="EF255" s="52"/>
      <c r="EG255" s="52"/>
      <c r="EH255" s="52"/>
      <c r="EI255" s="52"/>
      <c r="EJ255" s="52"/>
      <c r="EK255" s="52"/>
      <c r="EL255" s="52"/>
      <c r="EM255" s="52"/>
      <c r="EN255" s="52"/>
      <c r="EO255" s="52"/>
      <c r="EP255" s="52"/>
      <c r="EQ255" s="52"/>
      <c r="ER255" s="52"/>
      <c r="ES255" s="52"/>
      <c r="ET255" s="52"/>
      <c r="EU255" s="52"/>
      <c r="EV255" s="52"/>
      <c r="EW255" s="52"/>
      <c r="EX255" s="52"/>
      <c r="EY255" s="52"/>
      <c r="EZ255" s="52"/>
      <c r="FA255" s="52"/>
      <c r="FB255" s="52"/>
      <c r="FC255" s="52"/>
      <c r="FD255" s="52"/>
      <c r="FE255" s="52"/>
      <c r="FF255" s="52"/>
      <c r="FG255" s="52"/>
      <c r="FH255" s="52"/>
      <c r="FI255" s="52"/>
      <c r="FJ255" s="52"/>
      <c r="FK255" s="52"/>
      <c r="FL255" s="52"/>
      <c r="FM255" s="52"/>
      <c r="FN255" s="52"/>
      <c r="FO255" s="52"/>
      <c r="FP255" s="52"/>
      <c r="FQ255" s="52"/>
      <c r="FR255" s="52"/>
      <c r="FS255" s="52"/>
      <c r="FT255" s="52"/>
      <c r="FU255" s="52"/>
      <c r="FV255" s="52"/>
      <c r="FW255" s="52"/>
      <c r="FX255" s="52"/>
    </row>
    <row r="256" ht="15.75" customHeight="1">
      <c r="A256" s="27"/>
      <c r="B256" s="27"/>
      <c r="C256" s="51"/>
      <c r="D256" s="51"/>
      <c r="E256" s="313"/>
      <c r="F256" s="35"/>
      <c r="G256" s="35"/>
      <c r="H256" s="35"/>
      <c r="I256" s="26"/>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c r="BY256" s="52"/>
      <c r="BZ256" s="52"/>
      <c r="CA256" s="52"/>
      <c r="CB256" s="52"/>
      <c r="CC256" s="52"/>
      <c r="CD256" s="52"/>
      <c r="CE256" s="52"/>
      <c r="CF256" s="52"/>
      <c r="CG256" s="52"/>
      <c r="CH256" s="52"/>
      <c r="CI256" s="52"/>
      <c r="CJ256" s="52"/>
      <c r="CK256" s="52"/>
      <c r="CL256" s="52"/>
      <c r="CM256" s="52"/>
      <c r="CN256" s="52"/>
      <c r="CO256" s="52"/>
      <c r="CP256" s="52"/>
      <c r="CQ256" s="52"/>
      <c r="CR256" s="52"/>
      <c r="CS256" s="52"/>
      <c r="CT256" s="52"/>
      <c r="CU256" s="52"/>
      <c r="CV256" s="52"/>
      <c r="CW256" s="52"/>
      <c r="CX256" s="52"/>
      <c r="CY256" s="52"/>
      <c r="CZ256" s="52"/>
      <c r="DA256" s="52"/>
      <c r="DB256" s="52"/>
      <c r="DC256" s="52"/>
      <c r="DD256" s="52"/>
      <c r="DE256" s="52"/>
      <c r="DF256" s="52"/>
      <c r="DG256" s="52"/>
      <c r="DH256" s="52"/>
      <c r="DI256" s="52"/>
      <c r="DJ256" s="52"/>
      <c r="DK256" s="52"/>
      <c r="DL256" s="52"/>
      <c r="DM256" s="52"/>
      <c r="DN256" s="52"/>
      <c r="DO256" s="52"/>
      <c r="DP256" s="52"/>
      <c r="DQ256" s="52"/>
      <c r="DR256" s="52"/>
      <c r="DS256" s="52"/>
      <c r="DT256" s="52"/>
      <c r="DU256" s="52"/>
      <c r="DV256" s="52"/>
      <c r="DW256" s="52"/>
      <c r="DX256" s="52"/>
      <c r="DY256" s="52"/>
      <c r="DZ256" s="52"/>
      <c r="EA256" s="52"/>
      <c r="EB256" s="52"/>
      <c r="EC256" s="52"/>
      <c r="ED256" s="52"/>
      <c r="EE256" s="52"/>
      <c r="EF256" s="52"/>
      <c r="EG256" s="52"/>
      <c r="EH256" s="52"/>
      <c r="EI256" s="52"/>
      <c r="EJ256" s="52"/>
      <c r="EK256" s="52"/>
      <c r="EL256" s="52"/>
      <c r="EM256" s="52"/>
      <c r="EN256" s="52"/>
      <c r="EO256" s="52"/>
      <c r="EP256" s="52"/>
      <c r="EQ256" s="52"/>
      <c r="ER256" s="52"/>
      <c r="ES256" s="52"/>
      <c r="ET256" s="52"/>
      <c r="EU256" s="52"/>
      <c r="EV256" s="52"/>
      <c r="EW256" s="52"/>
      <c r="EX256" s="52"/>
      <c r="EY256" s="52"/>
      <c r="EZ256" s="52"/>
      <c r="FA256" s="52"/>
      <c r="FB256" s="52"/>
      <c r="FC256" s="52"/>
      <c r="FD256" s="52"/>
      <c r="FE256" s="52"/>
      <c r="FF256" s="52"/>
      <c r="FG256" s="52"/>
      <c r="FH256" s="52"/>
      <c r="FI256" s="52"/>
      <c r="FJ256" s="52"/>
      <c r="FK256" s="52"/>
      <c r="FL256" s="52"/>
      <c r="FM256" s="52"/>
      <c r="FN256" s="52"/>
      <c r="FO256" s="52"/>
      <c r="FP256" s="52"/>
      <c r="FQ256" s="52"/>
      <c r="FR256" s="52"/>
      <c r="FS256" s="52"/>
      <c r="FT256" s="52"/>
      <c r="FU256" s="52"/>
      <c r="FV256" s="52"/>
      <c r="FW256" s="52"/>
      <c r="FX256" s="52"/>
    </row>
    <row r="257" ht="15.75" customHeight="1">
      <c r="A257" s="27"/>
      <c r="B257" s="27"/>
      <c r="C257" s="51"/>
      <c r="D257" s="51"/>
      <c r="E257" s="313"/>
      <c r="F257" s="35"/>
      <c r="G257" s="35"/>
      <c r="H257" s="35"/>
      <c r="I257" s="26"/>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c r="BY257" s="52"/>
      <c r="BZ257" s="52"/>
      <c r="CA257" s="52"/>
      <c r="CB257" s="52"/>
      <c r="CC257" s="52"/>
      <c r="CD257" s="52"/>
      <c r="CE257" s="52"/>
      <c r="CF257" s="52"/>
      <c r="CG257" s="52"/>
      <c r="CH257" s="52"/>
      <c r="CI257" s="52"/>
      <c r="CJ257" s="52"/>
      <c r="CK257" s="52"/>
      <c r="CL257" s="52"/>
      <c r="CM257" s="52"/>
      <c r="CN257" s="52"/>
      <c r="CO257" s="52"/>
      <c r="CP257" s="52"/>
      <c r="CQ257" s="52"/>
      <c r="CR257" s="52"/>
      <c r="CS257" s="52"/>
      <c r="CT257" s="52"/>
      <c r="CU257" s="52"/>
      <c r="CV257" s="52"/>
      <c r="CW257" s="52"/>
      <c r="CX257" s="52"/>
      <c r="CY257" s="52"/>
      <c r="CZ257" s="52"/>
      <c r="DA257" s="52"/>
      <c r="DB257" s="52"/>
      <c r="DC257" s="52"/>
      <c r="DD257" s="52"/>
      <c r="DE257" s="52"/>
      <c r="DF257" s="52"/>
      <c r="DG257" s="52"/>
      <c r="DH257" s="52"/>
      <c r="DI257" s="52"/>
      <c r="DJ257" s="52"/>
      <c r="DK257" s="52"/>
      <c r="DL257" s="52"/>
      <c r="DM257" s="52"/>
      <c r="DN257" s="52"/>
      <c r="DO257" s="52"/>
      <c r="DP257" s="52"/>
      <c r="DQ257" s="52"/>
      <c r="DR257" s="52"/>
      <c r="DS257" s="52"/>
      <c r="DT257" s="52"/>
      <c r="DU257" s="52"/>
      <c r="DV257" s="52"/>
      <c r="DW257" s="52"/>
      <c r="DX257" s="52"/>
      <c r="DY257" s="52"/>
      <c r="DZ257" s="52"/>
      <c r="EA257" s="52"/>
      <c r="EB257" s="52"/>
      <c r="EC257" s="52"/>
      <c r="ED257" s="52"/>
      <c r="EE257" s="52"/>
      <c r="EF257" s="52"/>
      <c r="EG257" s="52"/>
      <c r="EH257" s="52"/>
      <c r="EI257" s="52"/>
      <c r="EJ257" s="52"/>
      <c r="EK257" s="52"/>
      <c r="EL257" s="52"/>
      <c r="EM257" s="52"/>
      <c r="EN257" s="52"/>
      <c r="EO257" s="52"/>
      <c r="EP257" s="52"/>
      <c r="EQ257" s="52"/>
      <c r="ER257" s="52"/>
      <c r="ES257" s="52"/>
      <c r="ET257" s="52"/>
      <c r="EU257" s="52"/>
      <c r="EV257" s="52"/>
      <c r="EW257" s="52"/>
      <c r="EX257" s="52"/>
      <c r="EY257" s="52"/>
      <c r="EZ257" s="52"/>
      <c r="FA257" s="52"/>
      <c r="FB257" s="52"/>
      <c r="FC257" s="52"/>
      <c r="FD257" s="52"/>
      <c r="FE257" s="52"/>
      <c r="FF257" s="52"/>
      <c r="FG257" s="52"/>
      <c r="FH257" s="52"/>
      <c r="FI257" s="52"/>
      <c r="FJ257" s="52"/>
      <c r="FK257" s="52"/>
      <c r="FL257" s="52"/>
      <c r="FM257" s="52"/>
      <c r="FN257" s="52"/>
      <c r="FO257" s="52"/>
      <c r="FP257" s="52"/>
      <c r="FQ257" s="52"/>
      <c r="FR257" s="52"/>
      <c r="FS257" s="52"/>
      <c r="FT257" s="52"/>
      <c r="FU257" s="52"/>
      <c r="FV257" s="52"/>
      <c r="FW257" s="52"/>
      <c r="FX257" s="52"/>
    </row>
    <row r="258" ht="15.75" customHeight="1">
      <c r="A258" s="27"/>
      <c r="B258" s="27"/>
      <c r="C258" s="51"/>
      <c r="D258" s="51"/>
      <c r="E258" s="313"/>
      <c r="F258" s="35"/>
      <c r="G258" s="35"/>
      <c r="H258" s="35"/>
      <c r="I258" s="26"/>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c r="BY258" s="52"/>
      <c r="BZ258" s="52"/>
      <c r="CA258" s="52"/>
      <c r="CB258" s="52"/>
      <c r="CC258" s="52"/>
      <c r="CD258" s="52"/>
      <c r="CE258" s="52"/>
      <c r="CF258" s="52"/>
      <c r="CG258" s="52"/>
      <c r="CH258" s="52"/>
      <c r="CI258" s="52"/>
      <c r="CJ258" s="52"/>
      <c r="CK258" s="52"/>
      <c r="CL258" s="52"/>
      <c r="CM258" s="52"/>
      <c r="CN258" s="52"/>
      <c r="CO258" s="52"/>
      <c r="CP258" s="52"/>
      <c r="CQ258" s="52"/>
      <c r="CR258" s="52"/>
      <c r="CS258" s="52"/>
      <c r="CT258" s="52"/>
      <c r="CU258" s="52"/>
      <c r="CV258" s="52"/>
      <c r="CW258" s="52"/>
      <c r="CX258" s="52"/>
      <c r="CY258" s="52"/>
      <c r="CZ258" s="52"/>
      <c r="DA258" s="52"/>
      <c r="DB258" s="52"/>
      <c r="DC258" s="52"/>
      <c r="DD258" s="52"/>
      <c r="DE258" s="52"/>
      <c r="DF258" s="52"/>
      <c r="DG258" s="52"/>
      <c r="DH258" s="52"/>
      <c r="DI258" s="52"/>
      <c r="DJ258" s="52"/>
      <c r="DK258" s="52"/>
      <c r="DL258" s="52"/>
      <c r="DM258" s="52"/>
      <c r="DN258" s="52"/>
      <c r="DO258" s="52"/>
      <c r="DP258" s="52"/>
      <c r="DQ258" s="52"/>
      <c r="DR258" s="52"/>
      <c r="DS258" s="52"/>
      <c r="DT258" s="52"/>
      <c r="DU258" s="52"/>
      <c r="DV258" s="52"/>
      <c r="DW258" s="52"/>
      <c r="DX258" s="52"/>
      <c r="DY258" s="52"/>
      <c r="DZ258" s="52"/>
      <c r="EA258" s="52"/>
      <c r="EB258" s="52"/>
      <c r="EC258" s="52"/>
      <c r="ED258" s="52"/>
      <c r="EE258" s="52"/>
      <c r="EF258" s="52"/>
      <c r="EG258" s="52"/>
      <c r="EH258" s="52"/>
      <c r="EI258" s="52"/>
      <c r="EJ258" s="52"/>
      <c r="EK258" s="52"/>
      <c r="EL258" s="52"/>
      <c r="EM258" s="52"/>
      <c r="EN258" s="52"/>
      <c r="EO258" s="52"/>
      <c r="EP258" s="52"/>
      <c r="EQ258" s="52"/>
      <c r="ER258" s="52"/>
      <c r="ES258" s="52"/>
      <c r="ET258" s="52"/>
      <c r="EU258" s="52"/>
      <c r="EV258" s="52"/>
      <c r="EW258" s="52"/>
      <c r="EX258" s="52"/>
      <c r="EY258" s="52"/>
      <c r="EZ258" s="52"/>
      <c r="FA258" s="52"/>
      <c r="FB258" s="52"/>
      <c r="FC258" s="52"/>
      <c r="FD258" s="52"/>
      <c r="FE258" s="52"/>
      <c r="FF258" s="52"/>
      <c r="FG258" s="52"/>
      <c r="FH258" s="52"/>
      <c r="FI258" s="52"/>
      <c r="FJ258" s="52"/>
      <c r="FK258" s="52"/>
      <c r="FL258" s="52"/>
      <c r="FM258" s="52"/>
      <c r="FN258" s="52"/>
      <c r="FO258" s="52"/>
      <c r="FP258" s="52"/>
      <c r="FQ258" s="52"/>
      <c r="FR258" s="52"/>
      <c r="FS258" s="52"/>
      <c r="FT258" s="52"/>
      <c r="FU258" s="52"/>
      <c r="FV258" s="52"/>
      <c r="FW258" s="52"/>
      <c r="FX258" s="52"/>
    </row>
    <row r="259" ht="15.75" customHeight="1">
      <c r="A259" s="27"/>
      <c r="B259" s="27"/>
      <c r="C259" s="51"/>
      <c r="D259" s="51"/>
      <c r="E259" s="313"/>
      <c r="F259" s="35"/>
      <c r="G259" s="35"/>
      <c r="H259" s="35"/>
      <c r="I259" s="26"/>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c r="BY259" s="52"/>
      <c r="BZ259" s="52"/>
      <c r="CA259" s="52"/>
      <c r="CB259" s="52"/>
      <c r="CC259" s="52"/>
      <c r="CD259" s="52"/>
      <c r="CE259" s="52"/>
      <c r="CF259" s="52"/>
      <c r="CG259" s="52"/>
      <c r="CH259" s="52"/>
      <c r="CI259" s="52"/>
      <c r="CJ259" s="52"/>
      <c r="CK259" s="52"/>
      <c r="CL259" s="52"/>
      <c r="CM259" s="52"/>
      <c r="CN259" s="52"/>
      <c r="CO259" s="52"/>
      <c r="CP259" s="52"/>
      <c r="CQ259" s="52"/>
      <c r="CR259" s="52"/>
      <c r="CS259" s="52"/>
      <c r="CT259" s="52"/>
      <c r="CU259" s="52"/>
      <c r="CV259" s="52"/>
      <c r="CW259" s="52"/>
      <c r="CX259" s="52"/>
      <c r="CY259" s="52"/>
      <c r="CZ259" s="52"/>
      <c r="DA259" s="52"/>
      <c r="DB259" s="52"/>
      <c r="DC259" s="52"/>
      <c r="DD259" s="52"/>
      <c r="DE259" s="52"/>
      <c r="DF259" s="52"/>
      <c r="DG259" s="52"/>
      <c r="DH259" s="52"/>
      <c r="DI259" s="52"/>
      <c r="DJ259" s="52"/>
      <c r="DK259" s="52"/>
      <c r="DL259" s="52"/>
      <c r="DM259" s="52"/>
      <c r="DN259" s="52"/>
      <c r="DO259" s="52"/>
      <c r="DP259" s="52"/>
      <c r="DQ259" s="52"/>
      <c r="DR259" s="52"/>
      <c r="DS259" s="52"/>
      <c r="DT259" s="52"/>
      <c r="DU259" s="52"/>
      <c r="DV259" s="52"/>
      <c r="DW259" s="52"/>
      <c r="DX259" s="52"/>
      <c r="DY259" s="52"/>
      <c r="DZ259" s="52"/>
      <c r="EA259" s="52"/>
      <c r="EB259" s="52"/>
      <c r="EC259" s="52"/>
      <c r="ED259" s="52"/>
      <c r="EE259" s="52"/>
      <c r="EF259" s="52"/>
      <c r="EG259" s="52"/>
      <c r="EH259" s="52"/>
      <c r="EI259" s="52"/>
      <c r="EJ259" s="52"/>
      <c r="EK259" s="52"/>
      <c r="EL259" s="52"/>
      <c r="EM259" s="52"/>
      <c r="EN259" s="52"/>
      <c r="EO259" s="52"/>
      <c r="EP259" s="52"/>
      <c r="EQ259" s="52"/>
      <c r="ER259" s="52"/>
      <c r="ES259" s="52"/>
      <c r="ET259" s="52"/>
      <c r="EU259" s="52"/>
      <c r="EV259" s="52"/>
      <c r="EW259" s="52"/>
      <c r="EX259" s="52"/>
      <c r="EY259" s="52"/>
      <c r="EZ259" s="52"/>
      <c r="FA259" s="52"/>
      <c r="FB259" s="52"/>
      <c r="FC259" s="52"/>
      <c r="FD259" s="52"/>
      <c r="FE259" s="52"/>
      <c r="FF259" s="52"/>
      <c r="FG259" s="52"/>
      <c r="FH259" s="52"/>
      <c r="FI259" s="52"/>
      <c r="FJ259" s="52"/>
      <c r="FK259" s="52"/>
      <c r="FL259" s="52"/>
      <c r="FM259" s="52"/>
      <c r="FN259" s="52"/>
      <c r="FO259" s="52"/>
      <c r="FP259" s="52"/>
      <c r="FQ259" s="52"/>
      <c r="FR259" s="52"/>
      <c r="FS259" s="52"/>
      <c r="FT259" s="52"/>
      <c r="FU259" s="52"/>
      <c r="FV259" s="52"/>
      <c r="FW259" s="52"/>
      <c r="FX259" s="52"/>
    </row>
    <row r="260" ht="15.75" customHeight="1">
      <c r="A260" s="27"/>
      <c r="B260" s="27"/>
      <c r="C260" s="51"/>
      <c r="D260" s="51"/>
      <c r="E260" s="313"/>
      <c r="F260" s="35"/>
      <c r="G260" s="35"/>
      <c r="H260" s="35"/>
      <c r="I260" s="26"/>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c r="BY260" s="52"/>
      <c r="BZ260" s="52"/>
      <c r="CA260" s="52"/>
      <c r="CB260" s="52"/>
      <c r="CC260" s="52"/>
      <c r="CD260" s="52"/>
      <c r="CE260" s="52"/>
      <c r="CF260" s="52"/>
      <c r="CG260" s="52"/>
      <c r="CH260" s="52"/>
      <c r="CI260" s="52"/>
      <c r="CJ260" s="52"/>
      <c r="CK260" s="52"/>
      <c r="CL260" s="52"/>
      <c r="CM260" s="52"/>
      <c r="CN260" s="52"/>
      <c r="CO260" s="52"/>
      <c r="CP260" s="52"/>
      <c r="CQ260" s="52"/>
      <c r="CR260" s="52"/>
      <c r="CS260" s="52"/>
      <c r="CT260" s="52"/>
      <c r="CU260" s="52"/>
      <c r="CV260" s="52"/>
      <c r="CW260" s="52"/>
      <c r="CX260" s="52"/>
      <c r="CY260" s="52"/>
      <c r="CZ260" s="52"/>
      <c r="DA260" s="52"/>
      <c r="DB260" s="52"/>
      <c r="DC260" s="52"/>
      <c r="DD260" s="52"/>
      <c r="DE260" s="52"/>
      <c r="DF260" s="52"/>
      <c r="DG260" s="52"/>
      <c r="DH260" s="52"/>
      <c r="DI260" s="52"/>
      <c r="DJ260" s="52"/>
      <c r="DK260" s="52"/>
      <c r="DL260" s="52"/>
      <c r="DM260" s="52"/>
      <c r="DN260" s="52"/>
      <c r="DO260" s="52"/>
      <c r="DP260" s="52"/>
      <c r="DQ260" s="52"/>
      <c r="DR260" s="52"/>
      <c r="DS260" s="52"/>
      <c r="DT260" s="52"/>
      <c r="DU260" s="52"/>
      <c r="DV260" s="52"/>
      <c r="DW260" s="52"/>
      <c r="DX260" s="52"/>
      <c r="DY260" s="52"/>
      <c r="DZ260" s="52"/>
      <c r="EA260" s="52"/>
      <c r="EB260" s="52"/>
      <c r="EC260" s="52"/>
      <c r="ED260" s="52"/>
      <c r="EE260" s="52"/>
      <c r="EF260" s="52"/>
      <c r="EG260" s="52"/>
      <c r="EH260" s="52"/>
      <c r="EI260" s="52"/>
      <c r="EJ260" s="52"/>
      <c r="EK260" s="52"/>
      <c r="EL260" s="52"/>
      <c r="EM260" s="52"/>
      <c r="EN260" s="52"/>
      <c r="EO260" s="52"/>
      <c r="EP260" s="52"/>
      <c r="EQ260" s="52"/>
      <c r="ER260" s="52"/>
      <c r="ES260" s="52"/>
      <c r="ET260" s="52"/>
      <c r="EU260" s="52"/>
      <c r="EV260" s="52"/>
      <c r="EW260" s="52"/>
      <c r="EX260" s="52"/>
      <c r="EY260" s="52"/>
      <c r="EZ260" s="52"/>
      <c r="FA260" s="52"/>
      <c r="FB260" s="52"/>
      <c r="FC260" s="52"/>
      <c r="FD260" s="52"/>
      <c r="FE260" s="52"/>
      <c r="FF260" s="52"/>
      <c r="FG260" s="52"/>
      <c r="FH260" s="52"/>
      <c r="FI260" s="52"/>
      <c r="FJ260" s="52"/>
      <c r="FK260" s="52"/>
      <c r="FL260" s="52"/>
      <c r="FM260" s="52"/>
      <c r="FN260" s="52"/>
      <c r="FO260" s="52"/>
      <c r="FP260" s="52"/>
      <c r="FQ260" s="52"/>
      <c r="FR260" s="52"/>
      <c r="FS260" s="52"/>
      <c r="FT260" s="52"/>
      <c r="FU260" s="52"/>
      <c r="FV260" s="52"/>
      <c r="FW260" s="52"/>
      <c r="FX260" s="52"/>
    </row>
    <row r="261" ht="15.75" customHeight="1">
      <c r="A261" s="27"/>
      <c r="B261" s="27"/>
      <c r="C261" s="51"/>
      <c r="D261" s="51"/>
      <c r="E261" s="313"/>
      <c r="F261" s="35"/>
      <c r="G261" s="35"/>
      <c r="H261" s="35"/>
      <c r="I261" s="26"/>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c r="BY261" s="52"/>
      <c r="BZ261" s="52"/>
      <c r="CA261" s="52"/>
      <c r="CB261" s="52"/>
      <c r="CC261" s="52"/>
      <c r="CD261" s="52"/>
      <c r="CE261" s="52"/>
      <c r="CF261" s="52"/>
      <c r="CG261" s="52"/>
      <c r="CH261" s="52"/>
      <c r="CI261" s="52"/>
      <c r="CJ261" s="52"/>
      <c r="CK261" s="52"/>
      <c r="CL261" s="52"/>
      <c r="CM261" s="52"/>
      <c r="CN261" s="52"/>
      <c r="CO261" s="52"/>
      <c r="CP261" s="52"/>
      <c r="CQ261" s="52"/>
      <c r="CR261" s="52"/>
      <c r="CS261" s="52"/>
      <c r="CT261" s="52"/>
      <c r="CU261" s="52"/>
      <c r="CV261" s="52"/>
      <c r="CW261" s="52"/>
      <c r="CX261" s="52"/>
      <c r="CY261" s="52"/>
      <c r="CZ261" s="52"/>
      <c r="DA261" s="52"/>
      <c r="DB261" s="52"/>
      <c r="DC261" s="52"/>
      <c r="DD261" s="52"/>
      <c r="DE261" s="52"/>
      <c r="DF261" s="52"/>
      <c r="DG261" s="52"/>
      <c r="DH261" s="52"/>
      <c r="DI261" s="52"/>
      <c r="DJ261" s="52"/>
      <c r="DK261" s="52"/>
      <c r="DL261" s="52"/>
      <c r="DM261" s="52"/>
      <c r="DN261" s="52"/>
      <c r="DO261" s="52"/>
      <c r="DP261" s="52"/>
      <c r="DQ261" s="52"/>
      <c r="DR261" s="52"/>
      <c r="DS261" s="52"/>
      <c r="DT261" s="52"/>
      <c r="DU261" s="52"/>
      <c r="DV261" s="52"/>
      <c r="DW261" s="52"/>
      <c r="DX261" s="52"/>
      <c r="DY261" s="52"/>
      <c r="DZ261" s="52"/>
      <c r="EA261" s="52"/>
      <c r="EB261" s="52"/>
      <c r="EC261" s="52"/>
      <c r="ED261" s="52"/>
      <c r="EE261" s="52"/>
      <c r="EF261" s="52"/>
      <c r="EG261" s="52"/>
      <c r="EH261" s="52"/>
      <c r="EI261" s="52"/>
      <c r="EJ261" s="52"/>
      <c r="EK261" s="52"/>
      <c r="EL261" s="52"/>
      <c r="EM261" s="52"/>
      <c r="EN261" s="52"/>
      <c r="EO261" s="52"/>
      <c r="EP261" s="52"/>
      <c r="EQ261" s="52"/>
      <c r="ER261" s="52"/>
      <c r="ES261" s="52"/>
      <c r="ET261" s="52"/>
      <c r="EU261" s="52"/>
      <c r="EV261" s="52"/>
      <c r="EW261" s="52"/>
      <c r="EX261" s="52"/>
      <c r="EY261" s="52"/>
      <c r="EZ261" s="52"/>
      <c r="FA261" s="52"/>
      <c r="FB261" s="52"/>
      <c r="FC261" s="52"/>
      <c r="FD261" s="52"/>
      <c r="FE261" s="52"/>
      <c r="FF261" s="52"/>
      <c r="FG261" s="52"/>
      <c r="FH261" s="52"/>
      <c r="FI261" s="52"/>
      <c r="FJ261" s="52"/>
      <c r="FK261" s="52"/>
      <c r="FL261" s="52"/>
      <c r="FM261" s="52"/>
      <c r="FN261" s="52"/>
      <c r="FO261" s="52"/>
      <c r="FP261" s="52"/>
      <c r="FQ261" s="52"/>
      <c r="FR261" s="52"/>
      <c r="FS261" s="52"/>
      <c r="FT261" s="52"/>
      <c r="FU261" s="52"/>
      <c r="FV261" s="52"/>
      <c r="FW261" s="52"/>
      <c r="FX261" s="52"/>
    </row>
    <row r="262" ht="15.75" customHeight="1">
      <c r="A262" s="27"/>
      <c r="B262" s="27"/>
      <c r="C262" s="51"/>
      <c r="D262" s="51"/>
      <c r="E262" s="313"/>
      <c r="F262" s="35"/>
      <c r="G262" s="35"/>
      <c r="H262" s="35"/>
      <c r="I262" s="26"/>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c r="BS262" s="52"/>
      <c r="BT262" s="52"/>
      <c r="BU262" s="52"/>
      <c r="BV262" s="52"/>
      <c r="BW262" s="52"/>
      <c r="BX262" s="52"/>
      <c r="BY262" s="52"/>
      <c r="BZ262" s="52"/>
      <c r="CA262" s="52"/>
      <c r="CB262" s="52"/>
      <c r="CC262" s="52"/>
      <c r="CD262" s="52"/>
      <c r="CE262" s="52"/>
      <c r="CF262" s="52"/>
      <c r="CG262" s="52"/>
      <c r="CH262" s="52"/>
      <c r="CI262" s="52"/>
      <c r="CJ262" s="52"/>
      <c r="CK262" s="52"/>
      <c r="CL262" s="52"/>
      <c r="CM262" s="52"/>
      <c r="CN262" s="52"/>
      <c r="CO262" s="52"/>
      <c r="CP262" s="52"/>
      <c r="CQ262" s="52"/>
      <c r="CR262" s="52"/>
      <c r="CS262" s="52"/>
      <c r="CT262" s="52"/>
      <c r="CU262" s="52"/>
      <c r="CV262" s="52"/>
      <c r="CW262" s="52"/>
      <c r="CX262" s="52"/>
      <c r="CY262" s="52"/>
      <c r="CZ262" s="52"/>
      <c r="DA262" s="52"/>
      <c r="DB262" s="52"/>
      <c r="DC262" s="52"/>
      <c r="DD262" s="52"/>
      <c r="DE262" s="52"/>
      <c r="DF262" s="52"/>
      <c r="DG262" s="52"/>
      <c r="DH262" s="52"/>
      <c r="DI262" s="52"/>
      <c r="DJ262" s="52"/>
      <c r="DK262" s="52"/>
      <c r="DL262" s="52"/>
      <c r="DM262" s="52"/>
      <c r="DN262" s="52"/>
      <c r="DO262" s="52"/>
      <c r="DP262" s="52"/>
      <c r="DQ262" s="52"/>
      <c r="DR262" s="52"/>
      <c r="DS262" s="52"/>
      <c r="DT262" s="52"/>
      <c r="DU262" s="52"/>
      <c r="DV262" s="52"/>
      <c r="DW262" s="52"/>
      <c r="DX262" s="52"/>
      <c r="DY262" s="52"/>
      <c r="DZ262" s="52"/>
      <c r="EA262" s="52"/>
      <c r="EB262" s="52"/>
      <c r="EC262" s="52"/>
      <c r="ED262" s="52"/>
      <c r="EE262" s="52"/>
      <c r="EF262" s="52"/>
      <c r="EG262" s="52"/>
      <c r="EH262" s="52"/>
      <c r="EI262" s="52"/>
      <c r="EJ262" s="52"/>
      <c r="EK262" s="52"/>
      <c r="EL262" s="52"/>
      <c r="EM262" s="52"/>
      <c r="EN262" s="52"/>
      <c r="EO262" s="52"/>
      <c r="EP262" s="52"/>
      <c r="EQ262" s="52"/>
      <c r="ER262" s="52"/>
      <c r="ES262" s="52"/>
      <c r="ET262" s="52"/>
      <c r="EU262" s="52"/>
      <c r="EV262" s="52"/>
      <c r="EW262" s="52"/>
      <c r="EX262" s="52"/>
      <c r="EY262" s="52"/>
      <c r="EZ262" s="52"/>
      <c r="FA262" s="52"/>
      <c r="FB262" s="52"/>
      <c r="FC262" s="52"/>
      <c r="FD262" s="52"/>
      <c r="FE262" s="52"/>
      <c r="FF262" s="52"/>
      <c r="FG262" s="52"/>
      <c r="FH262" s="52"/>
      <c r="FI262" s="52"/>
      <c r="FJ262" s="52"/>
      <c r="FK262" s="52"/>
      <c r="FL262" s="52"/>
      <c r="FM262" s="52"/>
      <c r="FN262" s="52"/>
      <c r="FO262" s="52"/>
      <c r="FP262" s="52"/>
      <c r="FQ262" s="52"/>
      <c r="FR262" s="52"/>
      <c r="FS262" s="52"/>
      <c r="FT262" s="52"/>
      <c r="FU262" s="52"/>
      <c r="FV262" s="52"/>
      <c r="FW262" s="52"/>
      <c r="FX262" s="52"/>
    </row>
    <row r="263" ht="15.75" customHeight="1">
      <c r="A263" s="27"/>
      <c r="B263" s="27"/>
      <c r="C263" s="51"/>
      <c r="D263" s="51"/>
      <c r="E263" s="313"/>
      <c r="F263" s="35"/>
      <c r="G263" s="35"/>
      <c r="H263" s="35"/>
      <c r="I263" s="26"/>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2"/>
      <c r="BK263" s="52"/>
      <c r="BL263" s="52"/>
      <c r="BM263" s="52"/>
      <c r="BN263" s="52"/>
      <c r="BO263" s="52"/>
      <c r="BP263" s="52"/>
      <c r="BQ263" s="52"/>
      <c r="BR263" s="52"/>
      <c r="BS263" s="52"/>
      <c r="BT263" s="52"/>
      <c r="BU263" s="52"/>
      <c r="BV263" s="52"/>
      <c r="BW263" s="52"/>
      <c r="BX263" s="52"/>
      <c r="BY263" s="52"/>
      <c r="BZ263" s="52"/>
      <c r="CA263" s="52"/>
      <c r="CB263" s="52"/>
      <c r="CC263" s="52"/>
      <c r="CD263" s="52"/>
      <c r="CE263" s="52"/>
      <c r="CF263" s="52"/>
      <c r="CG263" s="52"/>
      <c r="CH263" s="52"/>
      <c r="CI263" s="52"/>
      <c r="CJ263" s="52"/>
      <c r="CK263" s="52"/>
      <c r="CL263" s="52"/>
      <c r="CM263" s="52"/>
      <c r="CN263" s="52"/>
      <c r="CO263" s="52"/>
      <c r="CP263" s="52"/>
      <c r="CQ263" s="52"/>
      <c r="CR263" s="52"/>
      <c r="CS263" s="52"/>
      <c r="CT263" s="52"/>
      <c r="CU263" s="52"/>
      <c r="CV263" s="52"/>
      <c r="CW263" s="52"/>
      <c r="CX263" s="52"/>
      <c r="CY263" s="52"/>
      <c r="CZ263" s="52"/>
      <c r="DA263" s="52"/>
      <c r="DB263" s="52"/>
      <c r="DC263" s="52"/>
      <c r="DD263" s="52"/>
      <c r="DE263" s="52"/>
      <c r="DF263" s="52"/>
      <c r="DG263" s="52"/>
      <c r="DH263" s="52"/>
      <c r="DI263" s="52"/>
      <c r="DJ263" s="52"/>
      <c r="DK263" s="52"/>
      <c r="DL263" s="52"/>
      <c r="DM263" s="52"/>
      <c r="DN263" s="52"/>
      <c r="DO263" s="52"/>
      <c r="DP263" s="52"/>
      <c r="DQ263" s="52"/>
      <c r="DR263" s="52"/>
      <c r="DS263" s="52"/>
      <c r="DT263" s="52"/>
      <c r="DU263" s="52"/>
      <c r="DV263" s="52"/>
      <c r="DW263" s="52"/>
      <c r="DX263" s="52"/>
      <c r="DY263" s="52"/>
      <c r="DZ263" s="52"/>
      <c r="EA263" s="52"/>
      <c r="EB263" s="52"/>
      <c r="EC263" s="52"/>
      <c r="ED263" s="52"/>
      <c r="EE263" s="52"/>
      <c r="EF263" s="52"/>
      <c r="EG263" s="52"/>
      <c r="EH263" s="52"/>
      <c r="EI263" s="52"/>
      <c r="EJ263" s="52"/>
      <c r="EK263" s="52"/>
      <c r="EL263" s="52"/>
      <c r="EM263" s="52"/>
      <c r="EN263" s="52"/>
      <c r="EO263" s="52"/>
      <c r="EP263" s="52"/>
      <c r="EQ263" s="52"/>
      <c r="ER263" s="52"/>
      <c r="ES263" s="52"/>
      <c r="ET263" s="52"/>
      <c r="EU263" s="52"/>
      <c r="EV263" s="52"/>
      <c r="EW263" s="52"/>
      <c r="EX263" s="52"/>
      <c r="EY263" s="52"/>
      <c r="EZ263" s="52"/>
      <c r="FA263" s="52"/>
      <c r="FB263" s="52"/>
      <c r="FC263" s="52"/>
      <c r="FD263" s="52"/>
      <c r="FE263" s="52"/>
      <c r="FF263" s="52"/>
      <c r="FG263" s="52"/>
      <c r="FH263" s="52"/>
      <c r="FI263" s="52"/>
      <c r="FJ263" s="52"/>
      <c r="FK263" s="52"/>
      <c r="FL263" s="52"/>
      <c r="FM263" s="52"/>
      <c r="FN263" s="52"/>
      <c r="FO263" s="52"/>
      <c r="FP263" s="52"/>
      <c r="FQ263" s="52"/>
      <c r="FR263" s="52"/>
      <c r="FS263" s="52"/>
      <c r="FT263" s="52"/>
      <c r="FU263" s="52"/>
      <c r="FV263" s="52"/>
      <c r="FW263" s="52"/>
      <c r="FX263" s="52"/>
    </row>
    <row r="264" ht="15.75" customHeight="1">
      <c r="A264" s="27"/>
      <c r="B264" s="27"/>
      <c r="C264" s="51"/>
      <c r="D264" s="51"/>
      <c r="E264" s="313"/>
      <c r="F264" s="35"/>
      <c r="G264" s="35"/>
      <c r="H264" s="35"/>
      <c r="I264" s="26"/>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52"/>
      <c r="BD264" s="52"/>
      <c r="BE264" s="52"/>
      <c r="BF264" s="52"/>
      <c r="BG264" s="52"/>
      <c r="BH264" s="52"/>
      <c r="BI264" s="52"/>
      <c r="BJ264" s="52"/>
      <c r="BK264" s="52"/>
      <c r="BL264" s="52"/>
      <c r="BM264" s="52"/>
      <c r="BN264" s="52"/>
      <c r="BO264" s="52"/>
      <c r="BP264" s="52"/>
      <c r="BQ264" s="52"/>
      <c r="BR264" s="52"/>
      <c r="BS264" s="52"/>
      <c r="BT264" s="52"/>
      <c r="BU264" s="52"/>
      <c r="BV264" s="52"/>
      <c r="BW264" s="52"/>
      <c r="BX264" s="52"/>
      <c r="BY264" s="52"/>
      <c r="BZ264" s="52"/>
      <c r="CA264" s="52"/>
      <c r="CB264" s="52"/>
      <c r="CC264" s="52"/>
      <c r="CD264" s="52"/>
      <c r="CE264" s="52"/>
      <c r="CF264" s="52"/>
      <c r="CG264" s="52"/>
      <c r="CH264" s="52"/>
      <c r="CI264" s="52"/>
      <c r="CJ264" s="52"/>
      <c r="CK264" s="52"/>
      <c r="CL264" s="52"/>
      <c r="CM264" s="52"/>
      <c r="CN264" s="52"/>
      <c r="CO264" s="52"/>
      <c r="CP264" s="52"/>
      <c r="CQ264" s="52"/>
      <c r="CR264" s="52"/>
      <c r="CS264" s="52"/>
      <c r="CT264" s="52"/>
      <c r="CU264" s="52"/>
      <c r="CV264" s="52"/>
      <c r="CW264" s="52"/>
      <c r="CX264" s="52"/>
      <c r="CY264" s="52"/>
      <c r="CZ264" s="52"/>
      <c r="DA264" s="52"/>
      <c r="DB264" s="52"/>
      <c r="DC264" s="52"/>
      <c r="DD264" s="52"/>
      <c r="DE264" s="52"/>
      <c r="DF264" s="52"/>
      <c r="DG264" s="52"/>
      <c r="DH264" s="52"/>
      <c r="DI264" s="52"/>
      <c r="DJ264" s="52"/>
      <c r="DK264" s="52"/>
      <c r="DL264" s="52"/>
      <c r="DM264" s="52"/>
      <c r="DN264" s="52"/>
      <c r="DO264" s="52"/>
      <c r="DP264" s="52"/>
      <c r="DQ264" s="52"/>
      <c r="DR264" s="52"/>
      <c r="DS264" s="52"/>
      <c r="DT264" s="52"/>
      <c r="DU264" s="52"/>
      <c r="DV264" s="52"/>
      <c r="DW264" s="52"/>
      <c r="DX264" s="52"/>
      <c r="DY264" s="52"/>
      <c r="DZ264" s="52"/>
      <c r="EA264" s="52"/>
      <c r="EB264" s="52"/>
      <c r="EC264" s="52"/>
      <c r="ED264" s="52"/>
      <c r="EE264" s="52"/>
      <c r="EF264" s="52"/>
      <c r="EG264" s="52"/>
      <c r="EH264" s="52"/>
      <c r="EI264" s="52"/>
      <c r="EJ264" s="52"/>
      <c r="EK264" s="52"/>
      <c r="EL264" s="52"/>
      <c r="EM264" s="52"/>
      <c r="EN264" s="52"/>
      <c r="EO264" s="52"/>
      <c r="EP264" s="52"/>
      <c r="EQ264" s="52"/>
      <c r="ER264" s="52"/>
      <c r="ES264" s="52"/>
      <c r="ET264" s="52"/>
      <c r="EU264" s="52"/>
      <c r="EV264" s="52"/>
      <c r="EW264" s="52"/>
      <c r="EX264" s="52"/>
      <c r="EY264" s="52"/>
      <c r="EZ264" s="52"/>
      <c r="FA264" s="52"/>
      <c r="FB264" s="52"/>
      <c r="FC264" s="52"/>
      <c r="FD264" s="52"/>
      <c r="FE264" s="52"/>
      <c r="FF264" s="52"/>
      <c r="FG264" s="52"/>
      <c r="FH264" s="52"/>
      <c r="FI264" s="52"/>
      <c r="FJ264" s="52"/>
      <c r="FK264" s="52"/>
      <c r="FL264" s="52"/>
      <c r="FM264" s="52"/>
      <c r="FN264" s="52"/>
      <c r="FO264" s="52"/>
      <c r="FP264" s="52"/>
      <c r="FQ264" s="52"/>
      <c r="FR264" s="52"/>
      <c r="FS264" s="52"/>
      <c r="FT264" s="52"/>
      <c r="FU264" s="52"/>
      <c r="FV264" s="52"/>
      <c r="FW264" s="52"/>
      <c r="FX264" s="52"/>
    </row>
    <row r="265" ht="15.75" customHeight="1">
      <c r="A265" s="27"/>
      <c r="B265" s="27"/>
      <c r="C265" s="51"/>
      <c r="D265" s="51"/>
      <c r="E265" s="313"/>
      <c r="F265" s="35"/>
      <c r="G265" s="35"/>
      <c r="H265" s="35"/>
      <c r="I265" s="26"/>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52"/>
      <c r="BN265" s="52"/>
      <c r="BO265" s="52"/>
      <c r="BP265" s="52"/>
      <c r="BQ265" s="52"/>
      <c r="BR265" s="52"/>
      <c r="BS265" s="52"/>
      <c r="BT265" s="52"/>
      <c r="BU265" s="52"/>
      <c r="BV265" s="52"/>
      <c r="BW265" s="52"/>
      <c r="BX265" s="52"/>
      <c r="BY265" s="52"/>
      <c r="BZ265" s="52"/>
      <c r="CA265" s="52"/>
      <c r="CB265" s="52"/>
      <c r="CC265" s="52"/>
      <c r="CD265" s="52"/>
      <c r="CE265" s="52"/>
      <c r="CF265" s="52"/>
      <c r="CG265" s="52"/>
      <c r="CH265" s="52"/>
      <c r="CI265" s="52"/>
      <c r="CJ265" s="52"/>
      <c r="CK265" s="52"/>
      <c r="CL265" s="52"/>
      <c r="CM265" s="52"/>
      <c r="CN265" s="52"/>
      <c r="CO265" s="52"/>
      <c r="CP265" s="52"/>
      <c r="CQ265" s="52"/>
      <c r="CR265" s="52"/>
      <c r="CS265" s="52"/>
      <c r="CT265" s="52"/>
      <c r="CU265" s="52"/>
      <c r="CV265" s="52"/>
      <c r="CW265" s="52"/>
      <c r="CX265" s="52"/>
      <c r="CY265" s="52"/>
      <c r="CZ265" s="52"/>
      <c r="DA265" s="52"/>
      <c r="DB265" s="52"/>
      <c r="DC265" s="52"/>
      <c r="DD265" s="52"/>
      <c r="DE265" s="52"/>
      <c r="DF265" s="52"/>
      <c r="DG265" s="52"/>
      <c r="DH265" s="52"/>
      <c r="DI265" s="52"/>
      <c r="DJ265" s="52"/>
      <c r="DK265" s="52"/>
      <c r="DL265" s="52"/>
      <c r="DM265" s="52"/>
      <c r="DN265" s="52"/>
      <c r="DO265" s="52"/>
      <c r="DP265" s="52"/>
      <c r="DQ265" s="52"/>
      <c r="DR265" s="52"/>
      <c r="DS265" s="52"/>
      <c r="DT265" s="52"/>
      <c r="DU265" s="52"/>
      <c r="DV265" s="52"/>
      <c r="DW265" s="52"/>
      <c r="DX265" s="52"/>
      <c r="DY265" s="52"/>
      <c r="DZ265" s="52"/>
      <c r="EA265" s="52"/>
      <c r="EB265" s="52"/>
      <c r="EC265" s="52"/>
      <c r="ED265" s="52"/>
      <c r="EE265" s="52"/>
      <c r="EF265" s="52"/>
      <c r="EG265" s="52"/>
      <c r="EH265" s="52"/>
      <c r="EI265" s="52"/>
      <c r="EJ265" s="52"/>
      <c r="EK265" s="52"/>
      <c r="EL265" s="52"/>
      <c r="EM265" s="52"/>
      <c r="EN265" s="52"/>
      <c r="EO265" s="52"/>
      <c r="EP265" s="52"/>
      <c r="EQ265" s="52"/>
      <c r="ER265" s="52"/>
      <c r="ES265" s="52"/>
      <c r="ET265" s="52"/>
      <c r="EU265" s="52"/>
      <c r="EV265" s="52"/>
      <c r="EW265" s="52"/>
      <c r="EX265" s="52"/>
      <c r="EY265" s="52"/>
      <c r="EZ265" s="52"/>
      <c r="FA265" s="52"/>
      <c r="FB265" s="52"/>
      <c r="FC265" s="52"/>
      <c r="FD265" s="52"/>
      <c r="FE265" s="52"/>
      <c r="FF265" s="52"/>
      <c r="FG265" s="52"/>
      <c r="FH265" s="52"/>
      <c r="FI265" s="52"/>
      <c r="FJ265" s="52"/>
      <c r="FK265" s="52"/>
      <c r="FL265" s="52"/>
      <c r="FM265" s="52"/>
      <c r="FN265" s="52"/>
      <c r="FO265" s="52"/>
      <c r="FP265" s="52"/>
      <c r="FQ265" s="52"/>
      <c r="FR265" s="52"/>
      <c r="FS265" s="52"/>
      <c r="FT265" s="52"/>
      <c r="FU265" s="52"/>
      <c r="FV265" s="52"/>
      <c r="FW265" s="52"/>
      <c r="FX265" s="52"/>
    </row>
    <row r="266" ht="15.75" customHeight="1">
      <c r="A266" s="27"/>
      <c r="B266" s="27"/>
      <c r="C266" s="51"/>
      <c r="D266" s="51"/>
      <c r="E266" s="313"/>
      <c r="F266" s="35"/>
      <c r="G266" s="35"/>
      <c r="H266" s="35"/>
      <c r="I266" s="26"/>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2"/>
      <c r="BK266" s="52"/>
      <c r="BL266" s="52"/>
      <c r="BM266" s="52"/>
      <c r="BN266" s="52"/>
      <c r="BO266" s="52"/>
      <c r="BP266" s="52"/>
      <c r="BQ266" s="52"/>
      <c r="BR266" s="52"/>
      <c r="BS266" s="52"/>
      <c r="BT266" s="52"/>
      <c r="BU266" s="52"/>
      <c r="BV266" s="52"/>
      <c r="BW266" s="52"/>
      <c r="BX266" s="52"/>
      <c r="BY266" s="52"/>
      <c r="BZ266" s="52"/>
      <c r="CA266" s="52"/>
      <c r="CB266" s="52"/>
      <c r="CC266" s="52"/>
      <c r="CD266" s="52"/>
      <c r="CE266" s="52"/>
      <c r="CF266" s="52"/>
      <c r="CG266" s="52"/>
      <c r="CH266" s="52"/>
      <c r="CI266" s="52"/>
      <c r="CJ266" s="52"/>
      <c r="CK266" s="52"/>
      <c r="CL266" s="52"/>
      <c r="CM266" s="52"/>
      <c r="CN266" s="52"/>
      <c r="CO266" s="52"/>
      <c r="CP266" s="52"/>
      <c r="CQ266" s="52"/>
      <c r="CR266" s="52"/>
      <c r="CS266" s="52"/>
      <c r="CT266" s="52"/>
      <c r="CU266" s="52"/>
      <c r="CV266" s="52"/>
      <c r="CW266" s="52"/>
      <c r="CX266" s="52"/>
      <c r="CY266" s="52"/>
      <c r="CZ266" s="52"/>
      <c r="DA266" s="52"/>
      <c r="DB266" s="52"/>
      <c r="DC266" s="52"/>
      <c r="DD266" s="52"/>
      <c r="DE266" s="52"/>
      <c r="DF266" s="52"/>
      <c r="DG266" s="52"/>
      <c r="DH266" s="52"/>
      <c r="DI266" s="52"/>
      <c r="DJ266" s="52"/>
      <c r="DK266" s="52"/>
      <c r="DL266" s="52"/>
      <c r="DM266" s="52"/>
      <c r="DN266" s="52"/>
      <c r="DO266" s="52"/>
      <c r="DP266" s="52"/>
      <c r="DQ266" s="52"/>
      <c r="DR266" s="52"/>
      <c r="DS266" s="52"/>
      <c r="DT266" s="52"/>
      <c r="DU266" s="52"/>
      <c r="DV266" s="52"/>
      <c r="DW266" s="52"/>
      <c r="DX266" s="52"/>
      <c r="DY266" s="52"/>
      <c r="DZ266" s="52"/>
      <c r="EA266" s="52"/>
      <c r="EB266" s="52"/>
      <c r="EC266" s="52"/>
      <c r="ED266" s="52"/>
      <c r="EE266" s="52"/>
      <c r="EF266" s="52"/>
      <c r="EG266" s="52"/>
      <c r="EH266" s="52"/>
      <c r="EI266" s="52"/>
      <c r="EJ266" s="52"/>
      <c r="EK266" s="52"/>
      <c r="EL266" s="52"/>
      <c r="EM266" s="52"/>
      <c r="EN266" s="52"/>
      <c r="EO266" s="52"/>
      <c r="EP266" s="52"/>
      <c r="EQ266" s="52"/>
      <c r="ER266" s="52"/>
      <c r="ES266" s="52"/>
      <c r="ET266" s="52"/>
      <c r="EU266" s="52"/>
      <c r="EV266" s="52"/>
      <c r="EW266" s="52"/>
      <c r="EX266" s="52"/>
      <c r="EY266" s="52"/>
      <c r="EZ266" s="52"/>
      <c r="FA266" s="52"/>
      <c r="FB266" s="52"/>
      <c r="FC266" s="52"/>
      <c r="FD266" s="52"/>
      <c r="FE266" s="52"/>
      <c r="FF266" s="52"/>
      <c r="FG266" s="52"/>
      <c r="FH266" s="52"/>
      <c r="FI266" s="52"/>
      <c r="FJ266" s="52"/>
      <c r="FK266" s="52"/>
      <c r="FL266" s="52"/>
      <c r="FM266" s="52"/>
      <c r="FN266" s="52"/>
      <c r="FO266" s="52"/>
      <c r="FP266" s="52"/>
      <c r="FQ266" s="52"/>
      <c r="FR266" s="52"/>
      <c r="FS266" s="52"/>
      <c r="FT266" s="52"/>
      <c r="FU266" s="52"/>
      <c r="FV266" s="52"/>
      <c r="FW266" s="52"/>
      <c r="FX266" s="52"/>
    </row>
    <row r="267" ht="15.75" customHeight="1">
      <c r="A267" s="27"/>
      <c r="B267" s="27"/>
      <c r="C267" s="51"/>
      <c r="D267" s="51"/>
      <c r="E267" s="313"/>
      <c r="F267" s="35"/>
      <c r="G267" s="35"/>
      <c r="H267" s="35"/>
      <c r="I267" s="26"/>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c r="BS267" s="52"/>
      <c r="BT267" s="52"/>
      <c r="BU267" s="52"/>
      <c r="BV267" s="52"/>
      <c r="BW267" s="52"/>
      <c r="BX267" s="52"/>
      <c r="BY267" s="52"/>
      <c r="BZ267" s="52"/>
      <c r="CA267" s="52"/>
      <c r="CB267" s="52"/>
      <c r="CC267" s="52"/>
      <c r="CD267" s="52"/>
      <c r="CE267" s="52"/>
      <c r="CF267" s="52"/>
      <c r="CG267" s="52"/>
      <c r="CH267" s="52"/>
      <c r="CI267" s="52"/>
      <c r="CJ267" s="52"/>
      <c r="CK267" s="52"/>
      <c r="CL267" s="52"/>
      <c r="CM267" s="52"/>
      <c r="CN267" s="52"/>
      <c r="CO267" s="52"/>
      <c r="CP267" s="52"/>
      <c r="CQ267" s="52"/>
      <c r="CR267" s="52"/>
      <c r="CS267" s="52"/>
      <c r="CT267" s="52"/>
      <c r="CU267" s="52"/>
      <c r="CV267" s="52"/>
      <c r="CW267" s="52"/>
      <c r="CX267" s="52"/>
      <c r="CY267" s="52"/>
      <c r="CZ267" s="52"/>
      <c r="DA267" s="52"/>
      <c r="DB267" s="52"/>
      <c r="DC267" s="52"/>
      <c r="DD267" s="52"/>
      <c r="DE267" s="52"/>
      <c r="DF267" s="52"/>
      <c r="DG267" s="52"/>
      <c r="DH267" s="52"/>
      <c r="DI267" s="52"/>
      <c r="DJ267" s="52"/>
      <c r="DK267" s="52"/>
      <c r="DL267" s="52"/>
      <c r="DM267" s="52"/>
      <c r="DN267" s="52"/>
      <c r="DO267" s="52"/>
      <c r="DP267" s="52"/>
      <c r="DQ267" s="52"/>
      <c r="DR267" s="52"/>
      <c r="DS267" s="52"/>
      <c r="DT267" s="52"/>
      <c r="DU267" s="52"/>
      <c r="DV267" s="52"/>
      <c r="DW267" s="52"/>
      <c r="DX267" s="52"/>
      <c r="DY267" s="52"/>
      <c r="DZ267" s="52"/>
      <c r="EA267" s="52"/>
      <c r="EB267" s="52"/>
      <c r="EC267" s="52"/>
      <c r="ED267" s="52"/>
      <c r="EE267" s="52"/>
      <c r="EF267" s="52"/>
      <c r="EG267" s="52"/>
      <c r="EH267" s="52"/>
      <c r="EI267" s="52"/>
      <c r="EJ267" s="52"/>
      <c r="EK267" s="52"/>
      <c r="EL267" s="52"/>
      <c r="EM267" s="52"/>
      <c r="EN267" s="52"/>
      <c r="EO267" s="52"/>
      <c r="EP267" s="52"/>
      <c r="EQ267" s="52"/>
      <c r="ER267" s="52"/>
      <c r="ES267" s="52"/>
      <c r="ET267" s="52"/>
      <c r="EU267" s="52"/>
      <c r="EV267" s="52"/>
      <c r="EW267" s="52"/>
      <c r="EX267" s="52"/>
      <c r="EY267" s="52"/>
      <c r="EZ267" s="52"/>
      <c r="FA267" s="52"/>
      <c r="FB267" s="52"/>
      <c r="FC267" s="52"/>
      <c r="FD267" s="52"/>
      <c r="FE267" s="52"/>
      <c r="FF267" s="52"/>
      <c r="FG267" s="52"/>
      <c r="FH267" s="52"/>
      <c r="FI267" s="52"/>
      <c r="FJ267" s="52"/>
      <c r="FK267" s="52"/>
      <c r="FL267" s="52"/>
      <c r="FM267" s="52"/>
      <c r="FN267" s="52"/>
      <c r="FO267" s="52"/>
      <c r="FP267" s="52"/>
      <c r="FQ267" s="52"/>
      <c r="FR267" s="52"/>
      <c r="FS267" s="52"/>
      <c r="FT267" s="52"/>
      <c r="FU267" s="52"/>
      <c r="FV267" s="52"/>
      <c r="FW267" s="52"/>
      <c r="FX267" s="52"/>
    </row>
    <row r="268" ht="15.75" customHeight="1">
      <c r="A268" s="27"/>
      <c r="B268" s="27"/>
      <c r="C268" s="51"/>
      <c r="D268" s="51"/>
      <c r="E268" s="313"/>
      <c r="F268" s="35"/>
      <c r="G268" s="35"/>
      <c r="H268" s="35"/>
      <c r="I268" s="26"/>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c r="BT268" s="52"/>
      <c r="BU268" s="52"/>
      <c r="BV268" s="52"/>
      <c r="BW268" s="52"/>
      <c r="BX268" s="52"/>
      <c r="BY268" s="52"/>
      <c r="BZ268" s="52"/>
      <c r="CA268" s="52"/>
      <c r="CB268" s="52"/>
      <c r="CC268" s="52"/>
      <c r="CD268" s="52"/>
      <c r="CE268" s="52"/>
      <c r="CF268" s="52"/>
      <c r="CG268" s="52"/>
      <c r="CH268" s="52"/>
      <c r="CI268" s="52"/>
      <c r="CJ268" s="52"/>
      <c r="CK268" s="52"/>
      <c r="CL268" s="52"/>
      <c r="CM268" s="52"/>
      <c r="CN268" s="52"/>
      <c r="CO268" s="52"/>
      <c r="CP268" s="52"/>
      <c r="CQ268" s="52"/>
      <c r="CR268" s="52"/>
      <c r="CS268" s="52"/>
      <c r="CT268" s="52"/>
      <c r="CU268" s="52"/>
      <c r="CV268" s="52"/>
      <c r="CW268" s="52"/>
      <c r="CX268" s="52"/>
      <c r="CY268" s="52"/>
      <c r="CZ268" s="52"/>
      <c r="DA268" s="52"/>
      <c r="DB268" s="52"/>
      <c r="DC268" s="52"/>
      <c r="DD268" s="52"/>
      <c r="DE268" s="52"/>
      <c r="DF268" s="52"/>
      <c r="DG268" s="52"/>
      <c r="DH268" s="52"/>
      <c r="DI268" s="52"/>
      <c r="DJ268" s="52"/>
      <c r="DK268" s="52"/>
      <c r="DL268" s="52"/>
      <c r="DM268" s="52"/>
      <c r="DN268" s="52"/>
      <c r="DO268" s="52"/>
      <c r="DP268" s="52"/>
      <c r="DQ268" s="52"/>
      <c r="DR268" s="52"/>
      <c r="DS268" s="52"/>
      <c r="DT268" s="52"/>
      <c r="DU268" s="52"/>
      <c r="DV268" s="52"/>
      <c r="DW268" s="52"/>
      <c r="DX268" s="52"/>
      <c r="DY268" s="52"/>
      <c r="DZ268" s="52"/>
      <c r="EA268" s="52"/>
      <c r="EB268" s="52"/>
      <c r="EC268" s="52"/>
      <c r="ED268" s="52"/>
      <c r="EE268" s="52"/>
      <c r="EF268" s="52"/>
      <c r="EG268" s="52"/>
      <c r="EH268" s="52"/>
      <c r="EI268" s="52"/>
      <c r="EJ268" s="52"/>
      <c r="EK268" s="52"/>
      <c r="EL268" s="52"/>
      <c r="EM268" s="52"/>
      <c r="EN268" s="52"/>
      <c r="EO268" s="52"/>
      <c r="EP268" s="52"/>
      <c r="EQ268" s="52"/>
      <c r="ER268" s="52"/>
      <c r="ES268" s="52"/>
      <c r="ET268" s="52"/>
      <c r="EU268" s="52"/>
      <c r="EV268" s="52"/>
      <c r="EW268" s="52"/>
      <c r="EX268" s="52"/>
      <c r="EY268" s="52"/>
      <c r="EZ268" s="52"/>
      <c r="FA268" s="52"/>
      <c r="FB268" s="52"/>
      <c r="FC268" s="52"/>
      <c r="FD268" s="52"/>
      <c r="FE268" s="52"/>
      <c r="FF268" s="52"/>
      <c r="FG268" s="52"/>
      <c r="FH268" s="52"/>
      <c r="FI268" s="52"/>
      <c r="FJ268" s="52"/>
      <c r="FK268" s="52"/>
      <c r="FL268" s="52"/>
      <c r="FM268" s="52"/>
      <c r="FN268" s="52"/>
      <c r="FO268" s="52"/>
      <c r="FP268" s="52"/>
      <c r="FQ268" s="52"/>
      <c r="FR268" s="52"/>
      <c r="FS268" s="52"/>
      <c r="FT268" s="52"/>
      <c r="FU268" s="52"/>
      <c r="FV268" s="52"/>
      <c r="FW268" s="52"/>
      <c r="FX268" s="52"/>
    </row>
    <row r="269" ht="15.75" customHeight="1">
      <c r="A269" s="27"/>
      <c r="B269" s="27"/>
      <c r="C269" s="51"/>
      <c r="D269" s="51"/>
      <c r="E269" s="313"/>
      <c r="F269" s="35"/>
      <c r="G269" s="35"/>
      <c r="H269" s="35"/>
      <c r="I269" s="26"/>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c r="BX269" s="52"/>
      <c r="BY269" s="52"/>
      <c r="BZ269" s="52"/>
      <c r="CA269" s="52"/>
      <c r="CB269" s="52"/>
      <c r="CC269" s="52"/>
      <c r="CD269" s="52"/>
      <c r="CE269" s="52"/>
      <c r="CF269" s="52"/>
      <c r="CG269" s="52"/>
      <c r="CH269" s="52"/>
      <c r="CI269" s="52"/>
      <c r="CJ269" s="52"/>
      <c r="CK269" s="52"/>
      <c r="CL269" s="52"/>
      <c r="CM269" s="52"/>
      <c r="CN269" s="52"/>
      <c r="CO269" s="52"/>
      <c r="CP269" s="52"/>
      <c r="CQ269" s="52"/>
      <c r="CR269" s="52"/>
      <c r="CS269" s="52"/>
      <c r="CT269" s="52"/>
      <c r="CU269" s="52"/>
      <c r="CV269" s="52"/>
      <c r="CW269" s="52"/>
      <c r="CX269" s="52"/>
      <c r="CY269" s="52"/>
      <c r="CZ269" s="52"/>
      <c r="DA269" s="52"/>
      <c r="DB269" s="52"/>
      <c r="DC269" s="52"/>
      <c r="DD269" s="52"/>
      <c r="DE269" s="52"/>
      <c r="DF269" s="52"/>
      <c r="DG269" s="52"/>
      <c r="DH269" s="52"/>
      <c r="DI269" s="52"/>
      <c r="DJ269" s="52"/>
      <c r="DK269" s="52"/>
      <c r="DL269" s="52"/>
      <c r="DM269" s="52"/>
      <c r="DN269" s="52"/>
      <c r="DO269" s="52"/>
      <c r="DP269" s="52"/>
      <c r="DQ269" s="52"/>
      <c r="DR269" s="52"/>
      <c r="DS269" s="52"/>
      <c r="DT269" s="52"/>
      <c r="DU269" s="52"/>
      <c r="DV269" s="52"/>
      <c r="DW269" s="52"/>
      <c r="DX269" s="52"/>
      <c r="DY269" s="52"/>
      <c r="DZ269" s="52"/>
      <c r="EA269" s="52"/>
      <c r="EB269" s="52"/>
      <c r="EC269" s="52"/>
      <c r="ED269" s="52"/>
      <c r="EE269" s="52"/>
      <c r="EF269" s="52"/>
      <c r="EG269" s="52"/>
      <c r="EH269" s="52"/>
      <c r="EI269" s="52"/>
      <c r="EJ269" s="52"/>
      <c r="EK269" s="52"/>
      <c r="EL269" s="52"/>
      <c r="EM269" s="52"/>
      <c r="EN269" s="52"/>
      <c r="EO269" s="52"/>
      <c r="EP269" s="52"/>
      <c r="EQ269" s="52"/>
      <c r="ER269" s="52"/>
      <c r="ES269" s="52"/>
      <c r="ET269" s="52"/>
      <c r="EU269" s="52"/>
      <c r="EV269" s="52"/>
      <c r="EW269" s="52"/>
      <c r="EX269" s="52"/>
      <c r="EY269" s="52"/>
      <c r="EZ269" s="52"/>
      <c r="FA269" s="52"/>
      <c r="FB269" s="52"/>
      <c r="FC269" s="52"/>
      <c r="FD269" s="52"/>
      <c r="FE269" s="52"/>
      <c r="FF269" s="52"/>
      <c r="FG269" s="52"/>
      <c r="FH269" s="52"/>
      <c r="FI269" s="52"/>
      <c r="FJ269" s="52"/>
      <c r="FK269" s="52"/>
      <c r="FL269" s="52"/>
      <c r="FM269" s="52"/>
      <c r="FN269" s="52"/>
      <c r="FO269" s="52"/>
      <c r="FP269" s="52"/>
      <c r="FQ269" s="52"/>
      <c r="FR269" s="52"/>
      <c r="FS269" s="52"/>
      <c r="FT269" s="52"/>
      <c r="FU269" s="52"/>
      <c r="FV269" s="52"/>
      <c r="FW269" s="52"/>
      <c r="FX269" s="52"/>
    </row>
    <row r="270" ht="15.75" customHeight="1">
      <c r="A270" s="27"/>
      <c r="B270" s="27"/>
      <c r="C270" s="51"/>
      <c r="D270" s="51"/>
      <c r="E270" s="313"/>
      <c r="F270" s="35"/>
      <c r="G270" s="35"/>
      <c r="H270" s="35"/>
      <c r="I270" s="26"/>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2"/>
      <c r="BK270" s="52"/>
      <c r="BL270" s="52"/>
      <c r="BM270" s="52"/>
      <c r="BN270" s="52"/>
      <c r="BO270" s="52"/>
      <c r="BP270" s="52"/>
      <c r="BQ270" s="52"/>
      <c r="BR270" s="52"/>
      <c r="BS270" s="52"/>
      <c r="BT270" s="52"/>
      <c r="BU270" s="52"/>
      <c r="BV270" s="52"/>
      <c r="BW270" s="52"/>
      <c r="BX270" s="52"/>
      <c r="BY270" s="52"/>
      <c r="BZ270" s="52"/>
      <c r="CA270" s="52"/>
      <c r="CB270" s="52"/>
      <c r="CC270" s="52"/>
      <c r="CD270" s="52"/>
      <c r="CE270" s="52"/>
      <c r="CF270" s="52"/>
      <c r="CG270" s="52"/>
      <c r="CH270" s="52"/>
      <c r="CI270" s="52"/>
      <c r="CJ270" s="52"/>
      <c r="CK270" s="52"/>
      <c r="CL270" s="52"/>
      <c r="CM270" s="52"/>
      <c r="CN270" s="52"/>
      <c r="CO270" s="52"/>
      <c r="CP270" s="52"/>
      <c r="CQ270" s="52"/>
      <c r="CR270" s="52"/>
      <c r="CS270" s="52"/>
      <c r="CT270" s="52"/>
      <c r="CU270" s="52"/>
      <c r="CV270" s="52"/>
      <c r="CW270" s="52"/>
      <c r="CX270" s="52"/>
      <c r="CY270" s="52"/>
      <c r="CZ270" s="52"/>
      <c r="DA270" s="52"/>
      <c r="DB270" s="52"/>
      <c r="DC270" s="52"/>
      <c r="DD270" s="52"/>
      <c r="DE270" s="52"/>
      <c r="DF270" s="52"/>
      <c r="DG270" s="52"/>
      <c r="DH270" s="52"/>
      <c r="DI270" s="52"/>
      <c r="DJ270" s="52"/>
      <c r="DK270" s="52"/>
      <c r="DL270" s="52"/>
      <c r="DM270" s="52"/>
      <c r="DN270" s="52"/>
      <c r="DO270" s="52"/>
      <c r="DP270" s="52"/>
      <c r="DQ270" s="52"/>
      <c r="DR270" s="52"/>
      <c r="DS270" s="52"/>
      <c r="DT270" s="52"/>
      <c r="DU270" s="52"/>
      <c r="DV270" s="52"/>
      <c r="DW270" s="52"/>
      <c r="DX270" s="52"/>
      <c r="DY270" s="52"/>
      <c r="DZ270" s="52"/>
      <c r="EA270" s="52"/>
      <c r="EB270" s="52"/>
      <c r="EC270" s="52"/>
      <c r="ED270" s="52"/>
      <c r="EE270" s="52"/>
      <c r="EF270" s="52"/>
      <c r="EG270" s="52"/>
      <c r="EH270" s="52"/>
      <c r="EI270" s="52"/>
      <c r="EJ270" s="52"/>
      <c r="EK270" s="52"/>
      <c r="EL270" s="52"/>
      <c r="EM270" s="52"/>
      <c r="EN270" s="52"/>
      <c r="EO270" s="52"/>
      <c r="EP270" s="52"/>
      <c r="EQ270" s="52"/>
      <c r="ER270" s="52"/>
      <c r="ES270" s="52"/>
      <c r="ET270" s="52"/>
      <c r="EU270" s="52"/>
      <c r="EV270" s="52"/>
      <c r="EW270" s="52"/>
      <c r="EX270" s="52"/>
      <c r="EY270" s="52"/>
      <c r="EZ270" s="52"/>
      <c r="FA270" s="52"/>
      <c r="FB270" s="52"/>
      <c r="FC270" s="52"/>
      <c r="FD270" s="52"/>
      <c r="FE270" s="52"/>
      <c r="FF270" s="52"/>
      <c r="FG270" s="52"/>
      <c r="FH270" s="52"/>
      <c r="FI270" s="52"/>
      <c r="FJ270" s="52"/>
      <c r="FK270" s="52"/>
      <c r="FL270" s="52"/>
      <c r="FM270" s="52"/>
      <c r="FN270" s="52"/>
      <c r="FO270" s="52"/>
      <c r="FP270" s="52"/>
      <c r="FQ270" s="52"/>
      <c r="FR270" s="52"/>
      <c r="FS270" s="52"/>
      <c r="FT270" s="52"/>
      <c r="FU270" s="52"/>
      <c r="FV270" s="52"/>
      <c r="FW270" s="52"/>
      <c r="FX270" s="52"/>
    </row>
    <row r="271" ht="15.75" customHeight="1">
      <c r="A271" s="27"/>
      <c r="B271" s="27"/>
      <c r="C271" s="51"/>
      <c r="D271" s="51"/>
      <c r="E271" s="313"/>
      <c r="F271" s="35"/>
      <c r="G271" s="35"/>
      <c r="H271" s="35"/>
      <c r="I271" s="26"/>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52"/>
      <c r="BD271" s="52"/>
      <c r="BE271" s="52"/>
      <c r="BF271" s="52"/>
      <c r="BG271" s="52"/>
      <c r="BH271" s="52"/>
      <c r="BI271" s="52"/>
      <c r="BJ271" s="52"/>
      <c r="BK271" s="52"/>
      <c r="BL271" s="52"/>
      <c r="BM271" s="52"/>
      <c r="BN271" s="52"/>
      <c r="BO271" s="52"/>
      <c r="BP271" s="52"/>
      <c r="BQ271" s="52"/>
      <c r="BR271" s="52"/>
      <c r="BS271" s="52"/>
      <c r="BT271" s="52"/>
      <c r="BU271" s="52"/>
      <c r="BV271" s="52"/>
      <c r="BW271" s="52"/>
      <c r="BX271" s="52"/>
      <c r="BY271" s="52"/>
      <c r="BZ271" s="52"/>
      <c r="CA271" s="52"/>
      <c r="CB271" s="52"/>
      <c r="CC271" s="52"/>
      <c r="CD271" s="52"/>
      <c r="CE271" s="52"/>
      <c r="CF271" s="52"/>
      <c r="CG271" s="52"/>
      <c r="CH271" s="52"/>
      <c r="CI271" s="52"/>
      <c r="CJ271" s="52"/>
      <c r="CK271" s="52"/>
      <c r="CL271" s="52"/>
      <c r="CM271" s="52"/>
      <c r="CN271" s="52"/>
      <c r="CO271" s="52"/>
      <c r="CP271" s="52"/>
      <c r="CQ271" s="52"/>
      <c r="CR271" s="52"/>
      <c r="CS271" s="52"/>
      <c r="CT271" s="52"/>
      <c r="CU271" s="52"/>
      <c r="CV271" s="52"/>
      <c r="CW271" s="52"/>
      <c r="CX271" s="52"/>
      <c r="CY271" s="52"/>
      <c r="CZ271" s="52"/>
      <c r="DA271" s="52"/>
      <c r="DB271" s="52"/>
      <c r="DC271" s="52"/>
      <c r="DD271" s="52"/>
      <c r="DE271" s="52"/>
      <c r="DF271" s="52"/>
      <c r="DG271" s="52"/>
      <c r="DH271" s="52"/>
      <c r="DI271" s="52"/>
      <c r="DJ271" s="52"/>
      <c r="DK271" s="52"/>
      <c r="DL271" s="52"/>
      <c r="DM271" s="52"/>
      <c r="DN271" s="52"/>
      <c r="DO271" s="52"/>
      <c r="DP271" s="52"/>
      <c r="DQ271" s="52"/>
      <c r="DR271" s="52"/>
      <c r="DS271" s="52"/>
      <c r="DT271" s="52"/>
      <c r="DU271" s="52"/>
      <c r="DV271" s="52"/>
      <c r="DW271" s="52"/>
      <c r="DX271" s="52"/>
      <c r="DY271" s="52"/>
      <c r="DZ271" s="52"/>
      <c r="EA271" s="52"/>
      <c r="EB271" s="52"/>
      <c r="EC271" s="52"/>
      <c r="ED271" s="52"/>
      <c r="EE271" s="52"/>
      <c r="EF271" s="52"/>
      <c r="EG271" s="52"/>
      <c r="EH271" s="52"/>
      <c r="EI271" s="52"/>
      <c r="EJ271" s="52"/>
      <c r="EK271" s="52"/>
      <c r="EL271" s="52"/>
      <c r="EM271" s="52"/>
      <c r="EN271" s="52"/>
      <c r="EO271" s="52"/>
      <c r="EP271" s="52"/>
      <c r="EQ271" s="52"/>
      <c r="ER271" s="52"/>
      <c r="ES271" s="52"/>
      <c r="ET271" s="52"/>
      <c r="EU271" s="52"/>
      <c r="EV271" s="52"/>
      <c r="EW271" s="52"/>
      <c r="EX271" s="52"/>
      <c r="EY271" s="52"/>
      <c r="EZ271" s="52"/>
      <c r="FA271" s="52"/>
      <c r="FB271" s="52"/>
      <c r="FC271" s="52"/>
      <c r="FD271" s="52"/>
      <c r="FE271" s="52"/>
      <c r="FF271" s="52"/>
      <c r="FG271" s="52"/>
      <c r="FH271" s="52"/>
      <c r="FI271" s="52"/>
      <c r="FJ271" s="52"/>
      <c r="FK271" s="52"/>
      <c r="FL271" s="52"/>
      <c r="FM271" s="52"/>
      <c r="FN271" s="52"/>
      <c r="FO271" s="52"/>
      <c r="FP271" s="52"/>
      <c r="FQ271" s="52"/>
      <c r="FR271" s="52"/>
      <c r="FS271" s="52"/>
      <c r="FT271" s="52"/>
      <c r="FU271" s="52"/>
      <c r="FV271" s="52"/>
      <c r="FW271" s="52"/>
      <c r="FX271" s="52"/>
    </row>
    <row r="272" ht="15.75" customHeight="1">
      <c r="A272" s="27"/>
      <c r="B272" s="27"/>
      <c r="C272" s="51"/>
      <c r="D272" s="51"/>
      <c r="E272" s="313"/>
      <c r="F272" s="35"/>
      <c r="G272" s="35"/>
      <c r="H272" s="35"/>
      <c r="I272" s="26"/>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52"/>
      <c r="BN272" s="52"/>
      <c r="BO272" s="52"/>
      <c r="BP272" s="52"/>
      <c r="BQ272" s="52"/>
      <c r="BR272" s="52"/>
      <c r="BS272" s="52"/>
      <c r="BT272" s="52"/>
      <c r="BU272" s="52"/>
      <c r="BV272" s="52"/>
      <c r="BW272" s="52"/>
      <c r="BX272" s="52"/>
      <c r="BY272" s="52"/>
      <c r="BZ272" s="52"/>
      <c r="CA272" s="52"/>
      <c r="CB272" s="52"/>
      <c r="CC272" s="52"/>
      <c r="CD272" s="52"/>
      <c r="CE272" s="52"/>
      <c r="CF272" s="52"/>
      <c r="CG272" s="52"/>
      <c r="CH272" s="52"/>
      <c r="CI272" s="52"/>
      <c r="CJ272" s="52"/>
      <c r="CK272" s="52"/>
      <c r="CL272" s="52"/>
      <c r="CM272" s="52"/>
      <c r="CN272" s="52"/>
      <c r="CO272" s="52"/>
      <c r="CP272" s="52"/>
      <c r="CQ272" s="52"/>
      <c r="CR272" s="52"/>
      <c r="CS272" s="52"/>
      <c r="CT272" s="52"/>
      <c r="CU272" s="52"/>
      <c r="CV272" s="52"/>
      <c r="CW272" s="52"/>
      <c r="CX272" s="52"/>
      <c r="CY272" s="52"/>
      <c r="CZ272" s="52"/>
      <c r="DA272" s="52"/>
      <c r="DB272" s="52"/>
      <c r="DC272" s="52"/>
      <c r="DD272" s="52"/>
      <c r="DE272" s="52"/>
      <c r="DF272" s="52"/>
      <c r="DG272" s="52"/>
      <c r="DH272" s="52"/>
      <c r="DI272" s="52"/>
      <c r="DJ272" s="52"/>
      <c r="DK272" s="52"/>
      <c r="DL272" s="52"/>
      <c r="DM272" s="52"/>
      <c r="DN272" s="52"/>
      <c r="DO272" s="52"/>
      <c r="DP272" s="52"/>
      <c r="DQ272" s="52"/>
      <c r="DR272" s="52"/>
      <c r="DS272" s="52"/>
      <c r="DT272" s="52"/>
      <c r="DU272" s="52"/>
      <c r="DV272" s="52"/>
      <c r="DW272" s="52"/>
      <c r="DX272" s="52"/>
      <c r="DY272" s="52"/>
      <c r="DZ272" s="52"/>
      <c r="EA272" s="52"/>
      <c r="EB272" s="52"/>
      <c r="EC272" s="52"/>
      <c r="ED272" s="52"/>
      <c r="EE272" s="52"/>
      <c r="EF272" s="52"/>
      <c r="EG272" s="52"/>
      <c r="EH272" s="52"/>
      <c r="EI272" s="52"/>
      <c r="EJ272" s="52"/>
      <c r="EK272" s="52"/>
      <c r="EL272" s="52"/>
      <c r="EM272" s="52"/>
      <c r="EN272" s="52"/>
      <c r="EO272" s="52"/>
      <c r="EP272" s="52"/>
      <c r="EQ272" s="52"/>
      <c r="ER272" s="52"/>
      <c r="ES272" s="52"/>
      <c r="ET272" s="52"/>
      <c r="EU272" s="52"/>
      <c r="EV272" s="52"/>
      <c r="EW272" s="52"/>
      <c r="EX272" s="52"/>
      <c r="EY272" s="52"/>
      <c r="EZ272" s="52"/>
      <c r="FA272" s="52"/>
      <c r="FB272" s="52"/>
      <c r="FC272" s="52"/>
      <c r="FD272" s="52"/>
      <c r="FE272" s="52"/>
      <c r="FF272" s="52"/>
      <c r="FG272" s="52"/>
      <c r="FH272" s="52"/>
      <c r="FI272" s="52"/>
      <c r="FJ272" s="52"/>
      <c r="FK272" s="52"/>
      <c r="FL272" s="52"/>
      <c r="FM272" s="52"/>
      <c r="FN272" s="52"/>
      <c r="FO272" s="52"/>
      <c r="FP272" s="52"/>
      <c r="FQ272" s="52"/>
      <c r="FR272" s="52"/>
      <c r="FS272" s="52"/>
      <c r="FT272" s="52"/>
      <c r="FU272" s="52"/>
      <c r="FV272" s="52"/>
      <c r="FW272" s="52"/>
      <c r="FX272" s="52"/>
    </row>
    <row r="273" ht="15.75" customHeight="1">
      <c r="A273" s="27"/>
      <c r="B273" s="27"/>
      <c r="C273" s="51"/>
      <c r="D273" s="51"/>
      <c r="E273" s="313"/>
      <c r="F273" s="35"/>
      <c r="G273" s="35"/>
      <c r="H273" s="35"/>
      <c r="I273" s="26"/>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52"/>
      <c r="BD273" s="52"/>
      <c r="BE273" s="52"/>
      <c r="BF273" s="52"/>
      <c r="BG273" s="52"/>
      <c r="BH273" s="52"/>
      <c r="BI273" s="52"/>
      <c r="BJ273" s="52"/>
      <c r="BK273" s="52"/>
      <c r="BL273" s="52"/>
      <c r="BM273" s="52"/>
      <c r="BN273" s="52"/>
      <c r="BO273" s="52"/>
      <c r="BP273" s="52"/>
      <c r="BQ273" s="52"/>
      <c r="BR273" s="52"/>
      <c r="BS273" s="52"/>
      <c r="BT273" s="52"/>
      <c r="BU273" s="52"/>
      <c r="BV273" s="52"/>
      <c r="BW273" s="52"/>
      <c r="BX273" s="52"/>
      <c r="BY273" s="52"/>
      <c r="BZ273" s="52"/>
      <c r="CA273" s="52"/>
      <c r="CB273" s="52"/>
      <c r="CC273" s="52"/>
      <c r="CD273" s="52"/>
      <c r="CE273" s="52"/>
      <c r="CF273" s="52"/>
      <c r="CG273" s="52"/>
      <c r="CH273" s="52"/>
      <c r="CI273" s="52"/>
      <c r="CJ273" s="52"/>
      <c r="CK273" s="52"/>
      <c r="CL273" s="52"/>
      <c r="CM273" s="52"/>
      <c r="CN273" s="52"/>
      <c r="CO273" s="52"/>
      <c r="CP273" s="52"/>
      <c r="CQ273" s="52"/>
      <c r="CR273" s="52"/>
      <c r="CS273" s="52"/>
      <c r="CT273" s="52"/>
      <c r="CU273" s="52"/>
      <c r="CV273" s="52"/>
      <c r="CW273" s="52"/>
      <c r="CX273" s="52"/>
      <c r="CY273" s="52"/>
      <c r="CZ273" s="52"/>
      <c r="DA273" s="52"/>
      <c r="DB273" s="52"/>
      <c r="DC273" s="52"/>
      <c r="DD273" s="52"/>
      <c r="DE273" s="52"/>
      <c r="DF273" s="52"/>
      <c r="DG273" s="52"/>
      <c r="DH273" s="52"/>
      <c r="DI273" s="52"/>
      <c r="DJ273" s="52"/>
      <c r="DK273" s="52"/>
      <c r="DL273" s="52"/>
      <c r="DM273" s="52"/>
      <c r="DN273" s="52"/>
      <c r="DO273" s="52"/>
      <c r="DP273" s="52"/>
      <c r="DQ273" s="52"/>
      <c r="DR273" s="52"/>
      <c r="DS273" s="52"/>
      <c r="DT273" s="52"/>
      <c r="DU273" s="52"/>
      <c r="DV273" s="52"/>
      <c r="DW273" s="52"/>
      <c r="DX273" s="52"/>
      <c r="DY273" s="52"/>
      <c r="DZ273" s="52"/>
      <c r="EA273" s="52"/>
      <c r="EB273" s="52"/>
      <c r="EC273" s="52"/>
      <c r="ED273" s="52"/>
      <c r="EE273" s="52"/>
      <c r="EF273" s="52"/>
      <c r="EG273" s="52"/>
      <c r="EH273" s="52"/>
      <c r="EI273" s="52"/>
      <c r="EJ273" s="52"/>
      <c r="EK273" s="52"/>
      <c r="EL273" s="52"/>
      <c r="EM273" s="52"/>
      <c r="EN273" s="52"/>
      <c r="EO273" s="52"/>
      <c r="EP273" s="52"/>
      <c r="EQ273" s="52"/>
      <c r="ER273" s="52"/>
      <c r="ES273" s="52"/>
      <c r="ET273" s="52"/>
      <c r="EU273" s="52"/>
      <c r="EV273" s="52"/>
      <c r="EW273" s="52"/>
      <c r="EX273" s="52"/>
      <c r="EY273" s="52"/>
      <c r="EZ273" s="52"/>
      <c r="FA273" s="52"/>
      <c r="FB273" s="52"/>
      <c r="FC273" s="52"/>
      <c r="FD273" s="52"/>
      <c r="FE273" s="52"/>
      <c r="FF273" s="52"/>
      <c r="FG273" s="52"/>
      <c r="FH273" s="52"/>
      <c r="FI273" s="52"/>
      <c r="FJ273" s="52"/>
      <c r="FK273" s="52"/>
      <c r="FL273" s="52"/>
      <c r="FM273" s="52"/>
      <c r="FN273" s="52"/>
      <c r="FO273" s="52"/>
      <c r="FP273" s="52"/>
      <c r="FQ273" s="52"/>
      <c r="FR273" s="52"/>
      <c r="FS273" s="52"/>
      <c r="FT273" s="52"/>
      <c r="FU273" s="52"/>
      <c r="FV273" s="52"/>
      <c r="FW273" s="52"/>
      <c r="FX273" s="52"/>
    </row>
    <row r="274" ht="15.75" customHeight="1">
      <c r="A274" s="27"/>
      <c r="B274" s="27"/>
      <c r="C274" s="51"/>
      <c r="D274" s="51"/>
      <c r="E274" s="313"/>
      <c r="F274" s="35"/>
      <c r="G274" s="35"/>
      <c r="H274" s="35"/>
      <c r="I274" s="26"/>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c r="BW274" s="52"/>
      <c r="BX274" s="52"/>
      <c r="BY274" s="52"/>
      <c r="BZ274" s="52"/>
      <c r="CA274" s="52"/>
      <c r="CB274" s="52"/>
      <c r="CC274" s="52"/>
      <c r="CD274" s="52"/>
      <c r="CE274" s="52"/>
      <c r="CF274" s="52"/>
      <c r="CG274" s="52"/>
      <c r="CH274" s="52"/>
      <c r="CI274" s="52"/>
      <c r="CJ274" s="52"/>
      <c r="CK274" s="52"/>
      <c r="CL274" s="52"/>
      <c r="CM274" s="52"/>
      <c r="CN274" s="52"/>
      <c r="CO274" s="52"/>
      <c r="CP274" s="52"/>
      <c r="CQ274" s="52"/>
      <c r="CR274" s="52"/>
      <c r="CS274" s="52"/>
      <c r="CT274" s="52"/>
      <c r="CU274" s="52"/>
      <c r="CV274" s="52"/>
      <c r="CW274" s="52"/>
      <c r="CX274" s="52"/>
      <c r="CY274" s="52"/>
      <c r="CZ274" s="52"/>
      <c r="DA274" s="52"/>
      <c r="DB274" s="52"/>
      <c r="DC274" s="52"/>
      <c r="DD274" s="52"/>
      <c r="DE274" s="52"/>
      <c r="DF274" s="52"/>
      <c r="DG274" s="52"/>
      <c r="DH274" s="52"/>
      <c r="DI274" s="52"/>
      <c r="DJ274" s="52"/>
      <c r="DK274" s="52"/>
      <c r="DL274" s="52"/>
      <c r="DM274" s="52"/>
      <c r="DN274" s="52"/>
      <c r="DO274" s="52"/>
      <c r="DP274" s="52"/>
      <c r="DQ274" s="52"/>
      <c r="DR274" s="52"/>
      <c r="DS274" s="52"/>
      <c r="DT274" s="52"/>
      <c r="DU274" s="52"/>
      <c r="DV274" s="52"/>
      <c r="DW274" s="52"/>
      <c r="DX274" s="52"/>
      <c r="DY274" s="52"/>
      <c r="DZ274" s="52"/>
      <c r="EA274" s="52"/>
      <c r="EB274" s="52"/>
      <c r="EC274" s="52"/>
      <c r="ED274" s="52"/>
      <c r="EE274" s="52"/>
      <c r="EF274" s="52"/>
      <c r="EG274" s="52"/>
      <c r="EH274" s="52"/>
      <c r="EI274" s="52"/>
      <c r="EJ274" s="52"/>
      <c r="EK274" s="52"/>
      <c r="EL274" s="52"/>
      <c r="EM274" s="52"/>
      <c r="EN274" s="52"/>
      <c r="EO274" s="52"/>
      <c r="EP274" s="52"/>
      <c r="EQ274" s="52"/>
      <c r="ER274" s="52"/>
      <c r="ES274" s="52"/>
      <c r="ET274" s="52"/>
      <c r="EU274" s="52"/>
      <c r="EV274" s="52"/>
      <c r="EW274" s="52"/>
      <c r="EX274" s="52"/>
      <c r="EY274" s="52"/>
      <c r="EZ274" s="52"/>
      <c r="FA274" s="52"/>
      <c r="FB274" s="52"/>
      <c r="FC274" s="52"/>
      <c r="FD274" s="52"/>
      <c r="FE274" s="52"/>
      <c r="FF274" s="52"/>
      <c r="FG274" s="52"/>
      <c r="FH274" s="52"/>
      <c r="FI274" s="52"/>
      <c r="FJ274" s="52"/>
      <c r="FK274" s="52"/>
      <c r="FL274" s="52"/>
      <c r="FM274" s="52"/>
      <c r="FN274" s="52"/>
      <c r="FO274" s="52"/>
      <c r="FP274" s="52"/>
      <c r="FQ274" s="52"/>
      <c r="FR274" s="52"/>
      <c r="FS274" s="52"/>
      <c r="FT274" s="52"/>
      <c r="FU274" s="52"/>
      <c r="FV274" s="52"/>
      <c r="FW274" s="52"/>
      <c r="FX274" s="52"/>
    </row>
    <row r="275" ht="15.75" customHeight="1">
      <c r="A275" s="27"/>
      <c r="B275" s="27"/>
      <c r="C275" s="51"/>
      <c r="D275" s="51"/>
      <c r="E275" s="313"/>
      <c r="F275" s="35"/>
      <c r="G275" s="35"/>
      <c r="H275" s="35"/>
      <c r="I275" s="26"/>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c r="BY275" s="52"/>
      <c r="BZ275" s="52"/>
      <c r="CA275" s="52"/>
      <c r="CB275" s="52"/>
      <c r="CC275" s="52"/>
      <c r="CD275" s="52"/>
      <c r="CE275" s="52"/>
      <c r="CF275" s="52"/>
      <c r="CG275" s="52"/>
      <c r="CH275" s="52"/>
      <c r="CI275" s="52"/>
      <c r="CJ275" s="52"/>
      <c r="CK275" s="52"/>
      <c r="CL275" s="52"/>
      <c r="CM275" s="52"/>
      <c r="CN275" s="52"/>
      <c r="CO275" s="52"/>
      <c r="CP275" s="52"/>
      <c r="CQ275" s="52"/>
      <c r="CR275" s="52"/>
      <c r="CS275" s="52"/>
      <c r="CT275" s="52"/>
      <c r="CU275" s="52"/>
      <c r="CV275" s="52"/>
      <c r="CW275" s="52"/>
      <c r="CX275" s="52"/>
      <c r="CY275" s="52"/>
      <c r="CZ275" s="52"/>
      <c r="DA275" s="52"/>
      <c r="DB275" s="52"/>
      <c r="DC275" s="52"/>
      <c r="DD275" s="52"/>
      <c r="DE275" s="52"/>
      <c r="DF275" s="52"/>
      <c r="DG275" s="52"/>
      <c r="DH275" s="52"/>
      <c r="DI275" s="52"/>
      <c r="DJ275" s="52"/>
      <c r="DK275" s="52"/>
      <c r="DL275" s="52"/>
      <c r="DM275" s="52"/>
      <c r="DN275" s="52"/>
      <c r="DO275" s="52"/>
      <c r="DP275" s="52"/>
      <c r="DQ275" s="52"/>
      <c r="DR275" s="52"/>
      <c r="DS275" s="52"/>
      <c r="DT275" s="52"/>
      <c r="DU275" s="52"/>
      <c r="DV275" s="52"/>
      <c r="DW275" s="52"/>
      <c r="DX275" s="52"/>
      <c r="DY275" s="52"/>
      <c r="DZ275" s="52"/>
      <c r="EA275" s="52"/>
      <c r="EB275" s="52"/>
      <c r="EC275" s="52"/>
      <c r="ED275" s="52"/>
      <c r="EE275" s="52"/>
      <c r="EF275" s="52"/>
      <c r="EG275" s="52"/>
      <c r="EH275" s="52"/>
      <c r="EI275" s="52"/>
      <c r="EJ275" s="52"/>
      <c r="EK275" s="52"/>
      <c r="EL275" s="52"/>
      <c r="EM275" s="52"/>
      <c r="EN275" s="52"/>
      <c r="EO275" s="52"/>
      <c r="EP275" s="52"/>
      <c r="EQ275" s="52"/>
      <c r="ER275" s="52"/>
      <c r="ES275" s="52"/>
      <c r="ET275" s="52"/>
      <c r="EU275" s="52"/>
      <c r="EV275" s="52"/>
      <c r="EW275" s="52"/>
      <c r="EX275" s="52"/>
      <c r="EY275" s="52"/>
      <c r="EZ275" s="52"/>
      <c r="FA275" s="52"/>
      <c r="FB275" s="52"/>
      <c r="FC275" s="52"/>
      <c r="FD275" s="52"/>
      <c r="FE275" s="52"/>
      <c r="FF275" s="52"/>
      <c r="FG275" s="52"/>
      <c r="FH275" s="52"/>
      <c r="FI275" s="52"/>
      <c r="FJ275" s="52"/>
      <c r="FK275" s="52"/>
      <c r="FL275" s="52"/>
      <c r="FM275" s="52"/>
      <c r="FN275" s="52"/>
      <c r="FO275" s="52"/>
      <c r="FP275" s="52"/>
      <c r="FQ275" s="52"/>
      <c r="FR275" s="52"/>
      <c r="FS275" s="52"/>
      <c r="FT275" s="52"/>
      <c r="FU275" s="52"/>
      <c r="FV275" s="52"/>
      <c r="FW275" s="52"/>
      <c r="FX275" s="52"/>
    </row>
    <row r="276" ht="15.75" customHeight="1">
      <c r="A276" s="27"/>
      <c r="B276" s="27"/>
      <c r="C276" s="51"/>
      <c r="D276" s="51"/>
      <c r="E276" s="313"/>
      <c r="F276" s="35"/>
      <c r="G276" s="35"/>
      <c r="H276" s="35"/>
      <c r="I276" s="26"/>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c r="BC276" s="52"/>
      <c r="BD276" s="52"/>
      <c r="BE276" s="52"/>
      <c r="BF276" s="52"/>
      <c r="BG276" s="52"/>
      <c r="BH276" s="52"/>
      <c r="BI276" s="52"/>
      <c r="BJ276" s="52"/>
      <c r="BK276" s="52"/>
      <c r="BL276" s="52"/>
      <c r="BM276" s="52"/>
      <c r="BN276" s="52"/>
      <c r="BO276" s="52"/>
      <c r="BP276" s="52"/>
      <c r="BQ276" s="52"/>
      <c r="BR276" s="52"/>
      <c r="BS276" s="52"/>
      <c r="BT276" s="52"/>
      <c r="BU276" s="52"/>
      <c r="BV276" s="52"/>
      <c r="BW276" s="52"/>
      <c r="BX276" s="52"/>
      <c r="BY276" s="52"/>
      <c r="BZ276" s="52"/>
      <c r="CA276" s="52"/>
      <c r="CB276" s="52"/>
      <c r="CC276" s="52"/>
      <c r="CD276" s="52"/>
      <c r="CE276" s="52"/>
      <c r="CF276" s="52"/>
      <c r="CG276" s="52"/>
      <c r="CH276" s="52"/>
      <c r="CI276" s="52"/>
      <c r="CJ276" s="52"/>
      <c r="CK276" s="52"/>
      <c r="CL276" s="52"/>
      <c r="CM276" s="52"/>
      <c r="CN276" s="52"/>
      <c r="CO276" s="52"/>
      <c r="CP276" s="52"/>
      <c r="CQ276" s="52"/>
      <c r="CR276" s="52"/>
      <c r="CS276" s="52"/>
      <c r="CT276" s="52"/>
      <c r="CU276" s="52"/>
      <c r="CV276" s="52"/>
      <c r="CW276" s="52"/>
      <c r="CX276" s="52"/>
      <c r="CY276" s="52"/>
      <c r="CZ276" s="52"/>
      <c r="DA276" s="52"/>
      <c r="DB276" s="52"/>
      <c r="DC276" s="52"/>
      <c r="DD276" s="52"/>
      <c r="DE276" s="52"/>
      <c r="DF276" s="52"/>
      <c r="DG276" s="52"/>
      <c r="DH276" s="52"/>
      <c r="DI276" s="52"/>
      <c r="DJ276" s="52"/>
      <c r="DK276" s="52"/>
      <c r="DL276" s="52"/>
      <c r="DM276" s="52"/>
      <c r="DN276" s="52"/>
      <c r="DO276" s="52"/>
      <c r="DP276" s="52"/>
      <c r="DQ276" s="52"/>
      <c r="DR276" s="52"/>
      <c r="DS276" s="52"/>
      <c r="DT276" s="52"/>
      <c r="DU276" s="52"/>
      <c r="DV276" s="52"/>
      <c r="DW276" s="52"/>
      <c r="DX276" s="52"/>
      <c r="DY276" s="52"/>
      <c r="DZ276" s="52"/>
      <c r="EA276" s="52"/>
      <c r="EB276" s="52"/>
      <c r="EC276" s="52"/>
      <c r="ED276" s="52"/>
      <c r="EE276" s="52"/>
      <c r="EF276" s="52"/>
      <c r="EG276" s="52"/>
      <c r="EH276" s="52"/>
      <c r="EI276" s="52"/>
      <c r="EJ276" s="52"/>
      <c r="EK276" s="52"/>
      <c r="EL276" s="52"/>
      <c r="EM276" s="52"/>
      <c r="EN276" s="52"/>
      <c r="EO276" s="52"/>
      <c r="EP276" s="52"/>
      <c r="EQ276" s="52"/>
      <c r="ER276" s="52"/>
      <c r="ES276" s="52"/>
      <c r="ET276" s="52"/>
      <c r="EU276" s="52"/>
      <c r="EV276" s="52"/>
      <c r="EW276" s="52"/>
      <c r="EX276" s="52"/>
      <c r="EY276" s="52"/>
      <c r="EZ276" s="52"/>
      <c r="FA276" s="52"/>
      <c r="FB276" s="52"/>
      <c r="FC276" s="52"/>
      <c r="FD276" s="52"/>
      <c r="FE276" s="52"/>
      <c r="FF276" s="52"/>
      <c r="FG276" s="52"/>
      <c r="FH276" s="52"/>
      <c r="FI276" s="52"/>
      <c r="FJ276" s="52"/>
      <c r="FK276" s="52"/>
      <c r="FL276" s="52"/>
      <c r="FM276" s="52"/>
      <c r="FN276" s="52"/>
      <c r="FO276" s="52"/>
      <c r="FP276" s="52"/>
      <c r="FQ276" s="52"/>
      <c r="FR276" s="52"/>
      <c r="FS276" s="52"/>
      <c r="FT276" s="52"/>
      <c r="FU276" s="52"/>
      <c r="FV276" s="52"/>
      <c r="FW276" s="52"/>
      <c r="FX276" s="52"/>
    </row>
    <row r="277" ht="15.75" customHeight="1">
      <c r="A277" s="27"/>
      <c r="B277" s="27"/>
      <c r="C277" s="51"/>
      <c r="D277" s="51"/>
      <c r="E277" s="313"/>
      <c r="F277" s="35"/>
      <c r="G277" s="35"/>
      <c r="H277" s="35"/>
      <c r="I277" s="26"/>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c r="BC277" s="52"/>
      <c r="BD277" s="52"/>
      <c r="BE277" s="52"/>
      <c r="BF277" s="52"/>
      <c r="BG277" s="52"/>
      <c r="BH277" s="52"/>
      <c r="BI277" s="52"/>
      <c r="BJ277" s="52"/>
      <c r="BK277" s="52"/>
      <c r="BL277" s="52"/>
      <c r="BM277" s="52"/>
      <c r="BN277" s="52"/>
      <c r="BO277" s="52"/>
      <c r="BP277" s="52"/>
      <c r="BQ277" s="52"/>
      <c r="BR277" s="52"/>
      <c r="BS277" s="52"/>
      <c r="BT277" s="52"/>
      <c r="BU277" s="52"/>
      <c r="BV277" s="52"/>
      <c r="BW277" s="52"/>
      <c r="BX277" s="52"/>
      <c r="BY277" s="52"/>
      <c r="BZ277" s="52"/>
      <c r="CA277" s="52"/>
      <c r="CB277" s="52"/>
      <c r="CC277" s="52"/>
      <c r="CD277" s="52"/>
      <c r="CE277" s="52"/>
      <c r="CF277" s="52"/>
      <c r="CG277" s="52"/>
      <c r="CH277" s="52"/>
      <c r="CI277" s="52"/>
      <c r="CJ277" s="52"/>
      <c r="CK277" s="52"/>
      <c r="CL277" s="52"/>
      <c r="CM277" s="52"/>
      <c r="CN277" s="52"/>
      <c r="CO277" s="52"/>
      <c r="CP277" s="52"/>
      <c r="CQ277" s="52"/>
      <c r="CR277" s="52"/>
      <c r="CS277" s="52"/>
      <c r="CT277" s="52"/>
      <c r="CU277" s="52"/>
      <c r="CV277" s="52"/>
      <c r="CW277" s="52"/>
      <c r="CX277" s="52"/>
      <c r="CY277" s="52"/>
      <c r="CZ277" s="52"/>
      <c r="DA277" s="52"/>
      <c r="DB277" s="52"/>
      <c r="DC277" s="52"/>
      <c r="DD277" s="52"/>
      <c r="DE277" s="52"/>
      <c r="DF277" s="52"/>
      <c r="DG277" s="52"/>
      <c r="DH277" s="52"/>
      <c r="DI277" s="52"/>
      <c r="DJ277" s="52"/>
      <c r="DK277" s="52"/>
      <c r="DL277" s="52"/>
      <c r="DM277" s="52"/>
      <c r="DN277" s="52"/>
      <c r="DO277" s="52"/>
      <c r="DP277" s="52"/>
      <c r="DQ277" s="52"/>
      <c r="DR277" s="52"/>
      <c r="DS277" s="52"/>
      <c r="DT277" s="52"/>
      <c r="DU277" s="52"/>
      <c r="DV277" s="52"/>
      <c r="DW277" s="52"/>
      <c r="DX277" s="52"/>
      <c r="DY277" s="52"/>
      <c r="DZ277" s="52"/>
      <c r="EA277" s="52"/>
      <c r="EB277" s="52"/>
      <c r="EC277" s="52"/>
      <c r="ED277" s="52"/>
      <c r="EE277" s="52"/>
      <c r="EF277" s="52"/>
      <c r="EG277" s="52"/>
      <c r="EH277" s="52"/>
      <c r="EI277" s="52"/>
      <c r="EJ277" s="52"/>
      <c r="EK277" s="52"/>
      <c r="EL277" s="52"/>
      <c r="EM277" s="52"/>
      <c r="EN277" s="52"/>
      <c r="EO277" s="52"/>
      <c r="EP277" s="52"/>
      <c r="EQ277" s="52"/>
      <c r="ER277" s="52"/>
      <c r="ES277" s="52"/>
      <c r="ET277" s="52"/>
      <c r="EU277" s="52"/>
      <c r="EV277" s="52"/>
      <c r="EW277" s="52"/>
      <c r="EX277" s="52"/>
      <c r="EY277" s="52"/>
      <c r="EZ277" s="52"/>
      <c r="FA277" s="52"/>
      <c r="FB277" s="52"/>
      <c r="FC277" s="52"/>
      <c r="FD277" s="52"/>
      <c r="FE277" s="52"/>
      <c r="FF277" s="52"/>
      <c r="FG277" s="52"/>
      <c r="FH277" s="52"/>
      <c r="FI277" s="52"/>
      <c r="FJ277" s="52"/>
      <c r="FK277" s="52"/>
      <c r="FL277" s="52"/>
      <c r="FM277" s="52"/>
      <c r="FN277" s="52"/>
      <c r="FO277" s="52"/>
      <c r="FP277" s="52"/>
      <c r="FQ277" s="52"/>
      <c r="FR277" s="52"/>
      <c r="FS277" s="52"/>
      <c r="FT277" s="52"/>
      <c r="FU277" s="52"/>
      <c r="FV277" s="52"/>
      <c r="FW277" s="52"/>
      <c r="FX277" s="52"/>
    </row>
    <row r="278" ht="15.75" customHeight="1">
      <c r="A278" s="27"/>
      <c r="B278" s="27"/>
      <c r="C278" s="51"/>
      <c r="D278" s="51"/>
      <c r="E278" s="313"/>
      <c r="F278" s="35"/>
      <c r="G278" s="35"/>
      <c r="H278" s="35"/>
      <c r="I278" s="26"/>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c r="BT278" s="52"/>
      <c r="BU278" s="52"/>
      <c r="BV278" s="52"/>
      <c r="BW278" s="52"/>
      <c r="BX278" s="52"/>
      <c r="BY278" s="52"/>
      <c r="BZ278" s="52"/>
      <c r="CA278" s="52"/>
      <c r="CB278" s="52"/>
      <c r="CC278" s="52"/>
      <c r="CD278" s="52"/>
      <c r="CE278" s="52"/>
      <c r="CF278" s="52"/>
      <c r="CG278" s="52"/>
      <c r="CH278" s="52"/>
      <c r="CI278" s="52"/>
      <c r="CJ278" s="52"/>
      <c r="CK278" s="52"/>
      <c r="CL278" s="52"/>
      <c r="CM278" s="52"/>
      <c r="CN278" s="52"/>
      <c r="CO278" s="52"/>
      <c r="CP278" s="52"/>
      <c r="CQ278" s="52"/>
      <c r="CR278" s="52"/>
      <c r="CS278" s="52"/>
      <c r="CT278" s="52"/>
      <c r="CU278" s="52"/>
      <c r="CV278" s="52"/>
      <c r="CW278" s="52"/>
      <c r="CX278" s="52"/>
      <c r="CY278" s="52"/>
      <c r="CZ278" s="52"/>
      <c r="DA278" s="52"/>
      <c r="DB278" s="52"/>
      <c r="DC278" s="52"/>
      <c r="DD278" s="52"/>
      <c r="DE278" s="52"/>
      <c r="DF278" s="52"/>
      <c r="DG278" s="52"/>
      <c r="DH278" s="52"/>
      <c r="DI278" s="52"/>
      <c r="DJ278" s="52"/>
      <c r="DK278" s="52"/>
      <c r="DL278" s="52"/>
      <c r="DM278" s="52"/>
      <c r="DN278" s="52"/>
      <c r="DO278" s="52"/>
      <c r="DP278" s="52"/>
      <c r="DQ278" s="52"/>
      <c r="DR278" s="52"/>
      <c r="DS278" s="52"/>
      <c r="DT278" s="52"/>
      <c r="DU278" s="52"/>
      <c r="DV278" s="52"/>
      <c r="DW278" s="52"/>
      <c r="DX278" s="52"/>
      <c r="DY278" s="52"/>
      <c r="DZ278" s="52"/>
      <c r="EA278" s="52"/>
      <c r="EB278" s="52"/>
      <c r="EC278" s="52"/>
      <c r="ED278" s="52"/>
      <c r="EE278" s="52"/>
      <c r="EF278" s="52"/>
      <c r="EG278" s="52"/>
      <c r="EH278" s="52"/>
      <c r="EI278" s="52"/>
      <c r="EJ278" s="52"/>
      <c r="EK278" s="52"/>
      <c r="EL278" s="52"/>
      <c r="EM278" s="52"/>
      <c r="EN278" s="52"/>
      <c r="EO278" s="52"/>
      <c r="EP278" s="52"/>
      <c r="EQ278" s="52"/>
      <c r="ER278" s="52"/>
      <c r="ES278" s="52"/>
      <c r="ET278" s="52"/>
      <c r="EU278" s="52"/>
      <c r="EV278" s="52"/>
      <c r="EW278" s="52"/>
      <c r="EX278" s="52"/>
      <c r="EY278" s="52"/>
      <c r="EZ278" s="52"/>
      <c r="FA278" s="52"/>
      <c r="FB278" s="52"/>
      <c r="FC278" s="52"/>
      <c r="FD278" s="52"/>
      <c r="FE278" s="52"/>
      <c r="FF278" s="52"/>
      <c r="FG278" s="52"/>
      <c r="FH278" s="52"/>
      <c r="FI278" s="52"/>
      <c r="FJ278" s="52"/>
      <c r="FK278" s="52"/>
      <c r="FL278" s="52"/>
      <c r="FM278" s="52"/>
      <c r="FN278" s="52"/>
      <c r="FO278" s="52"/>
      <c r="FP278" s="52"/>
      <c r="FQ278" s="52"/>
      <c r="FR278" s="52"/>
      <c r="FS278" s="52"/>
      <c r="FT278" s="52"/>
      <c r="FU278" s="52"/>
      <c r="FV278" s="52"/>
      <c r="FW278" s="52"/>
      <c r="FX278" s="52"/>
    </row>
    <row r="279" ht="15.75" customHeight="1">
      <c r="A279" s="27"/>
      <c r="B279" s="27"/>
      <c r="C279" s="51"/>
      <c r="D279" s="51"/>
      <c r="E279" s="313"/>
      <c r="F279" s="35"/>
      <c r="G279" s="35"/>
      <c r="H279" s="35"/>
      <c r="I279" s="26"/>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c r="BY279" s="52"/>
      <c r="BZ279" s="52"/>
      <c r="CA279" s="52"/>
      <c r="CB279" s="52"/>
      <c r="CC279" s="52"/>
      <c r="CD279" s="52"/>
      <c r="CE279" s="52"/>
      <c r="CF279" s="52"/>
      <c r="CG279" s="52"/>
      <c r="CH279" s="52"/>
      <c r="CI279" s="52"/>
      <c r="CJ279" s="52"/>
      <c r="CK279" s="52"/>
      <c r="CL279" s="52"/>
      <c r="CM279" s="52"/>
      <c r="CN279" s="52"/>
      <c r="CO279" s="52"/>
      <c r="CP279" s="52"/>
      <c r="CQ279" s="52"/>
      <c r="CR279" s="52"/>
      <c r="CS279" s="52"/>
      <c r="CT279" s="52"/>
      <c r="CU279" s="52"/>
      <c r="CV279" s="52"/>
      <c r="CW279" s="52"/>
      <c r="CX279" s="52"/>
      <c r="CY279" s="52"/>
      <c r="CZ279" s="52"/>
      <c r="DA279" s="52"/>
      <c r="DB279" s="52"/>
      <c r="DC279" s="52"/>
      <c r="DD279" s="52"/>
      <c r="DE279" s="52"/>
      <c r="DF279" s="52"/>
      <c r="DG279" s="52"/>
      <c r="DH279" s="52"/>
      <c r="DI279" s="52"/>
      <c r="DJ279" s="52"/>
      <c r="DK279" s="52"/>
      <c r="DL279" s="52"/>
      <c r="DM279" s="52"/>
      <c r="DN279" s="52"/>
      <c r="DO279" s="52"/>
      <c r="DP279" s="52"/>
      <c r="DQ279" s="52"/>
      <c r="DR279" s="52"/>
      <c r="DS279" s="52"/>
      <c r="DT279" s="52"/>
      <c r="DU279" s="52"/>
      <c r="DV279" s="52"/>
      <c r="DW279" s="52"/>
      <c r="DX279" s="52"/>
      <c r="DY279" s="52"/>
      <c r="DZ279" s="52"/>
      <c r="EA279" s="52"/>
      <c r="EB279" s="52"/>
      <c r="EC279" s="52"/>
      <c r="ED279" s="52"/>
      <c r="EE279" s="52"/>
      <c r="EF279" s="52"/>
      <c r="EG279" s="52"/>
      <c r="EH279" s="52"/>
      <c r="EI279" s="52"/>
      <c r="EJ279" s="52"/>
      <c r="EK279" s="52"/>
      <c r="EL279" s="52"/>
      <c r="EM279" s="52"/>
      <c r="EN279" s="52"/>
      <c r="EO279" s="52"/>
      <c r="EP279" s="52"/>
      <c r="EQ279" s="52"/>
      <c r="ER279" s="52"/>
      <c r="ES279" s="52"/>
      <c r="ET279" s="52"/>
      <c r="EU279" s="52"/>
      <c r="EV279" s="52"/>
      <c r="EW279" s="52"/>
      <c r="EX279" s="52"/>
      <c r="EY279" s="52"/>
      <c r="EZ279" s="52"/>
      <c r="FA279" s="52"/>
      <c r="FB279" s="52"/>
      <c r="FC279" s="52"/>
      <c r="FD279" s="52"/>
      <c r="FE279" s="52"/>
      <c r="FF279" s="52"/>
      <c r="FG279" s="52"/>
      <c r="FH279" s="52"/>
      <c r="FI279" s="52"/>
      <c r="FJ279" s="52"/>
      <c r="FK279" s="52"/>
      <c r="FL279" s="52"/>
      <c r="FM279" s="52"/>
      <c r="FN279" s="52"/>
      <c r="FO279" s="52"/>
      <c r="FP279" s="52"/>
      <c r="FQ279" s="52"/>
      <c r="FR279" s="52"/>
      <c r="FS279" s="52"/>
      <c r="FT279" s="52"/>
      <c r="FU279" s="52"/>
      <c r="FV279" s="52"/>
      <c r="FW279" s="52"/>
      <c r="FX279" s="52"/>
    </row>
    <row r="280" ht="15.75" customHeight="1">
      <c r="A280" s="27"/>
      <c r="B280" s="27"/>
      <c r="C280" s="51"/>
      <c r="D280" s="51"/>
      <c r="E280" s="313"/>
      <c r="F280" s="35"/>
      <c r="G280" s="35"/>
      <c r="H280" s="35"/>
      <c r="I280" s="26"/>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c r="BW280" s="52"/>
      <c r="BX280" s="52"/>
      <c r="BY280" s="52"/>
      <c r="BZ280" s="52"/>
      <c r="CA280" s="52"/>
      <c r="CB280" s="52"/>
      <c r="CC280" s="52"/>
      <c r="CD280" s="52"/>
      <c r="CE280" s="52"/>
      <c r="CF280" s="52"/>
      <c r="CG280" s="52"/>
      <c r="CH280" s="52"/>
      <c r="CI280" s="52"/>
      <c r="CJ280" s="52"/>
      <c r="CK280" s="52"/>
      <c r="CL280" s="52"/>
      <c r="CM280" s="52"/>
      <c r="CN280" s="52"/>
      <c r="CO280" s="52"/>
      <c r="CP280" s="52"/>
      <c r="CQ280" s="52"/>
      <c r="CR280" s="52"/>
      <c r="CS280" s="52"/>
      <c r="CT280" s="52"/>
      <c r="CU280" s="52"/>
      <c r="CV280" s="52"/>
      <c r="CW280" s="52"/>
      <c r="CX280" s="52"/>
      <c r="CY280" s="52"/>
      <c r="CZ280" s="52"/>
      <c r="DA280" s="52"/>
      <c r="DB280" s="52"/>
      <c r="DC280" s="52"/>
      <c r="DD280" s="52"/>
      <c r="DE280" s="52"/>
      <c r="DF280" s="52"/>
      <c r="DG280" s="52"/>
      <c r="DH280" s="52"/>
      <c r="DI280" s="52"/>
      <c r="DJ280" s="52"/>
      <c r="DK280" s="52"/>
      <c r="DL280" s="52"/>
      <c r="DM280" s="52"/>
      <c r="DN280" s="52"/>
      <c r="DO280" s="52"/>
      <c r="DP280" s="52"/>
      <c r="DQ280" s="52"/>
      <c r="DR280" s="52"/>
      <c r="DS280" s="52"/>
      <c r="DT280" s="52"/>
      <c r="DU280" s="52"/>
      <c r="DV280" s="52"/>
      <c r="DW280" s="52"/>
      <c r="DX280" s="52"/>
      <c r="DY280" s="52"/>
      <c r="DZ280" s="52"/>
      <c r="EA280" s="52"/>
      <c r="EB280" s="52"/>
      <c r="EC280" s="52"/>
      <c r="ED280" s="52"/>
      <c r="EE280" s="52"/>
      <c r="EF280" s="52"/>
      <c r="EG280" s="52"/>
      <c r="EH280" s="52"/>
      <c r="EI280" s="52"/>
      <c r="EJ280" s="52"/>
      <c r="EK280" s="52"/>
      <c r="EL280" s="52"/>
      <c r="EM280" s="52"/>
      <c r="EN280" s="52"/>
      <c r="EO280" s="52"/>
      <c r="EP280" s="52"/>
      <c r="EQ280" s="52"/>
      <c r="ER280" s="52"/>
      <c r="ES280" s="52"/>
      <c r="ET280" s="52"/>
      <c r="EU280" s="52"/>
      <c r="EV280" s="52"/>
      <c r="EW280" s="52"/>
      <c r="EX280" s="52"/>
      <c r="EY280" s="52"/>
      <c r="EZ280" s="52"/>
      <c r="FA280" s="52"/>
      <c r="FB280" s="52"/>
      <c r="FC280" s="52"/>
      <c r="FD280" s="52"/>
      <c r="FE280" s="52"/>
      <c r="FF280" s="52"/>
      <c r="FG280" s="52"/>
      <c r="FH280" s="52"/>
      <c r="FI280" s="52"/>
      <c r="FJ280" s="52"/>
      <c r="FK280" s="52"/>
      <c r="FL280" s="52"/>
      <c r="FM280" s="52"/>
      <c r="FN280" s="52"/>
      <c r="FO280" s="52"/>
      <c r="FP280" s="52"/>
      <c r="FQ280" s="52"/>
      <c r="FR280" s="52"/>
      <c r="FS280" s="52"/>
      <c r="FT280" s="52"/>
      <c r="FU280" s="52"/>
      <c r="FV280" s="52"/>
      <c r="FW280" s="52"/>
      <c r="FX280" s="52"/>
    </row>
    <row r="281" ht="15.75" customHeight="1">
      <c r="A281" s="27"/>
      <c r="B281" s="27"/>
      <c r="C281" s="51"/>
      <c r="D281" s="51"/>
      <c r="E281" s="313"/>
      <c r="F281" s="35"/>
      <c r="G281" s="35"/>
      <c r="H281" s="35"/>
      <c r="I281" s="26"/>
      <c r="J281" s="52"/>
      <c r="K281" s="52"/>
      <c r="L281" s="52"/>
      <c r="M281" s="52"/>
      <c r="N281" s="52"/>
      <c r="O281" s="52"/>
      <c r="P281" s="52"/>
      <c r="Q281" s="52"/>
      <c r="R281" s="52"/>
      <c r="S281" s="52"/>
      <c r="T281" s="52"/>
      <c r="U281" s="52"/>
      <c r="V281" s="52"/>
      <c r="W281" s="52"/>
      <c r="X281" s="52"/>
      <c r="Y281" s="52"/>
      <c r="Z281" s="52"/>
      <c r="AA281" s="52"/>
      <c r="AB281" s="52"/>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c r="BY281" s="52"/>
      <c r="BZ281" s="52"/>
      <c r="CA281" s="52"/>
      <c r="CB281" s="52"/>
      <c r="CC281" s="52"/>
      <c r="CD281" s="52"/>
      <c r="CE281" s="52"/>
      <c r="CF281" s="52"/>
      <c r="CG281" s="52"/>
      <c r="CH281" s="52"/>
      <c r="CI281" s="52"/>
      <c r="CJ281" s="52"/>
      <c r="CK281" s="52"/>
      <c r="CL281" s="52"/>
      <c r="CM281" s="52"/>
      <c r="CN281" s="52"/>
      <c r="CO281" s="52"/>
      <c r="CP281" s="52"/>
      <c r="CQ281" s="52"/>
      <c r="CR281" s="52"/>
      <c r="CS281" s="52"/>
      <c r="CT281" s="52"/>
      <c r="CU281" s="52"/>
      <c r="CV281" s="52"/>
      <c r="CW281" s="52"/>
      <c r="CX281" s="52"/>
      <c r="CY281" s="52"/>
      <c r="CZ281" s="52"/>
      <c r="DA281" s="52"/>
      <c r="DB281" s="52"/>
      <c r="DC281" s="52"/>
      <c r="DD281" s="52"/>
      <c r="DE281" s="52"/>
      <c r="DF281" s="52"/>
      <c r="DG281" s="52"/>
      <c r="DH281" s="52"/>
      <c r="DI281" s="52"/>
      <c r="DJ281" s="52"/>
      <c r="DK281" s="52"/>
      <c r="DL281" s="52"/>
      <c r="DM281" s="52"/>
      <c r="DN281" s="52"/>
      <c r="DO281" s="52"/>
      <c r="DP281" s="52"/>
      <c r="DQ281" s="52"/>
      <c r="DR281" s="52"/>
      <c r="DS281" s="52"/>
      <c r="DT281" s="52"/>
      <c r="DU281" s="52"/>
      <c r="DV281" s="52"/>
      <c r="DW281" s="52"/>
      <c r="DX281" s="52"/>
      <c r="DY281" s="52"/>
      <c r="DZ281" s="52"/>
      <c r="EA281" s="52"/>
      <c r="EB281" s="52"/>
      <c r="EC281" s="52"/>
      <c r="ED281" s="52"/>
      <c r="EE281" s="52"/>
      <c r="EF281" s="52"/>
      <c r="EG281" s="52"/>
      <c r="EH281" s="52"/>
      <c r="EI281" s="52"/>
      <c r="EJ281" s="52"/>
      <c r="EK281" s="52"/>
      <c r="EL281" s="52"/>
      <c r="EM281" s="52"/>
      <c r="EN281" s="52"/>
      <c r="EO281" s="52"/>
      <c r="EP281" s="52"/>
      <c r="EQ281" s="52"/>
      <c r="ER281" s="52"/>
      <c r="ES281" s="52"/>
      <c r="ET281" s="52"/>
      <c r="EU281" s="52"/>
      <c r="EV281" s="52"/>
      <c r="EW281" s="52"/>
      <c r="EX281" s="52"/>
      <c r="EY281" s="52"/>
      <c r="EZ281" s="52"/>
      <c r="FA281" s="52"/>
      <c r="FB281" s="52"/>
      <c r="FC281" s="52"/>
      <c r="FD281" s="52"/>
      <c r="FE281" s="52"/>
      <c r="FF281" s="52"/>
      <c r="FG281" s="52"/>
      <c r="FH281" s="52"/>
      <c r="FI281" s="52"/>
      <c r="FJ281" s="52"/>
      <c r="FK281" s="52"/>
      <c r="FL281" s="52"/>
      <c r="FM281" s="52"/>
      <c r="FN281" s="52"/>
      <c r="FO281" s="52"/>
      <c r="FP281" s="52"/>
      <c r="FQ281" s="52"/>
      <c r="FR281" s="52"/>
      <c r="FS281" s="52"/>
      <c r="FT281" s="52"/>
      <c r="FU281" s="52"/>
      <c r="FV281" s="52"/>
      <c r="FW281" s="52"/>
      <c r="FX281" s="52"/>
    </row>
    <row r="282" ht="15.75" customHeight="1">
      <c r="A282" s="27"/>
      <c r="B282" s="27"/>
      <c r="C282" s="51"/>
      <c r="D282" s="51"/>
      <c r="E282" s="313"/>
      <c r="F282" s="35"/>
      <c r="G282" s="35"/>
      <c r="H282" s="35"/>
      <c r="I282" s="26"/>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c r="BC282" s="52"/>
      <c r="BD282" s="52"/>
      <c r="BE282" s="52"/>
      <c r="BF282" s="52"/>
      <c r="BG282" s="52"/>
      <c r="BH282" s="52"/>
      <c r="BI282" s="52"/>
      <c r="BJ282" s="52"/>
      <c r="BK282" s="52"/>
      <c r="BL282" s="52"/>
      <c r="BM282" s="52"/>
      <c r="BN282" s="52"/>
      <c r="BO282" s="52"/>
      <c r="BP282" s="52"/>
      <c r="BQ282" s="52"/>
      <c r="BR282" s="52"/>
      <c r="BS282" s="52"/>
      <c r="BT282" s="52"/>
      <c r="BU282" s="52"/>
      <c r="BV282" s="52"/>
      <c r="BW282" s="52"/>
      <c r="BX282" s="52"/>
      <c r="BY282" s="52"/>
      <c r="BZ282" s="52"/>
      <c r="CA282" s="52"/>
      <c r="CB282" s="52"/>
      <c r="CC282" s="52"/>
      <c r="CD282" s="52"/>
      <c r="CE282" s="52"/>
      <c r="CF282" s="52"/>
      <c r="CG282" s="52"/>
      <c r="CH282" s="52"/>
      <c r="CI282" s="52"/>
      <c r="CJ282" s="52"/>
      <c r="CK282" s="52"/>
      <c r="CL282" s="52"/>
      <c r="CM282" s="52"/>
      <c r="CN282" s="52"/>
      <c r="CO282" s="52"/>
      <c r="CP282" s="52"/>
      <c r="CQ282" s="52"/>
      <c r="CR282" s="52"/>
      <c r="CS282" s="52"/>
      <c r="CT282" s="52"/>
      <c r="CU282" s="52"/>
      <c r="CV282" s="52"/>
      <c r="CW282" s="52"/>
      <c r="CX282" s="52"/>
      <c r="CY282" s="52"/>
      <c r="CZ282" s="52"/>
      <c r="DA282" s="52"/>
      <c r="DB282" s="52"/>
      <c r="DC282" s="52"/>
      <c r="DD282" s="52"/>
      <c r="DE282" s="52"/>
      <c r="DF282" s="52"/>
      <c r="DG282" s="52"/>
      <c r="DH282" s="52"/>
      <c r="DI282" s="52"/>
      <c r="DJ282" s="52"/>
      <c r="DK282" s="52"/>
      <c r="DL282" s="52"/>
      <c r="DM282" s="52"/>
      <c r="DN282" s="52"/>
      <c r="DO282" s="52"/>
      <c r="DP282" s="52"/>
      <c r="DQ282" s="52"/>
      <c r="DR282" s="52"/>
      <c r="DS282" s="52"/>
      <c r="DT282" s="52"/>
      <c r="DU282" s="52"/>
      <c r="DV282" s="52"/>
      <c r="DW282" s="52"/>
      <c r="DX282" s="52"/>
      <c r="DY282" s="52"/>
      <c r="DZ282" s="52"/>
      <c r="EA282" s="52"/>
      <c r="EB282" s="52"/>
      <c r="EC282" s="52"/>
      <c r="ED282" s="52"/>
      <c r="EE282" s="52"/>
      <c r="EF282" s="52"/>
      <c r="EG282" s="52"/>
      <c r="EH282" s="52"/>
      <c r="EI282" s="52"/>
      <c r="EJ282" s="52"/>
      <c r="EK282" s="52"/>
      <c r="EL282" s="52"/>
      <c r="EM282" s="52"/>
      <c r="EN282" s="52"/>
      <c r="EO282" s="52"/>
      <c r="EP282" s="52"/>
      <c r="EQ282" s="52"/>
      <c r="ER282" s="52"/>
      <c r="ES282" s="52"/>
      <c r="ET282" s="52"/>
      <c r="EU282" s="52"/>
      <c r="EV282" s="52"/>
      <c r="EW282" s="52"/>
      <c r="EX282" s="52"/>
      <c r="EY282" s="52"/>
      <c r="EZ282" s="52"/>
      <c r="FA282" s="52"/>
      <c r="FB282" s="52"/>
      <c r="FC282" s="52"/>
      <c r="FD282" s="52"/>
      <c r="FE282" s="52"/>
      <c r="FF282" s="52"/>
      <c r="FG282" s="52"/>
      <c r="FH282" s="52"/>
      <c r="FI282" s="52"/>
      <c r="FJ282" s="52"/>
      <c r="FK282" s="52"/>
      <c r="FL282" s="52"/>
      <c r="FM282" s="52"/>
      <c r="FN282" s="52"/>
      <c r="FO282" s="52"/>
      <c r="FP282" s="52"/>
      <c r="FQ282" s="52"/>
      <c r="FR282" s="52"/>
      <c r="FS282" s="52"/>
      <c r="FT282" s="52"/>
      <c r="FU282" s="52"/>
      <c r="FV282" s="52"/>
      <c r="FW282" s="52"/>
      <c r="FX282" s="52"/>
    </row>
    <row r="283" ht="15.75" customHeight="1">
      <c r="A283" s="27"/>
      <c r="B283" s="27"/>
      <c r="C283" s="51"/>
      <c r="D283" s="51"/>
      <c r="E283" s="313"/>
      <c r="F283" s="35"/>
      <c r="G283" s="35"/>
      <c r="H283" s="35"/>
      <c r="I283" s="26"/>
      <c r="J283" s="52"/>
      <c r="K283" s="52"/>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c r="BC283" s="52"/>
      <c r="BD283" s="52"/>
      <c r="BE283" s="52"/>
      <c r="BF283" s="52"/>
      <c r="BG283" s="52"/>
      <c r="BH283" s="52"/>
      <c r="BI283" s="52"/>
      <c r="BJ283" s="52"/>
      <c r="BK283" s="52"/>
      <c r="BL283" s="52"/>
      <c r="BM283" s="52"/>
      <c r="BN283" s="52"/>
      <c r="BO283" s="52"/>
      <c r="BP283" s="52"/>
      <c r="BQ283" s="52"/>
      <c r="BR283" s="52"/>
      <c r="BS283" s="52"/>
      <c r="BT283" s="52"/>
      <c r="BU283" s="52"/>
      <c r="BV283" s="52"/>
      <c r="BW283" s="52"/>
      <c r="BX283" s="52"/>
      <c r="BY283" s="52"/>
      <c r="BZ283" s="52"/>
      <c r="CA283" s="52"/>
      <c r="CB283" s="52"/>
      <c r="CC283" s="52"/>
      <c r="CD283" s="52"/>
      <c r="CE283" s="52"/>
      <c r="CF283" s="52"/>
      <c r="CG283" s="52"/>
      <c r="CH283" s="52"/>
      <c r="CI283" s="52"/>
      <c r="CJ283" s="52"/>
      <c r="CK283" s="52"/>
      <c r="CL283" s="52"/>
      <c r="CM283" s="52"/>
      <c r="CN283" s="52"/>
      <c r="CO283" s="52"/>
      <c r="CP283" s="52"/>
      <c r="CQ283" s="52"/>
      <c r="CR283" s="52"/>
      <c r="CS283" s="52"/>
      <c r="CT283" s="52"/>
      <c r="CU283" s="52"/>
      <c r="CV283" s="52"/>
      <c r="CW283" s="52"/>
      <c r="CX283" s="52"/>
      <c r="CY283" s="52"/>
      <c r="CZ283" s="52"/>
      <c r="DA283" s="52"/>
      <c r="DB283" s="52"/>
      <c r="DC283" s="52"/>
      <c r="DD283" s="52"/>
      <c r="DE283" s="52"/>
      <c r="DF283" s="52"/>
      <c r="DG283" s="52"/>
      <c r="DH283" s="52"/>
      <c r="DI283" s="52"/>
      <c r="DJ283" s="52"/>
      <c r="DK283" s="52"/>
      <c r="DL283" s="52"/>
      <c r="DM283" s="52"/>
      <c r="DN283" s="52"/>
      <c r="DO283" s="52"/>
      <c r="DP283" s="52"/>
      <c r="DQ283" s="52"/>
      <c r="DR283" s="52"/>
      <c r="DS283" s="52"/>
      <c r="DT283" s="52"/>
      <c r="DU283" s="52"/>
      <c r="DV283" s="52"/>
      <c r="DW283" s="52"/>
      <c r="DX283" s="52"/>
      <c r="DY283" s="52"/>
      <c r="DZ283" s="52"/>
      <c r="EA283" s="52"/>
      <c r="EB283" s="52"/>
      <c r="EC283" s="52"/>
      <c r="ED283" s="52"/>
      <c r="EE283" s="52"/>
      <c r="EF283" s="52"/>
      <c r="EG283" s="52"/>
      <c r="EH283" s="52"/>
      <c r="EI283" s="52"/>
      <c r="EJ283" s="52"/>
      <c r="EK283" s="52"/>
      <c r="EL283" s="52"/>
      <c r="EM283" s="52"/>
      <c r="EN283" s="52"/>
      <c r="EO283" s="52"/>
      <c r="EP283" s="52"/>
      <c r="EQ283" s="52"/>
      <c r="ER283" s="52"/>
      <c r="ES283" s="52"/>
      <c r="ET283" s="52"/>
      <c r="EU283" s="52"/>
      <c r="EV283" s="52"/>
      <c r="EW283" s="52"/>
      <c r="EX283" s="52"/>
      <c r="EY283" s="52"/>
      <c r="EZ283" s="52"/>
      <c r="FA283" s="52"/>
      <c r="FB283" s="52"/>
      <c r="FC283" s="52"/>
      <c r="FD283" s="52"/>
      <c r="FE283" s="52"/>
      <c r="FF283" s="52"/>
      <c r="FG283" s="52"/>
      <c r="FH283" s="52"/>
      <c r="FI283" s="52"/>
      <c r="FJ283" s="52"/>
      <c r="FK283" s="52"/>
      <c r="FL283" s="52"/>
      <c r="FM283" s="52"/>
      <c r="FN283" s="52"/>
      <c r="FO283" s="52"/>
      <c r="FP283" s="52"/>
      <c r="FQ283" s="52"/>
      <c r="FR283" s="52"/>
      <c r="FS283" s="52"/>
      <c r="FT283" s="52"/>
      <c r="FU283" s="52"/>
      <c r="FV283" s="52"/>
      <c r="FW283" s="52"/>
      <c r="FX283" s="52"/>
    </row>
    <row r="284" ht="15.75" customHeight="1">
      <c r="A284" s="27"/>
      <c r="B284" s="27"/>
      <c r="C284" s="51"/>
      <c r="D284" s="51"/>
      <c r="E284" s="313"/>
      <c r="F284" s="35"/>
      <c r="G284" s="35"/>
      <c r="H284" s="35"/>
      <c r="I284" s="26"/>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c r="BY284" s="52"/>
      <c r="BZ284" s="52"/>
      <c r="CA284" s="52"/>
      <c r="CB284" s="52"/>
      <c r="CC284" s="52"/>
      <c r="CD284" s="52"/>
      <c r="CE284" s="52"/>
      <c r="CF284" s="52"/>
      <c r="CG284" s="52"/>
      <c r="CH284" s="52"/>
      <c r="CI284" s="52"/>
      <c r="CJ284" s="52"/>
      <c r="CK284" s="52"/>
      <c r="CL284" s="52"/>
      <c r="CM284" s="52"/>
      <c r="CN284" s="52"/>
      <c r="CO284" s="52"/>
      <c r="CP284" s="52"/>
      <c r="CQ284" s="52"/>
      <c r="CR284" s="52"/>
      <c r="CS284" s="52"/>
      <c r="CT284" s="52"/>
      <c r="CU284" s="52"/>
      <c r="CV284" s="52"/>
      <c r="CW284" s="52"/>
      <c r="CX284" s="52"/>
      <c r="CY284" s="52"/>
      <c r="CZ284" s="52"/>
      <c r="DA284" s="52"/>
      <c r="DB284" s="52"/>
      <c r="DC284" s="52"/>
      <c r="DD284" s="52"/>
      <c r="DE284" s="52"/>
      <c r="DF284" s="52"/>
      <c r="DG284" s="52"/>
      <c r="DH284" s="52"/>
      <c r="DI284" s="52"/>
      <c r="DJ284" s="52"/>
      <c r="DK284" s="52"/>
      <c r="DL284" s="52"/>
      <c r="DM284" s="52"/>
      <c r="DN284" s="52"/>
      <c r="DO284" s="52"/>
      <c r="DP284" s="52"/>
      <c r="DQ284" s="52"/>
      <c r="DR284" s="52"/>
      <c r="DS284" s="52"/>
      <c r="DT284" s="52"/>
      <c r="DU284" s="52"/>
      <c r="DV284" s="52"/>
      <c r="DW284" s="52"/>
      <c r="DX284" s="52"/>
      <c r="DY284" s="52"/>
      <c r="DZ284" s="52"/>
      <c r="EA284" s="52"/>
      <c r="EB284" s="52"/>
      <c r="EC284" s="52"/>
      <c r="ED284" s="52"/>
      <c r="EE284" s="52"/>
      <c r="EF284" s="52"/>
      <c r="EG284" s="52"/>
      <c r="EH284" s="52"/>
      <c r="EI284" s="52"/>
      <c r="EJ284" s="52"/>
      <c r="EK284" s="52"/>
      <c r="EL284" s="52"/>
      <c r="EM284" s="52"/>
      <c r="EN284" s="52"/>
      <c r="EO284" s="52"/>
      <c r="EP284" s="52"/>
      <c r="EQ284" s="52"/>
      <c r="ER284" s="52"/>
      <c r="ES284" s="52"/>
      <c r="ET284" s="52"/>
      <c r="EU284" s="52"/>
      <c r="EV284" s="52"/>
      <c r="EW284" s="52"/>
      <c r="EX284" s="52"/>
      <c r="EY284" s="52"/>
      <c r="EZ284" s="52"/>
      <c r="FA284" s="52"/>
      <c r="FB284" s="52"/>
      <c r="FC284" s="52"/>
      <c r="FD284" s="52"/>
      <c r="FE284" s="52"/>
      <c r="FF284" s="52"/>
      <c r="FG284" s="52"/>
      <c r="FH284" s="52"/>
      <c r="FI284" s="52"/>
      <c r="FJ284" s="52"/>
      <c r="FK284" s="52"/>
      <c r="FL284" s="52"/>
      <c r="FM284" s="52"/>
      <c r="FN284" s="52"/>
      <c r="FO284" s="52"/>
      <c r="FP284" s="52"/>
      <c r="FQ284" s="52"/>
      <c r="FR284" s="52"/>
      <c r="FS284" s="52"/>
      <c r="FT284" s="52"/>
      <c r="FU284" s="52"/>
      <c r="FV284" s="52"/>
      <c r="FW284" s="52"/>
      <c r="FX284" s="52"/>
    </row>
    <row r="285" ht="15.75" customHeight="1">
      <c r="A285" s="27"/>
      <c r="B285" s="27"/>
      <c r="C285" s="51"/>
      <c r="D285" s="51"/>
      <c r="E285" s="313"/>
      <c r="F285" s="35"/>
      <c r="G285" s="35"/>
      <c r="H285" s="35"/>
      <c r="I285" s="26"/>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c r="BY285" s="52"/>
      <c r="BZ285" s="52"/>
      <c r="CA285" s="52"/>
      <c r="CB285" s="52"/>
      <c r="CC285" s="52"/>
      <c r="CD285" s="52"/>
      <c r="CE285" s="52"/>
      <c r="CF285" s="52"/>
      <c r="CG285" s="52"/>
      <c r="CH285" s="52"/>
      <c r="CI285" s="52"/>
      <c r="CJ285" s="52"/>
      <c r="CK285" s="52"/>
      <c r="CL285" s="52"/>
      <c r="CM285" s="52"/>
      <c r="CN285" s="52"/>
      <c r="CO285" s="52"/>
      <c r="CP285" s="52"/>
      <c r="CQ285" s="52"/>
      <c r="CR285" s="52"/>
      <c r="CS285" s="52"/>
      <c r="CT285" s="52"/>
      <c r="CU285" s="52"/>
      <c r="CV285" s="52"/>
      <c r="CW285" s="52"/>
      <c r="CX285" s="52"/>
      <c r="CY285" s="52"/>
      <c r="CZ285" s="52"/>
      <c r="DA285" s="52"/>
      <c r="DB285" s="52"/>
      <c r="DC285" s="52"/>
      <c r="DD285" s="52"/>
      <c r="DE285" s="52"/>
      <c r="DF285" s="52"/>
      <c r="DG285" s="52"/>
      <c r="DH285" s="52"/>
      <c r="DI285" s="52"/>
      <c r="DJ285" s="52"/>
      <c r="DK285" s="52"/>
      <c r="DL285" s="52"/>
      <c r="DM285" s="52"/>
      <c r="DN285" s="52"/>
      <c r="DO285" s="52"/>
      <c r="DP285" s="52"/>
      <c r="DQ285" s="52"/>
      <c r="DR285" s="52"/>
      <c r="DS285" s="52"/>
      <c r="DT285" s="52"/>
      <c r="DU285" s="52"/>
      <c r="DV285" s="52"/>
      <c r="DW285" s="52"/>
      <c r="DX285" s="52"/>
      <c r="DY285" s="52"/>
      <c r="DZ285" s="52"/>
      <c r="EA285" s="52"/>
      <c r="EB285" s="52"/>
      <c r="EC285" s="52"/>
      <c r="ED285" s="52"/>
      <c r="EE285" s="52"/>
      <c r="EF285" s="52"/>
      <c r="EG285" s="52"/>
      <c r="EH285" s="52"/>
      <c r="EI285" s="52"/>
      <c r="EJ285" s="52"/>
      <c r="EK285" s="52"/>
      <c r="EL285" s="52"/>
      <c r="EM285" s="52"/>
      <c r="EN285" s="52"/>
      <c r="EO285" s="52"/>
      <c r="EP285" s="52"/>
      <c r="EQ285" s="52"/>
      <c r="ER285" s="52"/>
      <c r="ES285" s="52"/>
      <c r="ET285" s="52"/>
      <c r="EU285" s="52"/>
      <c r="EV285" s="52"/>
      <c r="EW285" s="52"/>
      <c r="EX285" s="52"/>
      <c r="EY285" s="52"/>
      <c r="EZ285" s="52"/>
      <c r="FA285" s="52"/>
      <c r="FB285" s="52"/>
      <c r="FC285" s="52"/>
      <c r="FD285" s="52"/>
      <c r="FE285" s="52"/>
      <c r="FF285" s="52"/>
      <c r="FG285" s="52"/>
      <c r="FH285" s="52"/>
      <c r="FI285" s="52"/>
      <c r="FJ285" s="52"/>
      <c r="FK285" s="52"/>
      <c r="FL285" s="52"/>
      <c r="FM285" s="52"/>
      <c r="FN285" s="52"/>
      <c r="FO285" s="52"/>
      <c r="FP285" s="52"/>
      <c r="FQ285" s="52"/>
      <c r="FR285" s="52"/>
      <c r="FS285" s="52"/>
      <c r="FT285" s="52"/>
      <c r="FU285" s="52"/>
      <c r="FV285" s="52"/>
      <c r="FW285" s="52"/>
      <c r="FX285" s="52"/>
    </row>
    <row r="286" ht="15.75" customHeight="1">
      <c r="A286" s="27"/>
      <c r="B286" s="27"/>
      <c r="C286" s="51"/>
      <c r="D286" s="51"/>
      <c r="E286" s="313"/>
      <c r="F286" s="35"/>
      <c r="G286" s="35"/>
      <c r="H286" s="35"/>
      <c r="I286" s="26"/>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c r="BY286" s="52"/>
      <c r="BZ286" s="52"/>
      <c r="CA286" s="52"/>
      <c r="CB286" s="52"/>
      <c r="CC286" s="52"/>
      <c r="CD286" s="52"/>
      <c r="CE286" s="52"/>
      <c r="CF286" s="52"/>
      <c r="CG286" s="52"/>
      <c r="CH286" s="52"/>
      <c r="CI286" s="52"/>
      <c r="CJ286" s="52"/>
      <c r="CK286" s="52"/>
      <c r="CL286" s="52"/>
      <c r="CM286" s="52"/>
      <c r="CN286" s="52"/>
      <c r="CO286" s="52"/>
      <c r="CP286" s="52"/>
      <c r="CQ286" s="52"/>
      <c r="CR286" s="52"/>
      <c r="CS286" s="52"/>
      <c r="CT286" s="52"/>
      <c r="CU286" s="52"/>
      <c r="CV286" s="52"/>
      <c r="CW286" s="52"/>
      <c r="CX286" s="52"/>
      <c r="CY286" s="52"/>
      <c r="CZ286" s="52"/>
      <c r="DA286" s="52"/>
      <c r="DB286" s="52"/>
      <c r="DC286" s="52"/>
      <c r="DD286" s="52"/>
      <c r="DE286" s="52"/>
      <c r="DF286" s="52"/>
      <c r="DG286" s="52"/>
      <c r="DH286" s="52"/>
      <c r="DI286" s="52"/>
      <c r="DJ286" s="52"/>
      <c r="DK286" s="52"/>
      <c r="DL286" s="52"/>
      <c r="DM286" s="52"/>
      <c r="DN286" s="52"/>
      <c r="DO286" s="52"/>
      <c r="DP286" s="52"/>
      <c r="DQ286" s="52"/>
      <c r="DR286" s="52"/>
      <c r="DS286" s="52"/>
      <c r="DT286" s="52"/>
      <c r="DU286" s="52"/>
      <c r="DV286" s="52"/>
      <c r="DW286" s="52"/>
      <c r="DX286" s="52"/>
      <c r="DY286" s="52"/>
      <c r="DZ286" s="52"/>
      <c r="EA286" s="52"/>
      <c r="EB286" s="52"/>
      <c r="EC286" s="52"/>
      <c r="ED286" s="52"/>
      <c r="EE286" s="52"/>
      <c r="EF286" s="52"/>
      <c r="EG286" s="52"/>
      <c r="EH286" s="52"/>
      <c r="EI286" s="52"/>
      <c r="EJ286" s="52"/>
      <c r="EK286" s="52"/>
      <c r="EL286" s="52"/>
      <c r="EM286" s="52"/>
      <c r="EN286" s="52"/>
      <c r="EO286" s="52"/>
      <c r="EP286" s="52"/>
      <c r="EQ286" s="52"/>
      <c r="ER286" s="52"/>
      <c r="ES286" s="52"/>
      <c r="ET286" s="52"/>
      <c r="EU286" s="52"/>
      <c r="EV286" s="52"/>
      <c r="EW286" s="52"/>
      <c r="EX286" s="52"/>
      <c r="EY286" s="52"/>
      <c r="EZ286" s="52"/>
      <c r="FA286" s="52"/>
      <c r="FB286" s="52"/>
      <c r="FC286" s="52"/>
      <c r="FD286" s="52"/>
      <c r="FE286" s="52"/>
      <c r="FF286" s="52"/>
      <c r="FG286" s="52"/>
      <c r="FH286" s="52"/>
      <c r="FI286" s="52"/>
      <c r="FJ286" s="52"/>
      <c r="FK286" s="52"/>
      <c r="FL286" s="52"/>
      <c r="FM286" s="52"/>
      <c r="FN286" s="52"/>
      <c r="FO286" s="52"/>
      <c r="FP286" s="52"/>
      <c r="FQ286" s="52"/>
      <c r="FR286" s="52"/>
      <c r="FS286" s="52"/>
      <c r="FT286" s="52"/>
      <c r="FU286" s="52"/>
      <c r="FV286" s="52"/>
      <c r="FW286" s="52"/>
      <c r="FX286" s="52"/>
    </row>
    <row r="287" ht="15.75" customHeight="1">
      <c r="A287" s="27"/>
      <c r="B287" s="27"/>
      <c r="C287" s="51"/>
      <c r="D287" s="51"/>
      <c r="E287" s="313"/>
      <c r="F287" s="35"/>
      <c r="G287" s="35"/>
      <c r="H287" s="35"/>
      <c r="I287" s="26"/>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c r="BY287" s="52"/>
      <c r="BZ287" s="52"/>
      <c r="CA287" s="52"/>
      <c r="CB287" s="52"/>
      <c r="CC287" s="52"/>
      <c r="CD287" s="52"/>
      <c r="CE287" s="52"/>
      <c r="CF287" s="52"/>
      <c r="CG287" s="52"/>
      <c r="CH287" s="52"/>
      <c r="CI287" s="52"/>
      <c r="CJ287" s="52"/>
      <c r="CK287" s="52"/>
      <c r="CL287" s="52"/>
      <c r="CM287" s="52"/>
      <c r="CN287" s="52"/>
      <c r="CO287" s="52"/>
      <c r="CP287" s="52"/>
      <c r="CQ287" s="52"/>
      <c r="CR287" s="52"/>
      <c r="CS287" s="52"/>
      <c r="CT287" s="52"/>
      <c r="CU287" s="52"/>
      <c r="CV287" s="52"/>
      <c r="CW287" s="52"/>
      <c r="CX287" s="52"/>
      <c r="CY287" s="52"/>
      <c r="CZ287" s="52"/>
      <c r="DA287" s="52"/>
      <c r="DB287" s="52"/>
      <c r="DC287" s="52"/>
      <c r="DD287" s="52"/>
      <c r="DE287" s="52"/>
      <c r="DF287" s="52"/>
      <c r="DG287" s="52"/>
      <c r="DH287" s="52"/>
      <c r="DI287" s="52"/>
      <c r="DJ287" s="52"/>
      <c r="DK287" s="52"/>
      <c r="DL287" s="52"/>
      <c r="DM287" s="52"/>
      <c r="DN287" s="52"/>
      <c r="DO287" s="52"/>
      <c r="DP287" s="52"/>
      <c r="DQ287" s="52"/>
      <c r="DR287" s="52"/>
      <c r="DS287" s="52"/>
      <c r="DT287" s="52"/>
      <c r="DU287" s="52"/>
      <c r="DV287" s="52"/>
      <c r="DW287" s="52"/>
      <c r="DX287" s="52"/>
      <c r="DY287" s="52"/>
      <c r="DZ287" s="52"/>
      <c r="EA287" s="52"/>
      <c r="EB287" s="52"/>
      <c r="EC287" s="52"/>
      <c r="ED287" s="52"/>
      <c r="EE287" s="52"/>
      <c r="EF287" s="52"/>
      <c r="EG287" s="52"/>
      <c r="EH287" s="52"/>
      <c r="EI287" s="52"/>
      <c r="EJ287" s="52"/>
      <c r="EK287" s="52"/>
      <c r="EL287" s="52"/>
      <c r="EM287" s="52"/>
      <c r="EN287" s="52"/>
      <c r="EO287" s="52"/>
      <c r="EP287" s="52"/>
      <c r="EQ287" s="52"/>
      <c r="ER287" s="52"/>
      <c r="ES287" s="52"/>
      <c r="ET287" s="52"/>
      <c r="EU287" s="52"/>
      <c r="EV287" s="52"/>
      <c r="EW287" s="52"/>
      <c r="EX287" s="52"/>
      <c r="EY287" s="52"/>
      <c r="EZ287" s="52"/>
      <c r="FA287" s="52"/>
      <c r="FB287" s="52"/>
      <c r="FC287" s="52"/>
      <c r="FD287" s="52"/>
      <c r="FE287" s="52"/>
      <c r="FF287" s="52"/>
      <c r="FG287" s="52"/>
      <c r="FH287" s="52"/>
      <c r="FI287" s="52"/>
      <c r="FJ287" s="52"/>
      <c r="FK287" s="52"/>
      <c r="FL287" s="52"/>
      <c r="FM287" s="52"/>
      <c r="FN287" s="52"/>
      <c r="FO287" s="52"/>
      <c r="FP287" s="52"/>
      <c r="FQ287" s="52"/>
      <c r="FR287" s="52"/>
      <c r="FS287" s="52"/>
      <c r="FT287" s="52"/>
      <c r="FU287" s="52"/>
      <c r="FV287" s="52"/>
      <c r="FW287" s="52"/>
      <c r="FX287" s="52"/>
    </row>
    <row r="288" ht="15.75" customHeight="1">
      <c r="A288" s="27"/>
      <c r="B288" s="27"/>
      <c r="C288" s="51"/>
      <c r="D288" s="51"/>
      <c r="E288" s="313"/>
      <c r="F288" s="35"/>
      <c r="G288" s="35"/>
      <c r="H288" s="35"/>
      <c r="I288" s="26"/>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c r="BT288" s="52"/>
      <c r="BU288" s="52"/>
      <c r="BV288" s="52"/>
      <c r="BW288" s="52"/>
      <c r="BX288" s="52"/>
      <c r="BY288" s="52"/>
      <c r="BZ288" s="52"/>
      <c r="CA288" s="52"/>
      <c r="CB288" s="52"/>
      <c r="CC288" s="52"/>
      <c r="CD288" s="52"/>
      <c r="CE288" s="52"/>
      <c r="CF288" s="52"/>
      <c r="CG288" s="52"/>
      <c r="CH288" s="52"/>
      <c r="CI288" s="52"/>
      <c r="CJ288" s="52"/>
      <c r="CK288" s="52"/>
      <c r="CL288" s="52"/>
      <c r="CM288" s="52"/>
      <c r="CN288" s="52"/>
      <c r="CO288" s="52"/>
      <c r="CP288" s="52"/>
      <c r="CQ288" s="52"/>
      <c r="CR288" s="52"/>
      <c r="CS288" s="52"/>
      <c r="CT288" s="52"/>
      <c r="CU288" s="52"/>
      <c r="CV288" s="52"/>
      <c r="CW288" s="52"/>
      <c r="CX288" s="52"/>
      <c r="CY288" s="52"/>
      <c r="CZ288" s="52"/>
      <c r="DA288" s="52"/>
      <c r="DB288" s="52"/>
      <c r="DC288" s="52"/>
      <c r="DD288" s="52"/>
      <c r="DE288" s="52"/>
      <c r="DF288" s="52"/>
      <c r="DG288" s="52"/>
      <c r="DH288" s="52"/>
      <c r="DI288" s="52"/>
      <c r="DJ288" s="52"/>
      <c r="DK288" s="52"/>
      <c r="DL288" s="52"/>
      <c r="DM288" s="52"/>
      <c r="DN288" s="52"/>
      <c r="DO288" s="52"/>
      <c r="DP288" s="52"/>
      <c r="DQ288" s="52"/>
      <c r="DR288" s="52"/>
      <c r="DS288" s="52"/>
      <c r="DT288" s="52"/>
      <c r="DU288" s="52"/>
      <c r="DV288" s="52"/>
      <c r="DW288" s="52"/>
      <c r="DX288" s="52"/>
      <c r="DY288" s="52"/>
      <c r="DZ288" s="52"/>
      <c r="EA288" s="52"/>
      <c r="EB288" s="52"/>
      <c r="EC288" s="52"/>
      <c r="ED288" s="52"/>
      <c r="EE288" s="52"/>
      <c r="EF288" s="52"/>
      <c r="EG288" s="52"/>
      <c r="EH288" s="52"/>
      <c r="EI288" s="52"/>
      <c r="EJ288" s="52"/>
      <c r="EK288" s="52"/>
      <c r="EL288" s="52"/>
      <c r="EM288" s="52"/>
      <c r="EN288" s="52"/>
      <c r="EO288" s="52"/>
      <c r="EP288" s="52"/>
      <c r="EQ288" s="52"/>
      <c r="ER288" s="52"/>
      <c r="ES288" s="52"/>
      <c r="ET288" s="52"/>
      <c r="EU288" s="52"/>
      <c r="EV288" s="52"/>
      <c r="EW288" s="52"/>
      <c r="EX288" s="52"/>
      <c r="EY288" s="52"/>
      <c r="EZ288" s="52"/>
      <c r="FA288" s="52"/>
      <c r="FB288" s="52"/>
      <c r="FC288" s="52"/>
      <c r="FD288" s="52"/>
      <c r="FE288" s="52"/>
      <c r="FF288" s="52"/>
      <c r="FG288" s="52"/>
      <c r="FH288" s="52"/>
      <c r="FI288" s="52"/>
      <c r="FJ288" s="52"/>
      <c r="FK288" s="52"/>
      <c r="FL288" s="52"/>
      <c r="FM288" s="52"/>
      <c r="FN288" s="52"/>
      <c r="FO288" s="52"/>
      <c r="FP288" s="52"/>
      <c r="FQ288" s="52"/>
      <c r="FR288" s="52"/>
      <c r="FS288" s="52"/>
      <c r="FT288" s="52"/>
      <c r="FU288" s="52"/>
      <c r="FV288" s="52"/>
      <c r="FW288" s="52"/>
      <c r="FX288" s="52"/>
    </row>
    <row r="289" ht="15.75" customHeight="1">
      <c r="A289" s="27"/>
      <c r="B289" s="27"/>
      <c r="C289" s="51"/>
      <c r="D289" s="51"/>
      <c r="E289" s="313"/>
      <c r="F289" s="35"/>
      <c r="G289" s="35"/>
      <c r="H289" s="35"/>
      <c r="I289" s="26"/>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c r="BY289" s="52"/>
      <c r="BZ289" s="52"/>
      <c r="CA289" s="52"/>
      <c r="CB289" s="52"/>
      <c r="CC289" s="52"/>
      <c r="CD289" s="52"/>
      <c r="CE289" s="52"/>
      <c r="CF289" s="52"/>
      <c r="CG289" s="52"/>
      <c r="CH289" s="52"/>
      <c r="CI289" s="52"/>
      <c r="CJ289" s="52"/>
      <c r="CK289" s="52"/>
      <c r="CL289" s="52"/>
      <c r="CM289" s="52"/>
      <c r="CN289" s="52"/>
      <c r="CO289" s="52"/>
      <c r="CP289" s="52"/>
      <c r="CQ289" s="52"/>
      <c r="CR289" s="52"/>
      <c r="CS289" s="52"/>
      <c r="CT289" s="52"/>
      <c r="CU289" s="52"/>
      <c r="CV289" s="52"/>
      <c r="CW289" s="52"/>
      <c r="CX289" s="52"/>
      <c r="CY289" s="52"/>
      <c r="CZ289" s="52"/>
      <c r="DA289" s="52"/>
      <c r="DB289" s="52"/>
      <c r="DC289" s="52"/>
      <c r="DD289" s="52"/>
      <c r="DE289" s="52"/>
      <c r="DF289" s="52"/>
      <c r="DG289" s="52"/>
      <c r="DH289" s="52"/>
      <c r="DI289" s="52"/>
      <c r="DJ289" s="52"/>
      <c r="DK289" s="52"/>
      <c r="DL289" s="52"/>
      <c r="DM289" s="52"/>
      <c r="DN289" s="52"/>
      <c r="DO289" s="52"/>
      <c r="DP289" s="52"/>
      <c r="DQ289" s="52"/>
      <c r="DR289" s="52"/>
      <c r="DS289" s="52"/>
      <c r="DT289" s="52"/>
      <c r="DU289" s="52"/>
      <c r="DV289" s="52"/>
      <c r="DW289" s="52"/>
      <c r="DX289" s="52"/>
      <c r="DY289" s="52"/>
      <c r="DZ289" s="52"/>
      <c r="EA289" s="52"/>
      <c r="EB289" s="52"/>
      <c r="EC289" s="52"/>
      <c r="ED289" s="52"/>
      <c r="EE289" s="52"/>
      <c r="EF289" s="52"/>
      <c r="EG289" s="52"/>
      <c r="EH289" s="52"/>
      <c r="EI289" s="52"/>
      <c r="EJ289" s="52"/>
      <c r="EK289" s="52"/>
      <c r="EL289" s="52"/>
      <c r="EM289" s="52"/>
      <c r="EN289" s="52"/>
      <c r="EO289" s="52"/>
      <c r="EP289" s="52"/>
      <c r="EQ289" s="52"/>
      <c r="ER289" s="52"/>
      <c r="ES289" s="52"/>
      <c r="ET289" s="52"/>
      <c r="EU289" s="52"/>
      <c r="EV289" s="52"/>
      <c r="EW289" s="52"/>
      <c r="EX289" s="52"/>
      <c r="EY289" s="52"/>
      <c r="EZ289" s="52"/>
      <c r="FA289" s="52"/>
      <c r="FB289" s="52"/>
      <c r="FC289" s="52"/>
      <c r="FD289" s="52"/>
      <c r="FE289" s="52"/>
      <c r="FF289" s="52"/>
      <c r="FG289" s="52"/>
      <c r="FH289" s="52"/>
      <c r="FI289" s="52"/>
      <c r="FJ289" s="52"/>
      <c r="FK289" s="52"/>
      <c r="FL289" s="52"/>
      <c r="FM289" s="52"/>
      <c r="FN289" s="52"/>
      <c r="FO289" s="52"/>
      <c r="FP289" s="52"/>
      <c r="FQ289" s="52"/>
      <c r="FR289" s="52"/>
      <c r="FS289" s="52"/>
      <c r="FT289" s="52"/>
      <c r="FU289" s="52"/>
      <c r="FV289" s="52"/>
      <c r="FW289" s="52"/>
      <c r="FX289" s="52"/>
    </row>
    <row r="290" ht="15.75" customHeight="1">
      <c r="A290" s="27"/>
      <c r="B290" s="27"/>
      <c r="C290" s="51"/>
      <c r="D290" s="51"/>
      <c r="E290" s="313"/>
      <c r="F290" s="35"/>
      <c r="G290" s="35"/>
      <c r="H290" s="35"/>
      <c r="I290" s="26"/>
      <c r="J290" s="52"/>
      <c r="K290" s="52"/>
      <c r="L290" s="52"/>
      <c r="M290" s="52"/>
      <c r="N290" s="52"/>
      <c r="O290" s="52"/>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c r="BY290" s="52"/>
      <c r="BZ290" s="52"/>
      <c r="CA290" s="52"/>
      <c r="CB290" s="52"/>
      <c r="CC290" s="52"/>
      <c r="CD290" s="52"/>
      <c r="CE290" s="52"/>
      <c r="CF290" s="52"/>
      <c r="CG290" s="52"/>
      <c r="CH290" s="52"/>
      <c r="CI290" s="52"/>
      <c r="CJ290" s="52"/>
      <c r="CK290" s="52"/>
      <c r="CL290" s="52"/>
      <c r="CM290" s="52"/>
      <c r="CN290" s="52"/>
      <c r="CO290" s="52"/>
      <c r="CP290" s="52"/>
      <c r="CQ290" s="52"/>
      <c r="CR290" s="52"/>
      <c r="CS290" s="52"/>
      <c r="CT290" s="52"/>
      <c r="CU290" s="52"/>
      <c r="CV290" s="52"/>
      <c r="CW290" s="52"/>
      <c r="CX290" s="52"/>
      <c r="CY290" s="52"/>
      <c r="CZ290" s="52"/>
      <c r="DA290" s="52"/>
      <c r="DB290" s="52"/>
      <c r="DC290" s="52"/>
      <c r="DD290" s="52"/>
      <c r="DE290" s="52"/>
      <c r="DF290" s="52"/>
      <c r="DG290" s="52"/>
      <c r="DH290" s="52"/>
      <c r="DI290" s="52"/>
      <c r="DJ290" s="52"/>
      <c r="DK290" s="52"/>
      <c r="DL290" s="52"/>
      <c r="DM290" s="52"/>
      <c r="DN290" s="52"/>
      <c r="DO290" s="52"/>
      <c r="DP290" s="52"/>
      <c r="DQ290" s="52"/>
      <c r="DR290" s="52"/>
      <c r="DS290" s="52"/>
      <c r="DT290" s="52"/>
      <c r="DU290" s="52"/>
      <c r="DV290" s="52"/>
      <c r="DW290" s="52"/>
      <c r="DX290" s="52"/>
      <c r="DY290" s="52"/>
      <c r="DZ290" s="52"/>
      <c r="EA290" s="52"/>
      <c r="EB290" s="52"/>
      <c r="EC290" s="52"/>
      <c r="ED290" s="52"/>
      <c r="EE290" s="52"/>
      <c r="EF290" s="52"/>
      <c r="EG290" s="52"/>
      <c r="EH290" s="52"/>
      <c r="EI290" s="52"/>
      <c r="EJ290" s="52"/>
      <c r="EK290" s="52"/>
      <c r="EL290" s="52"/>
      <c r="EM290" s="52"/>
      <c r="EN290" s="52"/>
      <c r="EO290" s="52"/>
      <c r="EP290" s="52"/>
      <c r="EQ290" s="52"/>
      <c r="ER290" s="52"/>
      <c r="ES290" s="52"/>
      <c r="ET290" s="52"/>
      <c r="EU290" s="52"/>
      <c r="EV290" s="52"/>
      <c r="EW290" s="52"/>
      <c r="EX290" s="52"/>
      <c r="EY290" s="52"/>
      <c r="EZ290" s="52"/>
      <c r="FA290" s="52"/>
      <c r="FB290" s="52"/>
      <c r="FC290" s="52"/>
      <c r="FD290" s="52"/>
      <c r="FE290" s="52"/>
      <c r="FF290" s="52"/>
      <c r="FG290" s="52"/>
      <c r="FH290" s="52"/>
      <c r="FI290" s="52"/>
      <c r="FJ290" s="52"/>
      <c r="FK290" s="52"/>
      <c r="FL290" s="52"/>
      <c r="FM290" s="52"/>
      <c r="FN290" s="52"/>
      <c r="FO290" s="52"/>
      <c r="FP290" s="52"/>
      <c r="FQ290" s="52"/>
      <c r="FR290" s="52"/>
      <c r="FS290" s="52"/>
      <c r="FT290" s="52"/>
      <c r="FU290" s="52"/>
      <c r="FV290" s="52"/>
      <c r="FW290" s="52"/>
      <c r="FX290" s="52"/>
    </row>
    <row r="291" ht="15.75" customHeight="1">
      <c r="A291" s="27"/>
      <c r="B291" s="27"/>
      <c r="C291" s="51"/>
      <c r="D291" s="51"/>
      <c r="E291" s="313"/>
      <c r="F291" s="35"/>
      <c r="G291" s="35"/>
      <c r="H291" s="35"/>
      <c r="I291" s="26"/>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c r="BY291" s="52"/>
      <c r="BZ291" s="52"/>
      <c r="CA291" s="52"/>
      <c r="CB291" s="52"/>
      <c r="CC291" s="52"/>
      <c r="CD291" s="52"/>
      <c r="CE291" s="52"/>
      <c r="CF291" s="52"/>
      <c r="CG291" s="52"/>
      <c r="CH291" s="52"/>
      <c r="CI291" s="52"/>
      <c r="CJ291" s="52"/>
      <c r="CK291" s="52"/>
      <c r="CL291" s="52"/>
      <c r="CM291" s="52"/>
      <c r="CN291" s="52"/>
      <c r="CO291" s="52"/>
      <c r="CP291" s="52"/>
      <c r="CQ291" s="52"/>
      <c r="CR291" s="52"/>
      <c r="CS291" s="52"/>
      <c r="CT291" s="52"/>
      <c r="CU291" s="52"/>
      <c r="CV291" s="52"/>
      <c r="CW291" s="52"/>
      <c r="CX291" s="52"/>
      <c r="CY291" s="52"/>
      <c r="CZ291" s="52"/>
      <c r="DA291" s="52"/>
      <c r="DB291" s="52"/>
      <c r="DC291" s="52"/>
      <c r="DD291" s="52"/>
      <c r="DE291" s="52"/>
      <c r="DF291" s="52"/>
      <c r="DG291" s="52"/>
      <c r="DH291" s="52"/>
      <c r="DI291" s="52"/>
      <c r="DJ291" s="52"/>
      <c r="DK291" s="52"/>
      <c r="DL291" s="52"/>
      <c r="DM291" s="52"/>
      <c r="DN291" s="52"/>
      <c r="DO291" s="52"/>
      <c r="DP291" s="52"/>
      <c r="DQ291" s="52"/>
      <c r="DR291" s="52"/>
      <c r="DS291" s="52"/>
      <c r="DT291" s="52"/>
      <c r="DU291" s="52"/>
      <c r="DV291" s="52"/>
      <c r="DW291" s="52"/>
      <c r="DX291" s="52"/>
      <c r="DY291" s="52"/>
      <c r="DZ291" s="52"/>
      <c r="EA291" s="52"/>
      <c r="EB291" s="52"/>
      <c r="EC291" s="52"/>
      <c r="ED291" s="52"/>
      <c r="EE291" s="52"/>
      <c r="EF291" s="52"/>
      <c r="EG291" s="52"/>
      <c r="EH291" s="52"/>
      <c r="EI291" s="52"/>
      <c r="EJ291" s="52"/>
      <c r="EK291" s="52"/>
      <c r="EL291" s="52"/>
      <c r="EM291" s="52"/>
      <c r="EN291" s="52"/>
      <c r="EO291" s="52"/>
      <c r="EP291" s="52"/>
      <c r="EQ291" s="52"/>
      <c r="ER291" s="52"/>
      <c r="ES291" s="52"/>
      <c r="ET291" s="52"/>
      <c r="EU291" s="52"/>
      <c r="EV291" s="52"/>
      <c r="EW291" s="52"/>
      <c r="EX291" s="52"/>
      <c r="EY291" s="52"/>
      <c r="EZ291" s="52"/>
      <c r="FA291" s="52"/>
      <c r="FB291" s="52"/>
      <c r="FC291" s="52"/>
      <c r="FD291" s="52"/>
      <c r="FE291" s="52"/>
      <c r="FF291" s="52"/>
      <c r="FG291" s="52"/>
      <c r="FH291" s="52"/>
      <c r="FI291" s="52"/>
      <c r="FJ291" s="52"/>
      <c r="FK291" s="52"/>
      <c r="FL291" s="52"/>
      <c r="FM291" s="52"/>
      <c r="FN291" s="52"/>
      <c r="FO291" s="52"/>
      <c r="FP291" s="52"/>
      <c r="FQ291" s="52"/>
      <c r="FR291" s="52"/>
      <c r="FS291" s="52"/>
      <c r="FT291" s="52"/>
      <c r="FU291" s="52"/>
      <c r="FV291" s="52"/>
      <c r="FW291" s="52"/>
      <c r="FX291" s="52"/>
    </row>
    <row r="292" ht="15.75" customHeight="1">
      <c r="A292" s="27"/>
      <c r="B292" s="27"/>
      <c r="C292" s="51"/>
      <c r="D292" s="51"/>
      <c r="E292" s="313"/>
      <c r="F292" s="35"/>
      <c r="G292" s="35"/>
      <c r="H292" s="35"/>
      <c r="I292" s="26"/>
      <c r="J292" s="52"/>
      <c r="K292" s="52"/>
      <c r="L292" s="52"/>
      <c r="M292" s="52"/>
      <c r="N292" s="52"/>
      <c r="O292" s="52"/>
      <c r="P292" s="52"/>
      <c r="Q292" s="52"/>
      <c r="R292" s="52"/>
      <c r="S292" s="52"/>
      <c r="T292" s="52"/>
      <c r="U292" s="52"/>
      <c r="V292" s="52"/>
      <c r="W292" s="52"/>
      <c r="X292" s="52"/>
      <c r="Y292" s="52"/>
      <c r="Z292" s="52"/>
      <c r="AA292" s="52"/>
      <c r="AB292" s="52"/>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c r="BC292" s="52"/>
      <c r="BD292" s="52"/>
      <c r="BE292" s="52"/>
      <c r="BF292" s="52"/>
      <c r="BG292" s="52"/>
      <c r="BH292" s="52"/>
      <c r="BI292" s="52"/>
      <c r="BJ292" s="52"/>
      <c r="BK292" s="52"/>
      <c r="BL292" s="52"/>
      <c r="BM292" s="52"/>
      <c r="BN292" s="52"/>
      <c r="BO292" s="52"/>
      <c r="BP292" s="52"/>
      <c r="BQ292" s="52"/>
      <c r="BR292" s="52"/>
      <c r="BS292" s="52"/>
      <c r="BT292" s="52"/>
      <c r="BU292" s="52"/>
      <c r="BV292" s="52"/>
      <c r="BW292" s="52"/>
      <c r="BX292" s="52"/>
      <c r="BY292" s="52"/>
      <c r="BZ292" s="52"/>
      <c r="CA292" s="52"/>
      <c r="CB292" s="52"/>
      <c r="CC292" s="52"/>
      <c r="CD292" s="52"/>
      <c r="CE292" s="52"/>
      <c r="CF292" s="52"/>
      <c r="CG292" s="52"/>
      <c r="CH292" s="52"/>
      <c r="CI292" s="52"/>
      <c r="CJ292" s="52"/>
      <c r="CK292" s="52"/>
      <c r="CL292" s="52"/>
      <c r="CM292" s="52"/>
      <c r="CN292" s="52"/>
      <c r="CO292" s="52"/>
      <c r="CP292" s="52"/>
      <c r="CQ292" s="52"/>
      <c r="CR292" s="52"/>
      <c r="CS292" s="52"/>
      <c r="CT292" s="52"/>
      <c r="CU292" s="52"/>
      <c r="CV292" s="52"/>
      <c r="CW292" s="52"/>
      <c r="CX292" s="52"/>
      <c r="CY292" s="52"/>
      <c r="CZ292" s="52"/>
      <c r="DA292" s="52"/>
      <c r="DB292" s="52"/>
      <c r="DC292" s="52"/>
      <c r="DD292" s="52"/>
      <c r="DE292" s="52"/>
      <c r="DF292" s="52"/>
      <c r="DG292" s="52"/>
      <c r="DH292" s="52"/>
      <c r="DI292" s="52"/>
      <c r="DJ292" s="52"/>
      <c r="DK292" s="52"/>
      <c r="DL292" s="52"/>
      <c r="DM292" s="52"/>
      <c r="DN292" s="52"/>
      <c r="DO292" s="52"/>
      <c r="DP292" s="52"/>
      <c r="DQ292" s="52"/>
      <c r="DR292" s="52"/>
      <c r="DS292" s="52"/>
      <c r="DT292" s="52"/>
      <c r="DU292" s="52"/>
      <c r="DV292" s="52"/>
      <c r="DW292" s="52"/>
      <c r="DX292" s="52"/>
      <c r="DY292" s="52"/>
      <c r="DZ292" s="52"/>
      <c r="EA292" s="52"/>
      <c r="EB292" s="52"/>
      <c r="EC292" s="52"/>
      <c r="ED292" s="52"/>
      <c r="EE292" s="52"/>
      <c r="EF292" s="52"/>
      <c r="EG292" s="52"/>
      <c r="EH292" s="52"/>
      <c r="EI292" s="52"/>
      <c r="EJ292" s="52"/>
      <c r="EK292" s="52"/>
      <c r="EL292" s="52"/>
      <c r="EM292" s="52"/>
      <c r="EN292" s="52"/>
      <c r="EO292" s="52"/>
      <c r="EP292" s="52"/>
      <c r="EQ292" s="52"/>
      <c r="ER292" s="52"/>
      <c r="ES292" s="52"/>
      <c r="ET292" s="52"/>
      <c r="EU292" s="52"/>
      <c r="EV292" s="52"/>
      <c r="EW292" s="52"/>
      <c r="EX292" s="52"/>
      <c r="EY292" s="52"/>
      <c r="EZ292" s="52"/>
      <c r="FA292" s="52"/>
      <c r="FB292" s="52"/>
      <c r="FC292" s="52"/>
      <c r="FD292" s="52"/>
      <c r="FE292" s="52"/>
      <c r="FF292" s="52"/>
      <c r="FG292" s="52"/>
      <c r="FH292" s="52"/>
      <c r="FI292" s="52"/>
      <c r="FJ292" s="52"/>
      <c r="FK292" s="52"/>
      <c r="FL292" s="52"/>
      <c r="FM292" s="52"/>
      <c r="FN292" s="52"/>
      <c r="FO292" s="52"/>
      <c r="FP292" s="52"/>
      <c r="FQ292" s="52"/>
      <c r="FR292" s="52"/>
      <c r="FS292" s="52"/>
      <c r="FT292" s="52"/>
      <c r="FU292" s="52"/>
      <c r="FV292" s="52"/>
      <c r="FW292" s="52"/>
      <c r="FX292" s="52"/>
    </row>
    <row r="293" ht="15.75" customHeight="1">
      <c r="A293" s="27"/>
      <c r="B293" s="27"/>
      <c r="C293" s="51"/>
      <c r="D293" s="51"/>
      <c r="E293" s="313"/>
      <c r="F293" s="35"/>
      <c r="G293" s="35"/>
      <c r="H293" s="35"/>
      <c r="I293" s="26"/>
      <c r="J293" s="52"/>
      <c r="K293" s="52"/>
      <c r="L293" s="52"/>
      <c r="M293" s="52"/>
      <c r="N293" s="52"/>
      <c r="O293" s="52"/>
      <c r="P293" s="52"/>
      <c r="Q293" s="52"/>
      <c r="R293" s="52"/>
      <c r="S293" s="52"/>
      <c r="T293" s="52"/>
      <c r="U293" s="52"/>
      <c r="V293" s="52"/>
      <c r="W293" s="52"/>
      <c r="X293" s="52"/>
      <c r="Y293" s="52"/>
      <c r="Z293" s="52"/>
      <c r="AA293" s="52"/>
      <c r="AB293" s="52"/>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c r="BC293" s="52"/>
      <c r="BD293" s="52"/>
      <c r="BE293" s="52"/>
      <c r="BF293" s="52"/>
      <c r="BG293" s="52"/>
      <c r="BH293" s="52"/>
      <c r="BI293" s="52"/>
      <c r="BJ293" s="52"/>
      <c r="BK293" s="52"/>
      <c r="BL293" s="52"/>
      <c r="BM293" s="52"/>
      <c r="BN293" s="52"/>
      <c r="BO293" s="52"/>
      <c r="BP293" s="52"/>
      <c r="BQ293" s="52"/>
      <c r="BR293" s="52"/>
      <c r="BS293" s="52"/>
      <c r="BT293" s="52"/>
      <c r="BU293" s="52"/>
      <c r="BV293" s="52"/>
      <c r="BW293" s="52"/>
      <c r="BX293" s="52"/>
      <c r="BY293" s="52"/>
      <c r="BZ293" s="52"/>
      <c r="CA293" s="52"/>
      <c r="CB293" s="52"/>
      <c r="CC293" s="52"/>
      <c r="CD293" s="52"/>
      <c r="CE293" s="52"/>
      <c r="CF293" s="52"/>
      <c r="CG293" s="52"/>
      <c r="CH293" s="52"/>
      <c r="CI293" s="52"/>
      <c r="CJ293" s="52"/>
      <c r="CK293" s="52"/>
      <c r="CL293" s="52"/>
      <c r="CM293" s="52"/>
      <c r="CN293" s="52"/>
      <c r="CO293" s="52"/>
      <c r="CP293" s="52"/>
      <c r="CQ293" s="52"/>
      <c r="CR293" s="52"/>
      <c r="CS293" s="52"/>
      <c r="CT293" s="52"/>
      <c r="CU293" s="52"/>
      <c r="CV293" s="52"/>
      <c r="CW293" s="52"/>
      <c r="CX293" s="52"/>
      <c r="CY293" s="52"/>
      <c r="CZ293" s="52"/>
      <c r="DA293" s="52"/>
      <c r="DB293" s="52"/>
      <c r="DC293" s="52"/>
      <c r="DD293" s="52"/>
      <c r="DE293" s="52"/>
      <c r="DF293" s="52"/>
      <c r="DG293" s="52"/>
      <c r="DH293" s="52"/>
      <c r="DI293" s="52"/>
      <c r="DJ293" s="52"/>
      <c r="DK293" s="52"/>
      <c r="DL293" s="52"/>
      <c r="DM293" s="52"/>
      <c r="DN293" s="52"/>
      <c r="DO293" s="52"/>
      <c r="DP293" s="52"/>
      <c r="DQ293" s="52"/>
      <c r="DR293" s="52"/>
      <c r="DS293" s="52"/>
      <c r="DT293" s="52"/>
      <c r="DU293" s="52"/>
      <c r="DV293" s="52"/>
      <c r="DW293" s="52"/>
      <c r="DX293" s="52"/>
      <c r="DY293" s="52"/>
      <c r="DZ293" s="52"/>
      <c r="EA293" s="52"/>
      <c r="EB293" s="52"/>
      <c r="EC293" s="52"/>
      <c r="ED293" s="52"/>
      <c r="EE293" s="52"/>
      <c r="EF293" s="52"/>
      <c r="EG293" s="52"/>
      <c r="EH293" s="52"/>
      <c r="EI293" s="52"/>
      <c r="EJ293" s="52"/>
      <c r="EK293" s="52"/>
      <c r="EL293" s="52"/>
      <c r="EM293" s="52"/>
      <c r="EN293" s="52"/>
      <c r="EO293" s="52"/>
      <c r="EP293" s="52"/>
      <c r="EQ293" s="52"/>
      <c r="ER293" s="52"/>
      <c r="ES293" s="52"/>
      <c r="ET293" s="52"/>
      <c r="EU293" s="52"/>
      <c r="EV293" s="52"/>
      <c r="EW293" s="52"/>
      <c r="EX293" s="52"/>
      <c r="EY293" s="52"/>
      <c r="EZ293" s="52"/>
      <c r="FA293" s="52"/>
      <c r="FB293" s="52"/>
      <c r="FC293" s="52"/>
      <c r="FD293" s="52"/>
      <c r="FE293" s="52"/>
      <c r="FF293" s="52"/>
      <c r="FG293" s="52"/>
      <c r="FH293" s="52"/>
      <c r="FI293" s="52"/>
      <c r="FJ293" s="52"/>
      <c r="FK293" s="52"/>
      <c r="FL293" s="52"/>
      <c r="FM293" s="52"/>
      <c r="FN293" s="52"/>
      <c r="FO293" s="52"/>
      <c r="FP293" s="52"/>
      <c r="FQ293" s="52"/>
      <c r="FR293" s="52"/>
      <c r="FS293" s="52"/>
      <c r="FT293" s="52"/>
      <c r="FU293" s="52"/>
      <c r="FV293" s="52"/>
      <c r="FW293" s="52"/>
      <c r="FX293" s="52"/>
    </row>
    <row r="294" ht="15.75" customHeight="1">
      <c r="A294" s="27"/>
      <c r="B294" s="27"/>
      <c r="C294" s="51"/>
      <c r="D294" s="51"/>
      <c r="E294" s="313"/>
      <c r="F294" s="35"/>
      <c r="G294" s="35"/>
      <c r="H294" s="35"/>
      <c r="I294" s="26"/>
      <c r="J294" s="52"/>
      <c r="K294" s="52"/>
      <c r="L294" s="52"/>
      <c r="M294" s="52"/>
      <c r="N294" s="52"/>
      <c r="O294" s="52"/>
      <c r="P294" s="52"/>
      <c r="Q294" s="52"/>
      <c r="R294" s="52"/>
      <c r="S294" s="52"/>
      <c r="T294" s="52"/>
      <c r="U294" s="52"/>
      <c r="V294" s="52"/>
      <c r="W294" s="52"/>
      <c r="X294" s="52"/>
      <c r="Y294" s="52"/>
      <c r="Z294" s="52"/>
      <c r="AA294" s="52"/>
      <c r="AB294" s="52"/>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2"/>
      <c r="AY294" s="52"/>
      <c r="AZ294" s="52"/>
      <c r="BA294" s="52"/>
      <c r="BB294" s="52"/>
      <c r="BC294" s="52"/>
      <c r="BD294" s="52"/>
      <c r="BE294" s="52"/>
      <c r="BF294" s="52"/>
      <c r="BG294" s="52"/>
      <c r="BH294" s="52"/>
      <c r="BI294" s="52"/>
      <c r="BJ294" s="52"/>
      <c r="BK294" s="52"/>
      <c r="BL294" s="52"/>
      <c r="BM294" s="52"/>
      <c r="BN294" s="52"/>
      <c r="BO294" s="52"/>
      <c r="BP294" s="52"/>
      <c r="BQ294" s="52"/>
      <c r="BR294" s="52"/>
      <c r="BS294" s="52"/>
      <c r="BT294" s="52"/>
      <c r="BU294" s="52"/>
      <c r="BV294" s="52"/>
      <c r="BW294" s="52"/>
      <c r="BX294" s="52"/>
      <c r="BY294" s="52"/>
      <c r="BZ294" s="52"/>
      <c r="CA294" s="52"/>
      <c r="CB294" s="52"/>
      <c r="CC294" s="52"/>
      <c r="CD294" s="52"/>
      <c r="CE294" s="52"/>
      <c r="CF294" s="52"/>
      <c r="CG294" s="52"/>
      <c r="CH294" s="52"/>
      <c r="CI294" s="52"/>
      <c r="CJ294" s="52"/>
      <c r="CK294" s="52"/>
      <c r="CL294" s="52"/>
      <c r="CM294" s="52"/>
      <c r="CN294" s="52"/>
      <c r="CO294" s="52"/>
      <c r="CP294" s="52"/>
      <c r="CQ294" s="52"/>
      <c r="CR294" s="52"/>
      <c r="CS294" s="52"/>
      <c r="CT294" s="52"/>
      <c r="CU294" s="52"/>
      <c r="CV294" s="52"/>
      <c r="CW294" s="52"/>
      <c r="CX294" s="52"/>
      <c r="CY294" s="52"/>
      <c r="CZ294" s="52"/>
      <c r="DA294" s="52"/>
      <c r="DB294" s="52"/>
      <c r="DC294" s="52"/>
      <c r="DD294" s="52"/>
      <c r="DE294" s="52"/>
      <c r="DF294" s="52"/>
      <c r="DG294" s="52"/>
      <c r="DH294" s="52"/>
      <c r="DI294" s="52"/>
      <c r="DJ294" s="52"/>
      <c r="DK294" s="52"/>
      <c r="DL294" s="52"/>
      <c r="DM294" s="52"/>
      <c r="DN294" s="52"/>
      <c r="DO294" s="52"/>
      <c r="DP294" s="52"/>
      <c r="DQ294" s="52"/>
      <c r="DR294" s="52"/>
      <c r="DS294" s="52"/>
      <c r="DT294" s="52"/>
      <c r="DU294" s="52"/>
      <c r="DV294" s="52"/>
      <c r="DW294" s="52"/>
      <c r="DX294" s="52"/>
      <c r="DY294" s="52"/>
      <c r="DZ294" s="52"/>
      <c r="EA294" s="52"/>
      <c r="EB294" s="52"/>
      <c r="EC294" s="52"/>
      <c r="ED294" s="52"/>
      <c r="EE294" s="52"/>
      <c r="EF294" s="52"/>
      <c r="EG294" s="52"/>
      <c r="EH294" s="52"/>
      <c r="EI294" s="52"/>
      <c r="EJ294" s="52"/>
      <c r="EK294" s="52"/>
      <c r="EL294" s="52"/>
      <c r="EM294" s="52"/>
      <c r="EN294" s="52"/>
      <c r="EO294" s="52"/>
      <c r="EP294" s="52"/>
      <c r="EQ294" s="52"/>
      <c r="ER294" s="52"/>
      <c r="ES294" s="52"/>
      <c r="ET294" s="52"/>
      <c r="EU294" s="52"/>
      <c r="EV294" s="52"/>
      <c r="EW294" s="52"/>
      <c r="EX294" s="52"/>
      <c r="EY294" s="52"/>
      <c r="EZ294" s="52"/>
      <c r="FA294" s="52"/>
      <c r="FB294" s="52"/>
      <c r="FC294" s="52"/>
      <c r="FD294" s="52"/>
      <c r="FE294" s="52"/>
      <c r="FF294" s="52"/>
      <c r="FG294" s="52"/>
      <c r="FH294" s="52"/>
      <c r="FI294" s="52"/>
      <c r="FJ294" s="52"/>
      <c r="FK294" s="52"/>
      <c r="FL294" s="52"/>
      <c r="FM294" s="52"/>
      <c r="FN294" s="52"/>
      <c r="FO294" s="52"/>
      <c r="FP294" s="52"/>
      <c r="FQ294" s="52"/>
      <c r="FR294" s="52"/>
      <c r="FS294" s="52"/>
      <c r="FT294" s="52"/>
      <c r="FU294" s="52"/>
      <c r="FV294" s="52"/>
      <c r="FW294" s="52"/>
      <c r="FX294" s="52"/>
    </row>
    <row r="295" ht="15.75" customHeight="1">
      <c r="A295" s="27"/>
      <c r="B295" s="27"/>
      <c r="C295" s="51"/>
      <c r="D295" s="51"/>
      <c r="E295" s="313"/>
      <c r="F295" s="35"/>
      <c r="G295" s="35"/>
      <c r="H295" s="35"/>
      <c r="I295" s="26"/>
      <c r="J295" s="52"/>
      <c r="K295" s="52"/>
      <c r="L295" s="52"/>
      <c r="M295" s="52"/>
      <c r="N295" s="52"/>
      <c r="O295" s="52"/>
      <c r="P295" s="52"/>
      <c r="Q295" s="52"/>
      <c r="R295" s="52"/>
      <c r="S295" s="52"/>
      <c r="T295" s="52"/>
      <c r="U295" s="52"/>
      <c r="V295" s="52"/>
      <c r="W295" s="52"/>
      <c r="X295" s="52"/>
      <c r="Y295" s="52"/>
      <c r="Z295" s="52"/>
      <c r="AA295" s="52"/>
      <c r="AB295" s="52"/>
      <c r="AC295" s="52"/>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c r="BC295" s="52"/>
      <c r="BD295" s="52"/>
      <c r="BE295" s="52"/>
      <c r="BF295" s="52"/>
      <c r="BG295" s="52"/>
      <c r="BH295" s="52"/>
      <c r="BI295" s="52"/>
      <c r="BJ295" s="52"/>
      <c r="BK295" s="52"/>
      <c r="BL295" s="52"/>
      <c r="BM295" s="52"/>
      <c r="BN295" s="52"/>
      <c r="BO295" s="52"/>
      <c r="BP295" s="52"/>
      <c r="BQ295" s="52"/>
      <c r="BR295" s="52"/>
      <c r="BS295" s="52"/>
      <c r="BT295" s="52"/>
      <c r="BU295" s="52"/>
      <c r="BV295" s="52"/>
      <c r="BW295" s="52"/>
      <c r="BX295" s="52"/>
      <c r="BY295" s="52"/>
      <c r="BZ295" s="52"/>
      <c r="CA295" s="52"/>
      <c r="CB295" s="52"/>
      <c r="CC295" s="52"/>
      <c r="CD295" s="52"/>
      <c r="CE295" s="52"/>
      <c r="CF295" s="52"/>
      <c r="CG295" s="52"/>
      <c r="CH295" s="52"/>
      <c r="CI295" s="52"/>
      <c r="CJ295" s="52"/>
      <c r="CK295" s="52"/>
      <c r="CL295" s="52"/>
      <c r="CM295" s="52"/>
      <c r="CN295" s="52"/>
      <c r="CO295" s="52"/>
      <c r="CP295" s="52"/>
      <c r="CQ295" s="52"/>
      <c r="CR295" s="52"/>
      <c r="CS295" s="52"/>
      <c r="CT295" s="52"/>
      <c r="CU295" s="52"/>
      <c r="CV295" s="52"/>
      <c r="CW295" s="52"/>
      <c r="CX295" s="52"/>
      <c r="CY295" s="52"/>
      <c r="CZ295" s="52"/>
      <c r="DA295" s="52"/>
      <c r="DB295" s="52"/>
      <c r="DC295" s="52"/>
      <c r="DD295" s="52"/>
      <c r="DE295" s="52"/>
      <c r="DF295" s="52"/>
      <c r="DG295" s="52"/>
      <c r="DH295" s="52"/>
      <c r="DI295" s="52"/>
      <c r="DJ295" s="52"/>
      <c r="DK295" s="52"/>
      <c r="DL295" s="52"/>
      <c r="DM295" s="52"/>
      <c r="DN295" s="52"/>
      <c r="DO295" s="52"/>
      <c r="DP295" s="52"/>
      <c r="DQ295" s="52"/>
      <c r="DR295" s="52"/>
      <c r="DS295" s="52"/>
      <c r="DT295" s="52"/>
      <c r="DU295" s="52"/>
      <c r="DV295" s="52"/>
      <c r="DW295" s="52"/>
      <c r="DX295" s="52"/>
      <c r="DY295" s="52"/>
      <c r="DZ295" s="52"/>
      <c r="EA295" s="52"/>
      <c r="EB295" s="52"/>
      <c r="EC295" s="52"/>
      <c r="ED295" s="52"/>
      <c r="EE295" s="52"/>
      <c r="EF295" s="52"/>
      <c r="EG295" s="52"/>
      <c r="EH295" s="52"/>
      <c r="EI295" s="52"/>
      <c r="EJ295" s="52"/>
      <c r="EK295" s="52"/>
      <c r="EL295" s="52"/>
      <c r="EM295" s="52"/>
      <c r="EN295" s="52"/>
      <c r="EO295" s="52"/>
      <c r="EP295" s="52"/>
      <c r="EQ295" s="52"/>
      <c r="ER295" s="52"/>
      <c r="ES295" s="52"/>
      <c r="ET295" s="52"/>
      <c r="EU295" s="52"/>
      <c r="EV295" s="52"/>
      <c r="EW295" s="52"/>
      <c r="EX295" s="52"/>
      <c r="EY295" s="52"/>
      <c r="EZ295" s="52"/>
      <c r="FA295" s="52"/>
      <c r="FB295" s="52"/>
      <c r="FC295" s="52"/>
      <c r="FD295" s="52"/>
      <c r="FE295" s="52"/>
      <c r="FF295" s="52"/>
      <c r="FG295" s="52"/>
      <c r="FH295" s="52"/>
      <c r="FI295" s="52"/>
      <c r="FJ295" s="52"/>
      <c r="FK295" s="52"/>
      <c r="FL295" s="52"/>
      <c r="FM295" s="52"/>
      <c r="FN295" s="52"/>
      <c r="FO295" s="52"/>
      <c r="FP295" s="52"/>
      <c r="FQ295" s="52"/>
      <c r="FR295" s="52"/>
      <c r="FS295" s="52"/>
      <c r="FT295" s="52"/>
      <c r="FU295" s="52"/>
      <c r="FV295" s="52"/>
      <c r="FW295" s="52"/>
      <c r="FX295" s="52"/>
    </row>
    <row r="296" ht="15.75" customHeight="1">
      <c r="A296" s="27"/>
      <c r="B296" s="27"/>
      <c r="C296" s="51"/>
      <c r="D296" s="51"/>
      <c r="E296" s="313"/>
      <c r="F296" s="35"/>
      <c r="G296" s="35"/>
      <c r="H296" s="35"/>
      <c r="I296" s="26"/>
      <c r="J296" s="52"/>
      <c r="K296" s="52"/>
      <c r="L296" s="52"/>
      <c r="M296" s="52"/>
      <c r="N296" s="52"/>
      <c r="O296" s="52"/>
      <c r="P296" s="52"/>
      <c r="Q296" s="52"/>
      <c r="R296" s="52"/>
      <c r="S296" s="52"/>
      <c r="T296" s="52"/>
      <c r="U296" s="52"/>
      <c r="V296" s="52"/>
      <c r="W296" s="52"/>
      <c r="X296" s="52"/>
      <c r="Y296" s="52"/>
      <c r="Z296" s="52"/>
      <c r="AA296" s="52"/>
      <c r="AB296" s="52"/>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2"/>
      <c r="BP296" s="52"/>
      <c r="BQ296" s="52"/>
      <c r="BR296" s="52"/>
      <c r="BS296" s="52"/>
      <c r="BT296" s="52"/>
      <c r="BU296" s="52"/>
      <c r="BV296" s="52"/>
      <c r="BW296" s="52"/>
      <c r="BX296" s="52"/>
      <c r="BY296" s="52"/>
      <c r="BZ296" s="52"/>
      <c r="CA296" s="52"/>
      <c r="CB296" s="52"/>
      <c r="CC296" s="52"/>
      <c r="CD296" s="52"/>
      <c r="CE296" s="52"/>
      <c r="CF296" s="52"/>
      <c r="CG296" s="52"/>
      <c r="CH296" s="52"/>
      <c r="CI296" s="52"/>
      <c r="CJ296" s="52"/>
      <c r="CK296" s="52"/>
      <c r="CL296" s="52"/>
      <c r="CM296" s="52"/>
      <c r="CN296" s="52"/>
      <c r="CO296" s="52"/>
      <c r="CP296" s="52"/>
      <c r="CQ296" s="52"/>
      <c r="CR296" s="52"/>
      <c r="CS296" s="52"/>
      <c r="CT296" s="52"/>
      <c r="CU296" s="52"/>
      <c r="CV296" s="52"/>
      <c r="CW296" s="52"/>
      <c r="CX296" s="52"/>
      <c r="CY296" s="52"/>
      <c r="CZ296" s="52"/>
      <c r="DA296" s="52"/>
      <c r="DB296" s="52"/>
      <c r="DC296" s="52"/>
      <c r="DD296" s="52"/>
      <c r="DE296" s="52"/>
      <c r="DF296" s="52"/>
      <c r="DG296" s="52"/>
      <c r="DH296" s="52"/>
      <c r="DI296" s="52"/>
      <c r="DJ296" s="52"/>
      <c r="DK296" s="52"/>
      <c r="DL296" s="52"/>
      <c r="DM296" s="52"/>
      <c r="DN296" s="52"/>
      <c r="DO296" s="52"/>
      <c r="DP296" s="52"/>
      <c r="DQ296" s="52"/>
      <c r="DR296" s="52"/>
      <c r="DS296" s="52"/>
      <c r="DT296" s="52"/>
      <c r="DU296" s="52"/>
      <c r="DV296" s="52"/>
      <c r="DW296" s="52"/>
      <c r="DX296" s="52"/>
      <c r="DY296" s="52"/>
      <c r="DZ296" s="52"/>
      <c r="EA296" s="52"/>
      <c r="EB296" s="52"/>
      <c r="EC296" s="52"/>
      <c r="ED296" s="52"/>
      <c r="EE296" s="52"/>
      <c r="EF296" s="52"/>
      <c r="EG296" s="52"/>
      <c r="EH296" s="52"/>
      <c r="EI296" s="52"/>
      <c r="EJ296" s="52"/>
      <c r="EK296" s="52"/>
      <c r="EL296" s="52"/>
      <c r="EM296" s="52"/>
      <c r="EN296" s="52"/>
      <c r="EO296" s="52"/>
      <c r="EP296" s="52"/>
      <c r="EQ296" s="52"/>
      <c r="ER296" s="52"/>
      <c r="ES296" s="52"/>
      <c r="ET296" s="52"/>
      <c r="EU296" s="52"/>
      <c r="EV296" s="52"/>
      <c r="EW296" s="52"/>
      <c r="EX296" s="52"/>
      <c r="EY296" s="52"/>
      <c r="EZ296" s="52"/>
      <c r="FA296" s="52"/>
      <c r="FB296" s="52"/>
      <c r="FC296" s="52"/>
      <c r="FD296" s="52"/>
      <c r="FE296" s="52"/>
      <c r="FF296" s="52"/>
      <c r="FG296" s="52"/>
      <c r="FH296" s="52"/>
      <c r="FI296" s="52"/>
      <c r="FJ296" s="52"/>
      <c r="FK296" s="52"/>
      <c r="FL296" s="52"/>
      <c r="FM296" s="52"/>
      <c r="FN296" s="52"/>
      <c r="FO296" s="52"/>
      <c r="FP296" s="52"/>
      <c r="FQ296" s="52"/>
      <c r="FR296" s="52"/>
      <c r="FS296" s="52"/>
      <c r="FT296" s="52"/>
      <c r="FU296" s="52"/>
      <c r="FV296" s="52"/>
      <c r="FW296" s="52"/>
      <c r="FX296" s="52"/>
    </row>
    <row r="297" ht="15.75" customHeight="1">
      <c r="A297" s="27"/>
      <c r="B297" s="27"/>
      <c r="C297" s="51"/>
      <c r="D297" s="51"/>
      <c r="E297" s="313"/>
      <c r="F297" s="35"/>
      <c r="G297" s="35"/>
      <c r="H297" s="35"/>
      <c r="I297" s="26"/>
      <c r="J297" s="52"/>
      <c r="K297" s="52"/>
      <c r="L297" s="52"/>
      <c r="M297" s="52"/>
      <c r="N297" s="52"/>
      <c r="O297" s="52"/>
      <c r="P297" s="52"/>
      <c r="Q297" s="52"/>
      <c r="R297" s="52"/>
      <c r="S297" s="52"/>
      <c r="T297" s="52"/>
      <c r="U297" s="52"/>
      <c r="V297" s="52"/>
      <c r="W297" s="52"/>
      <c r="X297" s="52"/>
      <c r="Y297" s="52"/>
      <c r="Z297" s="52"/>
      <c r="AA297" s="52"/>
      <c r="AB297" s="52"/>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c r="AZ297" s="52"/>
      <c r="BA297" s="52"/>
      <c r="BB297" s="52"/>
      <c r="BC297" s="52"/>
      <c r="BD297" s="52"/>
      <c r="BE297" s="52"/>
      <c r="BF297" s="52"/>
      <c r="BG297" s="52"/>
      <c r="BH297" s="52"/>
      <c r="BI297" s="52"/>
      <c r="BJ297" s="52"/>
      <c r="BK297" s="52"/>
      <c r="BL297" s="52"/>
      <c r="BM297" s="52"/>
      <c r="BN297" s="52"/>
      <c r="BO297" s="52"/>
      <c r="BP297" s="52"/>
      <c r="BQ297" s="52"/>
      <c r="BR297" s="52"/>
      <c r="BS297" s="52"/>
      <c r="BT297" s="52"/>
      <c r="BU297" s="52"/>
      <c r="BV297" s="52"/>
      <c r="BW297" s="52"/>
      <c r="BX297" s="52"/>
      <c r="BY297" s="52"/>
      <c r="BZ297" s="52"/>
      <c r="CA297" s="52"/>
      <c r="CB297" s="52"/>
      <c r="CC297" s="52"/>
      <c r="CD297" s="52"/>
      <c r="CE297" s="52"/>
      <c r="CF297" s="52"/>
      <c r="CG297" s="52"/>
      <c r="CH297" s="52"/>
      <c r="CI297" s="52"/>
      <c r="CJ297" s="52"/>
      <c r="CK297" s="52"/>
      <c r="CL297" s="52"/>
      <c r="CM297" s="52"/>
      <c r="CN297" s="52"/>
      <c r="CO297" s="52"/>
      <c r="CP297" s="52"/>
      <c r="CQ297" s="52"/>
      <c r="CR297" s="52"/>
      <c r="CS297" s="52"/>
      <c r="CT297" s="52"/>
      <c r="CU297" s="52"/>
      <c r="CV297" s="52"/>
      <c r="CW297" s="52"/>
      <c r="CX297" s="52"/>
      <c r="CY297" s="52"/>
      <c r="CZ297" s="52"/>
      <c r="DA297" s="52"/>
      <c r="DB297" s="52"/>
      <c r="DC297" s="52"/>
      <c r="DD297" s="52"/>
      <c r="DE297" s="52"/>
      <c r="DF297" s="52"/>
      <c r="DG297" s="52"/>
      <c r="DH297" s="52"/>
      <c r="DI297" s="52"/>
      <c r="DJ297" s="52"/>
      <c r="DK297" s="52"/>
      <c r="DL297" s="52"/>
      <c r="DM297" s="52"/>
      <c r="DN297" s="52"/>
      <c r="DO297" s="52"/>
      <c r="DP297" s="52"/>
      <c r="DQ297" s="52"/>
      <c r="DR297" s="52"/>
      <c r="DS297" s="52"/>
      <c r="DT297" s="52"/>
      <c r="DU297" s="52"/>
      <c r="DV297" s="52"/>
      <c r="DW297" s="52"/>
      <c r="DX297" s="52"/>
      <c r="DY297" s="52"/>
      <c r="DZ297" s="52"/>
      <c r="EA297" s="52"/>
      <c r="EB297" s="52"/>
      <c r="EC297" s="52"/>
      <c r="ED297" s="52"/>
      <c r="EE297" s="52"/>
      <c r="EF297" s="52"/>
      <c r="EG297" s="52"/>
      <c r="EH297" s="52"/>
      <c r="EI297" s="52"/>
      <c r="EJ297" s="52"/>
      <c r="EK297" s="52"/>
      <c r="EL297" s="52"/>
      <c r="EM297" s="52"/>
      <c r="EN297" s="52"/>
      <c r="EO297" s="52"/>
      <c r="EP297" s="52"/>
      <c r="EQ297" s="52"/>
      <c r="ER297" s="52"/>
      <c r="ES297" s="52"/>
      <c r="ET297" s="52"/>
      <c r="EU297" s="52"/>
      <c r="EV297" s="52"/>
      <c r="EW297" s="52"/>
      <c r="EX297" s="52"/>
      <c r="EY297" s="52"/>
      <c r="EZ297" s="52"/>
      <c r="FA297" s="52"/>
      <c r="FB297" s="52"/>
      <c r="FC297" s="52"/>
      <c r="FD297" s="52"/>
      <c r="FE297" s="52"/>
      <c r="FF297" s="52"/>
      <c r="FG297" s="52"/>
      <c r="FH297" s="52"/>
      <c r="FI297" s="52"/>
      <c r="FJ297" s="52"/>
      <c r="FK297" s="52"/>
      <c r="FL297" s="52"/>
      <c r="FM297" s="52"/>
      <c r="FN297" s="52"/>
      <c r="FO297" s="52"/>
      <c r="FP297" s="52"/>
      <c r="FQ297" s="52"/>
      <c r="FR297" s="52"/>
      <c r="FS297" s="52"/>
      <c r="FT297" s="52"/>
      <c r="FU297" s="52"/>
      <c r="FV297" s="52"/>
      <c r="FW297" s="52"/>
      <c r="FX297" s="52"/>
    </row>
    <row r="298" ht="15.75" customHeight="1">
      <c r="A298" s="27"/>
      <c r="B298" s="27"/>
      <c r="C298" s="51"/>
      <c r="D298" s="51"/>
      <c r="E298" s="313"/>
      <c r="F298" s="35"/>
      <c r="G298" s="35"/>
      <c r="H298" s="35"/>
      <c r="I298" s="26"/>
      <c r="J298" s="52"/>
      <c r="K298" s="52"/>
      <c r="L298" s="52"/>
      <c r="M298" s="52"/>
      <c r="N298" s="52"/>
      <c r="O298" s="52"/>
      <c r="P298" s="52"/>
      <c r="Q298" s="52"/>
      <c r="R298" s="52"/>
      <c r="S298" s="52"/>
      <c r="T298" s="52"/>
      <c r="U298" s="52"/>
      <c r="V298" s="52"/>
      <c r="W298" s="52"/>
      <c r="X298" s="52"/>
      <c r="Y298" s="52"/>
      <c r="Z298" s="52"/>
      <c r="AA298" s="52"/>
      <c r="AB298" s="52"/>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2"/>
      <c r="AY298" s="52"/>
      <c r="AZ298" s="52"/>
      <c r="BA298" s="52"/>
      <c r="BB298" s="52"/>
      <c r="BC298" s="52"/>
      <c r="BD298" s="52"/>
      <c r="BE298" s="52"/>
      <c r="BF298" s="52"/>
      <c r="BG298" s="52"/>
      <c r="BH298" s="52"/>
      <c r="BI298" s="52"/>
      <c r="BJ298" s="52"/>
      <c r="BK298" s="52"/>
      <c r="BL298" s="52"/>
      <c r="BM298" s="52"/>
      <c r="BN298" s="52"/>
      <c r="BO298" s="52"/>
      <c r="BP298" s="52"/>
      <c r="BQ298" s="52"/>
      <c r="BR298" s="52"/>
      <c r="BS298" s="52"/>
      <c r="BT298" s="52"/>
      <c r="BU298" s="52"/>
      <c r="BV298" s="52"/>
      <c r="BW298" s="52"/>
      <c r="BX298" s="52"/>
      <c r="BY298" s="52"/>
      <c r="BZ298" s="52"/>
      <c r="CA298" s="52"/>
      <c r="CB298" s="52"/>
      <c r="CC298" s="52"/>
      <c r="CD298" s="52"/>
      <c r="CE298" s="52"/>
      <c r="CF298" s="52"/>
      <c r="CG298" s="52"/>
      <c r="CH298" s="52"/>
      <c r="CI298" s="52"/>
      <c r="CJ298" s="52"/>
      <c r="CK298" s="52"/>
      <c r="CL298" s="52"/>
      <c r="CM298" s="52"/>
      <c r="CN298" s="52"/>
      <c r="CO298" s="52"/>
      <c r="CP298" s="52"/>
      <c r="CQ298" s="52"/>
      <c r="CR298" s="52"/>
      <c r="CS298" s="52"/>
      <c r="CT298" s="52"/>
      <c r="CU298" s="52"/>
      <c r="CV298" s="52"/>
      <c r="CW298" s="52"/>
      <c r="CX298" s="52"/>
      <c r="CY298" s="52"/>
      <c r="CZ298" s="52"/>
      <c r="DA298" s="52"/>
      <c r="DB298" s="52"/>
      <c r="DC298" s="52"/>
      <c r="DD298" s="52"/>
      <c r="DE298" s="52"/>
      <c r="DF298" s="52"/>
      <c r="DG298" s="52"/>
      <c r="DH298" s="52"/>
      <c r="DI298" s="52"/>
      <c r="DJ298" s="52"/>
      <c r="DK298" s="52"/>
      <c r="DL298" s="52"/>
      <c r="DM298" s="52"/>
      <c r="DN298" s="52"/>
      <c r="DO298" s="52"/>
      <c r="DP298" s="52"/>
      <c r="DQ298" s="52"/>
      <c r="DR298" s="52"/>
      <c r="DS298" s="52"/>
      <c r="DT298" s="52"/>
      <c r="DU298" s="52"/>
      <c r="DV298" s="52"/>
      <c r="DW298" s="52"/>
      <c r="DX298" s="52"/>
      <c r="DY298" s="52"/>
      <c r="DZ298" s="52"/>
      <c r="EA298" s="52"/>
      <c r="EB298" s="52"/>
      <c r="EC298" s="52"/>
      <c r="ED298" s="52"/>
      <c r="EE298" s="52"/>
      <c r="EF298" s="52"/>
      <c r="EG298" s="52"/>
      <c r="EH298" s="52"/>
      <c r="EI298" s="52"/>
      <c r="EJ298" s="52"/>
      <c r="EK298" s="52"/>
      <c r="EL298" s="52"/>
      <c r="EM298" s="52"/>
      <c r="EN298" s="52"/>
      <c r="EO298" s="52"/>
      <c r="EP298" s="52"/>
      <c r="EQ298" s="52"/>
      <c r="ER298" s="52"/>
      <c r="ES298" s="52"/>
      <c r="ET298" s="52"/>
      <c r="EU298" s="52"/>
      <c r="EV298" s="52"/>
      <c r="EW298" s="52"/>
      <c r="EX298" s="52"/>
      <c r="EY298" s="52"/>
      <c r="EZ298" s="52"/>
      <c r="FA298" s="52"/>
      <c r="FB298" s="52"/>
      <c r="FC298" s="52"/>
      <c r="FD298" s="52"/>
      <c r="FE298" s="52"/>
      <c r="FF298" s="52"/>
      <c r="FG298" s="52"/>
      <c r="FH298" s="52"/>
      <c r="FI298" s="52"/>
      <c r="FJ298" s="52"/>
      <c r="FK298" s="52"/>
      <c r="FL298" s="52"/>
      <c r="FM298" s="52"/>
      <c r="FN298" s="52"/>
      <c r="FO298" s="52"/>
      <c r="FP298" s="52"/>
      <c r="FQ298" s="52"/>
      <c r="FR298" s="52"/>
      <c r="FS298" s="52"/>
      <c r="FT298" s="52"/>
      <c r="FU298" s="52"/>
      <c r="FV298" s="52"/>
      <c r="FW298" s="52"/>
      <c r="FX298" s="52"/>
    </row>
    <row r="299" ht="15.75" customHeight="1">
      <c r="A299" s="27"/>
      <c r="B299" s="27"/>
      <c r="C299" s="51"/>
      <c r="D299" s="51"/>
      <c r="E299" s="313"/>
      <c r="F299" s="35"/>
      <c r="G299" s="35"/>
      <c r="H299" s="35"/>
      <c r="I299" s="26"/>
      <c r="J299" s="52"/>
      <c r="K299" s="52"/>
      <c r="L299" s="52"/>
      <c r="M299" s="52"/>
      <c r="N299" s="52"/>
      <c r="O299" s="52"/>
      <c r="P299" s="52"/>
      <c r="Q299" s="52"/>
      <c r="R299" s="52"/>
      <c r="S299" s="52"/>
      <c r="T299" s="52"/>
      <c r="U299" s="52"/>
      <c r="V299" s="52"/>
      <c r="W299" s="52"/>
      <c r="X299" s="52"/>
      <c r="Y299" s="52"/>
      <c r="Z299" s="52"/>
      <c r="AA299" s="52"/>
      <c r="AB299" s="52"/>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c r="BT299" s="52"/>
      <c r="BU299" s="52"/>
      <c r="BV299" s="52"/>
      <c r="BW299" s="52"/>
      <c r="BX299" s="52"/>
      <c r="BY299" s="52"/>
      <c r="BZ299" s="52"/>
      <c r="CA299" s="52"/>
      <c r="CB299" s="52"/>
      <c r="CC299" s="52"/>
      <c r="CD299" s="52"/>
      <c r="CE299" s="52"/>
      <c r="CF299" s="52"/>
      <c r="CG299" s="52"/>
      <c r="CH299" s="52"/>
      <c r="CI299" s="52"/>
      <c r="CJ299" s="52"/>
      <c r="CK299" s="52"/>
      <c r="CL299" s="52"/>
      <c r="CM299" s="52"/>
      <c r="CN299" s="52"/>
      <c r="CO299" s="52"/>
      <c r="CP299" s="52"/>
      <c r="CQ299" s="52"/>
      <c r="CR299" s="52"/>
      <c r="CS299" s="52"/>
      <c r="CT299" s="52"/>
      <c r="CU299" s="52"/>
      <c r="CV299" s="52"/>
      <c r="CW299" s="52"/>
      <c r="CX299" s="52"/>
      <c r="CY299" s="52"/>
      <c r="CZ299" s="52"/>
      <c r="DA299" s="52"/>
      <c r="DB299" s="52"/>
      <c r="DC299" s="52"/>
      <c r="DD299" s="52"/>
      <c r="DE299" s="52"/>
      <c r="DF299" s="52"/>
      <c r="DG299" s="52"/>
      <c r="DH299" s="52"/>
      <c r="DI299" s="52"/>
      <c r="DJ299" s="52"/>
      <c r="DK299" s="52"/>
      <c r="DL299" s="52"/>
      <c r="DM299" s="52"/>
      <c r="DN299" s="52"/>
      <c r="DO299" s="52"/>
      <c r="DP299" s="52"/>
      <c r="DQ299" s="52"/>
      <c r="DR299" s="52"/>
      <c r="DS299" s="52"/>
      <c r="DT299" s="52"/>
      <c r="DU299" s="52"/>
      <c r="DV299" s="52"/>
      <c r="DW299" s="52"/>
      <c r="DX299" s="52"/>
      <c r="DY299" s="52"/>
      <c r="DZ299" s="52"/>
      <c r="EA299" s="52"/>
      <c r="EB299" s="52"/>
      <c r="EC299" s="52"/>
      <c r="ED299" s="52"/>
      <c r="EE299" s="52"/>
      <c r="EF299" s="52"/>
      <c r="EG299" s="52"/>
      <c r="EH299" s="52"/>
      <c r="EI299" s="52"/>
      <c r="EJ299" s="52"/>
      <c r="EK299" s="52"/>
      <c r="EL299" s="52"/>
      <c r="EM299" s="52"/>
      <c r="EN299" s="52"/>
      <c r="EO299" s="52"/>
      <c r="EP299" s="52"/>
      <c r="EQ299" s="52"/>
      <c r="ER299" s="52"/>
      <c r="ES299" s="52"/>
      <c r="ET299" s="52"/>
      <c r="EU299" s="52"/>
      <c r="EV299" s="52"/>
      <c r="EW299" s="52"/>
      <c r="EX299" s="52"/>
      <c r="EY299" s="52"/>
      <c r="EZ299" s="52"/>
      <c r="FA299" s="52"/>
      <c r="FB299" s="52"/>
      <c r="FC299" s="52"/>
      <c r="FD299" s="52"/>
      <c r="FE299" s="52"/>
      <c r="FF299" s="52"/>
      <c r="FG299" s="52"/>
      <c r="FH299" s="52"/>
      <c r="FI299" s="52"/>
      <c r="FJ299" s="52"/>
      <c r="FK299" s="52"/>
      <c r="FL299" s="52"/>
      <c r="FM299" s="52"/>
      <c r="FN299" s="52"/>
      <c r="FO299" s="52"/>
      <c r="FP299" s="52"/>
      <c r="FQ299" s="52"/>
      <c r="FR299" s="52"/>
      <c r="FS299" s="52"/>
      <c r="FT299" s="52"/>
      <c r="FU299" s="52"/>
      <c r="FV299" s="52"/>
      <c r="FW299" s="52"/>
      <c r="FX299" s="52"/>
    </row>
    <row r="300" ht="15.75" customHeight="1">
      <c r="A300" s="27"/>
      <c r="B300" s="27"/>
      <c r="C300" s="51"/>
      <c r="D300" s="51"/>
      <c r="E300" s="313"/>
      <c r="F300" s="35"/>
      <c r="G300" s="35"/>
      <c r="H300" s="35"/>
      <c r="I300" s="26"/>
      <c r="J300" s="52"/>
      <c r="K300" s="52"/>
      <c r="L300" s="52"/>
      <c r="M300" s="52"/>
      <c r="N300" s="52"/>
      <c r="O300" s="52"/>
      <c r="P300" s="52"/>
      <c r="Q300" s="52"/>
      <c r="R300" s="52"/>
      <c r="S300" s="52"/>
      <c r="T300" s="52"/>
      <c r="U300" s="52"/>
      <c r="V300" s="52"/>
      <c r="W300" s="52"/>
      <c r="X300" s="52"/>
      <c r="Y300" s="52"/>
      <c r="Z300" s="52"/>
      <c r="AA300" s="52"/>
      <c r="AB300" s="52"/>
      <c r="AC300" s="52"/>
      <c r="AD300" s="52"/>
      <c r="AE300" s="52"/>
      <c r="AF300" s="52"/>
      <c r="AG300" s="52"/>
      <c r="AH300" s="52"/>
      <c r="AI300" s="52"/>
      <c r="AJ300" s="52"/>
      <c r="AK300" s="52"/>
      <c r="AL300" s="52"/>
      <c r="AM300" s="52"/>
      <c r="AN300" s="52"/>
      <c r="AO300" s="52"/>
      <c r="AP300" s="52"/>
      <c r="AQ300" s="52"/>
      <c r="AR300" s="52"/>
      <c r="AS300" s="52"/>
      <c r="AT300" s="52"/>
      <c r="AU300" s="52"/>
      <c r="AV300" s="52"/>
      <c r="AW300" s="52"/>
      <c r="AX300" s="52"/>
      <c r="AY300" s="52"/>
      <c r="AZ300" s="52"/>
      <c r="BA300" s="52"/>
      <c r="BB300" s="52"/>
      <c r="BC300" s="52"/>
      <c r="BD300" s="52"/>
      <c r="BE300" s="52"/>
      <c r="BF300" s="52"/>
      <c r="BG300" s="52"/>
      <c r="BH300" s="52"/>
      <c r="BI300" s="52"/>
      <c r="BJ300" s="52"/>
      <c r="BK300" s="52"/>
      <c r="BL300" s="52"/>
      <c r="BM300" s="52"/>
      <c r="BN300" s="52"/>
      <c r="BO300" s="52"/>
      <c r="BP300" s="52"/>
      <c r="BQ300" s="52"/>
      <c r="BR300" s="52"/>
      <c r="BS300" s="52"/>
      <c r="BT300" s="52"/>
      <c r="BU300" s="52"/>
      <c r="BV300" s="52"/>
      <c r="BW300" s="52"/>
      <c r="BX300" s="52"/>
      <c r="BY300" s="52"/>
      <c r="BZ300" s="52"/>
      <c r="CA300" s="52"/>
      <c r="CB300" s="52"/>
      <c r="CC300" s="52"/>
      <c r="CD300" s="52"/>
      <c r="CE300" s="52"/>
      <c r="CF300" s="52"/>
      <c r="CG300" s="52"/>
      <c r="CH300" s="52"/>
      <c r="CI300" s="52"/>
      <c r="CJ300" s="52"/>
      <c r="CK300" s="52"/>
      <c r="CL300" s="52"/>
      <c r="CM300" s="52"/>
      <c r="CN300" s="52"/>
      <c r="CO300" s="52"/>
      <c r="CP300" s="52"/>
      <c r="CQ300" s="52"/>
      <c r="CR300" s="52"/>
      <c r="CS300" s="52"/>
      <c r="CT300" s="52"/>
      <c r="CU300" s="52"/>
      <c r="CV300" s="52"/>
      <c r="CW300" s="52"/>
      <c r="CX300" s="52"/>
      <c r="CY300" s="52"/>
      <c r="CZ300" s="52"/>
      <c r="DA300" s="52"/>
      <c r="DB300" s="52"/>
      <c r="DC300" s="52"/>
      <c r="DD300" s="52"/>
      <c r="DE300" s="52"/>
      <c r="DF300" s="52"/>
      <c r="DG300" s="52"/>
      <c r="DH300" s="52"/>
      <c r="DI300" s="52"/>
      <c r="DJ300" s="52"/>
      <c r="DK300" s="52"/>
      <c r="DL300" s="52"/>
      <c r="DM300" s="52"/>
      <c r="DN300" s="52"/>
      <c r="DO300" s="52"/>
      <c r="DP300" s="52"/>
      <c r="DQ300" s="52"/>
      <c r="DR300" s="52"/>
      <c r="DS300" s="52"/>
      <c r="DT300" s="52"/>
      <c r="DU300" s="52"/>
      <c r="DV300" s="52"/>
      <c r="DW300" s="52"/>
      <c r="DX300" s="52"/>
      <c r="DY300" s="52"/>
      <c r="DZ300" s="52"/>
      <c r="EA300" s="52"/>
      <c r="EB300" s="52"/>
      <c r="EC300" s="52"/>
      <c r="ED300" s="52"/>
      <c r="EE300" s="52"/>
      <c r="EF300" s="52"/>
      <c r="EG300" s="52"/>
      <c r="EH300" s="52"/>
      <c r="EI300" s="52"/>
      <c r="EJ300" s="52"/>
      <c r="EK300" s="52"/>
      <c r="EL300" s="52"/>
      <c r="EM300" s="52"/>
      <c r="EN300" s="52"/>
      <c r="EO300" s="52"/>
      <c r="EP300" s="52"/>
      <c r="EQ300" s="52"/>
      <c r="ER300" s="52"/>
      <c r="ES300" s="52"/>
      <c r="ET300" s="52"/>
      <c r="EU300" s="52"/>
      <c r="EV300" s="52"/>
      <c r="EW300" s="52"/>
      <c r="EX300" s="52"/>
      <c r="EY300" s="52"/>
      <c r="EZ300" s="52"/>
      <c r="FA300" s="52"/>
      <c r="FB300" s="52"/>
      <c r="FC300" s="52"/>
      <c r="FD300" s="52"/>
      <c r="FE300" s="52"/>
      <c r="FF300" s="52"/>
      <c r="FG300" s="52"/>
      <c r="FH300" s="52"/>
      <c r="FI300" s="52"/>
      <c r="FJ300" s="52"/>
      <c r="FK300" s="52"/>
      <c r="FL300" s="52"/>
      <c r="FM300" s="52"/>
      <c r="FN300" s="52"/>
      <c r="FO300" s="52"/>
      <c r="FP300" s="52"/>
      <c r="FQ300" s="52"/>
      <c r="FR300" s="52"/>
      <c r="FS300" s="52"/>
      <c r="FT300" s="52"/>
      <c r="FU300" s="52"/>
      <c r="FV300" s="52"/>
      <c r="FW300" s="52"/>
      <c r="FX300" s="52"/>
    </row>
    <row r="301" ht="15.75" customHeight="1">
      <c r="A301" s="27"/>
      <c r="B301" s="27"/>
      <c r="C301" s="51"/>
      <c r="D301" s="51"/>
      <c r="E301" s="313"/>
      <c r="F301" s="35"/>
      <c r="G301" s="35"/>
      <c r="H301" s="35"/>
      <c r="I301" s="26"/>
      <c r="J301" s="52"/>
      <c r="K301" s="52"/>
      <c r="L301" s="52"/>
      <c r="M301" s="52"/>
      <c r="N301" s="52"/>
      <c r="O301" s="52"/>
      <c r="P301" s="52"/>
      <c r="Q301" s="52"/>
      <c r="R301" s="52"/>
      <c r="S301" s="52"/>
      <c r="T301" s="52"/>
      <c r="U301" s="52"/>
      <c r="V301" s="52"/>
      <c r="W301" s="52"/>
      <c r="X301" s="52"/>
      <c r="Y301" s="52"/>
      <c r="Z301" s="52"/>
      <c r="AA301" s="52"/>
      <c r="AB301" s="52"/>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c r="BT301" s="52"/>
      <c r="BU301" s="52"/>
      <c r="BV301" s="52"/>
      <c r="BW301" s="52"/>
      <c r="BX301" s="52"/>
      <c r="BY301" s="52"/>
      <c r="BZ301" s="52"/>
      <c r="CA301" s="52"/>
      <c r="CB301" s="52"/>
      <c r="CC301" s="52"/>
      <c r="CD301" s="52"/>
      <c r="CE301" s="52"/>
      <c r="CF301" s="52"/>
      <c r="CG301" s="52"/>
      <c r="CH301" s="52"/>
      <c r="CI301" s="52"/>
      <c r="CJ301" s="52"/>
      <c r="CK301" s="52"/>
      <c r="CL301" s="52"/>
      <c r="CM301" s="52"/>
      <c r="CN301" s="52"/>
      <c r="CO301" s="52"/>
      <c r="CP301" s="52"/>
      <c r="CQ301" s="52"/>
      <c r="CR301" s="52"/>
      <c r="CS301" s="52"/>
      <c r="CT301" s="52"/>
      <c r="CU301" s="52"/>
      <c r="CV301" s="52"/>
      <c r="CW301" s="52"/>
      <c r="CX301" s="52"/>
      <c r="CY301" s="52"/>
      <c r="CZ301" s="52"/>
      <c r="DA301" s="52"/>
      <c r="DB301" s="52"/>
      <c r="DC301" s="52"/>
      <c r="DD301" s="52"/>
      <c r="DE301" s="52"/>
      <c r="DF301" s="52"/>
      <c r="DG301" s="52"/>
      <c r="DH301" s="52"/>
      <c r="DI301" s="52"/>
      <c r="DJ301" s="52"/>
      <c r="DK301" s="52"/>
      <c r="DL301" s="52"/>
      <c r="DM301" s="52"/>
      <c r="DN301" s="52"/>
      <c r="DO301" s="52"/>
      <c r="DP301" s="52"/>
      <c r="DQ301" s="52"/>
      <c r="DR301" s="52"/>
      <c r="DS301" s="52"/>
      <c r="DT301" s="52"/>
      <c r="DU301" s="52"/>
      <c r="DV301" s="52"/>
      <c r="DW301" s="52"/>
      <c r="DX301" s="52"/>
      <c r="DY301" s="52"/>
      <c r="DZ301" s="52"/>
      <c r="EA301" s="52"/>
      <c r="EB301" s="52"/>
      <c r="EC301" s="52"/>
      <c r="ED301" s="52"/>
      <c r="EE301" s="52"/>
      <c r="EF301" s="52"/>
      <c r="EG301" s="52"/>
      <c r="EH301" s="52"/>
      <c r="EI301" s="52"/>
      <c r="EJ301" s="52"/>
      <c r="EK301" s="52"/>
      <c r="EL301" s="52"/>
      <c r="EM301" s="52"/>
      <c r="EN301" s="52"/>
      <c r="EO301" s="52"/>
      <c r="EP301" s="52"/>
      <c r="EQ301" s="52"/>
      <c r="ER301" s="52"/>
      <c r="ES301" s="52"/>
      <c r="ET301" s="52"/>
      <c r="EU301" s="52"/>
      <c r="EV301" s="52"/>
      <c r="EW301" s="52"/>
      <c r="EX301" s="52"/>
      <c r="EY301" s="52"/>
      <c r="EZ301" s="52"/>
      <c r="FA301" s="52"/>
      <c r="FB301" s="52"/>
      <c r="FC301" s="52"/>
      <c r="FD301" s="52"/>
      <c r="FE301" s="52"/>
      <c r="FF301" s="52"/>
      <c r="FG301" s="52"/>
      <c r="FH301" s="52"/>
      <c r="FI301" s="52"/>
      <c r="FJ301" s="52"/>
      <c r="FK301" s="52"/>
      <c r="FL301" s="52"/>
      <c r="FM301" s="52"/>
      <c r="FN301" s="52"/>
      <c r="FO301" s="52"/>
      <c r="FP301" s="52"/>
      <c r="FQ301" s="52"/>
      <c r="FR301" s="52"/>
      <c r="FS301" s="52"/>
      <c r="FT301" s="52"/>
      <c r="FU301" s="52"/>
      <c r="FV301" s="52"/>
      <c r="FW301" s="52"/>
      <c r="FX301" s="52"/>
    </row>
    <row r="302" ht="15.75" customHeight="1">
      <c r="A302" s="27"/>
      <c r="B302" s="27"/>
      <c r="C302" s="51"/>
      <c r="D302" s="51"/>
      <c r="E302" s="313"/>
      <c r="F302" s="35"/>
      <c r="G302" s="35"/>
      <c r="H302" s="35"/>
      <c r="I302" s="26"/>
      <c r="J302" s="52"/>
      <c r="K302" s="52"/>
      <c r="L302" s="52"/>
      <c r="M302" s="52"/>
      <c r="N302" s="52"/>
      <c r="O302" s="52"/>
      <c r="P302" s="52"/>
      <c r="Q302" s="52"/>
      <c r="R302" s="52"/>
      <c r="S302" s="52"/>
      <c r="T302" s="52"/>
      <c r="U302" s="52"/>
      <c r="V302" s="52"/>
      <c r="W302" s="52"/>
      <c r="X302" s="52"/>
      <c r="Y302" s="52"/>
      <c r="Z302" s="52"/>
      <c r="AA302" s="52"/>
      <c r="AB302" s="52"/>
      <c r="AC302" s="52"/>
      <c r="AD302" s="52"/>
      <c r="AE302" s="52"/>
      <c r="AF302" s="52"/>
      <c r="AG302" s="52"/>
      <c r="AH302" s="52"/>
      <c r="AI302" s="52"/>
      <c r="AJ302" s="52"/>
      <c r="AK302" s="52"/>
      <c r="AL302" s="52"/>
      <c r="AM302" s="52"/>
      <c r="AN302" s="52"/>
      <c r="AO302" s="52"/>
      <c r="AP302" s="52"/>
      <c r="AQ302" s="52"/>
      <c r="AR302" s="52"/>
      <c r="AS302" s="52"/>
      <c r="AT302" s="52"/>
      <c r="AU302" s="52"/>
      <c r="AV302" s="52"/>
      <c r="AW302" s="52"/>
      <c r="AX302" s="52"/>
      <c r="AY302" s="52"/>
      <c r="AZ302" s="52"/>
      <c r="BA302" s="52"/>
      <c r="BB302" s="52"/>
      <c r="BC302" s="52"/>
      <c r="BD302" s="52"/>
      <c r="BE302" s="52"/>
      <c r="BF302" s="52"/>
      <c r="BG302" s="52"/>
      <c r="BH302" s="52"/>
      <c r="BI302" s="52"/>
      <c r="BJ302" s="52"/>
      <c r="BK302" s="52"/>
      <c r="BL302" s="52"/>
      <c r="BM302" s="52"/>
      <c r="BN302" s="52"/>
      <c r="BO302" s="52"/>
      <c r="BP302" s="52"/>
      <c r="BQ302" s="52"/>
      <c r="BR302" s="52"/>
      <c r="BS302" s="52"/>
      <c r="BT302" s="52"/>
      <c r="BU302" s="52"/>
      <c r="BV302" s="52"/>
      <c r="BW302" s="52"/>
      <c r="BX302" s="52"/>
      <c r="BY302" s="52"/>
      <c r="BZ302" s="52"/>
      <c r="CA302" s="52"/>
      <c r="CB302" s="52"/>
      <c r="CC302" s="52"/>
      <c r="CD302" s="52"/>
      <c r="CE302" s="52"/>
      <c r="CF302" s="52"/>
      <c r="CG302" s="52"/>
      <c r="CH302" s="52"/>
      <c r="CI302" s="52"/>
      <c r="CJ302" s="52"/>
      <c r="CK302" s="52"/>
      <c r="CL302" s="52"/>
      <c r="CM302" s="52"/>
      <c r="CN302" s="52"/>
      <c r="CO302" s="52"/>
      <c r="CP302" s="52"/>
      <c r="CQ302" s="52"/>
      <c r="CR302" s="52"/>
      <c r="CS302" s="52"/>
      <c r="CT302" s="52"/>
      <c r="CU302" s="52"/>
      <c r="CV302" s="52"/>
      <c r="CW302" s="52"/>
      <c r="CX302" s="52"/>
      <c r="CY302" s="52"/>
      <c r="CZ302" s="52"/>
      <c r="DA302" s="52"/>
      <c r="DB302" s="52"/>
      <c r="DC302" s="52"/>
      <c r="DD302" s="52"/>
      <c r="DE302" s="52"/>
      <c r="DF302" s="52"/>
      <c r="DG302" s="52"/>
      <c r="DH302" s="52"/>
      <c r="DI302" s="52"/>
      <c r="DJ302" s="52"/>
      <c r="DK302" s="52"/>
      <c r="DL302" s="52"/>
      <c r="DM302" s="52"/>
      <c r="DN302" s="52"/>
      <c r="DO302" s="52"/>
      <c r="DP302" s="52"/>
      <c r="DQ302" s="52"/>
      <c r="DR302" s="52"/>
      <c r="DS302" s="52"/>
      <c r="DT302" s="52"/>
      <c r="DU302" s="52"/>
      <c r="DV302" s="52"/>
      <c r="DW302" s="52"/>
      <c r="DX302" s="52"/>
      <c r="DY302" s="52"/>
      <c r="DZ302" s="52"/>
      <c r="EA302" s="52"/>
      <c r="EB302" s="52"/>
      <c r="EC302" s="52"/>
      <c r="ED302" s="52"/>
      <c r="EE302" s="52"/>
      <c r="EF302" s="52"/>
      <c r="EG302" s="52"/>
      <c r="EH302" s="52"/>
      <c r="EI302" s="52"/>
      <c r="EJ302" s="52"/>
      <c r="EK302" s="52"/>
      <c r="EL302" s="52"/>
      <c r="EM302" s="52"/>
      <c r="EN302" s="52"/>
      <c r="EO302" s="52"/>
      <c r="EP302" s="52"/>
      <c r="EQ302" s="52"/>
      <c r="ER302" s="52"/>
      <c r="ES302" s="52"/>
      <c r="ET302" s="52"/>
      <c r="EU302" s="52"/>
      <c r="EV302" s="52"/>
      <c r="EW302" s="52"/>
      <c r="EX302" s="52"/>
      <c r="EY302" s="52"/>
      <c r="EZ302" s="52"/>
      <c r="FA302" s="52"/>
      <c r="FB302" s="52"/>
      <c r="FC302" s="52"/>
      <c r="FD302" s="52"/>
      <c r="FE302" s="52"/>
      <c r="FF302" s="52"/>
      <c r="FG302" s="52"/>
      <c r="FH302" s="52"/>
      <c r="FI302" s="52"/>
      <c r="FJ302" s="52"/>
      <c r="FK302" s="52"/>
      <c r="FL302" s="52"/>
      <c r="FM302" s="52"/>
      <c r="FN302" s="52"/>
      <c r="FO302" s="52"/>
      <c r="FP302" s="52"/>
      <c r="FQ302" s="52"/>
      <c r="FR302" s="52"/>
      <c r="FS302" s="52"/>
      <c r="FT302" s="52"/>
      <c r="FU302" s="52"/>
      <c r="FV302" s="52"/>
      <c r="FW302" s="52"/>
      <c r="FX302" s="52"/>
    </row>
    <row r="303" ht="15.75" customHeight="1">
      <c r="A303" s="27"/>
      <c r="B303" s="27"/>
      <c r="C303" s="51"/>
      <c r="D303" s="51"/>
      <c r="E303" s="313"/>
      <c r="F303" s="35"/>
      <c r="G303" s="35"/>
      <c r="H303" s="35"/>
      <c r="I303" s="26"/>
      <c r="J303" s="52"/>
      <c r="K303" s="52"/>
      <c r="L303" s="52"/>
      <c r="M303" s="52"/>
      <c r="N303" s="52"/>
      <c r="O303" s="52"/>
      <c r="P303" s="52"/>
      <c r="Q303" s="52"/>
      <c r="R303" s="52"/>
      <c r="S303" s="52"/>
      <c r="T303" s="52"/>
      <c r="U303" s="52"/>
      <c r="V303" s="52"/>
      <c r="W303" s="52"/>
      <c r="X303" s="52"/>
      <c r="Y303" s="52"/>
      <c r="Z303" s="52"/>
      <c r="AA303" s="52"/>
      <c r="AB303" s="52"/>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c r="BH303" s="52"/>
      <c r="BI303" s="52"/>
      <c r="BJ303" s="52"/>
      <c r="BK303" s="52"/>
      <c r="BL303" s="52"/>
      <c r="BM303" s="52"/>
      <c r="BN303" s="52"/>
      <c r="BO303" s="52"/>
      <c r="BP303" s="52"/>
      <c r="BQ303" s="52"/>
      <c r="BR303" s="52"/>
      <c r="BS303" s="52"/>
      <c r="BT303" s="52"/>
      <c r="BU303" s="52"/>
      <c r="BV303" s="52"/>
      <c r="BW303" s="52"/>
      <c r="BX303" s="52"/>
      <c r="BY303" s="52"/>
      <c r="BZ303" s="52"/>
      <c r="CA303" s="52"/>
      <c r="CB303" s="52"/>
      <c r="CC303" s="52"/>
      <c r="CD303" s="52"/>
      <c r="CE303" s="52"/>
      <c r="CF303" s="52"/>
      <c r="CG303" s="52"/>
      <c r="CH303" s="52"/>
      <c r="CI303" s="52"/>
      <c r="CJ303" s="52"/>
      <c r="CK303" s="52"/>
      <c r="CL303" s="52"/>
      <c r="CM303" s="52"/>
      <c r="CN303" s="52"/>
      <c r="CO303" s="52"/>
      <c r="CP303" s="52"/>
      <c r="CQ303" s="52"/>
      <c r="CR303" s="52"/>
      <c r="CS303" s="52"/>
      <c r="CT303" s="52"/>
      <c r="CU303" s="52"/>
      <c r="CV303" s="52"/>
      <c r="CW303" s="52"/>
      <c r="CX303" s="52"/>
      <c r="CY303" s="52"/>
      <c r="CZ303" s="52"/>
      <c r="DA303" s="52"/>
      <c r="DB303" s="52"/>
      <c r="DC303" s="52"/>
      <c r="DD303" s="52"/>
      <c r="DE303" s="52"/>
      <c r="DF303" s="52"/>
      <c r="DG303" s="52"/>
      <c r="DH303" s="52"/>
      <c r="DI303" s="52"/>
      <c r="DJ303" s="52"/>
      <c r="DK303" s="52"/>
      <c r="DL303" s="52"/>
      <c r="DM303" s="52"/>
      <c r="DN303" s="52"/>
      <c r="DO303" s="52"/>
      <c r="DP303" s="52"/>
      <c r="DQ303" s="52"/>
      <c r="DR303" s="52"/>
      <c r="DS303" s="52"/>
      <c r="DT303" s="52"/>
      <c r="DU303" s="52"/>
      <c r="DV303" s="52"/>
      <c r="DW303" s="52"/>
      <c r="DX303" s="52"/>
      <c r="DY303" s="52"/>
      <c r="DZ303" s="52"/>
      <c r="EA303" s="52"/>
      <c r="EB303" s="52"/>
      <c r="EC303" s="52"/>
      <c r="ED303" s="52"/>
      <c r="EE303" s="52"/>
      <c r="EF303" s="52"/>
      <c r="EG303" s="52"/>
      <c r="EH303" s="52"/>
      <c r="EI303" s="52"/>
      <c r="EJ303" s="52"/>
      <c r="EK303" s="52"/>
      <c r="EL303" s="52"/>
      <c r="EM303" s="52"/>
      <c r="EN303" s="52"/>
      <c r="EO303" s="52"/>
      <c r="EP303" s="52"/>
      <c r="EQ303" s="52"/>
      <c r="ER303" s="52"/>
      <c r="ES303" s="52"/>
      <c r="ET303" s="52"/>
      <c r="EU303" s="52"/>
      <c r="EV303" s="52"/>
      <c r="EW303" s="52"/>
      <c r="EX303" s="52"/>
      <c r="EY303" s="52"/>
      <c r="EZ303" s="52"/>
      <c r="FA303" s="52"/>
      <c r="FB303" s="52"/>
      <c r="FC303" s="52"/>
      <c r="FD303" s="52"/>
      <c r="FE303" s="52"/>
      <c r="FF303" s="52"/>
      <c r="FG303" s="52"/>
      <c r="FH303" s="52"/>
      <c r="FI303" s="52"/>
      <c r="FJ303" s="52"/>
      <c r="FK303" s="52"/>
      <c r="FL303" s="52"/>
      <c r="FM303" s="52"/>
      <c r="FN303" s="52"/>
      <c r="FO303" s="52"/>
      <c r="FP303" s="52"/>
      <c r="FQ303" s="52"/>
      <c r="FR303" s="52"/>
      <c r="FS303" s="52"/>
      <c r="FT303" s="52"/>
      <c r="FU303" s="52"/>
      <c r="FV303" s="52"/>
      <c r="FW303" s="52"/>
      <c r="FX303" s="52"/>
    </row>
  </sheetData>
  <mergeCells count="20">
    <mergeCell ref="CS1:CW1"/>
    <mergeCell ref="CX1:DB1"/>
    <mergeCell ref="DC1:DG1"/>
    <mergeCell ref="DH1:DI1"/>
    <mergeCell ref="AZ1:BF1"/>
    <mergeCell ref="BG1:BM1"/>
    <mergeCell ref="BN1:BT1"/>
    <mergeCell ref="BU1:CA1"/>
    <mergeCell ref="CB1:CH1"/>
    <mergeCell ref="CI1:CM1"/>
    <mergeCell ref="CN1:CR1"/>
    <mergeCell ref="C1:D1"/>
    <mergeCell ref="B8:F8"/>
    <mergeCell ref="J1:P1"/>
    <mergeCell ref="Q1:W1"/>
    <mergeCell ref="X1:AD1"/>
    <mergeCell ref="AE1:AK1"/>
    <mergeCell ref="AL1:AR1"/>
    <mergeCell ref="AS1:AY1"/>
    <mergeCell ref="B3:I3"/>
  </mergeCells>
  <conditionalFormatting sqref="J2:FX103">
    <cfRule type="expression" dxfId="0" priority="1">
      <formula>(WEEKDAY(J$2,2)&gt;5)</formula>
    </cfRule>
  </conditionalFormatting>
  <conditionalFormatting sqref="J5:FX5">
    <cfRule type="expression" dxfId="7" priority="2">
      <formula>(AND(J$2&gt;=$G5,J$2&lt;=$H5))</formula>
    </cfRule>
  </conditionalFormatting>
  <conditionalFormatting sqref="J4:FX4">
    <cfRule type="expression" dxfId="2" priority="3">
      <formula>(AND(J$2&gt;=$G4,J$2&lt;=$H4))</formula>
    </cfRule>
  </conditionalFormatting>
  <conditionalFormatting sqref="J6:FX6">
    <cfRule type="expression" dxfId="8" priority="4">
      <formula>(AND(J$2&gt;=$G6,J$2&lt;=$H6))</formula>
    </cfRule>
  </conditionalFormatting>
  <conditionalFormatting sqref="J7:FX9">
    <cfRule type="expression" dxfId="9" priority="5">
      <formula>(AND(J$2&gt;=$G7,J$2&lt;=$H7))</formula>
    </cfRule>
  </conditionalFormatting>
  <conditionalFormatting sqref="J10:FX10">
    <cfRule type="expression" dxfId="10" priority="6">
      <formula>(AND(J$2&gt;=$G10,J$2&lt;=$H10))</formula>
    </cfRule>
  </conditionalFormatting>
  <conditionalFormatting sqref="J11:FX11">
    <cfRule type="expression" dxfId="11" priority="7">
      <formula>(AND(J$2&gt;=$G11,J$2&lt;=$H11))</formula>
    </cfRule>
  </conditionalFormatting>
  <conditionalFormatting sqref="J12:FX12">
    <cfRule type="expression" dxfId="12" priority="8">
      <formula>(AND(J$2&gt;=$G12,J$2&lt;=$H12))</formula>
    </cfRule>
  </conditionalFormatting>
  <conditionalFormatting sqref="J13:FX13">
    <cfRule type="expression" dxfId="13" priority="9">
      <formula>(AND(J$2&gt;=$G13,J$2&lt;=$H13))</formula>
    </cfRule>
  </conditionalFormatting>
  <conditionalFormatting sqref="J14:FX14">
    <cfRule type="expression" dxfId="14" priority="10">
      <formula>(AND(J$2&gt;=$G14,J$2&lt;=$H14))</formula>
    </cfRule>
  </conditionalFormatting>
  <conditionalFormatting sqref="J15:FX15">
    <cfRule type="expression" dxfId="6" priority="11">
      <formula>(AND(J$2&gt;=$G15,J$2&lt;=$H15))</formula>
    </cfRule>
  </conditionalFormatting>
  <conditionalFormatting sqref="J16:FX16">
    <cfRule type="expression" dxfId="15" priority="12">
      <formula>(AND(J$2&gt;=$G16,J$2&lt;=$H16))</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0"/>
    <col customWidth="1" min="2" max="2" width="12.63"/>
    <col customWidth="1" min="3" max="3" width="9.13"/>
    <col customWidth="1" min="4" max="4" width="8.75"/>
    <col customWidth="1" min="5" max="12" width="10.38"/>
  </cols>
  <sheetData>
    <row r="1" ht="15.75" customHeight="1">
      <c r="A1" s="333" t="s">
        <v>391</v>
      </c>
      <c r="B1" s="334"/>
      <c r="C1" s="335" t="s">
        <v>392</v>
      </c>
      <c r="D1" s="336"/>
      <c r="E1" s="337" t="s">
        <v>393</v>
      </c>
      <c r="F1" s="334"/>
      <c r="G1" s="337" t="s">
        <v>394</v>
      </c>
      <c r="I1" s="337" t="s">
        <v>395</v>
      </c>
      <c r="K1" s="337" t="s">
        <v>396</v>
      </c>
    </row>
    <row r="2" ht="15.75" customHeight="1">
      <c r="A2" s="338" t="s">
        <v>397</v>
      </c>
      <c r="B2" s="339">
        <v>1.0</v>
      </c>
      <c r="C2" s="340">
        <v>1.0</v>
      </c>
      <c r="D2" s="341">
        <v>6.0</v>
      </c>
      <c r="E2" s="342">
        <v>0.17</v>
      </c>
      <c r="F2" s="343">
        <v>6.0</v>
      </c>
      <c r="G2" s="342">
        <v>1.0</v>
      </c>
      <c r="H2" s="343">
        <v>6.0</v>
      </c>
      <c r="I2" s="342">
        <v>0.67</v>
      </c>
      <c r="J2" s="343">
        <v>1.5</v>
      </c>
      <c r="K2" s="342">
        <v>1.0</v>
      </c>
      <c r="L2" s="343">
        <v>1.5</v>
      </c>
    </row>
    <row r="3" ht="15.75" customHeight="1">
      <c r="A3" s="344" t="s">
        <v>398</v>
      </c>
      <c r="B3" s="345">
        <v>2.0</v>
      </c>
      <c r="C3" s="340">
        <v>1.0</v>
      </c>
      <c r="D3" s="341">
        <v>4.0</v>
      </c>
      <c r="E3" s="342">
        <v>0.25</v>
      </c>
      <c r="F3" s="343">
        <v>4.0</v>
      </c>
      <c r="G3" s="342">
        <v>1.0</v>
      </c>
      <c r="H3" s="343">
        <v>4.0</v>
      </c>
      <c r="I3" s="342">
        <v>0.71</v>
      </c>
      <c r="J3" s="343">
        <v>1.4</v>
      </c>
      <c r="K3" s="342">
        <v>1.0</v>
      </c>
      <c r="L3" s="343">
        <v>1.4</v>
      </c>
    </row>
    <row r="4" ht="15.75" customHeight="1">
      <c r="A4" s="346" t="s">
        <v>399</v>
      </c>
      <c r="B4" s="347">
        <v>3.0</v>
      </c>
      <c r="C4" s="340">
        <v>1.0</v>
      </c>
      <c r="D4" s="341">
        <v>2.0</v>
      </c>
      <c r="E4" s="342">
        <v>0.5</v>
      </c>
      <c r="F4" s="343">
        <v>2.0</v>
      </c>
      <c r="G4" s="342">
        <v>1.0</v>
      </c>
      <c r="H4" s="343">
        <v>2.0</v>
      </c>
      <c r="I4" s="342">
        <v>0.77</v>
      </c>
      <c r="J4" s="343">
        <v>1.3</v>
      </c>
      <c r="K4" s="342">
        <v>1.0</v>
      </c>
      <c r="L4" s="343">
        <v>1.3</v>
      </c>
    </row>
    <row r="5" ht="15.75" customHeight="1">
      <c r="A5" s="348" t="s">
        <v>400</v>
      </c>
      <c r="B5" s="349">
        <v>4.0</v>
      </c>
      <c r="C5" s="340">
        <v>1.0</v>
      </c>
      <c r="D5" s="341">
        <v>1.5</v>
      </c>
      <c r="E5" s="342">
        <v>0.67</v>
      </c>
      <c r="F5" s="343">
        <v>1.5</v>
      </c>
      <c r="G5" s="342">
        <v>1.0</v>
      </c>
      <c r="H5" s="343">
        <v>1.5</v>
      </c>
      <c r="I5" s="342">
        <v>0.83</v>
      </c>
      <c r="J5" s="343">
        <v>1.2</v>
      </c>
      <c r="K5" s="342">
        <v>1.0</v>
      </c>
      <c r="L5" s="343">
        <v>1.2</v>
      </c>
    </row>
    <row r="6" ht="15.75" customHeight="1">
      <c r="A6" s="350" t="s">
        <v>401</v>
      </c>
      <c r="B6" s="351">
        <v>5.0</v>
      </c>
      <c r="C6" s="340">
        <v>1.0</v>
      </c>
      <c r="D6" s="341">
        <v>1.25</v>
      </c>
      <c r="E6" s="342">
        <v>0.8</v>
      </c>
      <c r="F6" s="343">
        <v>1.25</v>
      </c>
      <c r="G6" s="342">
        <v>1.0</v>
      </c>
      <c r="H6" s="343">
        <v>1.25</v>
      </c>
      <c r="I6" s="342">
        <v>0.91</v>
      </c>
      <c r="J6" s="343">
        <v>1.1</v>
      </c>
      <c r="K6" s="342">
        <v>1.0</v>
      </c>
      <c r="L6" s="343">
        <v>1.1</v>
      </c>
    </row>
    <row r="7" ht="15.75" customHeight="1">
      <c r="A7" s="350" t="s">
        <v>402</v>
      </c>
      <c r="B7" s="351">
        <v>6.0</v>
      </c>
      <c r="C7" s="352">
        <v>1.0</v>
      </c>
      <c r="D7" s="353">
        <v>1.0</v>
      </c>
      <c r="E7" s="342">
        <v>1.0</v>
      </c>
      <c r="F7" s="343">
        <v>1.0</v>
      </c>
      <c r="G7" s="342">
        <v>1.0</v>
      </c>
      <c r="H7" s="343">
        <v>1.0</v>
      </c>
      <c r="I7" s="342">
        <v>1.0</v>
      </c>
      <c r="J7" s="343">
        <v>1.0</v>
      </c>
      <c r="K7" s="342">
        <v>1.0</v>
      </c>
      <c r="L7" s="343">
        <v>1.0</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B1"/>
    <mergeCell ref="C1:D1"/>
    <mergeCell ref="E1:F1"/>
    <mergeCell ref="G1:H1"/>
    <mergeCell ref="I1:J1"/>
    <mergeCell ref="K1:L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62.25"/>
    <col customWidth="1" min="3" max="5" width="9.25"/>
    <col customWidth="1" min="6" max="7" width="10.0"/>
    <col customWidth="1" min="8" max="8" width="35.0"/>
  </cols>
  <sheetData>
    <row r="1">
      <c r="A1" s="354"/>
      <c r="B1" s="355" t="s">
        <v>403</v>
      </c>
      <c r="C1" s="356" t="s">
        <v>404</v>
      </c>
      <c r="D1" s="356"/>
      <c r="E1" s="356" t="s">
        <v>314</v>
      </c>
      <c r="F1" s="356" t="s">
        <v>405</v>
      </c>
      <c r="G1" s="356" t="s">
        <v>406</v>
      </c>
      <c r="H1" s="357" t="s">
        <v>407</v>
      </c>
      <c r="I1" s="358"/>
      <c r="J1" s="358"/>
      <c r="K1" s="358"/>
      <c r="L1" s="358"/>
      <c r="M1" s="358"/>
      <c r="N1" s="358"/>
      <c r="O1" s="358"/>
      <c r="P1" s="358"/>
      <c r="Q1" s="358"/>
      <c r="R1" s="358"/>
      <c r="S1" s="358"/>
      <c r="T1" s="358"/>
      <c r="U1" s="358"/>
      <c r="V1" s="358"/>
      <c r="W1" s="358"/>
      <c r="X1" s="358"/>
      <c r="Y1" s="358"/>
      <c r="Z1" s="358"/>
      <c r="AA1" s="358"/>
    </row>
    <row r="2">
      <c r="A2" s="359">
        <v>0.0</v>
      </c>
      <c r="B2" s="360" t="s">
        <v>408</v>
      </c>
      <c r="C2" s="361"/>
      <c r="D2" s="361"/>
      <c r="E2" s="361"/>
      <c r="F2" s="361"/>
      <c r="G2" s="361"/>
      <c r="H2" s="361"/>
      <c r="I2" s="358"/>
      <c r="J2" s="358"/>
      <c r="K2" s="358"/>
      <c r="L2" s="358"/>
      <c r="M2" s="358"/>
      <c r="N2" s="358"/>
      <c r="O2" s="358"/>
      <c r="P2" s="358"/>
      <c r="Q2" s="358"/>
      <c r="R2" s="358"/>
      <c r="S2" s="358"/>
      <c r="T2" s="358"/>
      <c r="U2" s="358"/>
      <c r="V2" s="358"/>
      <c r="W2" s="358"/>
      <c r="X2" s="358"/>
      <c r="Y2" s="358"/>
      <c r="Z2" s="358"/>
      <c r="AA2" s="358"/>
    </row>
    <row r="3">
      <c r="A3" s="362">
        <v>0.1</v>
      </c>
      <c r="B3" s="142" t="s">
        <v>409</v>
      </c>
      <c r="C3" s="78" t="s">
        <v>410</v>
      </c>
      <c r="D3" s="78" t="s">
        <v>411</v>
      </c>
      <c r="E3" s="78" t="s">
        <v>411</v>
      </c>
      <c r="F3" s="78" t="s">
        <v>411</v>
      </c>
      <c r="G3" s="78" t="s">
        <v>412</v>
      </c>
      <c r="H3" s="358"/>
      <c r="I3" s="358"/>
      <c r="J3" s="358"/>
      <c r="K3" s="358"/>
      <c r="L3" s="358"/>
      <c r="M3" s="358"/>
      <c r="N3" s="358"/>
      <c r="O3" s="358"/>
      <c r="P3" s="358"/>
      <c r="Q3" s="358"/>
      <c r="R3" s="358"/>
      <c r="S3" s="358"/>
      <c r="T3" s="358"/>
      <c r="U3" s="358"/>
      <c r="V3" s="358"/>
      <c r="W3" s="358"/>
      <c r="X3" s="358"/>
      <c r="Y3" s="358"/>
      <c r="Z3" s="358"/>
      <c r="AA3" s="358"/>
    </row>
    <row r="4">
      <c r="A4" s="78">
        <v>0.2</v>
      </c>
      <c r="B4" s="142" t="s">
        <v>413</v>
      </c>
      <c r="C4" s="78" t="s">
        <v>410</v>
      </c>
      <c r="D4" s="78" t="s">
        <v>411</v>
      </c>
      <c r="E4" s="78" t="s">
        <v>411</v>
      </c>
      <c r="F4" s="78" t="s">
        <v>411</v>
      </c>
      <c r="G4" s="78" t="s">
        <v>411</v>
      </c>
      <c r="H4" s="358"/>
      <c r="I4" s="358"/>
      <c r="J4" s="358"/>
      <c r="K4" s="358"/>
      <c r="L4" s="358"/>
      <c r="M4" s="358"/>
      <c r="N4" s="358"/>
      <c r="O4" s="358"/>
      <c r="P4" s="358"/>
      <c r="Q4" s="358"/>
      <c r="R4" s="358"/>
      <c r="S4" s="358"/>
      <c r="T4" s="358"/>
      <c r="U4" s="358"/>
      <c r="V4" s="358"/>
      <c r="W4" s="358"/>
      <c r="X4" s="358"/>
      <c r="Y4" s="358"/>
      <c r="Z4" s="358"/>
      <c r="AA4" s="358"/>
    </row>
    <row r="5">
      <c r="A5" s="362">
        <v>0.3</v>
      </c>
      <c r="B5" s="142" t="s">
        <v>414</v>
      </c>
      <c r="C5" s="78" t="s">
        <v>410</v>
      </c>
      <c r="D5" s="78" t="s">
        <v>412</v>
      </c>
      <c r="E5" s="78" t="s">
        <v>411</v>
      </c>
      <c r="F5" s="78" t="s">
        <v>411</v>
      </c>
      <c r="G5" s="78" t="s">
        <v>415</v>
      </c>
      <c r="H5" s="358"/>
      <c r="I5" s="358"/>
      <c r="J5" s="358"/>
      <c r="K5" s="358"/>
      <c r="L5" s="358"/>
      <c r="M5" s="358"/>
      <c r="N5" s="358"/>
      <c r="O5" s="358"/>
      <c r="P5" s="358"/>
      <c r="Q5" s="358"/>
      <c r="R5" s="358"/>
      <c r="S5" s="358"/>
      <c r="T5" s="358"/>
      <c r="U5" s="358"/>
      <c r="V5" s="358"/>
      <c r="W5" s="358"/>
      <c r="X5" s="358"/>
      <c r="Y5" s="358"/>
      <c r="Z5" s="358"/>
      <c r="AA5" s="358"/>
    </row>
    <row r="6">
      <c r="A6" s="78">
        <v>0.4</v>
      </c>
      <c r="B6" s="142" t="s">
        <v>416</v>
      </c>
      <c r="C6" s="78" t="s">
        <v>415</v>
      </c>
      <c r="D6" s="78" t="s">
        <v>410</v>
      </c>
      <c r="E6" s="78" t="s">
        <v>412</v>
      </c>
      <c r="F6" s="78" t="s">
        <v>412</v>
      </c>
      <c r="G6" s="78" t="s">
        <v>415</v>
      </c>
      <c r="H6" s="358"/>
      <c r="I6" s="358"/>
      <c r="J6" s="358"/>
      <c r="K6" s="358"/>
      <c r="L6" s="358"/>
      <c r="M6" s="358"/>
      <c r="N6" s="358"/>
      <c r="O6" s="358"/>
      <c r="P6" s="358"/>
      <c r="Q6" s="358"/>
      <c r="R6" s="358"/>
      <c r="S6" s="358"/>
      <c r="T6" s="358"/>
      <c r="U6" s="358"/>
      <c r="V6" s="358"/>
      <c r="W6" s="358"/>
      <c r="X6" s="358"/>
      <c r="Y6" s="358"/>
      <c r="Z6" s="358"/>
      <c r="AA6" s="358"/>
    </row>
    <row r="7">
      <c r="A7" s="362">
        <v>0.5</v>
      </c>
      <c r="B7" s="142" t="s">
        <v>417</v>
      </c>
      <c r="C7" s="78" t="s">
        <v>412</v>
      </c>
      <c r="D7" s="78" t="s">
        <v>411</v>
      </c>
      <c r="E7" s="78" t="s">
        <v>410</v>
      </c>
      <c r="F7" s="78" t="s">
        <v>412</v>
      </c>
      <c r="G7" s="78" t="s">
        <v>412</v>
      </c>
      <c r="H7" s="358"/>
      <c r="I7" s="358"/>
      <c r="J7" s="358"/>
      <c r="K7" s="358"/>
      <c r="L7" s="358"/>
      <c r="M7" s="358"/>
      <c r="N7" s="358"/>
      <c r="O7" s="358"/>
      <c r="P7" s="358"/>
      <c r="Q7" s="358"/>
      <c r="R7" s="358"/>
      <c r="S7" s="358"/>
      <c r="T7" s="358"/>
      <c r="U7" s="358"/>
      <c r="V7" s="358"/>
      <c r="W7" s="358"/>
      <c r="X7" s="358"/>
      <c r="Y7" s="358"/>
      <c r="Z7" s="358"/>
      <c r="AA7" s="358"/>
    </row>
    <row r="8">
      <c r="A8" s="362">
        <v>0.6</v>
      </c>
      <c r="B8" s="142" t="s">
        <v>418</v>
      </c>
      <c r="C8" s="78" t="s">
        <v>412</v>
      </c>
      <c r="D8" s="78" t="s">
        <v>411</v>
      </c>
      <c r="E8" s="78" t="s">
        <v>410</v>
      </c>
      <c r="F8" s="78" t="s">
        <v>412</v>
      </c>
      <c r="G8" s="78" t="s">
        <v>412</v>
      </c>
      <c r="H8" s="358"/>
      <c r="I8" s="358"/>
      <c r="J8" s="358"/>
      <c r="K8" s="358"/>
      <c r="L8" s="358"/>
      <c r="M8" s="358"/>
      <c r="N8" s="358"/>
      <c r="O8" s="358"/>
      <c r="P8" s="358"/>
      <c r="Q8" s="358"/>
      <c r="R8" s="358"/>
      <c r="S8" s="358"/>
      <c r="T8" s="358"/>
      <c r="U8" s="358"/>
      <c r="V8" s="358"/>
      <c r="W8" s="358"/>
      <c r="X8" s="358"/>
      <c r="Y8" s="358"/>
      <c r="Z8" s="358"/>
      <c r="AA8" s="358"/>
    </row>
    <row r="9">
      <c r="A9" s="78">
        <v>0.7</v>
      </c>
      <c r="B9" s="28" t="s">
        <v>419</v>
      </c>
      <c r="C9" s="78" t="s">
        <v>412</v>
      </c>
      <c r="D9" s="78" t="s">
        <v>411</v>
      </c>
      <c r="E9" s="78" t="s">
        <v>410</v>
      </c>
      <c r="F9" s="362" t="s">
        <v>412</v>
      </c>
      <c r="G9" s="78" t="s">
        <v>412</v>
      </c>
      <c r="H9" s="358"/>
      <c r="I9" s="358"/>
      <c r="J9" s="358"/>
      <c r="K9" s="358"/>
      <c r="L9" s="358"/>
      <c r="M9" s="358"/>
      <c r="N9" s="358"/>
      <c r="O9" s="358"/>
      <c r="P9" s="358"/>
      <c r="Q9" s="358"/>
      <c r="R9" s="358"/>
      <c r="S9" s="358"/>
      <c r="T9" s="358"/>
      <c r="U9" s="358"/>
      <c r="V9" s="358"/>
      <c r="W9" s="358"/>
      <c r="X9" s="358"/>
      <c r="Y9" s="358"/>
      <c r="Z9" s="358"/>
      <c r="AA9" s="358"/>
    </row>
    <row r="10">
      <c r="A10" s="363">
        <v>1.0</v>
      </c>
      <c r="B10" s="100" t="s">
        <v>420</v>
      </c>
      <c r="C10" s="364"/>
      <c r="D10" s="364"/>
      <c r="E10" s="364"/>
      <c r="F10" s="364"/>
      <c r="G10" s="364"/>
      <c r="H10" s="364"/>
      <c r="I10" s="358"/>
      <c r="J10" s="358"/>
      <c r="K10" s="358"/>
      <c r="L10" s="358"/>
      <c r="M10" s="358"/>
      <c r="N10" s="358"/>
      <c r="O10" s="358"/>
      <c r="P10" s="358"/>
      <c r="Q10" s="358"/>
      <c r="R10" s="358"/>
      <c r="S10" s="358"/>
      <c r="T10" s="358"/>
      <c r="U10" s="358"/>
      <c r="V10" s="358"/>
      <c r="W10" s="358"/>
      <c r="X10" s="358"/>
      <c r="Y10" s="358"/>
      <c r="Z10" s="358"/>
      <c r="AA10" s="358"/>
    </row>
    <row r="11">
      <c r="A11" s="78">
        <v>1.1</v>
      </c>
      <c r="B11" s="28" t="s">
        <v>421</v>
      </c>
      <c r="C11" s="78" t="s">
        <v>422</v>
      </c>
      <c r="D11" s="362" t="s">
        <v>411</v>
      </c>
      <c r="E11" s="362" t="s">
        <v>412</v>
      </c>
      <c r="F11" s="362" t="s">
        <v>410</v>
      </c>
      <c r="G11" s="78" t="s">
        <v>411</v>
      </c>
      <c r="H11" s="358"/>
      <c r="I11" s="358"/>
      <c r="J11" s="358"/>
      <c r="K11" s="358"/>
      <c r="L11" s="358"/>
      <c r="M11" s="358"/>
      <c r="N11" s="358"/>
      <c r="O11" s="358"/>
      <c r="P11" s="358"/>
      <c r="Q11" s="358"/>
      <c r="R11" s="358"/>
      <c r="S11" s="358"/>
      <c r="T11" s="358"/>
      <c r="U11" s="358"/>
      <c r="V11" s="358"/>
      <c r="W11" s="358"/>
      <c r="X11" s="358"/>
      <c r="Y11" s="358"/>
      <c r="Z11" s="358"/>
      <c r="AA11" s="358"/>
    </row>
    <row r="12">
      <c r="A12" s="78">
        <v>1.2</v>
      </c>
      <c r="B12" s="28" t="s">
        <v>423</v>
      </c>
      <c r="C12" s="78" t="s">
        <v>412</v>
      </c>
      <c r="D12" s="78" t="s">
        <v>411</v>
      </c>
      <c r="E12" s="362" t="s">
        <v>424</v>
      </c>
      <c r="F12" s="362" t="s">
        <v>410</v>
      </c>
      <c r="G12" s="78" t="s">
        <v>422</v>
      </c>
      <c r="H12" s="358"/>
      <c r="I12" s="358"/>
      <c r="J12" s="358"/>
      <c r="K12" s="358"/>
      <c r="L12" s="358"/>
      <c r="M12" s="358"/>
      <c r="N12" s="358"/>
      <c r="O12" s="358"/>
      <c r="P12" s="358"/>
      <c r="Q12" s="358"/>
      <c r="R12" s="358"/>
      <c r="S12" s="358"/>
      <c r="T12" s="358"/>
      <c r="U12" s="358"/>
      <c r="V12" s="358"/>
      <c r="W12" s="358"/>
      <c r="X12" s="358"/>
      <c r="Y12" s="358"/>
      <c r="Z12" s="358"/>
      <c r="AA12" s="358"/>
    </row>
    <row r="13">
      <c r="A13" s="78">
        <v>1.3</v>
      </c>
      <c r="B13" s="28" t="s">
        <v>425</v>
      </c>
      <c r="C13" s="78" t="s">
        <v>410</v>
      </c>
      <c r="D13" s="78" t="s">
        <v>411</v>
      </c>
      <c r="E13" s="78" t="s">
        <v>422</v>
      </c>
      <c r="F13" s="78" t="s">
        <v>412</v>
      </c>
      <c r="G13" s="78" t="s">
        <v>412</v>
      </c>
      <c r="H13" s="358"/>
      <c r="I13" s="358"/>
      <c r="J13" s="358"/>
      <c r="K13" s="358"/>
      <c r="L13" s="358"/>
      <c r="M13" s="358"/>
      <c r="N13" s="358"/>
      <c r="O13" s="358"/>
      <c r="P13" s="358"/>
      <c r="Q13" s="358"/>
      <c r="R13" s="358"/>
      <c r="S13" s="358"/>
      <c r="T13" s="358"/>
      <c r="U13" s="358"/>
      <c r="V13" s="358"/>
      <c r="W13" s="358"/>
      <c r="X13" s="358"/>
      <c r="Y13" s="358"/>
      <c r="Z13" s="358"/>
      <c r="AA13" s="358"/>
    </row>
    <row r="14">
      <c r="A14" s="78">
        <v>1.4</v>
      </c>
      <c r="B14" s="28" t="s">
        <v>426</v>
      </c>
      <c r="C14" s="78" t="s">
        <v>410</v>
      </c>
      <c r="D14" s="78" t="s">
        <v>411</v>
      </c>
      <c r="E14" s="78" t="s">
        <v>412</v>
      </c>
      <c r="F14" s="78" t="s">
        <v>412</v>
      </c>
      <c r="G14" s="78" t="s">
        <v>422</v>
      </c>
      <c r="H14" s="358"/>
      <c r="I14" s="358"/>
      <c r="J14" s="358"/>
      <c r="K14" s="358"/>
      <c r="L14" s="358"/>
      <c r="M14" s="358"/>
      <c r="N14" s="358"/>
      <c r="O14" s="358"/>
      <c r="P14" s="358"/>
      <c r="Q14" s="358"/>
      <c r="R14" s="358"/>
      <c r="S14" s="358"/>
      <c r="T14" s="358"/>
      <c r="U14" s="358"/>
      <c r="V14" s="358"/>
      <c r="W14" s="358"/>
      <c r="X14" s="358"/>
      <c r="Y14" s="358"/>
      <c r="Z14" s="358"/>
      <c r="AA14" s="358"/>
    </row>
    <row r="15">
      <c r="A15" s="78">
        <v>1.5</v>
      </c>
      <c r="B15" s="28" t="s">
        <v>427</v>
      </c>
      <c r="C15" s="78" t="s">
        <v>411</v>
      </c>
      <c r="D15" s="78" t="s">
        <v>411</v>
      </c>
      <c r="E15" s="78" t="s">
        <v>412</v>
      </c>
      <c r="F15" s="78" t="s">
        <v>410</v>
      </c>
      <c r="G15" s="78" t="s">
        <v>422</v>
      </c>
      <c r="H15" s="358"/>
      <c r="I15" s="358"/>
      <c r="J15" s="358"/>
      <c r="K15" s="358"/>
      <c r="L15" s="358"/>
      <c r="M15" s="358"/>
      <c r="N15" s="358"/>
      <c r="O15" s="358"/>
      <c r="P15" s="358"/>
      <c r="Q15" s="358"/>
      <c r="R15" s="358"/>
      <c r="S15" s="358"/>
      <c r="T15" s="358"/>
      <c r="U15" s="358"/>
      <c r="V15" s="358"/>
      <c r="W15" s="358"/>
      <c r="X15" s="358"/>
      <c r="Y15" s="358"/>
      <c r="Z15" s="358"/>
      <c r="AA15" s="358"/>
    </row>
    <row r="16">
      <c r="A16" s="78">
        <v>1.6</v>
      </c>
      <c r="B16" s="28" t="s">
        <v>428</v>
      </c>
      <c r="C16" s="362" t="s">
        <v>411</v>
      </c>
      <c r="D16" s="362" t="s">
        <v>411</v>
      </c>
      <c r="E16" s="78" t="s">
        <v>412</v>
      </c>
      <c r="F16" s="78" t="s">
        <v>412</v>
      </c>
      <c r="G16" s="78" t="s">
        <v>424</v>
      </c>
      <c r="H16" s="358"/>
      <c r="I16" s="358"/>
      <c r="J16" s="358"/>
      <c r="K16" s="358"/>
      <c r="L16" s="358"/>
      <c r="M16" s="358"/>
      <c r="N16" s="358"/>
      <c r="O16" s="358"/>
      <c r="P16" s="358"/>
      <c r="Q16" s="358"/>
      <c r="R16" s="358"/>
      <c r="S16" s="358"/>
      <c r="T16" s="358"/>
      <c r="U16" s="358"/>
      <c r="V16" s="358"/>
      <c r="W16" s="358"/>
      <c r="X16" s="358"/>
      <c r="Y16" s="358"/>
      <c r="Z16" s="358"/>
      <c r="AA16" s="358"/>
    </row>
    <row r="17">
      <c r="A17" s="78">
        <v>1.7</v>
      </c>
      <c r="B17" s="28" t="s">
        <v>429</v>
      </c>
      <c r="C17" s="78" t="s">
        <v>424</v>
      </c>
      <c r="D17" s="78" t="s">
        <v>411</v>
      </c>
      <c r="E17" s="78" t="s">
        <v>424</v>
      </c>
      <c r="F17" s="78" t="s">
        <v>424</v>
      </c>
      <c r="G17" s="78" t="s">
        <v>424</v>
      </c>
      <c r="H17" s="358"/>
      <c r="I17" s="358"/>
      <c r="J17" s="358"/>
      <c r="K17" s="358"/>
      <c r="L17" s="358"/>
      <c r="M17" s="358"/>
      <c r="N17" s="358"/>
      <c r="O17" s="358"/>
      <c r="P17" s="358"/>
      <c r="Q17" s="358"/>
      <c r="R17" s="358"/>
      <c r="S17" s="358"/>
      <c r="T17" s="358"/>
      <c r="U17" s="358"/>
      <c r="V17" s="358"/>
      <c r="W17" s="358"/>
      <c r="X17" s="358"/>
      <c r="Y17" s="358"/>
      <c r="Z17" s="358"/>
      <c r="AA17" s="358"/>
    </row>
    <row r="18">
      <c r="A18" s="78">
        <v>1.8</v>
      </c>
      <c r="B18" s="28" t="s">
        <v>430</v>
      </c>
      <c r="C18" s="78" t="s">
        <v>412</v>
      </c>
      <c r="D18" s="78" t="s">
        <v>412</v>
      </c>
      <c r="E18" s="78" t="s">
        <v>410</v>
      </c>
      <c r="F18" s="78" t="s">
        <v>411</v>
      </c>
      <c r="G18" s="78" t="s">
        <v>411</v>
      </c>
      <c r="H18" s="358"/>
      <c r="I18" s="358"/>
      <c r="J18" s="358"/>
      <c r="K18" s="358"/>
      <c r="L18" s="358"/>
      <c r="M18" s="358"/>
      <c r="N18" s="358"/>
      <c r="O18" s="358"/>
      <c r="P18" s="358"/>
      <c r="Q18" s="358"/>
      <c r="R18" s="358"/>
      <c r="S18" s="358"/>
      <c r="T18" s="358"/>
      <c r="U18" s="358"/>
      <c r="V18" s="358"/>
      <c r="W18" s="358"/>
      <c r="X18" s="358"/>
      <c r="Y18" s="358"/>
      <c r="Z18" s="358"/>
      <c r="AA18" s="358"/>
    </row>
    <row r="19">
      <c r="A19" s="78">
        <v>1.9</v>
      </c>
      <c r="B19" s="28" t="s">
        <v>431</v>
      </c>
      <c r="C19" s="78" t="s">
        <v>432</v>
      </c>
      <c r="D19" s="78" t="s">
        <v>411</v>
      </c>
      <c r="E19" s="78" t="s">
        <v>422</v>
      </c>
      <c r="F19" s="78" t="s">
        <v>411</v>
      </c>
      <c r="G19" s="78" t="s">
        <v>411</v>
      </c>
      <c r="H19" s="358"/>
      <c r="I19" s="358"/>
      <c r="J19" s="358"/>
      <c r="K19" s="358"/>
      <c r="L19" s="358"/>
      <c r="M19" s="358"/>
      <c r="N19" s="358"/>
      <c r="O19" s="358"/>
      <c r="P19" s="358"/>
      <c r="Q19" s="358"/>
      <c r="R19" s="358"/>
      <c r="S19" s="358"/>
      <c r="T19" s="358"/>
      <c r="U19" s="358"/>
      <c r="V19" s="358"/>
      <c r="W19" s="358"/>
      <c r="X19" s="358"/>
      <c r="Y19" s="358"/>
      <c r="Z19" s="358"/>
      <c r="AA19" s="358"/>
    </row>
    <row r="20">
      <c r="A20" s="363">
        <v>2.0</v>
      </c>
      <c r="B20" s="100" t="s">
        <v>433</v>
      </c>
      <c r="C20" s="364"/>
      <c r="D20" s="364"/>
      <c r="E20" s="364"/>
      <c r="F20" s="364"/>
      <c r="G20" s="364"/>
      <c r="H20" s="364"/>
      <c r="I20" s="358"/>
      <c r="J20" s="358"/>
      <c r="K20" s="358"/>
      <c r="L20" s="358"/>
      <c r="M20" s="358"/>
      <c r="N20" s="358"/>
      <c r="O20" s="358"/>
      <c r="P20" s="358"/>
      <c r="Q20" s="358"/>
      <c r="R20" s="358"/>
      <c r="S20" s="358"/>
      <c r="T20" s="358"/>
      <c r="U20" s="358"/>
      <c r="V20" s="358"/>
      <c r="W20" s="358"/>
      <c r="X20" s="358"/>
      <c r="Y20" s="358"/>
      <c r="Z20" s="358"/>
      <c r="AA20" s="358"/>
    </row>
    <row r="21">
      <c r="A21" s="78">
        <v>2.1</v>
      </c>
      <c r="B21" s="28" t="s">
        <v>434</v>
      </c>
      <c r="C21" s="78" t="s">
        <v>424</v>
      </c>
      <c r="D21" s="78" t="s">
        <v>411</v>
      </c>
      <c r="E21" s="78" t="s">
        <v>422</v>
      </c>
      <c r="F21" s="78" t="s">
        <v>411</v>
      </c>
      <c r="G21" s="78" t="s">
        <v>410</v>
      </c>
      <c r="H21" s="358"/>
      <c r="I21" s="358"/>
      <c r="J21" s="358"/>
      <c r="K21" s="358"/>
      <c r="L21" s="358"/>
      <c r="M21" s="358"/>
      <c r="N21" s="358"/>
      <c r="O21" s="358"/>
      <c r="P21" s="358"/>
      <c r="Q21" s="358"/>
      <c r="R21" s="358"/>
      <c r="S21" s="358"/>
      <c r="T21" s="358"/>
      <c r="U21" s="358"/>
      <c r="V21" s="358"/>
      <c r="W21" s="358"/>
      <c r="X21" s="358"/>
      <c r="Y21" s="358"/>
      <c r="Z21" s="358"/>
      <c r="AA21" s="358"/>
    </row>
    <row r="22">
      <c r="A22" s="78">
        <v>2.2</v>
      </c>
      <c r="B22" s="28" t="s">
        <v>435</v>
      </c>
      <c r="C22" s="78" t="s">
        <v>410</v>
      </c>
      <c r="D22" s="78" t="s">
        <v>411</v>
      </c>
      <c r="E22" s="78" t="s">
        <v>422</v>
      </c>
      <c r="F22" s="78" t="s">
        <v>411</v>
      </c>
      <c r="G22" s="78" t="s">
        <v>422</v>
      </c>
      <c r="H22" s="358"/>
      <c r="I22" s="358"/>
      <c r="J22" s="358"/>
      <c r="K22" s="358"/>
      <c r="L22" s="358"/>
      <c r="M22" s="358"/>
      <c r="N22" s="358"/>
      <c r="O22" s="358"/>
      <c r="P22" s="358"/>
      <c r="Q22" s="358"/>
      <c r="R22" s="358"/>
      <c r="S22" s="358"/>
      <c r="T22" s="358"/>
      <c r="U22" s="358"/>
      <c r="V22" s="358"/>
      <c r="W22" s="358"/>
      <c r="X22" s="358"/>
      <c r="Y22" s="358"/>
      <c r="Z22" s="358"/>
      <c r="AA22" s="358"/>
    </row>
    <row r="23">
      <c r="A23" s="78">
        <v>2.3</v>
      </c>
      <c r="B23" s="28" t="s">
        <v>436</v>
      </c>
      <c r="C23" s="78" t="s">
        <v>424</v>
      </c>
      <c r="D23" s="78" t="s">
        <v>411</v>
      </c>
      <c r="E23" s="78" t="s">
        <v>412</v>
      </c>
      <c r="F23" s="78" t="s">
        <v>411</v>
      </c>
      <c r="G23" s="78" t="s">
        <v>410</v>
      </c>
      <c r="H23" s="358"/>
      <c r="I23" s="358"/>
      <c r="J23" s="358"/>
      <c r="K23" s="358"/>
      <c r="L23" s="358"/>
      <c r="M23" s="358"/>
      <c r="N23" s="358"/>
      <c r="O23" s="358"/>
      <c r="P23" s="358"/>
      <c r="Q23" s="358"/>
      <c r="R23" s="358"/>
      <c r="S23" s="358"/>
      <c r="T23" s="358"/>
      <c r="U23" s="358"/>
      <c r="V23" s="358"/>
      <c r="W23" s="358"/>
      <c r="X23" s="358"/>
      <c r="Y23" s="358"/>
      <c r="Z23" s="358"/>
      <c r="AA23" s="358"/>
    </row>
    <row r="24">
      <c r="A24" s="78">
        <v>2.4</v>
      </c>
      <c r="B24" s="28" t="s">
        <v>437</v>
      </c>
      <c r="C24" s="78" t="s">
        <v>410</v>
      </c>
      <c r="D24" s="78" t="s">
        <v>411</v>
      </c>
      <c r="E24" s="78" t="s">
        <v>411</v>
      </c>
      <c r="F24" s="78" t="s">
        <v>411</v>
      </c>
      <c r="G24" s="78" t="s">
        <v>412</v>
      </c>
      <c r="H24" s="358"/>
      <c r="I24" s="358"/>
      <c r="J24" s="358"/>
      <c r="K24" s="358"/>
      <c r="L24" s="358"/>
      <c r="M24" s="358"/>
      <c r="N24" s="358"/>
      <c r="O24" s="358"/>
      <c r="P24" s="358"/>
      <c r="Q24" s="358"/>
      <c r="R24" s="358"/>
      <c r="S24" s="358"/>
      <c r="T24" s="358"/>
      <c r="U24" s="358"/>
      <c r="V24" s="358"/>
      <c r="W24" s="358"/>
      <c r="X24" s="358"/>
      <c r="Y24" s="358"/>
      <c r="Z24" s="358"/>
      <c r="AA24" s="358"/>
    </row>
    <row r="25">
      <c r="A25" s="365">
        <v>3.0</v>
      </c>
      <c r="B25" s="366" t="s">
        <v>438</v>
      </c>
      <c r="C25" s="361"/>
      <c r="D25" s="361"/>
      <c r="E25" s="361"/>
      <c r="F25" s="361"/>
      <c r="G25" s="361"/>
      <c r="H25" s="361"/>
      <c r="I25" s="358"/>
      <c r="J25" s="358"/>
      <c r="K25" s="358"/>
      <c r="L25" s="358"/>
      <c r="M25" s="358"/>
      <c r="N25" s="358"/>
      <c r="O25" s="358"/>
      <c r="P25" s="358"/>
      <c r="Q25" s="358"/>
      <c r="R25" s="358"/>
      <c r="S25" s="358"/>
      <c r="T25" s="358"/>
      <c r="U25" s="358"/>
      <c r="V25" s="358"/>
      <c r="W25" s="358"/>
      <c r="X25" s="358"/>
      <c r="Y25" s="358"/>
      <c r="Z25" s="358"/>
      <c r="AA25" s="358"/>
    </row>
    <row r="26">
      <c r="A26" s="78">
        <v>3.1</v>
      </c>
      <c r="B26" s="28" t="s">
        <v>439</v>
      </c>
      <c r="C26" s="78" t="s">
        <v>410</v>
      </c>
      <c r="D26" s="78" t="s">
        <v>411</v>
      </c>
      <c r="E26" s="78" t="s">
        <v>411</v>
      </c>
      <c r="F26" s="362" t="s">
        <v>411</v>
      </c>
      <c r="G26" s="78" t="s">
        <v>412</v>
      </c>
      <c r="H26" s="358"/>
      <c r="I26" s="358"/>
      <c r="J26" s="358"/>
      <c r="K26" s="358"/>
      <c r="L26" s="358"/>
      <c r="M26" s="358"/>
      <c r="N26" s="358"/>
      <c r="O26" s="358"/>
      <c r="P26" s="358"/>
      <c r="Q26" s="358"/>
      <c r="R26" s="358"/>
      <c r="S26" s="358"/>
      <c r="T26" s="358"/>
      <c r="U26" s="358"/>
      <c r="V26" s="358"/>
      <c r="W26" s="358"/>
      <c r="X26" s="358"/>
      <c r="Y26" s="358"/>
      <c r="Z26" s="358"/>
      <c r="AA26" s="358"/>
    </row>
    <row r="27">
      <c r="A27" s="78">
        <v>3.2</v>
      </c>
      <c r="B27" s="28" t="s">
        <v>440</v>
      </c>
      <c r="C27" s="362" t="s">
        <v>412</v>
      </c>
      <c r="D27" s="362" t="s">
        <v>432</v>
      </c>
      <c r="E27" s="362" t="s">
        <v>410</v>
      </c>
      <c r="F27" s="362" t="s">
        <v>412</v>
      </c>
      <c r="G27" s="78" t="s">
        <v>412</v>
      </c>
      <c r="H27" s="358"/>
      <c r="I27" s="358"/>
      <c r="J27" s="358"/>
      <c r="K27" s="358"/>
      <c r="L27" s="358"/>
      <c r="M27" s="358"/>
      <c r="N27" s="358"/>
      <c r="O27" s="358"/>
      <c r="P27" s="358"/>
      <c r="Q27" s="358"/>
      <c r="R27" s="358"/>
      <c r="S27" s="358"/>
      <c r="T27" s="358"/>
      <c r="U27" s="358"/>
      <c r="V27" s="358"/>
      <c r="W27" s="358"/>
      <c r="X27" s="358"/>
      <c r="Y27" s="358"/>
      <c r="Z27" s="358"/>
      <c r="AA27" s="358"/>
    </row>
    <row r="28">
      <c r="A28" s="78">
        <v>3.3</v>
      </c>
      <c r="B28" s="28" t="s">
        <v>441</v>
      </c>
      <c r="C28" s="362" t="s">
        <v>412</v>
      </c>
      <c r="D28" s="362" t="s">
        <v>424</v>
      </c>
      <c r="E28" s="362" t="s">
        <v>410</v>
      </c>
      <c r="F28" s="362" t="s">
        <v>411</v>
      </c>
      <c r="G28" s="78" t="s">
        <v>412</v>
      </c>
      <c r="H28" s="358"/>
      <c r="I28" s="358"/>
      <c r="J28" s="358"/>
      <c r="K28" s="358"/>
      <c r="L28" s="358"/>
      <c r="M28" s="358"/>
      <c r="N28" s="358"/>
      <c r="O28" s="358"/>
      <c r="P28" s="358"/>
      <c r="Q28" s="358"/>
      <c r="R28" s="358"/>
      <c r="S28" s="358"/>
      <c r="T28" s="358"/>
      <c r="U28" s="358"/>
      <c r="V28" s="358"/>
      <c r="W28" s="358"/>
      <c r="X28" s="358"/>
      <c r="Y28" s="358"/>
      <c r="Z28" s="358"/>
      <c r="AA28" s="358"/>
    </row>
    <row r="29">
      <c r="A29" s="358"/>
      <c r="B29" s="358"/>
      <c r="C29" s="358"/>
      <c r="D29" s="358"/>
      <c r="E29" s="358"/>
      <c r="F29" s="358"/>
      <c r="G29" s="358"/>
      <c r="H29" s="358"/>
      <c r="I29" s="358"/>
      <c r="J29" s="358"/>
      <c r="K29" s="358"/>
      <c r="L29" s="358"/>
      <c r="M29" s="358"/>
      <c r="N29" s="358"/>
      <c r="O29" s="358"/>
      <c r="P29" s="358"/>
      <c r="Q29" s="358"/>
      <c r="R29" s="358"/>
      <c r="S29" s="358"/>
      <c r="T29" s="358"/>
      <c r="U29" s="358"/>
      <c r="V29" s="358"/>
      <c r="W29" s="358"/>
      <c r="X29" s="358"/>
      <c r="Y29" s="358"/>
      <c r="Z29" s="358"/>
      <c r="AA29" s="358"/>
    </row>
    <row r="30">
      <c r="A30" s="358"/>
      <c r="B30" s="358"/>
      <c r="C30" s="358"/>
      <c r="D30" s="358"/>
      <c r="E30" s="358"/>
      <c r="F30" s="358"/>
      <c r="G30" s="358"/>
      <c r="H30" s="358"/>
      <c r="I30" s="358"/>
      <c r="J30" s="358"/>
      <c r="K30" s="358"/>
      <c r="L30" s="358"/>
      <c r="M30" s="358"/>
      <c r="N30" s="358"/>
      <c r="O30" s="358"/>
      <c r="P30" s="358"/>
      <c r="Q30" s="358"/>
      <c r="R30" s="358"/>
      <c r="S30" s="358"/>
      <c r="T30" s="358"/>
      <c r="U30" s="358"/>
      <c r="V30" s="358"/>
      <c r="W30" s="358"/>
      <c r="X30" s="358"/>
      <c r="Y30" s="358"/>
      <c r="Z30" s="358"/>
      <c r="AA30" s="358"/>
    </row>
    <row r="31">
      <c r="A31" s="358"/>
      <c r="B31" s="358"/>
      <c r="C31" s="358"/>
      <c r="D31" s="358"/>
      <c r="E31" s="358"/>
      <c r="F31" s="358"/>
      <c r="G31" s="358"/>
      <c r="H31" s="358"/>
      <c r="I31" s="358"/>
      <c r="J31" s="358"/>
      <c r="K31" s="358"/>
      <c r="L31" s="358"/>
      <c r="M31" s="358"/>
      <c r="N31" s="358"/>
      <c r="O31" s="358"/>
      <c r="P31" s="358"/>
      <c r="Q31" s="358"/>
      <c r="R31" s="358"/>
      <c r="S31" s="358"/>
      <c r="T31" s="358"/>
      <c r="U31" s="358"/>
      <c r="V31" s="358"/>
      <c r="W31" s="358"/>
      <c r="X31" s="358"/>
      <c r="Y31" s="358"/>
      <c r="Z31" s="358"/>
      <c r="AA31" s="358"/>
    </row>
    <row r="32">
      <c r="A32" s="358"/>
      <c r="B32" s="358"/>
      <c r="C32" s="358"/>
      <c r="D32" s="358"/>
      <c r="E32" s="358"/>
      <c r="F32" s="358"/>
      <c r="G32" s="358"/>
      <c r="H32" s="358"/>
      <c r="I32" s="358"/>
      <c r="J32" s="358"/>
      <c r="K32" s="358"/>
      <c r="L32" s="358"/>
      <c r="M32" s="358"/>
      <c r="N32" s="358"/>
      <c r="O32" s="358"/>
      <c r="P32" s="358"/>
      <c r="Q32" s="358"/>
      <c r="R32" s="358"/>
      <c r="S32" s="358"/>
      <c r="T32" s="358"/>
      <c r="U32" s="358"/>
      <c r="V32" s="358"/>
      <c r="W32" s="358"/>
      <c r="X32" s="358"/>
      <c r="Y32" s="358"/>
      <c r="Z32" s="358"/>
      <c r="AA32" s="358"/>
    </row>
    <row r="33">
      <c r="A33" s="358"/>
      <c r="B33" s="358"/>
      <c r="C33" s="358"/>
      <c r="D33" s="358"/>
      <c r="E33" s="358"/>
      <c r="F33" s="358"/>
      <c r="G33" s="358"/>
      <c r="H33" s="358"/>
      <c r="I33" s="358"/>
      <c r="J33" s="358"/>
      <c r="K33" s="358"/>
      <c r="L33" s="358"/>
      <c r="M33" s="358"/>
      <c r="N33" s="358"/>
      <c r="O33" s="358"/>
      <c r="P33" s="358"/>
      <c r="Q33" s="358"/>
      <c r="R33" s="358"/>
      <c r="S33" s="358"/>
      <c r="T33" s="358"/>
      <c r="U33" s="358"/>
      <c r="V33" s="358"/>
      <c r="W33" s="358"/>
      <c r="X33" s="358"/>
      <c r="Y33" s="358"/>
      <c r="Z33" s="358"/>
      <c r="AA33" s="358"/>
    </row>
    <row r="34">
      <c r="A34" s="358"/>
      <c r="B34" s="358"/>
      <c r="C34" s="358"/>
      <c r="D34" s="358"/>
      <c r="E34" s="358"/>
      <c r="F34" s="358"/>
      <c r="G34" s="358"/>
      <c r="H34" s="358"/>
      <c r="I34" s="358"/>
      <c r="J34" s="358"/>
      <c r="K34" s="358"/>
      <c r="L34" s="358"/>
      <c r="M34" s="358"/>
      <c r="N34" s="358"/>
      <c r="O34" s="358"/>
      <c r="P34" s="358"/>
      <c r="Q34" s="358"/>
      <c r="R34" s="358"/>
      <c r="S34" s="358"/>
      <c r="T34" s="358"/>
      <c r="U34" s="358"/>
      <c r="V34" s="358"/>
      <c r="W34" s="358"/>
      <c r="X34" s="358"/>
      <c r="Y34" s="358"/>
      <c r="Z34" s="358"/>
      <c r="AA34" s="358"/>
    </row>
    <row r="35">
      <c r="A35" s="358"/>
      <c r="B35" s="358"/>
      <c r="C35" s="358"/>
      <c r="D35" s="358"/>
      <c r="E35" s="358"/>
      <c r="F35" s="358"/>
      <c r="G35" s="358"/>
      <c r="H35" s="358"/>
      <c r="I35" s="358"/>
      <c r="J35" s="358"/>
      <c r="K35" s="358"/>
      <c r="L35" s="358"/>
      <c r="M35" s="358"/>
      <c r="N35" s="358"/>
      <c r="O35" s="358"/>
      <c r="P35" s="358"/>
      <c r="Q35" s="358"/>
      <c r="R35" s="358"/>
      <c r="S35" s="358"/>
      <c r="T35" s="358"/>
      <c r="U35" s="358"/>
      <c r="V35" s="358"/>
      <c r="W35" s="358"/>
      <c r="X35" s="358"/>
      <c r="Y35" s="358"/>
      <c r="Z35" s="358"/>
      <c r="AA35" s="358"/>
    </row>
    <row r="36">
      <c r="A36" s="358"/>
      <c r="B36" s="358"/>
      <c r="C36" s="358"/>
      <c r="D36" s="358"/>
      <c r="E36" s="358"/>
      <c r="F36" s="358"/>
      <c r="G36" s="358"/>
      <c r="H36" s="358"/>
      <c r="I36" s="358"/>
      <c r="J36" s="358"/>
      <c r="K36" s="358"/>
      <c r="L36" s="358"/>
      <c r="M36" s="358"/>
      <c r="N36" s="358"/>
      <c r="O36" s="358"/>
      <c r="P36" s="358"/>
      <c r="Q36" s="358"/>
      <c r="R36" s="358"/>
      <c r="S36" s="358"/>
      <c r="T36" s="358"/>
      <c r="U36" s="358"/>
      <c r="V36" s="358"/>
      <c r="W36" s="358"/>
      <c r="X36" s="358"/>
      <c r="Y36" s="358"/>
      <c r="Z36" s="358"/>
      <c r="AA36" s="358"/>
    </row>
    <row r="37">
      <c r="A37" s="358"/>
      <c r="B37" s="358"/>
      <c r="C37" s="358"/>
      <c r="D37" s="358"/>
      <c r="E37" s="358"/>
      <c r="F37" s="358"/>
      <c r="G37" s="358"/>
      <c r="H37" s="358"/>
      <c r="I37" s="358"/>
      <c r="J37" s="358"/>
      <c r="K37" s="358"/>
      <c r="L37" s="358"/>
      <c r="M37" s="358"/>
      <c r="N37" s="358"/>
      <c r="O37" s="358"/>
      <c r="P37" s="358"/>
      <c r="Q37" s="358"/>
      <c r="R37" s="358"/>
      <c r="S37" s="358"/>
      <c r="T37" s="358"/>
      <c r="U37" s="358"/>
      <c r="V37" s="358"/>
      <c r="W37" s="358"/>
      <c r="X37" s="358"/>
      <c r="Y37" s="358"/>
      <c r="Z37" s="358"/>
      <c r="AA37" s="358"/>
    </row>
    <row r="38">
      <c r="A38" s="358"/>
      <c r="B38" s="358"/>
      <c r="C38" s="358"/>
      <c r="D38" s="358"/>
      <c r="E38" s="358"/>
      <c r="F38" s="358"/>
      <c r="G38" s="358"/>
      <c r="H38" s="358"/>
      <c r="I38" s="358"/>
      <c r="J38" s="358"/>
      <c r="K38" s="358"/>
      <c r="L38" s="358"/>
      <c r="M38" s="358"/>
      <c r="N38" s="358"/>
      <c r="O38" s="358"/>
      <c r="P38" s="358"/>
      <c r="Q38" s="358"/>
      <c r="R38" s="358"/>
      <c r="S38" s="358"/>
      <c r="T38" s="358"/>
      <c r="U38" s="358"/>
      <c r="V38" s="358"/>
      <c r="W38" s="358"/>
      <c r="X38" s="358"/>
      <c r="Y38" s="358"/>
      <c r="Z38" s="358"/>
      <c r="AA38" s="358"/>
    </row>
    <row r="39">
      <c r="A39" s="358"/>
      <c r="B39" s="358"/>
      <c r="C39" s="358"/>
      <c r="D39" s="358"/>
      <c r="E39" s="358"/>
      <c r="F39" s="358"/>
      <c r="G39" s="358"/>
      <c r="H39" s="358"/>
      <c r="I39" s="358"/>
      <c r="J39" s="358"/>
      <c r="K39" s="358"/>
      <c r="L39" s="358"/>
      <c r="M39" s="358"/>
      <c r="N39" s="358"/>
      <c r="O39" s="358"/>
      <c r="P39" s="358"/>
      <c r="Q39" s="358"/>
      <c r="R39" s="358"/>
      <c r="S39" s="358"/>
      <c r="T39" s="358"/>
      <c r="U39" s="358"/>
      <c r="V39" s="358"/>
      <c r="W39" s="358"/>
      <c r="X39" s="358"/>
      <c r="Y39" s="358"/>
      <c r="Z39" s="358"/>
      <c r="AA39" s="358"/>
    </row>
    <row r="40">
      <c r="A40" s="358"/>
      <c r="B40" s="358"/>
      <c r="C40" s="358"/>
      <c r="D40" s="358"/>
      <c r="E40" s="358"/>
      <c r="F40" s="358"/>
      <c r="G40" s="358"/>
      <c r="H40" s="358"/>
      <c r="I40" s="358"/>
      <c r="J40" s="358"/>
      <c r="K40" s="358"/>
      <c r="L40" s="358"/>
      <c r="M40" s="358"/>
      <c r="N40" s="358"/>
      <c r="O40" s="358"/>
      <c r="P40" s="358"/>
      <c r="Q40" s="358"/>
      <c r="R40" s="358"/>
      <c r="S40" s="358"/>
      <c r="T40" s="358"/>
      <c r="U40" s="358"/>
      <c r="V40" s="358"/>
      <c r="W40" s="358"/>
      <c r="X40" s="358"/>
      <c r="Y40" s="358"/>
      <c r="Z40" s="358"/>
      <c r="AA40" s="358"/>
    </row>
    <row r="41">
      <c r="A41" s="358"/>
      <c r="B41" s="358"/>
      <c r="C41" s="358"/>
      <c r="D41" s="358"/>
      <c r="E41" s="358"/>
      <c r="F41" s="358"/>
      <c r="G41" s="358"/>
      <c r="H41" s="358"/>
      <c r="I41" s="358"/>
      <c r="J41" s="358"/>
      <c r="K41" s="358"/>
      <c r="L41" s="358"/>
      <c r="M41" s="358"/>
      <c r="N41" s="358"/>
      <c r="O41" s="358"/>
      <c r="P41" s="358"/>
      <c r="Q41" s="358"/>
      <c r="R41" s="358"/>
      <c r="S41" s="358"/>
      <c r="T41" s="358"/>
      <c r="U41" s="358"/>
      <c r="V41" s="358"/>
      <c r="W41" s="358"/>
      <c r="X41" s="358"/>
      <c r="Y41" s="358"/>
      <c r="Z41" s="358"/>
      <c r="AA41" s="358"/>
    </row>
    <row r="42">
      <c r="A42" s="358"/>
      <c r="B42" s="358"/>
      <c r="C42" s="358"/>
      <c r="D42" s="358"/>
      <c r="E42" s="358"/>
      <c r="F42" s="358"/>
      <c r="G42" s="358"/>
      <c r="H42" s="358"/>
      <c r="I42" s="358"/>
      <c r="J42" s="358"/>
      <c r="K42" s="358"/>
      <c r="L42" s="358"/>
      <c r="M42" s="358"/>
      <c r="N42" s="358"/>
      <c r="O42" s="358"/>
      <c r="P42" s="358"/>
      <c r="Q42" s="358"/>
      <c r="R42" s="358"/>
      <c r="S42" s="358"/>
      <c r="T42" s="358"/>
      <c r="U42" s="358"/>
      <c r="V42" s="358"/>
      <c r="W42" s="358"/>
      <c r="X42" s="358"/>
      <c r="Y42" s="358"/>
      <c r="Z42" s="358"/>
      <c r="AA42" s="358"/>
    </row>
    <row r="43">
      <c r="A43" s="358"/>
      <c r="B43" s="358"/>
      <c r="C43" s="358"/>
      <c r="D43" s="358"/>
      <c r="E43" s="358"/>
      <c r="F43" s="358"/>
      <c r="G43" s="358"/>
      <c r="H43" s="358"/>
      <c r="I43" s="358"/>
      <c r="J43" s="358"/>
      <c r="K43" s="358"/>
      <c r="L43" s="358"/>
      <c r="M43" s="358"/>
      <c r="N43" s="358"/>
      <c r="O43" s="358"/>
      <c r="P43" s="358"/>
      <c r="Q43" s="358"/>
      <c r="R43" s="358"/>
      <c r="S43" s="358"/>
      <c r="T43" s="358"/>
      <c r="U43" s="358"/>
      <c r="V43" s="358"/>
      <c r="W43" s="358"/>
      <c r="X43" s="358"/>
      <c r="Y43" s="358"/>
      <c r="Z43" s="358"/>
      <c r="AA43" s="358"/>
    </row>
    <row r="44">
      <c r="A44" s="358"/>
      <c r="B44" s="358"/>
      <c r="C44" s="358"/>
      <c r="D44" s="358"/>
      <c r="E44" s="358"/>
      <c r="F44" s="358"/>
      <c r="G44" s="358"/>
      <c r="H44" s="358"/>
      <c r="I44" s="358"/>
      <c r="J44" s="358"/>
      <c r="K44" s="358"/>
      <c r="L44" s="358"/>
      <c r="M44" s="358"/>
      <c r="N44" s="358"/>
      <c r="O44" s="358"/>
      <c r="P44" s="358"/>
      <c r="Q44" s="358"/>
      <c r="R44" s="358"/>
      <c r="S44" s="358"/>
      <c r="T44" s="358"/>
      <c r="U44" s="358"/>
      <c r="V44" s="358"/>
      <c r="W44" s="358"/>
      <c r="X44" s="358"/>
      <c r="Y44" s="358"/>
      <c r="Z44" s="358"/>
      <c r="AA44" s="358"/>
    </row>
    <row r="45">
      <c r="A45" s="358"/>
      <c r="B45" s="358"/>
      <c r="C45" s="358"/>
      <c r="D45" s="358"/>
      <c r="E45" s="358"/>
      <c r="F45" s="358"/>
      <c r="G45" s="358"/>
      <c r="H45" s="358"/>
      <c r="I45" s="358"/>
      <c r="J45" s="358"/>
      <c r="K45" s="358"/>
      <c r="L45" s="358"/>
      <c r="M45" s="358"/>
      <c r="N45" s="358"/>
      <c r="O45" s="358"/>
      <c r="P45" s="358"/>
      <c r="Q45" s="358"/>
      <c r="R45" s="358"/>
      <c r="S45" s="358"/>
      <c r="T45" s="358"/>
      <c r="U45" s="358"/>
      <c r="V45" s="358"/>
      <c r="W45" s="358"/>
      <c r="X45" s="358"/>
      <c r="Y45" s="358"/>
      <c r="Z45" s="358"/>
      <c r="AA45" s="358"/>
    </row>
    <row r="46">
      <c r="A46" s="358"/>
      <c r="B46" s="358"/>
      <c r="C46" s="358"/>
      <c r="D46" s="358"/>
      <c r="E46" s="358"/>
      <c r="F46" s="358"/>
      <c r="G46" s="358"/>
      <c r="H46" s="358"/>
      <c r="I46" s="358"/>
      <c r="J46" s="358"/>
      <c r="K46" s="358"/>
      <c r="L46" s="358"/>
      <c r="M46" s="358"/>
      <c r="N46" s="358"/>
      <c r="O46" s="358"/>
      <c r="P46" s="358"/>
      <c r="Q46" s="358"/>
      <c r="R46" s="358"/>
      <c r="S46" s="358"/>
      <c r="T46" s="358"/>
      <c r="U46" s="358"/>
      <c r="V46" s="358"/>
      <c r="W46" s="358"/>
      <c r="X46" s="358"/>
      <c r="Y46" s="358"/>
      <c r="Z46" s="358"/>
      <c r="AA46" s="358"/>
    </row>
    <row r="47">
      <c r="A47" s="358"/>
      <c r="B47" s="358"/>
      <c r="C47" s="358"/>
      <c r="D47" s="358"/>
      <c r="E47" s="358"/>
      <c r="F47" s="358"/>
      <c r="G47" s="358"/>
      <c r="H47" s="358"/>
      <c r="I47" s="358"/>
      <c r="J47" s="358"/>
      <c r="K47" s="358"/>
      <c r="L47" s="358"/>
      <c r="M47" s="358"/>
      <c r="N47" s="358"/>
      <c r="O47" s="358"/>
      <c r="P47" s="358"/>
      <c r="Q47" s="358"/>
      <c r="R47" s="358"/>
      <c r="S47" s="358"/>
      <c r="T47" s="358"/>
      <c r="U47" s="358"/>
      <c r="V47" s="358"/>
      <c r="W47" s="358"/>
      <c r="X47" s="358"/>
      <c r="Y47" s="358"/>
      <c r="Z47" s="358"/>
      <c r="AA47" s="358"/>
    </row>
    <row r="48">
      <c r="A48" s="358"/>
      <c r="B48" s="358"/>
      <c r="C48" s="358"/>
      <c r="D48" s="358"/>
      <c r="E48" s="358"/>
      <c r="F48" s="358"/>
      <c r="G48" s="358"/>
      <c r="H48" s="358"/>
      <c r="I48" s="358"/>
      <c r="J48" s="358"/>
      <c r="K48" s="358"/>
      <c r="L48" s="358"/>
      <c r="M48" s="358"/>
      <c r="N48" s="358"/>
      <c r="O48" s="358"/>
      <c r="P48" s="358"/>
      <c r="Q48" s="358"/>
      <c r="R48" s="358"/>
      <c r="S48" s="358"/>
      <c r="T48" s="358"/>
      <c r="U48" s="358"/>
      <c r="V48" s="358"/>
      <c r="W48" s="358"/>
      <c r="X48" s="358"/>
      <c r="Y48" s="358"/>
      <c r="Z48" s="358"/>
      <c r="AA48" s="358"/>
    </row>
    <row r="49">
      <c r="A49" s="358"/>
      <c r="B49" s="358"/>
      <c r="C49" s="358"/>
      <c r="D49" s="358"/>
      <c r="E49" s="358"/>
      <c r="F49" s="358"/>
      <c r="G49" s="358"/>
      <c r="H49" s="358"/>
      <c r="I49" s="358"/>
      <c r="J49" s="358"/>
      <c r="K49" s="358"/>
      <c r="L49" s="358"/>
      <c r="M49" s="358"/>
      <c r="N49" s="358"/>
      <c r="O49" s="358"/>
      <c r="P49" s="358"/>
      <c r="Q49" s="358"/>
      <c r="R49" s="358"/>
      <c r="S49" s="358"/>
      <c r="T49" s="358"/>
      <c r="U49" s="358"/>
      <c r="V49" s="358"/>
      <c r="W49" s="358"/>
      <c r="X49" s="358"/>
      <c r="Y49" s="358"/>
      <c r="Z49" s="358"/>
      <c r="AA49" s="358"/>
    </row>
    <row r="50">
      <c r="A50" s="358"/>
      <c r="B50" s="358"/>
      <c r="C50" s="358"/>
      <c r="D50" s="358"/>
      <c r="E50" s="358"/>
      <c r="F50" s="358"/>
      <c r="G50" s="358"/>
      <c r="H50" s="358"/>
      <c r="I50" s="358"/>
      <c r="J50" s="358"/>
      <c r="K50" s="358"/>
      <c r="L50" s="358"/>
      <c r="M50" s="358"/>
      <c r="N50" s="358"/>
      <c r="O50" s="358"/>
      <c r="P50" s="358"/>
      <c r="Q50" s="358"/>
      <c r="R50" s="358"/>
      <c r="S50" s="358"/>
      <c r="T50" s="358"/>
      <c r="U50" s="358"/>
      <c r="V50" s="358"/>
      <c r="W50" s="358"/>
      <c r="X50" s="358"/>
      <c r="Y50" s="358"/>
      <c r="Z50" s="358"/>
      <c r="AA50" s="358"/>
    </row>
    <row r="51">
      <c r="A51" s="358"/>
      <c r="B51" s="358"/>
      <c r="C51" s="358"/>
      <c r="D51" s="358"/>
      <c r="E51" s="358"/>
      <c r="F51" s="358"/>
      <c r="G51" s="358"/>
      <c r="H51" s="358"/>
      <c r="I51" s="358"/>
      <c r="J51" s="358"/>
      <c r="K51" s="358"/>
      <c r="L51" s="358"/>
      <c r="M51" s="358"/>
      <c r="N51" s="358"/>
      <c r="O51" s="358"/>
      <c r="P51" s="358"/>
      <c r="Q51" s="358"/>
      <c r="R51" s="358"/>
      <c r="S51" s="358"/>
      <c r="T51" s="358"/>
      <c r="U51" s="358"/>
      <c r="V51" s="358"/>
      <c r="W51" s="358"/>
      <c r="X51" s="358"/>
      <c r="Y51" s="358"/>
      <c r="Z51" s="358"/>
      <c r="AA51" s="358"/>
    </row>
    <row r="52">
      <c r="A52" s="358"/>
      <c r="B52" s="358"/>
      <c r="C52" s="358"/>
      <c r="D52" s="358"/>
      <c r="E52" s="358"/>
      <c r="F52" s="358"/>
      <c r="G52" s="358"/>
      <c r="H52" s="358"/>
      <c r="I52" s="358"/>
      <c r="J52" s="358"/>
      <c r="K52" s="358"/>
      <c r="L52" s="358"/>
      <c r="M52" s="358"/>
      <c r="N52" s="358"/>
      <c r="O52" s="358"/>
      <c r="P52" s="358"/>
      <c r="Q52" s="358"/>
      <c r="R52" s="358"/>
      <c r="S52" s="358"/>
      <c r="T52" s="358"/>
      <c r="U52" s="358"/>
      <c r="V52" s="358"/>
      <c r="W52" s="358"/>
      <c r="X52" s="358"/>
      <c r="Y52" s="358"/>
      <c r="Z52" s="358"/>
      <c r="AA52" s="358"/>
    </row>
    <row r="53">
      <c r="A53" s="358"/>
      <c r="B53" s="358"/>
      <c r="C53" s="358"/>
      <c r="D53" s="358"/>
      <c r="E53" s="358"/>
      <c r="F53" s="358"/>
      <c r="G53" s="358"/>
      <c r="H53" s="358"/>
      <c r="I53" s="358"/>
      <c r="J53" s="358"/>
      <c r="K53" s="358"/>
      <c r="L53" s="358"/>
      <c r="M53" s="358"/>
      <c r="N53" s="358"/>
      <c r="O53" s="358"/>
      <c r="P53" s="358"/>
      <c r="Q53" s="358"/>
      <c r="R53" s="358"/>
      <c r="S53" s="358"/>
      <c r="T53" s="358"/>
      <c r="U53" s="358"/>
      <c r="V53" s="358"/>
      <c r="W53" s="358"/>
      <c r="X53" s="358"/>
      <c r="Y53" s="358"/>
      <c r="Z53" s="358"/>
      <c r="AA53" s="358"/>
    </row>
    <row r="54">
      <c r="A54" s="358"/>
      <c r="B54" s="358"/>
      <c r="C54" s="358"/>
      <c r="D54" s="358"/>
      <c r="E54" s="358"/>
      <c r="F54" s="358"/>
      <c r="G54" s="358"/>
      <c r="H54" s="358"/>
      <c r="I54" s="358"/>
      <c r="J54" s="358"/>
      <c r="K54" s="358"/>
      <c r="L54" s="358"/>
      <c r="M54" s="358"/>
      <c r="N54" s="358"/>
      <c r="O54" s="358"/>
      <c r="P54" s="358"/>
      <c r="Q54" s="358"/>
      <c r="R54" s="358"/>
      <c r="S54" s="358"/>
      <c r="T54" s="358"/>
      <c r="U54" s="358"/>
      <c r="V54" s="358"/>
      <c r="W54" s="358"/>
      <c r="X54" s="358"/>
      <c r="Y54" s="358"/>
      <c r="Z54" s="358"/>
      <c r="AA54" s="358"/>
    </row>
    <row r="55">
      <c r="A55" s="358"/>
      <c r="B55" s="358"/>
      <c r="C55" s="358"/>
      <c r="D55" s="358"/>
      <c r="E55" s="358"/>
      <c r="F55" s="358"/>
      <c r="G55" s="358"/>
      <c r="H55" s="358"/>
      <c r="I55" s="358"/>
      <c r="J55" s="358"/>
      <c r="K55" s="358"/>
      <c r="L55" s="358"/>
      <c r="M55" s="358"/>
      <c r="N55" s="358"/>
      <c r="O55" s="358"/>
      <c r="P55" s="358"/>
      <c r="Q55" s="358"/>
      <c r="R55" s="358"/>
      <c r="S55" s="358"/>
      <c r="T55" s="358"/>
      <c r="U55" s="358"/>
      <c r="V55" s="358"/>
      <c r="W55" s="358"/>
      <c r="X55" s="358"/>
      <c r="Y55" s="358"/>
      <c r="Z55" s="358"/>
      <c r="AA55" s="358"/>
    </row>
    <row r="56">
      <c r="A56" s="358"/>
      <c r="B56" s="358"/>
      <c r="C56" s="358"/>
      <c r="D56" s="358"/>
      <c r="E56" s="358"/>
      <c r="F56" s="358"/>
      <c r="G56" s="358"/>
      <c r="H56" s="358"/>
      <c r="I56" s="358"/>
      <c r="J56" s="358"/>
      <c r="K56" s="358"/>
      <c r="L56" s="358"/>
      <c r="M56" s="358"/>
      <c r="N56" s="358"/>
      <c r="O56" s="358"/>
      <c r="P56" s="358"/>
      <c r="Q56" s="358"/>
      <c r="R56" s="358"/>
      <c r="S56" s="358"/>
      <c r="T56" s="358"/>
      <c r="U56" s="358"/>
      <c r="V56" s="358"/>
      <c r="W56" s="358"/>
      <c r="X56" s="358"/>
      <c r="Y56" s="358"/>
      <c r="Z56" s="358"/>
      <c r="AA56" s="358"/>
    </row>
    <row r="57">
      <c r="A57" s="358"/>
      <c r="B57" s="358"/>
      <c r="C57" s="358"/>
      <c r="D57" s="358"/>
      <c r="E57" s="358"/>
      <c r="F57" s="358"/>
      <c r="G57" s="358"/>
      <c r="H57" s="358"/>
      <c r="I57" s="358"/>
      <c r="J57" s="358"/>
      <c r="K57" s="358"/>
      <c r="L57" s="358"/>
      <c r="M57" s="358"/>
      <c r="N57" s="358"/>
      <c r="O57" s="358"/>
      <c r="P57" s="358"/>
      <c r="Q57" s="358"/>
      <c r="R57" s="358"/>
      <c r="S57" s="358"/>
      <c r="T57" s="358"/>
      <c r="U57" s="358"/>
      <c r="V57" s="358"/>
      <c r="W57" s="358"/>
      <c r="X57" s="358"/>
      <c r="Y57" s="358"/>
      <c r="Z57" s="358"/>
      <c r="AA57" s="358"/>
    </row>
    <row r="58">
      <c r="A58" s="358"/>
      <c r="B58" s="358"/>
      <c r="C58" s="358"/>
      <c r="D58" s="358"/>
      <c r="E58" s="358"/>
      <c r="F58" s="358"/>
      <c r="G58" s="358"/>
      <c r="H58" s="358"/>
      <c r="I58" s="358"/>
      <c r="J58" s="358"/>
      <c r="K58" s="358"/>
      <c r="L58" s="358"/>
      <c r="M58" s="358"/>
      <c r="N58" s="358"/>
      <c r="O58" s="358"/>
      <c r="P58" s="358"/>
      <c r="Q58" s="358"/>
      <c r="R58" s="358"/>
      <c r="S58" s="358"/>
      <c r="T58" s="358"/>
      <c r="U58" s="358"/>
      <c r="V58" s="358"/>
      <c r="W58" s="358"/>
      <c r="X58" s="358"/>
      <c r="Y58" s="358"/>
      <c r="Z58" s="358"/>
      <c r="AA58" s="358"/>
    </row>
    <row r="59">
      <c r="A59" s="358"/>
      <c r="B59" s="358"/>
      <c r="C59" s="358"/>
      <c r="D59" s="358"/>
      <c r="E59" s="358"/>
      <c r="F59" s="358"/>
      <c r="G59" s="358"/>
      <c r="H59" s="358"/>
      <c r="I59" s="358"/>
      <c r="J59" s="358"/>
      <c r="K59" s="358"/>
      <c r="L59" s="358"/>
      <c r="M59" s="358"/>
      <c r="N59" s="358"/>
      <c r="O59" s="358"/>
      <c r="P59" s="358"/>
      <c r="Q59" s="358"/>
      <c r="R59" s="358"/>
      <c r="S59" s="358"/>
      <c r="T59" s="358"/>
      <c r="U59" s="358"/>
      <c r="V59" s="358"/>
      <c r="W59" s="358"/>
      <c r="X59" s="358"/>
      <c r="Y59" s="358"/>
      <c r="Z59" s="358"/>
      <c r="AA59" s="358"/>
    </row>
    <row r="60">
      <c r="A60" s="358"/>
      <c r="B60" s="358"/>
      <c r="C60" s="358"/>
      <c r="D60" s="358"/>
      <c r="E60" s="358"/>
      <c r="F60" s="358"/>
      <c r="G60" s="358"/>
      <c r="H60" s="358"/>
      <c r="I60" s="358"/>
      <c r="J60" s="358"/>
      <c r="K60" s="358"/>
      <c r="L60" s="358"/>
      <c r="M60" s="358"/>
      <c r="N60" s="358"/>
      <c r="O60" s="358"/>
      <c r="P60" s="358"/>
      <c r="Q60" s="358"/>
      <c r="R60" s="358"/>
      <c r="S60" s="358"/>
      <c r="T60" s="358"/>
      <c r="U60" s="358"/>
      <c r="V60" s="358"/>
      <c r="W60" s="358"/>
      <c r="X60" s="358"/>
      <c r="Y60" s="358"/>
      <c r="Z60" s="358"/>
      <c r="AA60" s="358"/>
    </row>
    <row r="61">
      <c r="A61" s="358"/>
      <c r="B61" s="358"/>
      <c r="C61" s="358"/>
      <c r="D61" s="358"/>
      <c r="E61" s="358"/>
      <c r="F61" s="358"/>
      <c r="G61" s="358"/>
      <c r="H61" s="358"/>
      <c r="I61" s="358"/>
      <c r="J61" s="358"/>
      <c r="K61" s="358"/>
      <c r="L61" s="358"/>
      <c r="M61" s="358"/>
      <c r="N61" s="358"/>
      <c r="O61" s="358"/>
      <c r="P61" s="358"/>
      <c r="Q61" s="358"/>
      <c r="R61" s="358"/>
      <c r="S61" s="358"/>
      <c r="T61" s="358"/>
      <c r="U61" s="358"/>
      <c r="V61" s="358"/>
      <c r="W61" s="358"/>
      <c r="X61" s="358"/>
      <c r="Y61" s="358"/>
      <c r="Z61" s="358"/>
      <c r="AA61" s="358"/>
    </row>
    <row r="62">
      <c r="A62" s="358"/>
      <c r="B62" s="358"/>
      <c r="C62" s="358"/>
      <c r="D62" s="358"/>
      <c r="E62" s="358"/>
      <c r="F62" s="358"/>
      <c r="G62" s="358"/>
      <c r="H62" s="358"/>
      <c r="I62" s="358"/>
      <c r="J62" s="358"/>
      <c r="K62" s="358"/>
      <c r="L62" s="358"/>
      <c r="M62" s="358"/>
      <c r="N62" s="358"/>
      <c r="O62" s="358"/>
      <c r="P62" s="358"/>
      <c r="Q62" s="358"/>
      <c r="R62" s="358"/>
      <c r="S62" s="358"/>
      <c r="T62" s="358"/>
      <c r="U62" s="358"/>
      <c r="V62" s="358"/>
      <c r="W62" s="358"/>
      <c r="X62" s="358"/>
      <c r="Y62" s="358"/>
      <c r="Z62" s="358"/>
      <c r="AA62" s="358"/>
    </row>
    <row r="63">
      <c r="A63" s="358"/>
      <c r="B63" s="358"/>
      <c r="C63" s="358"/>
      <c r="D63" s="358"/>
      <c r="E63" s="358"/>
      <c r="F63" s="358"/>
      <c r="G63" s="358"/>
      <c r="H63" s="358"/>
      <c r="I63" s="358"/>
      <c r="J63" s="358"/>
      <c r="K63" s="358"/>
      <c r="L63" s="358"/>
      <c r="M63" s="358"/>
      <c r="N63" s="358"/>
      <c r="O63" s="358"/>
      <c r="P63" s="358"/>
      <c r="Q63" s="358"/>
      <c r="R63" s="358"/>
      <c r="S63" s="358"/>
      <c r="T63" s="358"/>
      <c r="U63" s="358"/>
      <c r="V63" s="358"/>
      <c r="W63" s="358"/>
      <c r="X63" s="358"/>
      <c r="Y63" s="358"/>
      <c r="Z63" s="358"/>
      <c r="AA63" s="358"/>
    </row>
    <row r="64">
      <c r="A64" s="358"/>
      <c r="B64" s="358"/>
      <c r="C64" s="358"/>
      <c r="D64" s="358"/>
      <c r="E64" s="358"/>
      <c r="F64" s="358"/>
      <c r="G64" s="358"/>
      <c r="H64" s="358"/>
      <c r="I64" s="358"/>
      <c r="J64" s="358"/>
      <c r="K64" s="358"/>
      <c r="L64" s="358"/>
      <c r="M64" s="358"/>
      <c r="N64" s="358"/>
      <c r="O64" s="358"/>
      <c r="P64" s="358"/>
      <c r="Q64" s="358"/>
      <c r="R64" s="358"/>
      <c r="S64" s="358"/>
      <c r="T64" s="358"/>
      <c r="U64" s="358"/>
      <c r="V64" s="358"/>
      <c r="W64" s="358"/>
      <c r="X64" s="358"/>
      <c r="Y64" s="358"/>
      <c r="Z64" s="358"/>
      <c r="AA64" s="358"/>
    </row>
    <row r="65">
      <c r="A65" s="358"/>
      <c r="B65" s="358"/>
      <c r="C65" s="358"/>
      <c r="D65" s="358"/>
      <c r="E65" s="358"/>
      <c r="F65" s="358"/>
      <c r="G65" s="358"/>
      <c r="H65" s="358"/>
      <c r="I65" s="358"/>
      <c r="J65" s="358"/>
      <c r="K65" s="358"/>
      <c r="L65" s="358"/>
      <c r="M65" s="358"/>
      <c r="N65" s="358"/>
      <c r="O65" s="358"/>
      <c r="P65" s="358"/>
      <c r="Q65" s="358"/>
      <c r="R65" s="358"/>
      <c r="S65" s="358"/>
      <c r="T65" s="358"/>
      <c r="U65" s="358"/>
      <c r="V65" s="358"/>
      <c r="W65" s="358"/>
      <c r="X65" s="358"/>
      <c r="Y65" s="358"/>
      <c r="Z65" s="358"/>
      <c r="AA65" s="358"/>
    </row>
    <row r="66">
      <c r="A66" s="358"/>
      <c r="B66" s="358"/>
      <c r="C66" s="358"/>
      <c r="D66" s="358"/>
      <c r="E66" s="358"/>
      <c r="F66" s="358"/>
      <c r="G66" s="358"/>
      <c r="H66" s="358"/>
      <c r="I66" s="358"/>
      <c r="J66" s="358"/>
      <c r="K66" s="358"/>
      <c r="L66" s="358"/>
      <c r="M66" s="358"/>
      <c r="N66" s="358"/>
      <c r="O66" s="358"/>
      <c r="P66" s="358"/>
      <c r="Q66" s="358"/>
      <c r="R66" s="358"/>
      <c r="S66" s="358"/>
      <c r="T66" s="358"/>
      <c r="U66" s="358"/>
      <c r="V66" s="358"/>
      <c r="W66" s="358"/>
      <c r="X66" s="358"/>
      <c r="Y66" s="358"/>
      <c r="Z66" s="358"/>
      <c r="AA66" s="358"/>
    </row>
    <row r="67">
      <c r="A67" s="358"/>
      <c r="B67" s="358"/>
      <c r="C67" s="358"/>
      <c r="D67" s="358"/>
      <c r="E67" s="358"/>
      <c r="F67" s="358"/>
      <c r="G67" s="358"/>
      <c r="H67" s="358"/>
      <c r="I67" s="358"/>
      <c r="J67" s="358"/>
      <c r="K67" s="358"/>
      <c r="L67" s="358"/>
      <c r="M67" s="358"/>
      <c r="N67" s="358"/>
      <c r="O67" s="358"/>
      <c r="P67" s="358"/>
      <c r="Q67" s="358"/>
      <c r="R67" s="358"/>
      <c r="S67" s="358"/>
      <c r="T67" s="358"/>
      <c r="U67" s="358"/>
      <c r="V67" s="358"/>
      <c r="W67" s="358"/>
      <c r="X67" s="358"/>
      <c r="Y67" s="358"/>
      <c r="Z67" s="358"/>
      <c r="AA67" s="358"/>
    </row>
    <row r="68">
      <c r="A68" s="358"/>
      <c r="B68" s="358"/>
      <c r="C68" s="358"/>
      <c r="D68" s="358"/>
      <c r="E68" s="358"/>
      <c r="F68" s="358"/>
      <c r="G68" s="358"/>
      <c r="H68" s="358"/>
      <c r="I68" s="358"/>
      <c r="J68" s="358"/>
      <c r="K68" s="358"/>
      <c r="L68" s="358"/>
      <c r="M68" s="358"/>
      <c r="N68" s="358"/>
      <c r="O68" s="358"/>
      <c r="P68" s="358"/>
      <c r="Q68" s="358"/>
      <c r="R68" s="358"/>
      <c r="S68" s="358"/>
      <c r="T68" s="358"/>
      <c r="U68" s="358"/>
      <c r="V68" s="358"/>
      <c r="W68" s="358"/>
      <c r="X68" s="358"/>
      <c r="Y68" s="358"/>
      <c r="Z68" s="358"/>
      <c r="AA68" s="358"/>
    </row>
    <row r="69">
      <c r="A69" s="358"/>
      <c r="B69" s="358"/>
      <c r="C69" s="358"/>
      <c r="D69" s="358"/>
      <c r="E69" s="358"/>
      <c r="F69" s="358"/>
      <c r="G69" s="358"/>
      <c r="H69" s="358"/>
      <c r="I69" s="358"/>
      <c r="J69" s="358"/>
      <c r="K69" s="358"/>
      <c r="L69" s="358"/>
      <c r="M69" s="358"/>
      <c r="N69" s="358"/>
      <c r="O69" s="358"/>
      <c r="P69" s="358"/>
      <c r="Q69" s="358"/>
      <c r="R69" s="358"/>
      <c r="S69" s="358"/>
      <c r="T69" s="358"/>
      <c r="U69" s="358"/>
      <c r="V69" s="358"/>
      <c r="W69" s="358"/>
      <c r="X69" s="358"/>
      <c r="Y69" s="358"/>
      <c r="Z69" s="358"/>
      <c r="AA69" s="358"/>
    </row>
    <row r="70">
      <c r="A70" s="358"/>
      <c r="B70" s="358"/>
      <c r="C70" s="358"/>
      <c r="D70" s="358"/>
      <c r="E70" s="358"/>
      <c r="F70" s="358"/>
      <c r="G70" s="358"/>
      <c r="H70" s="358"/>
      <c r="I70" s="358"/>
      <c r="J70" s="358"/>
      <c r="K70" s="358"/>
      <c r="L70" s="358"/>
      <c r="M70" s="358"/>
      <c r="N70" s="358"/>
      <c r="O70" s="358"/>
      <c r="P70" s="358"/>
      <c r="Q70" s="358"/>
      <c r="R70" s="358"/>
      <c r="S70" s="358"/>
      <c r="T70" s="358"/>
      <c r="U70" s="358"/>
      <c r="V70" s="358"/>
      <c r="W70" s="358"/>
      <c r="X70" s="358"/>
      <c r="Y70" s="358"/>
      <c r="Z70" s="358"/>
      <c r="AA70" s="358"/>
    </row>
    <row r="71">
      <c r="A71" s="358"/>
      <c r="B71" s="358"/>
      <c r="C71" s="358"/>
      <c r="D71" s="358"/>
      <c r="E71" s="358"/>
      <c r="F71" s="358"/>
      <c r="G71" s="358"/>
      <c r="H71" s="358"/>
      <c r="I71" s="358"/>
      <c r="J71" s="358"/>
      <c r="K71" s="358"/>
      <c r="L71" s="358"/>
      <c r="M71" s="358"/>
      <c r="N71" s="358"/>
      <c r="O71" s="358"/>
      <c r="P71" s="358"/>
      <c r="Q71" s="358"/>
      <c r="R71" s="358"/>
      <c r="S71" s="358"/>
      <c r="T71" s="358"/>
      <c r="U71" s="358"/>
      <c r="V71" s="358"/>
      <c r="W71" s="358"/>
      <c r="X71" s="358"/>
      <c r="Y71" s="358"/>
      <c r="Z71" s="358"/>
      <c r="AA71" s="358"/>
    </row>
    <row r="72">
      <c r="A72" s="358"/>
      <c r="B72" s="358"/>
      <c r="C72" s="358"/>
      <c r="D72" s="358"/>
      <c r="E72" s="358"/>
      <c r="F72" s="358"/>
      <c r="G72" s="358"/>
      <c r="H72" s="358"/>
      <c r="I72" s="358"/>
      <c r="J72" s="358"/>
      <c r="K72" s="358"/>
      <c r="L72" s="358"/>
      <c r="M72" s="358"/>
      <c r="N72" s="358"/>
      <c r="O72" s="358"/>
      <c r="P72" s="358"/>
      <c r="Q72" s="358"/>
      <c r="R72" s="358"/>
      <c r="S72" s="358"/>
      <c r="T72" s="358"/>
      <c r="U72" s="358"/>
      <c r="V72" s="358"/>
      <c r="W72" s="358"/>
      <c r="X72" s="358"/>
      <c r="Y72" s="358"/>
      <c r="Z72" s="358"/>
      <c r="AA72" s="358"/>
    </row>
    <row r="73">
      <c r="A73" s="358"/>
      <c r="B73" s="358"/>
      <c r="C73" s="358"/>
      <c r="D73" s="358"/>
      <c r="E73" s="358"/>
      <c r="F73" s="358"/>
      <c r="G73" s="358"/>
      <c r="H73" s="358"/>
      <c r="I73" s="358"/>
      <c r="J73" s="358"/>
      <c r="K73" s="358"/>
      <c r="L73" s="358"/>
      <c r="M73" s="358"/>
      <c r="N73" s="358"/>
      <c r="O73" s="358"/>
      <c r="P73" s="358"/>
      <c r="Q73" s="358"/>
      <c r="R73" s="358"/>
      <c r="S73" s="358"/>
      <c r="T73" s="358"/>
      <c r="U73" s="358"/>
      <c r="V73" s="358"/>
      <c r="W73" s="358"/>
      <c r="X73" s="358"/>
      <c r="Y73" s="358"/>
      <c r="Z73" s="358"/>
      <c r="AA73" s="358"/>
    </row>
    <row r="74">
      <c r="A74" s="358"/>
      <c r="B74" s="358"/>
      <c r="C74" s="358"/>
      <c r="D74" s="358"/>
      <c r="E74" s="358"/>
      <c r="F74" s="358"/>
      <c r="G74" s="358"/>
      <c r="H74" s="358"/>
      <c r="I74" s="358"/>
      <c r="J74" s="358"/>
      <c r="K74" s="358"/>
      <c r="L74" s="358"/>
      <c r="M74" s="358"/>
      <c r="N74" s="358"/>
      <c r="O74" s="358"/>
      <c r="P74" s="358"/>
      <c r="Q74" s="358"/>
      <c r="R74" s="358"/>
      <c r="S74" s="358"/>
      <c r="T74" s="358"/>
      <c r="U74" s="358"/>
      <c r="V74" s="358"/>
      <c r="W74" s="358"/>
      <c r="X74" s="358"/>
      <c r="Y74" s="358"/>
      <c r="Z74" s="358"/>
      <c r="AA74" s="358"/>
    </row>
    <row r="75">
      <c r="A75" s="358"/>
      <c r="B75" s="358"/>
      <c r="C75" s="358"/>
      <c r="D75" s="358"/>
      <c r="E75" s="358"/>
      <c r="F75" s="358"/>
      <c r="G75" s="358"/>
      <c r="H75" s="358"/>
      <c r="I75" s="358"/>
      <c r="J75" s="358"/>
      <c r="K75" s="358"/>
      <c r="L75" s="358"/>
      <c r="M75" s="358"/>
      <c r="N75" s="358"/>
      <c r="O75" s="358"/>
      <c r="P75" s="358"/>
      <c r="Q75" s="358"/>
      <c r="R75" s="358"/>
      <c r="S75" s="358"/>
      <c r="T75" s="358"/>
      <c r="U75" s="358"/>
      <c r="V75" s="358"/>
      <c r="W75" s="358"/>
      <c r="X75" s="358"/>
      <c r="Y75" s="358"/>
      <c r="Z75" s="358"/>
      <c r="AA75" s="358"/>
    </row>
    <row r="76">
      <c r="A76" s="358"/>
      <c r="B76" s="358"/>
      <c r="C76" s="358"/>
      <c r="D76" s="358"/>
      <c r="E76" s="358"/>
      <c r="F76" s="358"/>
      <c r="G76" s="358"/>
      <c r="H76" s="358"/>
      <c r="I76" s="358"/>
      <c r="J76" s="358"/>
      <c r="K76" s="358"/>
      <c r="L76" s="358"/>
      <c r="M76" s="358"/>
      <c r="N76" s="358"/>
      <c r="O76" s="358"/>
      <c r="P76" s="358"/>
      <c r="Q76" s="358"/>
      <c r="R76" s="358"/>
      <c r="S76" s="358"/>
      <c r="T76" s="358"/>
      <c r="U76" s="358"/>
      <c r="V76" s="358"/>
      <c r="W76" s="358"/>
      <c r="X76" s="358"/>
      <c r="Y76" s="358"/>
      <c r="Z76" s="358"/>
      <c r="AA76" s="358"/>
    </row>
    <row r="77">
      <c r="A77" s="358"/>
      <c r="B77" s="358"/>
      <c r="C77" s="358"/>
      <c r="D77" s="358"/>
      <c r="E77" s="358"/>
      <c r="F77" s="358"/>
      <c r="G77" s="358"/>
      <c r="H77" s="358"/>
      <c r="I77" s="358"/>
      <c r="J77" s="358"/>
      <c r="K77" s="358"/>
      <c r="L77" s="358"/>
      <c r="M77" s="358"/>
      <c r="N77" s="358"/>
      <c r="O77" s="358"/>
      <c r="P77" s="358"/>
      <c r="Q77" s="358"/>
      <c r="R77" s="358"/>
      <c r="S77" s="358"/>
      <c r="T77" s="358"/>
      <c r="U77" s="358"/>
      <c r="V77" s="358"/>
      <c r="W77" s="358"/>
      <c r="X77" s="358"/>
      <c r="Y77" s="358"/>
      <c r="Z77" s="358"/>
      <c r="AA77" s="358"/>
    </row>
    <row r="78">
      <c r="A78" s="358"/>
      <c r="B78" s="358"/>
      <c r="C78" s="358"/>
      <c r="D78" s="358"/>
      <c r="E78" s="358"/>
      <c r="F78" s="358"/>
      <c r="G78" s="358"/>
      <c r="H78" s="358"/>
      <c r="I78" s="358"/>
      <c r="J78" s="358"/>
      <c r="K78" s="358"/>
      <c r="L78" s="358"/>
      <c r="M78" s="358"/>
      <c r="N78" s="358"/>
      <c r="O78" s="358"/>
      <c r="P78" s="358"/>
      <c r="Q78" s="358"/>
      <c r="R78" s="358"/>
      <c r="S78" s="358"/>
      <c r="T78" s="358"/>
      <c r="U78" s="358"/>
      <c r="V78" s="358"/>
      <c r="W78" s="358"/>
      <c r="X78" s="358"/>
      <c r="Y78" s="358"/>
      <c r="Z78" s="358"/>
      <c r="AA78" s="358"/>
    </row>
    <row r="79">
      <c r="A79" s="358"/>
      <c r="B79" s="358"/>
      <c r="C79" s="358"/>
      <c r="D79" s="358"/>
      <c r="E79" s="358"/>
      <c r="F79" s="358"/>
      <c r="G79" s="358"/>
      <c r="H79" s="358"/>
      <c r="I79" s="358"/>
      <c r="J79" s="358"/>
      <c r="K79" s="358"/>
      <c r="L79" s="358"/>
      <c r="M79" s="358"/>
      <c r="N79" s="358"/>
      <c r="O79" s="358"/>
      <c r="P79" s="358"/>
      <c r="Q79" s="358"/>
      <c r="R79" s="358"/>
      <c r="S79" s="358"/>
      <c r="T79" s="358"/>
      <c r="U79" s="358"/>
      <c r="V79" s="358"/>
      <c r="W79" s="358"/>
      <c r="X79" s="358"/>
      <c r="Y79" s="358"/>
      <c r="Z79" s="358"/>
      <c r="AA79" s="358"/>
    </row>
    <row r="80">
      <c r="A80" s="358"/>
      <c r="B80" s="358"/>
      <c r="C80" s="358"/>
      <c r="D80" s="358"/>
      <c r="E80" s="358"/>
      <c r="F80" s="358"/>
      <c r="G80" s="358"/>
      <c r="H80" s="358"/>
      <c r="I80" s="358"/>
      <c r="J80" s="358"/>
      <c r="K80" s="358"/>
      <c r="L80" s="358"/>
      <c r="M80" s="358"/>
      <c r="N80" s="358"/>
      <c r="O80" s="358"/>
      <c r="P80" s="358"/>
      <c r="Q80" s="358"/>
      <c r="R80" s="358"/>
      <c r="S80" s="358"/>
      <c r="T80" s="358"/>
      <c r="U80" s="358"/>
      <c r="V80" s="358"/>
      <c r="W80" s="358"/>
      <c r="X80" s="358"/>
      <c r="Y80" s="358"/>
      <c r="Z80" s="358"/>
      <c r="AA80" s="358"/>
    </row>
    <row r="81">
      <c r="A81" s="358"/>
      <c r="B81" s="358"/>
      <c r="C81" s="358"/>
      <c r="D81" s="358"/>
      <c r="E81" s="358"/>
      <c r="F81" s="358"/>
      <c r="G81" s="358"/>
      <c r="H81" s="358"/>
      <c r="I81" s="358"/>
      <c r="J81" s="358"/>
      <c r="K81" s="358"/>
      <c r="L81" s="358"/>
      <c r="M81" s="358"/>
      <c r="N81" s="358"/>
      <c r="O81" s="358"/>
      <c r="P81" s="358"/>
      <c r="Q81" s="358"/>
      <c r="R81" s="358"/>
      <c r="S81" s="358"/>
      <c r="T81" s="358"/>
      <c r="U81" s="358"/>
      <c r="V81" s="358"/>
      <c r="W81" s="358"/>
      <c r="X81" s="358"/>
      <c r="Y81" s="358"/>
      <c r="Z81" s="358"/>
      <c r="AA81" s="358"/>
    </row>
    <row r="82">
      <c r="A82" s="358"/>
      <c r="B82" s="358"/>
      <c r="C82" s="358"/>
      <c r="D82" s="358"/>
      <c r="E82" s="358"/>
      <c r="F82" s="358"/>
      <c r="G82" s="358"/>
      <c r="H82" s="358"/>
      <c r="I82" s="358"/>
      <c r="J82" s="358"/>
      <c r="K82" s="358"/>
      <c r="L82" s="358"/>
      <c r="M82" s="358"/>
      <c r="N82" s="358"/>
      <c r="O82" s="358"/>
      <c r="P82" s="358"/>
      <c r="Q82" s="358"/>
      <c r="R82" s="358"/>
      <c r="S82" s="358"/>
      <c r="T82" s="358"/>
      <c r="U82" s="358"/>
      <c r="V82" s="358"/>
      <c r="W82" s="358"/>
      <c r="X82" s="358"/>
      <c r="Y82" s="358"/>
      <c r="Z82" s="358"/>
      <c r="AA82" s="358"/>
    </row>
    <row r="83">
      <c r="A83" s="358"/>
      <c r="B83" s="358"/>
      <c r="C83" s="358"/>
      <c r="D83" s="358"/>
      <c r="E83" s="358"/>
      <c r="F83" s="358"/>
      <c r="G83" s="358"/>
      <c r="H83" s="358"/>
      <c r="I83" s="358"/>
      <c r="J83" s="358"/>
      <c r="K83" s="358"/>
      <c r="L83" s="358"/>
      <c r="M83" s="358"/>
      <c r="N83" s="358"/>
      <c r="O83" s="358"/>
      <c r="P83" s="358"/>
      <c r="Q83" s="358"/>
      <c r="R83" s="358"/>
      <c r="S83" s="358"/>
      <c r="T83" s="358"/>
      <c r="U83" s="358"/>
      <c r="V83" s="358"/>
      <c r="W83" s="358"/>
      <c r="X83" s="358"/>
      <c r="Y83" s="358"/>
      <c r="Z83" s="358"/>
      <c r="AA83" s="358"/>
    </row>
    <row r="84">
      <c r="A84" s="358"/>
      <c r="B84" s="358"/>
      <c r="C84" s="358"/>
      <c r="D84" s="358"/>
      <c r="E84" s="358"/>
      <c r="F84" s="358"/>
      <c r="G84" s="358"/>
      <c r="H84" s="358"/>
      <c r="I84" s="358"/>
      <c r="J84" s="358"/>
      <c r="K84" s="358"/>
      <c r="L84" s="358"/>
      <c r="M84" s="358"/>
      <c r="N84" s="358"/>
      <c r="O84" s="358"/>
      <c r="P84" s="358"/>
      <c r="Q84" s="358"/>
      <c r="R84" s="358"/>
      <c r="S84" s="358"/>
      <c r="T84" s="358"/>
      <c r="U84" s="358"/>
      <c r="V84" s="358"/>
      <c r="W84" s="358"/>
      <c r="X84" s="358"/>
      <c r="Y84" s="358"/>
      <c r="Z84" s="358"/>
      <c r="AA84" s="358"/>
    </row>
    <row r="85">
      <c r="A85" s="358"/>
      <c r="B85" s="358"/>
      <c r="C85" s="358"/>
      <c r="D85" s="358"/>
      <c r="E85" s="358"/>
      <c r="F85" s="358"/>
      <c r="G85" s="358"/>
      <c r="H85" s="358"/>
      <c r="I85" s="358"/>
      <c r="J85" s="358"/>
      <c r="K85" s="358"/>
      <c r="L85" s="358"/>
      <c r="M85" s="358"/>
      <c r="N85" s="358"/>
      <c r="O85" s="358"/>
      <c r="P85" s="358"/>
      <c r="Q85" s="358"/>
      <c r="R85" s="358"/>
      <c r="S85" s="358"/>
      <c r="T85" s="358"/>
      <c r="U85" s="358"/>
      <c r="V85" s="358"/>
      <c r="W85" s="358"/>
      <c r="X85" s="358"/>
      <c r="Y85" s="358"/>
      <c r="Z85" s="358"/>
      <c r="AA85" s="358"/>
    </row>
    <row r="86">
      <c r="A86" s="358"/>
      <c r="B86" s="358"/>
      <c r="C86" s="358"/>
      <c r="D86" s="358"/>
      <c r="E86" s="358"/>
      <c r="F86" s="358"/>
      <c r="G86" s="358"/>
      <c r="H86" s="358"/>
      <c r="I86" s="358"/>
      <c r="J86" s="358"/>
      <c r="K86" s="358"/>
      <c r="L86" s="358"/>
      <c r="M86" s="358"/>
      <c r="N86" s="358"/>
      <c r="O86" s="358"/>
      <c r="P86" s="358"/>
      <c r="Q86" s="358"/>
      <c r="R86" s="358"/>
      <c r="S86" s="358"/>
      <c r="T86" s="358"/>
      <c r="U86" s="358"/>
      <c r="V86" s="358"/>
      <c r="W86" s="358"/>
      <c r="X86" s="358"/>
      <c r="Y86" s="358"/>
      <c r="Z86" s="358"/>
      <c r="AA86" s="358"/>
    </row>
    <row r="87">
      <c r="A87" s="358"/>
      <c r="B87" s="358"/>
      <c r="C87" s="358"/>
      <c r="D87" s="358"/>
      <c r="E87" s="358"/>
      <c r="F87" s="358"/>
      <c r="G87" s="358"/>
      <c r="H87" s="358"/>
      <c r="I87" s="358"/>
      <c r="J87" s="358"/>
      <c r="K87" s="358"/>
      <c r="L87" s="358"/>
      <c r="M87" s="358"/>
      <c r="N87" s="358"/>
      <c r="O87" s="358"/>
      <c r="P87" s="358"/>
      <c r="Q87" s="358"/>
      <c r="R87" s="358"/>
      <c r="S87" s="358"/>
      <c r="T87" s="358"/>
      <c r="U87" s="358"/>
      <c r="V87" s="358"/>
      <c r="W87" s="358"/>
      <c r="X87" s="358"/>
      <c r="Y87" s="358"/>
      <c r="Z87" s="358"/>
      <c r="AA87" s="358"/>
    </row>
    <row r="88">
      <c r="A88" s="358"/>
      <c r="B88" s="358"/>
      <c r="C88" s="358"/>
      <c r="D88" s="358"/>
      <c r="E88" s="358"/>
      <c r="F88" s="358"/>
      <c r="G88" s="358"/>
      <c r="H88" s="358"/>
      <c r="I88" s="358"/>
      <c r="J88" s="358"/>
      <c r="K88" s="358"/>
      <c r="L88" s="358"/>
      <c r="M88" s="358"/>
      <c r="N88" s="358"/>
      <c r="O88" s="358"/>
      <c r="P88" s="358"/>
      <c r="Q88" s="358"/>
      <c r="R88" s="358"/>
      <c r="S88" s="358"/>
      <c r="T88" s="358"/>
      <c r="U88" s="358"/>
      <c r="V88" s="358"/>
      <c r="W88" s="358"/>
      <c r="X88" s="358"/>
      <c r="Y88" s="358"/>
      <c r="Z88" s="358"/>
      <c r="AA88" s="358"/>
    </row>
    <row r="89">
      <c r="A89" s="358"/>
      <c r="B89" s="358"/>
      <c r="C89" s="358"/>
      <c r="D89" s="358"/>
      <c r="E89" s="358"/>
      <c r="F89" s="358"/>
      <c r="G89" s="358"/>
      <c r="H89" s="358"/>
      <c r="I89" s="358"/>
      <c r="J89" s="358"/>
      <c r="K89" s="358"/>
      <c r="L89" s="358"/>
      <c r="M89" s="358"/>
      <c r="N89" s="358"/>
      <c r="O89" s="358"/>
      <c r="P89" s="358"/>
      <c r="Q89" s="358"/>
      <c r="R89" s="358"/>
      <c r="S89" s="358"/>
      <c r="T89" s="358"/>
      <c r="U89" s="358"/>
      <c r="V89" s="358"/>
      <c r="W89" s="358"/>
      <c r="X89" s="358"/>
      <c r="Y89" s="358"/>
      <c r="Z89" s="358"/>
      <c r="AA89" s="358"/>
    </row>
    <row r="90">
      <c r="A90" s="358"/>
      <c r="B90" s="358"/>
      <c r="C90" s="358"/>
      <c r="D90" s="358"/>
      <c r="E90" s="358"/>
      <c r="F90" s="358"/>
      <c r="G90" s="358"/>
      <c r="H90" s="358"/>
      <c r="I90" s="358"/>
      <c r="J90" s="358"/>
      <c r="K90" s="358"/>
      <c r="L90" s="358"/>
      <c r="M90" s="358"/>
      <c r="N90" s="358"/>
      <c r="O90" s="358"/>
      <c r="P90" s="358"/>
      <c r="Q90" s="358"/>
      <c r="R90" s="358"/>
      <c r="S90" s="358"/>
      <c r="T90" s="358"/>
      <c r="U90" s="358"/>
      <c r="V90" s="358"/>
      <c r="W90" s="358"/>
      <c r="X90" s="358"/>
      <c r="Y90" s="358"/>
      <c r="Z90" s="358"/>
      <c r="AA90" s="358"/>
    </row>
    <row r="91">
      <c r="A91" s="358"/>
      <c r="B91" s="358"/>
      <c r="C91" s="358"/>
      <c r="D91" s="358"/>
      <c r="E91" s="358"/>
      <c r="F91" s="358"/>
      <c r="G91" s="358"/>
      <c r="H91" s="358"/>
      <c r="I91" s="358"/>
      <c r="J91" s="358"/>
      <c r="K91" s="358"/>
      <c r="L91" s="358"/>
      <c r="M91" s="358"/>
      <c r="N91" s="358"/>
      <c r="O91" s="358"/>
      <c r="P91" s="358"/>
      <c r="Q91" s="358"/>
      <c r="R91" s="358"/>
      <c r="S91" s="358"/>
      <c r="T91" s="358"/>
      <c r="U91" s="358"/>
      <c r="V91" s="358"/>
      <c r="W91" s="358"/>
      <c r="X91" s="358"/>
      <c r="Y91" s="358"/>
      <c r="Z91" s="358"/>
      <c r="AA91" s="358"/>
    </row>
    <row r="92">
      <c r="A92" s="358"/>
      <c r="B92" s="358"/>
      <c r="C92" s="358"/>
      <c r="D92" s="358"/>
      <c r="E92" s="358"/>
      <c r="F92" s="358"/>
      <c r="G92" s="358"/>
      <c r="H92" s="358"/>
      <c r="I92" s="358"/>
      <c r="J92" s="358"/>
      <c r="K92" s="358"/>
      <c r="L92" s="358"/>
      <c r="M92" s="358"/>
      <c r="N92" s="358"/>
      <c r="O92" s="358"/>
      <c r="P92" s="358"/>
      <c r="Q92" s="358"/>
      <c r="R92" s="358"/>
      <c r="S92" s="358"/>
      <c r="T92" s="358"/>
      <c r="U92" s="358"/>
      <c r="V92" s="358"/>
      <c r="W92" s="358"/>
      <c r="X92" s="358"/>
      <c r="Y92" s="358"/>
      <c r="Z92" s="358"/>
      <c r="AA92" s="358"/>
    </row>
    <row r="93">
      <c r="A93" s="358"/>
      <c r="B93" s="358"/>
      <c r="C93" s="358"/>
      <c r="D93" s="358"/>
      <c r="E93" s="358"/>
      <c r="F93" s="358"/>
      <c r="G93" s="358"/>
      <c r="H93" s="358"/>
      <c r="I93" s="358"/>
      <c r="J93" s="358"/>
      <c r="K93" s="358"/>
      <c r="L93" s="358"/>
      <c r="M93" s="358"/>
      <c r="N93" s="358"/>
      <c r="O93" s="358"/>
      <c r="P93" s="358"/>
      <c r="Q93" s="358"/>
      <c r="R93" s="358"/>
      <c r="S93" s="358"/>
      <c r="T93" s="358"/>
      <c r="U93" s="358"/>
      <c r="V93" s="358"/>
      <c r="W93" s="358"/>
      <c r="X93" s="358"/>
      <c r="Y93" s="358"/>
      <c r="Z93" s="358"/>
      <c r="AA93" s="358"/>
    </row>
    <row r="94">
      <c r="A94" s="358"/>
      <c r="B94" s="358"/>
      <c r="C94" s="358"/>
      <c r="D94" s="358"/>
      <c r="E94" s="358"/>
      <c r="F94" s="358"/>
      <c r="G94" s="358"/>
      <c r="H94" s="358"/>
      <c r="I94" s="358"/>
      <c r="J94" s="358"/>
      <c r="K94" s="358"/>
      <c r="L94" s="358"/>
      <c r="M94" s="358"/>
      <c r="N94" s="358"/>
      <c r="O94" s="358"/>
      <c r="P94" s="358"/>
      <c r="Q94" s="358"/>
      <c r="R94" s="358"/>
      <c r="S94" s="358"/>
      <c r="T94" s="358"/>
      <c r="U94" s="358"/>
      <c r="V94" s="358"/>
      <c r="W94" s="358"/>
      <c r="X94" s="358"/>
      <c r="Y94" s="358"/>
      <c r="Z94" s="358"/>
      <c r="AA94" s="358"/>
    </row>
    <row r="95">
      <c r="A95" s="358"/>
      <c r="B95" s="358"/>
      <c r="C95" s="358"/>
      <c r="D95" s="358"/>
      <c r="E95" s="358"/>
      <c r="F95" s="358"/>
      <c r="G95" s="358"/>
      <c r="H95" s="358"/>
      <c r="I95" s="358"/>
      <c r="J95" s="358"/>
      <c r="K95" s="358"/>
      <c r="L95" s="358"/>
      <c r="M95" s="358"/>
      <c r="N95" s="358"/>
      <c r="O95" s="358"/>
      <c r="P95" s="358"/>
      <c r="Q95" s="358"/>
      <c r="R95" s="358"/>
      <c r="S95" s="358"/>
      <c r="T95" s="358"/>
      <c r="U95" s="358"/>
      <c r="V95" s="358"/>
      <c r="W95" s="358"/>
      <c r="X95" s="358"/>
      <c r="Y95" s="358"/>
      <c r="Z95" s="358"/>
      <c r="AA95" s="358"/>
    </row>
    <row r="96">
      <c r="A96" s="358"/>
      <c r="B96" s="358"/>
      <c r="C96" s="358"/>
      <c r="D96" s="358"/>
      <c r="E96" s="358"/>
      <c r="F96" s="358"/>
      <c r="G96" s="358"/>
      <c r="H96" s="358"/>
      <c r="I96" s="358"/>
      <c r="J96" s="358"/>
      <c r="K96" s="358"/>
      <c r="L96" s="358"/>
      <c r="M96" s="358"/>
      <c r="N96" s="358"/>
      <c r="O96" s="358"/>
      <c r="P96" s="358"/>
      <c r="Q96" s="358"/>
      <c r="R96" s="358"/>
      <c r="S96" s="358"/>
      <c r="T96" s="358"/>
      <c r="U96" s="358"/>
      <c r="V96" s="358"/>
      <c r="W96" s="358"/>
      <c r="X96" s="358"/>
      <c r="Y96" s="358"/>
      <c r="Z96" s="358"/>
      <c r="AA96" s="358"/>
    </row>
    <row r="97">
      <c r="A97" s="358"/>
      <c r="B97" s="358"/>
      <c r="C97" s="358"/>
      <c r="D97" s="358"/>
      <c r="E97" s="358"/>
      <c r="F97" s="358"/>
      <c r="G97" s="358"/>
      <c r="H97" s="358"/>
      <c r="I97" s="358"/>
      <c r="J97" s="358"/>
      <c r="K97" s="358"/>
      <c r="L97" s="358"/>
      <c r="M97" s="358"/>
      <c r="N97" s="358"/>
      <c r="O97" s="358"/>
      <c r="P97" s="358"/>
      <c r="Q97" s="358"/>
      <c r="R97" s="358"/>
      <c r="S97" s="358"/>
      <c r="T97" s="358"/>
      <c r="U97" s="358"/>
      <c r="V97" s="358"/>
      <c r="W97" s="358"/>
      <c r="X97" s="358"/>
      <c r="Y97" s="358"/>
      <c r="Z97" s="358"/>
      <c r="AA97" s="358"/>
    </row>
    <row r="98">
      <c r="A98" s="358"/>
      <c r="B98" s="358"/>
      <c r="C98" s="358"/>
      <c r="D98" s="358"/>
      <c r="E98" s="358"/>
      <c r="F98" s="358"/>
      <c r="G98" s="358"/>
      <c r="H98" s="358"/>
      <c r="I98" s="358"/>
      <c r="J98" s="358"/>
      <c r="K98" s="358"/>
      <c r="L98" s="358"/>
      <c r="M98" s="358"/>
      <c r="N98" s="358"/>
      <c r="O98" s="358"/>
      <c r="P98" s="358"/>
      <c r="Q98" s="358"/>
      <c r="R98" s="358"/>
      <c r="S98" s="358"/>
      <c r="T98" s="358"/>
      <c r="U98" s="358"/>
      <c r="V98" s="358"/>
      <c r="W98" s="358"/>
      <c r="X98" s="358"/>
      <c r="Y98" s="358"/>
      <c r="Z98" s="358"/>
      <c r="AA98" s="358"/>
    </row>
    <row r="99">
      <c r="A99" s="358"/>
      <c r="B99" s="358"/>
      <c r="C99" s="358"/>
      <c r="D99" s="358"/>
      <c r="E99" s="358"/>
      <c r="F99" s="358"/>
      <c r="G99" s="358"/>
      <c r="H99" s="358"/>
      <c r="I99" s="358"/>
      <c r="J99" s="358"/>
      <c r="K99" s="358"/>
      <c r="L99" s="358"/>
      <c r="M99" s="358"/>
      <c r="N99" s="358"/>
      <c r="O99" s="358"/>
      <c r="P99" s="358"/>
      <c r="Q99" s="358"/>
      <c r="R99" s="358"/>
      <c r="S99" s="358"/>
      <c r="T99" s="358"/>
      <c r="U99" s="358"/>
      <c r="V99" s="358"/>
      <c r="W99" s="358"/>
      <c r="X99" s="358"/>
      <c r="Y99" s="358"/>
      <c r="Z99" s="358"/>
      <c r="AA99" s="358"/>
    </row>
    <row r="100">
      <c r="A100" s="358"/>
      <c r="B100" s="358"/>
      <c r="C100" s="358"/>
      <c r="D100" s="358"/>
      <c r="E100" s="358"/>
      <c r="F100" s="358"/>
      <c r="G100" s="358"/>
      <c r="H100" s="358"/>
      <c r="I100" s="358"/>
      <c r="J100" s="358"/>
      <c r="K100" s="358"/>
      <c r="L100" s="358"/>
      <c r="M100" s="358"/>
      <c r="N100" s="358"/>
      <c r="O100" s="358"/>
      <c r="P100" s="358"/>
      <c r="Q100" s="358"/>
      <c r="R100" s="358"/>
      <c r="S100" s="358"/>
      <c r="T100" s="358"/>
      <c r="U100" s="358"/>
      <c r="V100" s="358"/>
      <c r="W100" s="358"/>
      <c r="X100" s="358"/>
      <c r="Y100" s="358"/>
      <c r="Z100" s="358"/>
      <c r="AA100" s="358"/>
    </row>
    <row r="101">
      <c r="A101" s="358"/>
      <c r="B101" s="358"/>
      <c r="C101" s="358"/>
      <c r="D101" s="358"/>
      <c r="E101" s="358"/>
      <c r="F101" s="358"/>
      <c r="G101" s="358"/>
      <c r="H101" s="358"/>
      <c r="I101" s="358"/>
      <c r="J101" s="358"/>
      <c r="K101" s="358"/>
      <c r="L101" s="358"/>
      <c r="M101" s="358"/>
      <c r="N101" s="358"/>
      <c r="O101" s="358"/>
      <c r="P101" s="358"/>
      <c r="Q101" s="358"/>
      <c r="R101" s="358"/>
      <c r="S101" s="358"/>
      <c r="T101" s="358"/>
      <c r="U101" s="358"/>
      <c r="V101" s="358"/>
      <c r="W101" s="358"/>
      <c r="X101" s="358"/>
      <c r="Y101" s="358"/>
      <c r="Z101" s="358"/>
      <c r="AA101" s="358"/>
    </row>
    <row r="102">
      <c r="A102" s="358"/>
      <c r="B102" s="358"/>
      <c r="C102" s="358"/>
      <c r="D102" s="358"/>
      <c r="E102" s="358"/>
      <c r="F102" s="358"/>
      <c r="G102" s="358"/>
      <c r="H102" s="358"/>
      <c r="I102" s="358"/>
      <c r="J102" s="358"/>
      <c r="K102" s="358"/>
      <c r="L102" s="358"/>
      <c r="M102" s="358"/>
      <c r="N102" s="358"/>
      <c r="O102" s="358"/>
      <c r="P102" s="358"/>
      <c r="Q102" s="358"/>
      <c r="R102" s="358"/>
      <c r="S102" s="358"/>
      <c r="T102" s="358"/>
      <c r="U102" s="358"/>
      <c r="V102" s="358"/>
      <c r="W102" s="358"/>
      <c r="X102" s="358"/>
      <c r="Y102" s="358"/>
      <c r="Z102" s="358"/>
      <c r="AA102" s="358"/>
    </row>
    <row r="103">
      <c r="A103" s="358"/>
      <c r="B103" s="358"/>
      <c r="C103" s="358"/>
      <c r="D103" s="358"/>
      <c r="E103" s="358"/>
      <c r="F103" s="358"/>
      <c r="G103" s="358"/>
      <c r="H103" s="358"/>
      <c r="I103" s="358"/>
      <c r="J103" s="358"/>
      <c r="K103" s="358"/>
      <c r="L103" s="358"/>
      <c r="M103" s="358"/>
      <c r="N103" s="358"/>
      <c r="O103" s="358"/>
      <c r="P103" s="358"/>
      <c r="Q103" s="358"/>
      <c r="R103" s="358"/>
      <c r="S103" s="358"/>
      <c r="T103" s="358"/>
      <c r="U103" s="358"/>
      <c r="V103" s="358"/>
      <c r="W103" s="358"/>
      <c r="X103" s="358"/>
      <c r="Y103" s="358"/>
      <c r="Z103" s="358"/>
      <c r="AA103" s="358"/>
    </row>
    <row r="104">
      <c r="A104" s="358"/>
      <c r="B104" s="358"/>
      <c r="C104" s="358"/>
      <c r="D104" s="358"/>
      <c r="E104" s="358"/>
      <c r="F104" s="358"/>
      <c r="G104" s="358"/>
      <c r="H104" s="358"/>
      <c r="I104" s="358"/>
      <c r="J104" s="358"/>
      <c r="K104" s="358"/>
      <c r="L104" s="358"/>
      <c r="M104" s="358"/>
      <c r="N104" s="358"/>
      <c r="O104" s="358"/>
      <c r="P104" s="358"/>
      <c r="Q104" s="358"/>
      <c r="R104" s="358"/>
      <c r="S104" s="358"/>
      <c r="T104" s="358"/>
      <c r="U104" s="358"/>
      <c r="V104" s="358"/>
      <c r="W104" s="358"/>
      <c r="X104" s="358"/>
      <c r="Y104" s="358"/>
      <c r="Z104" s="358"/>
      <c r="AA104" s="358"/>
    </row>
    <row r="105">
      <c r="A105" s="358"/>
      <c r="B105" s="358"/>
      <c r="C105" s="358"/>
      <c r="D105" s="358"/>
      <c r="E105" s="358"/>
      <c r="F105" s="358"/>
      <c r="G105" s="358"/>
      <c r="H105" s="358"/>
      <c r="I105" s="358"/>
      <c r="J105" s="358"/>
      <c r="K105" s="358"/>
      <c r="L105" s="358"/>
      <c r="M105" s="358"/>
      <c r="N105" s="358"/>
      <c r="O105" s="358"/>
      <c r="P105" s="358"/>
      <c r="Q105" s="358"/>
      <c r="R105" s="358"/>
      <c r="S105" s="358"/>
      <c r="T105" s="358"/>
      <c r="U105" s="358"/>
      <c r="V105" s="358"/>
      <c r="W105" s="358"/>
      <c r="X105" s="358"/>
      <c r="Y105" s="358"/>
      <c r="Z105" s="358"/>
      <c r="AA105" s="358"/>
    </row>
    <row r="106">
      <c r="A106" s="358"/>
      <c r="B106" s="358"/>
      <c r="C106" s="358"/>
      <c r="D106" s="358"/>
      <c r="E106" s="358"/>
      <c r="F106" s="358"/>
      <c r="G106" s="358"/>
      <c r="H106" s="358"/>
      <c r="I106" s="358"/>
      <c r="J106" s="358"/>
      <c r="K106" s="358"/>
      <c r="L106" s="358"/>
      <c r="M106" s="358"/>
      <c r="N106" s="358"/>
      <c r="O106" s="358"/>
      <c r="P106" s="358"/>
      <c r="Q106" s="358"/>
      <c r="R106" s="358"/>
      <c r="S106" s="358"/>
      <c r="T106" s="358"/>
      <c r="U106" s="358"/>
      <c r="V106" s="358"/>
      <c r="W106" s="358"/>
      <c r="X106" s="358"/>
      <c r="Y106" s="358"/>
      <c r="Z106" s="358"/>
      <c r="AA106" s="358"/>
    </row>
    <row r="107">
      <c r="A107" s="358"/>
      <c r="B107" s="358"/>
      <c r="C107" s="358"/>
      <c r="D107" s="358"/>
      <c r="E107" s="358"/>
      <c r="F107" s="358"/>
      <c r="G107" s="358"/>
      <c r="H107" s="358"/>
      <c r="I107" s="358"/>
      <c r="J107" s="358"/>
      <c r="K107" s="358"/>
      <c r="L107" s="358"/>
      <c r="M107" s="358"/>
      <c r="N107" s="358"/>
      <c r="O107" s="358"/>
      <c r="P107" s="358"/>
      <c r="Q107" s="358"/>
      <c r="R107" s="358"/>
      <c r="S107" s="358"/>
      <c r="T107" s="358"/>
      <c r="U107" s="358"/>
      <c r="V107" s="358"/>
      <c r="W107" s="358"/>
      <c r="X107" s="358"/>
      <c r="Y107" s="358"/>
      <c r="Z107" s="358"/>
      <c r="AA107" s="358"/>
    </row>
    <row r="108">
      <c r="A108" s="358"/>
      <c r="B108" s="358"/>
      <c r="C108" s="358"/>
      <c r="D108" s="358"/>
      <c r="E108" s="358"/>
      <c r="F108" s="358"/>
      <c r="G108" s="358"/>
      <c r="H108" s="358"/>
      <c r="I108" s="358"/>
      <c r="J108" s="358"/>
      <c r="K108" s="358"/>
      <c r="L108" s="358"/>
      <c r="M108" s="358"/>
      <c r="N108" s="358"/>
      <c r="O108" s="358"/>
      <c r="P108" s="358"/>
      <c r="Q108" s="358"/>
      <c r="R108" s="358"/>
      <c r="S108" s="358"/>
      <c r="T108" s="358"/>
      <c r="U108" s="358"/>
      <c r="V108" s="358"/>
      <c r="W108" s="358"/>
      <c r="X108" s="358"/>
      <c r="Y108" s="358"/>
      <c r="Z108" s="358"/>
      <c r="AA108" s="358"/>
    </row>
    <row r="109">
      <c r="A109" s="358"/>
      <c r="B109" s="358"/>
      <c r="C109" s="358"/>
      <c r="D109" s="358"/>
      <c r="E109" s="358"/>
      <c r="F109" s="358"/>
      <c r="G109" s="358"/>
      <c r="H109" s="358"/>
      <c r="I109" s="358"/>
      <c r="J109" s="358"/>
      <c r="K109" s="358"/>
      <c r="L109" s="358"/>
      <c r="M109" s="358"/>
      <c r="N109" s="358"/>
      <c r="O109" s="358"/>
      <c r="P109" s="358"/>
      <c r="Q109" s="358"/>
      <c r="R109" s="358"/>
      <c r="S109" s="358"/>
      <c r="T109" s="358"/>
      <c r="U109" s="358"/>
      <c r="V109" s="358"/>
      <c r="W109" s="358"/>
      <c r="X109" s="358"/>
      <c r="Y109" s="358"/>
      <c r="Z109" s="358"/>
      <c r="AA109" s="358"/>
    </row>
    <row r="110">
      <c r="A110" s="358"/>
      <c r="B110" s="358"/>
      <c r="C110" s="358"/>
      <c r="D110" s="358"/>
      <c r="E110" s="358"/>
      <c r="F110" s="358"/>
      <c r="G110" s="358"/>
      <c r="H110" s="358"/>
      <c r="I110" s="358"/>
      <c r="J110" s="358"/>
      <c r="K110" s="358"/>
      <c r="L110" s="358"/>
      <c r="M110" s="358"/>
      <c r="N110" s="358"/>
      <c r="O110" s="358"/>
      <c r="P110" s="358"/>
      <c r="Q110" s="358"/>
      <c r="R110" s="358"/>
      <c r="S110" s="358"/>
      <c r="T110" s="358"/>
      <c r="U110" s="358"/>
      <c r="V110" s="358"/>
      <c r="W110" s="358"/>
      <c r="X110" s="358"/>
      <c r="Y110" s="358"/>
      <c r="Z110" s="358"/>
      <c r="AA110" s="358"/>
    </row>
    <row r="111">
      <c r="A111" s="358"/>
      <c r="B111" s="358"/>
      <c r="C111" s="358"/>
      <c r="D111" s="358"/>
      <c r="E111" s="358"/>
      <c r="F111" s="358"/>
      <c r="G111" s="358"/>
      <c r="H111" s="358"/>
      <c r="I111" s="358"/>
      <c r="J111" s="358"/>
      <c r="K111" s="358"/>
      <c r="L111" s="358"/>
      <c r="M111" s="358"/>
      <c r="N111" s="358"/>
      <c r="O111" s="358"/>
      <c r="P111" s="358"/>
      <c r="Q111" s="358"/>
      <c r="R111" s="358"/>
      <c r="S111" s="358"/>
      <c r="T111" s="358"/>
      <c r="U111" s="358"/>
      <c r="V111" s="358"/>
      <c r="W111" s="358"/>
      <c r="X111" s="358"/>
      <c r="Y111" s="358"/>
      <c r="Z111" s="358"/>
      <c r="AA111" s="358"/>
    </row>
    <row r="112">
      <c r="A112" s="358"/>
      <c r="B112" s="358"/>
      <c r="C112" s="358"/>
      <c r="D112" s="358"/>
      <c r="E112" s="358"/>
      <c r="F112" s="358"/>
      <c r="G112" s="358"/>
      <c r="H112" s="358"/>
      <c r="I112" s="358"/>
      <c r="J112" s="358"/>
      <c r="K112" s="358"/>
      <c r="L112" s="358"/>
      <c r="M112" s="358"/>
      <c r="N112" s="358"/>
      <c r="O112" s="358"/>
      <c r="P112" s="358"/>
      <c r="Q112" s="358"/>
      <c r="R112" s="358"/>
      <c r="S112" s="358"/>
      <c r="T112" s="358"/>
      <c r="U112" s="358"/>
      <c r="V112" s="358"/>
      <c r="W112" s="358"/>
      <c r="X112" s="358"/>
      <c r="Y112" s="358"/>
      <c r="Z112" s="358"/>
      <c r="AA112" s="358"/>
    </row>
    <row r="113">
      <c r="A113" s="358"/>
      <c r="B113" s="358"/>
      <c r="C113" s="358"/>
      <c r="D113" s="358"/>
      <c r="E113" s="358"/>
      <c r="F113" s="358"/>
      <c r="G113" s="358"/>
      <c r="H113" s="358"/>
      <c r="I113" s="358"/>
      <c r="J113" s="358"/>
      <c r="K113" s="358"/>
      <c r="L113" s="358"/>
      <c r="M113" s="358"/>
      <c r="N113" s="358"/>
      <c r="O113" s="358"/>
      <c r="P113" s="358"/>
      <c r="Q113" s="358"/>
      <c r="R113" s="358"/>
      <c r="S113" s="358"/>
      <c r="T113" s="358"/>
      <c r="U113" s="358"/>
      <c r="V113" s="358"/>
      <c r="W113" s="358"/>
      <c r="X113" s="358"/>
      <c r="Y113" s="358"/>
      <c r="Z113" s="358"/>
      <c r="AA113" s="358"/>
    </row>
    <row r="114">
      <c r="A114" s="358"/>
      <c r="B114" s="358"/>
      <c r="C114" s="358"/>
      <c r="D114" s="358"/>
      <c r="E114" s="358"/>
      <c r="F114" s="358"/>
      <c r="G114" s="358"/>
      <c r="H114" s="358"/>
      <c r="I114" s="358"/>
      <c r="J114" s="358"/>
      <c r="K114" s="358"/>
      <c r="L114" s="358"/>
      <c r="M114" s="358"/>
      <c r="N114" s="358"/>
      <c r="O114" s="358"/>
      <c r="P114" s="358"/>
      <c r="Q114" s="358"/>
      <c r="R114" s="358"/>
      <c r="S114" s="358"/>
      <c r="T114" s="358"/>
      <c r="U114" s="358"/>
      <c r="V114" s="358"/>
      <c r="W114" s="358"/>
      <c r="X114" s="358"/>
      <c r="Y114" s="358"/>
      <c r="Z114" s="358"/>
      <c r="AA114" s="358"/>
    </row>
    <row r="115">
      <c r="A115" s="358"/>
      <c r="B115" s="358"/>
      <c r="C115" s="358"/>
      <c r="D115" s="358"/>
      <c r="E115" s="358"/>
      <c r="F115" s="358"/>
      <c r="G115" s="358"/>
      <c r="H115" s="358"/>
      <c r="I115" s="358"/>
      <c r="J115" s="358"/>
      <c r="K115" s="358"/>
      <c r="L115" s="358"/>
      <c r="M115" s="358"/>
      <c r="N115" s="358"/>
      <c r="O115" s="358"/>
      <c r="P115" s="358"/>
      <c r="Q115" s="358"/>
      <c r="R115" s="358"/>
      <c r="S115" s="358"/>
      <c r="T115" s="358"/>
      <c r="U115" s="358"/>
      <c r="V115" s="358"/>
      <c r="W115" s="358"/>
      <c r="X115" s="358"/>
      <c r="Y115" s="358"/>
      <c r="Z115" s="358"/>
      <c r="AA115" s="358"/>
    </row>
    <row r="116">
      <c r="A116" s="358"/>
      <c r="B116" s="358"/>
      <c r="C116" s="358"/>
      <c r="D116" s="358"/>
      <c r="E116" s="358"/>
      <c r="F116" s="358"/>
      <c r="G116" s="358"/>
      <c r="H116" s="358"/>
      <c r="I116" s="358"/>
      <c r="J116" s="358"/>
      <c r="K116" s="358"/>
      <c r="L116" s="358"/>
      <c r="M116" s="358"/>
      <c r="N116" s="358"/>
      <c r="O116" s="358"/>
      <c r="P116" s="358"/>
      <c r="Q116" s="358"/>
      <c r="R116" s="358"/>
      <c r="S116" s="358"/>
      <c r="T116" s="358"/>
      <c r="U116" s="358"/>
      <c r="V116" s="358"/>
      <c r="W116" s="358"/>
      <c r="X116" s="358"/>
      <c r="Y116" s="358"/>
      <c r="Z116" s="358"/>
      <c r="AA116" s="358"/>
    </row>
    <row r="117">
      <c r="A117" s="358"/>
      <c r="B117" s="358"/>
      <c r="C117" s="358"/>
      <c r="D117" s="358"/>
      <c r="E117" s="358"/>
      <c r="F117" s="358"/>
      <c r="G117" s="358"/>
      <c r="H117" s="358"/>
      <c r="I117" s="358"/>
      <c r="J117" s="358"/>
      <c r="K117" s="358"/>
      <c r="L117" s="358"/>
      <c r="M117" s="358"/>
      <c r="N117" s="358"/>
      <c r="O117" s="358"/>
      <c r="P117" s="358"/>
      <c r="Q117" s="358"/>
      <c r="R117" s="358"/>
      <c r="S117" s="358"/>
      <c r="T117" s="358"/>
      <c r="U117" s="358"/>
      <c r="V117" s="358"/>
      <c r="W117" s="358"/>
      <c r="X117" s="358"/>
      <c r="Y117" s="358"/>
      <c r="Z117" s="358"/>
      <c r="AA117" s="358"/>
    </row>
    <row r="118">
      <c r="A118" s="358"/>
      <c r="B118" s="358"/>
      <c r="C118" s="358"/>
      <c r="D118" s="358"/>
      <c r="E118" s="358"/>
      <c r="F118" s="358"/>
      <c r="G118" s="358"/>
      <c r="H118" s="358"/>
      <c r="I118" s="358"/>
      <c r="J118" s="358"/>
      <c r="K118" s="358"/>
      <c r="L118" s="358"/>
      <c r="M118" s="358"/>
      <c r="N118" s="358"/>
      <c r="O118" s="358"/>
      <c r="P118" s="358"/>
      <c r="Q118" s="358"/>
      <c r="R118" s="358"/>
      <c r="S118" s="358"/>
      <c r="T118" s="358"/>
      <c r="U118" s="358"/>
      <c r="V118" s="358"/>
      <c r="W118" s="358"/>
      <c r="X118" s="358"/>
      <c r="Y118" s="358"/>
      <c r="Z118" s="358"/>
      <c r="AA118" s="358"/>
    </row>
    <row r="119">
      <c r="A119" s="358"/>
      <c r="B119" s="358"/>
      <c r="C119" s="358"/>
      <c r="D119" s="358"/>
      <c r="E119" s="358"/>
      <c r="F119" s="358"/>
      <c r="G119" s="358"/>
      <c r="H119" s="358"/>
      <c r="I119" s="358"/>
      <c r="J119" s="358"/>
      <c r="K119" s="358"/>
      <c r="L119" s="358"/>
      <c r="M119" s="358"/>
      <c r="N119" s="358"/>
      <c r="O119" s="358"/>
      <c r="P119" s="358"/>
      <c r="Q119" s="358"/>
      <c r="R119" s="358"/>
      <c r="S119" s="358"/>
      <c r="T119" s="358"/>
      <c r="U119" s="358"/>
      <c r="V119" s="358"/>
      <c r="W119" s="358"/>
      <c r="X119" s="358"/>
      <c r="Y119" s="358"/>
      <c r="Z119" s="358"/>
      <c r="AA119" s="358"/>
    </row>
    <row r="120">
      <c r="A120" s="358"/>
      <c r="B120" s="358"/>
      <c r="C120" s="358"/>
      <c r="D120" s="358"/>
      <c r="E120" s="358"/>
      <c r="F120" s="358"/>
      <c r="G120" s="358"/>
      <c r="H120" s="358"/>
      <c r="I120" s="358"/>
      <c r="J120" s="358"/>
      <c r="K120" s="358"/>
      <c r="L120" s="358"/>
      <c r="M120" s="358"/>
      <c r="N120" s="358"/>
      <c r="O120" s="358"/>
      <c r="P120" s="358"/>
      <c r="Q120" s="358"/>
      <c r="R120" s="358"/>
      <c r="S120" s="358"/>
      <c r="T120" s="358"/>
      <c r="U120" s="358"/>
      <c r="V120" s="358"/>
      <c r="W120" s="358"/>
      <c r="X120" s="358"/>
      <c r="Y120" s="358"/>
      <c r="Z120" s="358"/>
      <c r="AA120" s="358"/>
    </row>
    <row r="121">
      <c r="A121" s="358"/>
      <c r="B121" s="358"/>
      <c r="C121" s="358"/>
      <c r="D121" s="358"/>
      <c r="E121" s="358"/>
      <c r="F121" s="358"/>
      <c r="G121" s="358"/>
      <c r="H121" s="358"/>
      <c r="I121" s="358"/>
      <c r="J121" s="358"/>
      <c r="K121" s="358"/>
      <c r="L121" s="358"/>
      <c r="M121" s="358"/>
      <c r="N121" s="358"/>
      <c r="O121" s="358"/>
      <c r="P121" s="358"/>
      <c r="Q121" s="358"/>
      <c r="R121" s="358"/>
      <c r="S121" s="358"/>
      <c r="T121" s="358"/>
      <c r="U121" s="358"/>
      <c r="V121" s="358"/>
      <c r="W121" s="358"/>
      <c r="X121" s="358"/>
      <c r="Y121" s="358"/>
      <c r="Z121" s="358"/>
      <c r="AA121" s="358"/>
    </row>
    <row r="122">
      <c r="A122" s="358"/>
      <c r="B122" s="358"/>
      <c r="C122" s="358"/>
      <c r="D122" s="358"/>
      <c r="E122" s="358"/>
      <c r="F122" s="358"/>
      <c r="G122" s="358"/>
      <c r="H122" s="358"/>
      <c r="I122" s="358"/>
      <c r="J122" s="358"/>
      <c r="K122" s="358"/>
      <c r="L122" s="358"/>
      <c r="M122" s="358"/>
      <c r="N122" s="358"/>
      <c r="O122" s="358"/>
      <c r="P122" s="358"/>
      <c r="Q122" s="358"/>
      <c r="R122" s="358"/>
      <c r="S122" s="358"/>
      <c r="T122" s="358"/>
      <c r="U122" s="358"/>
      <c r="V122" s="358"/>
      <c r="W122" s="358"/>
      <c r="X122" s="358"/>
      <c r="Y122" s="358"/>
      <c r="Z122" s="358"/>
      <c r="AA122" s="358"/>
    </row>
    <row r="123">
      <c r="A123" s="358"/>
      <c r="B123" s="358"/>
      <c r="C123" s="358"/>
      <c r="D123" s="358"/>
      <c r="E123" s="358"/>
      <c r="F123" s="358"/>
      <c r="G123" s="358"/>
      <c r="H123" s="358"/>
      <c r="I123" s="358"/>
      <c r="J123" s="358"/>
      <c r="K123" s="358"/>
      <c r="L123" s="358"/>
      <c r="M123" s="358"/>
      <c r="N123" s="358"/>
      <c r="O123" s="358"/>
      <c r="P123" s="358"/>
      <c r="Q123" s="358"/>
      <c r="R123" s="358"/>
      <c r="S123" s="358"/>
      <c r="T123" s="358"/>
      <c r="U123" s="358"/>
      <c r="V123" s="358"/>
      <c r="W123" s="358"/>
      <c r="X123" s="358"/>
      <c r="Y123" s="358"/>
      <c r="Z123" s="358"/>
      <c r="AA123" s="358"/>
    </row>
    <row r="124">
      <c r="A124" s="358"/>
      <c r="B124" s="358"/>
      <c r="C124" s="358"/>
      <c r="D124" s="358"/>
      <c r="E124" s="358"/>
      <c r="F124" s="358"/>
      <c r="G124" s="358"/>
      <c r="H124" s="358"/>
      <c r="I124" s="358"/>
      <c r="J124" s="358"/>
      <c r="K124" s="358"/>
      <c r="L124" s="358"/>
      <c r="M124" s="358"/>
      <c r="N124" s="358"/>
      <c r="O124" s="358"/>
      <c r="P124" s="358"/>
      <c r="Q124" s="358"/>
      <c r="R124" s="358"/>
      <c r="S124" s="358"/>
      <c r="T124" s="358"/>
      <c r="U124" s="358"/>
      <c r="V124" s="358"/>
      <c r="W124" s="358"/>
      <c r="X124" s="358"/>
      <c r="Y124" s="358"/>
      <c r="Z124" s="358"/>
      <c r="AA124" s="358"/>
    </row>
    <row r="125">
      <c r="A125" s="358"/>
      <c r="B125" s="358"/>
      <c r="C125" s="358"/>
      <c r="D125" s="358"/>
      <c r="E125" s="358"/>
      <c r="F125" s="358"/>
      <c r="G125" s="358"/>
      <c r="H125" s="358"/>
      <c r="I125" s="358"/>
      <c r="J125" s="358"/>
      <c r="K125" s="358"/>
      <c r="L125" s="358"/>
      <c r="M125" s="358"/>
      <c r="N125" s="358"/>
      <c r="O125" s="358"/>
      <c r="P125" s="358"/>
      <c r="Q125" s="358"/>
      <c r="R125" s="358"/>
      <c r="S125" s="358"/>
      <c r="T125" s="358"/>
      <c r="U125" s="358"/>
      <c r="V125" s="358"/>
      <c r="W125" s="358"/>
      <c r="X125" s="358"/>
      <c r="Y125" s="358"/>
      <c r="Z125" s="358"/>
      <c r="AA125" s="358"/>
    </row>
    <row r="126">
      <c r="A126" s="358"/>
      <c r="B126" s="358"/>
      <c r="C126" s="358"/>
      <c r="D126" s="358"/>
      <c r="E126" s="358"/>
      <c r="F126" s="358"/>
      <c r="G126" s="358"/>
      <c r="H126" s="358"/>
      <c r="I126" s="358"/>
      <c r="J126" s="358"/>
      <c r="K126" s="358"/>
      <c r="L126" s="358"/>
      <c r="M126" s="358"/>
      <c r="N126" s="358"/>
      <c r="O126" s="358"/>
      <c r="P126" s="358"/>
      <c r="Q126" s="358"/>
      <c r="R126" s="358"/>
      <c r="S126" s="358"/>
      <c r="T126" s="358"/>
      <c r="U126" s="358"/>
      <c r="V126" s="358"/>
      <c r="W126" s="358"/>
      <c r="X126" s="358"/>
      <c r="Y126" s="358"/>
      <c r="Z126" s="358"/>
      <c r="AA126" s="358"/>
    </row>
    <row r="127">
      <c r="A127" s="358"/>
      <c r="B127" s="358"/>
      <c r="C127" s="358"/>
      <c r="D127" s="358"/>
      <c r="E127" s="358"/>
      <c r="F127" s="358"/>
      <c r="G127" s="358"/>
      <c r="H127" s="358"/>
      <c r="I127" s="358"/>
      <c r="J127" s="358"/>
      <c r="K127" s="358"/>
      <c r="L127" s="358"/>
      <c r="M127" s="358"/>
      <c r="N127" s="358"/>
      <c r="O127" s="358"/>
      <c r="P127" s="358"/>
      <c r="Q127" s="358"/>
      <c r="R127" s="358"/>
      <c r="S127" s="358"/>
      <c r="T127" s="358"/>
      <c r="U127" s="358"/>
      <c r="V127" s="358"/>
      <c r="W127" s="358"/>
      <c r="X127" s="358"/>
      <c r="Y127" s="358"/>
      <c r="Z127" s="358"/>
      <c r="AA127" s="358"/>
    </row>
    <row r="128">
      <c r="A128" s="358"/>
      <c r="B128" s="358"/>
      <c r="C128" s="358"/>
      <c r="D128" s="358"/>
      <c r="E128" s="358"/>
      <c r="F128" s="358"/>
      <c r="G128" s="358"/>
      <c r="H128" s="358"/>
      <c r="I128" s="358"/>
      <c r="J128" s="358"/>
      <c r="K128" s="358"/>
      <c r="L128" s="358"/>
      <c r="M128" s="358"/>
      <c r="N128" s="358"/>
      <c r="O128" s="358"/>
      <c r="P128" s="358"/>
      <c r="Q128" s="358"/>
      <c r="R128" s="358"/>
      <c r="S128" s="358"/>
      <c r="T128" s="358"/>
      <c r="U128" s="358"/>
      <c r="V128" s="358"/>
      <c r="W128" s="358"/>
      <c r="X128" s="358"/>
      <c r="Y128" s="358"/>
      <c r="Z128" s="358"/>
      <c r="AA128" s="358"/>
    </row>
    <row r="129">
      <c r="A129" s="358"/>
      <c r="B129" s="358"/>
      <c r="C129" s="358"/>
      <c r="D129" s="358"/>
      <c r="E129" s="358"/>
      <c r="F129" s="358"/>
      <c r="G129" s="358"/>
      <c r="H129" s="358"/>
      <c r="I129" s="358"/>
      <c r="J129" s="358"/>
      <c r="K129" s="358"/>
      <c r="L129" s="358"/>
      <c r="M129" s="358"/>
      <c r="N129" s="358"/>
      <c r="O129" s="358"/>
      <c r="P129" s="358"/>
      <c r="Q129" s="358"/>
      <c r="R129" s="358"/>
      <c r="S129" s="358"/>
      <c r="T129" s="358"/>
      <c r="U129" s="358"/>
      <c r="V129" s="358"/>
      <c r="W129" s="358"/>
      <c r="X129" s="358"/>
      <c r="Y129" s="358"/>
      <c r="Z129" s="358"/>
      <c r="AA129" s="358"/>
    </row>
    <row r="130">
      <c r="A130" s="358"/>
      <c r="B130" s="358"/>
      <c r="C130" s="358"/>
      <c r="D130" s="358"/>
      <c r="E130" s="358"/>
      <c r="F130" s="358"/>
      <c r="G130" s="358"/>
      <c r="H130" s="358"/>
      <c r="I130" s="358"/>
      <c r="J130" s="358"/>
      <c r="K130" s="358"/>
      <c r="L130" s="358"/>
      <c r="M130" s="358"/>
      <c r="N130" s="358"/>
      <c r="O130" s="358"/>
      <c r="P130" s="358"/>
      <c r="Q130" s="358"/>
      <c r="R130" s="358"/>
      <c r="S130" s="358"/>
      <c r="T130" s="358"/>
      <c r="U130" s="358"/>
      <c r="V130" s="358"/>
      <c r="W130" s="358"/>
      <c r="X130" s="358"/>
      <c r="Y130" s="358"/>
      <c r="Z130" s="358"/>
      <c r="AA130" s="358"/>
    </row>
    <row r="131">
      <c r="A131" s="358"/>
      <c r="B131" s="358"/>
      <c r="C131" s="358"/>
      <c r="D131" s="358"/>
      <c r="E131" s="358"/>
      <c r="F131" s="358"/>
      <c r="G131" s="358"/>
      <c r="H131" s="358"/>
      <c r="I131" s="358"/>
      <c r="J131" s="358"/>
      <c r="K131" s="358"/>
      <c r="L131" s="358"/>
      <c r="M131" s="358"/>
      <c r="N131" s="358"/>
      <c r="O131" s="358"/>
      <c r="P131" s="358"/>
      <c r="Q131" s="358"/>
      <c r="R131" s="358"/>
      <c r="S131" s="358"/>
      <c r="T131" s="358"/>
      <c r="U131" s="358"/>
      <c r="V131" s="358"/>
      <c r="W131" s="358"/>
      <c r="X131" s="358"/>
      <c r="Y131" s="358"/>
      <c r="Z131" s="358"/>
      <c r="AA131" s="358"/>
    </row>
    <row r="132">
      <c r="A132" s="358"/>
      <c r="B132" s="358"/>
      <c r="C132" s="358"/>
      <c r="D132" s="358"/>
      <c r="E132" s="358"/>
      <c r="F132" s="358"/>
      <c r="G132" s="358"/>
      <c r="H132" s="358"/>
      <c r="I132" s="358"/>
      <c r="J132" s="358"/>
      <c r="K132" s="358"/>
      <c r="L132" s="358"/>
      <c r="M132" s="358"/>
      <c r="N132" s="358"/>
      <c r="O132" s="358"/>
      <c r="P132" s="358"/>
      <c r="Q132" s="358"/>
      <c r="R132" s="358"/>
      <c r="S132" s="358"/>
      <c r="T132" s="358"/>
      <c r="U132" s="358"/>
      <c r="V132" s="358"/>
      <c r="W132" s="358"/>
      <c r="X132" s="358"/>
      <c r="Y132" s="358"/>
      <c r="Z132" s="358"/>
      <c r="AA132" s="358"/>
    </row>
    <row r="133">
      <c r="A133" s="358"/>
      <c r="B133" s="358"/>
      <c r="C133" s="358"/>
      <c r="D133" s="358"/>
      <c r="E133" s="358"/>
      <c r="F133" s="358"/>
      <c r="G133" s="358"/>
      <c r="H133" s="358"/>
      <c r="I133" s="358"/>
      <c r="J133" s="358"/>
      <c r="K133" s="358"/>
      <c r="L133" s="358"/>
      <c r="M133" s="358"/>
      <c r="N133" s="358"/>
      <c r="O133" s="358"/>
      <c r="P133" s="358"/>
      <c r="Q133" s="358"/>
      <c r="R133" s="358"/>
      <c r="S133" s="358"/>
      <c r="T133" s="358"/>
      <c r="U133" s="358"/>
      <c r="V133" s="358"/>
      <c r="W133" s="358"/>
      <c r="X133" s="358"/>
      <c r="Y133" s="358"/>
      <c r="Z133" s="358"/>
      <c r="AA133" s="358"/>
    </row>
    <row r="134">
      <c r="A134" s="358"/>
      <c r="B134" s="358"/>
      <c r="C134" s="358"/>
      <c r="D134" s="358"/>
      <c r="E134" s="358"/>
      <c r="F134" s="358"/>
      <c r="G134" s="358"/>
      <c r="H134" s="358"/>
      <c r="I134" s="358"/>
      <c r="J134" s="358"/>
      <c r="K134" s="358"/>
      <c r="L134" s="358"/>
      <c r="M134" s="358"/>
      <c r="N134" s="358"/>
      <c r="O134" s="358"/>
      <c r="P134" s="358"/>
      <c r="Q134" s="358"/>
      <c r="R134" s="358"/>
      <c r="S134" s="358"/>
      <c r="T134" s="358"/>
      <c r="U134" s="358"/>
      <c r="V134" s="358"/>
      <c r="W134" s="358"/>
      <c r="X134" s="358"/>
      <c r="Y134" s="358"/>
      <c r="Z134" s="358"/>
      <c r="AA134" s="358"/>
    </row>
    <row r="135">
      <c r="A135" s="358"/>
      <c r="B135" s="358"/>
      <c r="C135" s="358"/>
      <c r="D135" s="358"/>
      <c r="E135" s="358"/>
      <c r="F135" s="358"/>
      <c r="G135" s="358"/>
      <c r="H135" s="358"/>
      <c r="I135" s="358"/>
      <c r="J135" s="358"/>
      <c r="K135" s="358"/>
      <c r="L135" s="358"/>
      <c r="M135" s="358"/>
      <c r="N135" s="358"/>
      <c r="O135" s="358"/>
      <c r="P135" s="358"/>
      <c r="Q135" s="358"/>
      <c r="R135" s="358"/>
      <c r="S135" s="358"/>
      <c r="T135" s="358"/>
      <c r="U135" s="358"/>
      <c r="V135" s="358"/>
      <c r="W135" s="358"/>
      <c r="X135" s="358"/>
      <c r="Y135" s="358"/>
      <c r="Z135" s="358"/>
      <c r="AA135" s="358"/>
    </row>
    <row r="136">
      <c r="A136" s="358"/>
      <c r="B136" s="358"/>
      <c r="C136" s="358"/>
      <c r="D136" s="358"/>
      <c r="E136" s="358"/>
      <c r="F136" s="358"/>
      <c r="G136" s="358"/>
      <c r="H136" s="358"/>
      <c r="I136" s="358"/>
      <c r="J136" s="358"/>
      <c r="K136" s="358"/>
      <c r="L136" s="358"/>
      <c r="M136" s="358"/>
      <c r="N136" s="358"/>
      <c r="O136" s="358"/>
      <c r="P136" s="358"/>
      <c r="Q136" s="358"/>
      <c r="R136" s="358"/>
      <c r="S136" s="358"/>
      <c r="T136" s="358"/>
      <c r="U136" s="358"/>
      <c r="V136" s="358"/>
      <c r="W136" s="358"/>
      <c r="X136" s="358"/>
      <c r="Y136" s="358"/>
      <c r="Z136" s="358"/>
      <c r="AA136" s="358"/>
    </row>
    <row r="137">
      <c r="A137" s="358"/>
      <c r="B137" s="358"/>
      <c r="C137" s="358"/>
      <c r="D137" s="358"/>
      <c r="E137" s="358"/>
      <c r="F137" s="358"/>
      <c r="G137" s="358"/>
      <c r="H137" s="358"/>
      <c r="I137" s="358"/>
      <c r="J137" s="358"/>
      <c r="K137" s="358"/>
      <c r="L137" s="358"/>
      <c r="M137" s="358"/>
      <c r="N137" s="358"/>
      <c r="O137" s="358"/>
      <c r="P137" s="358"/>
      <c r="Q137" s="358"/>
      <c r="R137" s="358"/>
      <c r="S137" s="358"/>
      <c r="T137" s="358"/>
      <c r="U137" s="358"/>
      <c r="V137" s="358"/>
      <c r="W137" s="358"/>
      <c r="X137" s="358"/>
      <c r="Y137" s="358"/>
      <c r="Z137" s="358"/>
      <c r="AA137" s="358"/>
    </row>
    <row r="138">
      <c r="A138" s="358"/>
      <c r="B138" s="358"/>
      <c r="C138" s="358"/>
      <c r="D138" s="358"/>
      <c r="E138" s="358"/>
      <c r="F138" s="358"/>
      <c r="G138" s="358"/>
      <c r="H138" s="358"/>
      <c r="I138" s="358"/>
      <c r="J138" s="358"/>
      <c r="K138" s="358"/>
      <c r="L138" s="358"/>
      <c r="M138" s="358"/>
      <c r="N138" s="358"/>
      <c r="O138" s="358"/>
      <c r="P138" s="358"/>
      <c r="Q138" s="358"/>
      <c r="R138" s="358"/>
      <c r="S138" s="358"/>
      <c r="T138" s="358"/>
      <c r="U138" s="358"/>
      <c r="V138" s="358"/>
      <c r="W138" s="358"/>
      <c r="X138" s="358"/>
      <c r="Y138" s="358"/>
      <c r="Z138" s="358"/>
      <c r="AA138" s="358"/>
    </row>
    <row r="139">
      <c r="A139" s="358"/>
      <c r="B139" s="358"/>
      <c r="C139" s="358"/>
      <c r="D139" s="358"/>
      <c r="E139" s="358"/>
      <c r="F139" s="358"/>
      <c r="G139" s="358"/>
      <c r="H139" s="358"/>
      <c r="I139" s="358"/>
      <c r="J139" s="358"/>
      <c r="K139" s="358"/>
      <c r="L139" s="358"/>
      <c r="M139" s="358"/>
      <c r="N139" s="358"/>
      <c r="O139" s="358"/>
      <c r="P139" s="358"/>
      <c r="Q139" s="358"/>
      <c r="R139" s="358"/>
      <c r="S139" s="358"/>
      <c r="T139" s="358"/>
      <c r="U139" s="358"/>
      <c r="V139" s="358"/>
      <c r="W139" s="358"/>
      <c r="X139" s="358"/>
      <c r="Y139" s="358"/>
      <c r="Z139" s="358"/>
      <c r="AA139" s="358"/>
    </row>
    <row r="140">
      <c r="A140" s="358"/>
      <c r="B140" s="358"/>
      <c r="C140" s="358"/>
      <c r="D140" s="358"/>
      <c r="E140" s="358"/>
      <c r="F140" s="358"/>
      <c r="G140" s="358"/>
      <c r="H140" s="358"/>
      <c r="I140" s="358"/>
      <c r="J140" s="358"/>
      <c r="K140" s="358"/>
      <c r="L140" s="358"/>
      <c r="M140" s="358"/>
      <c r="N140" s="358"/>
      <c r="O140" s="358"/>
      <c r="P140" s="358"/>
      <c r="Q140" s="358"/>
      <c r="R140" s="358"/>
      <c r="S140" s="358"/>
      <c r="T140" s="358"/>
      <c r="U140" s="358"/>
      <c r="V140" s="358"/>
      <c r="W140" s="358"/>
      <c r="X140" s="358"/>
      <c r="Y140" s="358"/>
      <c r="Z140" s="358"/>
      <c r="AA140" s="358"/>
    </row>
    <row r="141">
      <c r="A141" s="358"/>
      <c r="B141" s="358"/>
      <c r="C141" s="358"/>
      <c r="D141" s="358"/>
      <c r="E141" s="358"/>
      <c r="F141" s="358"/>
      <c r="G141" s="358"/>
      <c r="H141" s="358"/>
      <c r="I141" s="358"/>
      <c r="J141" s="358"/>
      <c r="K141" s="358"/>
      <c r="L141" s="358"/>
      <c r="M141" s="358"/>
      <c r="N141" s="358"/>
      <c r="O141" s="358"/>
      <c r="P141" s="358"/>
      <c r="Q141" s="358"/>
      <c r="R141" s="358"/>
      <c r="S141" s="358"/>
      <c r="T141" s="358"/>
      <c r="U141" s="358"/>
      <c r="V141" s="358"/>
      <c r="W141" s="358"/>
      <c r="X141" s="358"/>
      <c r="Y141" s="358"/>
      <c r="Z141" s="358"/>
      <c r="AA141" s="358"/>
    </row>
    <row r="142">
      <c r="A142" s="358"/>
      <c r="B142" s="358"/>
      <c r="C142" s="358"/>
      <c r="D142" s="358"/>
      <c r="E142" s="358"/>
      <c r="F142" s="358"/>
      <c r="G142" s="358"/>
      <c r="H142" s="358"/>
      <c r="I142" s="358"/>
      <c r="J142" s="358"/>
      <c r="K142" s="358"/>
      <c r="L142" s="358"/>
      <c r="M142" s="358"/>
      <c r="N142" s="358"/>
      <c r="O142" s="358"/>
      <c r="P142" s="358"/>
      <c r="Q142" s="358"/>
      <c r="R142" s="358"/>
      <c r="S142" s="358"/>
      <c r="T142" s="358"/>
      <c r="U142" s="358"/>
      <c r="V142" s="358"/>
      <c r="W142" s="358"/>
      <c r="X142" s="358"/>
      <c r="Y142" s="358"/>
      <c r="Z142" s="358"/>
      <c r="AA142" s="358"/>
    </row>
    <row r="143">
      <c r="A143" s="358"/>
      <c r="B143" s="358"/>
      <c r="C143" s="358"/>
      <c r="D143" s="358"/>
      <c r="E143" s="358"/>
      <c r="F143" s="358"/>
      <c r="G143" s="358"/>
      <c r="H143" s="358"/>
      <c r="I143" s="358"/>
      <c r="J143" s="358"/>
      <c r="K143" s="358"/>
      <c r="L143" s="358"/>
      <c r="M143" s="358"/>
      <c r="N143" s="358"/>
      <c r="O143" s="358"/>
      <c r="P143" s="358"/>
      <c r="Q143" s="358"/>
      <c r="R143" s="358"/>
      <c r="S143" s="358"/>
      <c r="T143" s="358"/>
      <c r="U143" s="358"/>
      <c r="V143" s="358"/>
      <c r="W143" s="358"/>
      <c r="X143" s="358"/>
      <c r="Y143" s="358"/>
      <c r="Z143" s="358"/>
      <c r="AA143" s="358"/>
    </row>
    <row r="144">
      <c r="A144" s="358"/>
      <c r="B144" s="358"/>
      <c r="C144" s="358"/>
      <c r="D144" s="358"/>
      <c r="E144" s="358"/>
      <c r="F144" s="358"/>
      <c r="G144" s="358"/>
      <c r="H144" s="358"/>
      <c r="I144" s="358"/>
      <c r="J144" s="358"/>
      <c r="K144" s="358"/>
      <c r="L144" s="358"/>
      <c r="M144" s="358"/>
      <c r="N144" s="358"/>
      <c r="O144" s="358"/>
      <c r="P144" s="358"/>
      <c r="Q144" s="358"/>
      <c r="R144" s="358"/>
      <c r="S144" s="358"/>
      <c r="T144" s="358"/>
      <c r="U144" s="358"/>
      <c r="V144" s="358"/>
      <c r="W144" s="358"/>
      <c r="X144" s="358"/>
      <c r="Y144" s="358"/>
      <c r="Z144" s="358"/>
      <c r="AA144" s="358"/>
    </row>
    <row r="145">
      <c r="A145" s="358"/>
      <c r="B145" s="358"/>
      <c r="C145" s="358"/>
      <c r="D145" s="358"/>
      <c r="E145" s="358"/>
      <c r="F145" s="358"/>
      <c r="G145" s="358"/>
      <c r="H145" s="358"/>
      <c r="I145" s="358"/>
      <c r="J145" s="358"/>
      <c r="K145" s="358"/>
      <c r="L145" s="358"/>
      <c r="M145" s="358"/>
      <c r="N145" s="358"/>
      <c r="O145" s="358"/>
      <c r="P145" s="358"/>
      <c r="Q145" s="358"/>
      <c r="R145" s="358"/>
      <c r="S145" s="358"/>
      <c r="T145" s="358"/>
      <c r="U145" s="358"/>
      <c r="V145" s="358"/>
      <c r="W145" s="358"/>
      <c r="X145" s="358"/>
      <c r="Y145" s="358"/>
      <c r="Z145" s="358"/>
      <c r="AA145" s="358"/>
    </row>
    <row r="146">
      <c r="A146" s="358"/>
      <c r="B146" s="358"/>
      <c r="C146" s="358"/>
      <c r="D146" s="358"/>
      <c r="E146" s="358"/>
      <c r="F146" s="358"/>
      <c r="G146" s="358"/>
      <c r="H146" s="358"/>
      <c r="I146" s="358"/>
      <c r="J146" s="358"/>
      <c r="K146" s="358"/>
      <c r="L146" s="358"/>
      <c r="M146" s="358"/>
      <c r="N146" s="358"/>
      <c r="O146" s="358"/>
      <c r="P146" s="358"/>
      <c r="Q146" s="358"/>
      <c r="R146" s="358"/>
      <c r="S146" s="358"/>
      <c r="T146" s="358"/>
      <c r="U146" s="358"/>
      <c r="V146" s="358"/>
      <c r="W146" s="358"/>
      <c r="X146" s="358"/>
      <c r="Y146" s="358"/>
      <c r="Z146" s="358"/>
      <c r="AA146" s="358"/>
    </row>
    <row r="147">
      <c r="A147" s="358"/>
      <c r="B147" s="358"/>
      <c r="C147" s="358"/>
      <c r="D147" s="358"/>
      <c r="E147" s="358"/>
      <c r="F147" s="358"/>
      <c r="G147" s="358"/>
      <c r="H147" s="358"/>
      <c r="I147" s="358"/>
      <c r="J147" s="358"/>
      <c r="K147" s="358"/>
      <c r="L147" s="358"/>
      <c r="M147" s="358"/>
      <c r="N147" s="358"/>
      <c r="O147" s="358"/>
      <c r="P147" s="358"/>
      <c r="Q147" s="358"/>
      <c r="R147" s="358"/>
      <c r="S147" s="358"/>
      <c r="T147" s="358"/>
      <c r="U147" s="358"/>
      <c r="V147" s="358"/>
      <c r="W147" s="358"/>
      <c r="X147" s="358"/>
      <c r="Y147" s="358"/>
      <c r="Z147" s="358"/>
      <c r="AA147" s="358"/>
    </row>
    <row r="148">
      <c r="A148" s="358"/>
      <c r="B148" s="358"/>
      <c r="C148" s="358"/>
      <c r="D148" s="358"/>
      <c r="E148" s="358"/>
      <c r="F148" s="358"/>
      <c r="G148" s="358"/>
      <c r="H148" s="358"/>
      <c r="I148" s="358"/>
      <c r="J148" s="358"/>
      <c r="K148" s="358"/>
      <c r="L148" s="358"/>
      <c r="M148" s="358"/>
      <c r="N148" s="358"/>
      <c r="O148" s="358"/>
      <c r="P148" s="358"/>
      <c r="Q148" s="358"/>
      <c r="R148" s="358"/>
      <c r="S148" s="358"/>
      <c r="T148" s="358"/>
      <c r="U148" s="358"/>
      <c r="V148" s="358"/>
      <c r="W148" s="358"/>
      <c r="X148" s="358"/>
      <c r="Y148" s="358"/>
      <c r="Z148" s="358"/>
      <c r="AA148" s="358"/>
    </row>
    <row r="149">
      <c r="A149" s="358"/>
      <c r="B149" s="358"/>
      <c r="C149" s="358"/>
      <c r="D149" s="358"/>
      <c r="E149" s="358"/>
      <c r="F149" s="358"/>
      <c r="G149" s="358"/>
      <c r="H149" s="358"/>
      <c r="I149" s="358"/>
      <c r="J149" s="358"/>
      <c r="K149" s="358"/>
      <c r="L149" s="358"/>
      <c r="M149" s="358"/>
      <c r="N149" s="358"/>
      <c r="O149" s="358"/>
      <c r="P149" s="358"/>
      <c r="Q149" s="358"/>
      <c r="R149" s="358"/>
      <c r="S149" s="358"/>
      <c r="T149" s="358"/>
      <c r="U149" s="358"/>
      <c r="V149" s="358"/>
      <c r="W149" s="358"/>
      <c r="X149" s="358"/>
      <c r="Y149" s="358"/>
      <c r="Z149" s="358"/>
      <c r="AA149" s="358"/>
    </row>
    <row r="150">
      <c r="A150" s="358"/>
      <c r="B150" s="358"/>
      <c r="C150" s="358"/>
      <c r="D150" s="358"/>
      <c r="E150" s="358"/>
      <c r="F150" s="358"/>
      <c r="G150" s="358"/>
      <c r="H150" s="358"/>
      <c r="I150" s="358"/>
      <c r="J150" s="358"/>
      <c r="K150" s="358"/>
      <c r="L150" s="358"/>
      <c r="M150" s="358"/>
      <c r="N150" s="358"/>
      <c r="O150" s="358"/>
      <c r="P150" s="358"/>
      <c r="Q150" s="358"/>
      <c r="R150" s="358"/>
      <c r="S150" s="358"/>
      <c r="T150" s="358"/>
      <c r="U150" s="358"/>
      <c r="V150" s="358"/>
      <c r="W150" s="358"/>
      <c r="X150" s="358"/>
      <c r="Y150" s="358"/>
      <c r="Z150" s="358"/>
      <c r="AA150" s="358"/>
    </row>
    <row r="151">
      <c r="A151" s="358"/>
      <c r="B151" s="358"/>
      <c r="C151" s="358"/>
      <c r="D151" s="358"/>
      <c r="E151" s="358"/>
      <c r="F151" s="358"/>
      <c r="G151" s="358"/>
      <c r="H151" s="358"/>
      <c r="I151" s="358"/>
      <c r="J151" s="358"/>
      <c r="K151" s="358"/>
      <c r="L151" s="358"/>
      <c r="M151" s="358"/>
      <c r="N151" s="358"/>
      <c r="O151" s="358"/>
      <c r="P151" s="358"/>
      <c r="Q151" s="358"/>
      <c r="R151" s="358"/>
      <c r="S151" s="358"/>
      <c r="T151" s="358"/>
      <c r="U151" s="358"/>
      <c r="V151" s="358"/>
      <c r="W151" s="358"/>
      <c r="X151" s="358"/>
      <c r="Y151" s="358"/>
      <c r="Z151" s="358"/>
      <c r="AA151" s="358"/>
    </row>
    <row r="152">
      <c r="A152" s="358"/>
      <c r="B152" s="358"/>
      <c r="C152" s="358"/>
      <c r="D152" s="358"/>
      <c r="E152" s="358"/>
      <c r="F152" s="358"/>
      <c r="G152" s="358"/>
      <c r="H152" s="358"/>
      <c r="I152" s="358"/>
      <c r="J152" s="358"/>
      <c r="K152" s="358"/>
      <c r="L152" s="358"/>
      <c r="M152" s="358"/>
      <c r="N152" s="358"/>
      <c r="O152" s="358"/>
      <c r="P152" s="358"/>
      <c r="Q152" s="358"/>
      <c r="R152" s="358"/>
      <c r="S152" s="358"/>
      <c r="T152" s="358"/>
      <c r="U152" s="358"/>
      <c r="V152" s="358"/>
      <c r="W152" s="358"/>
      <c r="X152" s="358"/>
      <c r="Y152" s="358"/>
      <c r="Z152" s="358"/>
      <c r="AA152" s="358"/>
    </row>
    <row r="153">
      <c r="A153" s="358"/>
      <c r="B153" s="358"/>
      <c r="C153" s="358"/>
      <c r="D153" s="358"/>
      <c r="E153" s="358"/>
      <c r="F153" s="358"/>
      <c r="G153" s="358"/>
      <c r="H153" s="358"/>
      <c r="I153" s="358"/>
      <c r="J153" s="358"/>
      <c r="K153" s="358"/>
      <c r="L153" s="358"/>
      <c r="M153" s="358"/>
      <c r="N153" s="358"/>
      <c r="O153" s="358"/>
      <c r="P153" s="358"/>
      <c r="Q153" s="358"/>
      <c r="R153" s="358"/>
      <c r="S153" s="358"/>
      <c r="T153" s="358"/>
      <c r="U153" s="358"/>
      <c r="V153" s="358"/>
      <c r="W153" s="358"/>
      <c r="X153" s="358"/>
      <c r="Y153" s="358"/>
      <c r="Z153" s="358"/>
      <c r="AA153" s="358"/>
    </row>
    <row r="154">
      <c r="A154" s="358"/>
      <c r="B154" s="358"/>
      <c r="C154" s="358"/>
      <c r="D154" s="358"/>
      <c r="E154" s="358"/>
      <c r="F154" s="358"/>
      <c r="G154" s="358"/>
      <c r="H154" s="358"/>
      <c r="I154" s="358"/>
      <c r="J154" s="358"/>
      <c r="K154" s="358"/>
      <c r="L154" s="358"/>
      <c r="M154" s="358"/>
      <c r="N154" s="358"/>
      <c r="O154" s="358"/>
      <c r="P154" s="358"/>
      <c r="Q154" s="358"/>
      <c r="R154" s="358"/>
      <c r="S154" s="358"/>
      <c r="T154" s="358"/>
      <c r="U154" s="358"/>
      <c r="V154" s="358"/>
      <c r="W154" s="358"/>
      <c r="X154" s="358"/>
      <c r="Y154" s="358"/>
      <c r="Z154" s="358"/>
      <c r="AA154" s="358"/>
    </row>
    <row r="155">
      <c r="A155" s="358"/>
      <c r="B155" s="358"/>
      <c r="C155" s="358"/>
      <c r="D155" s="358"/>
      <c r="E155" s="358"/>
      <c r="F155" s="358"/>
      <c r="G155" s="358"/>
      <c r="H155" s="358"/>
      <c r="I155" s="358"/>
      <c r="J155" s="358"/>
      <c r="K155" s="358"/>
      <c r="L155" s="358"/>
      <c r="M155" s="358"/>
      <c r="N155" s="358"/>
      <c r="O155" s="358"/>
      <c r="P155" s="358"/>
      <c r="Q155" s="358"/>
      <c r="R155" s="358"/>
      <c r="S155" s="358"/>
      <c r="T155" s="358"/>
      <c r="U155" s="358"/>
      <c r="V155" s="358"/>
      <c r="W155" s="358"/>
      <c r="X155" s="358"/>
      <c r="Y155" s="358"/>
      <c r="Z155" s="358"/>
      <c r="AA155" s="358"/>
    </row>
    <row r="156">
      <c r="A156" s="358"/>
      <c r="B156" s="358"/>
      <c r="C156" s="358"/>
      <c r="D156" s="358"/>
      <c r="E156" s="358"/>
      <c r="F156" s="358"/>
      <c r="G156" s="358"/>
      <c r="H156" s="358"/>
      <c r="I156" s="358"/>
      <c r="J156" s="358"/>
      <c r="K156" s="358"/>
      <c r="L156" s="358"/>
      <c r="M156" s="358"/>
      <c r="N156" s="358"/>
      <c r="O156" s="358"/>
      <c r="P156" s="358"/>
      <c r="Q156" s="358"/>
      <c r="R156" s="358"/>
      <c r="S156" s="358"/>
      <c r="T156" s="358"/>
      <c r="U156" s="358"/>
      <c r="V156" s="358"/>
      <c r="W156" s="358"/>
      <c r="X156" s="358"/>
      <c r="Y156" s="358"/>
      <c r="Z156" s="358"/>
      <c r="AA156" s="358"/>
    </row>
    <row r="157">
      <c r="A157" s="358"/>
      <c r="B157" s="358"/>
      <c r="C157" s="358"/>
      <c r="D157" s="358"/>
      <c r="E157" s="358"/>
      <c r="F157" s="358"/>
      <c r="G157" s="358"/>
      <c r="H157" s="358"/>
      <c r="I157" s="358"/>
      <c r="J157" s="358"/>
      <c r="K157" s="358"/>
      <c r="L157" s="358"/>
      <c r="M157" s="358"/>
      <c r="N157" s="358"/>
      <c r="O157" s="358"/>
      <c r="P157" s="358"/>
      <c r="Q157" s="358"/>
      <c r="R157" s="358"/>
      <c r="S157" s="358"/>
      <c r="T157" s="358"/>
      <c r="U157" s="358"/>
      <c r="V157" s="358"/>
      <c r="W157" s="358"/>
      <c r="X157" s="358"/>
      <c r="Y157" s="358"/>
      <c r="Z157" s="358"/>
      <c r="AA157" s="358"/>
    </row>
    <row r="158">
      <c r="A158" s="358"/>
      <c r="B158" s="358"/>
      <c r="C158" s="358"/>
      <c r="D158" s="358"/>
      <c r="E158" s="358"/>
      <c r="F158" s="358"/>
      <c r="G158" s="358"/>
      <c r="H158" s="358"/>
      <c r="I158" s="358"/>
      <c r="J158" s="358"/>
      <c r="K158" s="358"/>
      <c r="L158" s="358"/>
      <c r="M158" s="358"/>
      <c r="N158" s="358"/>
      <c r="O158" s="358"/>
      <c r="P158" s="358"/>
      <c r="Q158" s="358"/>
      <c r="R158" s="358"/>
      <c r="S158" s="358"/>
      <c r="T158" s="358"/>
      <c r="U158" s="358"/>
      <c r="V158" s="358"/>
      <c r="W158" s="358"/>
      <c r="X158" s="358"/>
      <c r="Y158" s="358"/>
      <c r="Z158" s="358"/>
      <c r="AA158" s="358"/>
    </row>
    <row r="159">
      <c r="A159" s="358"/>
      <c r="B159" s="358"/>
      <c r="C159" s="358"/>
      <c r="D159" s="358"/>
      <c r="E159" s="358"/>
      <c r="F159" s="358"/>
      <c r="G159" s="358"/>
      <c r="H159" s="358"/>
      <c r="I159" s="358"/>
      <c r="J159" s="358"/>
      <c r="K159" s="358"/>
      <c r="L159" s="358"/>
      <c r="M159" s="358"/>
      <c r="N159" s="358"/>
      <c r="O159" s="358"/>
      <c r="P159" s="358"/>
      <c r="Q159" s="358"/>
      <c r="R159" s="358"/>
      <c r="S159" s="358"/>
      <c r="T159" s="358"/>
      <c r="U159" s="358"/>
      <c r="V159" s="358"/>
      <c r="W159" s="358"/>
      <c r="X159" s="358"/>
      <c r="Y159" s="358"/>
      <c r="Z159" s="358"/>
      <c r="AA159" s="358"/>
    </row>
    <row r="160">
      <c r="A160" s="358"/>
      <c r="B160" s="358"/>
      <c r="C160" s="358"/>
      <c r="D160" s="358"/>
      <c r="E160" s="358"/>
      <c r="F160" s="358"/>
      <c r="G160" s="358"/>
      <c r="H160" s="358"/>
      <c r="I160" s="358"/>
      <c r="J160" s="358"/>
      <c r="K160" s="358"/>
      <c r="L160" s="358"/>
      <c r="M160" s="358"/>
      <c r="N160" s="358"/>
      <c r="O160" s="358"/>
      <c r="P160" s="358"/>
      <c r="Q160" s="358"/>
      <c r="R160" s="358"/>
      <c r="S160" s="358"/>
      <c r="T160" s="358"/>
      <c r="U160" s="358"/>
      <c r="V160" s="358"/>
      <c r="W160" s="358"/>
      <c r="X160" s="358"/>
      <c r="Y160" s="358"/>
      <c r="Z160" s="358"/>
      <c r="AA160" s="358"/>
    </row>
    <row r="161">
      <c r="A161" s="358"/>
      <c r="B161" s="358"/>
      <c r="C161" s="358"/>
      <c r="D161" s="358"/>
      <c r="E161" s="358"/>
      <c r="F161" s="358"/>
      <c r="G161" s="358"/>
      <c r="H161" s="358"/>
      <c r="I161" s="358"/>
      <c r="J161" s="358"/>
      <c r="K161" s="358"/>
      <c r="L161" s="358"/>
      <c r="M161" s="358"/>
      <c r="N161" s="358"/>
      <c r="O161" s="358"/>
      <c r="P161" s="358"/>
      <c r="Q161" s="358"/>
      <c r="R161" s="358"/>
      <c r="S161" s="358"/>
      <c r="T161" s="358"/>
      <c r="U161" s="358"/>
      <c r="V161" s="358"/>
      <c r="W161" s="358"/>
      <c r="X161" s="358"/>
      <c r="Y161" s="358"/>
      <c r="Z161" s="358"/>
      <c r="AA161" s="358"/>
    </row>
    <row r="162">
      <c r="A162" s="358"/>
      <c r="B162" s="358"/>
      <c r="C162" s="358"/>
      <c r="D162" s="358"/>
      <c r="E162" s="358"/>
      <c r="F162" s="358"/>
      <c r="G162" s="358"/>
      <c r="H162" s="358"/>
      <c r="I162" s="358"/>
      <c r="J162" s="358"/>
      <c r="K162" s="358"/>
      <c r="L162" s="358"/>
      <c r="M162" s="358"/>
      <c r="N162" s="358"/>
      <c r="O162" s="358"/>
      <c r="P162" s="358"/>
      <c r="Q162" s="358"/>
      <c r="R162" s="358"/>
      <c r="S162" s="358"/>
      <c r="T162" s="358"/>
      <c r="U162" s="358"/>
      <c r="V162" s="358"/>
      <c r="W162" s="358"/>
      <c r="X162" s="358"/>
      <c r="Y162" s="358"/>
      <c r="Z162" s="358"/>
      <c r="AA162" s="358"/>
    </row>
    <row r="163">
      <c r="A163" s="358"/>
      <c r="B163" s="358"/>
      <c r="C163" s="358"/>
      <c r="D163" s="358"/>
      <c r="E163" s="358"/>
      <c r="F163" s="358"/>
      <c r="G163" s="358"/>
      <c r="H163" s="358"/>
      <c r="I163" s="358"/>
      <c r="J163" s="358"/>
      <c r="K163" s="358"/>
      <c r="L163" s="358"/>
      <c r="M163" s="358"/>
      <c r="N163" s="358"/>
      <c r="O163" s="358"/>
      <c r="P163" s="358"/>
      <c r="Q163" s="358"/>
      <c r="R163" s="358"/>
      <c r="S163" s="358"/>
      <c r="T163" s="358"/>
      <c r="U163" s="358"/>
      <c r="V163" s="358"/>
      <c r="W163" s="358"/>
      <c r="X163" s="358"/>
      <c r="Y163" s="358"/>
      <c r="Z163" s="358"/>
      <c r="AA163" s="358"/>
    </row>
    <row r="164">
      <c r="A164" s="358"/>
      <c r="B164" s="358"/>
      <c r="C164" s="358"/>
      <c r="D164" s="358"/>
      <c r="E164" s="358"/>
      <c r="F164" s="358"/>
      <c r="G164" s="358"/>
      <c r="H164" s="358"/>
      <c r="I164" s="358"/>
      <c r="J164" s="358"/>
      <c r="K164" s="358"/>
      <c r="L164" s="358"/>
      <c r="M164" s="358"/>
      <c r="N164" s="358"/>
      <c r="O164" s="358"/>
      <c r="P164" s="358"/>
      <c r="Q164" s="358"/>
      <c r="R164" s="358"/>
      <c r="S164" s="358"/>
      <c r="T164" s="358"/>
      <c r="U164" s="358"/>
      <c r="V164" s="358"/>
      <c r="W164" s="358"/>
      <c r="X164" s="358"/>
      <c r="Y164" s="358"/>
      <c r="Z164" s="358"/>
      <c r="AA164" s="358"/>
    </row>
    <row r="165">
      <c r="A165" s="358"/>
      <c r="B165" s="358"/>
      <c r="C165" s="358"/>
      <c r="D165" s="358"/>
      <c r="E165" s="358"/>
      <c r="F165" s="358"/>
      <c r="G165" s="358"/>
      <c r="H165" s="358"/>
      <c r="I165" s="358"/>
      <c r="J165" s="358"/>
      <c r="K165" s="358"/>
      <c r="L165" s="358"/>
      <c r="M165" s="358"/>
      <c r="N165" s="358"/>
      <c r="O165" s="358"/>
      <c r="P165" s="358"/>
      <c r="Q165" s="358"/>
      <c r="R165" s="358"/>
      <c r="S165" s="358"/>
      <c r="T165" s="358"/>
      <c r="U165" s="358"/>
      <c r="V165" s="358"/>
      <c r="W165" s="358"/>
      <c r="X165" s="358"/>
      <c r="Y165" s="358"/>
      <c r="Z165" s="358"/>
      <c r="AA165" s="358"/>
    </row>
    <row r="166">
      <c r="A166" s="358"/>
      <c r="B166" s="358"/>
      <c r="C166" s="358"/>
      <c r="D166" s="358"/>
      <c r="E166" s="358"/>
      <c r="F166" s="358"/>
      <c r="G166" s="358"/>
      <c r="H166" s="358"/>
      <c r="I166" s="358"/>
      <c r="J166" s="358"/>
      <c r="K166" s="358"/>
      <c r="L166" s="358"/>
      <c r="M166" s="358"/>
      <c r="N166" s="358"/>
      <c r="O166" s="358"/>
      <c r="P166" s="358"/>
      <c r="Q166" s="358"/>
      <c r="R166" s="358"/>
      <c r="S166" s="358"/>
      <c r="T166" s="358"/>
      <c r="U166" s="358"/>
      <c r="V166" s="358"/>
      <c r="W166" s="358"/>
      <c r="X166" s="358"/>
      <c r="Y166" s="358"/>
      <c r="Z166" s="358"/>
      <c r="AA166" s="358"/>
    </row>
    <row r="167">
      <c r="A167" s="358"/>
      <c r="B167" s="358"/>
      <c r="C167" s="358"/>
      <c r="D167" s="358"/>
      <c r="E167" s="358"/>
      <c r="F167" s="358"/>
      <c r="G167" s="358"/>
      <c r="H167" s="358"/>
      <c r="I167" s="358"/>
      <c r="J167" s="358"/>
      <c r="K167" s="358"/>
      <c r="L167" s="358"/>
      <c r="M167" s="358"/>
      <c r="N167" s="358"/>
      <c r="O167" s="358"/>
      <c r="P167" s="358"/>
      <c r="Q167" s="358"/>
      <c r="R167" s="358"/>
      <c r="S167" s="358"/>
      <c r="T167" s="358"/>
      <c r="U167" s="358"/>
      <c r="V167" s="358"/>
      <c r="W167" s="358"/>
      <c r="X167" s="358"/>
      <c r="Y167" s="358"/>
      <c r="Z167" s="358"/>
      <c r="AA167" s="358"/>
    </row>
    <row r="168">
      <c r="A168" s="358"/>
      <c r="B168" s="358"/>
      <c r="C168" s="358"/>
      <c r="D168" s="358"/>
      <c r="E168" s="358"/>
      <c r="F168" s="358"/>
      <c r="G168" s="358"/>
      <c r="H168" s="358"/>
      <c r="I168" s="358"/>
      <c r="J168" s="358"/>
      <c r="K168" s="358"/>
      <c r="L168" s="358"/>
      <c r="M168" s="358"/>
      <c r="N168" s="358"/>
      <c r="O168" s="358"/>
      <c r="P168" s="358"/>
      <c r="Q168" s="358"/>
      <c r="R168" s="358"/>
      <c r="S168" s="358"/>
      <c r="T168" s="358"/>
      <c r="U168" s="358"/>
      <c r="V168" s="358"/>
      <c r="W168" s="358"/>
      <c r="X168" s="358"/>
      <c r="Y168" s="358"/>
      <c r="Z168" s="358"/>
      <c r="AA168" s="358"/>
    </row>
    <row r="169">
      <c r="A169" s="358"/>
      <c r="B169" s="358"/>
      <c r="C169" s="358"/>
      <c r="D169" s="358"/>
      <c r="E169" s="358"/>
      <c r="F169" s="358"/>
      <c r="G169" s="358"/>
      <c r="H169" s="358"/>
      <c r="I169" s="358"/>
      <c r="J169" s="358"/>
      <c r="K169" s="358"/>
      <c r="L169" s="358"/>
      <c r="M169" s="358"/>
      <c r="N169" s="358"/>
      <c r="O169" s="358"/>
      <c r="P169" s="358"/>
      <c r="Q169" s="358"/>
      <c r="R169" s="358"/>
      <c r="S169" s="358"/>
      <c r="T169" s="358"/>
      <c r="U169" s="358"/>
      <c r="V169" s="358"/>
      <c r="W169" s="358"/>
      <c r="X169" s="358"/>
      <c r="Y169" s="358"/>
      <c r="Z169" s="358"/>
      <c r="AA169" s="358"/>
    </row>
    <row r="170">
      <c r="A170" s="358"/>
      <c r="B170" s="358"/>
      <c r="C170" s="358"/>
      <c r="D170" s="358"/>
      <c r="E170" s="358"/>
      <c r="F170" s="358"/>
      <c r="G170" s="358"/>
      <c r="H170" s="358"/>
      <c r="I170" s="358"/>
      <c r="J170" s="358"/>
      <c r="K170" s="358"/>
      <c r="L170" s="358"/>
      <c r="M170" s="358"/>
      <c r="N170" s="358"/>
      <c r="O170" s="358"/>
      <c r="P170" s="358"/>
      <c r="Q170" s="358"/>
      <c r="R170" s="358"/>
      <c r="S170" s="358"/>
      <c r="T170" s="358"/>
      <c r="U170" s="358"/>
      <c r="V170" s="358"/>
      <c r="W170" s="358"/>
      <c r="X170" s="358"/>
      <c r="Y170" s="358"/>
      <c r="Z170" s="358"/>
      <c r="AA170" s="358"/>
    </row>
    <row r="171">
      <c r="A171" s="358"/>
      <c r="B171" s="358"/>
      <c r="C171" s="358"/>
      <c r="D171" s="358"/>
      <c r="E171" s="358"/>
      <c r="F171" s="358"/>
      <c r="G171" s="358"/>
      <c r="H171" s="358"/>
      <c r="I171" s="358"/>
      <c r="J171" s="358"/>
      <c r="K171" s="358"/>
      <c r="L171" s="358"/>
      <c r="M171" s="358"/>
      <c r="N171" s="358"/>
      <c r="O171" s="358"/>
      <c r="P171" s="358"/>
      <c r="Q171" s="358"/>
      <c r="R171" s="358"/>
      <c r="S171" s="358"/>
      <c r="T171" s="358"/>
      <c r="U171" s="358"/>
      <c r="V171" s="358"/>
      <c r="W171" s="358"/>
      <c r="X171" s="358"/>
      <c r="Y171" s="358"/>
      <c r="Z171" s="358"/>
      <c r="AA171" s="358"/>
    </row>
    <row r="172">
      <c r="A172" s="358"/>
      <c r="B172" s="358"/>
      <c r="C172" s="358"/>
      <c r="D172" s="358"/>
      <c r="E172" s="358"/>
      <c r="F172" s="358"/>
      <c r="G172" s="358"/>
      <c r="H172" s="358"/>
      <c r="I172" s="358"/>
      <c r="J172" s="358"/>
      <c r="K172" s="358"/>
      <c r="L172" s="358"/>
      <c r="M172" s="358"/>
      <c r="N172" s="358"/>
      <c r="O172" s="358"/>
      <c r="P172" s="358"/>
      <c r="Q172" s="358"/>
      <c r="R172" s="358"/>
      <c r="S172" s="358"/>
      <c r="T172" s="358"/>
      <c r="U172" s="358"/>
      <c r="V172" s="358"/>
      <c r="W172" s="358"/>
      <c r="X172" s="358"/>
      <c r="Y172" s="358"/>
      <c r="Z172" s="358"/>
      <c r="AA172" s="358"/>
    </row>
    <row r="173">
      <c r="A173" s="358"/>
      <c r="B173" s="358"/>
      <c r="C173" s="358"/>
      <c r="D173" s="358"/>
      <c r="E173" s="358"/>
      <c r="F173" s="358"/>
      <c r="G173" s="358"/>
      <c r="H173" s="358"/>
      <c r="I173" s="358"/>
      <c r="J173" s="358"/>
      <c r="K173" s="358"/>
      <c r="L173" s="358"/>
      <c r="M173" s="358"/>
      <c r="N173" s="358"/>
      <c r="O173" s="358"/>
      <c r="P173" s="358"/>
      <c r="Q173" s="358"/>
      <c r="R173" s="358"/>
      <c r="S173" s="358"/>
      <c r="T173" s="358"/>
      <c r="U173" s="358"/>
      <c r="V173" s="358"/>
      <c r="W173" s="358"/>
      <c r="X173" s="358"/>
      <c r="Y173" s="358"/>
      <c r="Z173" s="358"/>
      <c r="AA173" s="358"/>
    </row>
    <row r="174">
      <c r="A174" s="358"/>
      <c r="B174" s="358"/>
      <c r="C174" s="358"/>
      <c r="D174" s="358"/>
      <c r="E174" s="358"/>
      <c r="F174" s="358"/>
      <c r="G174" s="358"/>
      <c r="H174" s="358"/>
      <c r="I174" s="358"/>
      <c r="J174" s="358"/>
      <c r="K174" s="358"/>
      <c r="L174" s="358"/>
      <c r="M174" s="358"/>
      <c r="N174" s="358"/>
      <c r="O174" s="358"/>
      <c r="P174" s="358"/>
      <c r="Q174" s="358"/>
      <c r="R174" s="358"/>
      <c r="S174" s="358"/>
      <c r="T174" s="358"/>
      <c r="U174" s="358"/>
      <c r="V174" s="358"/>
      <c r="W174" s="358"/>
      <c r="X174" s="358"/>
      <c r="Y174" s="358"/>
      <c r="Z174" s="358"/>
      <c r="AA174" s="358"/>
    </row>
    <row r="175">
      <c r="A175" s="358"/>
      <c r="B175" s="358"/>
      <c r="C175" s="358"/>
      <c r="D175" s="358"/>
      <c r="E175" s="358"/>
      <c r="F175" s="358"/>
      <c r="G175" s="358"/>
      <c r="H175" s="358"/>
      <c r="I175" s="358"/>
      <c r="J175" s="358"/>
      <c r="K175" s="358"/>
      <c r="L175" s="358"/>
      <c r="M175" s="358"/>
      <c r="N175" s="358"/>
      <c r="O175" s="358"/>
      <c r="P175" s="358"/>
      <c r="Q175" s="358"/>
      <c r="R175" s="358"/>
      <c r="S175" s="358"/>
      <c r="T175" s="358"/>
      <c r="U175" s="358"/>
      <c r="V175" s="358"/>
      <c r="W175" s="358"/>
      <c r="X175" s="358"/>
      <c r="Y175" s="358"/>
      <c r="Z175" s="358"/>
      <c r="AA175" s="358"/>
    </row>
    <row r="176">
      <c r="A176" s="358"/>
      <c r="B176" s="358"/>
      <c r="C176" s="358"/>
      <c r="D176" s="358"/>
      <c r="E176" s="358"/>
      <c r="F176" s="358"/>
      <c r="G176" s="358"/>
      <c r="H176" s="358"/>
      <c r="I176" s="358"/>
      <c r="J176" s="358"/>
      <c r="K176" s="358"/>
      <c r="L176" s="358"/>
      <c r="M176" s="358"/>
      <c r="N176" s="358"/>
      <c r="O176" s="358"/>
      <c r="P176" s="358"/>
      <c r="Q176" s="358"/>
      <c r="R176" s="358"/>
      <c r="S176" s="358"/>
      <c r="T176" s="358"/>
      <c r="U176" s="358"/>
      <c r="V176" s="358"/>
      <c r="W176" s="358"/>
      <c r="X176" s="358"/>
      <c r="Y176" s="358"/>
      <c r="Z176" s="358"/>
      <c r="AA176" s="358"/>
    </row>
    <row r="177">
      <c r="A177" s="358"/>
      <c r="B177" s="358"/>
      <c r="C177" s="358"/>
      <c r="D177" s="358"/>
      <c r="E177" s="358"/>
      <c r="F177" s="358"/>
      <c r="G177" s="358"/>
      <c r="H177" s="358"/>
      <c r="I177" s="358"/>
      <c r="J177" s="358"/>
      <c r="K177" s="358"/>
      <c r="L177" s="358"/>
      <c r="M177" s="358"/>
      <c r="N177" s="358"/>
      <c r="O177" s="358"/>
      <c r="P177" s="358"/>
      <c r="Q177" s="358"/>
      <c r="R177" s="358"/>
      <c r="S177" s="358"/>
      <c r="T177" s="358"/>
      <c r="U177" s="358"/>
      <c r="V177" s="358"/>
      <c r="W177" s="358"/>
      <c r="X177" s="358"/>
      <c r="Y177" s="358"/>
      <c r="Z177" s="358"/>
      <c r="AA177" s="358"/>
    </row>
    <row r="178">
      <c r="A178" s="358"/>
      <c r="B178" s="358"/>
      <c r="C178" s="358"/>
      <c r="D178" s="358"/>
      <c r="E178" s="358"/>
      <c r="F178" s="358"/>
      <c r="G178" s="358"/>
      <c r="H178" s="358"/>
      <c r="I178" s="358"/>
      <c r="J178" s="358"/>
      <c r="K178" s="358"/>
      <c r="L178" s="358"/>
      <c r="M178" s="358"/>
      <c r="N178" s="358"/>
      <c r="O178" s="358"/>
      <c r="P178" s="358"/>
      <c r="Q178" s="358"/>
      <c r="R178" s="358"/>
      <c r="S178" s="358"/>
      <c r="T178" s="358"/>
      <c r="U178" s="358"/>
      <c r="V178" s="358"/>
      <c r="W178" s="358"/>
      <c r="X178" s="358"/>
      <c r="Y178" s="358"/>
      <c r="Z178" s="358"/>
      <c r="AA178" s="358"/>
    </row>
    <row r="179">
      <c r="A179" s="358"/>
      <c r="B179" s="358"/>
      <c r="C179" s="358"/>
      <c r="D179" s="358"/>
      <c r="E179" s="358"/>
      <c r="F179" s="358"/>
      <c r="G179" s="358"/>
      <c r="H179" s="358"/>
      <c r="I179" s="358"/>
      <c r="J179" s="358"/>
      <c r="K179" s="358"/>
      <c r="L179" s="358"/>
      <c r="M179" s="358"/>
      <c r="N179" s="358"/>
      <c r="O179" s="358"/>
      <c r="P179" s="358"/>
      <c r="Q179" s="358"/>
      <c r="R179" s="358"/>
      <c r="S179" s="358"/>
      <c r="T179" s="358"/>
      <c r="U179" s="358"/>
      <c r="V179" s="358"/>
      <c r="W179" s="358"/>
      <c r="X179" s="358"/>
      <c r="Y179" s="358"/>
      <c r="Z179" s="358"/>
      <c r="AA179" s="358"/>
    </row>
    <row r="180">
      <c r="A180" s="358"/>
      <c r="B180" s="358"/>
      <c r="C180" s="358"/>
      <c r="D180" s="358"/>
      <c r="E180" s="358"/>
      <c r="F180" s="358"/>
      <c r="G180" s="358"/>
      <c r="H180" s="358"/>
      <c r="I180" s="358"/>
      <c r="J180" s="358"/>
      <c r="K180" s="358"/>
      <c r="L180" s="358"/>
      <c r="M180" s="358"/>
      <c r="N180" s="358"/>
      <c r="O180" s="358"/>
      <c r="P180" s="358"/>
      <c r="Q180" s="358"/>
      <c r="R180" s="358"/>
      <c r="S180" s="358"/>
      <c r="T180" s="358"/>
      <c r="U180" s="358"/>
      <c r="V180" s="358"/>
      <c r="W180" s="358"/>
      <c r="X180" s="358"/>
      <c r="Y180" s="358"/>
      <c r="Z180" s="358"/>
      <c r="AA180" s="358"/>
    </row>
    <row r="181">
      <c r="A181" s="358"/>
      <c r="B181" s="358"/>
      <c r="C181" s="358"/>
      <c r="D181" s="358"/>
      <c r="E181" s="358"/>
      <c r="F181" s="358"/>
      <c r="G181" s="358"/>
      <c r="H181" s="358"/>
      <c r="I181" s="358"/>
      <c r="J181" s="358"/>
      <c r="K181" s="358"/>
      <c r="L181" s="358"/>
      <c r="M181" s="358"/>
      <c r="N181" s="358"/>
      <c r="O181" s="358"/>
      <c r="P181" s="358"/>
      <c r="Q181" s="358"/>
      <c r="R181" s="358"/>
      <c r="S181" s="358"/>
      <c r="T181" s="358"/>
      <c r="U181" s="358"/>
      <c r="V181" s="358"/>
      <c r="W181" s="358"/>
      <c r="X181" s="358"/>
      <c r="Y181" s="358"/>
      <c r="Z181" s="358"/>
      <c r="AA181" s="358"/>
    </row>
    <row r="182">
      <c r="A182" s="358"/>
      <c r="B182" s="358"/>
      <c r="C182" s="358"/>
      <c r="D182" s="358"/>
      <c r="E182" s="358"/>
      <c r="F182" s="358"/>
      <c r="G182" s="358"/>
      <c r="H182" s="358"/>
      <c r="I182" s="358"/>
      <c r="J182" s="358"/>
      <c r="K182" s="358"/>
      <c r="L182" s="358"/>
      <c r="M182" s="358"/>
      <c r="N182" s="358"/>
      <c r="O182" s="358"/>
      <c r="P182" s="358"/>
      <c r="Q182" s="358"/>
      <c r="R182" s="358"/>
      <c r="S182" s="358"/>
      <c r="T182" s="358"/>
      <c r="U182" s="358"/>
      <c r="V182" s="358"/>
      <c r="W182" s="358"/>
      <c r="X182" s="358"/>
      <c r="Y182" s="358"/>
      <c r="Z182" s="358"/>
      <c r="AA182" s="358"/>
    </row>
    <row r="183">
      <c r="A183" s="358"/>
      <c r="B183" s="358"/>
      <c r="C183" s="358"/>
      <c r="D183" s="358"/>
      <c r="E183" s="358"/>
      <c r="F183" s="358"/>
      <c r="G183" s="358"/>
      <c r="H183" s="358"/>
      <c r="I183" s="358"/>
      <c r="J183" s="358"/>
      <c r="K183" s="358"/>
      <c r="L183" s="358"/>
      <c r="M183" s="358"/>
      <c r="N183" s="358"/>
      <c r="O183" s="358"/>
      <c r="P183" s="358"/>
      <c r="Q183" s="358"/>
      <c r="R183" s="358"/>
      <c r="S183" s="358"/>
      <c r="T183" s="358"/>
      <c r="U183" s="358"/>
      <c r="V183" s="358"/>
      <c r="W183" s="358"/>
      <c r="X183" s="358"/>
      <c r="Y183" s="358"/>
      <c r="Z183" s="358"/>
      <c r="AA183" s="358"/>
    </row>
    <row r="184">
      <c r="A184" s="358"/>
      <c r="B184" s="358"/>
      <c r="C184" s="358"/>
      <c r="D184" s="358"/>
      <c r="E184" s="358"/>
      <c r="F184" s="358"/>
      <c r="G184" s="358"/>
      <c r="H184" s="358"/>
      <c r="I184" s="358"/>
      <c r="J184" s="358"/>
      <c r="K184" s="358"/>
      <c r="L184" s="358"/>
      <c r="M184" s="358"/>
      <c r="N184" s="358"/>
      <c r="O184" s="358"/>
      <c r="P184" s="358"/>
      <c r="Q184" s="358"/>
      <c r="R184" s="358"/>
      <c r="S184" s="358"/>
      <c r="T184" s="358"/>
      <c r="U184" s="358"/>
      <c r="V184" s="358"/>
      <c r="W184" s="358"/>
      <c r="X184" s="358"/>
      <c r="Y184" s="358"/>
      <c r="Z184" s="358"/>
      <c r="AA184" s="358"/>
    </row>
    <row r="185">
      <c r="A185" s="358"/>
      <c r="B185" s="358"/>
      <c r="C185" s="358"/>
      <c r="D185" s="358"/>
      <c r="E185" s="358"/>
      <c r="F185" s="358"/>
      <c r="G185" s="358"/>
      <c r="H185" s="358"/>
      <c r="I185" s="358"/>
      <c r="J185" s="358"/>
      <c r="K185" s="358"/>
      <c r="L185" s="358"/>
      <c r="M185" s="358"/>
      <c r="N185" s="358"/>
      <c r="O185" s="358"/>
      <c r="P185" s="358"/>
      <c r="Q185" s="358"/>
      <c r="R185" s="358"/>
      <c r="S185" s="358"/>
      <c r="T185" s="358"/>
      <c r="U185" s="358"/>
      <c r="V185" s="358"/>
      <c r="W185" s="358"/>
      <c r="X185" s="358"/>
      <c r="Y185" s="358"/>
      <c r="Z185" s="358"/>
      <c r="AA185" s="358"/>
    </row>
    <row r="186">
      <c r="A186" s="358"/>
      <c r="B186" s="358"/>
      <c r="C186" s="358"/>
      <c r="D186" s="358"/>
      <c r="E186" s="358"/>
      <c r="F186" s="358"/>
      <c r="G186" s="358"/>
      <c r="H186" s="358"/>
      <c r="I186" s="358"/>
      <c r="J186" s="358"/>
      <c r="K186" s="358"/>
      <c r="L186" s="358"/>
      <c r="M186" s="358"/>
      <c r="N186" s="358"/>
      <c r="O186" s="358"/>
      <c r="P186" s="358"/>
      <c r="Q186" s="358"/>
      <c r="R186" s="358"/>
      <c r="S186" s="358"/>
      <c r="T186" s="358"/>
      <c r="U186" s="358"/>
      <c r="V186" s="358"/>
      <c r="W186" s="358"/>
      <c r="X186" s="358"/>
      <c r="Y186" s="358"/>
      <c r="Z186" s="358"/>
      <c r="AA186" s="358"/>
    </row>
    <row r="187">
      <c r="A187" s="358"/>
      <c r="B187" s="358"/>
      <c r="C187" s="358"/>
      <c r="D187" s="358"/>
      <c r="E187" s="358"/>
      <c r="F187" s="358"/>
      <c r="G187" s="358"/>
      <c r="H187" s="358"/>
      <c r="I187" s="358"/>
      <c r="J187" s="358"/>
      <c r="K187" s="358"/>
      <c r="L187" s="358"/>
      <c r="M187" s="358"/>
      <c r="N187" s="358"/>
      <c r="O187" s="358"/>
      <c r="P187" s="358"/>
      <c r="Q187" s="358"/>
      <c r="R187" s="358"/>
      <c r="S187" s="358"/>
      <c r="T187" s="358"/>
      <c r="U187" s="358"/>
      <c r="V187" s="358"/>
      <c r="W187" s="358"/>
      <c r="X187" s="358"/>
      <c r="Y187" s="358"/>
      <c r="Z187" s="358"/>
      <c r="AA187" s="358"/>
    </row>
    <row r="188">
      <c r="A188" s="358"/>
      <c r="B188" s="358"/>
      <c r="C188" s="358"/>
      <c r="D188" s="358"/>
      <c r="E188" s="358"/>
      <c r="F188" s="358"/>
      <c r="G188" s="358"/>
      <c r="H188" s="358"/>
      <c r="I188" s="358"/>
      <c r="J188" s="358"/>
      <c r="K188" s="358"/>
      <c r="L188" s="358"/>
      <c r="M188" s="358"/>
      <c r="N188" s="358"/>
      <c r="O188" s="358"/>
      <c r="P188" s="358"/>
      <c r="Q188" s="358"/>
      <c r="R188" s="358"/>
      <c r="S188" s="358"/>
      <c r="T188" s="358"/>
      <c r="U188" s="358"/>
      <c r="V188" s="358"/>
      <c r="W188" s="358"/>
      <c r="X188" s="358"/>
      <c r="Y188" s="358"/>
      <c r="Z188" s="358"/>
      <c r="AA188" s="358"/>
    </row>
    <row r="189">
      <c r="A189" s="358"/>
      <c r="B189" s="358"/>
      <c r="C189" s="358"/>
      <c r="D189" s="358"/>
      <c r="E189" s="358"/>
      <c r="F189" s="358"/>
      <c r="G189" s="358"/>
      <c r="H189" s="358"/>
      <c r="I189" s="358"/>
      <c r="J189" s="358"/>
      <c r="K189" s="358"/>
      <c r="L189" s="358"/>
      <c r="M189" s="358"/>
      <c r="N189" s="358"/>
      <c r="O189" s="358"/>
      <c r="P189" s="358"/>
      <c r="Q189" s="358"/>
      <c r="R189" s="358"/>
      <c r="S189" s="358"/>
      <c r="T189" s="358"/>
      <c r="U189" s="358"/>
      <c r="V189" s="358"/>
      <c r="W189" s="358"/>
      <c r="X189" s="358"/>
      <c r="Y189" s="358"/>
      <c r="Z189" s="358"/>
      <c r="AA189" s="358"/>
    </row>
    <row r="190">
      <c r="A190" s="358"/>
      <c r="B190" s="358"/>
      <c r="C190" s="358"/>
      <c r="D190" s="358"/>
      <c r="E190" s="358"/>
      <c r="F190" s="358"/>
      <c r="G190" s="358"/>
      <c r="H190" s="358"/>
      <c r="I190" s="358"/>
      <c r="J190" s="358"/>
      <c r="K190" s="358"/>
      <c r="L190" s="358"/>
      <c r="M190" s="358"/>
      <c r="N190" s="358"/>
      <c r="O190" s="358"/>
      <c r="P190" s="358"/>
      <c r="Q190" s="358"/>
      <c r="R190" s="358"/>
      <c r="S190" s="358"/>
      <c r="T190" s="358"/>
      <c r="U190" s="358"/>
      <c r="V190" s="358"/>
      <c r="W190" s="358"/>
      <c r="X190" s="358"/>
      <c r="Y190" s="358"/>
      <c r="Z190" s="358"/>
      <c r="AA190" s="358"/>
    </row>
    <row r="191">
      <c r="A191" s="358"/>
      <c r="B191" s="358"/>
      <c r="C191" s="358"/>
      <c r="D191" s="358"/>
      <c r="E191" s="358"/>
      <c r="F191" s="358"/>
      <c r="G191" s="358"/>
      <c r="H191" s="358"/>
      <c r="I191" s="358"/>
      <c r="J191" s="358"/>
      <c r="K191" s="358"/>
      <c r="L191" s="358"/>
      <c r="M191" s="358"/>
      <c r="N191" s="358"/>
      <c r="O191" s="358"/>
      <c r="P191" s="358"/>
      <c r="Q191" s="358"/>
      <c r="R191" s="358"/>
      <c r="S191" s="358"/>
      <c r="T191" s="358"/>
      <c r="U191" s="358"/>
      <c r="V191" s="358"/>
      <c r="W191" s="358"/>
      <c r="X191" s="358"/>
      <c r="Y191" s="358"/>
      <c r="Z191" s="358"/>
      <c r="AA191" s="358"/>
    </row>
    <row r="192">
      <c r="A192" s="358"/>
      <c r="B192" s="358"/>
      <c r="C192" s="358"/>
      <c r="D192" s="358"/>
      <c r="E192" s="358"/>
      <c r="F192" s="358"/>
      <c r="G192" s="358"/>
      <c r="H192" s="358"/>
      <c r="I192" s="358"/>
      <c r="J192" s="358"/>
      <c r="K192" s="358"/>
      <c r="L192" s="358"/>
      <c r="M192" s="358"/>
      <c r="N192" s="358"/>
      <c r="O192" s="358"/>
      <c r="P192" s="358"/>
      <c r="Q192" s="358"/>
      <c r="R192" s="358"/>
      <c r="S192" s="358"/>
      <c r="T192" s="358"/>
      <c r="U192" s="358"/>
      <c r="V192" s="358"/>
      <c r="W192" s="358"/>
      <c r="X192" s="358"/>
      <c r="Y192" s="358"/>
      <c r="Z192" s="358"/>
      <c r="AA192" s="358"/>
    </row>
    <row r="193">
      <c r="A193" s="358"/>
      <c r="B193" s="358"/>
      <c r="C193" s="358"/>
      <c r="D193" s="358"/>
      <c r="E193" s="358"/>
      <c r="F193" s="358"/>
      <c r="G193" s="358"/>
      <c r="H193" s="358"/>
      <c r="I193" s="358"/>
      <c r="J193" s="358"/>
      <c r="K193" s="358"/>
      <c r="L193" s="358"/>
      <c r="M193" s="358"/>
      <c r="N193" s="358"/>
      <c r="O193" s="358"/>
      <c r="P193" s="358"/>
      <c r="Q193" s="358"/>
      <c r="R193" s="358"/>
      <c r="S193" s="358"/>
      <c r="T193" s="358"/>
      <c r="U193" s="358"/>
      <c r="V193" s="358"/>
      <c r="W193" s="358"/>
      <c r="X193" s="358"/>
      <c r="Y193" s="358"/>
      <c r="Z193" s="358"/>
      <c r="AA193" s="358"/>
    </row>
    <row r="194">
      <c r="A194" s="358"/>
      <c r="B194" s="358"/>
      <c r="C194" s="358"/>
      <c r="D194" s="358"/>
      <c r="E194" s="358"/>
      <c r="F194" s="358"/>
      <c r="G194" s="358"/>
      <c r="H194" s="358"/>
      <c r="I194" s="358"/>
      <c r="J194" s="358"/>
      <c r="K194" s="358"/>
      <c r="L194" s="358"/>
      <c r="M194" s="358"/>
      <c r="N194" s="358"/>
      <c r="O194" s="358"/>
      <c r="P194" s="358"/>
      <c r="Q194" s="358"/>
      <c r="R194" s="358"/>
      <c r="S194" s="358"/>
      <c r="T194" s="358"/>
      <c r="U194" s="358"/>
      <c r="V194" s="358"/>
      <c r="W194" s="358"/>
      <c r="X194" s="358"/>
      <c r="Y194" s="358"/>
      <c r="Z194" s="358"/>
      <c r="AA194" s="358"/>
    </row>
    <row r="195">
      <c r="A195" s="358"/>
      <c r="B195" s="358"/>
      <c r="C195" s="358"/>
      <c r="D195" s="358"/>
      <c r="E195" s="358"/>
      <c r="F195" s="358"/>
      <c r="G195" s="358"/>
      <c r="H195" s="358"/>
      <c r="I195" s="358"/>
      <c r="J195" s="358"/>
      <c r="K195" s="358"/>
      <c r="L195" s="358"/>
      <c r="M195" s="358"/>
      <c r="N195" s="358"/>
      <c r="O195" s="358"/>
      <c r="P195" s="358"/>
      <c r="Q195" s="358"/>
      <c r="R195" s="358"/>
      <c r="S195" s="358"/>
      <c r="T195" s="358"/>
      <c r="U195" s="358"/>
      <c r="V195" s="358"/>
      <c r="W195" s="358"/>
      <c r="X195" s="358"/>
      <c r="Y195" s="358"/>
      <c r="Z195" s="358"/>
      <c r="AA195" s="358"/>
    </row>
    <row r="196">
      <c r="A196" s="358"/>
      <c r="B196" s="358"/>
      <c r="C196" s="358"/>
      <c r="D196" s="358"/>
      <c r="E196" s="358"/>
      <c r="F196" s="358"/>
      <c r="G196" s="358"/>
      <c r="H196" s="358"/>
      <c r="I196" s="358"/>
      <c r="J196" s="358"/>
      <c r="K196" s="358"/>
      <c r="L196" s="358"/>
      <c r="M196" s="358"/>
      <c r="N196" s="358"/>
      <c r="O196" s="358"/>
      <c r="P196" s="358"/>
      <c r="Q196" s="358"/>
      <c r="R196" s="358"/>
      <c r="S196" s="358"/>
      <c r="T196" s="358"/>
      <c r="U196" s="358"/>
      <c r="V196" s="358"/>
      <c r="W196" s="358"/>
      <c r="X196" s="358"/>
      <c r="Y196" s="358"/>
      <c r="Z196" s="358"/>
      <c r="AA196" s="358"/>
    </row>
    <row r="197">
      <c r="A197" s="358"/>
      <c r="B197" s="358"/>
      <c r="C197" s="358"/>
      <c r="D197" s="358"/>
      <c r="E197" s="358"/>
      <c r="F197" s="358"/>
      <c r="G197" s="358"/>
      <c r="H197" s="358"/>
      <c r="I197" s="358"/>
      <c r="J197" s="358"/>
      <c r="K197" s="358"/>
      <c r="L197" s="358"/>
      <c r="M197" s="358"/>
      <c r="N197" s="358"/>
      <c r="O197" s="358"/>
      <c r="P197" s="358"/>
      <c r="Q197" s="358"/>
      <c r="R197" s="358"/>
      <c r="S197" s="358"/>
      <c r="T197" s="358"/>
      <c r="U197" s="358"/>
      <c r="V197" s="358"/>
      <c r="W197" s="358"/>
      <c r="X197" s="358"/>
      <c r="Y197" s="358"/>
      <c r="Z197" s="358"/>
      <c r="AA197" s="358"/>
    </row>
    <row r="198">
      <c r="A198" s="358"/>
      <c r="B198" s="358"/>
      <c r="C198" s="358"/>
      <c r="D198" s="358"/>
      <c r="E198" s="358"/>
      <c r="F198" s="358"/>
      <c r="G198" s="358"/>
      <c r="H198" s="358"/>
      <c r="I198" s="358"/>
      <c r="J198" s="358"/>
      <c r="K198" s="358"/>
      <c r="L198" s="358"/>
      <c r="M198" s="358"/>
      <c r="N198" s="358"/>
      <c r="O198" s="358"/>
      <c r="P198" s="358"/>
      <c r="Q198" s="358"/>
      <c r="R198" s="358"/>
      <c r="S198" s="358"/>
      <c r="T198" s="358"/>
      <c r="U198" s="358"/>
      <c r="V198" s="358"/>
      <c r="W198" s="358"/>
      <c r="X198" s="358"/>
      <c r="Y198" s="358"/>
      <c r="Z198" s="358"/>
      <c r="AA198" s="358"/>
    </row>
    <row r="199">
      <c r="A199" s="358"/>
      <c r="B199" s="358"/>
      <c r="C199" s="358"/>
      <c r="D199" s="358"/>
      <c r="E199" s="358"/>
      <c r="F199" s="358"/>
      <c r="G199" s="358"/>
      <c r="H199" s="358"/>
      <c r="I199" s="358"/>
      <c r="J199" s="358"/>
      <c r="K199" s="358"/>
      <c r="L199" s="358"/>
      <c r="M199" s="358"/>
      <c r="N199" s="358"/>
      <c r="O199" s="358"/>
      <c r="P199" s="358"/>
      <c r="Q199" s="358"/>
      <c r="R199" s="358"/>
      <c r="S199" s="358"/>
      <c r="T199" s="358"/>
      <c r="U199" s="358"/>
      <c r="V199" s="358"/>
      <c r="W199" s="358"/>
      <c r="X199" s="358"/>
      <c r="Y199" s="358"/>
      <c r="Z199" s="358"/>
      <c r="AA199" s="358"/>
    </row>
    <row r="200">
      <c r="A200" s="358"/>
      <c r="B200" s="358"/>
      <c r="C200" s="358"/>
      <c r="D200" s="358"/>
      <c r="E200" s="358"/>
      <c r="F200" s="358"/>
      <c r="G200" s="358"/>
      <c r="H200" s="358"/>
      <c r="I200" s="358"/>
      <c r="J200" s="358"/>
      <c r="K200" s="358"/>
      <c r="L200" s="358"/>
      <c r="M200" s="358"/>
      <c r="N200" s="358"/>
      <c r="O200" s="358"/>
      <c r="P200" s="358"/>
      <c r="Q200" s="358"/>
      <c r="R200" s="358"/>
      <c r="S200" s="358"/>
      <c r="T200" s="358"/>
      <c r="U200" s="358"/>
      <c r="V200" s="358"/>
      <c r="W200" s="358"/>
      <c r="X200" s="358"/>
      <c r="Y200" s="358"/>
      <c r="Z200" s="358"/>
      <c r="AA200" s="358"/>
    </row>
    <row r="201">
      <c r="A201" s="358"/>
      <c r="B201" s="358"/>
      <c r="C201" s="358"/>
      <c r="D201" s="358"/>
      <c r="E201" s="358"/>
      <c r="F201" s="358"/>
      <c r="G201" s="358"/>
      <c r="H201" s="358"/>
      <c r="I201" s="358"/>
      <c r="J201" s="358"/>
      <c r="K201" s="358"/>
      <c r="L201" s="358"/>
      <c r="M201" s="358"/>
      <c r="N201" s="358"/>
      <c r="O201" s="358"/>
      <c r="P201" s="358"/>
      <c r="Q201" s="358"/>
      <c r="R201" s="358"/>
      <c r="S201" s="358"/>
      <c r="T201" s="358"/>
      <c r="U201" s="358"/>
      <c r="V201" s="358"/>
      <c r="W201" s="358"/>
      <c r="X201" s="358"/>
      <c r="Y201" s="358"/>
      <c r="Z201" s="358"/>
      <c r="AA201" s="358"/>
    </row>
    <row r="202">
      <c r="A202" s="358"/>
      <c r="B202" s="358"/>
      <c r="C202" s="358"/>
      <c r="D202" s="358"/>
      <c r="E202" s="358"/>
      <c r="F202" s="358"/>
      <c r="G202" s="358"/>
      <c r="H202" s="358"/>
      <c r="I202" s="358"/>
      <c r="J202" s="358"/>
      <c r="K202" s="358"/>
      <c r="L202" s="358"/>
      <c r="M202" s="358"/>
      <c r="N202" s="358"/>
      <c r="O202" s="358"/>
      <c r="P202" s="358"/>
      <c r="Q202" s="358"/>
      <c r="R202" s="358"/>
      <c r="S202" s="358"/>
      <c r="T202" s="358"/>
      <c r="U202" s="358"/>
      <c r="V202" s="358"/>
      <c r="W202" s="358"/>
      <c r="X202" s="358"/>
      <c r="Y202" s="358"/>
      <c r="Z202" s="358"/>
      <c r="AA202" s="358"/>
    </row>
    <row r="203">
      <c r="A203" s="358"/>
      <c r="B203" s="358"/>
      <c r="C203" s="358"/>
      <c r="D203" s="358"/>
      <c r="E203" s="358"/>
      <c r="F203" s="358"/>
      <c r="G203" s="358"/>
      <c r="H203" s="358"/>
      <c r="I203" s="358"/>
      <c r="J203" s="358"/>
      <c r="K203" s="358"/>
      <c r="L203" s="358"/>
      <c r="M203" s="358"/>
      <c r="N203" s="358"/>
      <c r="O203" s="358"/>
      <c r="P203" s="358"/>
      <c r="Q203" s="358"/>
      <c r="R203" s="358"/>
      <c r="S203" s="358"/>
      <c r="T203" s="358"/>
      <c r="U203" s="358"/>
      <c r="V203" s="358"/>
      <c r="W203" s="358"/>
      <c r="X203" s="358"/>
      <c r="Y203" s="358"/>
      <c r="Z203" s="358"/>
      <c r="AA203" s="358"/>
    </row>
    <row r="204">
      <c r="A204" s="358"/>
      <c r="B204" s="358"/>
      <c r="C204" s="358"/>
      <c r="D204" s="358"/>
      <c r="E204" s="358"/>
      <c r="F204" s="358"/>
      <c r="G204" s="358"/>
      <c r="H204" s="358"/>
      <c r="I204" s="358"/>
      <c r="J204" s="358"/>
      <c r="K204" s="358"/>
      <c r="L204" s="358"/>
      <c r="M204" s="358"/>
      <c r="N204" s="358"/>
      <c r="O204" s="358"/>
      <c r="P204" s="358"/>
      <c r="Q204" s="358"/>
      <c r="R204" s="358"/>
      <c r="S204" s="358"/>
      <c r="T204" s="358"/>
      <c r="U204" s="358"/>
      <c r="V204" s="358"/>
      <c r="W204" s="358"/>
      <c r="X204" s="358"/>
      <c r="Y204" s="358"/>
      <c r="Z204" s="358"/>
      <c r="AA204" s="358"/>
    </row>
    <row r="205">
      <c r="A205" s="358"/>
      <c r="B205" s="358"/>
      <c r="C205" s="358"/>
      <c r="D205" s="358"/>
      <c r="E205" s="358"/>
      <c r="F205" s="358"/>
      <c r="G205" s="358"/>
      <c r="H205" s="358"/>
      <c r="I205" s="358"/>
      <c r="J205" s="358"/>
      <c r="K205" s="358"/>
      <c r="L205" s="358"/>
      <c r="M205" s="358"/>
      <c r="N205" s="358"/>
      <c r="O205" s="358"/>
      <c r="P205" s="358"/>
      <c r="Q205" s="358"/>
      <c r="R205" s="358"/>
      <c r="S205" s="358"/>
      <c r="T205" s="358"/>
      <c r="U205" s="358"/>
      <c r="V205" s="358"/>
      <c r="W205" s="358"/>
      <c r="X205" s="358"/>
      <c r="Y205" s="358"/>
      <c r="Z205" s="358"/>
      <c r="AA205" s="358"/>
    </row>
    <row r="206">
      <c r="A206" s="358"/>
      <c r="B206" s="358"/>
      <c r="C206" s="358"/>
      <c r="D206" s="358"/>
      <c r="E206" s="358"/>
      <c r="F206" s="358"/>
      <c r="G206" s="358"/>
      <c r="H206" s="358"/>
      <c r="I206" s="358"/>
      <c r="J206" s="358"/>
      <c r="K206" s="358"/>
      <c r="L206" s="358"/>
      <c r="M206" s="358"/>
      <c r="N206" s="358"/>
      <c r="O206" s="358"/>
      <c r="P206" s="358"/>
      <c r="Q206" s="358"/>
      <c r="R206" s="358"/>
      <c r="S206" s="358"/>
      <c r="T206" s="358"/>
      <c r="U206" s="358"/>
      <c r="V206" s="358"/>
      <c r="W206" s="358"/>
      <c r="X206" s="358"/>
      <c r="Y206" s="358"/>
      <c r="Z206" s="358"/>
      <c r="AA206" s="358"/>
    </row>
    <row r="207">
      <c r="A207" s="358"/>
      <c r="B207" s="358"/>
      <c r="C207" s="358"/>
      <c r="D207" s="358"/>
      <c r="E207" s="358"/>
      <c r="F207" s="358"/>
      <c r="G207" s="358"/>
      <c r="H207" s="358"/>
      <c r="I207" s="358"/>
      <c r="J207" s="358"/>
      <c r="K207" s="358"/>
      <c r="L207" s="358"/>
      <c r="M207" s="358"/>
      <c r="N207" s="358"/>
      <c r="O207" s="358"/>
      <c r="P207" s="358"/>
      <c r="Q207" s="358"/>
      <c r="R207" s="358"/>
      <c r="S207" s="358"/>
      <c r="T207" s="358"/>
      <c r="U207" s="358"/>
      <c r="V207" s="358"/>
      <c r="W207" s="358"/>
      <c r="X207" s="358"/>
      <c r="Y207" s="358"/>
      <c r="Z207" s="358"/>
      <c r="AA207" s="358"/>
    </row>
    <row r="208">
      <c r="A208" s="358"/>
      <c r="B208" s="358"/>
      <c r="C208" s="358"/>
      <c r="D208" s="358"/>
      <c r="E208" s="358"/>
      <c r="F208" s="358"/>
      <c r="G208" s="358"/>
      <c r="H208" s="358"/>
      <c r="I208" s="358"/>
      <c r="J208" s="358"/>
      <c r="K208" s="358"/>
      <c r="L208" s="358"/>
      <c r="M208" s="358"/>
      <c r="N208" s="358"/>
      <c r="O208" s="358"/>
      <c r="P208" s="358"/>
      <c r="Q208" s="358"/>
      <c r="R208" s="358"/>
      <c r="S208" s="358"/>
      <c r="T208" s="358"/>
      <c r="U208" s="358"/>
      <c r="V208" s="358"/>
      <c r="W208" s="358"/>
      <c r="X208" s="358"/>
      <c r="Y208" s="358"/>
      <c r="Z208" s="358"/>
      <c r="AA208" s="358"/>
    </row>
    <row r="209">
      <c r="A209" s="358"/>
      <c r="B209" s="358"/>
      <c r="C209" s="358"/>
      <c r="D209" s="358"/>
      <c r="E209" s="358"/>
      <c r="F209" s="358"/>
      <c r="G209" s="358"/>
      <c r="H209" s="358"/>
      <c r="I209" s="358"/>
      <c r="J209" s="358"/>
      <c r="K209" s="358"/>
      <c r="L209" s="358"/>
      <c r="M209" s="358"/>
      <c r="N209" s="358"/>
      <c r="O209" s="358"/>
      <c r="P209" s="358"/>
      <c r="Q209" s="358"/>
      <c r="R209" s="358"/>
      <c r="S209" s="358"/>
      <c r="T209" s="358"/>
      <c r="U209" s="358"/>
      <c r="V209" s="358"/>
      <c r="W209" s="358"/>
      <c r="X209" s="358"/>
      <c r="Y209" s="358"/>
      <c r="Z209" s="358"/>
      <c r="AA209" s="358"/>
    </row>
    <row r="210">
      <c r="A210" s="358"/>
      <c r="B210" s="358"/>
      <c r="C210" s="358"/>
      <c r="D210" s="358"/>
      <c r="E210" s="358"/>
      <c r="F210" s="358"/>
      <c r="G210" s="358"/>
      <c r="H210" s="358"/>
      <c r="I210" s="358"/>
      <c r="J210" s="358"/>
      <c r="K210" s="358"/>
      <c r="L210" s="358"/>
      <c r="M210" s="358"/>
      <c r="N210" s="358"/>
      <c r="O210" s="358"/>
      <c r="P210" s="358"/>
      <c r="Q210" s="358"/>
      <c r="R210" s="358"/>
      <c r="S210" s="358"/>
      <c r="T210" s="358"/>
      <c r="U210" s="358"/>
      <c r="V210" s="358"/>
      <c r="W210" s="358"/>
      <c r="X210" s="358"/>
      <c r="Y210" s="358"/>
      <c r="Z210" s="358"/>
      <c r="AA210" s="358"/>
    </row>
    <row r="211">
      <c r="A211" s="358"/>
      <c r="B211" s="358"/>
      <c r="C211" s="358"/>
      <c r="D211" s="358"/>
      <c r="E211" s="358"/>
      <c r="F211" s="358"/>
      <c r="G211" s="358"/>
      <c r="H211" s="358"/>
      <c r="I211" s="358"/>
      <c r="J211" s="358"/>
      <c r="K211" s="358"/>
      <c r="L211" s="358"/>
      <c r="M211" s="358"/>
      <c r="N211" s="358"/>
      <c r="O211" s="358"/>
      <c r="P211" s="358"/>
      <c r="Q211" s="358"/>
      <c r="R211" s="358"/>
      <c r="S211" s="358"/>
      <c r="T211" s="358"/>
      <c r="U211" s="358"/>
      <c r="V211" s="358"/>
      <c r="W211" s="358"/>
      <c r="X211" s="358"/>
      <c r="Y211" s="358"/>
      <c r="Z211" s="358"/>
      <c r="AA211" s="358"/>
    </row>
    <row r="212">
      <c r="A212" s="358"/>
      <c r="B212" s="358"/>
      <c r="C212" s="358"/>
      <c r="D212" s="358"/>
      <c r="E212" s="358"/>
      <c r="F212" s="358"/>
      <c r="G212" s="358"/>
      <c r="H212" s="358"/>
      <c r="I212" s="358"/>
      <c r="J212" s="358"/>
      <c r="K212" s="358"/>
      <c r="L212" s="358"/>
      <c r="M212" s="358"/>
      <c r="N212" s="358"/>
      <c r="O212" s="358"/>
      <c r="P212" s="358"/>
      <c r="Q212" s="358"/>
      <c r="R212" s="358"/>
      <c r="S212" s="358"/>
      <c r="T212" s="358"/>
      <c r="U212" s="358"/>
      <c r="V212" s="358"/>
      <c r="W212" s="358"/>
      <c r="X212" s="358"/>
      <c r="Y212" s="358"/>
      <c r="Z212" s="358"/>
      <c r="AA212" s="358"/>
    </row>
    <row r="213">
      <c r="A213" s="358"/>
      <c r="B213" s="358"/>
      <c r="C213" s="358"/>
      <c r="D213" s="358"/>
      <c r="E213" s="358"/>
      <c r="F213" s="358"/>
      <c r="G213" s="358"/>
      <c r="H213" s="358"/>
      <c r="I213" s="358"/>
      <c r="J213" s="358"/>
      <c r="K213" s="358"/>
      <c r="L213" s="358"/>
      <c r="M213" s="358"/>
      <c r="N213" s="358"/>
      <c r="O213" s="358"/>
      <c r="P213" s="358"/>
      <c r="Q213" s="358"/>
      <c r="R213" s="358"/>
      <c r="S213" s="358"/>
      <c r="T213" s="358"/>
      <c r="U213" s="358"/>
      <c r="V213" s="358"/>
      <c r="W213" s="358"/>
      <c r="X213" s="358"/>
      <c r="Y213" s="358"/>
      <c r="Z213" s="358"/>
      <c r="AA213" s="358"/>
    </row>
    <row r="214">
      <c r="A214" s="358"/>
      <c r="B214" s="358"/>
      <c r="C214" s="358"/>
      <c r="D214" s="358"/>
      <c r="E214" s="358"/>
      <c r="F214" s="358"/>
      <c r="G214" s="358"/>
      <c r="H214" s="358"/>
      <c r="I214" s="358"/>
      <c r="J214" s="358"/>
      <c r="K214" s="358"/>
      <c r="L214" s="358"/>
      <c r="M214" s="358"/>
      <c r="N214" s="358"/>
      <c r="O214" s="358"/>
      <c r="P214" s="358"/>
      <c r="Q214" s="358"/>
      <c r="R214" s="358"/>
      <c r="S214" s="358"/>
      <c r="T214" s="358"/>
      <c r="U214" s="358"/>
      <c r="V214" s="358"/>
      <c r="W214" s="358"/>
      <c r="X214" s="358"/>
      <c r="Y214" s="358"/>
      <c r="Z214" s="358"/>
      <c r="AA214" s="358"/>
    </row>
    <row r="215">
      <c r="A215" s="358"/>
      <c r="B215" s="358"/>
      <c r="C215" s="358"/>
      <c r="D215" s="358"/>
      <c r="E215" s="358"/>
      <c r="F215" s="358"/>
      <c r="G215" s="358"/>
      <c r="H215" s="358"/>
      <c r="I215" s="358"/>
      <c r="J215" s="358"/>
      <c r="K215" s="358"/>
      <c r="L215" s="358"/>
      <c r="M215" s="358"/>
      <c r="N215" s="358"/>
      <c r="O215" s="358"/>
      <c r="P215" s="358"/>
      <c r="Q215" s="358"/>
      <c r="R215" s="358"/>
      <c r="S215" s="358"/>
      <c r="T215" s="358"/>
      <c r="U215" s="358"/>
      <c r="V215" s="358"/>
      <c r="W215" s="358"/>
      <c r="X215" s="358"/>
      <c r="Y215" s="358"/>
      <c r="Z215" s="358"/>
      <c r="AA215" s="358"/>
    </row>
    <row r="216">
      <c r="A216" s="358"/>
      <c r="B216" s="358"/>
      <c r="C216" s="358"/>
      <c r="D216" s="358"/>
      <c r="E216" s="358"/>
      <c r="F216" s="358"/>
      <c r="G216" s="358"/>
      <c r="H216" s="358"/>
      <c r="I216" s="358"/>
      <c r="J216" s="358"/>
      <c r="K216" s="358"/>
      <c r="L216" s="358"/>
      <c r="M216" s="358"/>
      <c r="N216" s="358"/>
      <c r="O216" s="358"/>
      <c r="P216" s="358"/>
      <c r="Q216" s="358"/>
      <c r="R216" s="358"/>
      <c r="S216" s="358"/>
      <c r="T216" s="358"/>
      <c r="U216" s="358"/>
      <c r="V216" s="358"/>
      <c r="W216" s="358"/>
      <c r="X216" s="358"/>
      <c r="Y216" s="358"/>
      <c r="Z216" s="358"/>
      <c r="AA216" s="358"/>
    </row>
    <row r="217">
      <c r="A217" s="358"/>
      <c r="B217" s="358"/>
      <c r="C217" s="358"/>
      <c r="D217" s="358"/>
      <c r="E217" s="358"/>
      <c r="F217" s="358"/>
      <c r="G217" s="358"/>
      <c r="H217" s="358"/>
      <c r="I217" s="358"/>
      <c r="J217" s="358"/>
      <c r="K217" s="358"/>
      <c r="L217" s="358"/>
      <c r="M217" s="358"/>
      <c r="N217" s="358"/>
      <c r="O217" s="358"/>
      <c r="P217" s="358"/>
      <c r="Q217" s="358"/>
      <c r="R217" s="358"/>
      <c r="S217" s="358"/>
      <c r="T217" s="358"/>
      <c r="U217" s="358"/>
      <c r="V217" s="358"/>
      <c r="W217" s="358"/>
      <c r="X217" s="358"/>
      <c r="Y217" s="358"/>
      <c r="Z217" s="358"/>
      <c r="AA217" s="358"/>
    </row>
    <row r="218">
      <c r="A218" s="358"/>
      <c r="B218" s="358"/>
      <c r="C218" s="358"/>
      <c r="D218" s="358"/>
      <c r="E218" s="358"/>
      <c r="F218" s="358"/>
      <c r="G218" s="358"/>
      <c r="H218" s="358"/>
      <c r="I218" s="358"/>
      <c r="J218" s="358"/>
      <c r="K218" s="358"/>
      <c r="L218" s="358"/>
      <c r="M218" s="358"/>
      <c r="N218" s="358"/>
      <c r="O218" s="358"/>
      <c r="P218" s="358"/>
      <c r="Q218" s="358"/>
      <c r="R218" s="358"/>
      <c r="S218" s="358"/>
      <c r="T218" s="358"/>
      <c r="U218" s="358"/>
      <c r="V218" s="358"/>
      <c r="W218" s="358"/>
      <c r="X218" s="358"/>
      <c r="Y218" s="358"/>
      <c r="Z218" s="358"/>
      <c r="AA218" s="358"/>
    </row>
    <row r="219">
      <c r="A219" s="358"/>
      <c r="B219" s="358"/>
      <c r="C219" s="358"/>
      <c r="D219" s="358"/>
      <c r="E219" s="358"/>
      <c r="F219" s="358"/>
      <c r="G219" s="358"/>
      <c r="H219" s="358"/>
      <c r="I219" s="358"/>
      <c r="J219" s="358"/>
      <c r="K219" s="358"/>
      <c r="L219" s="358"/>
      <c r="M219" s="358"/>
      <c r="N219" s="358"/>
      <c r="O219" s="358"/>
      <c r="P219" s="358"/>
      <c r="Q219" s="358"/>
      <c r="R219" s="358"/>
      <c r="S219" s="358"/>
      <c r="T219" s="358"/>
      <c r="U219" s="358"/>
      <c r="V219" s="358"/>
      <c r="W219" s="358"/>
      <c r="X219" s="358"/>
      <c r="Y219" s="358"/>
      <c r="Z219" s="358"/>
      <c r="AA219" s="358"/>
    </row>
    <row r="220">
      <c r="A220" s="358"/>
      <c r="B220" s="358"/>
      <c r="C220" s="358"/>
      <c r="D220" s="358"/>
      <c r="E220" s="358"/>
      <c r="F220" s="358"/>
      <c r="G220" s="358"/>
      <c r="H220" s="358"/>
      <c r="I220" s="358"/>
      <c r="J220" s="358"/>
      <c r="K220" s="358"/>
      <c r="L220" s="358"/>
      <c r="M220" s="358"/>
      <c r="N220" s="358"/>
      <c r="O220" s="358"/>
      <c r="P220" s="358"/>
      <c r="Q220" s="358"/>
      <c r="R220" s="358"/>
      <c r="S220" s="358"/>
      <c r="T220" s="358"/>
      <c r="U220" s="358"/>
      <c r="V220" s="358"/>
      <c r="W220" s="358"/>
      <c r="X220" s="358"/>
      <c r="Y220" s="358"/>
      <c r="Z220" s="358"/>
      <c r="AA220" s="358"/>
    </row>
    <row r="221">
      <c r="A221" s="358"/>
      <c r="B221" s="358"/>
      <c r="C221" s="358"/>
      <c r="D221" s="358"/>
      <c r="E221" s="358"/>
      <c r="F221" s="358"/>
      <c r="G221" s="358"/>
      <c r="H221" s="358"/>
      <c r="I221" s="358"/>
      <c r="J221" s="358"/>
      <c r="K221" s="358"/>
      <c r="L221" s="358"/>
      <c r="M221" s="358"/>
      <c r="N221" s="358"/>
      <c r="O221" s="358"/>
      <c r="P221" s="358"/>
      <c r="Q221" s="358"/>
      <c r="R221" s="358"/>
      <c r="S221" s="358"/>
      <c r="T221" s="358"/>
      <c r="U221" s="358"/>
      <c r="V221" s="358"/>
      <c r="W221" s="358"/>
      <c r="X221" s="358"/>
      <c r="Y221" s="358"/>
      <c r="Z221" s="358"/>
      <c r="AA221" s="358"/>
    </row>
    <row r="222">
      <c r="A222" s="358"/>
      <c r="B222" s="358"/>
      <c r="C222" s="358"/>
      <c r="D222" s="358"/>
      <c r="E222" s="358"/>
      <c r="F222" s="358"/>
      <c r="G222" s="358"/>
      <c r="H222" s="358"/>
      <c r="I222" s="358"/>
      <c r="J222" s="358"/>
      <c r="K222" s="358"/>
      <c r="L222" s="358"/>
      <c r="M222" s="358"/>
      <c r="N222" s="358"/>
      <c r="O222" s="358"/>
      <c r="P222" s="358"/>
      <c r="Q222" s="358"/>
      <c r="R222" s="358"/>
      <c r="S222" s="358"/>
      <c r="T222" s="358"/>
      <c r="U222" s="358"/>
      <c r="V222" s="358"/>
      <c r="W222" s="358"/>
      <c r="X222" s="358"/>
      <c r="Y222" s="358"/>
      <c r="Z222" s="358"/>
      <c r="AA222" s="358"/>
    </row>
    <row r="223">
      <c r="A223" s="358"/>
      <c r="B223" s="358"/>
      <c r="C223" s="358"/>
      <c r="D223" s="358"/>
      <c r="E223" s="358"/>
      <c r="F223" s="358"/>
      <c r="G223" s="358"/>
      <c r="H223" s="358"/>
      <c r="I223" s="358"/>
      <c r="J223" s="358"/>
      <c r="K223" s="358"/>
      <c r="L223" s="358"/>
      <c r="M223" s="358"/>
      <c r="N223" s="358"/>
      <c r="O223" s="358"/>
      <c r="P223" s="358"/>
      <c r="Q223" s="358"/>
      <c r="R223" s="358"/>
      <c r="S223" s="358"/>
      <c r="T223" s="358"/>
      <c r="U223" s="358"/>
      <c r="V223" s="358"/>
      <c r="W223" s="358"/>
      <c r="X223" s="358"/>
      <c r="Y223" s="358"/>
      <c r="Z223" s="358"/>
      <c r="AA223" s="358"/>
    </row>
    <row r="224">
      <c r="A224" s="358"/>
      <c r="B224" s="358"/>
      <c r="C224" s="358"/>
      <c r="D224" s="358"/>
      <c r="E224" s="358"/>
      <c r="F224" s="358"/>
      <c r="G224" s="358"/>
      <c r="H224" s="358"/>
      <c r="I224" s="358"/>
      <c r="J224" s="358"/>
      <c r="K224" s="358"/>
      <c r="L224" s="358"/>
      <c r="M224" s="358"/>
      <c r="N224" s="358"/>
      <c r="O224" s="358"/>
      <c r="P224" s="358"/>
      <c r="Q224" s="358"/>
      <c r="R224" s="358"/>
      <c r="S224" s="358"/>
      <c r="T224" s="358"/>
      <c r="U224" s="358"/>
      <c r="V224" s="358"/>
      <c r="W224" s="358"/>
      <c r="X224" s="358"/>
      <c r="Y224" s="358"/>
      <c r="Z224" s="358"/>
      <c r="AA224" s="358"/>
    </row>
    <row r="225">
      <c r="A225" s="358"/>
      <c r="B225" s="358"/>
      <c r="C225" s="358"/>
      <c r="D225" s="358"/>
      <c r="E225" s="358"/>
      <c r="F225" s="358"/>
      <c r="G225" s="358"/>
      <c r="H225" s="358"/>
      <c r="I225" s="358"/>
      <c r="J225" s="358"/>
      <c r="K225" s="358"/>
      <c r="L225" s="358"/>
      <c r="M225" s="358"/>
      <c r="N225" s="358"/>
      <c r="O225" s="358"/>
      <c r="P225" s="358"/>
      <c r="Q225" s="358"/>
      <c r="R225" s="358"/>
      <c r="S225" s="358"/>
      <c r="T225" s="358"/>
      <c r="U225" s="358"/>
      <c r="V225" s="358"/>
      <c r="W225" s="358"/>
      <c r="X225" s="358"/>
      <c r="Y225" s="358"/>
      <c r="Z225" s="358"/>
      <c r="AA225" s="358"/>
    </row>
    <row r="226">
      <c r="A226" s="358"/>
      <c r="B226" s="358"/>
      <c r="C226" s="358"/>
      <c r="D226" s="358"/>
      <c r="E226" s="358"/>
      <c r="F226" s="358"/>
      <c r="G226" s="358"/>
      <c r="H226" s="358"/>
      <c r="I226" s="358"/>
      <c r="J226" s="358"/>
      <c r="K226" s="358"/>
      <c r="L226" s="358"/>
      <c r="M226" s="358"/>
      <c r="N226" s="358"/>
      <c r="O226" s="358"/>
      <c r="P226" s="358"/>
      <c r="Q226" s="358"/>
      <c r="R226" s="358"/>
      <c r="S226" s="358"/>
      <c r="T226" s="358"/>
      <c r="U226" s="358"/>
      <c r="V226" s="358"/>
      <c r="W226" s="358"/>
      <c r="X226" s="358"/>
      <c r="Y226" s="358"/>
      <c r="Z226" s="358"/>
      <c r="AA226" s="358"/>
    </row>
    <row r="227">
      <c r="A227" s="358"/>
      <c r="B227" s="358"/>
      <c r="C227" s="358"/>
      <c r="D227" s="358"/>
      <c r="E227" s="358"/>
      <c r="F227" s="358"/>
      <c r="G227" s="358"/>
      <c r="H227" s="358"/>
      <c r="I227" s="358"/>
      <c r="J227" s="358"/>
      <c r="K227" s="358"/>
      <c r="L227" s="358"/>
      <c r="M227" s="358"/>
      <c r="N227" s="358"/>
      <c r="O227" s="358"/>
      <c r="P227" s="358"/>
      <c r="Q227" s="358"/>
      <c r="R227" s="358"/>
      <c r="S227" s="358"/>
      <c r="T227" s="358"/>
      <c r="U227" s="358"/>
      <c r="V227" s="358"/>
      <c r="W227" s="358"/>
      <c r="X227" s="358"/>
      <c r="Y227" s="358"/>
      <c r="Z227" s="358"/>
      <c r="AA227" s="358"/>
    </row>
    <row r="228">
      <c r="A228" s="358"/>
      <c r="B228" s="358"/>
      <c r="C228" s="358"/>
      <c r="D228" s="358"/>
      <c r="E228" s="358"/>
      <c r="F228" s="358"/>
      <c r="G228" s="358"/>
      <c r="H228" s="358"/>
      <c r="I228" s="358"/>
      <c r="J228" s="358"/>
      <c r="K228" s="358"/>
      <c r="L228" s="358"/>
      <c r="M228" s="358"/>
      <c r="N228" s="358"/>
      <c r="O228" s="358"/>
      <c r="P228" s="358"/>
      <c r="Q228" s="358"/>
      <c r="R228" s="358"/>
      <c r="S228" s="358"/>
      <c r="T228" s="358"/>
      <c r="U228" s="358"/>
      <c r="V228" s="358"/>
      <c r="W228" s="358"/>
      <c r="X228" s="358"/>
      <c r="Y228" s="358"/>
      <c r="Z228" s="358"/>
      <c r="AA228" s="358"/>
    </row>
    <row r="229">
      <c r="A229" s="358"/>
      <c r="B229" s="358"/>
      <c r="C229" s="358"/>
      <c r="D229" s="358"/>
      <c r="E229" s="358"/>
      <c r="F229" s="358"/>
      <c r="G229" s="358"/>
      <c r="H229" s="358"/>
      <c r="I229" s="358"/>
      <c r="J229" s="358"/>
      <c r="K229" s="358"/>
      <c r="L229" s="358"/>
      <c r="M229" s="358"/>
      <c r="N229" s="358"/>
      <c r="O229" s="358"/>
      <c r="P229" s="358"/>
      <c r="Q229" s="358"/>
      <c r="R229" s="358"/>
      <c r="S229" s="358"/>
      <c r="T229" s="358"/>
      <c r="U229" s="358"/>
      <c r="V229" s="358"/>
      <c r="W229" s="358"/>
      <c r="X229" s="358"/>
      <c r="Y229" s="358"/>
      <c r="Z229" s="358"/>
      <c r="AA229" s="358"/>
    </row>
    <row r="230">
      <c r="A230" s="358"/>
      <c r="B230" s="358"/>
      <c r="C230" s="358"/>
      <c r="D230" s="358"/>
      <c r="E230" s="358"/>
      <c r="F230" s="358"/>
      <c r="G230" s="358"/>
      <c r="H230" s="358"/>
      <c r="I230" s="358"/>
      <c r="J230" s="358"/>
      <c r="K230" s="358"/>
      <c r="L230" s="358"/>
      <c r="M230" s="358"/>
      <c r="N230" s="358"/>
      <c r="O230" s="358"/>
      <c r="P230" s="358"/>
      <c r="Q230" s="358"/>
      <c r="R230" s="358"/>
      <c r="S230" s="358"/>
      <c r="T230" s="358"/>
      <c r="U230" s="358"/>
      <c r="V230" s="358"/>
      <c r="W230" s="358"/>
      <c r="X230" s="358"/>
      <c r="Y230" s="358"/>
      <c r="Z230" s="358"/>
      <c r="AA230" s="358"/>
    </row>
    <row r="231">
      <c r="A231" s="358"/>
      <c r="B231" s="358"/>
      <c r="C231" s="358"/>
      <c r="D231" s="358"/>
      <c r="E231" s="358"/>
      <c r="F231" s="358"/>
      <c r="G231" s="358"/>
      <c r="H231" s="358"/>
      <c r="I231" s="358"/>
      <c r="J231" s="358"/>
      <c r="K231" s="358"/>
      <c r="L231" s="358"/>
      <c r="M231" s="358"/>
      <c r="N231" s="358"/>
      <c r="O231" s="358"/>
      <c r="P231" s="358"/>
      <c r="Q231" s="358"/>
      <c r="R231" s="358"/>
      <c r="S231" s="358"/>
      <c r="T231" s="358"/>
      <c r="U231" s="358"/>
      <c r="V231" s="358"/>
      <c r="W231" s="358"/>
      <c r="X231" s="358"/>
      <c r="Y231" s="358"/>
      <c r="Z231" s="358"/>
      <c r="AA231" s="358"/>
    </row>
    <row r="232">
      <c r="A232" s="358"/>
      <c r="B232" s="358"/>
      <c r="C232" s="358"/>
      <c r="D232" s="358"/>
      <c r="E232" s="358"/>
      <c r="F232" s="358"/>
      <c r="G232" s="358"/>
      <c r="H232" s="358"/>
      <c r="I232" s="358"/>
      <c r="J232" s="358"/>
      <c r="K232" s="358"/>
      <c r="L232" s="358"/>
      <c r="M232" s="358"/>
      <c r="N232" s="358"/>
      <c r="O232" s="358"/>
      <c r="P232" s="358"/>
      <c r="Q232" s="358"/>
      <c r="R232" s="358"/>
      <c r="S232" s="358"/>
      <c r="T232" s="358"/>
      <c r="U232" s="358"/>
      <c r="V232" s="358"/>
      <c r="W232" s="358"/>
      <c r="X232" s="358"/>
      <c r="Y232" s="358"/>
      <c r="Z232" s="358"/>
      <c r="AA232" s="358"/>
    </row>
    <row r="233">
      <c r="A233" s="358"/>
      <c r="B233" s="358"/>
      <c r="C233" s="358"/>
      <c r="D233" s="358"/>
      <c r="E233" s="358"/>
      <c r="F233" s="358"/>
      <c r="G233" s="358"/>
      <c r="H233" s="358"/>
      <c r="I233" s="358"/>
      <c r="J233" s="358"/>
      <c r="K233" s="358"/>
      <c r="L233" s="358"/>
      <c r="M233" s="358"/>
      <c r="N233" s="358"/>
      <c r="O233" s="358"/>
      <c r="P233" s="358"/>
      <c r="Q233" s="358"/>
      <c r="R233" s="358"/>
      <c r="S233" s="358"/>
      <c r="T233" s="358"/>
      <c r="U233" s="358"/>
      <c r="V233" s="358"/>
      <c r="W233" s="358"/>
      <c r="X233" s="358"/>
      <c r="Y233" s="358"/>
      <c r="Z233" s="358"/>
      <c r="AA233" s="358"/>
    </row>
    <row r="234">
      <c r="A234" s="358"/>
      <c r="B234" s="358"/>
      <c r="C234" s="358"/>
      <c r="D234" s="358"/>
      <c r="E234" s="358"/>
      <c r="F234" s="358"/>
      <c r="G234" s="358"/>
      <c r="H234" s="358"/>
      <c r="I234" s="358"/>
      <c r="J234" s="358"/>
      <c r="K234" s="358"/>
      <c r="L234" s="358"/>
      <c r="M234" s="358"/>
      <c r="N234" s="358"/>
      <c r="O234" s="358"/>
      <c r="P234" s="358"/>
      <c r="Q234" s="358"/>
      <c r="R234" s="358"/>
      <c r="S234" s="358"/>
      <c r="T234" s="358"/>
      <c r="U234" s="358"/>
      <c r="V234" s="358"/>
      <c r="W234" s="358"/>
      <c r="X234" s="358"/>
      <c r="Y234" s="358"/>
      <c r="Z234" s="358"/>
      <c r="AA234" s="358"/>
    </row>
    <row r="235">
      <c r="A235" s="358"/>
      <c r="B235" s="358"/>
      <c r="C235" s="358"/>
      <c r="D235" s="358"/>
      <c r="E235" s="358"/>
      <c r="F235" s="358"/>
      <c r="G235" s="358"/>
      <c r="H235" s="358"/>
      <c r="I235" s="358"/>
      <c r="J235" s="358"/>
      <c r="K235" s="358"/>
      <c r="L235" s="358"/>
      <c r="M235" s="358"/>
      <c r="N235" s="358"/>
      <c r="O235" s="358"/>
      <c r="P235" s="358"/>
      <c r="Q235" s="358"/>
      <c r="R235" s="358"/>
      <c r="S235" s="358"/>
      <c r="T235" s="358"/>
      <c r="U235" s="358"/>
      <c r="V235" s="358"/>
      <c r="W235" s="358"/>
      <c r="X235" s="358"/>
      <c r="Y235" s="358"/>
      <c r="Z235" s="358"/>
      <c r="AA235" s="358"/>
    </row>
    <row r="236">
      <c r="A236" s="358"/>
      <c r="B236" s="358"/>
      <c r="C236" s="358"/>
      <c r="D236" s="358"/>
      <c r="E236" s="358"/>
      <c r="F236" s="358"/>
      <c r="G236" s="358"/>
      <c r="H236" s="358"/>
      <c r="I236" s="358"/>
      <c r="J236" s="358"/>
      <c r="K236" s="358"/>
      <c r="L236" s="358"/>
      <c r="M236" s="358"/>
      <c r="N236" s="358"/>
      <c r="O236" s="358"/>
      <c r="P236" s="358"/>
      <c r="Q236" s="358"/>
      <c r="R236" s="358"/>
      <c r="S236" s="358"/>
      <c r="T236" s="358"/>
      <c r="U236" s="358"/>
      <c r="V236" s="358"/>
      <c r="W236" s="358"/>
      <c r="X236" s="358"/>
      <c r="Y236" s="358"/>
      <c r="Z236" s="358"/>
      <c r="AA236" s="358"/>
    </row>
    <row r="237">
      <c r="A237" s="358"/>
      <c r="B237" s="358"/>
      <c r="C237" s="358"/>
      <c r="D237" s="358"/>
      <c r="E237" s="358"/>
      <c r="F237" s="358"/>
      <c r="G237" s="358"/>
      <c r="H237" s="358"/>
      <c r="I237" s="358"/>
      <c r="J237" s="358"/>
      <c r="K237" s="358"/>
      <c r="L237" s="358"/>
      <c r="M237" s="358"/>
      <c r="N237" s="358"/>
      <c r="O237" s="358"/>
      <c r="P237" s="358"/>
      <c r="Q237" s="358"/>
      <c r="R237" s="358"/>
      <c r="S237" s="358"/>
      <c r="T237" s="358"/>
      <c r="U237" s="358"/>
      <c r="V237" s="358"/>
      <c r="W237" s="358"/>
      <c r="X237" s="358"/>
      <c r="Y237" s="358"/>
      <c r="Z237" s="358"/>
      <c r="AA237" s="358"/>
    </row>
    <row r="238">
      <c r="A238" s="358"/>
      <c r="B238" s="358"/>
      <c r="C238" s="358"/>
      <c r="D238" s="358"/>
      <c r="E238" s="358"/>
      <c r="F238" s="358"/>
      <c r="G238" s="358"/>
      <c r="H238" s="358"/>
      <c r="I238" s="358"/>
      <c r="J238" s="358"/>
      <c r="K238" s="358"/>
      <c r="L238" s="358"/>
      <c r="M238" s="358"/>
      <c r="N238" s="358"/>
      <c r="O238" s="358"/>
      <c r="P238" s="358"/>
      <c r="Q238" s="358"/>
      <c r="R238" s="358"/>
      <c r="S238" s="358"/>
      <c r="T238" s="358"/>
      <c r="U238" s="358"/>
      <c r="V238" s="358"/>
      <c r="W238" s="358"/>
      <c r="X238" s="358"/>
      <c r="Y238" s="358"/>
      <c r="Z238" s="358"/>
      <c r="AA238" s="358"/>
    </row>
    <row r="239">
      <c r="A239" s="358"/>
      <c r="B239" s="358"/>
      <c r="C239" s="358"/>
      <c r="D239" s="358"/>
      <c r="E239" s="358"/>
      <c r="F239" s="358"/>
      <c r="G239" s="358"/>
      <c r="H239" s="358"/>
      <c r="I239" s="358"/>
      <c r="J239" s="358"/>
      <c r="K239" s="358"/>
      <c r="L239" s="358"/>
      <c r="M239" s="358"/>
      <c r="N239" s="358"/>
      <c r="O239" s="358"/>
      <c r="P239" s="358"/>
      <c r="Q239" s="358"/>
      <c r="R239" s="358"/>
      <c r="S239" s="358"/>
      <c r="T239" s="358"/>
      <c r="U239" s="358"/>
      <c r="V239" s="358"/>
      <c r="W239" s="358"/>
      <c r="X239" s="358"/>
      <c r="Y239" s="358"/>
      <c r="Z239" s="358"/>
      <c r="AA239" s="358"/>
    </row>
    <row r="240">
      <c r="A240" s="358"/>
      <c r="B240" s="358"/>
      <c r="C240" s="358"/>
      <c r="D240" s="358"/>
      <c r="E240" s="358"/>
      <c r="F240" s="358"/>
      <c r="G240" s="358"/>
      <c r="H240" s="358"/>
      <c r="I240" s="358"/>
      <c r="J240" s="358"/>
      <c r="K240" s="358"/>
      <c r="L240" s="358"/>
      <c r="M240" s="358"/>
      <c r="N240" s="358"/>
      <c r="O240" s="358"/>
      <c r="P240" s="358"/>
      <c r="Q240" s="358"/>
      <c r="R240" s="358"/>
      <c r="S240" s="358"/>
      <c r="T240" s="358"/>
      <c r="U240" s="358"/>
      <c r="V240" s="358"/>
      <c r="W240" s="358"/>
      <c r="X240" s="358"/>
      <c r="Y240" s="358"/>
      <c r="Z240" s="358"/>
      <c r="AA240" s="358"/>
    </row>
    <row r="241">
      <c r="A241" s="358"/>
      <c r="B241" s="358"/>
      <c r="C241" s="358"/>
      <c r="D241" s="358"/>
      <c r="E241" s="358"/>
      <c r="F241" s="358"/>
      <c r="G241" s="358"/>
      <c r="H241" s="358"/>
      <c r="I241" s="358"/>
      <c r="J241" s="358"/>
      <c r="K241" s="358"/>
      <c r="L241" s="358"/>
      <c r="M241" s="358"/>
      <c r="N241" s="358"/>
      <c r="O241" s="358"/>
      <c r="P241" s="358"/>
      <c r="Q241" s="358"/>
      <c r="R241" s="358"/>
      <c r="S241" s="358"/>
      <c r="T241" s="358"/>
      <c r="U241" s="358"/>
      <c r="V241" s="358"/>
      <c r="W241" s="358"/>
      <c r="X241" s="358"/>
      <c r="Y241" s="358"/>
      <c r="Z241" s="358"/>
      <c r="AA241" s="358"/>
    </row>
    <row r="242">
      <c r="A242" s="358"/>
      <c r="B242" s="358"/>
      <c r="C242" s="358"/>
      <c r="D242" s="358"/>
      <c r="E242" s="358"/>
      <c r="F242" s="358"/>
      <c r="G242" s="358"/>
      <c r="H242" s="358"/>
      <c r="I242" s="358"/>
      <c r="J242" s="358"/>
      <c r="K242" s="358"/>
      <c r="L242" s="358"/>
      <c r="M242" s="358"/>
      <c r="N242" s="358"/>
      <c r="O242" s="358"/>
      <c r="P242" s="358"/>
      <c r="Q242" s="358"/>
      <c r="R242" s="358"/>
      <c r="S242" s="358"/>
      <c r="T242" s="358"/>
      <c r="U242" s="358"/>
      <c r="V242" s="358"/>
      <c r="W242" s="358"/>
      <c r="X242" s="358"/>
      <c r="Y242" s="358"/>
      <c r="Z242" s="358"/>
      <c r="AA242" s="358"/>
    </row>
    <row r="243">
      <c r="A243" s="358"/>
      <c r="B243" s="358"/>
      <c r="C243" s="358"/>
      <c r="D243" s="358"/>
      <c r="E243" s="358"/>
      <c r="F243" s="358"/>
      <c r="G243" s="358"/>
      <c r="H243" s="358"/>
      <c r="I243" s="358"/>
      <c r="J243" s="358"/>
      <c r="K243" s="358"/>
      <c r="L243" s="358"/>
      <c r="M243" s="358"/>
      <c r="N243" s="358"/>
      <c r="O243" s="358"/>
      <c r="P243" s="358"/>
      <c r="Q243" s="358"/>
      <c r="R243" s="358"/>
      <c r="S243" s="358"/>
      <c r="T243" s="358"/>
      <c r="U243" s="358"/>
      <c r="V243" s="358"/>
      <c r="W243" s="358"/>
      <c r="X243" s="358"/>
      <c r="Y243" s="358"/>
      <c r="Z243" s="358"/>
      <c r="AA243" s="358"/>
    </row>
    <row r="244">
      <c r="A244" s="358"/>
      <c r="B244" s="358"/>
      <c r="C244" s="358"/>
      <c r="D244" s="358"/>
      <c r="E244" s="358"/>
      <c r="F244" s="358"/>
      <c r="G244" s="358"/>
      <c r="H244" s="358"/>
      <c r="I244" s="358"/>
      <c r="J244" s="358"/>
      <c r="K244" s="358"/>
      <c r="L244" s="358"/>
      <c r="M244" s="358"/>
      <c r="N244" s="358"/>
      <c r="O244" s="358"/>
      <c r="P244" s="358"/>
      <c r="Q244" s="358"/>
      <c r="R244" s="358"/>
      <c r="S244" s="358"/>
      <c r="T244" s="358"/>
      <c r="U244" s="358"/>
      <c r="V244" s="358"/>
      <c r="W244" s="358"/>
      <c r="X244" s="358"/>
      <c r="Y244" s="358"/>
      <c r="Z244" s="358"/>
      <c r="AA244" s="358"/>
    </row>
    <row r="245">
      <c r="A245" s="358"/>
      <c r="B245" s="358"/>
      <c r="C245" s="358"/>
      <c r="D245" s="358"/>
      <c r="E245" s="358"/>
      <c r="F245" s="358"/>
      <c r="G245" s="358"/>
      <c r="H245" s="358"/>
      <c r="I245" s="358"/>
      <c r="J245" s="358"/>
      <c r="K245" s="358"/>
      <c r="L245" s="358"/>
      <c r="M245" s="358"/>
      <c r="N245" s="358"/>
      <c r="O245" s="358"/>
      <c r="P245" s="358"/>
      <c r="Q245" s="358"/>
      <c r="R245" s="358"/>
      <c r="S245" s="358"/>
      <c r="T245" s="358"/>
      <c r="U245" s="358"/>
      <c r="V245" s="358"/>
      <c r="W245" s="358"/>
      <c r="X245" s="358"/>
      <c r="Y245" s="358"/>
      <c r="Z245" s="358"/>
      <c r="AA245" s="358"/>
    </row>
    <row r="246">
      <c r="A246" s="358"/>
      <c r="B246" s="358"/>
      <c r="C246" s="358"/>
      <c r="D246" s="358"/>
      <c r="E246" s="358"/>
      <c r="F246" s="358"/>
      <c r="G246" s="358"/>
      <c r="H246" s="358"/>
      <c r="I246" s="358"/>
      <c r="J246" s="358"/>
      <c r="K246" s="358"/>
      <c r="L246" s="358"/>
      <c r="M246" s="358"/>
      <c r="N246" s="358"/>
      <c r="O246" s="358"/>
      <c r="P246" s="358"/>
      <c r="Q246" s="358"/>
      <c r="R246" s="358"/>
      <c r="S246" s="358"/>
      <c r="T246" s="358"/>
      <c r="U246" s="358"/>
      <c r="V246" s="358"/>
      <c r="W246" s="358"/>
      <c r="X246" s="358"/>
      <c r="Y246" s="358"/>
      <c r="Z246" s="358"/>
      <c r="AA246" s="358"/>
    </row>
    <row r="247">
      <c r="A247" s="358"/>
      <c r="B247" s="358"/>
      <c r="C247" s="358"/>
      <c r="D247" s="358"/>
      <c r="E247" s="358"/>
      <c r="F247" s="358"/>
      <c r="G247" s="358"/>
      <c r="H247" s="358"/>
      <c r="I247" s="358"/>
      <c r="J247" s="358"/>
      <c r="K247" s="358"/>
      <c r="L247" s="358"/>
      <c r="M247" s="358"/>
      <c r="N247" s="358"/>
      <c r="O247" s="358"/>
      <c r="P247" s="358"/>
      <c r="Q247" s="358"/>
      <c r="R247" s="358"/>
      <c r="S247" s="358"/>
      <c r="T247" s="358"/>
      <c r="U247" s="358"/>
      <c r="V247" s="358"/>
      <c r="W247" s="358"/>
      <c r="X247" s="358"/>
      <c r="Y247" s="358"/>
      <c r="Z247" s="358"/>
      <c r="AA247" s="358"/>
    </row>
    <row r="248">
      <c r="A248" s="358"/>
      <c r="B248" s="358"/>
      <c r="C248" s="358"/>
      <c r="D248" s="358"/>
      <c r="E248" s="358"/>
      <c r="F248" s="358"/>
      <c r="G248" s="358"/>
      <c r="H248" s="358"/>
      <c r="I248" s="358"/>
      <c r="J248" s="358"/>
      <c r="K248" s="358"/>
      <c r="L248" s="358"/>
      <c r="M248" s="358"/>
      <c r="N248" s="358"/>
      <c r="O248" s="358"/>
      <c r="P248" s="358"/>
      <c r="Q248" s="358"/>
      <c r="R248" s="358"/>
      <c r="S248" s="358"/>
      <c r="T248" s="358"/>
      <c r="U248" s="358"/>
      <c r="V248" s="358"/>
      <c r="W248" s="358"/>
      <c r="X248" s="358"/>
      <c r="Y248" s="358"/>
      <c r="Z248" s="358"/>
      <c r="AA248" s="358"/>
    </row>
    <row r="249">
      <c r="A249" s="358"/>
      <c r="B249" s="358"/>
      <c r="C249" s="358"/>
      <c r="D249" s="358"/>
      <c r="E249" s="358"/>
      <c r="F249" s="358"/>
      <c r="G249" s="358"/>
      <c r="H249" s="358"/>
      <c r="I249" s="358"/>
      <c r="J249" s="358"/>
      <c r="K249" s="358"/>
      <c r="L249" s="358"/>
      <c r="M249" s="358"/>
      <c r="N249" s="358"/>
      <c r="O249" s="358"/>
      <c r="P249" s="358"/>
      <c r="Q249" s="358"/>
      <c r="R249" s="358"/>
      <c r="S249" s="358"/>
      <c r="T249" s="358"/>
      <c r="U249" s="358"/>
      <c r="V249" s="358"/>
      <c r="W249" s="358"/>
      <c r="X249" s="358"/>
      <c r="Y249" s="358"/>
      <c r="Z249" s="358"/>
      <c r="AA249" s="358"/>
    </row>
    <row r="250">
      <c r="A250" s="358"/>
      <c r="B250" s="358"/>
      <c r="C250" s="358"/>
      <c r="D250" s="358"/>
      <c r="E250" s="358"/>
      <c r="F250" s="358"/>
      <c r="G250" s="358"/>
      <c r="H250" s="358"/>
      <c r="I250" s="358"/>
      <c r="J250" s="358"/>
      <c r="K250" s="358"/>
      <c r="L250" s="358"/>
      <c r="M250" s="358"/>
      <c r="N250" s="358"/>
      <c r="O250" s="358"/>
      <c r="P250" s="358"/>
      <c r="Q250" s="358"/>
      <c r="R250" s="358"/>
      <c r="S250" s="358"/>
      <c r="T250" s="358"/>
      <c r="U250" s="358"/>
      <c r="V250" s="358"/>
      <c r="W250" s="358"/>
      <c r="X250" s="358"/>
      <c r="Y250" s="358"/>
      <c r="Z250" s="358"/>
      <c r="AA250" s="358"/>
    </row>
    <row r="251">
      <c r="A251" s="358"/>
      <c r="B251" s="358"/>
      <c r="C251" s="358"/>
      <c r="D251" s="358"/>
      <c r="E251" s="358"/>
      <c r="F251" s="358"/>
      <c r="G251" s="358"/>
      <c r="H251" s="358"/>
      <c r="I251" s="358"/>
      <c r="J251" s="358"/>
      <c r="K251" s="358"/>
      <c r="L251" s="358"/>
      <c r="M251" s="358"/>
      <c r="N251" s="358"/>
      <c r="O251" s="358"/>
      <c r="P251" s="358"/>
      <c r="Q251" s="358"/>
      <c r="R251" s="358"/>
      <c r="S251" s="358"/>
      <c r="T251" s="358"/>
      <c r="U251" s="358"/>
      <c r="V251" s="358"/>
      <c r="W251" s="358"/>
      <c r="X251" s="358"/>
      <c r="Y251" s="358"/>
      <c r="Z251" s="358"/>
      <c r="AA251" s="358"/>
    </row>
    <row r="252">
      <c r="A252" s="358"/>
      <c r="B252" s="358"/>
      <c r="C252" s="358"/>
      <c r="D252" s="358"/>
      <c r="E252" s="358"/>
      <c r="F252" s="358"/>
      <c r="G252" s="358"/>
      <c r="H252" s="358"/>
      <c r="I252" s="358"/>
      <c r="J252" s="358"/>
      <c r="K252" s="358"/>
      <c r="L252" s="358"/>
      <c r="M252" s="358"/>
      <c r="N252" s="358"/>
      <c r="O252" s="358"/>
      <c r="P252" s="358"/>
      <c r="Q252" s="358"/>
      <c r="R252" s="358"/>
      <c r="S252" s="358"/>
      <c r="T252" s="358"/>
      <c r="U252" s="358"/>
      <c r="V252" s="358"/>
      <c r="W252" s="358"/>
      <c r="X252" s="358"/>
      <c r="Y252" s="358"/>
      <c r="Z252" s="358"/>
      <c r="AA252" s="358"/>
    </row>
    <row r="253">
      <c r="A253" s="358"/>
      <c r="B253" s="358"/>
      <c r="C253" s="358"/>
      <c r="D253" s="358"/>
      <c r="E253" s="358"/>
      <c r="F253" s="358"/>
      <c r="G253" s="358"/>
      <c r="H253" s="358"/>
      <c r="I253" s="358"/>
      <c r="J253" s="358"/>
      <c r="K253" s="358"/>
      <c r="L253" s="358"/>
      <c r="M253" s="358"/>
      <c r="N253" s="358"/>
      <c r="O253" s="358"/>
      <c r="P253" s="358"/>
      <c r="Q253" s="358"/>
      <c r="R253" s="358"/>
      <c r="S253" s="358"/>
      <c r="T253" s="358"/>
      <c r="U253" s="358"/>
      <c r="V253" s="358"/>
      <c r="W253" s="358"/>
      <c r="X253" s="358"/>
      <c r="Y253" s="358"/>
      <c r="Z253" s="358"/>
      <c r="AA253" s="358"/>
    </row>
    <row r="254">
      <c r="A254" s="358"/>
      <c r="B254" s="358"/>
      <c r="C254" s="358"/>
      <c r="D254" s="358"/>
      <c r="E254" s="358"/>
      <c r="F254" s="358"/>
      <c r="G254" s="358"/>
      <c r="H254" s="358"/>
      <c r="I254" s="358"/>
      <c r="J254" s="358"/>
      <c r="K254" s="358"/>
      <c r="L254" s="358"/>
      <c r="M254" s="358"/>
      <c r="N254" s="358"/>
      <c r="O254" s="358"/>
      <c r="P254" s="358"/>
      <c r="Q254" s="358"/>
      <c r="R254" s="358"/>
      <c r="S254" s="358"/>
      <c r="T254" s="358"/>
      <c r="U254" s="358"/>
      <c r="V254" s="358"/>
      <c r="W254" s="358"/>
      <c r="X254" s="358"/>
      <c r="Y254" s="358"/>
      <c r="Z254" s="358"/>
      <c r="AA254" s="358"/>
    </row>
    <row r="255">
      <c r="A255" s="358"/>
      <c r="B255" s="358"/>
      <c r="C255" s="358"/>
      <c r="D255" s="358"/>
      <c r="E255" s="358"/>
      <c r="F255" s="358"/>
      <c r="G255" s="358"/>
      <c r="H255" s="358"/>
      <c r="I255" s="358"/>
      <c r="J255" s="358"/>
      <c r="K255" s="358"/>
      <c r="L255" s="358"/>
      <c r="M255" s="358"/>
      <c r="N255" s="358"/>
      <c r="O255" s="358"/>
      <c r="P255" s="358"/>
      <c r="Q255" s="358"/>
      <c r="R255" s="358"/>
      <c r="S255" s="358"/>
      <c r="T255" s="358"/>
      <c r="U255" s="358"/>
      <c r="V255" s="358"/>
      <c r="W255" s="358"/>
      <c r="X255" s="358"/>
      <c r="Y255" s="358"/>
      <c r="Z255" s="358"/>
      <c r="AA255" s="358"/>
    </row>
    <row r="256">
      <c r="A256" s="358"/>
      <c r="B256" s="358"/>
      <c r="C256" s="358"/>
      <c r="D256" s="358"/>
      <c r="E256" s="358"/>
      <c r="F256" s="358"/>
      <c r="G256" s="358"/>
      <c r="H256" s="358"/>
      <c r="I256" s="358"/>
      <c r="J256" s="358"/>
      <c r="K256" s="358"/>
      <c r="L256" s="358"/>
      <c r="M256" s="358"/>
      <c r="N256" s="358"/>
      <c r="O256" s="358"/>
      <c r="P256" s="358"/>
      <c r="Q256" s="358"/>
      <c r="R256" s="358"/>
      <c r="S256" s="358"/>
      <c r="T256" s="358"/>
      <c r="U256" s="358"/>
      <c r="V256" s="358"/>
      <c r="W256" s="358"/>
      <c r="X256" s="358"/>
      <c r="Y256" s="358"/>
      <c r="Z256" s="358"/>
      <c r="AA256" s="358"/>
    </row>
    <row r="257">
      <c r="A257" s="358"/>
      <c r="B257" s="358"/>
      <c r="C257" s="358"/>
      <c r="D257" s="358"/>
      <c r="E257" s="358"/>
      <c r="F257" s="358"/>
      <c r="G257" s="358"/>
      <c r="H257" s="358"/>
      <c r="I257" s="358"/>
      <c r="J257" s="358"/>
      <c r="K257" s="358"/>
      <c r="L257" s="358"/>
      <c r="M257" s="358"/>
      <c r="N257" s="358"/>
      <c r="O257" s="358"/>
      <c r="P257" s="358"/>
      <c r="Q257" s="358"/>
      <c r="R257" s="358"/>
      <c r="S257" s="358"/>
      <c r="T257" s="358"/>
      <c r="U257" s="358"/>
      <c r="V257" s="358"/>
      <c r="W257" s="358"/>
      <c r="X257" s="358"/>
      <c r="Y257" s="358"/>
      <c r="Z257" s="358"/>
      <c r="AA257" s="358"/>
    </row>
    <row r="258">
      <c r="A258" s="358"/>
      <c r="B258" s="358"/>
      <c r="C258" s="358"/>
      <c r="D258" s="358"/>
      <c r="E258" s="358"/>
      <c r="F258" s="358"/>
      <c r="G258" s="358"/>
      <c r="H258" s="358"/>
      <c r="I258" s="358"/>
      <c r="J258" s="358"/>
      <c r="K258" s="358"/>
      <c r="L258" s="358"/>
      <c r="M258" s="358"/>
      <c r="N258" s="358"/>
      <c r="O258" s="358"/>
      <c r="P258" s="358"/>
      <c r="Q258" s="358"/>
      <c r="R258" s="358"/>
      <c r="S258" s="358"/>
      <c r="T258" s="358"/>
      <c r="U258" s="358"/>
      <c r="V258" s="358"/>
      <c r="W258" s="358"/>
      <c r="X258" s="358"/>
      <c r="Y258" s="358"/>
      <c r="Z258" s="358"/>
      <c r="AA258" s="358"/>
    </row>
    <row r="259">
      <c r="A259" s="358"/>
      <c r="B259" s="358"/>
      <c r="C259" s="358"/>
      <c r="D259" s="358"/>
      <c r="E259" s="358"/>
      <c r="F259" s="358"/>
      <c r="G259" s="358"/>
      <c r="H259" s="358"/>
      <c r="I259" s="358"/>
      <c r="J259" s="358"/>
      <c r="K259" s="358"/>
      <c r="L259" s="358"/>
      <c r="M259" s="358"/>
      <c r="N259" s="358"/>
      <c r="O259" s="358"/>
      <c r="P259" s="358"/>
      <c r="Q259" s="358"/>
      <c r="R259" s="358"/>
      <c r="S259" s="358"/>
      <c r="T259" s="358"/>
      <c r="U259" s="358"/>
      <c r="V259" s="358"/>
      <c r="W259" s="358"/>
      <c r="X259" s="358"/>
      <c r="Y259" s="358"/>
      <c r="Z259" s="358"/>
      <c r="AA259" s="358"/>
    </row>
    <row r="260">
      <c r="A260" s="358"/>
      <c r="B260" s="358"/>
      <c r="C260" s="358"/>
      <c r="D260" s="358"/>
      <c r="E260" s="358"/>
      <c r="F260" s="358"/>
      <c r="G260" s="358"/>
      <c r="H260" s="358"/>
      <c r="I260" s="358"/>
      <c r="J260" s="358"/>
      <c r="K260" s="358"/>
      <c r="L260" s="358"/>
      <c r="M260" s="358"/>
      <c r="N260" s="358"/>
      <c r="O260" s="358"/>
      <c r="P260" s="358"/>
      <c r="Q260" s="358"/>
      <c r="R260" s="358"/>
      <c r="S260" s="358"/>
      <c r="T260" s="358"/>
      <c r="U260" s="358"/>
      <c r="V260" s="358"/>
      <c r="W260" s="358"/>
      <c r="X260" s="358"/>
      <c r="Y260" s="358"/>
      <c r="Z260" s="358"/>
      <c r="AA260" s="358"/>
    </row>
    <row r="261">
      <c r="A261" s="358"/>
      <c r="B261" s="358"/>
      <c r="C261" s="358"/>
      <c r="D261" s="358"/>
      <c r="E261" s="358"/>
      <c r="F261" s="358"/>
      <c r="G261" s="358"/>
      <c r="H261" s="358"/>
      <c r="I261" s="358"/>
      <c r="J261" s="358"/>
      <c r="K261" s="358"/>
      <c r="L261" s="358"/>
      <c r="M261" s="358"/>
      <c r="N261" s="358"/>
      <c r="O261" s="358"/>
      <c r="P261" s="358"/>
      <c r="Q261" s="358"/>
      <c r="R261" s="358"/>
      <c r="S261" s="358"/>
      <c r="T261" s="358"/>
      <c r="U261" s="358"/>
      <c r="V261" s="358"/>
      <c r="W261" s="358"/>
      <c r="X261" s="358"/>
      <c r="Y261" s="358"/>
      <c r="Z261" s="358"/>
      <c r="AA261" s="358"/>
    </row>
    <row r="262">
      <c r="A262" s="358"/>
      <c r="B262" s="358"/>
      <c r="C262" s="358"/>
      <c r="D262" s="358"/>
      <c r="E262" s="358"/>
      <c r="F262" s="358"/>
      <c r="G262" s="358"/>
      <c r="H262" s="358"/>
      <c r="I262" s="358"/>
      <c r="J262" s="358"/>
      <c r="K262" s="358"/>
      <c r="L262" s="358"/>
      <c r="M262" s="358"/>
      <c r="N262" s="358"/>
      <c r="O262" s="358"/>
      <c r="P262" s="358"/>
      <c r="Q262" s="358"/>
      <c r="R262" s="358"/>
      <c r="S262" s="358"/>
      <c r="T262" s="358"/>
      <c r="U262" s="358"/>
      <c r="V262" s="358"/>
      <c r="W262" s="358"/>
      <c r="X262" s="358"/>
      <c r="Y262" s="358"/>
      <c r="Z262" s="358"/>
      <c r="AA262" s="358"/>
    </row>
    <row r="263">
      <c r="A263" s="358"/>
      <c r="B263" s="358"/>
      <c r="C263" s="358"/>
      <c r="D263" s="358"/>
      <c r="E263" s="358"/>
      <c r="F263" s="358"/>
      <c r="G263" s="358"/>
      <c r="H263" s="358"/>
      <c r="I263" s="358"/>
      <c r="J263" s="358"/>
      <c r="K263" s="358"/>
      <c r="L263" s="358"/>
      <c r="M263" s="358"/>
      <c r="N263" s="358"/>
      <c r="O263" s="358"/>
      <c r="P263" s="358"/>
      <c r="Q263" s="358"/>
      <c r="R263" s="358"/>
      <c r="S263" s="358"/>
      <c r="T263" s="358"/>
      <c r="U263" s="358"/>
      <c r="V263" s="358"/>
      <c r="W263" s="358"/>
      <c r="X263" s="358"/>
      <c r="Y263" s="358"/>
      <c r="Z263" s="358"/>
      <c r="AA263" s="358"/>
    </row>
    <row r="264">
      <c r="A264" s="358"/>
      <c r="B264" s="358"/>
      <c r="C264" s="358"/>
      <c r="D264" s="358"/>
      <c r="E264" s="358"/>
      <c r="F264" s="358"/>
      <c r="G264" s="358"/>
      <c r="H264" s="358"/>
      <c r="I264" s="358"/>
      <c r="J264" s="358"/>
      <c r="K264" s="358"/>
      <c r="L264" s="358"/>
      <c r="M264" s="358"/>
      <c r="N264" s="358"/>
      <c r="O264" s="358"/>
      <c r="P264" s="358"/>
      <c r="Q264" s="358"/>
      <c r="R264" s="358"/>
      <c r="S264" s="358"/>
      <c r="T264" s="358"/>
      <c r="U264" s="358"/>
      <c r="V264" s="358"/>
      <c r="W264" s="358"/>
      <c r="X264" s="358"/>
      <c r="Y264" s="358"/>
      <c r="Z264" s="358"/>
      <c r="AA264" s="358"/>
    </row>
    <row r="265">
      <c r="A265" s="358"/>
      <c r="B265" s="358"/>
      <c r="C265" s="358"/>
      <c r="D265" s="358"/>
      <c r="E265" s="358"/>
      <c r="F265" s="358"/>
      <c r="G265" s="358"/>
      <c r="H265" s="358"/>
      <c r="I265" s="358"/>
      <c r="J265" s="358"/>
      <c r="K265" s="358"/>
      <c r="L265" s="358"/>
      <c r="M265" s="358"/>
      <c r="N265" s="358"/>
      <c r="O265" s="358"/>
      <c r="P265" s="358"/>
      <c r="Q265" s="358"/>
      <c r="R265" s="358"/>
      <c r="S265" s="358"/>
      <c r="T265" s="358"/>
      <c r="U265" s="358"/>
      <c r="V265" s="358"/>
      <c r="W265" s="358"/>
      <c r="X265" s="358"/>
      <c r="Y265" s="358"/>
      <c r="Z265" s="358"/>
      <c r="AA265" s="358"/>
    </row>
    <row r="266">
      <c r="A266" s="358"/>
      <c r="B266" s="358"/>
      <c r="C266" s="358"/>
      <c r="D266" s="358"/>
      <c r="E266" s="358"/>
      <c r="F266" s="358"/>
      <c r="G266" s="358"/>
      <c r="H266" s="358"/>
      <c r="I266" s="358"/>
      <c r="J266" s="358"/>
      <c r="K266" s="358"/>
      <c r="L266" s="358"/>
      <c r="M266" s="358"/>
      <c r="N266" s="358"/>
      <c r="O266" s="358"/>
      <c r="P266" s="358"/>
      <c r="Q266" s="358"/>
      <c r="R266" s="358"/>
      <c r="S266" s="358"/>
      <c r="T266" s="358"/>
      <c r="U266" s="358"/>
      <c r="V266" s="358"/>
      <c r="W266" s="358"/>
      <c r="X266" s="358"/>
      <c r="Y266" s="358"/>
      <c r="Z266" s="358"/>
      <c r="AA266" s="358"/>
    </row>
    <row r="267">
      <c r="A267" s="358"/>
      <c r="B267" s="358"/>
      <c r="C267" s="358"/>
      <c r="D267" s="358"/>
      <c r="E267" s="358"/>
      <c r="F267" s="358"/>
      <c r="G267" s="358"/>
      <c r="H267" s="358"/>
      <c r="I267" s="358"/>
      <c r="J267" s="358"/>
      <c r="K267" s="358"/>
      <c r="L267" s="358"/>
      <c r="M267" s="358"/>
      <c r="N267" s="358"/>
      <c r="O267" s="358"/>
      <c r="P267" s="358"/>
      <c r="Q267" s="358"/>
      <c r="R267" s="358"/>
      <c r="S267" s="358"/>
      <c r="T267" s="358"/>
      <c r="U267" s="358"/>
      <c r="V267" s="358"/>
      <c r="W267" s="358"/>
      <c r="X267" s="358"/>
      <c r="Y267" s="358"/>
      <c r="Z267" s="358"/>
      <c r="AA267" s="358"/>
    </row>
    <row r="268">
      <c r="A268" s="358"/>
      <c r="B268" s="358"/>
      <c r="C268" s="358"/>
      <c r="D268" s="358"/>
      <c r="E268" s="358"/>
      <c r="F268" s="358"/>
      <c r="G268" s="358"/>
      <c r="H268" s="358"/>
      <c r="I268" s="358"/>
      <c r="J268" s="358"/>
      <c r="K268" s="358"/>
      <c r="L268" s="358"/>
      <c r="M268" s="358"/>
      <c r="N268" s="358"/>
      <c r="O268" s="358"/>
      <c r="P268" s="358"/>
      <c r="Q268" s="358"/>
      <c r="R268" s="358"/>
      <c r="S268" s="358"/>
      <c r="T268" s="358"/>
      <c r="U268" s="358"/>
      <c r="V268" s="358"/>
      <c r="W268" s="358"/>
      <c r="X268" s="358"/>
      <c r="Y268" s="358"/>
      <c r="Z268" s="358"/>
      <c r="AA268" s="358"/>
    </row>
    <row r="269">
      <c r="A269" s="358"/>
      <c r="B269" s="358"/>
      <c r="C269" s="358"/>
      <c r="D269" s="358"/>
      <c r="E269" s="358"/>
      <c r="F269" s="358"/>
      <c r="G269" s="358"/>
      <c r="H269" s="358"/>
      <c r="I269" s="358"/>
      <c r="J269" s="358"/>
      <c r="K269" s="358"/>
      <c r="L269" s="358"/>
      <c r="M269" s="358"/>
      <c r="N269" s="358"/>
      <c r="O269" s="358"/>
      <c r="P269" s="358"/>
      <c r="Q269" s="358"/>
      <c r="R269" s="358"/>
      <c r="S269" s="358"/>
      <c r="T269" s="358"/>
      <c r="U269" s="358"/>
      <c r="V269" s="358"/>
      <c r="W269" s="358"/>
      <c r="X269" s="358"/>
      <c r="Y269" s="358"/>
      <c r="Z269" s="358"/>
      <c r="AA269" s="358"/>
    </row>
    <row r="270">
      <c r="A270" s="358"/>
      <c r="B270" s="358"/>
      <c r="C270" s="358"/>
      <c r="D270" s="358"/>
      <c r="E270" s="358"/>
      <c r="F270" s="358"/>
      <c r="G270" s="358"/>
      <c r="H270" s="358"/>
      <c r="I270" s="358"/>
      <c r="J270" s="358"/>
      <c r="K270" s="358"/>
      <c r="L270" s="358"/>
      <c r="M270" s="358"/>
      <c r="N270" s="358"/>
      <c r="O270" s="358"/>
      <c r="P270" s="358"/>
      <c r="Q270" s="358"/>
      <c r="R270" s="358"/>
      <c r="S270" s="358"/>
      <c r="T270" s="358"/>
      <c r="U270" s="358"/>
      <c r="V270" s="358"/>
      <c r="W270" s="358"/>
      <c r="X270" s="358"/>
      <c r="Y270" s="358"/>
      <c r="Z270" s="358"/>
      <c r="AA270" s="358"/>
    </row>
    <row r="271">
      <c r="A271" s="358"/>
      <c r="B271" s="358"/>
      <c r="C271" s="358"/>
      <c r="D271" s="358"/>
      <c r="E271" s="358"/>
      <c r="F271" s="358"/>
      <c r="G271" s="358"/>
      <c r="H271" s="358"/>
      <c r="I271" s="358"/>
      <c r="J271" s="358"/>
      <c r="K271" s="358"/>
      <c r="L271" s="358"/>
      <c r="M271" s="358"/>
      <c r="N271" s="358"/>
      <c r="O271" s="358"/>
      <c r="P271" s="358"/>
      <c r="Q271" s="358"/>
      <c r="R271" s="358"/>
      <c r="S271" s="358"/>
      <c r="T271" s="358"/>
      <c r="U271" s="358"/>
      <c r="V271" s="358"/>
      <c r="W271" s="358"/>
      <c r="X271" s="358"/>
      <c r="Y271" s="358"/>
      <c r="Z271" s="358"/>
      <c r="AA271" s="358"/>
    </row>
    <row r="272">
      <c r="A272" s="358"/>
      <c r="B272" s="358"/>
      <c r="C272" s="358"/>
      <c r="D272" s="358"/>
      <c r="E272" s="358"/>
      <c r="F272" s="358"/>
      <c r="G272" s="358"/>
      <c r="H272" s="358"/>
      <c r="I272" s="358"/>
      <c r="J272" s="358"/>
      <c r="K272" s="358"/>
      <c r="L272" s="358"/>
      <c r="M272" s="358"/>
      <c r="N272" s="358"/>
      <c r="O272" s="358"/>
      <c r="P272" s="358"/>
      <c r="Q272" s="358"/>
      <c r="R272" s="358"/>
      <c r="S272" s="358"/>
      <c r="T272" s="358"/>
      <c r="U272" s="358"/>
      <c r="V272" s="358"/>
      <c r="W272" s="358"/>
      <c r="X272" s="358"/>
      <c r="Y272" s="358"/>
      <c r="Z272" s="358"/>
      <c r="AA272" s="358"/>
    </row>
    <row r="273">
      <c r="A273" s="358"/>
      <c r="B273" s="358"/>
      <c r="C273" s="358"/>
      <c r="D273" s="358"/>
      <c r="E273" s="358"/>
      <c r="F273" s="358"/>
      <c r="G273" s="358"/>
      <c r="H273" s="358"/>
      <c r="I273" s="358"/>
      <c r="J273" s="358"/>
      <c r="K273" s="358"/>
      <c r="L273" s="358"/>
      <c r="M273" s="358"/>
      <c r="N273" s="358"/>
      <c r="O273" s="358"/>
      <c r="P273" s="358"/>
      <c r="Q273" s="358"/>
      <c r="R273" s="358"/>
      <c r="S273" s="358"/>
      <c r="T273" s="358"/>
      <c r="U273" s="358"/>
      <c r="V273" s="358"/>
      <c r="W273" s="358"/>
      <c r="X273" s="358"/>
      <c r="Y273" s="358"/>
      <c r="Z273" s="358"/>
      <c r="AA273" s="358"/>
    </row>
    <row r="274">
      <c r="A274" s="358"/>
      <c r="B274" s="358"/>
      <c r="C274" s="358"/>
      <c r="D274" s="358"/>
      <c r="E274" s="358"/>
      <c r="F274" s="358"/>
      <c r="G274" s="358"/>
      <c r="H274" s="358"/>
      <c r="I274" s="358"/>
      <c r="J274" s="358"/>
      <c r="K274" s="358"/>
      <c r="L274" s="358"/>
      <c r="M274" s="358"/>
      <c r="N274" s="358"/>
      <c r="O274" s="358"/>
      <c r="P274" s="358"/>
      <c r="Q274" s="358"/>
      <c r="R274" s="358"/>
      <c r="S274" s="358"/>
      <c r="T274" s="358"/>
      <c r="U274" s="358"/>
      <c r="V274" s="358"/>
      <c r="W274" s="358"/>
      <c r="X274" s="358"/>
      <c r="Y274" s="358"/>
      <c r="Z274" s="358"/>
      <c r="AA274" s="358"/>
    </row>
    <row r="275">
      <c r="A275" s="358"/>
      <c r="B275" s="358"/>
      <c r="C275" s="358"/>
      <c r="D275" s="358"/>
      <c r="E275" s="358"/>
      <c r="F275" s="358"/>
      <c r="G275" s="358"/>
      <c r="H275" s="358"/>
      <c r="I275" s="358"/>
      <c r="J275" s="358"/>
      <c r="K275" s="358"/>
      <c r="L275" s="358"/>
      <c r="M275" s="358"/>
      <c r="N275" s="358"/>
      <c r="O275" s="358"/>
      <c r="P275" s="358"/>
      <c r="Q275" s="358"/>
      <c r="R275" s="358"/>
      <c r="S275" s="358"/>
      <c r="T275" s="358"/>
      <c r="U275" s="358"/>
      <c r="V275" s="358"/>
      <c r="W275" s="358"/>
      <c r="X275" s="358"/>
      <c r="Y275" s="358"/>
      <c r="Z275" s="358"/>
      <c r="AA275" s="358"/>
    </row>
    <row r="276">
      <c r="A276" s="358"/>
      <c r="B276" s="358"/>
      <c r="C276" s="358"/>
      <c r="D276" s="358"/>
      <c r="E276" s="358"/>
      <c r="F276" s="358"/>
      <c r="G276" s="358"/>
      <c r="H276" s="358"/>
      <c r="I276" s="358"/>
      <c r="J276" s="358"/>
      <c r="K276" s="358"/>
      <c r="L276" s="358"/>
      <c r="M276" s="358"/>
      <c r="N276" s="358"/>
      <c r="O276" s="358"/>
      <c r="P276" s="358"/>
      <c r="Q276" s="358"/>
      <c r="R276" s="358"/>
      <c r="S276" s="358"/>
      <c r="T276" s="358"/>
      <c r="U276" s="358"/>
      <c r="V276" s="358"/>
      <c r="W276" s="358"/>
      <c r="X276" s="358"/>
      <c r="Y276" s="358"/>
      <c r="Z276" s="358"/>
      <c r="AA276" s="358"/>
    </row>
    <row r="277">
      <c r="A277" s="358"/>
      <c r="B277" s="358"/>
      <c r="C277" s="358"/>
      <c r="D277" s="358"/>
      <c r="E277" s="358"/>
      <c r="F277" s="358"/>
      <c r="G277" s="358"/>
      <c r="H277" s="358"/>
      <c r="I277" s="358"/>
      <c r="J277" s="358"/>
      <c r="K277" s="358"/>
      <c r="L277" s="358"/>
      <c r="M277" s="358"/>
      <c r="N277" s="358"/>
      <c r="O277" s="358"/>
      <c r="P277" s="358"/>
      <c r="Q277" s="358"/>
      <c r="R277" s="358"/>
      <c r="S277" s="358"/>
      <c r="T277" s="358"/>
      <c r="U277" s="358"/>
      <c r="V277" s="358"/>
      <c r="W277" s="358"/>
      <c r="X277" s="358"/>
      <c r="Y277" s="358"/>
      <c r="Z277" s="358"/>
      <c r="AA277" s="358"/>
    </row>
    <row r="278">
      <c r="A278" s="358"/>
      <c r="B278" s="358"/>
      <c r="C278" s="358"/>
      <c r="D278" s="358"/>
      <c r="E278" s="358"/>
      <c r="F278" s="358"/>
      <c r="G278" s="358"/>
      <c r="H278" s="358"/>
      <c r="I278" s="358"/>
      <c r="J278" s="358"/>
      <c r="K278" s="358"/>
      <c r="L278" s="358"/>
      <c r="M278" s="358"/>
      <c r="N278" s="358"/>
      <c r="O278" s="358"/>
      <c r="P278" s="358"/>
      <c r="Q278" s="358"/>
      <c r="R278" s="358"/>
      <c r="S278" s="358"/>
      <c r="T278" s="358"/>
      <c r="U278" s="358"/>
      <c r="V278" s="358"/>
      <c r="W278" s="358"/>
      <c r="X278" s="358"/>
      <c r="Y278" s="358"/>
      <c r="Z278" s="358"/>
      <c r="AA278" s="358"/>
    </row>
    <row r="279">
      <c r="A279" s="358"/>
      <c r="B279" s="358"/>
      <c r="C279" s="358"/>
      <c r="D279" s="358"/>
      <c r="E279" s="358"/>
      <c r="F279" s="358"/>
      <c r="G279" s="358"/>
      <c r="H279" s="358"/>
      <c r="I279" s="358"/>
      <c r="J279" s="358"/>
      <c r="K279" s="358"/>
      <c r="L279" s="358"/>
      <c r="M279" s="358"/>
      <c r="N279" s="358"/>
      <c r="O279" s="358"/>
      <c r="P279" s="358"/>
      <c r="Q279" s="358"/>
      <c r="R279" s="358"/>
      <c r="S279" s="358"/>
      <c r="T279" s="358"/>
      <c r="U279" s="358"/>
      <c r="V279" s="358"/>
      <c r="W279" s="358"/>
      <c r="X279" s="358"/>
      <c r="Y279" s="358"/>
      <c r="Z279" s="358"/>
      <c r="AA279" s="358"/>
    </row>
    <row r="280">
      <c r="A280" s="358"/>
      <c r="B280" s="358"/>
      <c r="C280" s="358"/>
      <c r="D280" s="358"/>
      <c r="E280" s="358"/>
      <c r="F280" s="358"/>
      <c r="G280" s="358"/>
      <c r="H280" s="358"/>
      <c r="I280" s="358"/>
      <c r="J280" s="358"/>
      <c r="K280" s="358"/>
      <c r="L280" s="358"/>
      <c r="M280" s="358"/>
      <c r="N280" s="358"/>
      <c r="O280" s="358"/>
      <c r="P280" s="358"/>
      <c r="Q280" s="358"/>
      <c r="R280" s="358"/>
      <c r="S280" s="358"/>
      <c r="T280" s="358"/>
      <c r="U280" s="358"/>
      <c r="V280" s="358"/>
      <c r="W280" s="358"/>
      <c r="X280" s="358"/>
      <c r="Y280" s="358"/>
      <c r="Z280" s="358"/>
      <c r="AA280" s="358"/>
    </row>
    <row r="281">
      <c r="A281" s="358"/>
      <c r="B281" s="358"/>
      <c r="C281" s="358"/>
      <c r="D281" s="358"/>
      <c r="E281" s="358"/>
      <c r="F281" s="358"/>
      <c r="G281" s="358"/>
      <c r="H281" s="358"/>
      <c r="I281" s="358"/>
      <c r="J281" s="358"/>
      <c r="K281" s="358"/>
      <c r="L281" s="358"/>
      <c r="M281" s="358"/>
      <c r="N281" s="358"/>
      <c r="O281" s="358"/>
      <c r="P281" s="358"/>
      <c r="Q281" s="358"/>
      <c r="R281" s="358"/>
      <c r="S281" s="358"/>
      <c r="T281" s="358"/>
      <c r="U281" s="358"/>
      <c r="V281" s="358"/>
      <c r="W281" s="358"/>
      <c r="X281" s="358"/>
      <c r="Y281" s="358"/>
      <c r="Z281" s="358"/>
      <c r="AA281" s="358"/>
    </row>
    <row r="282">
      <c r="A282" s="358"/>
      <c r="B282" s="358"/>
      <c r="C282" s="358"/>
      <c r="D282" s="358"/>
      <c r="E282" s="358"/>
      <c r="F282" s="358"/>
      <c r="G282" s="358"/>
      <c r="H282" s="358"/>
      <c r="I282" s="358"/>
      <c r="J282" s="358"/>
      <c r="K282" s="358"/>
      <c r="L282" s="358"/>
      <c r="M282" s="358"/>
      <c r="N282" s="358"/>
      <c r="O282" s="358"/>
      <c r="P282" s="358"/>
      <c r="Q282" s="358"/>
      <c r="R282" s="358"/>
      <c r="S282" s="358"/>
      <c r="T282" s="358"/>
      <c r="U282" s="358"/>
      <c r="V282" s="358"/>
      <c r="W282" s="358"/>
      <c r="X282" s="358"/>
      <c r="Y282" s="358"/>
      <c r="Z282" s="358"/>
      <c r="AA282" s="358"/>
    </row>
    <row r="283">
      <c r="A283" s="358"/>
      <c r="B283" s="358"/>
      <c r="C283" s="358"/>
      <c r="D283" s="358"/>
      <c r="E283" s="358"/>
      <c r="F283" s="358"/>
      <c r="G283" s="358"/>
      <c r="H283" s="358"/>
      <c r="I283" s="358"/>
      <c r="J283" s="358"/>
      <c r="K283" s="358"/>
      <c r="L283" s="358"/>
      <c r="M283" s="358"/>
      <c r="N283" s="358"/>
      <c r="O283" s="358"/>
      <c r="P283" s="358"/>
      <c r="Q283" s="358"/>
      <c r="R283" s="358"/>
      <c r="S283" s="358"/>
      <c r="T283" s="358"/>
      <c r="U283" s="358"/>
      <c r="V283" s="358"/>
      <c r="W283" s="358"/>
      <c r="X283" s="358"/>
      <c r="Y283" s="358"/>
      <c r="Z283" s="358"/>
      <c r="AA283" s="358"/>
    </row>
    <row r="284">
      <c r="A284" s="358"/>
      <c r="B284" s="358"/>
      <c r="C284" s="358"/>
      <c r="D284" s="358"/>
      <c r="E284" s="358"/>
      <c r="F284" s="358"/>
      <c r="G284" s="358"/>
      <c r="H284" s="358"/>
      <c r="I284" s="358"/>
      <c r="J284" s="358"/>
      <c r="K284" s="358"/>
      <c r="L284" s="358"/>
      <c r="M284" s="358"/>
      <c r="N284" s="358"/>
      <c r="O284" s="358"/>
      <c r="P284" s="358"/>
      <c r="Q284" s="358"/>
      <c r="R284" s="358"/>
      <c r="S284" s="358"/>
      <c r="T284" s="358"/>
      <c r="U284" s="358"/>
      <c r="V284" s="358"/>
      <c r="W284" s="358"/>
      <c r="X284" s="358"/>
      <c r="Y284" s="358"/>
      <c r="Z284" s="358"/>
      <c r="AA284" s="358"/>
    </row>
    <row r="285">
      <c r="A285" s="358"/>
      <c r="B285" s="358"/>
      <c r="C285" s="358"/>
      <c r="D285" s="358"/>
      <c r="E285" s="358"/>
      <c r="F285" s="358"/>
      <c r="G285" s="358"/>
      <c r="H285" s="358"/>
      <c r="I285" s="358"/>
      <c r="J285" s="358"/>
      <c r="K285" s="358"/>
      <c r="L285" s="358"/>
      <c r="M285" s="358"/>
      <c r="N285" s="358"/>
      <c r="O285" s="358"/>
      <c r="P285" s="358"/>
      <c r="Q285" s="358"/>
      <c r="R285" s="358"/>
      <c r="S285" s="358"/>
      <c r="T285" s="358"/>
      <c r="U285" s="358"/>
      <c r="V285" s="358"/>
      <c r="W285" s="358"/>
      <c r="X285" s="358"/>
      <c r="Y285" s="358"/>
      <c r="Z285" s="358"/>
      <c r="AA285" s="358"/>
    </row>
    <row r="286">
      <c r="A286" s="358"/>
      <c r="B286" s="358"/>
      <c r="C286" s="358"/>
      <c r="D286" s="358"/>
      <c r="E286" s="358"/>
      <c r="F286" s="358"/>
      <c r="G286" s="358"/>
      <c r="H286" s="358"/>
      <c r="I286" s="358"/>
      <c r="J286" s="358"/>
      <c r="K286" s="358"/>
      <c r="L286" s="358"/>
      <c r="M286" s="358"/>
      <c r="N286" s="358"/>
      <c r="O286" s="358"/>
      <c r="P286" s="358"/>
      <c r="Q286" s="358"/>
      <c r="R286" s="358"/>
      <c r="S286" s="358"/>
      <c r="T286" s="358"/>
      <c r="U286" s="358"/>
      <c r="V286" s="358"/>
      <c r="W286" s="358"/>
      <c r="X286" s="358"/>
      <c r="Y286" s="358"/>
      <c r="Z286" s="358"/>
      <c r="AA286" s="358"/>
    </row>
    <row r="287">
      <c r="A287" s="358"/>
      <c r="B287" s="358"/>
      <c r="C287" s="358"/>
      <c r="D287" s="358"/>
      <c r="E287" s="358"/>
      <c r="F287" s="358"/>
      <c r="G287" s="358"/>
      <c r="H287" s="358"/>
      <c r="I287" s="358"/>
      <c r="J287" s="358"/>
      <c r="K287" s="358"/>
      <c r="L287" s="358"/>
      <c r="M287" s="358"/>
      <c r="N287" s="358"/>
      <c r="O287" s="358"/>
      <c r="P287" s="358"/>
      <c r="Q287" s="358"/>
      <c r="R287" s="358"/>
      <c r="S287" s="358"/>
      <c r="T287" s="358"/>
      <c r="U287" s="358"/>
      <c r="V287" s="358"/>
      <c r="W287" s="358"/>
      <c r="X287" s="358"/>
      <c r="Y287" s="358"/>
      <c r="Z287" s="358"/>
      <c r="AA287" s="358"/>
    </row>
    <row r="288">
      <c r="A288" s="358"/>
      <c r="B288" s="358"/>
      <c r="C288" s="358"/>
      <c r="D288" s="358"/>
      <c r="E288" s="358"/>
      <c r="F288" s="358"/>
      <c r="G288" s="358"/>
      <c r="H288" s="358"/>
      <c r="I288" s="358"/>
      <c r="J288" s="358"/>
      <c r="K288" s="358"/>
      <c r="L288" s="358"/>
      <c r="M288" s="358"/>
      <c r="N288" s="358"/>
      <c r="O288" s="358"/>
      <c r="P288" s="358"/>
      <c r="Q288" s="358"/>
      <c r="R288" s="358"/>
      <c r="S288" s="358"/>
      <c r="T288" s="358"/>
      <c r="U288" s="358"/>
      <c r="V288" s="358"/>
      <c r="W288" s="358"/>
      <c r="X288" s="358"/>
      <c r="Y288" s="358"/>
      <c r="Z288" s="358"/>
      <c r="AA288" s="358"/>
    </row>
    <row r="289">
      <c r="A289" s="358"/>
      <c r="B289" s="358"/>
      <c r="C289" s="358"/>
      <c r="D289" s="358"/>
      <c r="E289" s="358"/>
      <c r="F289" s="358"/>
      <c r="G289" s="358"/>
      <c r="H289" s="358"/>
      <c r="I289" s="358"/>
      <c r="J289" s="358"/>
      <c r="K289" s="358"/>
      <c r="L289" s="358"/>
      <c r="M289" s="358"/>
      <c r="N289" s="358"/>
      <c r="O289" s="358"/>
      <c r="P289" s="358"/>
      <c r="Q289" s="358"/>
      <c r="R289" s="358"/>
      <c r="S289" s="358"/>
      <c r="T289" s="358"/>
      <c r="U289" s="358"/>
      <c r="V289" s="358"/>
      <c r="W289" s="358"/>
      <c r="X289" s="358"/>
      <c r="Y289" s="358"/>
      <c r="Z289" s="358"/>
      <c r="AA289" s="358"/>
    </row>
    <row r="290">
      <c r="A290" s="358"/>
      <c r="B290" s="358"/>
      <c r="C290" s="358"/>
      <c r="D290" s="358"/>
      <c r="E290" s="358"/>
      <c r="F290" s="358"/>
      <c r="G290" s="358"/>
      <c r="H290" s="358"/>
      <c r="I290" s="358"/>
      <c r="J290" s="358"/>
      <c r="K290" s="358"/>
      <c r="L290" s="358"/>
      <c r="M290" s="358"/>
      <c r="N290" s="358"/>
      <c r="O290" s="358"/>
      <c r="P290" s="358"/>
      <c r="Q290" s="358"/>
      <c r="R290" s="358"/>
      <c r="S290" s="358"/>
      <c r="T290" s="358"/>
      <c r="U290" s="358"/>
      <c r="V290" s="358"/>
      <c r="W290" s="358"/>
      <c r="X290" s="358"/>
      <c r="Y290" s="358"/>
      <c r="Z290" s="358"/>
      <c r="AA290" s="358"/>
    </row>
    <row r="291">
      <c r="A291" s="358"/>
      <c r="B291" s="358"/>
      <c r="C291" s="358"/>
      <c r="D291" s="358"/>
      <c r="E291" s="358"/>
      <c r="F291" s="358"/>
      <c r="G291" s="358"/>
      <c r="H291" s="358"/>
      <c r="I291" s="358"/>
      <c r="J291" s="358"/>
      <c r="K291" s="358"/>
      <c r="L291" s="358"/>
      <c r="M291" s="358"/>
      <c r="N291" s="358"/>
      <c r="O291" s="358"/>
      <c r="P291" s="358"/>
      <c r="Q291" s="358"/>
      <c r="R291" s="358"/>
      <c r="S291" s="358"/>
      <c r="T291" s="358"/>
      <c r="U291" s="358"/>
      <c r="V291" s="358"/>
      <c r="W291" s="358"/>
      <c r="X291" s="358"/>
      <c r="Y291" s="358"/>
      <c r="Z291" s="358"/>
      <c r="AA291" s="358"/>
    </row>
    <row r="292">
      <c r="A292" s="358"/>
      <c r="B292" s="358"/>
      <c r="C292" s="358"/>
      <c r="D292" s="358"/>
      <c r="E292" s="358"/>
      <c r="F292" s="358"/>
      <c r="G292" s="358"/>
      <c r="H292" s="358"/>
      <c r="I292" s="358"/>
      <c r="J292" s="358"/>
      <c r="K292" s="358"/>
      <c r="L292" s="358"/>
      <c r="M292" s="358"/>
      <c r="N292" s="358"/>
      <c r="O292" s="358"/>
      <c r="P292" s="358"/>
      <c r="Q292" s="358"/>
      <c r="R292" s="358"/>
      <c r="S292" s="358"/>
      <c r="T292" s="358"/>
      <c r="U292" s="358"/>
      <c r="V292" s="358"/>
      <c r="W292" s="358"/>
      <c r="X292" s="358"/>
      <c r="Y292" s="358"/>
      <c r="Z292" s="358"/>
      <c r="AA292" s="358"/>
    </row>
    <row r="293">
      <c r="A293" s="358"/>
      <c r="B293" s="358"/>
      <c r="C293" s="358"/>
      <c r="D293" s="358"/>
      <c r="E293" s="358"/>
      <c r="F293" s="358"/>
      <c r="G293" s="358"/>
      <c r="H293" s="358"/>
      <c r="I293" s="358"/>
      <c r="J293" s="358"/>
      <c r="K293" s="358"/>
      <c r="L293" s="358"/>
      <c r="M293" s="358"/>
      <c r="N293" s="358"/>
      <c r="O293" s="358"/>
      <c r="P293" s="358"/>
      <c r="Q293" s="358"/>
      <c r="R293" s="358"/>
      <c r="S293" s="358"/>
      <c r="T293" s="358"/>
      <c r="U293" s="358"/>
      <c r="V293" s="358"/>
      <c r="W293" s="358"/>
      <c r="X293" s="358"/>
      <c r="Y293" s="358"/>
      <c r="Z293" s="358"/>
      <c r="AA293" s="358"/>
    </row>
    <row r="294">
      <c r="A294" s="358"/>
      <c r="B294" s="358"/>
      <c r="C294" s="358"/>
      <c r="D294" s="358"/>
      <c r="E294" s="358"/>
      <c r="F294" s="358"/>
      <c r="G294" s="358"/>
      <c r="H294" s="358"/>
      <c r="I294" s="358"/>
      <c r="J294" s="358"/>
      <c r="K294" s="358"/>
      <c r="L294" s="358"/>
      <c r="M294" s="358"/>
      <c r="N294" s="358"/>
      <c r="O294" s="358"/>
      <c r="P294" s="358"/>
      <c r="Q294" s="358"/>
      <c r="R294" s="358"/>
      <c r="S294" s="358"/>
      <c r="T294" s="358"/>
      <c r="U294" s="358"/>
      <c r="V294" s="358"/>
      <c r="W294" s="358"/>
      <c r="X294" s="358"/>
      <c r="Y294" s="358"/>
      <c r="Z294" s="358"/>
      <c r="AA294" s="358"/>
    </row>
    <row r="295">
      <c r="A295" s="358"/>
      <c r="B295" s="358"/>
      <c r="C295" s="358"/>
      <c r="D295" s="358"/>
      <c r="E295" s="358"/>
      <c r="F295" s="358"/>
      <c r="G295" s="358"/>
      <c r="H295" s="358"/>
      <c r="I295" s="358"/>
      <c r="J295" s="358"/>
      <c r="K295" s="358"/>
      <c r="L295" s="358"/>
      <c r="M295" s="358"/>
      <c r="N295" s="358"/>
      <c r="O295" s="358"/>
      <c r="P295" s="358"/>
      <c r="Q295" s="358"/>
      <c r="R295" s="358"/>
      <c r="S295" s="358"/>
      <c r="T295" s="358"/>
      <c r="U295" s="358"/>
      <c r="V295" s="358"/>
      <c r="W295" s="358"/>
      <c r="X295" s="358"/>
      <c r="Y295" s="358"/>
      <c r="Z295" s="358"/>
      <c r="AA295" s="358"/>
    </row>
    <row r="296">
      <c r="A296" s="358"/>
      <c r="B296" s="358"/>
      <c r="C296" s="358"/>
      <c r="D296" s="358"/>
      <c r="E296" s="358"/>
      <c r="F296" s="358"/>
      <c r="G296" s="358"/>
      <c r="H296" s="358"/>
      <c r="I296" s="358"/>
      <c r="J296" s="358"/>
      <c r="K296" s="358"/>
      <c r="L296" s="358"/>
      <c r="M296" s="358"/>
      <c r="N296" s="358"/>
      <c r="O296" s="358"/>
      <c r="P296" s="358"/>
      <c r="Q296" s="358"/>
      <c r="R296" s="358"/>
      <c r="S296" s="358"/>
      <c r="T296" s="358"/>
      <c r="U296" s="358"/>
      <c r="V296" s="358"/>
      <c r="W296" s="358"/>
      <c r="X296" s="358"/>
      <c r="Y296" s="358"/>
      <c r="Z296" s="358"/>
      <c r="AA296" s="358"/>
    </row>
    <row r="297">
      <c r="A297" s="358"/>
      <c r="B297" s="358"/>
      <c r="C297" s="358"/>
      <c r="D297" s="358"/>
      <c r="E297" s="358"/>
      <c r="F297" s="358"/>
      <c r="G297" s="358"/>
      <c r="H297" s="358"/>
      <c r="I297" s="358"/>
      <c r="J297" s="358"/>
      <c r="K297" s="358"/>
      <c r="L297" s="358"/>
      <c r="M297" s="358"/>
      <c r="N297" s="358"/>
      <c r="O297" s="358"/>
      <c r="P297" s="358"/>
      <c r="Q297" s="358"/>
      <c r="R297" s="358"/>
      <c r="S297" s="358"/>
      <c r="T297" s="358"/>
      <c r="U297" s="358"/>
      <c r="V297" s="358"/>
      <c r="W297" s="358"/>
      <c r="X297" s="358"/>
      <c r="Y297" s="358"/>
      <c r="Z297" s="358"/>
      <c r="AA297" s="358"/>
    </row>
    <row r="298">
      <c r="A298" s="358"/>
      <c r="B298" s="358"/>
      <c r="C298" s="358"/>
      <c r="D298" s="358"/>
      <c r="E298" s="358"/>
      <c r="F298" s="358"/>
      <c r="G298" s="358"/>
      <c r="H298" s="358"/>
      <c r="I298" s="358"/>
      <c r="J298" s="358"/>
      <c r="K298" s="358"/>
      <c r="L298" s="358"/>
      <c r="M298" s="358"/>
      <c r="N298" s="358"/>
      <c r="O298" s="358"/>
      <c r="P298" s="358"/>
      <c r="Q298" s="358"/>
      <c r="R298" s="358"/>
      <c r="S298" s="358"/>
      <c r="T298" s="358"/>
      <c r="U298" s="358"/>
      <c r="V298" s="358"/>
      <c r="W298" s="358"/>
      <c r="X298" s="358"/>
      <c r="Y298" s="358"/>
      <c r="Z298" s="358"/>
      <c r="AA298" s="358"/>
    </row>
    <row r="299">
      <c r="A299" s="358"/>
      <c r="B299" s="358"/>
      <c r="C299" s="358"/>
      <c r="D299" s="358"/>
      <c r="E299" s="358"/>
      <c r="F299" s="358"/>
      <c r="G299" s="358"/>
      <c r="H299" s="358"/>
      <c r="I299" s="358"/>
      <c r="J299" s="358"/>
      <c r="K299" s="358"/>
      <c r="L299" s="358"/>
      <c r="M299" s="358"/>
      <c r="N299" s="358"/>
      <c r="O299" s="358"/>
      <c r="P299" s="358"/>
      <c r="Q299" s="358"/>
      <c r="R299" s="358"/>
      <c r="S299" s="358"/>
      <c r="T299" s="358"/>
      <c r="U299" s="358"/>
      <c r="V299" s="358"/>
      <c r="W299" s="358"/>
      <c r="X299" s="358"/>
      <c r="Y299" s="358"/>
      <c r="Z299" s="358"/>
      <c r="AA299" s="358"/>
    </row>
    <row r="300">
      <c r="A300" s="358"/>
      <c r="B300" s="358"/>
      <c r="C300" s="358"/>
      <c r="D300" s="358"/>
      <c r="E300" s="358"/>
      <c r="F300" s="358"/>
      <c r="G300" s="358"/>
      <c r="H300" s="358"/>
      <c r="I300" s="358"/>
      <c r="J300" s="358"/>
      <c r="K300" s="358"/>
      <c r="L300" s="358"/>
      <c r="M300" s="358"/>
      <c r="N300" s="358"/>
      <c r="O300" s="358"/>
      <c r="P300" s="358"/>
      <c r="Q300" s="358"/>
      <c r="R300" s="358"/>
      <c r="S300" s="358"/>
      <c r="T300" s="358"/>
      <c r="U300" s="358"/>
      <c r="V300" s="358"/>
      <c r="W300" s="358"/>
      <c r="X300" s="358"/>
      <c r="Y300" s="358"/>
      <c r="Z300" s="358"/>
      <c r="AA300" s="358"/>
    </row>
    <row r="301">
      <c r="A301" s="358"/>
      <c r="B301" s="358"/>
      <c r="C301" s="358"/>
      <c r="D301" s="358"/>
      <c r="E301" s="358"/>
      <c r="F301" s="358"/>
      <c r="G301" s="358"/>
      <c r="H301" s="358"/>
      <c r="I301" s="358"/>
      <c r="J301" s="358"/>
      <c r="K301" s="358"/>
      <c r="L301" s="358"/>
      <c r="M301" s="358"/>
      <c r="N301" s="358"/>
      <c r="O301" s="358"/>
      <c r="P301" s="358"/>
      <c r="Q301" s="358"/>
      <c r="R301" s="358"/>
      <c r="S301" s="358"/>
      <c r="T301" s="358"/>
      <c r="U301" s="358"/>
      <c r="V301" s="358"/>
      <c r="W301" s="358"/>
      <c r="X301" s="358"/>
      <c r="Y301" s="358"/>
      <c r="Z301" s="358"/>
      <c r="AA301" s="358"/>
    </row>
    <row r="302">
      <c r="A302" s="358"/>
      <c r="B302" s="358"/>
      <c r="C302" s="358"/>
      <c r="D302" s="358"/>
      <c r="E302" s="358"/>
      <c r="F302" s="358"/>
      <c r="G302" s="358"/>
      <c r="H302" s="358"/>
      <c r="I302" s="358"/>
      <c r="J302" s="358"/>
      <c r="K302" s="358"/>
      <c r="L302" s="358"/>
      <c r="M302" s="358"/>
      <c r="N302" s="358"/>
      <c r="O302" s="358"/>
      <c r="P302" s="358"/>
      <c r="Q302" s="358"/>
      <c r="R302" s="358"/>
      <c r="S302" s="358"/>
      <c r="T302" s="358"/>
      <c r="U302" s="358"/>
      <c r="V302" s="358"/>
      <c r="W302" s="358"/>
      <c r="X302" s="358"/>
      <c r="Y302" s="358"/>
      <c r="Z302" s="358"/>
      <c r="AA302" s="358"/>
    </row>
    <row r="303">
      <c r="A303" s="358"/>
      <c r="B303" s="358"/>
      <c r="C303" s="358"/>
      <c r="D303" s="358"/>
      <c r="E303" s="358"/>
      <c r="F303" s="358"/>
      <c r="G303" s="358"/>
      <c r="H303" s="358"/>
      <c r="I303" s="358"/>
      <c r="J303" s="358"/>
      <c r="K303" s="358"/>
      <c r="L303" s="358"/>
      <c r="M303" s="358"/>
      <c r="N303" s="358"/>
      <c r="O303" s="358"/>
      <c r="P303" s="358"/>
      <c r="Q303" s="358"/>
      <c r="R303" s="358"/>
      <c r="S303" s="358"/>
      <c r="T303" s="358"/>
      <c r="U303" s="358"/>
      <c r="V303" s="358"/>
      <c r="W303" s="358"/>
      <c r="X303" s="358"/>
      <c r="Y303" s="358"/>
      <c r="Z303" s="358"/>
      <c r="AA303" s="358"/>
    </row>
    <row r="304">
      <c r="A304" s="358"/>
      <c r="B304" s="358"/>
      <c r="C304" s="358"/>
      <c r="D304" s="358"/>
      <c r="E304" s="358"/>
      <c r="F304" s="358"/>
      <c r="G304" s="358"/>
      <c r="H304" s="358"/>
      <c r="I304" s="358"/>
      <c r="J304" s="358"/>
      <c r="K304" s="358"/>
      <c r="L304" s="358"/>
      <c r="M304" s="358"/>
      <c r="N304" s="358"/>
      <c r="O304" s="358"/>
      <c r="P304" s="358"/>
      <c r="Q304" s="358"/>
      <c r="R304" s="358"/>
      <c r="S304" s="358"/>
      <c r="T304" s="358"/>
      <c r="U304" s="358"/>
      <c r="V304" s="358"/>
      <c r="W304" s="358"/>
      <c r="X304" s="358"/>
      <c r="Y304" s="358"/>
      <c r="Z304" s="358"/>
      <c r="AA304" s="358"/>
    </row>
    <row r="305">
      <c r="A305" s="358"/>
      <c r="B305" s="358"/>
      <c r="C305" s="358"/>
      <c r="D305" s="358"/>
      <c r="E305" s="358"/>
      <c r="F305" s="358"/>
      <c r="G305" s="358"/>
      <c r="H305" s="358"/>
      <c r="I305" s="358"/>
      <c r="J305" s="358"/>
      <c r="K305" s="358"/>
      <c r="L305" s="358"/>
      <c r="M305" s="358"/>
      <c r="N305" s="358"/>
      <c r="O305" s="358"/>
      <c r="P305" s="358"/>
      <c r="Q305" s="358"/>
      <c r="R305" s="358"/>
      <c r="S305" s="358"/>
      <c r="T305" s="358"/>
      <c r="U305" s="358"/>
      <c r="V305" s="358"/>
      <c r="W305" s="358"/>
      <c r="X305" s="358"/>
      <c r="Y305" s="358"/>
      <c r="Z305" s="358"/>
      <c r="AA305" s="358"/>
    </row>
    <row r="306">
      <c r="A306" s="358"/>
      <c r="B306" s="358"/>
      <c r="C306" s="358"/>
      <c r="D306" s="358"/>
      <c r="E306" s="358"/>
      <c r="F306" s="358"/>
      <c r="G306" s="358"/>
      <c r="H306" s="358"/>
      <c r="I306" s="358"/>
      <c r="J306" s="358"/>
      <c r="K306" s="358"/>
      <c r="L306" s="358"/>
      <c r="M306" s="358"/>
      <c r="N306" s="358"/>
      <c r="O306" s="358"/>
      <c r="P306" s="358"/>
      <c r="Q306" s="358"/>
      <c r="R306" s="358"/>
      <c r="S306" s="358"/>
      <c r="T306" s="358"/>
      <c r="U306" s="358"/>
      <c r="V306" s="358"/>
      <c r="W306" s="358"/>
      <c r="X306" s="358"/>
      <c r="Y306" s="358"/>
      <c r="Z306" s="358"/>
      <c r="AA306" s="358"/>
    </row>
    <row r="307">
      <c r="A307" s="358"/>
      <c r="B307" s="358"/>
      <c r="C307" s="358"/>
      <c r="D307" s="358"/>
      <c r="E307" s="358"/>
      <c r="F307" s="358"/>
      <c r="G307" s="358"/>
      <c r="H307" s="358"/>
      <c r="I307" s="358"/>
      <c r="J307" s="358"/>
      <c r="K307" s="358"/>
      <c r="L307" s="358"/>
      <c r="M307" s="358"/>
      <c r="N307" s="358"/>
      <c r="O307" s="358"/>
      <c r="P307" s="358"/>
      <c r="Q307" s="358"/>
      <c r="R307" s="358"/>
      <c r="S307" s="358"/>
      <c r="T307" s="358"/>
      <c r="U307" s="358"/>
      <c r="V307" s="358"/>
      <c r="W307" s="358"/>
      <c r="X307" s="358"/>
      <c r="Y307" s="358"/>
      <c r="Z307" s="358"/>
      <c r="AA307" s="358"/>
    </row>
    <row r="308">
      <c r="A308" s="358"/>
      <c r="B308" s="358"/>
      <c r="C308" s="358"/>
      <c r="D308" s="358"/>
      <c r="E308" s="358"/>
      <c r="F308" s="358"/>
      <c r="G308" s="358"/>
      <c r="H308" s="358"/>
      <c r="I308" s="358"/>
      <c r="J308" s="358"/>
      <c r="K308" s="358"/>
      <c r="L308" s="358"/>
      <c r="M308" s="358"/>
      <c r="N308" s="358"/>
      <c r="O308" s="358"/>
      <c r="P308" s="358"/>
      <c r="Q308" s="358"/>
      <c r="R308" s="358"/>
      <c r="S308" s="358"/>
      <c r="T308" s="358"/>
      <c r="U308" s="358"/>
      <c r="V308" s="358"/>
      <c r="W308" s="358"/>
      <c r="X308" s="358"/>
      <c r="Y308" s="358"/>
      <c r="Z308" s="358"/>
      <c r="AA308" s="358"/>
    </row>
    <row r="309">
      <c r="A309" s="358"/>
      <c r="B309" s="358"/>
      <c r="C309" s="358"/>
      <c r="D309" s="358"/>
      <c r="E309" s="358"/>
      <c r="F309" s="358"/>
      <c r="G309" s="358"/>
      <c r="H309" s="358"/>
      <c r="I309" s="358"/>
      <c r="J309" s="358"/>
      <c r="K309" s="358"/>
      <c r="L309" s="358"/>
      <c r="M309" s="358"/>
      <c r="N309" s="358"/>
      <c r="O309" s="358"/>
      <c r="P309" s="358"/>
      <c r="Q309" s="358"/>
      <c r="R309" s="358"/>
      <c r="S309" s="358"/>
      <c r="T309" s="358"/>
      <c r="U309" s="358"/>
      <c r="V309" s="358"/>
      <c r="W309" s="358"/>
      <c r="X309" s="358"/>
      <c r="Y309" s="358"/>
      <c r="Z309" s="358"/>
      <c r="AA309" s="358"/>
    </row>
    <row r="310">
      <c r="A310" s="358"/>
      <c r="B310" s="358"/>
      <c r="C310" s="358"/>
      <c r="D310" s="358"/>
      <c r="E310" s="358"/>
      <c r="F310" s="358"/>
      <c r="G310" s="358"/>
      <c r="H310" s="358"/>
      <c r="I310" s="358"/>
      <c r="J310" s="358"/>
      <c r="K310" s="358"/>
      <c r="L310" s="358"/>
      <c r="M310" s="358"/>
      <c r="N310" s="358"/>
      <c r="O310" s="358"/>
      <c r="P310" s="358"/>
      <c r="Q310" s="358"/>
      <c r="R310" s="358"/>
      <c r="S310" s="358"/>
      <c r="T310" s="358"/>
      <c r="U310" s="358"/>
      <c r="V310" s="358"/>
      <c r="W310" s="358"/>
      <c r="X310" s="358"/>
      <c r="Y310" s="358"/>
      <c r="Z310" s="358"/>
      <c r="AA310" s="358"/>
    </row>
    <row r="311">
      <c r="A311" s="358"/>
      <c r="B311" s="358"/>
      <c r="C311" s="358"/>
      <c r="D311" s="358"/>
      <c r="E311" s="358"/>
      <c r="F311" s="358"/>
      <c r="G311" s="358"/>
      <c r="H311" s="358"/>
      <c r="I311" s="358"/>
      <c r="J311" s="358"/>
      <c r="K311" s="358"/>
      <c r="L311" s="358"/>
      <c r="M311" s="358"/>
      <c r="N311" s="358"/>
      <c r="O311" s="358"/>
      <c r="P311" s="358"/>
      <c r="Q311" s="358"/>
      <c r="R311" s="358"/>
      <c r="S311" s="358"/>
      <c r="T311" s="358"/>
      <c r="U311" s="358"/>
      <c r="V311" s="358"/>
      <c r="W311" s="358"/>
      <c r="X311" s="358"/>
      <c r="Y311" s="358"/>
      <c r="Z311" s="358"/>
      <c r="AA311" s="358"/>
    </row>
    <row r="312">
      <c r="A312" s="358"/>
      <c r="B312" s="358"/>
      <c r="C312" s="358"/>
      <c r="D312" s="358"/>
      <c r="E312" s="358"/>
      <c r="F312" s="358"/>
      <c r="G312" s="358"/>
      <c r="H312" s="358"/>
      <c r="I312" s="358"/>
      <c r="J312" s="358"/>
      <c r="K312" s="358"/>
      <c r="L312" s="358"/>
      <c r="M312" s="358"/>
      <c r="N312" s="358"/>
      <c r="O312" s="358"/>
      <c r="P312" s="358"/>
      <c r="Q312" s="358"/>
      <c r="R312" s="358"/>
      <c r="S312" s="358"/>
      <c r="T312" s="358"/>
      <c r="U312" s="358"/>
      <c r="V312" s="358"/>
      <c r="W312" s="358"/>
      <c r="X312" s="358"/>
      <c r="Y312" s="358"/>
      <c r="Z312" s="358"/>
      <c r="AA312" s="358"/>
    </row>
    <row r="313">
      <c r="A313" s="358"/>
      <c r="B313" s="358"/>
      <c r="C313" s="358"/>
      <c r="D313" s="358"/>
      <c r="E313" s="358"/>
      <c r="F313" s="358"/>
      <c r="G313" s="358"/>
      <c r="H313" s="358"/>
      <c r="I313" s="358"/>
      <c r="J313" s="358"/>
      <c r="K313" s="358"/>
      <c r="L313" s="358"/>
      <c r="M313" s="358"/>
      <c r="N313" s="358"/>
      <c r="O313" s="358"/>
      <c r="P313" s="358"/>
      <c r="Q313" s="358"/>
      <c r="R313" s="358"/>
      <c r="S313" s="358"/>
      <c r="T313" s="358"/>
      <c r="U313" s="358"/>
      <c r="V313" s="358"/>
      <c r="W313" s="358"/>
      <c r="X313" s="358"/>
      <c r="Y313" s="358"/>
      <c r="Z313" s="358"/>
      <c r="AA313" s="358"/>
    </row>
    <row r="314">
      <c r="A314" s="358"/>
      <c r="B314" s="358"/>
      <c r="C314" s="358"/>
      <c r="D314" s="358"/>
      <c r="E314" s="358"/>
      <c r="F314" s="358"/>
      <c r="G314" s="358"/>
      <c r="H314" s="358"/>
      <c r="I314" s="358"/>
      <c r="J314" s="358"/>
      <c r="K314" s="358"/>
      <c r="L314" s="358"/>
      <c r="M314" s="358"/>
      <c r="N314" s="358"/>
      <c r="O314" s="358"/>
      <c r="P314" s="358"/>
      <c r="Q314" s="358"/>
      <c r="R314" s="358"/>
      <c r="S314" s="358"/>
      <c r="T314" s="358"/>
      <c r="U314" s="358"/>
      <c r="V314" s="358"/>
      <c r="W314" s="358"/>
      <c r="X314" s="358"/>
      <c r="Y314" s="358"/>
      <c r="Z314" s="358"/>
      <c r="AA314" s="358"/>
    </row>
    <row r="315">
      <c r="A315" s="358"/>
      <c r="B315" s="358"/>
      <c r="C315" s="358"/>
      <c r="D315" s="358"/>
      <c r="E315" s="358"/>
      <c r="F315" s="358"/>
      <c r="G315" s="358"/>
      <c r="H315" s="358"/>
      <c r="I315" s="358"/>
      <c r="J315" s="358"/>
      <c r="K315" s="358"/>
      <c r="L315" s="358"/>
      <c r="M315" s="358"/>
      <c r="N315" s="358"/>
      <c r="O315" s="358"/>
      <c r="P315" s="358"/>
      <c r="Q315" s="358"/>
      <c r="R315" s="358"/>
      <c r="S315" s="358"/>
      <c r="T315" s="358"/>
      <c r="U315" s="358"/>
      <c r="V315" s="358"/>
      <c r="W315" s="358"/>
      <c r="X315" s="358"/>
      <c r="Y315" s="358"/>
      <c r="Z315" s="358"/>
      <c r="AA315" s="358"/>
    </row>
    <row r="316">
      <c r="A316" s="358"/>
      <c r="B316" s="358"/>
      <c r="C316" s="358"/>
      <c r="D316" s="358"/>
      <c r="E316" s="358"/>
      <c r="F316" s="358"/>
      <c r="G316" s="358"/>
      <c r="H316" s="358"/>
      <c r="I316" s="358"/>
      <c r="J316" s="358"/>
      <c r="K316" s="358"/>
      <c r="L316" s="358"/>
      <c r="M316" s="358"/>
      <c r="N316" s="358"/>
      <c r="O316" s="358"/>
      <c r="P316" s="358"/>
      <c r="Q316" s="358"/>
      <c r="R316" s="358"/>
      <c r="S316" s="358"/>
      <c r="T316" s="358"/>
      <c r="U316" s="358"/>
      <c r="V316" s="358"/>
      <c r="W316" s="358"/>
      <c r="X316" s="358"/>
      <c r="Y316" s="358"/>
      <c r="Z316" s="358"/>
      <c r="AA316" s="358"/>
    </row>
    <row r="317">
      <c r="A317" s="358"/>
      <c r="B317" s="358"/>
      <c r="C317" s="358"/>
      <c r="D317" s="358"/>
      <c r="E317" s="358"/>
      <c r="F317" s="358"/>
      <c r="G317" s="358"/>
      <c r="H317" s="358"/>
      <c r="I317" s="358"/>
      <c r="J317" s="358"/>
      <c r="K317" s="358"/>
      <c r="L317" s="358"/>
      <c r="M317" s="358"/>
      <c r="N317" s="358"/>
      <c r="O317" s="358"/>
      <c r="P317" s="358"/>
      <c r="Q317" s="358"/>
      <c r="R317" s="358"/>
      <c r="S317" s="358"/>
      <c r="T317" s="358"/>
      <c r="U317" s="358"/>
      <c r="V317" s="358"/>
      <c r="W317" s="358"/>
      <c r="X317" s="358"/>
      <c r="Y317" s="358"/>
      <c r="Z317" s="358"/>
      <c r="AA317" s="358"/>
    </row>
    <row r="318">
      <c r="A318" s="358"/>
      <c r="B318" s="358"/>
      <c r="C318" s="358"/>
      <c r="D318" s="358"/>
      <c r="E318" s="358"/>
      <c r="F318" s="358"/>
      <c r="G318" s="358"/>
      <c r="H318" s="358"/>
      <c r="I318" s="358"/>
      <c r="J318" s="358"/>
      <c r="K318" s="358"/>
      <c r="L318" s="358"/>
      <c r="M318" s="358"/>
      <c r="N318" s="358"/>
      <c r="O318" s="358"/>
      <c r="P318" s="358"/>
      <c r="Q318" s="358"/>
      <c r="R318" s="358"/>
      <c r="S318" s="358"/>
      <c r="T318" s="358"/>
      <c r="U318" s="358"/>
      <c r="V318" s="358"/>
      <c r="W318" s="358"/>
      <c r="X318" s="358"/>
      <c r="Y318" s="358"/>
      <c r="Z318" s="358"/>
      <c r="AA318" s="358"/>
    </row>
    <row r="319">
      <c r="A319" s="358"/>
      <c r="B319" s="358"/>
      <c r="C319" s="358"/>
      <c r="D319" s="358"/>
      <c r="E319" s="358"/>
      <c r="F319" s="358"/>
      <c r="G319" s="358"/>
      <c r="H319" s="358"/>
      <c r="I319" s="358"/>
      <c r="J319" s="358"/>
      <c r="K319" s="358"/>
      <c r="L319" s="358"/>
      <c r="M319" s="358"/>
      <c r="N319" s="358"/>
      <c r="O319" s="358"/>
      <c r="P319" s="358"/>
      <c r="Q319" s="358"/>
      <c r="R319" s="358"/>
      <c r="S319" s="358"/>
      <c r="T319" s="358"/>
      <c r="U319" s="358"/>
      <c r="V319" s="358"/>
      <c r="W319" s="358"/>
      <c r="X319" s="358"/>
      <c r="Y319" s="358"/>
      <c r="Z319" s="358"/>
      <c r="AA319" s="358"/>
    </row>
    <row r="320">
      <c r="A320" s="358"/>
      <c r="B320" s="358"/>
      <c r="C320" s="358"/>
      <c r="D320" s="358"/>
      <c r="E320" s="358"/>
      <c r="F320" s="358"/>
      <c r="G320" s="358"/>
      <c r="H320" s="358"/>
      <c r="I320" s="358"/>
      <c r="J320" s="358"/>
      <c r="K320" s="358"/>
      <c r="L320" s="358"/>
      <c r="M320" s="358"/>
      <c r="N320" s="358"/>
      <c r="O320" s="358"/>
      <c r="P320" s="358"/>
      <c r="Q320" s="358"/>
      <c r="R320" s="358"/>
      <c r="S320" s="358"/>
      <c r="T320" s="358"/>
      <c r="U320" s="358"/>
      <c r="V320" s="358"/>
      <c r="W320" s="358"/>
      <c r="X320" s="358"/>
      <c r="Y320" s="358"/>
      <c r="Z320" s="358"/>
      <c r="AA320" s="358"/>
    </row>
    <row r="321">
      <c r="A321" s="358"/>
      <c r="B321" s="358"/>
      <c r="C321" s="358"/>
      <c r="D321" s="358"/>
      <c r="E321" s="358"/>
      <c r="F321" s="358"/>
      <c r="G321" s="358"/>
      <c r="H321" s="358"/>
      <c r="I321" s="358"/>
      <c r="J321" s="358"/>
      <c r="K321" s="358"/>
      <c r="L321" s="358"/>
      <c r="M321" s="358"/>
      <c r="N321" s="358"/>
      <c r="O321" s="358"/>
      <c r="P321" s="358"/>
      <c r="Q321" s="358"/>
      <c r="R321" s="358"/>
      <c r="S321" s="358"/>
      <c r="T321" s="358"/>
      <c r="U321" s="358"/>
      <c r="V321" s="358"/>
      <c r="W321" s="358"/>
      <c r="X321" s="358"/>
      <c r="Y321" s="358"/>
      <c r="Z321" s="358"/>
      <c r="AA321" s="358"/>
    </row>
    <row r="322">
      <c r="A322" s="358"/>
      <c r="B322" s="358"/>
      <c r="C322" s="358"/>
      <c r="D322" s="358"/>
      <c r="E322" s="358"/>
      <c r="F322" s="358"/>
      <c r="G322" s="358"/>
      <c r="H322" s="358"/>
      <c r="I322" s="358"/>
      <c r="J322" s="358"/>
      <c r="K322" s="358"/>
      <c r="L322" s="358"/>
      <c r="M322" s="358"/>
      <c r="N322" s="358"/>
      <c r="O322" s="358"/>
      <c r="P322" s="358"/>
      <c r="Q322" s="358"/>
      <c r="R322" s="358"/>
      <c r="S322" s="358"/>
      <c r="T322" s="358"/>
      <c r="U322" s="358"/>
      <c r="V322" s="358"/>
      <c r="W322" s="358"/>
      <c r="X322" s="358"/>
      <c r="Y322" s="358"/>
      <c r="Z322" s="358"/>
      <c r="AA322" s="358"/>
    </row>
    <row r="323">
      <c r="A323" s="358"/>
      <c r="B323" s="358"/>
      <c r="C323" s="358"/>
      <c r="D323" s="358"/>
      <c r="E323" s="358"/>
      <c r="F323" s="358"/>
      <c r="G323" s="358"/>
      <c r="H323" s="358"/>
      <c r="I323" s="358"/>
      <c r="J323" s="358"/>
      <c r="K323" s="358"/>
      <c r="L323" s="358"/>
      <c r="M323" s="358"/>
      <c r="N323" s="358"/>
      <c r="O323" s="358"/>
      <c r="P323" s="358"/>
      <c r="Q323" s="358"/>
      <c r="R323" s="358"/>
      <c r="S323" s="358"/>
      <c r="T323" s="358"/>
      <c r="U323" s="358"/>
      <c r="V323" s="358"/>
      <c r="W323" s="358"/>
      <c r="X323" s="358"/>
      <c r="Y323" s="358"/>
      <c r="Z323" s="358"/>
      <c r="AA323" s="358"/>
    </row>
    <row r="324">
      <c r="A324" s="358"/>
      <c r="B324" s="358"/>
      <c r="C324" s="358"/>
      <c r="D324" s="358"/>
      <c r="E324" s="358"/>
      <c r="F324" s="358"/>
      <c r="G324" s="358"/>
      <c r="H324" s="358"/>
      <c r="I324" s="358"/>
      <c r="J324" s="358"/>
      <c r="K324" s="358"/>
      <c r="L324" s="358"/>
      <c r="M324" s="358"/>
      <c r="N324" s="358"/>
      <c r="O324" s="358"/>
      <c r="P324" s="358"/>
      <c r="Q324" s="358"/>
      <c r="R324" s="358"/>
      <c r="S324" s="358"/>
      <c r="T324" s="358"/>
      <c r="U324" s="358"/>
      <c r="V324" s="358"/>
      <c r="W324" s="358"/>
      <c r="X324" s="358"/>
      <c r="Y324" s="358"/>
      <c r="Z324" s="358"/>
      <c r="AA324" s="358"/>
    </row>
    <row r="325">
      <c r="A325" s="358"/>
      <c r="B325" s="358"/>
      <c r="C325" s="358"/>
      <c r="D325" s="358"/>
      <c r="E325" s="358"/>
      <c r="F325" s="358"/>
      <c r="G325" s="358"/>
      <c r="H325" s="358"/>
      <c r="I325" s="358"/>
      <c r="J325" s="358"/>
      <c r="K325" s="358"/>
      <c r="L325" s="358"/>
      <c r="M325" s="358"/>
      <c r="N325" s="358"/>
      <c r="O325" s="358"/>
      <c r="P325" s="358"/>
      <c r="Q325" s="358"/>
      <c r="R325" s="358"/>
      <c r="S325" s="358"/>
      <c r="T325" s="358"/>
      <c r="U325" s="358"/>
      <c r="V325" s="358"/>
      <c r="W325" s="358"/>
      <c r="X325" s="358"/>
      <c r="Y325" s="358"/>
      <c r="Z325" s="358"/>
      <c r="AA325" s="358"/>
    </row>
    <row r="326">
      <c r="A326" s="358"/>
      <c r="B326" s="358"/>
      <c r="C326" s="358"/>
      <c r="D326" s="358"/>
      <c r="E326" s="358"/>
      <c r="F326" s="358"/>
      <c r="G326" s="358"/>
      <c r="H326" s="358"/>
      <c r="I326" s="358"/>
      <c r="J326" s="358"/>
      <c r="K326" s="358"/>
      <c r="L326" s="358"/>
      <c r="M326" s="358"/>
      <c r="N326" s="358"/>
      <c r="O326" s="358"/>
      <c r="P326" s="358"/>
      <c r="Q326" s="358"/>
      <c r="R326" s="358"/>
      <c r="S326" s="358"/>
      <c r="T326" s="358"/>
      <c r="U326" s="358"/>
      <c r="V326" s="358"/>
      <c r="W326" s="358"/>
      <c r="X326" s="358"/>
      <c r="Y326" s="358"/>
      <c r="Z326" s="358"/>
      <c r="AA326" s="358"/>
    </row>
    <row r="327">
      <c r="A327" s="358"/>
      <c r="B327" s="358"/>
      <c r="C327" s="358"/>
      <c r="D327" s="358"/>
      <c r="E327" s="358"/>
      <c r="F327" s="358"/>
      <c r="G327" s="358"/>
      <c r="H327" s="358"/>
      <c r="I327" s="358"/>
      <c r="J327" s="358"/>
      <c r="K327" s="358"/>
      <c r="L327" s="358"/>
      <c r="M327" s="358"/>
      <c r="N327" s="358"/>
      <c r="O327" s="358"/>
      <c r="P327" s="358"/>
      <c r="Q327" s="358"/>
      <c r="R327" s="358"/>
      <c r="S327" s="358"/>
      <c r="T327" s="358"/>
      <c r="U327" s="358"/>
      <c r="V327" s="358"/>
      <c r="W327" s="358"/>
      <c r="X327" s="358"/>
      <c r="Y327" s="358"/>
      <c r="Z327" s="358"/>
      <c r="AA327" s="358"/>
    </row>
    <row r="328">
      <c r="A328" s="358"/>
      <c r="B328" s="358"/>
      <c r="C328" s="358"/>
      <c r="D328" s="358"/>
      <c r="E328" s="358"/>
      <c r="F328" s="358"/>
      <c r="G328" s="358"/>
      <c r="H328" s="358"/>
      <c r="I328" s="358"/>
      <c r="J328" s="358"/>
      <c r="K328" s="358"/>
      <c r="L328" s="358"/>
      <c r="M328" s="358"/>
      <c r="N328" s="358"/>
      <c r="O328" s="358"/>
      <c r="P328" s="358"/>
      <c r="Q328" s="358"/>
      <c r="R328" s="358"/>
      <c r="S328" s="358"/>
      <c r="T328" s="358"/>
      <c r="U328" s="358"/>
      <c r="V328" s="358"/>
      <c r="W328" s="358"/>
      <c r="X328" s="358"/>
      <c r="Y328" s="358"/>
      <c r="Z328" s="358"/>
      <c r="AA328" s="358"/>
    </row>
    <row r="329">
      <c r="A329" s="358"/>
      <c r="B329" s="358"/>
      <c r="C329" s="358"/>
      <c r="D329" s="358"/>
      <c r="E329" s="358"/>
      <c r="F329" s="358"/>
      <c r="G329" s="358"/>
      <c r="H329" s="358"/>
      <c r="I329" s="358"/>
      <c r="J329" s="358"/>
      <c r="K329" s="358"/>
      <c r="L329" s="358"/>
      <c r="M329" s="358"/>
      <c r="N329" s="358"/>
      <c r="O329" s="358"/>
      <c r="P329" s="358"/>
      <c r="Q329" s="358"/>
      <c r="R329" s="358"/>
      <c r="S329" s="358"/>
      <c r="T329" s="358"/>
      <c r="U329" s="358"/>
      <c r="V329" s="358"/>
      <c r="W329" s="358"/>
      <c r="X329" s="358"/>
      <c r="Y329" s="358"/>
      <c r="Z329" s="358"/>
      <c r="AA329" s="358"/>
    </row>
    <row r="330">
      <c r="A330" s="358"/>
      <c r="B330" s="358"/>
      <c r="C330" s="358"/>
      <c r="D330" s="358"/>
      <c r="E330" s="358"/>
      <c r="F330" s="358"/>
      <c r="G330" s="358"/>
      <c r="H330" s="358"/>
      <c r="I330" s="358"/>
      <c r="J330" s="358"/>
      <c r="K330" s="358"/>
      <c r="L330" s="358"/>
      <c r="M330" s="358"/>
      <c r="N330" s="358"/>
      <c r="O330" s="358"/>
      <c r="P330" s="358"/>
      <c r="Q330" s="358"/>
      <c r="R330" s="358"/>
      <c r="S330" s="358"/>
      <c r="T330" s="358"/>
      <c r="U330" s="358"/>
      <c r="V330" s="358"/>
      <c r="W330" s="358"/>
      <c r="X330" s="358"/>
      <c r="Y330" s="358"/>
      <c r="Z330" s="358"/>
      <c r="AA330" s="358"/>
    </row>
    <row r="331">
      <c r="A331" s="358"/>
      <c r="B331" s="358"/>
      <c r="C331" s="358"/>
      <c r="D331" s="358"/>
      <c r="E331" s="358"/>
      <c r="F331" s="358"/>
      <c r="G331" s="358"/>
      <c r="H331" s="358"/>
      <c r="I331" s="358"/>
      <c r="J331" s="358"/>
      <c r="K331" s="358"/>
      <c r="L331" s="358"/>
      <c r="M331" s="358"/>
      <c r="N331" s="358"/>
      <c r="O331" s="358"/>
      <c r="P331" s="358"/>
      <c r="Q331" s="358"/>
      <c r="R331" s="358"/>
      <c r="S331" s="358"/>
      <c r="T331" s="358"/>
      <c r="U331" s="358"/>
      <c r="V331" s="358"/>
      <c r="W331" s="358"/>
      <c r="X331" s="358"/>
      <c r="Y331" s="358"/>
      <c r="Z331" s="358"/>
      <c r="AA331" s="358"/>
    </row>
    <row r="332">
      <c r="A332" s="358"/>
      <c r="B332" s="358"/>
      <c r="C332" s="358"/>
      <c r="D332" s="358"/>
      <c r="E332" s="358"/>
      <c r="F332" s="358"/>
      <c r="G332" s="358"/>
      <c r="H332" s="358"/>
      <c r="I332" s="358"/>
      <c r="J332" s="358"/>
      <c r="K332" s="358"/>
      <c r="L332" s="358"/>
      <c r="M332" s="358"/>
      <c r="N332" s="358"/>
      <c r="O332" s="358"/>
      <c r="P332" s="358"/>
      <c r="Q332" s="358"/>
      <c r="R332" s="358"/>
      <c r="S332" s="358"/>
      <c r="T332" s="358"/>
      <c r="U332" s="358"/>
      <c r="V332" s="358"/>
      <c r="W332" s="358"/>
      <c r="X332" s="358"/>
      <c r="Y332" s="358"/>
      <c r="Z332" s="358"/>
      <c r="AA332" s="358"/>
    </row>
    <row r="333">
      <c r="A333" s="358"/>
      <c r="B333" s="358"/>
      <c r="C333" s="358"/>
      <c r="D333" s="358"/>
      <c r="E333" s="358"/>
      <c r="F333" s="358"/>
      <c r="G333" s="358"/>
      <c r="H333" s="358"/>
      <c r="I333" s="358"/>
      <c r="J333" s="358"/>
      <c r="K333" s="358"/>
      <c r="L333" s="358"/>
      <c r="M333" s="358"/>
      <c r="N333" s="358"/>
      <c r="O333" s="358"/>
      <c r="P333" s="358"/>
      <c r="Q333" s="358"/>
      <c r="R333" s="358"/>
      <c r="S333" s="358"/>
      <c r="T333" s="358"/>
      <c r="U333" s="358"/>
      <c r="V333" s="358"/>
      <c r="W333" s="358"/>
      <c r="X333" s="358"/>
      <c r="Y333" s="358"/>
      <c r="Z333" s="358"/>
      <c r="AA333" s="358"/>
    </row>
    <row r="334">
      <c r="A334" s="358"/>
      <c r="B334" s="358"/>
      <c r="C334" s="358"/>
      <c r="D334" s="358"/>
      <c r="E334" s="358"/>
      <c r="F334" s="358"/>
      <c r="G334" s="358"/>
      <c r="H334" s="358"/>
      <c r="I334" s="358"/>
      <c r="J334" s="358"/>
      <c r="K334" s="358"/>
      <c r="L334" s="358"/>
      <c r="M334" s="358"/>
      <c r="N334" s="358"/>
      <c r="O334" s="358"/>
      <c r="P334" s="358"/>
      <c r="Q334" s="358"/>
      <c r="R334" s="358"/>
      <c r="S334" s="358"/>
      <c r="T334" s="358"/>
      <c r="U334" s="358"/>
      <c r="V334" s="358"/>
      <c r="W334" s="358"/>
      <c r="X334" s="358"/>
      <c r="Y334" s="358"/>
      <c r="Z334" s="358"/>
      <c r="AA334" s="358"/>
    </row>
    <row r="335">
      <c r="A335" s="358"/>
      <c r="B335" s="358"/>
      <c r="C335" s="358"/>
      <c r="D335" s="358"/>
      <c r="E335" s="358"/>
      <c r="F335" s="358"/>
      <c r="G335" s="358"/>
      <c r="H335" s="358"/>
      <c r="I335" s="358"/>
      <c r="J335" s="358"/>
      <c r="K335" s="358"/>
      <c r="L335" s="358"/>
      <c r="M335" s="358"/>
      <c r="N335" s="358"/>
      <c r="O335" s="358"/>
      <c r="P335" s="358"/>
      <c r="Q335" s="358"/>
      <c r="R335" s="358"/>
      <c r="S335" s="358"/>
      <c r="T335" s="358"/>
      <c r="U335" s="358"/>
      <c r="V335" s="358"/>
      <c r="W335" s="358"/>
      <c r="X335" s="358"/>
      <c r="Y335" s="358"/>
      <c r="Z335" s="358"/>
      <c r="AA335" s="358"/>
    </row>
    <row r="336">
      <c r="A336" s="358"/>
      <c r="B336" s="358"/>
      <c r="C336" s="358"/>
      <c r="D336" s="358"/>
      <c r="E336" s="358"/>
      <c r="F336" s="358"/>
      <c r="G336" s="358"/>
      <c r="H336" s="358"/>
      <c r="I336" s="358"/>
      <c r="J336" s="358"/>
      <c r="K336" s="358"/>
      <c r="L336" s="358"/>
      <c r="M336" s="358"/>
      <c r="N336" s="358"/>
      <c r="O336" s="358"/>
      <c r="P336" s="358"/>
      <c r="Q336" s="358"/>
      <c r="R336" s="358"/>
      <c r="S336" s="358"/>
      <c r="T336" s="358"/>
      <c r="U336" s="358"/>
      <c r="V336" s="358"/>
      <c r="W336" s="358"/>
      <c r="X336" s="358"/>
      <c r="Y336" s="358"/>
      <c r="Z336" s="358"/>
      <c r="AA336" s="358"/>
    </row>
    <row r="337">
      <c r="A337" s="358"/>
      <c r="B337" s="358"/>
      <c r="C337" s="358"/>
      <c r="D337" s="358"/>
      <c r="E337" s="358"/>
      <c r="F337" s="358"/>
      <c r="G337" s="358"/>
      <c r="H337" s="358"/>
      <c r="I337" s="358"/>
      <c r="J337" s="358"/>
      <c r="K337" s="358"/>
      <c r="L337" s="358"/>
      <c r="M337" s="358"/>
      <c r="N337" s="358"/>
      <c r="O337" s="358"/>
      <c r="P337" s="358"/>
      <c r="Q337" s="358"/>
      <c r="R337" s="358"/>
      <c r="S337" s="358"/>
      <c r="T337" s="358"/>
      <c r="U337" s="358"/>
      <c r="V337" s="358"/>
      <c r="W337" s="358"/>
      <c r="X337" s="358"/>
      <c r="Y337" s="358"/>
      <c r="Z337" s="358"/>
      <c r="AA337" s="358"/>
    </row>
    <row r="338">
      <c r="A338" s="358"/>
      <c r="B338" s="358"/>
      <c r="C338" s="358"/>
      <c r="D338" s="358"/>
      <c r="E338" s="358"/>
      <c r="F338" s="358"/>
      <c r="G338" s="358"/>
      <c r="H338" s="358"/>
      <c r="I338" s="358"/>
      <c r="J338" s="358"/>
      <c r="K338" s="358"/>
      <c r="L338" s="358"/>
      <c r="M338" s="358"/>
      <c r="N338" s="358"/>
      <c r="O338" s="358"/>
      <c r="P338" s="358"/>
      <c r="Q338" s="358"/>
      <c r="R338" s="358"/>
      <c r="S338" s="358"/>
      <c r="T338" s="358"/>
      <c r="U338" s="358"/>
      <c r="V338" s="358"/>
      <c r="W338" s="358"/>
      <c r="X338" s="358"/>
      <c r="Y338" s="358"/>
      <c r="Z338" s="358"/>
      <c r="AA338" s="358"/>
    </row>
    <row r="339">
      <c r="A339" s="358"/>
      <c r="B339" s="358"/>
      <c r="C339" s="358"/>
      <c r="D339" s="358"/>
      <c r="E339" s="358"/>
      <c r="F339" s="358"/>
      <c r="G339" s="358"/>
      <c r="H339" s="358"/>
      <c r="I339" s="358"/>
      <c r="J339" s="358"/>
      <c r="K339" s="358"/>
      <c r="L339" s="358"/>
      <c r="M339" s="358"/>
      <c r="N339" s="358"/>
      <c r="O339" s="358"/>
      <c r="P339" s="358"/>
      <c r="Q339" s="358"/>
      <c r="R339" s="358"/>
      <c r="S339" s="358"/>
      <c r="T339" s="358"/>
      <c r="U339" s="358"/>
      <c r="V339" s="358"/>
      <c r="W339" s="358"/>
      <c r="X339" s="358"/>
      <c r="Y339" s="358"/>
      <c r="Z339" s="358"/>
      <c r="AA339" s="358"/>
    </row>
    <row r="340">
      <c r="A340" s="358"/>
      <c r="B340" s="358"/>
      <c r="C340" s="358"/>
      <c r="D340" s="358"/>
      <c r="E340" s="358"/>
      <c r="F340" s="358"/>
      <c r="G340" s="358"/>
      <c r="H340" s="358"/>
      <c r="I340" s="358"/>
      <c r="J340" s="358"/>
      <c r="K340" s="358"/>
      <c r="L340" s="358"/>
      <c r="M340" s="358"/>
      <c r="N340" s="358"/>
      <c r="O340" s="358"/>
      <c r="P340" s="358"/>
      <c r="Q340" s="358"/>
      <c r="R340" s="358"/>
      <c r="S340" s="358"/>
      <c r="T340" s="358"/>
      <c r="U340" s="358"/>
      <c r="V340" s="358"/>
      <c r="W340" s="358"/>
      <c r="X340" s="358"/>
      <c r="Y340" s="358"/>
      <c r="Z340" s="358"/>
      <c r="AA340" s="358"/>
    </row>
    <row r="341">
      <c r="A341" s="358"/>
      <c r="B341" s="358"/>
      <c r="C341" s="358"/>
      <c r="D341" s="358"/>
      <c r="E341" s="358"/>
      <c r="F341" s="358"/>
      <c r="G341" s="358"/>
      <c r="H341" s="358"/>
      <c r="I341" s="358"/>
      <c r="J341" s="358"/>
      <c r="K341" s="358"/>
      <c r="L341" s="358"/>
      <c r="M341" s="358"/>
      <c r="N341" s="358"/>
      <c r="O341" s="358"/>
      <c r="P341" s="358"/>
      <c r="Q341" s="358"/>
      <c r="R341" s="358"/>
      <c r="S341" s="358"/>
      <c r="T341" s="358"/>
      <c r="U341" s="358"/>
      <c r="V341" s="358"/>
      <c r="W341" s="358"/>
      <c r="X341" s="358"/>
      <c r="Y341" s="358"/>
      <c r="Z341" s="358"/>
      <c r="AA341" s="358"/>
    </row>
    <row r="342">
      <c r="A342" s="358"/>
      <c r="B342" s="358"/>
      <c r="C342" s="358"/>
      <c r="D342" s="358"/>
      <c r="E342" s="358"/>
      <c r="F342" s="358"/>
      <c r="G342" s="358"/>
      <c r="H342" s="358"/>
      <c r="I342" s="358"/>
      <c r="J342" s="358"/>
      <c r="K342" s="358"/>
      <c r="L342" s="358"/>
      <c r="M342" s="358"/>
      <c r="N342" s="358"/>
      <c r="O342" s="358"/>
      <c r="P342" s="358"/>
      <c r="Q342" s="358"/>
      <c r="R342" s="358"/>
      <c r="S342" s="358"/>
      <c r="T342" s="358"/>
      <c r="U342" s="358"/>
      <c r="V342" s="358"/>
      <c r="W342" s="358"/>
      <c r="X342" s="358"/>
      <c r="Y342" s="358"/>
      <c r="Z342" s="358"/>
      <c r="AA342" s="358"/>
    </row>
    <row r="343">
      <c r="A343" s="358"/>
      <c r="B343" s="358"/>
      <c r="C343" s="358"/>
      <c r="D343" s="358"/>
      <c r="E343" s="358"/>
      <c r="F343" s="358"/>
      <c r="G343" s="358"/>
      <c r="H343" s="358"/>
      <c r="I343" s="358"/>
      <c r="J343" s="358"/>
      <c r="K343" s="358"/>
      <c r="L343" s="358"/>
      <c r="M343" s="358"/>
      <c r="N343" s="358"/>
      <c r="O343" s="358"/>
      <c r="P343" s="358"/>
      <c r="Q343" s="358"/>
      <c r="R343" s="358"/>
      <c r="S343" s="358"/>
      <c r="T343" s="358"/>
      <c r="U343" s="358"/>
      <c r="V343" s="358"/>
      <c r="W343" s="358"/>
      <c r="X343" s="358"/>
      <c r="Y343" s="358"/>
      <c r="Z343" s="358"/>
      <c r="AA343" s="358"/>
    </row>
    <row r="344">
      <c r="A344" s="358"/>
      <c r="B344" s="358"/>
      <c r="C344" s="358"/>
      <c r="D344" s="358"/>
      <c r="E344" s="358"/>
      <c r="F344" s="358"/>
      <c r="G344" s="358"/>
      <c r="H344" s="358"/>
      <c r="I344" s="358"/>
      <c r="J344" s="358"/>
      <c r="K344" s="358"/>
      <c r="L344" s="358"/>
      <c r="M344" s="358"/>
      <c r="N344" s="358"/>
      <c r="O344" s="358"/>
      <c r="P344" s="358"/>
      <c r="Q344" s="358"/>
      <c r="R344" s="358"/>
      <c r="S344" s="358"/>
      <c r="T344" s="358"/>
      <c r="U344" s="358"/>
      <c r="V344" s="358"/>
      <c r="W344" s="358"/>
      <c r="X344" s="358"/>
      <c r="Y344" s="358"/>
      <c r="Z344" s="358"/>
      <c r="AA344" s="358"/>
    </row>
    <row r="345">
      <c r="A345" s="358"/>
      <c r="B345" s="358"/>
      <c r="C345" s="358"/>
      <c r="D345" s="358"/>
      <c r="E345" s="358"/>
      <c r="F345" s="358"/>
      <c r="G345" s="358"/>
      <c r="H345" s="358"/>
      <c r="I345" s="358"/>
      <c r="J345" s="358"/>
      <c r="K345" s="358"/>
      <c r="L345" s="358"/>
      <c r="M345" s="358"/>
      <c r="N345" s="358"/>
      <c r="O345" s="358"/>
      <c r="P345" s="358"/>
      <c r="Q345" s="358"/>
      <c r="R345" s="358"/>
      <c r="S345" s="358"/>
      <c r="T345" s="358"/>
      <c r="U345" s="358"/>
      <c r="V345" s="358"/>
      <c r="W345" s="358"/>
      <c r="X345" s="358"/>
      <c r="Y345" s="358"/>
      <c r="Z345" s="358"/>
      <c r="AA345" s="358"/>
    </row>
    <row r="346">
      <c r="A346" s="358"/>
      <c r="B346" s="358"/>
      <c r="C346" s="358"/>
      <c r="D346" s="358"/>
      <c r="E346" s="358"/>
      <c r="F346" s="358"/>
      <c r="G346" s="358"/>
      <c r="H346" s="358"/>
      <c r="I346" s="358"/>
      <c r="J346" s="358"/>
      <c r="K346" s="358"/>
      <c r="L346" s="358"/>
      <c r="M346" s="358"/>
      <c r="N346" s="358"/>
      <c r="O346" s="358"/>
      <c r="P346" s="358"/>
      <c r="Q346" s="358"/>
      <c r="R346" s="358"/>
      <c r="S346" s="358"/>
      <c r="T346" s="358"/>
      <c r="U346" s="358"/>
      <c r="V346" s="358"/>
      <c r="W346" s="358"/>
      <c r="X346" s="358"/>
      <c r="Y346" s="358"/>
      <c r="Z346" s="358"/>
      <c r="AA346" s="358"/>
    </row>
    <row r="347">
      <c r="A347" s="358"/>
      <c r="B347" s="358"/>
      <c r="C347" s="358"/>
      <c r="D347" s="358"/>
      <c r="E347" s="358"/>
      <c r="F347" s="358"/>
      <c r="G347" s="358"/>
      <c r="H347" s="358"/>
      <c r="I347" s="358"/>
      <c r="J347" s="358"/>
      <c r="K347" s="358"/>
      <c r="L347" s="358"/>
      <c r="M347" s="358"/>
      <c r="N347" s="358"/>
      <c r="O347" s="358"/>
      <c r="P347" s="358"/>
      <c r="Q347" s="358"/>
      <c r="R347" s="358"/>
      <c r="S347" s="358"/>
      <c r="T347" s="358"/>
      <c r="U347" s="358"/>
      <c r="V347" s="358"/>
      <c r="W347" s="358"/>
      <c r="X347" s="358"/>
      <c r="Y347" s="358"/>
      <c r="Z347" s="358"/>
      <c r="AA347" s="358"/>
    </row>
    <row r="348">
      <c r="A348" s="358"/>
      <c r="B348" s="358"/>
      <c r="C348" s="358"/>
      <c r="D348" s="358"/>
      <c r="E348" s="358"/>
      <c r="F348" s="358"/>
      <c r="G348" s="358"/>
      <c r="H348" s="358"/>
      <c r="I348" s="358"/>
      <c r="J348" s="358"/>
      <c r="K348" s="358"/>
      <c r="L348" s="358"/>
      <c r="M348" s="358"/>
      <c r="N348" s="358"/>
      <c r="O348" s="358"/>
      <c r="P348" s="358"/>
      <c r="Q348" s="358"/>
      <c r="R348" s="358"/>
      <c r="S348" s="358"/>
      <c r="T348" s="358"/>
      <c r="U348" s="358"/>
      <c r="V348" s="358"/>
      <c r="W348" s="358"/>
      <c r="X348" s="358"/>
      <c r="Y348" s="358"/>
      <c r="Z348" s="358"/>
      <c r="AA348" s="358"/>
    </row>
    <row r="349">
      <c r="A349" s="358"/>
      <c r="B349" s="358"/>
      <c r="C349" s="358"/>
      <c r="D349" s="358"/>
      <c r="E349" s="358"/>
      <c r="F349" s="358"/>
      <c r="G349" s="358"/>
      <c r="H349" s="358"/>
      <c r="I349" s="358"/>
      <c r="J349" s="358"/>
      <c r="K349" s="358"/>
      <c r="L349" s="358"/>
      <c r="M349" s="358"/>
      <c r="N349" s="358"/>
      <c r="O349" s="358"/>
      <c r="P349" s="358"/>
      <c r="Q349" s="358"/>
      <c r="R349" s="358"/>
      <c r="S349" s="358"/>
      <c r="T349" s="358"/>
      <c r="U349" s="358"/>
      <c r="V349" s="358"/>
      <c r="W349" s="358"/>
      <c r="X349" s="358"/>
      <c r="Y349" s="358"/>
      <c r="Z349" s="358"/>
      <c r="AA349" s="358"/>
    </row>
    <row r="350">
      <c r="A350" s="358"/>
      <c r="B350" s="358"/>
      <c r="C350" s="358"/>
      <c r="D350" s="358"/>
      <c r="E350" s="358"/>
      <c r="F350" s="358"/>
      <c r="G350" s="358"/>
      <c r="H350" s="358"/>
      <c r="I350" s="358"/>
      <c r="J350" s="358"/>
      <c r="K350" s="358"/>
      <c r="L350" s="358"/>
      <c r="M350" s="358"/>
      <c r="N350" s="358"/>
      <c r="O350" s="358"/>
      <c r="P350" s="358"/>
      <c r="Q350" s="358"/>
      <c r="R350" s="358"/>
      <c r="S350" s="358"/>
      <c r="T350" s="358"/>
      <c r="U350" s="358"/>
      <c r="V350" s="358"/>
      <c r="W350" s="358"/>
      <c r="X350" s="358"/>
      <c r="Y350" s="358"/>
      <c r="Z350" s="358"/>
      <c r="AA350" s="358"/>
    </row>
    <row r="351">
      <c r="A351" s="358"/>
      <c r="B351" s="358"/>
      <c r="C351" s="358"/>
      <c r="D351" s="358"/>
      <c r="E351" s="358"/>
      <c r="F351" s="358"/>
      <c r="G351" s="358"/>
      <c r="H351" s="358"/>
      <c r="I351" s="358"/>
      <c r="J351" s="358"/>
      <c r="K351" s="358"/>
      <c r="L351" s="358"/>
      <c r="M351" s="358"/>
      <c r="N351" s="358"/>
      <c r="O351" s="358"/>
      <c r="P351" s="358"/>
      <c r="Q351" s="358"/>
      <c r="R351" s="358"/>
      <c r="S351" s="358"/>
      <c r="T351" s="358"/>
      <c r="U351" s="358"/>
      <c r="V351" s="358"/>
      <c r="W351" s="358"/>
      <c r="X351" s="358"/>
      <c r="Y351" s="358"/>
      <c r="Z351" s="358"/>
      <c r="AA351" s="358"/>
    </row>
    <row r="352">
      <c r="A352" s="358"/>
      <c r="B352" s="358"/>
      <c r="C352" s="358"/>
      <c r="D352" s="358"/>
      <c r="E352" s="358"/>
      <c r="F352" s="358"/>
      <c r="G352" s="358"/>
      <c r="H352" s="358"/>
      <c r="I352" s="358"/>
      <c r="J352" s="358"/>
      <c r="K352" s="358"/>
      <c r="L352" s="358"/>
      <c r="M352" s="358"/>
      <c r="N352" s="358"/>
      <c r="O352" s="358"/>
      <c r="P352" s="358"/>
      <c r="Q352" s="358"/>
      <c r="R352" s="358"/>
      <c r="S352" s="358"/>
      <c r="T352" s="358"/>
      <c r="U352" s="358"/>
      <c r="V352" s="358"/>
      <c r="W352" s="358"/>
      <c r="X352" s="358"/>
      <c r="Y352" s="358"/>
      <c r="Z352" s="358"/>
      <c r="AA352" s="358"/>
    </row>
    <row r="353">
      <c r="A353" s="358"/>
      <c r="B353" s="358"/>
      <c r="C353" s="358"/>
      <c r="D353" s="358"/>
      <c r="E353" s="358"/>
      <c r="F353" s="358"/>
      <c r="G353" s="358"/>
      <c r="H353" s="358"/>
      <c r="I353" s="358"/>
      <c r="J353" s="358"/>
      <c r="K353" s="358"/>
      <c r="L353" s="358"/>
      <c r="M353" s="358"/>
      <c r="N353" s="358"/>
      <c r="O353" s="358"/>
      <c r="P353" s="358"/>
      <c r="Q353" s="358"/>
      <c r="R353" s="358"/>
      <c r="S353" s="358"/>
      <c r="T353" s="358"/>
      <c r="U353" s="358"/>
      <c r="V353" s="358"/>
      <c r="W353" s="358"/>
      <c r="X353" s="358"/>
      <c r="Y353" s="358"/>
      <c r="Z353" s="358"/>
      <c r="AA353" s="358"/>
    </row>
    <row r="354">
      <c r="A354" s="358"/>
      <c r="B354" s="358"/>
      <c r="C354" s="358"/>
      <c r="D354" s="358"/>
      <c r="E354" s="358"/>
      <c r="F354" s="358"/>
      <c r="G354" s="358"/>
      <c r="H354" s="358"/>
      <c r="I354" s="358"/>
      <c r="J354" s="358"/>
      <c r="K354" s="358"/>
      <c r="L354" s="358"/>
      <c r="M354" s="358"/>
      <c r="N354" s="358"/>
      <c r="O354" s="358"/>
      <c r="P354" s="358"/>
      <c r="Q354" s="358"/>
      <c r="R354" s="358"/>
      <c r="S354" s="358"/>
      <c r="T354" s="358"/>
      <c r="U354" s="358"/>
      <c r="V354" s="358"/>
      <c r="W354" s="358"/>
      <c r="X354" s="358"/>
      <c r="Y354" s="358"/>
      <c r="Z354" s="358"/>
      <c r="AA354" s="358"/>
    </row>
    <row r="355">
      <c r="A355" s="358"/>
      <c r="B355" s="358"/>
      <c r="C355" s="358"/>
      <c r="D355" s="358"/>
      <c r="E355" s="358"/>
      <c r="F355" s="358"/>
      <c r="G355" s="358"/>
      <c r="H355" s="358"/>
      <c r="I355" s="358"/>
      <c r="J355" s="358"/>
      <c r="K355" s="358"/>
      <c r="L355" s="358"/>
      <c r="M355" s="358"/>
      <c r="N355" s="358"/>
      <c r="O355" s="358"/>
      <c r="P355" s="358"/>
      <c r="Q355" s="358"/>
      <c r="R355" s="358"/>
      <c r="S355" s="358"/>
      <c r="T355" s="358"/>
      <c r="U355" s="358"/>
      <c r="V355" s="358"/>
      <c r="W355" s="358"/>
      <c r="X355" s="358"/>
      <c r="Y355" s="358"/>
      <c r="Z355" s="358"/>
      <c r="AA355" s="358"/>
    </row>
    <row r="356">
      <c r="A356" s="358"/>
      <c r="B356" s="358"/>
      <c r="C356" s="358"/>
      <c r="D356" s="358"/>
      <c r="E356" s="358"/>
      <c r="F356" s="358"/>
      <c r="G356" s="358"/>
      <c r="H356" s="358"/>
      <c r="I356" s="358"/>
      <c r="J356" s="358"/>
      <c r="K356" s="358"/>
      <c r="L356" s="358"/>
      <c r="M356" s="358"/>
      <c r="N356" s="358"/>
      <c r="O356" s="358"/>
      <c r="P356" s="358"/>
      <c r="Q356" s="358"/>
      <c r="R356" s="358"/>
      <c r="S356" s="358"/>
      <c r="T356" s="358"/>
      <c r="U356" s="358"/>
      <c r="V356" s="358"/>
      <c r="W356" s="358"/>
      <c r="X356" s="358"/>
      <c r="Y356" s="358"/>
      <c r="Z356" s="358"/>
      <c r="AA356" s="358"/>
    </row>
    <row r="357">
      <c r="A357" s="358"/>
      <c r="B357" s="358"/>
      <c r="C357" s="358"/>
      <c r="D357" s="358"/>
      <c r="E357" s="358"/>
      <c r="F357" s="358"/>
      <c r="G357" s="358"/>
      <c r="H357" s="358"/>
      <c r="I357" s="358"/>
      <c r="J357" s="358"/>
      <c r="K357" s="358"/>
      <c r="L357" s="358"/>
      <c r="M357" s="358"/>
      <c r="N357" s="358"/>
      <c r="O357" s="358"/>
      <c r="P357" s="358"/>
      <c r="Q357" s="358"/>
      <c r="R357" s="358"/>
      <c r="S357" s="358"/>
      <c r="T357" s="358"/>
      <c r="U357" s="358"/>
      <c r="V357" s="358"/>
      <c r="W357" s="358"/>
      <c r="X357" s="358"/>
      <c r="Y357" s="358"/>
      <c r="Z357" s="358"/>
      <c r="AA357" s="358"/>
    </row>
    <row r="358">
      <c r="A358" s="358"/>
      <c r="B358" s="358"/>
      <c r="C358" s="358"/>
      <c r="D358" s="358"/>
      <c r="E358" s="358"/>
      <c r="F358" s="358"/>
      <c r="G358" s="358"/>
      <c r="H358" s="358"/>
      <c r="I358" s="358"/>
      <c r="J358" s="358"/>
      <c r="K358" s="358"/>
      <c r="L358" s="358"/>
      <c r="M358" s="358"/>
      <c r="N358" s="358"/>
      <c r="O358" s="358"/>
      <c r="P358" s="358"/>
      <c r="Q358" s="358"/>
      <c r="R358" s="358"/>
      <c r="S358" s="358"/>
      <c r="T358" s="358"/>
      <c r="U358" s="358"/>
      <c r="V358" s="358"/>
      <c r="W358" s="358"/>
      <c r="X358" s="358"/>
      <c r="Y358" s="358"/>
      <c r="Z358" s="358"/>
      <c r="AA358" s="358"/>
    </row>
    <row r="359">
      <c r="A359" s="358"/>
      <c r="B359" s="358"/>
      <c r="C359" s="358"/>
      <c r="D359" s="358"/>
      <c r="E359" s="358"/>
      <c r="F359" s="358"/>
      <c r="G359" s="358"/>
      <c r="H359" s="358"/>
      <c r="I359" s="358"/>
      <c r="J359" s="358"/>
      <c r="K359" s="358"/>
      <c r="L359" s="358"/>
      <c r="M359" s="358"/>
      <c r="N359" s="358"/>
      <c r="O359" s="358"/>
      <c r="P359" s="358"/>
      <c r="Q359" s="358"/>
      <c r="R359" s="358"/>
      <c r="S359" s="358"/>
      <c r="T359" s="358"/>
      <c r="U359" s="358"/>
      <c r="V359" s="358"/>
      <c r="W359" s="358"/>
      <c r="X359" s="358"/>
      <c r="Y359" s="358"/>
      <c r="Z359" s="358"/>
      <c r="AA359" s="358"/>
    </row>
    <row r="360">
      <c r="A360" s="358"/>
      <c r="B360" s="358"/>
      <c r="C360" s="358"/>
      <c r="D360" s="358"/>
      <c r="E360" s="358"/>
      <c r="F360" s="358"/>
      <c r="G360" s="358"/>
      <c r="H360" s="358"/>
      <c r="I360" s="358"/>
      <c r="J360" s="358"/>
      <c r="K360" s="358"/>
      <c r="L360" s="358"/>
      <c r="M360" s="358"/>
      <c r="N360" s="358"/>
      <c r="O360" s="358"/>
      <c r="P360" s="358"/>
      <c r="Q360" s="358"/>
      <c r="R360" s="358"/>
      <c r="S360" s="358"/>
      <c r="T360" s="358"/>
      <c r="U360" s="358"/>
      <c r="V360" s="358"/>
      <c r="W360" s="358"/>
      <c r="X360" s="358"/>
      <c r="Y360" s="358"/>
      <c r="Z360" s="358"/>
      <c r="AA360" s="358"/>
    </row>
    <row r="361">
      <c r="A361" s="358"/>
      <c r="B361" s="358"/>
      <c r="C361" s="358"/>
      <c r="D361" s="358"/>
      <c r="E361" s="358"/>
      <c r="F361" s="358"/>
      <c r="G361" s="358"/>
      <c r="H361" s="358"/>
      <c r="I361" s="358"/>
      <c r="J361" s="358"/>
      <c r="K361" s="358"/>
      <c r="L361" s="358"/>
      <c r="M361" s="358"/>
      <c r="N361" s="358"/>
      <c r="O361" s="358"/>
      <c r="P361" s="358"/>
      <c r="Q361" s="358"/>
      <c r="R361" s="358"/>
      <c r="S361" s="358"/>
      <c r="T361" s="358"/>
      <c r="U361" s="358"/>
      <c r="V361" s="358"/>
      <c r="W361" s="358"/>
      <c r="X361" s="358"/>
      <c r="Y361" s="358"/>
      <c r="Z361" s="358"/>
      <c r="AA361" s="358"/>
    </row>
    <row r="362">
      <c r="A362" s="358"/>
      <c r="B362" s="358"/>
      <c r="C362" s="358"/>
      <c r="D362" s="358"/>
      <c r="E362" s="358"/>
      <c r="F362" s="358"/>
      <c r="G362" s="358"/>
      <c r="H362" s="358"/>
      <c r="I362" s="358"/>
      <c r="J362" s="358"/>
      <c r="K362" s="358"/>
      <c r="L362" s="358"/>
      <c r="M362" s="358"/>
      <c r="N362" s="358"/>
      <c r="O362" s="358"/>
      <c r="P362" s="358"/>
      <c r="Q362" s="358"/>
      <c r="R362" s="358"/>
      <c r="S362" s="358"/>
      <c r="T362" s="358"/>
      <c r="U362" s="358"/>
      <c r="V362" s="358"/>
      <c r="W362" s="358"/>
      <c r="X362" s="358"/>
      <c r="Y362" s="358"/>
      <c r="Z362" s="358"/>
      <c r="AA362" s="358"/>
    </row>
    <row r="363">
      <c r="A363" s="358"/>
      <c r="B363" s="358"/>
      <c r="C363" s="358"/>
      <c r="D363" s="358"/>
      <c r="E363" s="358"/>
      <c r="F363" s="358"/>
      <c r="G363" s="358"/>
      <c r="H363" s="358"/>
      <c r="I363" s="358"/>
      <c r="J363" s="358"/>
      <c r="K363" s="358"/>
      <c r="L363" s="358"/>
      <c r="M363" s="358"/>
      <c r="N363" s="358"/>
      <c r="O363" s="358"/>
      <c r="P363" s="358"/>
      <c r="Q363" s="358"/>
      <c r="R363" s="358"/>
      <c r="S363" s="358"/>
      <c r="T363" s="358"/>
      <c r="U363" s="358"/>
      <c r="V363" s="358"/>
      <c r="W363" s="358"/>
      <c r="X363" s="358"/>
      <c r="Y363" s="358"/>
      <c r="Z363" s="358"/>
      <c r="AA363" s="358"/>
    </row>
    <row r="364">
      <c r="A364" s="358"/>
      <c r="B364" s="358"/>
      <c r="C364" s="358"/>
      <c r="D364" s="358"/>
      <c r="E364" s="358"/>
      <c r="F364" s="358"/>
      <c r="G364" s="358"/>
      <c r="H364" s="358"/>
      <c r="I364" s="358"/>
      <c r="J364" s="358"/>
      <c r="K364" s="358"/>
      <c r="L364" s="358"/>
      <c r="M364" s="358"/>
      <c r="N364" s="358"/>
      <c r="O364" s="358"/>
      <c r="P364" s="358"/>
      <c r="Q364" s="358"/>
      <c r="R364" s="358"/>
      <c r="S364" s="358"/>
      <c r="T364" s="358"/>
      <c r="U364" s="358"/>
      <c r="V364" s="358"/>
      <c r="W364" s="358"/>
      <c r="X364" s="358"/>
      <c r="Y364" s="358"/>
      <c r="Z364" s="358"/>
      <c r="AA364" s="358"/>
    </row>
    <row r="365">
      <c r="A365" s="358"/>
      <c r="B365" s="358"/>
      <c r="C365" s="358"/>
      <c r="D365" s="358"/>
      <c r="E365" s="358"/>
      <c r="F365" s="358"/>
      <c r="G365" s="358"/>
      <c r="H365" s="358"/>
      <c r="I365" s="358"/>
      <c r="J365" s="358"/>
      <c r="K365" s="358"/>
      <c r="L365" s="358"/>
      <c r="M365" s="358"/>
      <c r="N365" s="358"/>
      <c r="O365" s="358"/>
      <c r="P365" s="358"/>
      <c r="Q365" s="358"/>
      <c r="R365" s="358"/>
      <c r="S365" s="358"/>
      <c r="T365" s="358"/>
      <c r="U365" s="358"/>
      <c r="V365" s="358"/>
      <c r="W365" s="358"/>
      <c r="X365" s="358"/>
      <c r="Y365" s="358"/>
      <c r="Z365" s="358"/>
      <c r="AA365" s="358"/>
    </row>
    <row r="366">
      <c r="A366" s="358"/>
      <c r="B366" s="358"/>
      <c r="C366" s="358"/>
      <c r="D366" s="358"/>
      <c r="E366" s="358"/>
      <c r="F366" s="358"/>
      <c r="G366" s="358"/>
      <c r="H366" s="358"/>
      <c r="I366" s="358"/>
      <c r="J366" s="358"/>
      <c r="K366" s="358"/>
      <c r="L366" s="358"/>
      <c r="M366" s="358"/>
      <c r="N366" s="358"/>
      <c r="O366" s="358"/>
      <c r="P366" s="358"/>
      <c r="Q366" s="358"/>
      <c r="R366" s="358"/>
      <c r="S366" s="358"/>
      <c r="T366" s="358"/>
      <c r="U366" s="358"/>
      <c r="V366" s="358"/>
      <c r="W366" s="358"/>
      <c r="X366" s="358"/>
      <c r="Y366" s="358"/>
      <c r="Z366" s="358"/>
      <c r="AA366" s="358"/>
    </row>
    <row r="367">
      <c r="A367" s="358"/>
      <c r="B367" s="358"/>
      <c r="C367" s="358"/>
      <c r="D367" s="358"/>
      <c r="E367" s="358"/>
      <c r="F367" s="358"/>
      <c r="G367" s="358"/>
      <c r="H367" s="358"/>
      <c r="I367" s="358"/>
      <c r="J367" s="358"/>
      <c r="K367" s="358"/>
      <c r="L367" s="358"/>
      <c r="M367" s="358"/>
      <c r="N367" s="358"/>
      <c r="O367" s="358"/>
      <c r="P367" s="358"/>
      <c r="Q367" s="358"/>
      <c r="R367" s="358"/>
      <c r="S367" s="358"/>
      <c r="T367" s="358"/>
      <c r="U367" s="358"/>
      <c r="V367" s="358"/>
      <c r="W367" s="358"/>
      <c r="X367" s="358"/>
      <c r="Y367" s="358"/>
      <c r="Z367" s="358"/>
      <c r="AA367" s="358"/>
    </row>
    <row r="368">
      <c r="A368" s="358"/>
      <c r="B368" s="358"/>
      <c r="C368" s="358"/>
      <c r="D368" s="358"/>
      <c r="E368" s="358"/>
      <c r="F368" s="358"/>
      <c r="G368" s="358"/>
      <c r="H368" s="358"/>
      <c r="I368" s="358"/>
      <c r="J368" s="358"/>
      <c r="K368" s="358"/>
      <c r="L368" s="358"/>
      <c r="M368" s="358"/>
      <c r="N368" s="358"/>
      <c r="O368" s="358"/>
      <c r="P368" s="358"/>
      <c r="Q368" s="358"/>
      <c r="R368" s="358"/>
      <c r="S368" s="358"/>
      <c r="T368" s="358"/>
      <c r="U368" s="358"/>
      <c r="V368" s="358"/>
      <c r="W368" s="358"/>
      <c r="X368" s="358"/>
      <c r="Y368" s="358"/>
      <c r="Z368" s="358"/>
      <c r="AA368" s="358"/>
    </row>
    <row r="369">
      <c r="A369" s="358"/>
      <c r="B369" s="358"/>
      <c r="C369" s="358"/>
      <c r="D369" s="358"/>
      <c r="E369" s="358"/>
      <c r="F369" s="358"/>
      <c r="G369" s="358"/>
      <c r="H369" s="358"/>
      <c r="I369" s="358"/>
      <c r="J369" s="358"/>
      <c r="K369" s="358"/>
      <c r="L369" s="358"/>
      <c r="M369" s="358"/>
      <c r="N369" s="358"/>
      <c r="O369" s="358"/>
      <c r="P369" s="358"/>
      <c r="Q369" s="358"/>
      <c r="R369" s="358"/>
      <c r="S369" s="358"/>
      <c r="T369" s="358"/>
      <c r="U369" s="358"/>
      <c r="V369" s="358"/>
      <c r="W369" s="358"/>
      <c r="X369" s="358"/>
      <c r="Y369" s="358"/>
      <c r="Z369" s="358"/>
      <c r="AA369" s="358"/>
    </row>
    <row r="370">
      <c r="A370" s="358"/>
      <c r="B370" s="358"/>
      <c r="C370" s="358"/>
      <c r="D370" s="358"/>
      <c r="E370" s="358"/>
      <c r="F370" s="358"/>
      <c r="G370" s="358"/>
      <c r="H370" s="358"/>
      <c r="I370" s="358"/>
      <c r="J370" s="358"/>
      <c r="K370" s="358"/>
      <c r="L370" s="358"/>
      <c r="M370" s="358"/>
      <c r="N370" s="358"/>
      <c r="O370" s="358"/>
      <c r="P370" s="358"/>
      <c r="Q370" s="358"/>
      <c r="R370" s="358"/>
      <c r="S370" s="358"/>
      <c r="T370" s="358"/>
      <c r="U370" s="358"/>
      <c r="V370" s="358"/>
      <c r="W370" s="358"/>
      <c r="X370" s="358"/>
      <c r="Y370" s="358"/>
      <c r="Z370" s="358"/>
      <c r="AA370" s="358"/>
    </row>
    <row r="371">
      <c r="A371" s="358"/>
      <c r="B371" s="358"/>
      <c r="C371" s="358"/>
      <c r="D371" s="358"/>
      <c r="E371" s="358"/>
      <c r="F371" s="358"/>
      <c r="G371" s="358"/>
      <c r="H371" s="358"/>
      <c r="I371" s="358"/>
      <c r="J371" s="358"/>
      <c r="K371" s="358"/>
      <c r="L371" s="358"/>
      <c r="M371" s="358"/>
      <c r="N371" s="358"/>
      <c r="O371" s="358"/>
      <c r="P371" s="358"/>
      <c r="Q371" s="358"/>
      <c r="R371" s="358"/>
      <c r="S371" s="358"/>
      <c r="T371" s="358"/>
      <c r="U371" s="358"/>
      <c r="V371" s="358"/>
      <c r="W371" s="358"/>
      <c r="X371" s="358"/>
      <c r="Y371" s="358"/>
      <c r="Z371" s="358"/>
      <c r="AA371" s="358"/>
    </row>
    <row r="372">
      <c r="A372" s="358"/>
      <c r="B372" s="358"/>
      <c r="C372" s="358"/>
      <c r="D372" s="358"/>
      <c r="E372" s="358"/>
      <c r="F372" s="358"/>
      <c r="G372" s="358"/>
      <c r="H372" s="358"/>
      <c r="I372" s="358"/>
      <c r="J372" s="358"/>
      <c r="K372" s="358"/>
      <c r="L372" s="358"/>
      <c r="M372" s="358"/>
      <c r="N372" s="358"/>
      <c r="O372" s="358"/>
      <c r="P372" s="358"/>
      <c r="Q372" s="358"/>
      <c r="R372" s="358"/>
      <c r="S372" s="358"/>
      <c r="T372" s="358"/>
      <c r="U372" s="358"/>
      <c r="V372" s="358"/>
      <c r="W372" s="358"/>
      <c r="X372" s="358"/>
      <c r="Y372" s="358"/>
      <c r="Z372" s="358"/>
      <c r="AA372" s="358"/>
    </row>
    <row r="373">
      <c r="A373" s="358"/>
      <c r="B373" s="358"/>
      <c r="C373" s="358"/>
      <c r="D373" s="358"/>
      <c r="E373" s="358"/>
      <c r="F373" s="358"/>
      <c r="G373" s="358"/>
      <c r="H373" s="358"/>
      <c r="I373" s="358"/>
      <c r="J373" s="358"/>
      <c r="K373" s="358"/>
      <c r="L373" s="358"/>
      <c r="M373" s="358"/>
      <c r="N373" s="358"/>
      <c r="O373" s="358"/>
      <c r="P373" s="358"/>
      <c r="Q373" s="358"/>
      <c r="R373" s="358"/>
      <c r="S373" s="358"/>
      <c r="T373" s="358"/>
      <c r="U373" s="358"/>
      <c r="V373" s="358"/>
      <c r="W373" s="358"/>
      <c r="X373" s="358"/>
      <c r="Y373" s="358"/>
      <c r="Z373" s="358"/>
      <c r="AA373" s="358"/>
    </row>
    <row r="374">
      <c r="A374" s="358"/>
      <c r="B374" s="358"/>
      <c r="C374" s="358"/>
      <c r="D374" s="358"/>
      <c r="E374" s="358"/>
      <c r="F374" s="358"/>
      <c r="G374" s="358"/>
      <c r="H374" s="358"/>
      <c r="I374" s="358"/>
      <c r="J374" s="358"/>
      <c r="K374" s="358"/>
      <c r="L374" s="358"/>
      <c r="M374" s="358"/>
      <c r="N374" s="358"/>
      <c r="O374" s="358"/>
      <c r="P374" s="358"/>
      <c r="Q374" s="358"/>
      <c r="R374" s="358"/>
      <c r="S374" s="358"/>
      <c r="T374" s="358"/>
      <c r="U374" s="358"/>
      <c r="V374" s="358"/>
      <c r="W374" s="358"/>
      <c r="X374" s="358"/>
      <c r="Y374" s="358"/>
      <c r="Z374" s="358"/>
      <c r="AA374" s="358"/>
    </row>
    <row r="375">
      <c r="A375" s="358"/>
      <c r="B375" s="358"/>
      <c r="C375" s="358"/>
      <c r="D375" s="358"/>
      <c r="E375" s="358"/>
      <c r="F375" s="358"/>
      <c r="G375" s="358"/>
      <c r="H375" s="358"/>
      <c r="I375" s="358"/>
      <c r="J375" s="358"/>
      <c r="K375" s="358"/>
      <c r="L375" s="358"/>
      <c r="M375" s="358"/>
      <c r="N375" s="358"/>
      <c r="O375" s="358"/>
      <c r="P375" s="358"/>
      <c r="Q375" s="358"/>
      <c r="R375" s="358"/>
      <c r="S375" s="358"/>
      <c r="T375" s="358"/>
      <c r="U375" s="358"/>
      <c r="V375" s="358"/>
      <c r="W375" s="358"/>
      <c r="X375" s="358"/>
      <c r="Y375" s="358"/>
      <c r="Z375" s="358"/>
      <c r="AA375" s="358"/>
    </row>
    <row r="376">
      <c r="A376" s="358"/>
      <c r="B376" s="358"/>
      <c r="C376" s="358"/>
      <c r="D376" s="358"/>
      <c r="E376" s="358"/>
      <c r="F376" s="358"/>
      <c r="G376" s="358"/>
      <c r="H376" s="358"/>
      <c r="I376" s="358"/>
      <c r="J376" s="358"/>
      <c r="K376" s="358"/>
      <c r="L376" s="358"/>
      <c r="M376" s="358"/>
      <c r="N376" s="358"/>
      <c r="O376" s="358"/>
      <c r="P376" s="358"/>
      <c r="Q376" s="358"/>
      <c r="R376" s="358"/>
      <c r="S376" s="358"/>
      <c r="T376" s="358"/>
      <c r="U376" s="358"/>
      <c r="V376" s="358"/>
      <c r="W376" s="358"/>
      <c r="X376" s="358"/>
      <c r="Y376" s="358"/>
      <c r="Z376" s="358"/>
      <c r="AA376" s="358"/>
    </row>
    <row r="377">
      <c r="A377" s="358"/>
      <c r="B377" s="358"/>
      <c r="C377" s="358"/>
      <c r="D377" s="358"/>
      <c r="E377" s="358"/>
      <c r="F377" s="358"/>
      <c r="G377" s="358"/>
      <c r="H377" s="358"/>
      <c r="I377" s="358"/>
      <c r="J377" s="358"/>
      <c r="K377" s="358"/>
      <c r="L377" s="358"/>
      <c r="M377" s="358"/>
      <c r="N377" s="358"/>
      <c r="O377" s="358"/>
      <c r="P377" s="358"/>
      <c r="Q377" s="358"/>
      <c r="R377" s="358"/>
      <c r="S377" s="358"/>
      <c r="T377" s="358"/>
      <c r="U377" s="358"/>
      <c r="V377" s="358"/>
      <c r="W377" s="358"/>
      <c r="X377" s="358"/>
      <c r="Y377" s="358"/>
      <c r="Z377" s="358"/>
      <c r="AA377" s="358"/>
    </row>
    <row r="378">
      <c r="A378" s="358"/>
      <c r="B378" s="358"/>
      <c r="C378" s="358"/>
      <c r="D378" s="358"/>
      <c r="E378" s="358"/>
      <c r="F378" s="358"/>
      <c r="G378" s="358"/>
      <c r="H378" s="358"/>
      <c r="I378" s="358"/>
      <c r="J378" s="358"/>
      <c r="K378" s="358"/>
      <c r="L378" s="358"/>
      <c r="M378" s="358"/>
      <c r="N378" s="358"/>
      <c r="O378" s="358"/>
      <c r="P378" s="358"/>
      <c r="Q378" s="358"/>
      <c r="R378" s="358"/>
      <c r="S378" s="358"/>
      <c r="T378" s="358"/>
      <c r="U378" s="358"/>
      <c r="V378" s="358"/>
      <c r="W378" s="358"/>
      <c r="X378" s="358"/>
      <c r="Y378" s="358"/>
      <c r="Z378" s="358"/>
      <c r="AA378" s="358"/>
    </row>
    <row r="379">
      <c r="A379" s="358"/>
      <c r="B379" s="358"/>
      <c r="C379" s="358"/>
      <c r="D379" s="358"/>
      <c r="E379" s="358"/>
      <c r="F379" s="358"/>
      <c r="G379" s="358"/>
      <c r="H379" s="358"/>
      <c r="I379" s="358"/>
      <c r="J379" s="358"/>
      <c r="K379" s="358"/>
      <c r="L379" s="358"/>
      <c r="M379" s="358"/>
      <c r="N379" s="358"/>
      <c r="O379" s="358"/>
      <c r="P379" s="358"/>
      <c r="Q379" s="358"/>
      <c r="R379" s="358"/>
      <c r="S379" s="358"/>
      <c r="T379" s="358"/>
      <c r="U379" s="358"/>
      <c r="V379" s="358"/>
      <c r="W379" s="358"/>
      <c r="X379" s="358"/>
      <c r="Y379" s="358"/>
      <c r="Z379" s="358"/>
      <c r="AA379" s="358"/>
    </row>
    <row r="380">
      <c r="A380" s="358"/>
      <c r="B380" s="358"/>
      <c r="C380" s="358"/>
      <c r="D380" s="358"/>
      <c r="E380" s="358"/>
      <c r="F380" s="358"/>
      <c r="G380" s="358"/>
      <c r="H380" s="358"/>
      <c r="I380" s="358"/>
      <c r="J380" s="358"/>
      <c r="K380" s="358"/>
      <c r="L380" s="358"/>
      <c r="M380" s="358"/>
      <c r="N380" s="358"/>
      <c r="O380" s="358"/>
      <c r="P380" s="358"/>
      <c r="Q380" s="358"/>
      <c r="R380" s="358"/>
      <c r="S380" s="358"/>
      <c r="T380" s="358"/>
      <c r="U380" s="358"/>
      <c r="V380" s="358"/>
      <c r="W380" s="358"/>
      <c r="X380" s="358"/>
      <c r="Y380" s="358"/>
      <c r="Z380" s="358"/>
      <c r="AA380" s="358"/>
    </row>
    <row r="381">
      <c r="A381" s="358"/>
      <c r="B381" s="358"/>
      <c r="C381" s="358"/>
      <c r="D381" s="358"/>
      <c r="E381" s="358"/>
      <c r="F381" s="358"/>
      <c r="G381" s="358"/>
      <c r="H381" s="358"/>
      <c r="I381" s="358"/>
      <c r="J381" s="358"/>
      <c r="K381" s="358"/>
      <c r="L381" s="358"/>
      <c r="M381" s="358"/>
      <c r="N381" s="358"/>
      <c r="O381" s="358"/>
      <c r="P381" s="358"/>
      <c r="Q381" s="358"/>
      <c r="R381" s="358"/>
      <c r="S381" s="358"/>
      <c r="T381" s="358"/>
      <c r="U381" s="358"/>
      <c r="V381" s="358"/>
      <c r="W381" s="358"/>
      <c r="X381" s="358"/>
      <c r="Y381" s="358"/>
      <c r="Z381" s="358"/>
      <c r="AA381" s="358"/>
    </row>
    <row r="382">
      <c r="A382" s="358"/>
      <c r="B382" s="358"/>
      <c r="C382" s="358"/>
      <c r="D382" s="358"/>
      <c r="E382" s="358"/>
      <c r="F382" s="358"/>
      <c r="G382" s="358"/>
      <c r="H382" s="358"/>
      <c r="I382" s="358"/>
      <c r="J382" s="358"/>
      <c r="K382" s="358"/>
      <c r="L382" s="358"/>
      <c r="M382" s="358"/>
      <c r="N382" s="358"/>
      <c r="O382" s="358"/>
      <c r="P382" s="358"/>
      <c r="Q382" s="358"/>
      <c r="R382" s="358"/>
      <c r="S382" s="358"/>
      <c r="T382" s="358"/>
      <c r="U382" s="358"/>
      <c r="V382" s="358"/>
      <c r="W382" s="358"/>
      <c r="X382" s="358"/>
      <c r="Y382" s="358"/>
      <c r="Z382" s="358"/>
      <c r="AA382" s="358"/>
    </row>
    <row r="383">
      <c r="A383" s="358"/>
      <c r="B383" s="358"/>
      <c r="C383" s="358"/>
      <c r="D383" s="358"/>
      <c r="E383" s="358"/>
      <c r="F383" s="358"/>
      <c r="G383" s="358"/>
      <c r="H383" s="358"/>
      <c r="I383" s="358"/>
      <c r="J383" s="358"/>
      <c r="K383" s="358"/>
      <c r="L383" s="358"/>
      <c r="M383" s="358"/>
      <c r="N383" s="358"/>
      <c r="O383" s="358"/>
      <c r="P383" s="358"/>
      <c r="Q383" s="358"/>
      <c r="R383" s="358"/>
      <c r="S383" s="358"/>
      <c r="T383" s="358"/>
      <c r="U383" s="358"/>
      <c r="V383" s="358"/>
      <c r="W383" s="358"/>
      <c r="X383" s="358"/>
      <c r="Y383" s="358"/>
      <c r="Z383" s="358"/>
      <c r="AA383" s="358"/>
    </row>
    <row r="384">
      <c r="A384" s="358"/>
      <c r="B384" s="358"/>
      <c r="C384" s="358"/>
      <c r="D384" s="358"/>
      <c r="E384" s="358"/>
      <c r="F384" s="358"/>
      <c r="G384" s="358"/>
      <c r="H384" s="358"/>
      <c r="I384" s="358"/>
      <c r="J384" s="358"/>
      <c r="K384" s="358"/>
      <c r="L384" s="358"/>
      <c r="M384" s="358"/>
      <c r="N384" s="358"/>
      <c r="O384" s="358"/>
      <c r="P384" s="358"/>
      <c r="Q384" s="358"/>
      <c r="R384" s="358"/>
      <c r="S384" s="358"/>
      <c r="T384" s="358"/>
      <c r="U384" s="358"/>
      <c r="V384" s="358"/>
      <c r="W384" s="358"/>
      <c r="X384" s="358"/>
      <c r="Y384" s="358"/>
      <c r="Z384" s="358"/>
      <c r="AA384" s="358"/>
    </row>
    <row r="385">
      <c r="A385" s="358"/>
      <c r="B385" s="358"/>
      <c r="C385" s="358"/>
      <c r="D385" s="358"/>
      <c r="E385" s="358"/>
      <c r="F385" s="358"/>
      <c r="G385" s="358"/>
      <c r="H385" s="358"/>
      <c r="I385" s="358"/>
      <c r="J385" s="358"/>
      <c r="K385" s="358"/>
      <c r="L385" s="358"/>
      <c r="M385" s="358"/>
      <c r="N385" s="358"/>
      <c r="O385" s="358"/>
      <c r="P385" s="358"/>
      <c r="Q385" s="358"/>
      <c r="R385" s="358"/>
      <c r="S385" s="358"/>
      <c r="T385" s="358"/>
      <c r="U385" s="358"/>
      <c r="V385" s="358"/>
      <c r="W385" s="358"/>
      <c r="X385" s="358"/>
      <c r="Y385" s="358"/>
      <c r="Z385" s="358"/>
      <c r="AA385" s="358"/>
    </row>
    <row r="386">
      <c r="A386" s="358"/>
      <c r="B386" s="358"/>
      <c r="C386" s="358"/>
      <c r="D386" s="358"/>
      <c r="E386" s="358"/>
      <c r="F386" s="358"/>
      <c r="G386" s="358"/>
      <c r="H386" s="358"/>
      <c r="I386" s="358"/>
      <c r="J386" s="358"/>
      <c r="K386" s="358"/>
      <c r="L386" s="358"/>
      <c r="M386" s="358"/>
      <c r="N386" s="358"/>
      <c r="O386" s="358"/>
      <c r="P386" s="358"/>
      <c r="Q386" s="358"/>
      <c r="R386" s="358"/>
      <c r="S386" s="358"/>
      <c r="T386" s="358"/>
      <c r="U386" s="358"/>
      <c r="V386" s="358"/>
      <c r="W386" s="358"/>
      <c r="X386" s="358"/>
      <c r="Y386" s="358"/>
      <c r="Z386" s="358"/>
      <c r="AA386" s="358"/>
    </row>
    <row r="387">
      <c r="A387" s="358"/>
      <c r="B387" s="358"/>
      <c r="C387" s="358"/>
      <c r="D387" s="358"/>
      <c r="E387" s="358"/>
      <c r="F387" s="358"/>
      <c r="G387" s="358"/>
      <c r="H387" s="358"/>
      <c r="I387" s="358"/>
      <c r="J387" s="358"/>
      <c r="K387" s="358"/>
      <c r="L387" s="358"/>
      <c r="M387" s="358"/>
      <c r="N387" s="358"/>
      <c r="O387" s="358"/>
      <c r="P387" s="358"/>
      <c r="Q387" s="358"/>
      <c r="R387" s="358"/>
      <c r="S387" s="358"/>
      <c r="T387" s="358"/>
      <c r="U387" s="358"/>
      <c r="V387" s="358"/>
      <c r="W387" s="358"/>
      <c r="X387" s="358"/>
      <c r="Y387" s="358"/>
      <c r="Z387" s="358"/>
      <c r="AA387" s="358"/>
    </row>
    <row r="388">
      <c r="A388" s="358"/>
      <c r="B388" s="358"/>
      <c r="C388" s="358"/>
      <c r="D388" s="358"/>
      <c r="E388" s="358"/>
      <c r="F388" s="358"/>
      <c r="G388" s="358"/>
      <c r="H388" s="358"/>
      <c r="I388" s="358"/>
      <c r="J388" s="358"/>
      <c r="K388" s="358"/>
      <c r="L388" s="358"/>
      <c r="M388" s="358"/>
      <c r="N388" s="358"/>
      <c r="O388" s="358"/>
      <c r="P388" s="358"/>
      <c r="Q388" s="358"/>
      <c r="R388" s="358"/>
      <c r="S388" s="358"/>
      <c r="T388" s="358"/>
      <c r="U388" s="358"/>
      <c r="V388" s="358"/>
      <c r="W388" s="358"/>
      <c r="X388" s="358"/>
      <c r="Y388" s="358"/>
      <c r="Z388" s="358"/>
      <c r="AA388" s="358"/>
    </row>
    <row r="389">
      <c r="A389" s="358"/>
      <c r="B389" s="358"/>
      <c r="C389" s="358"/>
      <c r="D389" s="358"/>
      <c r="E389" s="358"/>
      <c r="F389" s="358"/>
      <c r="G389" s="358"/>
      <c r="H389" s="358"/>
      <c r="I389" s="358"/>
      <c r="J389" s="358"/>
      <c r="K389" s="358"/>
      <c r="L389" s="358"/>
      <c r="M389" s="358"/>
      <c r="N389" s="358"/>
      <c r="O389" s="358"/>
      <c r="P389" s="358"/>
      <c r="Q389" s="358"/>
      <c r="R389" s="358"/>
      <c r="S389" s="358"/>
      <c r="T389" s="358"/>
      <c r="U389" s="358"/>
      <c r="V389" s="358"/>
      <c r="W389" s="358"/>
      <c r="X389" s="358"/>
      <c r="Y389" s="358"/>
      <c r="Z389" s="358"/>
      <c r="AA389" s="358"/>
    </row>
    <row r="390">
      <c r="A390" s="358"/>
      <c r="B390" s="358"/>
      <c r="C390" s="358"/>
      <c r="D390" s="358"/>
      <c r="E390" s="358"/>
      <c r="F390" s="358"/>
      <c r="G390" s="358"/>
      <c r="H390" s="358"/>
      <c r="I390" s="358"/>
      <c r="J390" s="358"/>
      <c r="K390" s="358"/>
      <c r="L390" s="358"/>
      <c r="M390" s="358"/>
      <c r="N390" s="358"/>
      <c r="O390" s="358"/>
      <c r="P390" s="358"/>
      <c r="Q390" s="358"/>
      <c r="R390" s="358"/>
      <c r="S390" s="358"/>
      <c r="T390" s="358"/>
      <c r="U390" s="358"/>
      <c r="V390" s="358"/>
      <c r="W390" s="358"/>
      <c r="X390" s="358"/>
      <c r="Y390" s="358"/>
      <c r="Z390" s="358"/>
      <c r="AA390" s="358"/>
    </row>
    <row r="391">
      <c r="A391" s="358"/>
      <c r="B391" s="358"/>
      <c r="C391" s="358"/>
      <c r="D391" s="358"/>
      <c r="E391" s="358"/>
      <c r="F391" s="358"/>
      <c r="G391" s="358"/>
      <c r="H391" s="358"/>
      <c r="I391" s="358"/>
      <c r="J391" s="358"/>
      <c r="K391" s="358"/>
      <c r="L391" s="358"/>
      <c r="M391" s="358"/>
      <c r="N391" s="358"/>
      <c r="O391" s="358"/>
      <c r="P391" s="358"/>
      <c r="Q391" s="358"/>
      <c r="R391" s="358"/>
      <c r="S391" s="358"/>
      <c r="T391" s="358"/>
      <c r="U391" s="358"/>
      <c r="V391" s="358"/>
      <c r="W391" s="358"/>
      <c r="X391" s="358"/>
      <c r="Y391" s="358"/>
      <c r="Z391" s="358"/>
      <c r="AA391" s="358"/>
    </row>
    <row r="392">
      <c r="A392" s="358"/>
      <c r="B392" s="358"/>
      <c r="C392" s="358"/>
      <c r="D392" s="358"/>
      <c r="E392" s="358"/>
      <c r="F392" s="358"/>
      <c r="G392" s="358"/>
      <c r="H392" s="358"/>
      <c r="I392" s="358"/>
      <c r="J392" s="358"/>
      <c r="K392" s="358"/>
      <c r="L392" s="358"/>
      <c r="M392" s="358"/>
      <c r="N392" s="358"/>
      <c r="O392" s="358"/>
      <c r="P392" s="358"/>
      <c r="Q392" s="358"/>
      <c r="R392" s="358"/>
      <c r="S392" s="358"/>
      <c r="T392" s="358"/>
      <c r="U392" s="358"/>
      <c r="V392" s="358"/>
      <c r="W392" s="358"/>
      <c r="X392" s="358"/>
      <c r="Y392" s="358"/>
      <c r="Z392" s="358"/>
      <c r="AA392" s="358"/>
    </row>
    <row r="393">
      <c r="A393" s="358"/>
      <c r="B393" s="358"/>
      <c r="C393" s="358"/>
      <c r="D393" s="358"/>
      <c r="E393" s="358"/>
      <c r="F393" s="358"/>
      <c r="G393" s="358"/>
      <c r="H393" s="358"/>
      <c r="I393" s="358"/>
      <c r="J393" s="358"/>
      <c r="K393" s="358"/>
      <c r="L393" s="358"/>
      <c r="M393" s="358"/>
      <c r="N393" s="358"/>
      <c r="O393" s="358"/>
      <c r="P393" s="358"/>
      <c r="Q393" s="358"/>
      <c r="R393" s="358"/>
      <c r="S393" s="358"/>
      <c r="T393" s="358"/>
      <c r="U393" s="358"/>
      <c r="V393" s="358"/>
      <c r="W393" s="358"/>
      <c r="X393" s="358"/>
      <c r="Y393" s="358"/>
      <c r="Z393" s="358"/>
      <c r="AA393" s="358"/>
    </row>
    <row r="394">
      <c r="A394" s="358"/>
      <c r="B394" s="358"/>
      <c r="C394" s="358"/>
      <c r="D394" s="358"/>
      <c r="E394" s="358"/>
      <c r="F394" s="358"/>
      <c r="G394" s="358"/>
      <c r="H394" s="358"/>
      <c r="I394" s="358"/>
      <c r="J394" s="358"/>
      <c r="K394" s="358"/>
      <c r="L394" s="358"/>
      <c r="M394" s="358"/>
      <c r="N394" s="358"/>
      <c r="O394" s="358"/>
      <c r="P394" s="358"/>
      <c r="Q394" s="358"/>
      <c r="R394" s="358"/>
      <c r="S394" s="358"/>
      <c r="T394" s="358"/>
      <c r="U394" s="358"/>
      <c r="V394" s="358"/>
      <c r="W394" s="358"/>
      <c r="X394" s="358"/>
      <c r="Y394" s="358"/>
      <c r="Z394" s="358"/>
      <c r="AA394" s="358"/>
    </row>
    <row r="395">
      <c r="A395" s="358"/>
      <c r="B395" s="358"/>
      <c r="C395" s="358"/>
      <c r="D395" s="358"/>
      <c r="E395" s="358"/>
      <c r="F395" s="358"/>
      <c r="G395" s="358"/>
      <c r="H395" s="358"/>
      <c r="I395" s="358"/>
      <c r="J395" s="358"/>
      <c r="K395" s="358"/>
      <c r="L395" s="358"/>
      <c r="M395" s="358"/>
      <c r="N395" s="358"/>
      <c r="O395" s="358"/>
      <c r="P395" s="358"/>
      <c r="Q395" s="358"/>
      <c r="R395" s="358"/>
      <c r="S395" s="358"/>
      <c r="T395" s="358"/>
      <c r="U395" s="358"/>
      <c r="V395" s="358"/>
      <c r="W395" s="358"/>
      <c r="X395" s="358"/>
      <c r="Y395" s="358"/>
      <c r="Z395" s="358"/>
      <c r="AA395" s="358"/>
    </row>
    <row r="396">
      <c r="A396" s="358"/>
      <c r="B396" s="358"/>
      <c r="C396" s="358"/>
      <c r="D396" s="358"/>
      <c r="E396" s="358"/>
      <c r="F396" s="358"/>
      <c r="G396" s="358"/>
      <c r="H396" s="358"/>
      <c r="I396" s="358"/>
      <c r="J396" s="358"/>
      <c r="K396" s="358"/>
      <c r="L396" s="358"/>
      <c r="M396" s="358"/>
      <c r="N396" s="358"/>
      <c r="O396" s="358"/>
      <c r="P396" s="358"/>
      <c r="Q396" s="358"/>
      <c r="R396" s="358"/>
      <c r="S396" s="358"/>
      <c r="T396" s="358"/>
      <c r="U396" s="358"/>
      <c r="V396" s="358"/>
      <c r="W396" s="358"/>
      <c r="X396" s="358"/>
      <c r="Y396" s="358"/>
      <c r="Z396" s="358"/>
      <c r="AA396" s="358"/>
    </row>
    <row r="397">
      <c r="A397" s="358"/>
      <c r="B397" s="358"/>
      <c r="C397" s="358"/>
      <c r="D397" s="358"/>
      <c r="E397" s="358"/>
      <c r="F397" s="358"/>
      <c r="G397" s="358"/>
      <c r="H397" s="358"/>
      <c r="I397" s="358"/>
      <c r="J397" s="358"/>
      <c r="K397" s="358"/>
      <c r="L397" s="358"/>
      <c r="M397" s="358"/>
      <c r="N397" s="358"/>
      <c r="O397" s="358"/>
      <c r="P397" s="358"/>
      <c r="Q397" s="358"/>
      <c r="R397" s="358"/>
      <c r="S397" s="358"/>
      <c r="T397" s="358"/>
      <c r="U397" s="358"/>
      <c r="V397" s="358"/>
      <c r="W397" s="358"/>
      <c r="X397" s="358"/>
      <c r="Y397" s="358"/>
      <c r="Z397" s="358"/>
      <c r="AA397" s="358"/>
    </row>
    <row r="398">
      <c r="A398" s="358"/>
      <c r="B398" s="358"/>
      <c r="C398" s="358"/>
      <c r="D398" s="358"/>
      <c r="E398" s="358"/>
      <c r="F398" s="358"/>
      <c r="G398" s="358"/>
      <c r="H398" s="358"/>
      <c r="I398" s="358"/>
      <c r="J398" s="358"/>
      <c r="K398" s="358"/>
      <c r="L398" s="358"/>
      <c r="M398" s="358"/>
      <c r="N398" s="358"/>
      <c r="O398" s="358"/>
      <c r="P398" s="358"/>
      <c r="Q398" s="358"/>
      <c r="R398" s="358"/>
      <c r="S398" s="358"/>
      <c r="T398" s="358"/>
      <c r="U398" s="358"/>
      <c r="V398" s="358"/>
      <c r="W398" s="358"/>
      <c r="X398" s="358"/>
      <c r="Y398" s="358"/>
      <c r="Z398" s="358"/>
      <c r="AA398" s="358"/>
    </row>
    <row r="399">
      <c r="A399" s="358"/>
      <c r="B399" s="358"/>
      <c r="C399" s="358"/>
      <c r="D399" s="358"/>
      <c r="E399" s="358"/>
      <c r="F399" s="358"/>
      <c r="G399" s="358"/>
      <c r="H399" s="358"/>
      <c r="I399" s="358"/>
      <c r="J399" s="358"/>
      <c r="K399" s="358"/>
      <c r="L399" s="358"/>
      <c r="M399" s="358"/>
      <c r="N399" s="358"/>
      <c r="O399" s="358"/>
      <c r="P399" s="358"/>
      <c r="Q399" s="358"/>
      <c r="R399" s="358"/>
      <c r="S399" s="358"/>
      <c r="T399" s="358"/>
      <c r="U399" s="358"/>
      <c r="V399" s="358"/>
      <c r="W399" s="358"/>
      <c r="X399" s="358"/>
      <c r="Y399" s="358"/>
      <c r="Z399" s="358"/>
      <c r="AA399" s="358"/>
    </row>
    <row r="400">
      <c r="A400" s="358"/>
      <c r="B400" s="358"/>
      <c r="C400" s="358"/>
      <c r="D400" s="358"/>
      <c r="E400" s="358"/>
      <c r="F400" s="358"/>
      <c r="G400" s="358"/>
      <c r="H400" s="358"/>
      <c r="I400" s="358"/>
      <c r="J400" s="358"/>
      <c r="K400" s="358"/>
      <c r="L400" s="358"/>
      <c r="M400" s="358"/>
      <c r="N400" s="358"/>
      <c r="O400" s="358"/>
      <c r="P400" s="358"/>
      <c r="Q400" s="358"/>
      <c r="R400" s="358"/>
      <c r="S400" s="358"/>
      <c r="T400" s="358"/>
      <c r="U400" s="358"/>
      <c r="V400" s="358"/>
      <c r="W400" s="358"/>
      <c r="X400" s="358"/>
      <c r="Y400" s="358"/>
      <c r="Z400" s="358"/>
      <c r="AA400" s="358"/>
    </row>
    <row r="401">
      <c r="A401" s="358"/>
      <c r="B401" s="358"/>
      <c r="C401" s="358"/>
      <c r="D401" s="358"/>
      <c r="E401" s="358"/>
      <c r="F401" s="358"/>
      <c r="G401" s="358"/>
      <c r="H401" s="358"/>
      <c r="I401" s="358"/>
      <c r="J401" s="358"/>
      <c r="K401" s="358"/>
      <c r="L401" s="358"/>
      <c r="M401" s="358"/>
      <c r="N401" s="358"/>
      <c r="O401" s="358"/>
      <c r="P401" s="358"/>
      <c r="Q401" s="358"/>
      <c r="R401" s="358"/>
      <c r="S401" s="358"/>
      <c r="T401" s="358"/>
      <c r="U401" s="358"/>
      <c r="V401" s="358"/>
      <c r="W401" s="358"/>
      <c r="X401" s="358"/>
      <c r="Y401" s="358"/>
      <c r="Z401" s="358"/>
      <c r="AA401" s="358"/>
    </row>
    <row r="402">
      <c r="A402" s="358"/>
      <c r="B402" s="358"/>
      <c r="C402" s="358"/>
      <c r="D402" s="358"/>
      <c r="E402" s="358"/>
      <c r="F402" s="358"/>
      <c r="G402" s="358"/>
      <c r="H402" s="358"/>
      <c r="I402" s="358"/>
      <c r="J402" s="358"/>
      <c r="K402" s="358"/>
      <c r="L402" s="358"/>
      <c r="M402" s="358"/>
      <c r="N402" s="358"/>
      <c r="O402" s="358"/>
      <c r="P402" s="358"/>
      <c r="Q402" s="358"/>
      <c r="R402" s="358"/>
      <c r="S402" s="358"/>
      <c r="T402" s="358"/>
      <c r="U402" s="358"/>
      <c r="V402" s="358"/>
      <c r="W402" s="358"/>
      <c r="X402" s="358"/>
      <c r="Y402" s="358"/>
      <c r="Z402" s="358"/>
      <c r="AA402" s="358"/>
    </row>
    <row r="403">
      <c r="A403" s="358"/>
      <c r="B403" s="358"/>
      <c r="C403" s="358"/>
      <c r="D403" s="358"/>
      <c r="E403" s="358"/>
      <c r="F403" s="358"/>
      <c r="G403" s="358"/>
      <c r="H403" s="358"/>
      <c r="I403" s="358"/>
      <c r="J403" s="358"/>
      <c r="K403" s="358"/>
      <c r="L403" s="358"/>
      <c r="M403" s="358"/>
      <c r="N403" s="358"/>
      <c r="O403" s="358"/>
      <c r="P403" s="358"/>
      <c r="Q403" s="358"/>
      <c r="R403" s="358"/>
      <c r="S403" s="358"/>
      <c r="T403" s="358"/>
      <c r="U403" s="358"/>
      <c r="V403" s="358"/>
      <c r="W403" s="358"/>
      <c r="X403" s="358"/>
      <c r="Y403" s="358"/>
      <c r="Z403" s="358"/>
      <c r="AA403" s="358"/>
    </row>
    <row r="404">
      <c r="A404" s="358"/>
      <c r="B404" s="358"/>
      <c r="C404" s="358"/>
      <c r="D404" s="358"/>
      <c r="E404" s="358"/>
      <c r="F404" s="358"/>
      <c r="G404" s="358"/>
      <c r="H404" s="358"/>
      <c r="I404" s="358"/>
      <c r="J404" s="358"/>
      <c r="K404" s="358"/>
      <c r="L404" s="358"/>
      <c r="M404" s="358"/>
      <c r="N404" s="358"/>
      <c r="O404" s="358"/>
      <c r="P404" s="358"/>
      <c r="Q404" s="358"/>
      <c r="R404" s="358"/>
      <c r="S404" s="358"/>
      <c r="T404" s="358"/>
      <c r="U404" s="358"/>
      <c r="V404" s="358"/>
      <c r="W404" s="358"/>
      <c r="X404" s="358"/>
      <c r="Y404" s="358"/>
      <c r="Z404" s="358"/>
      <c r="AA404" s="358"/>
    </row>
    <row r="405">
      <c r="A405" s="358"/>
      <c r="B405" s="358"/>
      <c r="C405" s="358"/>
      <c r="D405" s="358"/>
      <c r="E405" s="358"/>
      <c r="F405" s="358"/>
      <c r="G405" s="358"/>
      <c r="H405" s="358"/>
      <c r="I405" s="358"/>
      <c r="J405" s="358"/>
      <c r="K405" s="358"/>
      <c r="L405" s="358"/>
      <c r="M405" s="358"/>
      <c r="N405" s="358"/>
      <c r="O405" s="358"/>
      <c r="P405" s="358"/>
      <c r="Q405" s="358"/>
      <c r="R405" s="358"/>
      <c r="S405" s="358"/>
      <c r="T405" s="358"/>
      <c r="U405" s="358"/>
      <c r="V405" s="358"/>
      <c r="W405" s="358"/>
      <c r="X405" s="358"/>
      <c r="Y405" s="358"/>
      <c r="Z405" s="358"/>
      <c r="AA405" s="358"/>
    </row>
    <row r="406">
      <c r="A406" s="358"/>
      <c r="B406" s="358"/>
      <c r="C406" s="358"/>
      <c r="D406" s="358"/>
      <c r="E406" s="358"/>
      <c r="F406" s="358"/>
      <c r="G406" s="358"/>
      <c r="H406" s="358"/>
      <c r="I406" s="358"/>
      <c r="J406" s="358"/>
      <c r="K406" s="358"/>
      <c r="L406" s="358"/>
      <c r="M406" s="358"/>
      <c r="N406" s="358"/>
      <c r="O406" s="358"/>
      <c r="P406" s="358"/>
      <c r="Q406" s="358"/>
      <c r="R406" s="358"/>
      <c r="S406" s="358"/>
      <c r="T406" s="358"/>
      <c r="U406" s="358"/>
      <c r="V406" s="358"/>
      <c r="W406" s="358"/>
      <c r="X406" s="358"/>
      <c r="Y406" s="358"/>
      <c r="Z406" s="358"/>
      <c r="AA406" s="358"/>
    </row>
    <row r="407">
      <c r="A407" s="358"/>
      <c r="B407" s="358"/>
      <c r="C407" s="358"/>
      <c r="D407" s="358"/>
      <c r="E407" s="358"/>
      <c r="F407" s="358"/>
      <c r="G407" s="358"/>
      <c r="H407" s="358"/>
      <c r="I407" s="358"/>
      <c r="J407" s="358"/>
      <c r="K407" s="358"/>
      <c r="L407" s="358"/>
      <c r="M407" s="358"/>
      <c r="N407" s="358"/>
      <c r="O407" s="358"/>
      <c r="P407" s="358"/>
      <c r="Q407" s="358"/>
      <c r="R407" s="358"/>
      <c r="S407" s="358"/>
      <c r="T407" s="358"/>
      <c r="U407" s="358"/>
      <c r="V407" s="358"/>
      <c r="W407" s="358"/>
      <c r="X407" s="358"/>
      <c r="Y407" s="358"/>
      <c r="Z407" s="358"/>
      <c r="AA407" s="358"/>
    </row>
    <row r="408">
      <c r="A408" s="358"/>
      <c r="B408" s="358"/>
      <c r="C408" s="358"/>
      <c r="D408" s="358"/>
      <c r="E408" s="358"/>
      <c r="F408" s="358"/>
      <c r="G408" s="358"/>
      <c r="H408" s="358"/>
      <c r="I408" s="358"/>
      <c r="J408" s="358"/>
      <c r="K408" s="358"/>
      <c r="L408" s="358"/>
      <c r="M408" s="358"/>
      <c r="N408" s="358"/>
      <c r="O408" s="358"/>
      <c r="P408" s="358"/>
      <c r="Q408" s="358"/>
      <c r="R408" s="358"/>
      <c r="S408" s="358"/>
      <c r="T408" s="358"/>
      <c r="U408" s="358"/>
      <c r="V408" s="358"/>
      <c r="W408" s="358"/>
      <c r="X408" s="358"/>
      <c r="Y408" s="358"/>
      <c r="Z408" s="358"/>
      <c r="AA408" s="358"/>
    </row>
    <row r="409">
      <c r="A409" s="358"/>
      <c r="B409" s="358"/>
      <c r="C409" s="358"/>
      <c r="D409" s="358"/>
      <c r="E409" s="358"/>
      <c r="F409" s="358"/>
      <c r="G409" s="358"/>
      <c r="H409" s="358"/>
      <c r="I409" s="358"/>
      <c r="J409" s="358"/>
      <c r="K409" s="358"/>
      <c r="L409" s="358"/>
      <c r="M409" s="358"/>
      <c r="N409" s="358"/>
      <c r="O409" s="358"/>
      <c r="P409" s="358"/>
      <c r="Q409" s="358"/>
      <c r="R409" s="358"/>
      <c r="S409" s="358"/>
      <c r="T409" s="358"/>
      <c r="U409" s="358"/>
      <c r="V409" s="358"/>
      <c r="W409" s="358"/>
      <c r="X409" s="358"/>
      <c r="Y409" s="358"/>
      <c r="Z409" s="358"/>
      <c r="AA409" s="358"/>
    </row>
    <row r="410">
      <c r="A410" s="358"/>
      <c r="B410" s="358"/>
      <c r="C410" s="358"/>
      <c r="D410" s="358"/>
      <c r="E410" s="358"/>
      <c r="F410" s="358"/>
      <c r="G410" s="358"/>
      <c r="H410" s="358"/>
      <c r="I410" s="358"/>
      <c r="J410" s="358"/>
      <c r="K410" s="358"/>
      <c r="L410" s="358"/>
      <c r="M410" s="358"/>
      <c r="N410" s="358"/>
      <c r="O410" s="358"/>
      <c r="P410" s="358"/>
      <c r="Q410" s="358"/>
      <c r="R410" s="358"/>
      <c r="S410" s="358"/>
      <c r="T410" s="358"/>
      <c r="U410" s="358"/>
      <c r="V410" s="358"/>
      <c r="W410" s="358"/>
      <c r="X410" s="358"/>
      <c r="Y410" s="358"/>
      <c r="Z410" s="358"/>
      <c r="AA410" s="358"/>
    </row>
    <row r="411">
      <c r="A411" s="358"/>
      <c r="B411" s="358"/>
      <c r="C411" s="358"/>
      <c r="D411" s="358"/>
      <c r="E411" s="358"/>
      <c r="F411" s="358"/>
      <c r="G411" s="358"/>
      <c r="H411" s="358"/>
      <c r="I411" s="358"/>
      <c r="J411" s="358"/>
      <c r="K411" s="358"/>
      <c r="L411" s="358"/>
      <c r="M411" s="358"/>
      <c r="N411" s="358"/>
      <c r="O411" s="358"/>
      <c r="P411" s="358"/>
      <c r="Q411" s="358"/>
      <c r="R411" s="358"/>
      <c r="S411" s="358"/>
      <c r="T411" s="358"/>
      <c r="U411" s="358"/>
      <c r="V411" s="358"/>
      <c r="W411" s="358"/>
      <c r="X411" s="358"/>
      <c r="Y411" s="358"/>
      <c r="Z411" s="358"/>
      <c r="AA411" s="358"/>
    </row>
    <row r="412">
      <c r="A412" s="358"/>
      <c r="B412" s="358"/>
      <c r="C412" s="358"/>
      <c r="D412" s="358"/>
      <c r="E412" s="358"/>
      <c r="F412" s="358"/>
      <c r="G412" s="358"/>
      <c r="H412" s="358"/>
      <c r="I412" s="358"/>
      <c r="J412" s="358"/>
      <c r="K412" s="358"/>
      <c r="L412" s="358"/>
      <c r="M412" s="358"/>
      <c r="N412" s="358"/>
      <c r="O412" s="358"/>
      <c r="P412" s="358"/>
      <c r="Q412" s="358"/>
      <c r="R412" s="358"/>
      <c r="S412" s="358"/>
      <c r="T412" s="358"/>
      <c r="U412" s="358"/>
      <c r="V412" s="358"/>
      <c r="W412" s="358"/>
      <c r="X412" s="358"/>
      <c r="Y412" s="358"/>
      <c r="Z412" s="358"/>
      <c r="AA412" s="358"/>
    </row>
    <row r="413">
      <c r="A413" s="358"/>
      <c r="B413" s="358"/>
      <c r="C413" s="358"/>
      <c r="D413" s="358"/>
      <c r="E413" s="358"/>
      <c r="F413" s="358"/>
      <c r="G413" s="358"/>
      <c r="H413" s="358"/>
      <c r="I413" s="358"/>
      <c r="J413" s="358"/>
      <c r="K413" s="358"/>
      <c r="L413" s="358"/>
      <c r="M413" s="358"/>
      <c r="N413" s="358"/>
      <c r="O413" s="358"/>
      <c r="P413" s="358"/>
      <c r="Q413" s="358"/>
      <c r="R413" s="358"/>
      <c r="S413" s="358"/>
      <c r="T413" s="358"/>
      <c r="U413" s="358"/>
      <c r="V413" s="358"/>
      <c r="W413" s="358"/>
      <c r="X413" s="358"/>
      <c r="Y413" s="358"/>
      <c r="Z413" s="358"/>
      <c r="AA413" s="358"/>
    </row>
    <row r="414">
      <c r="A414" s="358"/>
      <c r="B414" s="358"/>
      <c r="C414" s="358"/>
      <c r="D414" s="358"/>
      <c r="E414" s="358"/>
      <c r="F414" s="358"/>
      <c r="G414" s="358"/>
      <c r="H414" s="358"/>
      <c r="I414" s="358"/>
      <c r="J414" s="358"/>
      <c r="K414" s="358"/>
      <c r="L414" s="358"/>
      <c r="M414" s="358"/>
      <c r="N414" s="358"/>
      <c r="O414" s="358"/>
      <c r="P414" s="358"/>
      <c r="Q414" s="358"/>
      <c r="R414" s="358"/>
      <c r="S414" s="358"/>
      <c r="T414" s="358"/>
      <c r="U414" s="358"/>
      <c r="V414" s="358"/>
      <c r="W414" s="358"/>
      <c r="X414" s="358"/>
      <c r="Y414" s="358"/>
      <c r="Z414" s="358"/>
      <c r="AA414" s="358"/>
    </row>
    <row r="415">
      <c r="A415" s="358"/>
      <c r="B415" s="358"/>
      <c r="C415" s="358"/>
      <c r="D415" s="358"/>
      <c r="E415" s="358"/>
      <c r="F415" s="358"/>
      <c r="G415" s="358"/>
      <c r="H415" s="358"/>
      <c r="I415" s="358"/>
      <c r="J415" s="358"/>
      <c r="K415" s="358"/>
      <c r="L415" s="358"/>
      <c r="M415" s="358"/>
      <c r="N415" s="358"/>
      <c r="O415" s="358"/>
      <c r="P415" s="358"/>
      <c r="Q415" s="358"/>
      <c r="R415" s="358"/>
      <c r="S415" s="358"/>
      <c r="T415" s="358"/>
      <c r="U415" s="358"/>
      <c r="V415" s="358"/>
      <c r="W415" s="358"/>
      <c r="X415" s="358"/>
      <c r="Y415" s="358"/>
      <c r="Z415" s="358"/>
      <c r="AA415" s="358"/>
    </row>
    <row r="416">
      <c r="A416" s="358"/>
      <c r="B416" s="358"/>
      <c r="C416" s="358"/>
      <c r="D416" s="358"/>
      <c r="E416" s="358"/>
      <c r="F416" s="358"/>
      <c r="G416" s="358"/>
      <c r="H416" s="358"/>
      <c r="I416" s="358"/>
      <c r="J416" s="358"/>
      <c r="K416" s="358"/>
      <c r="L416" s="358"/>
      <c r="M416" s="358"/>
      <c r="N416" s="358"/>
      <c r="O416" s="358"/>
      <c r="P416" s="358"/>
      <c r="Q416" s="358"/>
      <c r="R416" s="358"/>
      <c r="S416" s="358"/>
      <c r="T416" s="358"/>
      <c r="U416" s="358"/>
      <c r="V416" s="358"/>
      <c r="W416" s="358"/>
      <c r="X416" s="358"/>
      <c r="Y416" s="358"/>
      <c r="Z416" s="358"/>
      <c r="AA416" s="358"/>
    </row>
    <row r="417">
      <c r="A417" s="358"/>
      <c r="B417" s="358"/>
      <c r="C417" s="358"/>
      <c r="D417" s="358"/>
      <c r="E417" s="358"/>
      <c r="F417" s="358"/>
      <c r="G417" s="358"/>
      <c r="H417" s="358"/>
      <c r="I417" s="358"/>
      <c r="J417" s="358"/>
      <c r="K417" s="358"/>
      <c r="L417" s="358"/>
      <c r="M417" s="358"/>
      <c r="N417" s="358"/>
      <c r="O417" s="358"/>
      <c r="P417" s="358"/>
      <c r="Q417" s="358"/>
      <c r="R417" s="358"/>
      <c r="S417" s="358"/>
      <c r="T417" s="358"/>
      <c r="U417" s="358"/>
      <c r="V417" s="358"/>
      <c r="W417" s="358"/>
      <c r="X417" s="358"/>
      <c r="Y417" s="358"/>
      <c r="Z417" s="358"/>
      <c r="AA417" s="358"/>
    </row>
    <row r="418">
      <c r="A418" s="358"/>
      <c r="B418" s="358"/>
      <c r="C418" s="358"/>
      <c r="D418" s="358"/>
      <c r="E418" s="358"/>
      <c r="F418" s="358"/>
      <c r="G418" s="358"/>
      <c r="H418" s="358"/>
      <c r="I418" s="358"/>
      <c r="J418" s="358"/>
      <c r="K418" s="358"/>
      <c r="L418" s="358"/>
      <c r="M418" s="358"/>
      <c r="N418" s="358"/>
      <c r="O418" s="358"/>
      <c r="P418" s="358"/>
      <c r="Q418" s="358"/>
      <c r="R418" s="358"/>
      <c r="S418" s="358"/>
      <c r="T418" s="358"/>
      <c r="U418" s="358"/>
      <c r="V418" s="358"/>
      <c r="W418" s="358"/>
      <c r="X418" s="358"/>
      <c r="Y418" s="358"/>
      <c r="Z418" s="358"/>
      <c r="AA418" s="358"/>
    </row>
    <row r="419">
      <c r="A419" s="358"/>
      <c r="B419" s="358"/>
      <c r="C419" s="358"/>
      <c r="D419" s="358"/>
      <c r="E419" s="358"/>
      <c r="F419" s="358"/>
      <c r="G419" s="358"/>
      <c r="H419" s="358"/>
      <c r="I419" s="358"/>
      <c r="J419" s="358"/>
      <c r="K419" s="358"/>
      <c r="L419" s="358"/>
      <c r="M419" s="358"/>
      <c r="N419" s="358"/>
      <c r="O419" s="358"/>
      <c r="P419" s="358"/>
      <c r="Q419" s="358"/>
      <c r="R419" s="358"/>
      <c r="S419" s="358"/>
      <c r="T419" s="358"/>
      <c r="U419" s="358"/>
      <c r="V419" s="358"/>
      <c r="W419" s="358"/>
      <c r="X419" s="358"/>
      <c r="Y419" s="358"/>
      <c r="Z419" s="358"/>
      <c r="AA419" s="358"/>
    </row>
    <row r="420">
      <c r="A420" s="358"/>
      <c r="B420" s="358"/>
      <c r="C420" s="358"/>
      <c r="D420" s="358"/>
      <c r="E420" s="358"/>
      <c r="F420" s="358"/>
      <c r="G420" s="358"/>
      <c r="H420" s="358"/>
      <c r="I420" s="358"/>
      <c r="J420" s="358"/>
      <c r="K420" s="358"/>
      <c r="L420" s="358"/>
      <c r="M420" s="358"/>
      <c r="N420" s="358"/>
      <c r="O420" s="358"/>
      <c r="P420" s="358"/>
      <c r="Q420" s="358"/>
      <c r="R420" s="358"/>
      <c r="S420" s="358"/>
      <c r="T420" s="358"/>
      <c r="U420" s="358"/>
      <c r="V420" s="358"/>
      <c r="W420" s="358"/>
      <c r="X420" s="358"/>
      <c r="Y420" s="358"/>
      <c r="Z420" s="358"/>
      <c r="AA420" s="358"/>
    </row>
    <row r="421">
      <c r="A421" s="358"/>
      <c r="B421" s="358"/>
      <c r="C421" s="358"/>
      <c r="D421" s="358"/>
      <c r="E421" s="358"/>
      <c r="F421" s="358"/>
      <c r="G421" s="358"/>
      <c r="H421" s="358"/>
      <c r="I421" s="358"/>
      <c r="J421" s="358"/>
      <c r="K421" s="358"/>
      <c r="L421" s="358"/>
      <c r="M421" s="358"/>
      <c r="N421" s="358"/>
      <c r="O421" s="358"/>
      <c r="P421" s="358"/>
      <c r="Q421" s="358"/>
      <c r="R421" s="358"/>
      <c r="S421" s="358"/>
      <c r="T421" s="358"/>
      <c r="U421" s="358"/>
      <c r="V421" s="358"/>
      <c r="W421" s="358"/>
      <c r="X421" s="358"/>
      <c r="Y421" s="358"/>
      <c r="Z421" s="358"/>
      <c r="AA421" s="358"/>
    </row>
    <row r="422">
      <c r="A422" s="358"/>
      <c r="B422" s="358"/>
      <c r="C422" s="358"/>
      <c r="D422" s="358"/>
      <c r="E422" s="358"/>
      <c r="F422" s="358"/>
      <c r="G422" s="358"/>
      <c r="H422" s="358"/>
      <c r="I422" s="358"/>
      <c r="J422" s="358"/>
      <c r="K422" s="358"/>
      <c r="L422" s="358"/>
      <c r="M422" s="358"/>
      <c r="N422" s="358"/>
      <c r="O422" s="358"/>
      <c r="P422" s="358"/>
      <c r="Q422" s="358"/>
      <c r="R422" s="358"/>
      <c r="S422" s="358"/>
      <c r="T422" s="358"/>
      <c r="U422" s="358"/>
      <c r="V422" s="358"/>
      <c r="W422" s="358"/>
      <c r="X422" s="358"/>
      <c r="Y422" s="358"/>
      <c r="Z422" s="358"/>
      <c r="AA422" s="358"/>
    </row>
    <row r="423">
      <c r="A423" s="358"/>
      <c r="B423" s="358"/>
      <c r="C423" s="358"/>
      <c r="D423" s="358"/>
      <c r="E423" s="358"/>
      <c r="F423" s="358"/>
      <c r="G423" s="358"/>
      <c r="H423" s="358"/>
      <c r="I423" s="358"/>
      <c r="J423" s="358"/>
      <c r="K423" s="358"/>
      <c r="L423" s="358"/>
      <c r="M423" s="358"/>
      <c r="N423" s="358"/>
      <c r="O423" s="358"/>
      <c r="P423" s="358"/>
      <c r="Q423" s="358"/>
      <c r="R423" s="358"/>
      <c r="S423" s="358"/>
      <c r="T423" s="358"/>
      <c r="U423" s="358"/>
      <c r="V423" s="358"/>
      <c r="W423" s="358"/>
      <c r="X423" s="358"/>
      <c r="Y423" s="358"/>
      <c r="Z423" s="358"/>
      <c r="AA423" s="358"/>
    </row>
    <row r="424">
      <c r="A424" s="358"/>
      <c r="B424" s="358"/>
      <c r="C424" s="358"/>
      <c r="D424" s="358"/>
      <c r="E424" s="358"/>
      <c r="F424" s="358"/>
      <c r="G424" s="358"/>
      <c r="H424" s="358"/>
      <c r="I424" s="358"/>
      <c r="J424" s="358"/>
      <c r="K424" s="358"/>
      <c r="L424" s="358"/>
      <c r="M424" s="358"/>
      <c r="N424" s="358"/>
      <c r="O424" s="358"/>
      <c r="P424" s="358"/>
      <c r="Q424" s="358"/>
      <c r="R424" s="358"/>
      <c r="S424" s="358"/>
      <c r="T424" s="358"/>
      <c r="U424" s="358"/>
      <c r="V424" s="358"/>
      <c r="W424" s="358"/>
      <c r="X424" s="358"/>
      <c r="Y424" s="358"/>
      <c r="Z424" s="358"/>
      <c r="AA424" s="358"/>
    </row>
    <row r="425">
      <c r="A425" s="358"/>
      <c r="B425" s="358"/>
      <c r="C425" s="358"/>
      <c r="D425" s="358"/>
      <c r="E425" s="358"/>
      <c r="F425" s="358"/>
      <c r="G425" s="358"/>
      <c r="H425" s="358"/>
      <c r="I425" s="358"/>
      <c r="J425" s="358"/>
      <c r="K425" s="358"/>
      <c r="L425" s="358"/>
      <c r="M425" s="358"/>
      <c r="N425" s="358"/>
      <c r="O425" s="358"/>
      <c r="P425" s="358"/>
      <c r="Q425" s="358"/>
      <c r="R425" s="358"/>
      <c r="S425" s="358"/>
      <c r="T425" s="358"/>
      <c r="U425" s="358"/>
      <c r="V425" s="358"/>
      <c r="W425" s="358"/>
      <c r="X425" s="358"/>
      <c r="Y425" s="358"/>
      <c r="Z425" s="358"/>
      <c r="AA425" s="358"/>
    </row>
    <row r="426">
      <c r="A426" s="358"/>
      <c r="B426" s="358"/>
      <c r="C426" s="358"/>
      <c r="D426" s="358"/>
      <c r="E426" s="358"/>
      <c r="F426" s="358"/>
      <c r="G426" s="358"/>
      <c r="H426" s="358"/>
      <c r="I426" s="358"/>
      <c r="J426" s="358"/>
      <c r="K426" s="358"/>
      <c r="L426" s="358"/>
      <c r="M426" s="358"/>
      <c r="N426" s="358"/>
      <c r="O426" s="358"/>
      <c r="P426" s="358"/>
      <c r="Q426" s="358"/>
      <c r="R426" s="358"/>
      <c r="S426" s="358"/>
      <c r="T426" s="358"/>
      <c r="U426" s="358"/>
      <c r="V426" s="358"/>
      <c r="W426" s="358"/>
      <c r="X426" s="358"/>
      <c r="Y426" s="358"/>
      <c r="Z426" s="358"/>
      <c r="AA426" s="358"/>
    </row>
    <row r="427">
      <c r="A427" s="358"/>
      <c r="B427" s="358"/>
      <c r="C427" s="358"/>
      <c r="D427" s="358"/>
      <c r="E427" s="358"/>
      <c r="F427" s="358"/>
      <c r="G427" s="358"/>
      <c r="H427" s="358"/>
      <c r="I427" s="358"/>
      <c r="J427" s="358"/>
      <c r="K427" s="358"/>
      <c r="L427" s="358"/>
      <c r="M427" s="358"/>
      <c r="N427" s="358"/>
      <c r="O427" s="358"/>
      <c r="P427" s="358"/>
      <c r="Q427" s="358"/>
      <c r="R427" s="358"/>
      <c r="S427" s="358"/>
      <c r="T427" s="358"/>
      <c r="U427" s="358"/>
      <c r="V427" s="358"/>
      <c r="W427" s="358"/>
      <c r="X427" s="358"/>
      <c r="Y427" s="358"/>
      <c r="Z427" s="358"/>
      <c r="AA427" s="358"/>
    </row>
    <row r="428">
      <c r="A428" s="358"/>
      <c r="B428" s="358"/>
      <c r="C428" s="358"/>
      <c r="D428" s="358"/>
      <c r="E428" s="358"/>
      <c r="F428" s="358"/>
      <c r="G428" s="358"/>
      <c r="H428" s="358"/>
      <c r="I428" s="358"/>
      <c r="J428" s="358"/>
      <c r="K428" s="358"/>
      <c r="L428" s="358"/>
      <c r="M428" s="358"/>
      <c r="N428" s="358"/>
      <c r="O428" s="358"/>
      <c r="P428" s="358"/>
      <c r="Q428" s="358"/>
      <c r="R428" s="358"/>
      <c r="S428" s="358"/>
      <c r="T428" s="358"/>
      <c r="U428" s="358"/>
      <c r="V428" s="358"/>
      <c r="W428" s="358"/>
      <c r="X428" s="358"/>
      <c r="Y428" s="358"/>
      <c r="Z428" s="358"/>
      <c r="AA428" s="358"/>
    </row>
    <row r="429">
      <c r="A429" s="358"/>
      <c r="B429" s="358"/>
      <c r="C429" s="358"/>
      <c r="D429" s="358"/>
      <c r="E429" s="358"/>
      <c r="F429" s="358"/>
      <c r="G429" s="358"/>
      <c r="H429" s="358"/>
      <c r="I429" s="358"/>
      <c r="J429" s="358"/>
      <c r="K429" s="358"/>
      <c r="L429" s="358"/>
      <c r="M429" s="358"/>
      <c r="N429" s="358"/>
      <c r="O429" s="358"/>
      <c r="P429" s="358"/>
      <c r="Q429" s="358"/>
      <c r="R429" s="358"/>
      <c r="S429" s="358"/>
      <c r="T429" s="358"/>
      <c r="U429" s="358"/>
      <c r="V429" s="358"/>
      <c r="W429" s="358"/>
      <c r="X429" s="358"/>
      <c r="Y429" s="358"/>
      <c r="Z429" s="358"/>
      <c r="AA429" s="358"/>
    </row>
    <row r="430">
      <c r="A430" s="358"/>
      <c r="B430" s="358"/>
      <c r="C430" s="358"/>
      <c r="D430" s="358"/>
      <c r="E430" s="358"/>
      <c r="F430" s="358"/>
      <c r="G430" s="358"/>
      <c r="H430" s="358"/>
      <c r="I430" s="358"/>
      <c r="J430" s="358"/>
      <c r="K430" s="358"/>
      <c r="L430" s="358"/>
      <c r="M430" s="358"/>
      <c r="N430" s="358"/>
      <c r="O430" s="358"/>
      <c r="P430" s="358"/>
      <c r="Q430" s="358"/>
      <c r="R430" s="358"/>
      <c r="S430" s="358"/>
      <c r="T430" s="358"/>
      <c r="U430" s="358"/>
      <c r="V430" s="358"/>
      <c r="W430" s="358"/>
      <c r="X430" s="358"/>
      <c r="Y430" s="358"/>
      <c r="Z430" s="358"/>
      <c r="AA430" s="358"/>
    </row>
    <row r="431">
      <c r="A431" s="358"/>
      <c r="B431" s="358"/>
      <c r="C431" s="358"/>
      <c r="D431" s="358"/>
      <c r="E431" s="358"/>
      <c r="F431" s="358"/>
      <c r="G431" s="358"/>
      <c r="H431" s="358"/>
      <c r="I431" s="358"/>
      <c r="J431" s="358"/>
      <c r="K431" s="358"/>
      <c r="L431" s="358"/>
      <c r="M431" s="358"/>
      <c r="N431" s="358"/>
      <c r="O431" s="358"/>
      <c r="P431" s="358"/>
      <c r="Q431" s="358"/>
      <c r="R431" s="358"/>
      <c r="S431" s="358"/>
      <c r="T431" s="358"/>
      <c r="U431" s="358"/>
      <c r="V431" s="358"/>
      <c r="W431" s="358"/>
      <c r="X431" s="358"/>
      <c r="Y431" s="358"/>
      <c r="Z431" s="358"/>
      <c r="AA431" s="358"/>
    </row>
    <row r="432">
      <c r="A432" s="358"/>
      <c r="B432" s="358"/>
      <c r="C432" s="358"/>
      <c r="D432" s="358"/>
      <c r="E432" s="358"/>
      <c r="F432" s="358"/>
      <c r="G432" s="358"/>
      <c r="H432" s="358"/>
      <c r="I432" s="358"/>
      <c r="J432" s="358"/>
      <c r="K432" s="358"/>
      <c r="L432" s="358"/>
      <c r="M432" s="358"/>
      <c r="N432" s="358"/>
      <c r="O432" s="358"/>
      <c r="P432" s="358"/>
      <c r="Q432" s="358"/>
      <c r="R432" s="358"/>
      <c r="S432" s="358"/>
      <c r="T432" s="358"/>
      <c r="U432" s="358"/>
      <c r="V432" s="358"/>
      <c r="W432" s="358"/>
      <c r="X432" s="358"/>
      <c r="Y432" s="358"/>
      <c r="Z432" s="358"/>
      <c r="AA432" s="358"/>
    </row>
    <row r="433">
      <c r="A433" s="358"/>
      <c r="B433" s="358"/>
      <c r="C433" s="358"/>
      <c r="D433" s="358"/>
      <c r="E433" s="358"/>
      <c r="F433" s="358"/>
      <c r="G433" s="358"/>
      <c r="H433" s="358"/>
      <c r="I433" s="358"/>
      <c r="J433" s="358"/>
      <c r="K433" s="358"/>
      <c r="L433" s="358"/>
      <c r="M433" s="358"/>
      <c r="N433" s="358"/>
      <c r="O433" s="358"/>
      <c r="P433" s="358"/>
      <c r="Q433" s="358"/>
      <c r="R433" s="358"/>
      <c r="S433" s="358"/>
      <c r="T433" s="358"/>
      <c r="U433" s="358"/>
      <c r="V433" s="358"/>
      <c r="W433" s="358"/>
      <c r="X433" s="358"/>
      <c r="Y433" s="358"/>
      <c r="Z433" s="358"/>
      <c r="AA433" s="358"/>
    </row>
    <row r="434">
      <c r="A434" s="358"/>
      <c r="B434" s="358"/>
      <c r="C434" s="358"/>
      <c r="D434" s="358"/>
      <c r="E434" s="358"/>
      <c r="F434" s="358"/>
      <c r="G434" s="358"/>
      <c r="H434" s="358"/>
      <c r="I434" s="358"/>
      <c r="J434" s="358"/>
      <c r="K434" s="358"/>
      <c r="L434" s="358"/>
      <c r="M434" s="358"/>
      <c r="N434" s="358"/>
      <c r="O434" s="358"/>
      <c r="P434" s="358"/>
      <c r="Q434" s="358"/>
      <c r="R434" s="358"/>
      <c r="S434" s="358"/>
      <c r="T434" s="358"/>
      <c r="U434" s="358"/>
      <c r="V434" s="358"/>
      <c r="W434" s="358"/>
      <c r="X434" s="358"/>
      <c r="Y434" s="358"/>
      <c r="Z434" s="358"/>
      <c r="AA434" s="358"/>
    </row>
    <row r="435">
      <c r="A435" s="358"/>
      <c r="B435" s="358"/>
      <c r="C435" s="358"/>
      <c r="D435" s="358"/>
      <c r="E435" s="358"/>
      <c r="F435" s="358"/>
      <c r="G435" s="358"/>
      <c r="H435" s="358"/>
      <c r="I435" s="358"/>
      <c r="J435" s="358"/>
      <c r="K435" s="358"/>
      <c r="L435" s="358"/>
      <c r="M435" s="358"/>
      <c r="N435" s="358"/>
      <c r="O435" s="358"/>
      <c r="P435" s="358"/>
      <c r="Q435" s="358"/>
      <c r="R435" s="358"/>
      <c r="S435" s="358"/>
      <c r="T435" s="358"/>
      <c r="U435" s="358"/>
      <c r="V435" s="358"/>
      <c r="W435" s="358"/>
      <c r="X435" s="358"/>
      <c r="Y435" s="358"/>
      <c r="Z435" s="358"/>
      <c r="AA435" s="358"/>
    </row>
    <row r="436">
      <c r="A436" s="358"/>
      <c r="B436" s="358"/>
      <c r="C436" s="358"/>
      <c r="D436" s="358"/>
      <c r="E436" s="358"/>
      <c r="F436" s="358"/>
      <c r="G436" s="358"/>
      <c r="H436" s="358"/>
      <c r="I436" s="358"/>
      <c r="J436" s="358"/>
      <c r="K436" s="358"/>
      <c r="L436" s="358"/>
      <c r="M436" s="358"/>
      <c r="N436" s="358"/>
      <c r="O436" s="358"/>
      <c r="P436" s="358"/>
      <c r="Q436" s="358"/>
      <c r="R436" s="358"/>
      <c r="S436" s="358"/>
      <c r="T436" s="358"/>
      <c r="U436" s="358"/>
      <c r="V436" s="358"/>
      <c r="W436" s="358"/>
      <c r="X436" s="358"/>
      <c r="Y436" s="358"/>
      <c r="Z436" s="358"/>
      <c r="AA436" s="358"/>
    </row>
    <row r="437">
      <c r="A437" s="358"/>
      <c r="B437" s="358"/>
      <c r="C437" s="358"/>
      <c r="D437" s="358"/>
      <c r="E437" s="358"/>
      <c r="F437" s="358"/>
      <c r="G437" s="358"/>
      <c r="H437" s="358"/>
      <c r="I437" s="358"/>
      <c r="J437" s="358"/>
      <c r="K437" s="358"/>
      <c r="L437" s="358"/>
      <c r="M437" s="358"/>
      <c r="N437" s="358"/>
      <c r="O437" s="358"/>
      <c r="P437" s="358"/>
      <c r="Q437" s="358"/>
      <c r="R437" s="358"/>
      <c r="S437" s="358"/>
      <c r="T437" s="358"/>
      <c r="U437" s="358"/>
      <c r="V437" s="358"/>
      <c r="W437" s="358"/>
      <c r="X437" s="358"/>
      <c r="Y437" s="358"/>
      <c r="Z437" s="358"/>
      <c r="AA437" s="358"/>
    </row>
    <row r="438">
      <c r="A438" s="358"/>
      <c r="B438" s="358"/>
      <c r="C438" s="358"/>
      <c r="D438" s="358"/>
      <c r="E438" s="358"/>
      <c r="F438" s="358"/>
      <c r="G438" s="358"/>
      <c r="H438" s="358"/>
      <c r="I438" s="358"/>
      <c r="J438" s="358"/>
      <c r="K438" s="358"/>
      <c r="L438" s="358"/>
      <c r="M438" s="358"/>
      <c r="N438" s="358"/>
      <c r="O438" s="358"/>
      <c r="P438" s="358"/>
      <c r="Q438" s="358"/>
      <c r="R438" s="358"/>
      <c r="S438" s="358"/>
      <c r="T438" s="358"/>
      <c r="U438" s="358"/>
      <c r="V438" s="358"/>
      <c r="W438" s="358"/>
      <c r="X438" s="358"/>
      <c r="Y438" s="358"/>
      <c r="Z438" s="358"/>
      <c r="AA438" s="358"/>
    </row>
    <row r="439">
      <c r="A439" s="358"/>
      <c r="B439" s="358"/>
      <c r="C439" s="358"/>
      <c r="D439" s="358"/>
      <c r="E439" s="358"/>
      <c r="F439" s="358"/>
      <c r="G439" s="358"/>
      <c r="H439" s="358"/>
      <c r="I439" s="358"/>
      <c r="J439" s="358"/>
      <c r="K439" s="358"/>
      <c r="L439" s="358"/>
      <c r="M439" s="358"/>
      <c r="N439" s="358"/>
      <c r="O439" s="358"/>
      <c r="P439" s="358"/>
      <c r="Q439" s="358"/>
      <c r="R439" s="358"/>
      <c r="S439" s="358"/>
      <c r="T439" s="358"/>
      <c r="U439" s="358"/>
      <c r="V439" s="358"/>
      <c r="W439" s="358"/>
      <c r="X439" s="358"/>
      <c r="Y439" s="358"/>
      <c r="Z439" s="358"/>
      <c r="AA439" s="358"/>
    </row>
    <row r="440">
      <c r="A440" s="358"/>
      <c r="B440" s="358"/>
      <c r="C440" s="358"/>
      <c r="D440" s="358"/>
      <c r="E440" s="358"/>
      <c r="F440" s="358"/>
      <c r="G440" s="358"/>
      <c r="H440" s="358"/>
      <c r="I440" s="358"/>
      <c r="J440" s="358"/>
      <c r="K440" s="358"/>
      <c r="L440" s="358"/>
      <c r="M440" s="358"/>
      <c r="N440" s="358"/>
      <c r="O440" s="358"/>
      <c r="P440" s="358"/>
      <c r="Q440" s="358"/>
      <c r="R440" s="358"/>
      <c r="S440" s="358"/>
      <c r="T440" s="358"/>
      <c r="U440" s="358"/>
      <c r="V440" s="358"/>
      <c r="W440" s="358"/>
      <c r="X440" s="358"/>
      <c r="Y440" s="358"/>
      <c r="Z440" s="358"/>
      <c r="AA440" s="358"/>
    </row>
    <row r="441">
      <c r="A441" s="358"/>
      <c r="B441" s="358"/>
      <c r="C441" s="358"/>
      <c r="D441" s="358"/>
      <c r="E441" s="358"/>
      <c r="F441" s="358"/>
      <c r="G441" s="358"/>
      <c r="H441" s="358"/>
      <c r="I441" s="358"/>
      <c r="J441" s="358"/>
      <c r="K441" s="358"/>
      <c r="L441" s="358"/>
      <c r="M441" s="358"/>
      <c r="N441" s="358"/>
      <c r="O441" s="358"/>
      <c r="P441" s="358"/>
      <c r="Q441" s="358"/>
      <c r="R441" s="358"/>
      <c r="S441" s="358"/>
      <c r="T441" s="358"/>
      <c r="U441" s="358"/>
      <c r="V441" s="358"/>
      <c r="W441" s="358"/>
      <c r="X441" s="358"/>
      <c r="Y441" s="358"/>
      <c r="Z441" s="358"/>
      <c r="AA441" s="358"/>
    </row>
    <row r="442">
      <c r="A442" s="358"/>
      <c r="B442" s="358"/>
      <c r="C442" s="358"/>
      <c r="D442" s="358"/>
      <c r="E442" s="358"/>
      <c r="F442" s="358"/>
      <c r="G442" s="358"/>
      <c r="H442" s="358"/>
      <c r="I442" s="358"/>
      <c r="J442" s="358"/>
      <c r="K442" s="358"/>
      <c r="L442" s="358"/>
      <c r="M442" s="358"/>
      <c r="N442" s="358"/>
      <c r="O442" s="358"/>
      <c r="P442" s="358"/>
      <c r="Q442" s="358"/>
      <c r="R442" s="358"/>
      <c r="S442" s="358"/>
      <c r="T442" s="358"/>
      <c r="U442" s="358"/>
      <c r="V442" s="358"/>
      <c r="W442" s="358"/>
      <c r="X442" s="358"/>
      <c r="Y442" s="358"/>
      <c r="Z442" s="358"/>
      <c r="AA442" s="358"/>
    </row>
    <row r="443">
      <c r="A443" s="358"/>
      <c r="B443" s="358"/>
      <c r="C443" s="358"/>
      <c r="D443" s="358"/>
      <c r="E443" s="358"/>
      <c r="F443" s="358"/>
      <c r="G443" s="358"/>
      <c r="H443" s="358"/>
      <c r="I443" s="358"/>
      <c r="J443" s="358"/>
      <c r="K443" s="358"/>
      <c r="L443" s="358"/>
      <c r="M443" s="358"/>
      <c r="N443" s="358"/>
      <c r="O443" s="358"/>
      <c r="P443" s="358"/>
      <c r="Q443" s="358"/>
      <c r="R443" s="358"/>
      <c r="S443" s="358"/>
      <c r="T443" s="358"/>
      <c r="U443" s="358"/>
      <c r="V443" s="358"/>
      <c r="W443" s="358"/>
      <c r="X443" s="358"/>
      <c r="Y443" s="358"/>
      <c r="Z443" s="358"/>
      <c r="AA443" s="358"/>
    </row>
    <row r="444">
      <c r="A444" s="358"/>
      <c r="B444" s="358"/>
      <c r="C444" s="358"/>
      <c r="D444" s="358"/>
      <c r="E444" s="358"/>
      <c r="F444" s="358"/>
      <c r="G444" s="358"/>
      <c r="H444" s="358"/>
      <c r="I444" s="358"/>
      <c r="J444" s="358"/>
      <c r="K444" s="358"/>
      <c r="L444" s="358"/>
      <c r="M444" s="358"/>
      <c r="N444" s="358"/>
      <c r="O444" s="358"/>
      <c r="P444" s="358"/>
      <c r="Q444" s="358"/>
      <c r="R444" s="358"/>
      <c r="S444" s="358"/>
      <c r="T444" s="358"/>
      <c r="U444" s="358"/>
      <c r="V444" s="358"/>
      <c r="W444" s="358"/>
      <c r="X444" s="358"/>
      <c r="Y444" s="358"/>
      <c r="Z444" s="358"/>
      <c r="AA444" s="358"/>
    </row>
    <row r="445">
      <c r="A445" s="358"/>
      <c r="B445" s="358"/>
      <c r="C445" s="358"/>
      <c r="D445" s="358"/>
      <c r="E445" s="358"/>
      <c r="F445" s="358"/>
      <c r="G445" s="358"/>
      <c r="H445" s="358"/>
      <c r="I445" s="358"/>
      <c r="J445" s="358"/>
      <c r="K445" s="358"/>
      <c r="L445" s="358"/>
      <c r="M445" s="358"/>
      <c r="N445" s="358"/>
      <c r="O445" s="358"/>
      <c r="P445" s="358"/>
      <c r="Q445" s="358"/>
      <c r="R445" s="358"/>
      <c r="S445" s="358"/>
      <c r="T445" s="358"/>
      <c r="U445" s="358"/>
      <c r="V445" s="358"/>
      <c r="W445" s="358"/>
      <c r="X445" s="358"/>
      <c r="Y445" s="358"/>
      <c r="Z445" s="358"/>
      <c r="AA445" s="358"/>
    </row>
    <row r="446">
      <c r="A446" s="358"/>
      <c r="B446" s="358"/>
      <c r="C446" s="358"/>
      <c r="D446" s="358"/>
      <c r="E446" s="358"/>
      <c r="F446" s="358"/>
      <c r="G446" s="358"/>
      <c r="H446" s="358"/>
      <c r="I446" s="358"/>
      <c r="J446" s="358"/>
      <c r="K446" s="358"/>
      <c r="L446" s="358"/>
      <c r="M446" s="358"/>
      <c r="N446" s="358"/>
      <c r="O446" s="358"/>
      <c r="P446" s="358"/>
      <c r="Q446" s="358"/>
      <c r="R446" s="358"/>
      <c r="S446" s="358"/>
      <c r="T446" s="358"/>
      <c r="U446" s="358"/>
      <c r="V446" s="358"/>
      <c r="W446" s="358"/>
      <c r="X446" s="358"/>
      <c r="Y446" s="358"/>
      <c r="Z446" s="358"/>
      <c r="AA446" s="358"/>
    </row>
    <row r="447">
      <c r="A447" s="358"/>
      <c r="B447" s="358"/>
      <c r="C447" s="358"/>
      <c r="D447" s="358"/>
      <c r="E447" s="358"/>
      <c r="F447" s="358"/>
      <c r="G447" s="358"/>
      <c r="H447" s="358"/>
      <c r="I447" s="358"/>
      <c r="J447" s="358"/>
      <c r="K447" s="358"/>
      <c r="L447" s="358"/>
      <c r="M447" s="358"/>
      <c r="N447" s="358"/>
      <c r="O447" s="358"/>
      <c r="P447" s="358"/>
      <c r="Q447" s="358"/>
      <c r="R447" s="358"/>
      <c r="S447" s="358"/>
      <c r="T447" s="358"/>
      <c r="U447" s="358"/>
      <c r="V447" s="358"/>
      <c r="W447" s="358"/>
      <c r="X447" s="358"/>
      <c r="Y447" s="358"/>
      <c r="Z447" s="358"/>
      <c r="AA447" s="358"/>
    </row>
    <row r="448">
      <c r="A448" s="358"/>
      <c r="B448" s="358"/>
      <c r="C448" s="358"/>
      <c r="D448" s="358"/>
      <c r="E448" s="358"/>
      <c r="F448" s="358"/>
      <c r="G448" s="358"/>
      <c r="H448" s="358"/>
      <c r="I448" s="358"/>
      <c r="J448" s="358"/>
      <c r="K448" s="358"/>
      <c r="L448" s="358"/>
      <c r="M448" s="358"/>
      <c r="N448" s="358"/>
      <c r="O448" s="358"/>
      <c r="P448" s="358"/>
      <c r="Q448" s="358"/>
      <c r="R448" s="358"/>
      <c r="S448" s="358"/>
      <c r="T448" s="358"/>
      <c r="U448" s="358"/>
      <c r="V448" s="358"/>
      <c r="W448" s="358"/>
      <c r="X448" s="358"/>
      <c r="Y448" s="358"/>
      <c r="Z448" s="358"/>
      <c r="AA448" s="358"/>
    </row>
    <row r="449">
      <c r="A449" s="358"/>
      <c r="B449" s="358"/>
      <c r="C449" s="358"/>
      <c r="D449" s="358"/>
      <c r="E449" s="358"/>
      <c r="F449" s="358"/>
      <c r="G449" s="358"/>
      <c r="H449" s="358"/>
      <c r="I449" s="358"/>
      <c r="J449" s="358"/>
      <c r="K449" s="358"/>
      <c r="L449" s="358"/>
      <c r="M449" s="358"/>
      <c r="N449" s="358"/>
      <c r="O449" s="358"/>
      <c r="P449" s="358"/>
      <c r="Q449" s="358"/>
      <c r="R449" s="358"/>
      <c r="S449" s="358"/>
      <c r="T449" s="358"/>
      <c r="U449" s="358"/>
      <c r="V449" s="358"/>
      <c r="W449" s="358"/>
      <c r="X449" s="358"/>
      <c r="Y449" s="358"/>
      <c r="Z449" s="358"/>
      <c r="AA449" s="358"/>
    </row>
    <row r="450">
      <c r="A450" s="358"/>
      <c r="B450" s="358"/>
      <c r="C450" s="358"/>
      <c r="D450" s="358"/>
      <c r="E450" s="358"/>
      <c r="F450" s="358"/>
      <c r="G450" s="358"/>
      <c r="H450" s="358"/>
      <c r="I450" s="358"/>
      <c r="J450" s="358"/>
      <c r="K450" s="358"/>
      <c r="L450" s="358"/>
      <c r="M450" s="358"/>
      <c r="N450" s="358"/>
      <c r="O450" s="358"/>
      <c r="P450" s="358"/>
      <c r="Q450" s="358"/>
      <c r="R450" s="358"/>
      <c r="S450" s="358"/>
      <c r="T450" s="358"/>
      <c r="U450" s="358"/>
      <c r="V450" s="358"/>
      <c r="W450" s="358"/>
      <c r="X450" s="358"/>
      <c r="Y450" s="358"/>
      <c r="Z450" s="358"/>
      <c r="AA450" s="358"/>
    </row>
    <row r="451">
      <c r="A451" s="358"/>
      <c r="B451" s="358"/>
      <c r="C451" s="358"/>
      <c r="D451" s="358"/>
      <c r="E451" s="358"/>
      <c r="F451" s="358"/>
      <c r="G451" s="358"/>
      <c r="H451" s="358"/>
      <c r="I451" s="358"/>
      <c r="J451" s="358"/>
      <c r="K451" s="358"/>
      <c r="L451" s="358"/>
      <c r="M451" s="358"/>
      <c r="N451" s="358"/>
      <c r="O451" s="358"/>
      <c r="P451" s="358"/>
      <c r="Q451" s="358"/>
      <c r="R451" s="358"/>
      <c r="S451" s="358"/>
      <c r="T451" s="358"/>
      <c r="U451" s="358"/>
      <c r="V451" s="358"/>
      <c r="W451" s="358"/>
      <c r="X451" s="358"/>
      <c r="Y451" s="358"/>
      <c r="Z451" s="358"/>
      <c r="AA451" s="358"/>
    </row>
    <row r="452">
      <c r="A452" s="358"/>
      <c r="B452" s="358"/>
      <c r="C452" s="358"/>
      <c r="D452" s="358"/>
      <c r="E452" s="358"/>
      <c r="F452" s="358"/>
      <c r="G452" s="358"/>
      <c r="H452" s="358"/>
      <c r="I452" s="358"/>
      <c r="J452" s="358"/>
      <c r="K452" s="358"/>
      <c r="L452" s="358"/>
      <c r="M452" s="358"/>
      <c r="N452" s="358"/>
      <c r="O452" s="358"/>
      <c r="P452" s="358"/>
      <c r="Q452" s="358"/>
      <c r="R452" s="358"/>
      <c r="S452" s="358"/>
      <c r="T452" s="358"/>
      <c r="U452" s="358"/>
      <c r="V452" s="358"/>
      <c r="W452" s="358"/>
      <c r="X452" s="358"/>
      <c r="Y452" s="358"/>
      <c r="Z452" s="358"/>
      <c r="AA452" s="358"/>
    </row>
    <row r="453">
      <c r="A453" s="358"/>
      <c r="B453" s="358"/>
      <c r="C453" s="358"/>
      <c r="D453" s="358"/>
      <c r="E453" s="358"/>
      <c r="F453" s="358"/>
      <c r="G453" s="358"/>
      <c r="H453" s="358"/>
      <c r="I453" s="358"/>
      <c r="J453" s="358"/>
      <c r="K453" s="358"/>
      <c r="L453" s="358"/>
      <c r="M453" s="358"/>
      <c r="N453" s="358"/>
      <c r="O453" s="358"/>
      <c r="P453" s="358"/>
      <c r="Q453" s="358"/>
      <c r="R453" s="358"/>
      <c r="S453" s="358"/>
      <c r="T453" s="358"/>
      <c r="U453" s="358"/>
      <c r="V453" s="358"/>
      <c r="W453" s="358"/>
      <c r="X453" s="358"/>
      <c r="Y453" s="358"/>
      <c r="Z453" s="358"/>
      <c r="AA453" s="358"/>
    </row>
    <row r="454">
      <c r="A454" s="358"/>
      <c r="B454" s="358"/>
      <c r="C454" s="358"/>
      <c r="D454" s="358"/>
      <c r="E454" s="358"/>
      <c r="F454" s="358"/>
      <c r="G454" s="358"/>
      <c r="H454" s="358"/>
      <c r="I454" s="358"/>
      <c r="J454" s="358"/>
      <c r="K454" s="358"/>
      <c r="L454" s="358"/>
      <c r="M454" s="358"/>
      <c r="N454" s="358"/>
      <c r="O454" s="358"/>
      <c r="P454" s="358"/>
      <c r="Q454" s="358"/>
      <c r="R454" s="358"/>
      <c r="S454" s="358"/>
      <c r="T454" s="358"/>
      <c r="U454" s="358"/>
      <c r="V454" s="358"/>
      <c r="W454" s="358"/>
      <c r="X454" s="358"/>
      <c r="Y454" s="358"/>
      <c r="Z454" s="358"/>
      <c r="AA454" s="358"/>
    </row>
    <row r="455">
      <c r="A455" s="358"/>
      <c r="B455" s="358"/>
      <c r="C455" s="358"/>
      <c r="D455" s="358"/>
      <c r="E455" s="358"/>
      <c r="F455" s="358"/>
      <c r="G455" s="358"/>
      <c r="H455" s="358"/>
      <c r="I455" s="358"/>
      <c r="J455" s="358"/>
      <c r="K455" s="358"/>
      <c r="L455" s="358"/>
      <c r="M455" s="358"/>
      <c r="N455" s="358"/>
      <c r="O455" s="358"/>
      <c r="P455" s="358"/>
      <c r="Q455" s="358"/>
      <c r="R455" s="358"/>
      <c r="S455" s="358"/>
      <c r="T455" s="358"/>
      <c r="U455" s="358"/>
      <c r="V455" s="358"/>
      <c r="W455" s="358"/>
      <c r="X455" s="358"/>
      <c r="Y455" s="358"/>
      <c r="Z455" s="358"/>
      <c r="AA455" s="358"/>
    </row>
    <row r="456">
      <c r="A456" s="358"/>
      <c r="B456" s="358"/>
      <c r="C456" s="358"/>
      <c r="D456" s="358"/>
      <c r="E456" s="358"/>
      <c r="F456" s="358"/>
      <c r="G456" s="358"/>
      <c r="H456" s="358"/>
      <c r="I456" s="358"/>
      <c r="J456" s="358"/>
      <c r="K456" s="358"/>
      <c r="L456" s="358"/>
      <c r="M456" s="358"/>
      <c r="N456" s="358"/>
      <c r="O456" s="358"/>
      <c r="P456" s="358"/>
      <c r="Q456" s="358"/>
      <c r="R456" s="358"/>
      <c r="S456" s="358"/>
      <c r="T456" s="358"/>
      <c r="U456" s="358"/>
      <c r="V456" s="358"/>
      <c r="W456" s="358"/>
      <c r="X456" s="358"/>
      <c r="Y456" s="358"/>
      <c r="Z456" s="358"/>
      <c r="AA456" s="358"/>
    </row>
    <row r="457">
      <c r="A457" s="358"/>
      <c r="B457" s="358"/>
      <c r="C457" s="358"/>
      <c r="D457" s="358"/>
      <c r="E457" s="358"/>
      <c r="F457" s="358"/>
      <c r="G457" s="358"/>
      <c r="H457" s="358"/>
      <c r="I457" s="358"/>
      <c r="J457" s="358"/>
      <c r="K457" s="358"/>
      <c r="L457" s="358"/>
      <c r="M457" s="358"/>
      <c r="N457" s="358"/>
      <c r="O457" s="358"/>
      <c r="P457" s="358"/>
      <c r="Q457" s="358"/>
      <c r="R457" s="358"/>
      <c r="S457" s="358"/>
      <c r="T457" s="358"/>
      <c r="U457" s="358"/>
      <c r="V457" s="358"/>
      <c r="W457" s="358"/>
      <c r="X457" s="358"/>
      <c r="Y457" s="358"/>
      <c r="Z457" s="358"/>
      <c r="AA457" s="358"/>
    </row>
    <row r="458">
      <c r="A458" s="358"/>
      <c r="B458" s="358"/>
      <c r="C458" s="358"/>
      <c r="D458" s="358"/>
      <c r="E458" s="358"/>
      <c r="F458" s="358"/>
      <c r="G458" s="358"/>
      <c r="H458" s="358"/>
      <c r="I458" s="358"/>
      <c r="J458" s="358"/>
      <c r="K458" s="358"/>
      <c r="L458" s="358"/>
      <c r="M458" s="358"/>
      <c r="N458" s="358"/>
      <c r="O458" s="358"/>
      <c r="P458" s="358"/>
      <c r="Q458" s="358"/>
      <c r="R458" s="358"/>
      <c r="S458" s="358"/>
      <c r="T458" s="358"/>
      <c r="U458" s="358"/>
      <c r="V458" s="358"/>
      <c r="W458" s="358"/>
      <c r="X458" s="358"/>
      <c r="Y458" s="358"/>
      <c r="Z458" s="358"/>
      <c r="AA458" s="358"/>
    </row>
    <row r="459">
      <c r="A459" s="358"/>
      <c r="B459" s="358"/>
      <c r="C459" s="358"/>
      <c r="D459" s="358"/>
      <c r="E459" s="358"/>
      <c r="F459" s="358"/>
      <c r="G459" s="358"/>
      <c r="H459" s="358"/>
      <c r="I459" s="358"/>
      <c r="J459" s="358"/>
      <c r="K459" s="358"/>
      <c r="L459" s="358"/>
      <c r="M459" s="358"/>
      <c r="N459" s="358"/>
      <c r="O459" s="358"/>
      <c r="P459" s="358"/>
      <c r="Q459" s="358"/>
      <c r="R459" s="358"/>
      <c r="S459" s="358"/>
      <c r="T459" s="358"/>
      <c r="U459" s="358"/>
      <c r="V459" s="358"/>
      <c r="W459" s="358"/>
      <c r="X459" s="358"/>
      <c r="Y459" s="358"/>
      <c r="Z459" s="358"/>
      <c r="AA459" s="358"/>
    </row>
    <row r="460">
      <c r="A460" s="358"/>
      <c r="B460" s="358"/>
      <c r="C460" s="358"/>
      <c r="D460" s="358"/>
      <c r="E460" s="358"/>
      <c r="F460" s="358"/>
      <c r="G460" s="358"/>
      <c r="H460" s="358"/>
      <c r="I460" s="358"/>
      <c r="J460" s="358"/>
      <c r="K460" s="358"/>
      <c r="L460" s="358"/>
      <c r="M460" s="358"/>
      <c r="N460" s="358"/>
      <c r="O460" s="358"/>
      <c r="P460" s="358"/>
      <c r="Q460" s="358"/>
      <c r="R460" s="358"/>
      <c r="S460" s="358"/>
      <c r="T460" s="358"/>
      <c r="U460" s="358"/>
      <c r="V460" s="358"/>
      <c r="W460" s="358"/>
      <c r="X460" s="358"/>
      <c r="Y460" s="358"/>
      <c r="Z460" s="358"/>
      <c r="AA460" s="358"/>
    </row>
    <row r="461">
      <c r="A461" s="358"/>
      <c r="B461" s="358"/>
      <c r="C461" s="358"/>
      <c r="D461" s="358"/>
      <c r="E461" s="358"/>
      <c r="F461" s="358"/>
      <c r="G461" s="358"/>
      <c r="H461" s="358"/>
      <c r="I461" s="358"/>
      <c r="J461" s="358"/>
      <c r="K461" s="358"/>
      <c r="L461" s="358"/>
      <c r="M461" s="358"/>
      <c r="N461" s="358"/>
      <c r="O461" s="358"/>
      <c r="P461" s="358"/>
      <c r="Q461" s="358"/>
      <c r="R461" s="358"/>
      <c r="S461" s="358"/>
      <c r="T461" s="358"/>
      <c r="U461" s="358"/>
      <c r="V461" s="358"/>
      <c r="W461" s="358"/>
      <c r="X461" s="358"/>
      <c r="Y461" s="358"/>
      <c r="Z461" s="358"/>
      <c r="AA461" s="358"/>
    </row>
    <row r="462">
      <c r="A462" s="358"/>
      <c r="B462" s="358"/>
      <c r="C462" s="358"/>
      <c r="D462" s="358"/>
      <c r="E462" s="358"/>
      <c r="F462" s="358"/>
      <c r="G462" s="358"/>
      <c r="H462" s="358"/>
      <c r="I462" s="358"/>
      <c r="J462" s="358"/>
      <c r="K462" s="358"/>
      <c r="L462" s="358"/>
      <c r="M462" s="358"/>
      <c r="N462" s="358"/>
      <c r="O462" s="358"/>
      <c r="P462" s="358"/>
      <c r="Q462" s="358"/>
      <c r="R462" s="358"/>
      <c r="S462" s="358"/>
      <c r="T462" s="358"/>
      <c r="U462" s="358"/>
      <c r="V462" s="358"/>
      <c r="W462" s="358"/>
      <c r="X462" s="358"/>
      <c r="Y462" s="358"/>
      <c r="Z462" s="358"/>
      <c r="AA462" s="358"/>
    </row>
    <row r="463">
      <c r="A463" s="358"/>
      <c r="B463" s="358"/>
      <c r="C463" s="358"/>
      <c r="D463" s="358"/>
      <c r="E463" s="358"/>
      <c r="F463" s="358"/>
      <c r="G463" s="358"/>
      <c r="H463" s="358"/>
      <c r="I463" s="358"/>
      <c r="J463" s="358"/>
      <c r="K463" s="358"/>
      <c r="L463" s="358"/>
      <c r="M463" s="358"/>
      <c r="N463" s="358"/>
      <c r="O463" s="358"/>
      <c r="P463" s="358"/>
      <c r="Q463" s="358"/>
      <c r="R463" s="358"/>
      <c r="S463" s="358"/>
      <c r="T463" s="358"/>
      <c r="U463" s="358"/>
      <c r="V463" s="358"/>
      <c r="W463" s="358"/>
      <c r="X463" s="358"/>
      <c r="Y463" s="358"/>
      <c r="Z463" s="358"/>
      <c r="AA463" s="358"/>
    </row>
    <row r="464">
      <c r="A464" s="358"/>
      <c r="B464" s="358"/>
      <c r="C464" s="358"/>
      <c r="D464" s="358"/>
      <c r="E464" s="358"/>
      <c r="F464" s="358"/>
      <c r="G464" s="358"/>
      <c r="H464" s="358"/>
      <c r="I464" s="358"/>
      <c r="J464" s="358"/>
      <c r="K464" s="358"/>
      <c r="L464" s="358"/>
      <c r="M464" s="358"/>
      <c r="N464" s="358"/>
      <c r="O464" s="358"/>
      <c r="P464" s="358"/>
      <c r="Q464" s="358"/>
      <c r="R464" s="358"/>
      <c r="S464" s="358"/>
      <c r="T464" s="358"/>
      <c r="U464" s="358"/>
      <c r="V464" s="358"/>
      <c r="W464" s="358"/>
      <c r="X464" s="358"/>
      <c r="Y464" s="358"/>
      <c r="Z464" s="358"/>
      <c r="AA464" s="358"/>
    </row>
    <row r="465">
      <c r="A465" s="358"/>
      <c r="B465" s="358"/>
      <c r="C465" s="358"/>
      <c r="D465" s="358"/>
      <c r="E465" s="358"/>
      <c r="F465" s="358"/>
      <c r="G465" s="358"/>
      <c r="H465" s="358"/>
      <c r="I465" s="358"/>
      <c r="J465" s="358"/>
      <c r="K465" s="358"/>
      <c r="L465" s="358"/>
      <c r="M465" s="358"/>
      <c r="N465" s="358"/>
      <c r="O465" s="358"/>
      <c r="P465" s="358"/>
      <c r="Q465" s="358"/>
      <c r="R465" s="358"/>
      <c r="S465" s="358"/>
      <c r="T465" s="358"/>
      <c r="U465" s="358"/>
      <c r="V465" s="358"/>
      <c r="W465" s="358"/>
      <c r="X465" s="358"/>
      <c r="Y465" s="358"/>
      <c r="Z465" s="358"/>
      <c r="AA465" s="358"/>
    </row>
    <row r="466">
      <c r="A466" s="358"/>
      <c r="B466" s="358"/>
      <c r="C466" s="358"/>
      <c r="D466" s="358"/>
      <c r="E466" s="358"/>
      <c r="F466" s="358"/>
      <c r="G466" s="358"/>
      <c r="H466" s="358"/>
      <c r="I466" s="358"/>
      <c r="J466" s="358"/>
      <c r="K466" s="358"/>
      <c r="L466" s="358"/>
      <c r="M466" s="358"/>
      <c r="N466" s="358"/>
      <c r="O466" s="358"/>
      <c r="P466" s="358"/>
      <c r="Q466" s="358"/>
      <c r="R466" s="358"/>
      <c r="S466" s="358"/>
      <c r="T466" s="358"/>
      <c r="U466" s="358"/>
      <c r="V466" s="358"/>
      <c r="W466" s="358"/>
      <c r="X466" s="358"/>
      <c r="Y466" s="358"/>
      <c r="Z466" s="358"/>
      <c r="AA466" s="358"/>
    </row>
    <row r="467">
      <c r="A467" s="358"/>
      <c r="B467" s="358"/>
      <c r="C467" s="358"/>
      <c r="D467" s="358"/>
      <c r="E467" s="358"/>
      <c r="F467" s="358"/>
      <c r="G467" s="358"/>
      <c r="H467" s="358"/>
      <c r="I467" s="358"/>
      <c r="J467" s="358"/>
      <c r="K467" s="358"/>
      <c r="L467" s="358"/>
      <c r="M467" s="358"/>
      <c r="N467" s="358"/>
      <c r="O467" s="358"/>
      <c r="P467" s="358"/>
      <c r="Q467" s="358"/>
      <c r="R467" s="358"/>
      <c r="S467" s="358"/>
      <c r="T467" s="358"/>
      <c r="U467" s="358"/>
      <c r="V467" s="358"/>
      <c r="W467" s="358"/>
      <c r="X467" s="358"/>
      <c r="Y467" s="358"/>
      <c r="Z467" s="358"/>
      <c r="AA467" s="358"/>
    </row>
    <row r="468">
      <c r="A468" s="358"/>
      <c r="B468" s="358"/>
      <c r="C468" s="358"/>
      <c r="D468" s="358"/>
      <c r="E468" s="358"/>
      <c r="F468" s="358"/>
      <c r="G468" s="358"/>
      <c r="H468" s="358"/>
      <c r="I468" s="358"/>
      <c r="J468" s="358"/>
      <c r="K468" s="358"/>
      <c r="L468" s="358"/>
      <c r="M468" s="358"/>
      <c r="N468" s="358"/>
      <c r="O468" s="358"/>
      <c r="P468" s="358"/>
      <c r="Q468" s="358"/>
      <c r="R468" s="358"/>
      <c r="S468" s="358"/>
      <c r="T468" s="358"/>
      <c r="U468" s="358"/>
      <c r="V468" s="358"/>
      <c r="W468" s="358"/>
      <c r="X468" s="358"/>
      <c r="Y468" s="358"/>
      <c r="Z468" s="358"/>
      <c r="AA468" s="358"/>
    </row>
    <row r="469">
      <c r="A469" s="358"/>
      <c r="B469" s="358"/>
      <c r="C469" s="358"/>
      <c r="D469" s="358"/>
      <c r="E469" s="358"/>
      <c r="F469" s="358"/>
      <c r="G469" s="358"/>
      <c r="H469" s="358"/>
      <c r="I469" s="358"/>
      <c r="J469" s="358"/>
      <c r="K469" s="358"/>
      <c r="L469" s="358"/>
      <c r="M469" s="358"/>
      <c r="N469" s="358"/>
      <c r="O469" s="358"/>
      <c r="P469" s="358"/>
      <c r="Q469" s="358"/>
      <c r="R469" s="358"/>
      <c r="S469" s="358"/>
      <c r="T469" s="358"/>
      <c r="U469" s="358"/>
      <c r="V469" s="358"/>
      <c r="W469" s="358"/>
      <c r="X469" s="358"/>
      <c r="Y469" s="358"/>
      <c r="Z469" s="358"/>
      <c r="AA469" s="358"/>
    </row>
    <row r="470">
      <c r="A470" s="358"/>
      <c r="B470" s="358"/>
      <c r="C470" s="358"/>
      <c r="D470" s="358"/>
      <c r="E470" s="358"/>
      <c r="F470" s="358"/>
      <c r="G470" s="358"/>
      <c r="H470" s="358"/>
      <c r="I470" s="358"/>
      <c r="J470" s="358"/>
      <c r="K470" s="358"/>
      <c r="L470" s="358"/>
      <c r="M470" s="358"/>
      <c r="N470" s="358"/>
      <c r="O470" s="358"/>
      <c r="P470" s="358"/>
      <c r="Q470" s="358"/>
      <c r="R470" s="358"/>
      <c r="S470" s="358"/>
      <c r="T470" s="358"/>
      <c r="U470" s="358"/>
      <c r="V470" s="358"/>
      <c r="W470" s="358"/>
      <c r="X470" s="358"/>
      <c r="Y470" s="358"/>
      <c r="Z470" s="358"/>
      <c r="AA470" s="358"/>
    </row>
    <row r="471">
      <c r="A471" s="358"/>
      <c r="B471" s="358"/>
      <c r="C471" s="358"/>
      <c r="D471" s="358"/>
      <c r="E471" s="358"/>
      <c r="F471" s="358"/>
      <c r="G471" s="358"/>
      <c r="H471" s="358"/>
      <c r="I471" s="358"/>
      <c r="J471" s="358"/>
      <c r="K471" s="358"/>
      <c r="L471" s="358"/>
      <c r="M471" s="358"/>
      <c r="N471" s="358"/>
      <c r="O471" s="358"/>
      <c r="P471" s="358"/>
      <c r="Q471" s="358"/>
      <c r="R471" s="358"/>
      <c r="S471" s="358"/>
      <c r="T471" s="358"/>
      <c r="U471" s="358"/>
      <c r="V471" s="358"/>
      <c r="W471" s="358"/>
      <c r="X471" s="358"/>
      <c r="Y471" s="358"/>
      <c r="Z471" s="358"/>
      <c r="AA471" s="358"/>
    </row>
    <row r="472">
      <c r="A472" s="358"/>
      <c r="B472" s="358"/>
      <c r="C472" s="358"/>
      <c r="D472" s="358"/>
      <c r="E472" s="358"/>
      <c r="F472" s="358"/>
      <c r="G472" s="358"/>
      <c r="H472" s="358"/>
      <c r="I472" s="358"/>
      <c r="J472" s="358"/>
      <c r="K472" s="358"/>
      <c r="L472" s="358"/>
      <c r="M472" s="358"/>
      <c r="N472" s="358"/>
      <c r="O472" s="358"/>
      <c r="P472" s="358"/>
      <c r="Q472" s="358"/>
      <c r="R472" s="358"/>
      <c r="S472" s="358"/>
      <c r="T472" s="358"/>
      <c r="U472" s="358"/>
      <c r="V472" s="358"/>
      <c r="W472" s="358"/>
      <c r="X472" s="358"/>
      <c r="Y472" s="358"/>
      <c r="Z472" s="358"/>
      <c r="AA472" s="358"/>
    </row>
    <row r="473">
      <c r="A473" s="358"/>
      <c r="B473" s="358"/>
      <c r="C473" s="358"/>
      <c r="D473" s="358"/>
      <c r="E473" s="358"/>
      <c r="F473" s="358"/>
      <c r="G473" s="358"/>
      <c r="H473" s="358"/>
      <c r="I473" s="358"/>
      <c r="J473" s="358"/>
      <c r="K473" s="358"/>
      <c r="L473" s="358"/>
      <c r="M473" s="358"/>
      <c r="N473" s="358"/>
      <c r="O473" s="358"/>
      <c r="P473" s="358"/>
      <c r="Q473" s="358"/>
      <c r="R473" s="358"/>
      <c r="S473" s="358"/>
      <c r="T473" s="358"/>
      <c r="U473" s="358"/>
      <c r="V473" s="358"/>
      <c r="W473" s="358"/>
      <c r="X473" s="358"/>
      <c r="Y473" s="358"/>
      <c r="Z473" s="358"/>
      <c r="AA473" s="358"/>
    </row>
    <row r="474">
      <c r="A474" s="358"/>
      <c r="B474" s="358"/>
      <c r="C474" s="358"/>
      <c r="D474" s="358"/>
      <c r="E474" s="358"/>
      <c r="F474" s="358"/>
      <c r="G474" s="358"/>
      <c r="H474" s="358"/>
      <c r="I474" s="358"/>
      <c r="J474" s="358"/>
      <c r="K474" s="358"/>
      <c r="L474" s="358"/>
      <c r="M474" s="358"/>
      <c r="N474" s="358"/>
      <c r="O474" s="358"/>
      <c r="P474" s="358"/>
      <c r="Q474" s="358"/>
      <c r="R474" s="358"/>
      <c r="S474" s="358"/>
      <c r="T474" s="358"/>
      <c r="U474" s="358"/>
      <c r="V474" s="358"/>
      <c r="W474" s="358"/>
      <c r="X474" s="358"/>
      <c r="Y474" s="358"/>
      <c r="Z474" s="358"/>
      <c r="AA474" s="358"/>
    </row>
    <row r="475">
      <c r="A475" s="358"/>
      <c r="B475" s="358"/>
      <c r="C475" s="358"/>
      <c r="D475" s="358"/>
      <c r="E475" s="358"/>
      <c r="F475" s="358"/>
      <c r="G475" s="358"/>
      <c r="H475" s="358"/>
      <c r="I475" s="358"/>
      <c r="J475" s="358"/>
      <c r="K475" s="358"/>
      <c r="L475" s="358"/>
      <c r="M475" s="358"/>
      <c r="N475" s="358"/>
      <c r="O475" s="358"/>
      <c r="P475" s="358"/>
      <c r="Q475" s="358"/>
      <c r="R475" s="358"/>
      <c r="S475" s="358"/>
      <c r="T475" s="358"/>
      <c r="U475" s="358"/>
      <c r="V475" s="358"/>
      <c r="W475" s="358"/>
      <c r="X475" s="358"/>
      <c r="Y475" s="358"/>
      <c r="Z475" s="358"/>
      <c r="AA475" s="358"/>
    </row>
    <row r="476">
      <c r="A476" s="358"/>
      <c r="B476" s="358"/>
      <c r="C476" s="358"/>
      <c r="D476" s="358"/>
      <c r="E476" s="358"/>
      <c r="F476" s="358"/>
      <c r="G476" s="358"/>
      <c r="H476" s="358"/>
      <c r="I476" s="358"/>
      <c r="J476" s="358"/>
      <c r="K476" s="358"/>
      <c r="L476" s="358"/>
      <c r="M476" s="358"/>
      <c r="N476" s="358"/>
      <c r="O476" s="358"/>
      <c r="P476" s="358"/>
      <c r="Q476" s="358"/>
      <c r="R476" s="358"/>
      <c r="S476" s="358"/>
      <c r="T476" s="358"/>
      <c r="U476" s="358"/>
      <c r="V476" s="358"/>
      <c r="W476" s="358"/>
      <c r="X476" s="358"/>
      <c r="Y476" s="358"/>
      <c r="Z476" s="358"/>
      <c r="AA476" s="358"/>
    </row>
    <row r="477">
      <c r="A477" s="358"/>
      <c r="B477" s="358"/>
      <c r="C477" s="358"/>
      <c r="D477" s="358"/>
      <c r="E477" s="358"/>
      <c r="F477" s="358"/>
      <c r="G477" s="358"/>
      <c r="H477" s="358"/>
      <c r="I477" s="358"/>
      <c r="J477" s="358"/>
      <c r="K477" s="358"/>
      <c r="L477" s="358"/>
      <c r="M477" s="358"/>
      <c r="N477" s="358"/>
      <c r="O477" s="358"/>
      <c r="P477" s="358"/>
      <c r="Q477" s="358"/>
      <c r="R477" s="358"/>
      <c r="S477" s="358"/>
      <c r="T477" s="358"/>
      <c r="U477" s="358"/>
      <c r="V477" s="358"/>
      <c r="W477" s="358"/>
      <c r="X477" s="358"/>
      <c r="Y477" s="358"/>
      <c r="Z477" s="358"/>
      <c r="AA477" s="358"/>
    </row>
    <row r="478">
      <c r="A478" s="358"/>
      <c r="B478" s="358"/>
      <c r="C478" s="358"/>
      <c r="D478" s="358"/>
      <c r="E478" s="358"/>
      <c r="F478" s="358"/>
      <c r="G478" s="358"/>
      <c r="H478" s="358"/>
      <c r="I478" s="358"/>
      <c r="J478" s="358"/>
      <c r="K478" s="358"/>
      <c r="L478" s="358"/>
      <c r="M478" s="358"/>
      <c r="N478" s="358"/>
      <c r="O478" s="358"/>
      <c r="P478" s="358"/>
      <c r="Q478" s="358"/>
      <c r="R478" s="358"/>
      <c r="S478" s="358"/>
      <c r="T478" s="358"/>
      <c r="U478" s="358"/>
      <c r="V478" s="358"/>
      <c r="W478" s="358"/>
      <c r="X478" s="358"/>
      <c r="Y478" s="358"/>
      <c r="Z478" s="358"/>
      <c r="AA478" s="358"/>
    </row>
    <row r="479">
      <c r="A479" s="358"/>
      <c r="B479" s="358"/>
      <c r="C479" s="358"/>
      <c r="D479" s="358"/>
      <c r="E479" s="358"/>
      <c r="F479" s="358"/>
      <c r="G479" s="358"/>
      <c r="H479" s="358"/>
      <c r="I479" s="358"/>
      <c r="J479" s="358"/>
      <c r="K479" s="358"/>
      <c r="L479" s="358"/>
      <c r="M479" s="358"/>
      <c r="N479" s="358"/>
      <c r="O479" s="358"/>
      <c r="P479" s="358"/>
      <c r="Q479" s="358"/>
      <c r="R479" s="358"/>
      <c r="S479" s="358"/>
      <c r="T479" s="358"/>
      <c r="U479" s="358"/>
      <c r="V479" s="358"/>
      <c r="W479" s="358"/>
      <c r="X479" s="358"/>
      <c r="Y479" s="358"/>
      <c r="Z479" s="358"/>
      <c r="AA479" s="358"/>
    </row>
    <row r="480">
      <c r="A480" s="358"/>
      <c r="B480" s="358"/>
      <c r="C480" s="358"/>
      <c r="D480" s="358"/>
      <c r="E480" s="358"/>
      <c r="F480" s="358"/>
      <c r="G480" s="358"/>
      <c r="H480" s="358"/>
      <c r="I480" s="358"/>
      <c r="J480" s="358"/>
      <c r="K480" s="358"/>
      <c r="L480" s="358"/>
      <c r="M480" s="358"/>
      <c r="N480" s="358"/>
      <c r="O480" s="358"/>
      <c r="P480" s="358"/>
      <c r="Q480" s="358"/>
      <c r="R480" s="358"/>
      <c r="S480" s="358"/>
      <c r="T480" s="358"/>
      <c r="U480" s="358"/>
      <c r="V480" s="358"/>
      <c r="W480" s="358"/>
      <c r="X480" s="358"/>
      <c r="Y480" s="358"/>
      <c r="Z480" s="358"/>
      <c r="AA480" s="358"/>
    </row>
    <row r="481">
      <c r="A481" s="358"/>
      <c r="B481" s="358"/>
      <c r="C481" s="358"/>
      <c r="D481" s="358"/>
      <c r="E481" s="358"/>
      <c r="F481" s="358"/>
      <c r="G481" s="358"/>
      <c r="H481" s="358"/>
      <c r="I481" s="358"/>
      <c r="J481" s="358"/>
      <c r="K481" s="358"/>
      <c r="L481" s="358"/>
      <c r="M481" s="358"/>
      <c r="N481" s="358"/>
      <c r="O481" s="358"/>
      <c r="P481" s="358"/>
      <c r="Q481" s="358"/>
      <c r="R481" s="358"/>
      <c r="S481" s="358"/>
      <c r="T481" s="358"/>
      <c r="U481" s="358"/>
      <c r="V481" s="358"/>
      <c r="W481" s="358"/>
      <c r="X481" s="358"/>
      <c r="Y481" s="358"/>
      <c r="Z481" s="358"/>
      <c r="AA481" s="358"/>
    </row>
    <row r="482">
      <c r="A482" s="358"/>
      <c r="B482" s="358"/>
      <c r="C482" s="358"/>
      <c r="D482" s="358"/>
      <c r="E482" s="358"/>
      <c r="F482" s="358"/>
      <c r="G482" s="358"/>
      <c r="H482" s="358"/>
      <c r="I482" s="358"/>
      <c r="J482" s="358"/>
      <c r="K482" s="358"/>
      <c r="L482" s="358"/>
      <c r="M482" s="358"/>
      <c r="N482" s="358"/>
      <c r="O482" s="358"/>
      <c r="P482" s="358"/>
      <c r="Q482" s="358"/>
      <c r="R482" s="358"/>
      <c r="S482" s="358"/>
      <c r="T482" s="358"/>
      <c r="U482" s="358"/>
      <c r="V482" s="358"/>
      <c r="W482" s="358"/>
      <c r="X482" s="358"/>
      <c r="Y482" s="358"/>
      <c r="Z482" s="358"/>
      <c r="AA482" s="358"/>
    </row>
    <row r="483">
      <c r="A483" s="358"/>
      <c r="B483" s="358"/>
      <c r="C483" s="358"/>
      <c r="D483" s="358"/>
      <c r="E483" s="358"/>
      <c r="F483" s="358"/>
      <c r="G483" s="358"/>
      <c r="H483" s="358"/>
      <c r="I483" s="358"/>
      <c r="J483" s="358"/>
      <c r="K483" s="358"/>
      <c r="L483" s="358"/>
      <c r="M483" s="358"/>
      <c r="N483" s="358"/>
      <c r="O483" s="358"/>
      <c r="P483" s="358"/>
      <c r="Q483" s="358"/>
      <c r="R483" s="358"/>
      <c r="S483" s="358"/>
      <c r="T483" s="358"/>
      <c r="U483" s="358"/>
      <c r="V483" s="358"/>
      <c r="W483" s="358"/>
      <c r="X483" s="358"/>
      <c r="Y483" s="358"/>
      <c r="Z483" s="358"/>
      <c r="AA483" s="358"/>
    </row>
    <row r="484">
      <c r="A484" s="358"/>
      <c r="B484" s="358"/>
      <c r="C484" s="358"/>
      <c r="D484" s="358"/>
      <c r="E484" s="358"/>
      <c r="F484" s="358"/>
      <c r="G484" s="358"/>
      <c r="H484" s="358"/>
      <c r="I484" s="358"/>
      <c r="J484" s="358"/>
      <c r="K484" s="358"/>
      <c r="L484" s="358"/>
      <c r="M484" s="358"/>
      <c r="N484" s="358"/>
      <c r="O484" s="358"/>
      <c r="P484" s="358"/>
      <c r="Q484" s="358"/>
      <c r="R484" s="358"/>
      <c r="S484" s="358"/>
      <c r="T484" s="358"/>
      <c r="U484" s="358"/>
      <c r="V484" s="358"/>
      <c r="W484" s="358"/>
      <c r="X484" s="358"/>
      <c r="Y484" s="358"/>
      <c r="Z484" s="358"/>
      <c r="AA484" s="358"/>
    </row>
    <row r="485">
      <c r="A485" s="358"/>
      <c r="B485" s="358"/>
      <c r="C485" s="358"/>
      <c r="D485" s="358"/>
      <c r="E485" s="358"/>
      <c r="F485" s="358"/>
      <c r="G485" s="358"/>
      <c r="H485" s="358"/>
      <c r="I485" s="358"/>
      <c r="J485" s="358"/>
      <c r="K485" s="358"/>
      <c r="L485" s="358"/>
      <c r="M485" s="358"/>
      <c r="N485" s="358"/>
      <c r="O485" s="358"/>
      <c r="P485" s="358"/>
      <c r="Q485" s="358"/>
      <c r="R485" s="358"/>
      <c r="S485" s="358"/>
      <c r="T485" s="358"/>
      <c r="U485" s="358"/>
      <c r="V485" s="358"/>
      <c r="W485" s="358"/>
      <c r="X485" s="358"/>
      <c r="Y485" s="358"/>
      <c r="Z485" s="358"/>
      <c r="AA485" s="358"/>
    </row>
    <row r="486">
      <c r="A486" s="358"/>
      <c r="B486" s="358"/>
      <c r="C486" s="358"/>
      <c r="D486" s="358"/>
      <c r="E486" s="358"/>
      <c r="F486" s="358"/>
      <c r="G486" s="358"/>
      <c r="H486" s="358"/>
      <c r="I486" s="358"/>
      <c r="J486" s="358"/>
      <c r="K486" s="358"/>
      <c r="L486" s="358"/>
      <c r="M486" s="358"/>
      <c r="N486" s="358"/>
      <c r="O486" s="358"/>
      <c r="P486" s="358"/>
      <c r="Q486" s="358"/>
      <c r="R486" s="358"/>
      <c r="S486" s="358"/>
      <c r="T486" s="358"/>
      <c r="U486" s="358"/>
      <c r="V486" s="358"/>
      <c r="W486" s="358"/>
      <c r="X486" s="358"/>
      <c r="Y486" s="358"/>
      <c r="Z486" s="358"/>
      <c r="AA486" s="358"/>
    </row>
    <row r="487">
      <c r="A487" s="358"/>
      <c r="B487" s="358"/>
      <c r="C487" s="358"/>
      <c r="D487" s="358"/>
      <c r="E487" s="358"/>
      <c r="F487" s="358"/>
      <c r="G487" s="358"/>
      <c r="H487" s="358"/>
      <c r="I487" s="358"/>
      <c r="J487" s="358"/>
      <c r="K487" s="358"/>
      <c r="L487" s="358"/>
      <c r="M487" s="358"/>
      <c r="N487" s="358"/>
      <c r="O487" s="358"/>
      <c r="P487" s="358"/>
      <c r="Q487" s="358"/>
      <c r="R487" s="358"/>
      <c r="S487" s="358"/>
      <c r="T487" s="358"/>
      <c r="U487" s="358"/>
      <c r="V487" s="358"/>
      <c r="W487" s="358"/>
      <c r="X487" s="358"/>
      <c r="Y487" s="358"/>
      <c r="Z487" s="358"/>
      <c r="AA487" s="358"/>
    </row>
    <row r="488">
      <c r="A488" s="358"/>
      <c r="B488" s="358"/>
      <c r="C488" s="358"/>
      <c r="D488" s="358"/>
      <c r="E488" s="358"/>
      <c r="F488" s="358"/>
      <c r="G488" s="358"/>
      <c r="H488" s="358"/>
      <c r="I488" s="358"/>
      <c r="J488" s="358"/>
      <c r="K488" s="358"/>
      <c r="L488" s="358"/>
      <c r="M488" s="358"/>
      <c r="N488" s="358"/>
      <c r="O488" s="358"/>
      <c r="P488" s="358"/>
      <c r="Q488" s="358"/>
      <c r="R488" s="358"/>
      <c r="S488" s="358"/>
      <c r="T488" s="358"/>
      <c r="U488" s="358"/>
      <c r="V488" s="358"/>
      <c r="W488" s="358"/>
      <c r="X488" s="358"/>
      <c r="Y488" s="358"/>
      <c r="Z488" s="358"/>
      <c r="AA488" s="358"/>
    </row>
    <row r="489">
      <c r="A489" s="358"/>
      <c r="B489" s="358"/>
      <c r="C489" s="358"/>
      <c r="D489" s="358"/>
      <c r="E489" s="358"/>
      <c r="F489" s="358"/>
      <c r="G489" s="358"/>
      <c r="H489" s="358"/>
      <c r="I489" s="358"/>
      <c r="J489" s="358"/>
      <c r="K489" s="358"/>
      <c r="L489" s="358"/>
      <c r="M489" s="358"/>
      <c r="N489" s="358"/>
      <c r="O489" s="358"/>
      <c r="P489" s="358"/>
      <c r="Q489" s="358"/>
      <c r="R489" s="358"/>
      <c r="S489" s="358"/>
      <c r="T489" s="358"/>
      <c r="U489" s="358"/>
      <c r="V489" s="358"/>
      <c r="W489" s="358"/>
      <c r="X489" s="358"/>
      <c r="Y489" s="358"/>
      <c r="Z489" s="358"/>
      <c r="AA489" s="358"/>
    </row>
    <row r="490">
      <c r="A490" s="358"/>
      <c r="B490" s="358"/>
      <c r="C490" s="358"/>
      <c r="D490" s="358"/>
      <c r="E490" s="358"/>
      <c r="F490" s="358"/>
      <c r="G490" s="358"/>
      <c r="H490" s="358"/>
      <c r="I490" s="358"/>
      <c r="J490" s="358"/>
      <c r="K490" s="358"/>
      <c r="L490" s="358"/>
      <c r="M490" s="358"/>
      <c r="N490" s="358"/>
      <c r="O490" s="358"/>
      <c r="P490" s="358"/>
      <c r="Q490" s="358"/>
      <c r="R490" s="358"/>
      <c r="S490" s="358"/>
      <c r="T490" s="358"/>
      <c r="U490" s="358"/>
      <c r="V490" s="358"/>
      <c r="W490" s="358"/>
      <c r="X490" s="358"/>
      <c r="Y490" s="358"/>
      <c r="Z490" s="358"/>
      <c r="AA490" s="358"/>
    </row>
    <row r="491">
      <c r="A491" s="358"/>
      <c r="B491" s="358"/>
      <c r="C491" s="358"/>
      <c r="D491" s="358"/>
      <c r="E491" s="358"/>
      <c r="F491" s="358"/>
      <c r="G491" s="358"/>
      <c r="H491" s="358"/>
      <c r="I491" s="358"/>
      <c r="J491" s="358"/>
      <c r="K491" s="358"/>
      <c r="L491" s="358"/>
      <c r="M491" s="358"/>
      <c r="N491" s="358"/>
      <c r="O491" s="358"/>
      <c r="P491" s="358"/>
      <c r="Q491" s="358"/>
      <c r="R491" s="358"/>
      <c r="S491" s="358"/>
      <c r="T491" s="358"/>
      <c r="U491" s="358"/>
      <c r="V491" s="358"/>
      <c r="W491" s="358"/>
      <c r="X491" s="358"/>
      <c r="Y491" s="358"/>
      <c r="Z491" s="358"/>
      <c r="AA491" s="358"/>
    </row>
    <row r="492">
      <c r="A492" s="358"/>
      <c r="B492" s="358"/>
      <c r="C492" s="358"/>
      <c r="D492" s="358"/>
      <c r="E492" s="358"/>
      <c r="F492" s="358"/>
      <c r="G492" s="358"/>
      <c r="H492" s="358"/>
      <c r="I492" s="358"/>
      <c r="J492" s="358"/>
      <c r="K492" s="358"/>
      <c r="L492" s="358"/>
      <c r="M492" s="358"/>
      <c r="N492" s="358"/>
      <c r="O492" s="358"/>
      <c r="P492" s="358"/>
      <c r="Q492" s="358"/>
      <c r="R492" s="358"/>
      <c r="S492" s="358"/>
      <c r="T492" s="358"/>
      <c r="U492" s="358"/>
      <c r="V492" s="358"/>
      <c r="W492" s="358"/>
      <c r="X492" s="358"/>
      <c r="Y492" s="358"/>
      <c r="Z492" s="358"/>
      <c r="AA492" s="358"/>
    </row>
    <row r="493">
      <c r="A493" s="358"/>
      <c r="B493" s="358"/>
      <c r="C493" s="358"/>
      <c r="D493" s="358"/>
      <c r="E493" s="358"/>
      <c r="F493" s="358"/>
      <c r="G493" s="358"/>
      <c r="H493" s="358"/>
      <c r="I493" s="358"/>
      <c r="J493" s="358"/>
      <c r="K493" s="358"/>
      <c r="L493" s="358"/>
      <c r="M493" s="358"/>
      <c r="N493" s="358"/>
      <c r="O493" s="358"/>
      <c r="P493" s="358"/>
      <c r="Q493" s="358"/>
      <c r="R493" s="358"/>
      <c r="S493" s="358"/>
      <c r="T493" s="358"/>
      <c r="U493" s="358"/>
      <c r="V493" s="358"/>
      <c r="W493" s="358"/>
      <c r="X493" s="358"/>
      <c r="Y493" s="358"/>
      <c r="Z493" s="358"/>
      <c r="AA493" s="358"/>
    </row>
    <row r="494">
      <c r="A494" s="358"/>
      <c r="B494" s="358"/>
      <c r="C494" s="358"/>
      <c r="D494" s="358"/>
      <c r="E494" s="358"/>
      <c r="F494" s="358"/>
      <c r="G494" s="358"/>
      <c r="H494" s="358"/>
      <c r="I494" s="358"/>
      <c r="J494" s="358"/>
      <c r="K494" s="358"/>
      <c r="L494" s="358"/>
      <c r="M494" s="358"/>
      <c r="N494" s="358"/>
      <c r="O494" s="358"/>
      <c r="P494" s="358"/>
      <c r="Q494" s="358"/>
      <c r="R494" s="358"/>
      <c r="S494" s="358"/>
      <c r="T494" s="358"/>
      <c r="U494" s="358"/>
      <c r="V494" s="358"/>
      <c r="W494" s="358"/>
      <c r="X494" s="358"/>
      <c r="Y494" s="358"/>
      <c r="Z494" s="358"/>
      <c r="AA494" s="358"/>
    </row>
    <row r="495">
      <c r="A495" s="358"/>
      <c r="B495" s="358"/>
      <c r="C495" s="358"/>
      <c r="D495" s="358"/>
      <c r="E495" s="358"/>
      <c r="F495" s="358"/>
      <c r="G495" s="358"/>
      <c r="H495" s="358"/>
      <c r="I495" s="358"/>
      <c r="J495" s="358"/>
      <c r="K495" s="358"/>
      <c r="L495" s="358"/>
      <c r="M495" s="358"/>
      <c r="N495" s="358"/>
      <c r="O495" s="358"/>
      <c r="P495" s="358"/>
      <c r="Q495" s="358"/>
      <c r="R495" s="358"/>
      <c r="S495" s="358"/>
      <c r="T495" s="358"/>
      <c r="U495" s="358"/>
      <c r="V495" s="358"/>
      <c r="W495" s="358"/>
      <c r="X495" s="358"/>
      <c r="Y495" s="358"/>
      <c r="Z495" s="358"/>
      <c r="AA495" s="358"/>
    </row>
    <row r="496">
      <c r="A496" s="358"/>
      <c r="B496" s="358"/>
      <c r="C496" s="358"/>
      <c r="D496" s="358"/>
      <c r="E496" s="358"/>
      <c r="F496" s="358"/>
      <c r="G496" s="358"/>
      <c r="H496" s="358"/>
      <c r="I496" s="358"/>
      <c r="J496" s="358"/>
      <c r="K496" s="358"/>
      <c r="L496" s="358"/>
      <c r="M496" s="358"/>
      <c r="N496" s="358"/>
      <c r="O496" s="358"/>
      <c r="P496" s="358"/>
      <c r="Q496" s="358"/>
      <c r="R496" s="358"/>
      <c r="S496" s="358"/>
      <c r="T496" s="358"/>
      <c r="U496" s="358"/>
      <c r="V496" s="358"/>
      <c r="W496" s="358"/>
      <c r="X496" s="358"/>
      <c r="Y496" s="358"/>
      <c r="Z496" s="358"/>
      <c r="AA496" s="358"/>
    </row>
    <row r="497">
      <c r="A497" s="358"/>
      <c r="B497" s="358"/>
      <c r="C497" s="358"/>
      <c r="D497" s="358"/>
      <c r="E497" s="358"/>
      <c r="F497" s="358"/>
      <c r="G497" s="358"/>
      <c r="H497" s="358"/>
      <c r="I497" s="358"/>
      <c r="J497" s="358"/>
      <c r="K497" s="358"/>
      <c r="L497" s="358"/>
      <c r="M497" s="358"/>
      <c r="N497" s="358"/>
      <c r="O497" s="358"/>
      <c r="P497" s="358"/>
      <c r="Q497" s="358"/>
      <c r="R497" s="358"/>
      <c r="S497" s="358"/>
      <c r="T497" s="358"/>
      <c r="U497" s="358"/>
      <c r="V497" s="358"/>
      <c r="W497" s="358"/>
      <c r="X497" s="358"/>
      <c r="Y497" s="358"/>
      <c r="Z497" s="358"/>
      <c r="AA497" s="358"/>
    </row>
    <row r="498">
      <c r="A498" s="358"/>
      <c r="B498" s="358"/>
      <c r="C498" s="358"/>
      <c r="D498" s="358"/>
      <c r="E498" s="358"/>
      <c r="F498" s="358"/>
      <c r="G498" s="358"/>
      <c r="H498" s="358"/>
      <c r="I498" s="358"/>
      <c r="J498" s="358"/>
      <c r="K498" s="358"/>
      <c r="L498" s="358"/>
      <c r="M498" s="358"/>
      <c r="N498" s="358"/>
      <c r="O498" s="358"/>
      <c r="P498" s="358"/>
      <c r="Q498" s="358"/>
      <c r="R498" s="358"/>
      <c r="S498" s="358"/>
      <c r="T498" s="358"/>
      <c r="U498" s="358"/>
      <c r="V498" s="358"/>
      <c r="W498" s="358"/>
      <c r="X498" s="358"/>
      <c r="Y498" s="358"/>
      <c r="Z498" s="358"/>
      <c r="AA498" s="358"/>
    </row>
    <row r="499">
      <c r="A499" s="358"/>
      <c r="B499" s="358"/>
      <c r="C499" s="358"/>
      <c r="D499" s="358"/>
      <c r="E499" s="358"/>
      <c r="F499" s="358"/>
      <c r="G499" s="358"/>
      <c r="H499" s="358"/>
      <c r="I499" s="358"/>
      <c r="J499" s="358"/>
      <c r="K499" s="358"/>
      <c r="L499" s="358"/>
      <c r="M499" s="358"/>
      <c r="N499" s="358"/>
      <c r="O499" s="358"/>
      <c r="P499" s="358"/>
      <c r="Q499" s="358"/>
      <c r="R499" s="358"/>
      <c r="S499" s="358"/>
      <c r="T499" s="358"/>
      <c r="U499" s="358"/>
      <c r="V499" s="358"/>
      <c r="W499" s="358"/>
      <c r="X499" s="358"/>
      <c r="Y499" s="358"/>
      <c r="Z499" s="358"/>
      <c r="AA499" s="358"/>
    </row>
    <row r="500">
      <c r="A500" s="358"/>
      <c r="B500" s="358"/>
      <c r="C500" s="358"/>
      <c r="D500" s="358"/>
      <c r="E500" s="358"/>
      <c r="F500" s="358"/>
      <c r="G500" s="358"/>
      <c r="H500" s="358"/>
      <c r="I500" s="358"/>
      <c r="J500" s="358"/>
      <c r="K500" s="358"/>
      <c r="L500" s="358"/>
      <c r="M500" s="358"/>
      <c r="N500" s="358"/>
      <c r="O500" s="358"/>
      <c r="P500" s="358"/>
      <c r="Q500" s="358"/>
      <c r="R500" s="358"/>
      <c r="S500" s="358"/>
      <c r="T500" s="358"/>
      <c r="U500" s="358"/>
      <c r="V500" s="358"/>
      <c r="W500" s="358"/>
      <c r="X500" s="358"/>
      <c r="Y500" s="358"/>
      <c r="Z500" s="358"/>
      <c r="AA500" s="358"/>
    </row>
    <row r="501">
      <c r="A501" s="358"/>
      <c r="B501" s="358"/>
      <c r="C501" s="358"/>
      <c r="D501" s="358"/>
      <c r="E501" s="358"/>
      <c r="F501" s="358"/>
      <c r="G501" s="358"/>
      <c r="H501" s="358"/>
      <c r="I501" s="358"/>
      <c r="J501" s="358"/>
      <c r="K501" s="358"/>
      <c r="L501" s="358"/>
      <c r="M501" s="358"/>
      <c r="N501" s="358"/>
      <c r="O501" s="358"/>
      <c r="P501" s="358"/>
      <c r="Q501" s="358"/>
      <c r="R501" s="358"/>
      <c r="S501" s="358"/>
      <c r="T501" s="358"/>
      <c r="U501" s="358"/>
      <c r="V501" s="358"/>
      <c r="W501" s="358"/>
      <c r="X501" s="358"/>
      <c r="Y501" s="358"/>
      <c r="Z501" s="358"/>
      <c r="AA501" s="358"/>
    </row>
    <row r="502">
      <c r="A502" s="358"/>
      <c r="B502" s="358"/>
      <c r="C502" s="358"/>
      <c r="D502" s="358"/>
      <c r="E502" s="358"/>
      <c r="F502" s="358"/>
      <c r="G502" s="358"/>
      <c r="H502" s="358"/>
      <c r="I502" s="358"/>
      <c r="J502" s="358"/>
      <c r="K502" s="358"/>
      <c r="L502" s="358"/>
      <c r="M502" s="358"/>
      <c r="N502" s="358"/>
      <c r="O502" s="358"/>
      <c r="P502" s="358"/>
      <c r="Q502" s="358"/>
      <c r="R502" s="358"/>
      <c r="S502" s="358"/>
      <c r="T502" s="358"/>
      <c r="U502" s="358"/>
      <c r="V502" s="358"/>
      <c r="W502" s="358"/>
      <c r="X502" s="358"/>
      <c r="Y502" s="358"/>
      <c r="Z502" s="358"/>
      <c r="AA502" s="358"/>
    </row>
    <row r="503">
      <c r="A503" s="358"/>
      <c r="B503" s="358"/>
      <c r="C503" s="358"/>
      <c r="D503" s="358"/>
      <c r="E503" s="358"/>
      <c r="F503" s="358"/>
      <c r="G503" s="358"/>
      <c r="H503" s="358"/>
      <c r="I503" s="358"/>
      <c r="J503" s="358"/>
      <c r="K503" s="358"/>
      <c r="L503" s="358"/>
      <c r="M503" s="358"/>
      <c r="N503" s="358"/>
      <c r="O503" s="358"/>
      <c r="P503" s="358"/>
      <c r="Q503" s="358"/>
      <c r="R503" s="358"/>
      <c r="S503" s="358"/>
      <c r="T503" s="358"/>
      <c r="U503" s="358"/>
      <c r="V503" s="358"/>
      <c r="W503" s="358"/>
      <c r="X503" s="358"/>
      <c r="Y503" s="358"/>
      <c r="Z503" s="358"/>
      <c r="AA503" s="358"/>
    </row>
    <row r="504">
      <c r="A504" s="358"/>
      <c r="B504" s="358"/>
      <c r="C504" s="358"/>
      <c r="D504" s="358"/>
      <c r="E504" s="358"/>
      <c r="F504" s="358"/>
      <c r="G504" s="358"/>
      <c r="H504" s="358"/>
      <c r="I504" s="358"/>
      <c r="J504" s="358"/>
      <c r="K504" s="358"/>
      <c r="L504" s="358"/>
      <c r="M504" s="358"/>
      <c r="N504" s="358"/>
      <c r="O504" s="358"/>
      <c r="P504" s="358"/>
      <c r="Q504" s="358"/>
      <c r="R504" s="358"/>
      <c r="S504" s="358"/>
      <c r="T504" s="358"/>
      <c r="U504" s="358"/>
      <c r="V504" s="358"/>
      <c r="W504" s="358"/>
      <c r="X504" s="358"/>
      <c r="Y504" s="358"/>
      <c r="Z504" s="358"/>
      <c r="AA504" s="358"/>
    </row>
    <row r="505">
      <c r="A505" s="358"/>
      <c r="B505" s="358"/>
      <c r="C505" s="358"/>
      <c r="D505" s="358"/>
      <c r="E505" s="358"/>
      <c r="F505" s="358"/>
      <c r="G505" s="358"/>
      <c r="H505" s="358"/>
      <c r="I505" s="358"/>
      <c r="J505" s="358"/>
      <c r="K505" s="358"/>
      <c r="L505" s="358"/>
      <c r="M505" s="358"/>
      <c r="N505" s="358"/>
      <c r="O505" s="358"/>
      <c r="P505" s="358"/>
      <c r="Q505" s="358"/>
      <c r="R505" s="358"/>
      <c r="S505" s="358"/>
      <c r="T505" s="358"/>
      <c r="U505" s="358"/>
      <c r="V505" s="358"/>
      <c r="W505" s="358"/>
      <c r="X505" s="358"/>
      <c r="Y505" s="358"/>
      <c r="Z505" s="358"/>
      <c r="AA505" s="358"/>
    </row>
    <row r="506">
      <c r="A506" s="358"/>
      <c r="B506" s="358"/>
      <c r="C506" s="358"/>
      <c r="D506" s="358"/>
      <c r="E506" s="358"/>
      <c r="F506" s="358"/>
      <c r="G506" s="358"/>
      <c r="H506" s="358"/>
      <c r="I506" s="358"/>
      <c r="J506" s="358"/>
      <c r="K506" s="358"/>
      <c r="L506" s="358"/>
      <c r="M506" s="358"/>
      <c r="N506" s="358"/>
      <c r="O506" s="358"/>
      <c r="P506" s="358"/>
      <c r="Q506" s="358"/>
      <c r="R506" s="358"/>
      <c r="S506" s="358"/>
      <c r="T506" s="358"/>
      <c r="U506" s="358"/>
      <c r="V506" s="358"/>
      <c r="W506" s="358"/>
      <c r="X506" s="358"/>
      <c r="Y506" s="358"/>
      <c r="Z506" s="358"/>
      <c r="AA506" s="358"/>
    </row>
    <row r="507">
      <c r="A507" s="358"/>
      <c r="B507" s="358"/>
      <c r="C507" s="358"/>
      <c r="D507" s="358"/>
      <c r="E507" s="358"/>
      <c r="F507" s="358"/>
      <c r="G507" s="358"/>
      <c r="H507" s="358"/>
      <c r="I507" s="358"/>
      <c r="J507" s="358"/>
      <c r="K507" s="358"/>
      <c r="L507" s="358"/>
      <c r="M507" s="358"/>
      <c r="N507" s="358"/>
      <c r="O507" s="358"/>
      <c r="P507" s="358"/>
      <c r="Q507" s="358"/>
      <c r="R507" s="358"/>
      <c r="S507" s="358"/>
      <c r="T507" s="358"/>
      <c r="U507" s="358"/>
      <c r="V507" s="358"/>
      <c r="W507" s="358"/>
      <c r="X507" s="358"/>
      <c r="Y507" s="358"/>
      <c r="Z507" s="358"/>
      <c r="AA507" s="358"/>
    </row>
    <row r="508">
      <c r="A508" s="358"/>
      <c r="B508" s="358"/>
      <c r="C508" s="358"/>
      <c r="D508" s="358"/>
      <c r="E508" s="358"/>
      <c r="F508" s="358"/>
      <c r="G508" s="358"/>
      <c r="H508" s="358"/>
      <c r="I508" s="358"/>
      <c r="J508" s="358"/>
      <c r="K508" s="358"/>
      <c r="L508" s="358"/>
      <c r="M508" s="358"/>
      <c r="N508" s="358"/>
      <c r="O508" s="358"/>
      <c r="P508" s="358"/>
      <c r="Q508" s="358"/>
      <c r="R508" s="358"/>
      <c r="S508" s="358"/>
      <c r="T508" s="358"/>
      <c r="U508" s="358"/>
      <c r="V508" s="358"/>
      <c r="W508" s="358"/>
      <c r="X508" s="358"/>
      <c r="Y508" s="358"/>
      <c r="Z508" s="358"/>
      <c r="AA508" s="358"/>
    </row>
    <row r="509">
      <c r="A509" s="358"/>
      <c r="B509" s="358"/>
      <c r="C509" s="358"/>
      <c r="D509" s="358"/>
      <c r="E509" s="358"/>
      <c r="F509" s="358"/>
      <c r="G509" s="358"/>
      <c r="H509" s="358"/>
      <c r="I509" s="358"/>
      <c r="J509" s="358"/>
      <c r="K509" s="358"/>
      <c r="L509" s="358"/>
      <c r="M509" s="358"/>
      <c r="N509" s="358"/>
      <c r="O509" s="358"/>
      <c r="P509" s="358"/>
      <c r="Q509" s="358"/>
      <c r="R509" s="358"/>
      <c r="S509" s="358"/>
      <c r="T509" s="358"/>
      <c r="U509" s="358"/>
      <c r="V509" s="358"/>
      <c r="W509" s="358"/>
      <c r="X509" s="358"/>
      <c r="Y509" s="358"/>
      <c r="Z509" s="358"/>
      <c r="AA509" s="358"/>
    </row>
    <row r="510">
      <c r="A510" s="358"/>
      <c r="B510" s="358"/>
      <c r="C510" s="358"/>
      <c r="D510" s="358"/>
      <c r="E510" s="358"/>
      <c r="F510" s="358"/>
      <c r="G510" s="358"/>
      <c r="H510" s="358"/>
      <c r="I510" s="358"/>
      <c r="J510" s="358"/>
      <c r="K510" s="358"/>
      <c r="L510" s="358"/>
      <c r="M510" s="358"/>
      <c r="N510" s="358"/>
      <c r="O510" s="358"/>
      <c r="P510" s="358"/>
      <c r="Q510" s="358"/>
      <c r="R510" s="358"/>
      <c r="S510" s="358"/>
      <c r="T510" s="358"/>
      <c r="U510" s="358"/>
      <c r="V510" s="358"/>
      <c r="W510" s="358"/>
      <c r="X510" s="358"/>
      <c r="Y510" s="358"/>
      <c r="Z510" s="358"/>
      <c r="AA510" s="358"/>
    </row>
    <row r="511">
      <c r="A511" s="358"/>
      <c r="B511" s="358"/>
      <c r="C511" s="358"/>
      <c r="D511" s="358"/>
      <c r="E511" s="358"/>
      <c r="F511" s="358"/>
      <c r="G511" s="358"/>
      <c r="H511" s="358"/>
      <c r="I511" s="358"/>
      <c r="J511" s="358"/>
      <c r="K511" s="358"/>
      <c r="L511" s="358"/>
      <c r="M511" s="358"/>
      <c r="N511" s="358"/>
      <c r="O511" s="358"/>
      <c r="P511" s="358"/>
      <c r="Q511" s="358"/>
      <c r="R511" s="358"/>
      <c r="S511" s="358"/>
      <c r="T511" s="358"/>
      <c r="U511" s="358"/>
      <c r="V511" s="358"/>
      <c r="W511" s="358"/>
      <c r="X511" s="358"/>
      <c r="Y511" s="358"/>
      <c r="Z511" s="358"/>
      <c r="AA511" s="358"/>
    </row>
    <row r="512">
      <c r="A512" s="358"/>
      <c r="B512" s="358"/>
      <c r="C512" s="358"/>
      <c r="D512" s="358"/>
      <c r="E512" s="358"/>
      <c r="F512" s="358"/>
      <c r="G512" s="358"/>
      <c r="H512" s="358"/>
      <c r="I512" s="358"/>
      <c r="J512" s="358"/>
      <c r="K512" s="358"/>
      <c r="L512" s="358"/>
      <c r="M512" s="358"/>
      <c r="N512" s="358"/>
      <c r="O512" s="358"/>
      <c r="P512" s="358"/>
      <c r="Q512" s="358"/>
      <c r="R512" s="358"/>
      <c r="S512" s="358"/>
      <c r="T512" s="358"/>
      <c r="U512" s="358"/>
      <c r="V512" s="358"/>
      <c r="W512" s="358"/>
      <c r="X512" s="358"/>
      <c r="Y512" s="358"/>
      <c r="Z512" s="358"/>
      <c r="AA512" s="358"/>
    </row>
    <row r="513">
      <c r="A513" s="358"/>
      <c r="B513" s="358"/>
      <c r="C513" s="358"/>
      <c r="D513" s="358"/>
      <c r="E513" s="358"/>
      <c r="F513" s="358"/>
      <c r="G513" s="358"/>
      <c r="H513" s="358"/>
      <c r="I513" s="358"/>
      <c r="J513" s="358"/>
      <c r="K513" s="358"/>
      <c r="L513" s="358"/>
      <c r="M513" s="358"/>
      <c r="N513" s="358"/>
      <c r="O513" s="358"/>
      <c r="P513" s="358"/>
      <c r="Q513" s="358"/>
      <c r="R513" s="358"/>
      <c r="S513" s="358"/>
      <c r="T513" s="358"/>
      <c r="U513" s="358"/>
      <c r="V513" s="358"/>
      <c r="W513" s="358"/>
      <c r="X513" s="358"/>
      <c r="Y513" s="358"/>
      <c r="Z513" s="358"/>
      <c r="AA513" s="358"/>
    </row>
    <row r="514">
      <c r="A514" s="358"/>
      <c r="B514" s="358"/>
      <c r="C514" s="358"/>
      <c r="D514" s="358"/>
      <c r="E514" s="358"/>
      <c r="F514" s="358"/>
      <c r="G514" s="358"/>
      <c r="H514" s="358"/>
      <c r="I514" s="358"/>
      <c r="J514" s="358"/>
      <c r="K514" s="358"/>
      <c r="L514" s="358"/>
      <c r="M514" s="358"/>
      <c r="N514" s="358"/>
      <c r="O514" s="358"/>
      <c r="P514" s="358"/>
      <c r="Q514" s="358"/>
      <c r="R514" s="358"/>
      <c r="S514" s="358"/>
      <c r="T514" s="358"/>
      <c r="U514" s="358"/>
      <c r="V514" s="358"/>
      <c r="W514" s="358"/>
      <c r="X514" s="358"/>
      <c r="Y514" s="358"/>
      <c r="Z514" s="358"/>
      <c r="AA514" s="358"/>
    </row>
    <row r="515">
      <c r="A515" s="358"/>
      <c r="B515" s="358"/>
      <c r="C515" s="358"/>
      <c r="D515" s="358"/>
      <c r="E515" s="358"/>
      <c r="F515" s="358"/>
      <c r="G515" s="358"/>
      <c r="H515" s="358"/>
      <c r="I515" s="358"/>
      <c r="J515" s="358"/>
      <c r="K515" s="358"/>
      <c r="L515" s="358"/>
      <c r="M515" s="358"/>
      <c r="N515" s="358"/>
      <c r="O515" s="358"/>
      <c r="P515" s="358"/>
      <c r="Q515" s="358"/>
      <c r="R515" s="358"/>
      <c r="S515" s="358"/>
      <c r="T515" s="358"/>
      <c r="U515" s="358"/>
      <c r="V515" s="358"/>
      <c r="W515" s="358"/>
      <c r="X515" s="358"/>
      <c r="Y515" s="358"/>
      <c r="Z515" s="358"/>
      <c r="AA515" s="358"/>
    </row>
    <row r="516">
      <c r="A516" s="358"/>
      <c r="B516" s="358"/>
      <c r="C516" s="358"/>
      <c r="D516" s="358"/>
      <c r="E516" s="358"/>
      <c r="F516" s="358"/>
      <c r="G516" s="358"/>
      <c r="H516" s="358"/>
      <c r="I516" s="358"/>
      <c r="J516" s="358"/>
      <c r="K516" s="358"/>
      <c r="L516" s="358"/>
      <c r="M516" s="358"/>
      <c r="N516" s="358"/>
      <c r="O516" s="358"/>
      <c r="P516" s="358"/>
      <c r="Q516" s="358"/>
      <c r="R516" s="358"/>
      <c r="S516" s="358"/>
      <c r="T516" s="358"/>
      <c r="U516" s="358"/>
      <c r="V516" s="358"/>
      <c r="W516" s="358"/>
      <c r="X516" s="358"/>
      <c r="Y516" s="358"/>
      <c r="Z516" s="358"/>
      <c r="AA516" s="358"/>
    </row>
    <row r="517">
      <c r="A517" s="358"/>
      <c r="B517" s="358"/>
      <c r="C517" s="358"/>
      <c r="D517" s="358"/>
      <c r="E517" s="358"/>
      <c r="F517" s="358"/>
      <c r="G517" s="358"/>
      <c r="H517" s="358"/>
      <c r="I517" s="358"/>
      <c r="J517" s="358"/>
      <c r="K517" s="358"/>
      <c r="L517" s="358"/>
      <c r="M517" s="358"/>
      <c r="N517" s="358"/>
      <c r="O517" s="358"/>
      <c r="P517" s="358"/>
      <c r="Q517" s="358"/>
      <c r="R517" s="358"/>
      <c r="S517" s="358"/>
      <c r="T517" s="358"/>
      <c r="U517" s="358"/>
      <c r="V517" s="358"/>
      <c r="W517" s="358"/>
      <c r="X517" s="358"/>
      <c r="Y517" s="358"/>
      <c r="Z517" s="358"/>
      <c r="AA517" s="358"/>
    </row>
    <row r="518">
      <c r="A518" s="358"/>
      <c r="B518" s="358"/>
      <c r="C518" s="358"/>
      <c r="D518" s="358"/>
      <c r="E518" s="358"/>
      <c r="F518" s="358"/>
      <c r="G518" s="358"/>
      <c r="H518" s="358"/>
      <c r="I518" s="358"/>
      <c r="J518" s="358"/>
      <c r="K518" s="358"/>
      <c r="L518" s="358"/>
      <c r="M518" s="358"/>
      <c r="N518" s="358"/>
      <c r="O518" s="358"/>
      <c r="P518" s="358"/>
      <c r="Q518" s="358"/>
      <c r="R518" s="358"/>
      <c r="S518" s="358"/>
      <c r="T518" s="358"/>
      <c r="U518" s="358"/>
      <c r="V518" s="358"/>
      <c r="W518" s="358"/>
      <c r="X518" s="358"/>
      <c r="Y518" s="358"/>
      <c r="Z518" s="358"/>
      <c r="AA518" s="358"/>
    </row>
    <row r="519">
      <c r="A519" s="358"/>
      <c r="B519" s="358"/>
      <c r="C519" s="358"/>
      <c r="D519" s="358"/>
      <c r="E519" s="358"/>
      <c r="F519" s="358"/>
      <c r="G519" s="358"/>
      <c r="H519" s="358"/>
      <c r="I519" s="358"/>
      <c r="J519" s="358"/>
      <c r="K519" s="358"/>
      <c r="L519" s="358"/>
      <c r="M519" s="358"/>
      <c r="N519" s="358"/>
      <c r="O519" s="358"/>
      <c r="P519" s="358"/>
      <c r="Q519" s="358"/>
      <c r="R519" s="358"/>
      <c r="S519" s="358"/>
      <c r="T519" s="358"/>
      <c r="U519" s="358"/>
      <c r="V519" s="358"/>
      <c r="W519" s="358"/>
      <c r="X519" s="358"/>
      <c r="Y519" s="358"/>
      <c r="Z519" s="358"/>
      <c r="AA519" s="358"/>
    </row>
    <row r="520">
      <c r="A520" s="358"/>
      <c r="B520" s="358"/>
      <c r="C520" s="358"/>
      <c r="D520" s="358"/>
      <c r="E520" s="358"/>
      <c r="F520" s="358"/>
      <c r="G520" s="358"/>
      <c r="H520" s="358"/>
      <c r="I520" s="358"/>
      <c r="J520" s="358"/>
      <c r="K520" s="358"/>
      <c r="L520" s="358"/>
      <c r="M520" s="358"/>
      <c r="N520" s="358"/>
      <c r="O520" s="358"/>
      <c r="P520" s="358"/>
      <c r="Q520" s="358"/>
      <c r="R520" s="358"/>
      <c r="S520" s="358"/>
      <c r="T520" s="358"/>
      <c r="U520" s="358"/>
      <c r="V520" s="358"/>
      <c r="W520" s="358"/>
      <c r="X520" s="358"/>
      <c r="Y520" s="358"/>
      <c r="Z520" s="358"/>
      <c r="AA520" s="358"/>
    </row>
    <row r="521">
      <c r="A521" s="358"/>
      <c r="B521" s="358"/>
      <c r="C521" s="358"/>
      <c r="D521" s="358"/>
      <c r="E521" s="358"/>
      <c r="F521" s="358"/>
      <c r="G521" s="358"/>
      <c r="H521" s="358"/>
      <c r="I521" s="358"/>
      <c r="J521" s="358"/>
      <c r="K521" s="358"/>
      <c r="L521" s="358"/>
      <c r="M521" s="358"/>
      <c r="N521" s="358"/>
      <c r="O521" s="358"/>
      <c r="P521" s="358"/>
      <c r="Q521" s="358"/>
      <c r="R521" s="358"/>
      <c r="S521" s="358"/>
      <c r="T521" s="358"/>
      <c r="U521" s="358"/>
      <c r="V521" s="358"/>
      <c r="W521" s="358"/>
      <c r="X521" s="358"/>
      <c r="Y521" s="358"/>
      <c r="Z521" s="358"/>
      <c r="AA521" s="358"/>
    </row>
    <row r="522">
      <c r="A522" s="358"/>
      <c r="B522" s="358"/>
      <c r="C522" s="358"/>
      <c r="D522" s="358"/>
      <c r="E522" s="358"/>
      <c r="F522" s="358"/>
      <c r="G522" s="358"/>
      <c r="H522" s="358"/>
      <c r="I522" s="358"/>
      <c r="J522" s="358"/>
      <c r="K522" s="358"/>
      <c r="L522" s="358"/>
      <c r="M522" s="358"/>
      <c r="N522" s="358"/>
      <c r="O522" s="358"/>
      <c r="P522" s="358"/>
      <c r="Q522" s="358"/>
      <c r="R522" s="358"/>
      <c r="S522" s="358"/>
      <c r="T522" s="358"/>
      <c r="U522" s="358"/>
      <c r="V522" s="358"/>
      <c r="W522" s="358"/>
      <c r="X522" s="358"/>
      <c r="Y522" s="358"/>
      <c r="Z522" s="358"/>
      <c r="AA522" s="358"/>
    </row>
    <row r="523">
      <c r="A523" s="358"/>
      <c r="B523" s="358"/>
      <c r="C523" s="358"/>
      <c r="D523" s="358"/>
      <c r="E523" s="358"/>
      <c r="F523" s="358"/>
      <c r="G523" s="358"/>
      <c r="H523" s="358"/>
      <c r="I523" s="358"/>
      <c r="J523" s="358"/>
      <c r="K523" s="358"/>
      <c r="L523" s="358"/>
      <c r="M523" s="358"/>
      <c r="N523" s="358"/>
      <c r="O523" s="358"/>
      <c r="P523" s="358"/>
      <c r="Q523" s="358"/>
      <c r="R523" s="358"/>
      <c r="S523" s="358"/>
      <c r="T523" s="358"/>
      <c r="U523" s="358"/>
      <c r="V523" s="358"/>
      <c r="W523" s="358"/>
      <c r="X523" s="358"/>
      <c r="Y523" s="358"/>
      <c r="Z523" s="358"/>
      <c r="AA523" s="358"/>
    </row>
    <row r="524">
      <c r="A524" s="358"/>
      <c r="B524" s="358"/>
      <c r="C524" s="358"/>
      <c r="D524" s="358"/>
      <c r="E524" s="358"/>
      <c r="F524" s="358"/>
      <c r="G524" s="358"/>
      <c r="H524" s="358"/>
      <c r="I524" s="358"/>
      <c r="J524" s="358"/>
      <c r="K524" s="358"/>
      <c r="L524" s="358"/>
      <c r="M524" s="358"/>
      <c r="N524" s="358"/>
      <c r="O524" s="358"/>
      <c r="P524" s="358"/>
      <c r="Q524" s="358"/>
      <c r="R524" s="358"/>
      <c r="S524" s="358"/>
      <c r="T524" s="358"/>
      <c r="U524" s="358"/>
      <c r="V524" s="358"/>
      <c r="W524" s="358"/>
      <c r="X524" s="358"/>
      <c r="Y524" s="358"/>
      <c r="Z524" s="358"/>
      <c r="AA524" s="358"/>
    </row>
    <row r="525">
      <c r="A525" s="358"/>
      <c r="B525" s="358"/>
      <c r="C525" s="358"/>
      <c r="D525" s="358"/>
      <c r="E525" s="358"/>
      <c r="F525" s="358"/>
      <c r="G525" s="358"/>
      <c r="H525" s="358"/>
      <c r="I525" s="358"/>
      <c r="J525" s="358"/>
      <c r="K525" s="358"/>
      <c r="L525" s="358"/>
      <c r="M525" s="358"/>
      <c r="N525" s="358"/>
      <c r="O525" s="358"/>
      <c r="P525" s="358"/>
      <c r="Q525" s="358"/>
      <c r="R525" s="358"/>
      <c r="S525" s="358"/>
      <c r="T525" s="358"/>
      <c r="U525" s="358"/>
      <c r="V525" s="358"/>
      <c r="W525" s="358"/>
      <c r="X525" s="358"/>
      <c r="Y525" s="358"/>
      <c r="Z525" s="358"/>
      <c r="AA525" s="358"/>
    </row>
    <row r="526">
      <c r="A526" s="358"/>
      <c r="B526" s="358"/>
      <c r="C526" s="358"/>
      <c r="D526" s="358"/>
      <c r="E526" s="358"/>
      <c r="F526" s="358"/>
      <c r="G526" s="358"/>
      <c r="H526" s="358"/>
      <c r="I526" s="358"/>
      <c r="J526" s="358"/>
      <c r="K526" s="358"/>
      <c r="L526" s="358"/>
      <c r="M526" s="358"/>
      <c r="N526" s="358"/>
      <c r="O526" s="358"/>
      <c r="P526" s="358"/>
      <c r="Q526" s="358"/>
      <c r="R526" s="358"/>
      <c r="S526" s="358"/>
      <c r="T526" s="358"/>
      <c r="U526" s="358"/>
      <c r="V526" s="358"/>
      <c r="W526" s="358"/>
      <c r="X526" s="358"/>
      <c r="Y526" s="358"/>
      <c r="Z526" s="358"/>
      <c r="AA526" s="358"/>
    </row>
    <row r="527">
      <c r="A527" s="358"/>
      <c r="B527" s="358"/>
      <c r="C527" s="358"/>
      <c r="D527" s="358"/>
      <c r="E527" s="358"/>
      <c r="F527" s="358"/>
      <c r="G527" s="358"/>
      <c r="H527" s="358"/>
      <c r="I527" s="358"/>
      <c r="J527" s="358"/>
      <c r="K527" s="358"/>
      <c r="L527" s="358"/>
      <c r="M527" s="358"/>
      <c r="N527" s="358"/>
      <c r="O527" s="358"/>
      <c r="P527" s="358"/>
      <c r="Q527" s="358"/>
      <c r="R527" s="358"/>
      <c r="S527" s="358"/>
      <c r="T527" s="358"/>
      <c r="U527" s="358"/>
      <c r="V527" s="358"/>
      <c r="W527" s="358"/>
      <c r="X527" s="358"/>
      <c r="Y527" s="358"/>
      <c r="Z527" s="358"/>
      <c r="AA527" s="358"/>
    </row>
    <row r="528">
      <c r="A528" s="358"/>
      <c r="B528" s="358"/>
      <c r="C528" s="358"/>
      <c r="D528" s="358"/>
      <c r="E528" s="358"/>
      <c r="F528" s="358"/>
      <c r="G528" s="358"/>
      <c r="H528" s="358"/>
      <c r="I528" s="358"/>
      <c r="J528" s="358"/>
      <c r="K528" s="358"/>
      <c r="L528" s="358"/>
      <c r="M528" s="358"/>
      <c r="N528" s="358"/>
      <c r="O528" s="358"/>
      <c r="P528" s="358"/>
      <c r="Q528" s="358"/>
      <c r="R528" s="358"/>
      <c r="S528" s="358"/>
      <c r="T528" s="358"/>
      <c r="U528" s="358"/>
      <c r="V528" s="358"/>
      <c r="W528" s="358"/>
      <c r="X528" s="358"/>
      <c r="Y528" s="358"/>
      <c r="Z528" s="358"/>
      <c r="AA528" s="358"/>
    </row>
    <row r="529">
      <c r="A529" s="358"/>
      <c r="B529" s="358"/>
      <c r="C529" s="358"/>
      <c r="D529" s="358"/>
      <c r="E529" s="358"/>
      <c r="F529" s="358"/>
      <c r="G529" s="358"/>
      <c r="H529" s="358"/>
      <c r="I529" s="358"/>
      <c r="J529" s="358"/>
      <c r="K529" s="358"/>
      <c r="L529" s="358"/>
      <c r="M529" s="358"/>
      <c r="N529" s="358"/>
      <c r="O529" s="358"/>
      <c r="P529" s="358"/>
      <c r="Q529" s="358"/>
      <c r="R529" s="358"/>
      <c r="S529" s="358"/>
      <c r="T529" s="358"/>
      <c r="U529" s="358"/>
      <c r="V529" s="358"/>
      <c r="W529" s="358"/>
      <c r="X529" s="358"/>
      <c r="Y529" s="358"/>
      <c r="Z529" s="358"/>
      <c r="AA529" s="358"/>
    </row>
    <row r="530">
      <c r="A530" s="358"/>
      <c r="B530" s="358"/>
      <c r="C530" s="358"/>
      <c r="D530" s="358"/>
      <c r="E530" s="358"/>
      <c r="F530" s="358"/>
      <c r="G530" s="358"/>
      <c r="H530" s="358"/>
      <c r="I530" s="358"/>
      <c r="J530" s="358"/>
      <c r="K530" s="358"/>
      <c r="L530" s="358"/>
      <c r="M530" s="358"/>
      <c r="N530" s="358"/>
      <c r="O530" s="358"/>
      <c r="P530" s="358"/>
      <c r="Q530" s="358"/>
      <c r="R530" s="358"/>
      <c r="S530" s="358"/>
      <c r="T530" s="358"/>
      <c r="U530" s="358"/>
      <c r="V530" s="358"/>
      <c r="W530" s="358"/>
      <c r="X530" s="358"/>
      <c r="Y530" s="358"/>
      <c r="Z530" s="358"/>
      <c r="AA530" s="358"/>
    </row>
    <row r="531">
      <c r="A531" s="358"/>
      <c r="B531" s="358"/>
      <c r="C531" s="358"/>
      <c r="D531" s="358"/>
      <c r="E531" s="358"/>
      <c r="F531" s="358"/>
      <c r="G531" s="358"/>
      <c r="H531" s="358"/>
      <c r="I531" s="358"/>
      <c r="J531" s="358"/>
      <c r="K531" s="358"/>
      <c r="L531" s="358"/>
      <c r="M531" s="358"/>
      <c r="N531" s="358"/>
      <c r="O531" s="358"/>
      <c r="P531" s="358"/>
      <c r="Q531" s="358"/>
      <c r="R531" s="358"/>
      <c r="S531" s="358"/>
      <c r="T531" s="358"/>
      <c r="U531" s="358"/>
      <c r="V531" s="358"/>
      <c r="W531" s="358"/>
      <c r="X531" s="358"/>
      <c r="Y531" s="358"/>
      <c r="Z531" s="358"/>
      <c r="AA531" s="358"/>
    </row>
    <row r="532">
      <c r="A532" s="358"/>
      <c r="B532" s="358"/>
      <c r="C532" s="358"/>
      <c r="D532" s="358"/>
      <c r="E532" s="358"/>
      <c r="F532" s="358"/>
      <c r="G532" s="358"/>
      <c r="H532" s="358"/>
      <c r="I532" s="358"/>
      <c r="J532" s="358"/>
      <c r="K532" s="358"/>
      <c r="L532" s="358"/>
      <c r="M532" s="358"/>
      <c r="N532" s="358"/>
      <c r="O532" s="358"/>
      <c r="P532" s="358"/>
      <c r="Q532" s="358"/>
      <c r="R532" s="358"/>
      <c r="S532" s="358"/>
      <c r="T532" s="358"/>
      <c r="U532" s="358"/>
      <c r="V532" s="358"/>
      <c r="W532" s="358"/>
      <c r="X532" s="358"/>
      <c r="Y532" s="358"/>
      <c r="Z532" s="358"/>
      <c r="AA532" s="358"/>
    </row>
    <row r="533">
      <c r="A533" s="358"/>
      <c r="B533" s="358"/>
      <c r="C533" s="358"/>
      <c r="D533" s="358"/>
      <c r="E533" s="358"/>
      <c r="F533" s="358"/>
      <c r="G533" s="358"/>
      <c r="H533" s="358"/>
      <c r="I533" s="358"/>
      <c r="J533" s="358"/>
      <c r="K533" s="358"/>
      <c r="L533" s="358"/>
      <c r="M533" s="358"/>
      <c r="N533" s="358"/>
      <c r="O533" s="358"/>
      <c r="P533" s="358"/>
      <c r="Q533" s="358"/>
      <c r="R533" s="358"/>
      <c r="S533" s="358"/>
      <c r="T533" s="358"/>
      <c r="U533" s="358"/>
      <c r="V533" s="358"/>
      <c r="W533" s="358"/>
      <c r="X533" s="358"/>
      <c r="Y533" s="358"/>
      <c r="Z533" s="358"/>
      <c r="AA533" s="358"/>
    </row>
    <row r="534">
      <c r="A534" s="358"/>
      <c r="B534" s="358"/>
      <c r="C534" s="358"/>
      <c r="D534" s="358"/>
      <c r="E534" s="358"/>
      <c r="F534" s="358"/>
      <c r="G534" s="358"/>
      <c r="H534" s="358"/>
      <c r="I534" s="358"/>
      <c r="J534" s="358"/>
      <c r="K534" s="358"/>
      <c r="L534" s="358"/>
      <c r="M534" s="358"/>
      <c r="N534" s="358"/>
      <c r="O534" s="358"/>
      <c r="P534" s="358"/>
      <c r="Q534" s="358"/>
      <c r="R534" s="358"/>
      <c r="S534" s="358"/>
      <c r="T534" s="358"/>
      <c r="U534" s="358"/>
      <c r="V534" s="358"/>
      <c r="W534" s="358"/>
      <c r="X534" s="358"/>
      <c r="Y534" s="358"/>
      <c r="Z534" s="358"/>
      <c r="AA534" s="358"/>
    </row>
    <row r="535">
      <c r="A535" s="358"/>
      <c r="B535" s="358"/>
      <c r="C535" s="358"/>
      <c r="D535" s="358"/>
      <c r="E535" s="358"/>
      <c r="F535" s="358"/>
      <c r="G535" s="358"/>
      <c r="H535" s="358"/>
      <c r="I535" s="358"/>
      <c r="J535" s="358"/>
      <c r="K535" s="358"/>
      <c r="L535" s="358"/>
      <c r="M535" s="358"/>
      <c r="N535" s="358"/>
      <c r="O535" s="358"/>
      <c r="P535" s="358"/>
      <c r="Q535" s="358"/>
      <c r="R535" s="358"/>
      <c r="S535" s="358"/>
      <c r="T535" s="358"/>
      <c r="U535" s="358"/>
      <c r="V535" s="358"/>
      <c r="W535" s="358"/>
      <c r="X535" s="358"/>
      <c r="Y535" s="358"/>
      <c r="Z535" s="358"/>
      <c r="AA535" s="358"/>
    </row>
    <row r="536">
      <c r="A536" s="358"/>
      <c r="B536" s="358"/>
      <c r="C536" s="358"/>
      <c r="D536" s="358"/>
      <c r="E536" s="358"/>
      <c r="F536" s="358"/>
      <c r="G536" s="358"/>
      <c r="H536" s="358"/>
      <c r="I536" s="358"/>
      <c r="J536" s="358"/>
      <c r="K536" s="358"/>
      <c r="L536" s="358"/>
      <c r="M536" s="358"/>
      <c r="N536" s="358"/>
      <c r="O536" s="358"/>
      <c r="P536" s="358"/>
      <c r="Q536" s="358"/>
      <c r="R536" s="358"/>
      <c r="S536" s="358"/>
      <c r="T536" s="358"/>
      <c r="U536" s="358"/>
      <c r="V536" s="358"/>
      <c r="W536" s="358"/>
      <c r="X536" s="358"/>
      <c r="Y536" s="358"/>
      <c r="Z536" s="358"/>
      <c r="AA536" s="358"/>
    </row>
    <row r="537">
      <c r="A537" s="358"/>
      <c r="B537" s="358"/>
      <c r="C537" s="358"/>
      <c r="D537" s="358"/>
      <c r="E537" s="358"/>
      <c r="F537" s="358"/>
      <c r="G537" s="358"/>
      <c r="H537" s="358"/>
      <c r="I537" s="358"/>
      <c r="J537" s="358"/>
      <c r="K537" s="358"/>
      <c r="L537" s="358"/>
      <c r="M537" s="358"/>
      <c r="N537" s="358"/>
      <c r="O537" s="358"/>
      <c r="P537" s="358"/>
      <c r="Q537" s="358"/>
      <c r="R537" s="358"/>
      <c r="S537" s="358"/>
      <c r="T537" s="358"/>
      <c r="U537" s="358"/>
      <c r="V537" s="358"/>
      <c r="W537" s="358"/>
      <c r="X537" s="358"/>
      <c r="Y537" s="358"/>
      <c r="Z537" s="358"/>
      <c r="AA537" s="358"/>
    </row>
    <row r="538">
      <c r="A538" s="358"/>
      <c r="B538" s="358"/>
      <c r="C538" s="358"/>
      <c r="D538" s="358"/>
      <c r="E538" s="358"/>
      <c r="F538" s="358"/>
      <c r="G538" s="358"/>
      <c r="H538" s="358"/>
      <c r="I538" s="358"/>
      <c r="J538" s="358"/>
      <c r="K538" s="358"/>
      <c r="L538" s="358"/>
      <c r="M538" s="358"/>
      <c r="N538" s="358"/>
      <c r="O538" s="358"/>
      <c r="P538" s="358"/>
      <c r="Q538" s="358"/>
      <c r="R538" s="358"/>
      <c r="S538" s="358"/>
      <c r="T538" s="358"/>
      <c r="U538" s="358"/>
      <c r="V538" s="358"/>
      <c r="W538" s="358"/>
      <c r="X538" s="358"/>
      <c r="Y538" s="358"/>
      <c r="Z538" s="358"/>
      <c r="AA538" s="358"/>
    </row>
    <row r="539">
      <c r="A539" s="358"/>
      <c r="B539" s="358"/>
      <c r="C539" s="358"/>
      <c r="D539" s="358"/>
      <c r="E539" s="358"/>
      <c r="F539" s="358"/>
      <c r="G539" s="358"/>
      <c r="H539" s="358"/>
      <c r="I539" s="358"/>
      <c r="J539" s="358"/>
      <c r="K539" s="358"/>
      <c r="L539" s="358"/>
      <c r="M539" s="358"/>
      <c r="N539" s="358"/>
      <c r="O539" s="358"/>
      <c r="P539" s="358"/>
      <c r="Q539" s="358"/>
      <c r="R539" s="358"/>
      <c r="S539" s="358"/>
      <c r="T539" s="358"/>
      <c r="U539" s="358"/>
      <c r="V539" s="358"/>
      <c r="W539" s="358"/>
      <c r="X539" s="358"/>
      <c r="Y539" s="358"/>
      <c r="Z539" s="358"/>
      <c r="AA539" s="358"/>
    </row>
    <row r="540">
      <c r="A540" s="358"/>
      <c r="B540" s="358"/>
      <c r="C540" s="358"/>
      <c r="D540" s="358"/>
      <c r="E540" s="358"/>
      <c r="F540" s="358"/>
      <c r="G540" s="358"/>
      <c r="H540" s="358"/>
      <c r="I540" s="358"/>
      <c r="J540" s="358"/>
      <c r="K540" s="358"/>
      <c r="L540" s="358"/>
      <c r="M540" s="358"/>
      <c r="N540" s="358"/>
      <c r="O540" s="358"/>
      <c r="P540" s="358"/>
      <c r="Q540" s="358"/>
      <c r="R540" s="358"/>
      <c r="S540" s="358"/>
      <c r="T540" s="358"/>
      <c r="U540" s="358"/>
      <c r="V540" s="358"/>
      <c r="W540" s="358"/>
      <c r="X540" s="358"/>
      <c r="Y540" s="358"/>
      <c r="Z540" s="358"/>
      <c r="AA540" s="358"/>
    </row>
    <row r="541">
      <c r="A541" s="358"/>
      <c r="B541" s="358"/>
      <c r="C541" s="358"/>
      <c r="D541" s="358"/>
      <c r="E541" s="358"/>
      <c r="F541" s="358"/>
      <c r="G541" s="358"/>
      <c r="H541" s="358"/>
      <c r="I541" s="358"/>
      <c r="J541" s="358"/>
      <c r="K541" s="358"/>
      <c r="L541" s="358"/>
      <c r="M541" s="358"/>
      <c r="N541" s="358"/>
      <c r="O541" s="358"/>
      <c r="P541" s="358"/>
      <c r="Q541" s="358"/>
      <c r="R541" s="358"/>
      <c r="S541" s="358"/>
      <c r="T541" s="358"/>
      <c r="U541" s="358"/>
      <c r="V541" s="358"/>
      <c r="W541" s="358"/>
      <c r="X541" s="358"/>
      <c r="Y541" s="358"/>
      <c r="Z541" s="358"/>
      <c r="AA541" s="358"/>
    </row>
    <row r="542">
      <c r="A542" s="358"/>
      <c r="B542" s="358"/>
      <c r="C542" s="358"/>
      <c r="D542" s="358"/>
      <c r="E542" s="358"/>
      <c r="F542" s="358"/>
      <c r="G542" s="358"/>
      <c r="H542" s="358"/>
      <c r="I542" s="358"/>
      <c r="J542" s="358"/>
      <c r="K542" s="358"/>
      <c r="L542" s="358"/>
      <c r="M542" s="358"/>
      <c r="N542" s="358"/>
      <c r="O542" s="358"/>
      <c r="P542" s="358"/>
      <c r="Q542" s="358"/>
      <c r="R542" s="358"/>
      <c r="S542" s="358"/>
      <c r="T542" s="358"/>
      <c r="U542" s="358"/>
      <c r="V542" s="358"/>
      <c r="W542" s="358"/>
      <c r="X542" s="358"/>
      <c r="Y542" s="358"/>
      <c r="Z542" s="358"/>
      <c r="AA542" s="358"/>
    </row>
    <row r="543">
      <c r="A543" s="358"/>
      <c r="B543" s="358"/>
      <c r="C543" s="358"/>
      <c r="D543" s="358"/>
      <c r="E543" s="358"/>
      <c r="F543" s="358"/>
      <c r="G543" s="358"/>
      <c r="H543" s="358"/>
      <c r="I543" s="358"/>
      <c r="J543" s="358"/>
      <c r="K543" s="358"/>
      <c r="L543" s="358"/>
      <c r="M543" s="358"/>
      <c r="N543" s="358"/>
      <c r="O543" s="358"/>
      <c r="P543" s="358"/>
      <c r="Q543" s="358"/>
      <c r="R543" s="358"/>
      <c r="S543" s="358"/>
      <c r="T543" s="358"/>
      <c r="U543" s="358"/>
      <c r="V543" s="358"/>
      <c r="W543" s="358"/>
      <c r="X543" s="358"/>
      <c r="Y543" s="358"/>
      <c r="Z543" s="358"/>
      <c r="AA543" s="358"/>
    </row>
    <row r="544">
      <c r="A544" s="358"/>
      <c r="B544" s="358"/>
      <c r="C544" s="358"/>
      <c r="D544" s="358"/>
      <c r="E544" s="358"/>
      <c r="F544" s="358"/>
      <c r="G544" s="358"/>
      <c r="H544" s="358"/>
      <c r="I544" s="358"/>
      <c r="J544" s="358"/>
      <c r="K544" s="358"/>
      <c r="L544" s="358"/>
      <c r="M544" s="358"/>
      <c r="N544" s="358"/>
      <c r="O544" s="358"/>
      <c r="P544" s="358"/>
      <c r="Q544" s="358"/>
      <c r="R544" s="358"/>
      <c r="S544" s="358"/>
      <c r="T544" s="358"/>
      <c r="U544" s="358"/>
      <c r="V544" s="358"/>
      <c r="W544" s="358"/>
      <c r="X544" s="358"/>
      <c r="Y544" s="358"/>
      <c r="Z544" s="358"/>
      <c r="AA544" s="358"/>
    </row>
    <row r="545">
      <c r="A545" s="358"/>
      <c r="B545" s="358"/>
      <c r="C545" s="358"/>
      <c r="D545" s="358"/>
      <c r="E545" s="358"/>
      <c r="F545" s="358"/>
      <c r="G545" s="358"/>
      <c r="H545" s="358"/>
      <c r="I545" s="358"/>
      <c r="J545" s="358"/>
      <c r="K545" s="358"/>
      <c r="L545" s="358"/>
      <c r="M545" s="358"/>
      <c r="N545" s="358"/>
      <c r="O545" s="358"/>
      <c r="P545" s="358"/>
      <c r="Q545" s="358"/>
      <c r="R545" s="358"/>
      <c r="S545" s="358"/>
      <c r="T545" s="358"/>
      <c r="U545" s="358"/>
      <c r="V545" s="358"/>
      <c r="W545" s="358"/>
      <c r="X545" s="358"/>
      <c r="Y545" s="358"/>
      <c r="Z545" s="358"/>
      <c r="AA545" s="358"/>
    </row>
    <row r="546">
      <c r="A546" s="358"/>
      <c r="B546" s="358"/>
      <c r="C546" s="358"/>
      <c r="D546" s="358"/>
      <c r="E546" s="358"/>
      <c r="F546" s="358"/>
      <c r="G546" s="358"/>
      <c r="H546" s="358"/>
      <c r="I546" s="358"/>
      <c r="J546" s="358"/>
      <c r="K546" s="358"/>
      <c r="L546" s="358"/>
      <c r="M546" s="358"/>
      <c r="N546" s="358"/>
      <c r="O546" s="358"/>
      <c r="P546" s="358"/>
      <c r="Q546" s="358"/>
      <c r="R546" s="358"/>
      <c r="S546" s="358"/>
      <c r="T546" s="358"/>
      <c r="U546" s="358"/>
      <c r="V546" s="358"/>
      <c r="W546" s="358"/>
      <c r="X546" s="358"/>
      <c r="Y546" s="358"/>
      <c r="Z546" s="358"/>
      <c r="AA546" s="358"/>
    </row>
    <row r="547">
      <c r="A547" s="358"/>
      <c r="B547" s="358"/>
      <c r="C547" s="358"/>
      <c r="D547" s="358"/>
      <c r="E547" s="358"/>
      <c r="F547" s="358"/>
      <c r="G547" s="358"/>
      <c r="H547" s="358"/>
      <c r="I547" s="358"/>
      <c r="J547" s="358"/>
      <c r="K547" s="358"/>
      <c r="L547" s="358"/>
      <c r="M547" s="358"/>
      <c r="N547" s="358"/>
      <c r="O547" s="358"/>
      <c r="P547" s="358"/>
      <c r="Q547" s="358"/>
      <c r="R547" s="358"/>
      <c r="S547" s="358"/>
      <c r="T547" s="358"/>
      <c r="U547" s="358"/>
      <c r="V547" s="358"/>
      <c r="W547" s="358"/>
      <c r="X547" s="358"/>
      <c r="Y547" s="358"/>
      <c r="Z547" s="358"/>
      <c r="AA547" s="358"/>
    </row>
    <row r="548">
      <c r="A548" s="358"/>
      <c r="B548" s="358"/>
      <c r="C548" s="358"/>
      <c r="D548" s="358"/>
      <c r="E548" s="358"/>
      <c r="F548" s="358"/>
      <c r="G548" s="358"/>
      <c r="H548" s="358"/>
      <c r="I548" s="358"/>
      <c r="J548" s="358"/>
      <c r="K548" s="358"/>
      <c r="L548" s="358"/>
      <c r="M548" s="358"/>
      <c r="N548" s="358"/>
      <c r="O548" s="358"/>
      <c r="P548" s="358"/>
      <c r="Q548" s="358"/>
      <c r="R548" s="358"/>
      <c r="S548" s="358"/>
      <c r="T548" s="358"/>
      <c r="U548" s="358"/>
      <c r="V548" s="358"/>
      <c r="W548" s="358"/>
      <c r="X548" s="358"/>
      <c r="Y548" s="358"/>
      <c r="Z548" s="358"/>
      <c r="AA548" s="358"/>
    </row>
    <row r="549">
      <c r="A549" s="358"/>
      <c r="B549" s="358"/>
      <c r="C549" s="358"/>
      <c r="D549" s="358"/>
      <c r="E549" s="358"/>
      <c r="F549" s="358"/>
      <c r="G549" s="358"/>
      <c r="H549" s="358"/>
      <c r="I549" s="358"/>
      <c r="J549" s="358"/>
      <c r="K549" s="358"/>
      <c r="L549" s="358"/>
      <c r="M549" s="358"/>
      <c r="N549" s="358"/>
      <c r="O549" s="358"/>
      <c r="P549" s="358"/>
      <c r="Q549" s="358"/>
      <c r="R549" s="358"/>
      <c r="S549" s="358"/>
      <c r="T549" s="358"/>
      <c r="U549" s="358"/>
      <c r="V549" s="358"/>
      <c r="W549" s="358"/>
      <c r="X549" s="358"/>
      <c r="Y549" s="358"/>
      <c r="Z549" s="358"/>
      <c r="AA549" s="358"/>
    </row>
    <row r="550">
      <c r="A550" s="358"/>
      <c r="B550" s="358"/>
      <c r="C550" s="358"/>
      <c r="D550" s="358"/>
      <c r="E550" s="358"/>
      <c r="F550" s="358"/>
      <c r="G550" s="358"/>
      <c r="H550" s="358"/>
      <c r="I550" s="358"/>
      <c r="J550" s="358"/>
      <c r="K550" s="358"/>
      <c r="L550" s="358"/>
      <c r="M550" s="358"/>
      <c r="N550" s="358"/>
      <c r="O550" s="358"/>
      <c r="P550" s="358"/>
      <c r="Q550" s="358"/>
      <c r="R550" s="358"/>
      <c r="S550" s="358"/>
      <c r="T550" s="358"/>
      <c r="U550" s="358"/>
      <c r="V550" s="358"/>
      <c r="W550" s="358"/>
      <c r="X550" s="358"/>
      <c r="Y550" s="358"/>
      <c r="Z550" s="358"/>
      <c r="AA550" s="358"/>
    </row>
    <row r="551">
      <c r="A551" s="358"/>
      <c r="B551" s="358"/>
      <c r="C551" s="358"/>
      <c r="D551" s="358"/>
      <c r="E551" s="358"/>
      <c r="F551" s="358"/>
      <c r="G551" s="358"/>
      <c r="H551" s="358"/>
      <c r="I551" s="358"/>
      <c r="J551" s="358"/>
      <c r="K551" s="358"/>
      <c r="L551" s="358"/>
      <c r="M551" s="358"/>
      <c r="N551" s="358"/>
      <c r="O551" s="358"/>
      <c r="P551" s="358"/>
      <c r="Q551" s="358"/>
      <c r="R551" s="358"/>
      <c r="S551" s="358"/>
      <c r="T551" s="358"/>
      <c r="U551" s="358"/>
      <c r="V551" s="358"/>
      <c r="W551" s="358"/>
      <c r="X551" s="358"/>
      <c r="Y551" s="358"/>
      <c r="Z551" s="358"/>
      <c r="AA551" s="358"/>
    </row>
    <row r="552">
      <c r="A552" s="358"/>
      <c r="B552" s="358"/>
      <c r="C552" s="358"/>
      <c r="D552" s="358"/>
      <c r="E552" s="358"/>
      <c r="F552" s="358"/>
      <c r="G552" s="358"/>
      <c r="H552" s="358"/>
      <c r="I552" s="358"/>
      <c r="J552" s="358"/>
      <c r="K552" s="358"/>
      <c r="L552" s="358"/>
      <c r="M552" s="358"/>
      <c r="N552" s="358"/>
      <c r="O552" s="358"/>
      <c r="P552" s="358"/>
      <c r="Q552" s="358"/>
      <c r="R552" s="358"/>
      <c r="S552" s="358"/>
      <c r="T552" s="358"/>
      <c r="U552" s="358"/>
      <c r="V552" s="358"/>
      <c r="W552" s="358"/>
      <c r="X552" s="358"/>
      <c r="Y552" s="358"/>
      <c r="Z552" s="358"/>
      <c r="AA552" s="358"/>
    </row>
    <row r="553">
      <c r="A553" s="358"/>
      <c r="B553" s="358"/>
      <c r="C553" s="358"/>
      <c r="D553" s="358"/>
      <c r="E553" s="358"/>
      <c r="F553" s="358"/>
      <c r="G553" s="358"/>
      <c r="H553" s="358"/>
      <c r="I553" s="358"/>
      <c r="J553" s="358"/>
      <c r="K553" s="358"/>
      <c r="L553" s="358"/>
      <c r="M553" s="358"/>
      <c r="N553" s="358"/>
      <c r="O553" s="358"/>
      <c r="P553" s="358"/>
      <c r="Q553" s="358"/>
      <c r="R553" s="358"/>
      <c r="S553" s="358"/>
      <c r="T553" s="358"/>
      <c r="U553" s="358"/>
      <c r="V553" s="358"/>
      <c r="W553" s="358"/>
      <c r="X553" s="358"/>
      <c r="Y553" s="358"/>
      <c r="Z553" s="358"/>
      <c r="AA553" s="358"/>
    </row>
    <row r="554">
      <c r="A554" s="358"/>
      <c r="B554" s="358"/>
      <c r="C554" s="358"/>
      <c r="D554" s="358"/>
      <c r="E554" s="358"/>
      <c r="F554" s="358"/>
      <c r="G554" s="358"/>
      <c r="H554" s="358"/>
      <c r="I554" s="358"/>
      <c r="J554" s="358"/>
      <c r="K554" s="358"/>
      <c r="L554" s="358"/>
      <c r="M554" s="358"/>
      <c r="N554" s="358"/>
      <c r="O554" s="358"/>
      <c r="P554" s="358"/>
      <c r="Q554" s="358"/>
      <c r="R554" s="358"/>
      <c r="S554" s="358"/>
      <c r="T554" s="358"/>
      <c r="U554" s="358"/>
      <c r="V554" s="358"/>
      <c r="W554" s="358"/>
      <c r="X554" s="358"/>
      <c r="Y554" s="358"/>
      <c r="Z554" s="358"/>
      <c r="AA554" s="358"/>
    </row>
    <row r="555">
      <c r="A555" s="358"/>
      <c r="B555" s="358"/>
      <c r="C555" s="358"/>
      <c r="D555" s="358"/>
      <c r="E555" s="358"/>
      <c r="F555" s="358"/>
      <c r="G555" s="358"/>
      <c r="H555" s="358"/>
      <c r="I555" s="358"/>
      <c r="J555" s="358"/>
      <c r="K555" s="358"/>
      <c r="L555" s="358"/>
      <c r="M555" s="358"/>
      <c r="N555" s="358"/>
      <c r="O555" s="358"/>
      <c r="P555" s="358"/>
      <c r="Q555" s="358"/>
      <c r="R555" s="358"/>
      <c r="S555" s="358"/>
      <c r="T555" s="358"/>
      <c r="U555" s="358"/>
      <c r="V555" s="358"/>
      <c r="W555" s="358"/>
      <c r="X555" s="358"/>
      <c r="Y555" s="358"/>
      <c r="Z555" s="358"/>
      <c r="AA555" s="358"/>
    </row>
    <row r="556">
      <c r="A556" s="358"/>
      <c r="B556" s="358"/>
      <c r="C556" s="358"/>
      <c r="D556" s="358"/>
      <c r="E556" s="358"/>
      <c r="F556" s="358"/>
      <c r="G556" s="358"/>
      <c r="H556" s="358"/>
      <c r="I556" s="358"/>
      <c r="J556" s="358"/>
      <c r="K556" s="358"/>
      <c r="L556" s="358"/>
      <c r="M556" s="358"/>
      <c r="N556" s="358"/>
      <c r="O556" s="358"/>
      <c r="P556" s="358"/>
      <c r="Q556" s="358"/>
      <c r="R556" s="358"/>
      <c r="S556" s="358"/>
      <c r="T556" s="358"/>
      <c r="U556" s="358"/>
      <c r="V556" s="358"/>
      <c r="W556" s="358"/>
      <c r="X556" s="358"/>
      <c r="Y556" s="358"/>
      <c r="Z556" s="358"/>
      <c r="AA556" s="358"/>
    </row>
    <row r="557">
      <c r="A557" s="358"/>
      <c r="B557" s="358"/>
      <c r="C557" s="358"/>
      <c r="D557" s="358"/>
      <c r="E557" s="358"/>
      <c r="F557" s="358"/>
      <c r="G557" s="358"/>
      <c r="H557" s="358"/>
      <c r="I557" s="358"/>
      <c r="J557" s="358"/>
      <c r="K557" s="358"/>
      <c r="L557" s="358"/>
      <c r="M557" s="358"/>
      <c r="N557" s="358"/>
      <c r="O557" s="358"/>
      <c r="P557" s="358"/>
      <c r="Q557" s="358"/>
      <c r="R557" s="358"/>
      <c r="S557" s="358"/>
      <c r="T557" s="358"/>
      <c r="U557" s="358"/>
      <c r="V557" s="358"/>
      <c r="W557" s="358"/>
      <c r="X557" s="358"/>
      <c r="Y557" s="358"/>
      <c r="Z557" s="358"/>
      <c r="AA557" s="358"/>
    </row>
    <row r="558">
      <c r="A558" s="358"/>
      <c r="B558" s="358"/>
      <c r="C558" s="358"/>
      <c r="D558" s="358"/>
      <c r="E558" s="358"/>
      <c r="F558" s="358"/>
      <c r="G558" s="358"/>
      <c r="H558" s="358"/>
      <c r="I558" s="358"/>
      <c r="J558" s="358"/>
      <c r="K558" s="358"/>
      <c r="L558" s="358"/>
      <c r="M558" s="358"/>
      <c r="N558" s="358"/>
      <c r="O558" s="358"/>
      <c r="P558" s="358"/>
      <c r="Q558" s="358"/>
      <c r="R558" s="358"/>
      <c r="S558" s="358"/>
      <c r="T558" s="358"/>
      <c r="U558" s="358"/>
      <c r="V558" s="358"/>
      <c r="W558" s="358"/>
      <c r="X558" s="358"/>
      <c r="Y558" s="358"/>
      <c r="Z558" s="358"/>
      <c r="AA558" s="358"/>
    </row>
    <row r="559">
      <c r="A559" s="358"/>
      <c r="B559" s="358"/>
      <c r="C559" s="358"/>
      <c r="D559" s="358"/>
      <c r="E559" s="358"/>
      <c r="F559" s="358"/>
      <c r="G559" s="358"/>
      <c r="H559" s="358"/>
      <c r="I559" s="358"/>
      <c r="J559" s="358"/>
      <c r="K559" s="358"/>
      <c r="L559" s="358"/>
      <c r="M559" s="358"/>
      <c r="N559" s="358"/>
      <c r="O559" s="358"/>
      <c r="P559" s="358"/>
      <c r="Q559" s="358"/>
      <c r="R559" s="358"/>
      <c r="S559" s="358"/>
      <c r="T559" s="358"/>
      <c r="U559" s="358"/>
      <c r="V559" s="358"/>
      <c r="W559" s="358"/>
      <c r="X559" s="358"/>
      <c r="Y559" s="358"/>
      <c r="Z559" s="358"/>
      <c r="AA559" s="358"/>
    </row>
    <row r="560">
      <c r="A560" s="358"/>
      <c r="B560" s="358"/>
      <c r="C560" s="358"/>
      <c r="D560" s="358"/>
      <c r="E560" s="358"/>
      <c r="F560" s="358"/>
      <c r="G560" s="358"/>
      <c r="H560" s="358"/>
      <c r="I560" s="358"/>
      <c r="J560" s="358"/>
      <c r="K560" s="358"/>
      <c r="L560" s="358"/>
      <c r="M560" s="358"/>
      <c r="N560" s="358"/>
      <c r="O560" s="358"/>
      <c r="P560" s="358"/>
      <c r="Q560" s="358"/>
      <c r="R560" s="358"/>
      <c r="S560" s="358"/>
      <c r="T560" s="358"/>
      <c r="U560" s="358"/>
      <c r="V560" s="358"/>
      <c r="W560" s="358"/>
      <c r="X560" s="358"/>
      <c r="Y560" s="358"/>
      <c r="Z560" s="358"/>
      <c r="AA560" s="358"/>
    </row>
    <row r="561">
      <c r="A561" s="358"/>
      <c r="B561" s="358"/>
      <c r="C561" s="358"/>
      <c r="D561" s="358"/>
      <c r="E561" s="358"/>
      <c r="F561" s="358"/>
      <c r="G561" s="358"/>
      <c r="H561" s="358"/>
      <c r="I561" s="358"/>
      <c r="J561" s="358"/>
      <c r="K561" s="358"/>
      <c r="L561" s="358"/>
      <c r="M561" s="358"/>
      <c r="N561" s="358"/>
      <c r="O561" s="358"/>
      <c r="P561" s="358"/>
      <c r="Q561" s="358"/>
      <c r="R561" s="358"/>
      <c r="S561" s="358"/>
      <c r="T561" s="358"/>
      <c r="U561" s="358"/>
      <c r="V561" s="358"/>
      <c r="W561" s="358"/>
      <c r="X561" s="358"/>
      <c r="Y561" s="358"/>
      <c r="Z561" s="358"/>
      <c r="AA561" s="358"/>
    </row>
    <row r="562">
      <c r="A562" s="358"/>
      <c r="B562" s="358"/>
      <c r="C562" s="358"/>
      <c r="D562" s="358"/>
      <c r="E562" s="358"/>
      <c r="F562" s="358"/>
      <c r="G562" s="358"/>
      <c r="H562" s="358"/>
      <c r="I562" s="358"/>
      <c r="J562" s="358"/>
      <c r="K562" s="358"/>
      <c r="L562" s="358"/>
      <c r="M562" s="358"/>
      <c r="N562" s="358"/>
      <c r="O562" s="358"/>
      <c r="P562" s="358"/>
      <c r="Q562" s="358"/>
      <c r="R562" s="358"/>
      <c r="S562" s="358"/>
      <c r="T562" s="358"/>
      <c r="U562" s="358"/>
      <c r="V562" s="358"/>
      <c r="W562" s="358"/>
      <c r="X562" s="358"/>
      <c r="Y562" s="358"/>
      <c r="Z562" s="358"/>
      <c r="AA562" s="358"/>
    </row>
    <row r="563">
      <c r="A563" s="358"/>
      <c r="B563" s="358"/>
      <c r="C563" s="358"/>
      <c r="D563" s="358"/>
      <c r="E563" s="358"/>
      <c r="F563" s="358"/>
      <c r="G563" s="358"/>
      <c r="H563" s="358"/>
      <c r="I563" s="358"/>
      <c r="J563" s="358"/>
      <c r="K563" s="358"/>
      <c r="L563" s="358"/>
      <c r="M563" s="358"/>
      <c r="N563" s="358"/>
      <c r="O563" s="358"/>
      <c r="P563" s="358"/>
      <c r="Q563" s="358"/>
      <c r="R563" s="358"/>
      <c r="S563" s="358"/>
      <c r="T563" s="358"/>
      <c r="U563" s="358"/>
      <c r="V563" s="358"/>
      <c r="W563" s="358"/>
      <c r="X563" s="358"/>
      <c r="Y563" s="358"/>
      <c r="Z563" s="358"/>
      <c r="AA563" s="358"/>
    </row>
    <row r="564">
      <c r="A564" s="358"/>
      <c r="B564" s="358"/>
      <c r="C564" s="358"/>
      <c r="D564" s="358"/>
      <c r="E564" s="358"/>
      <c r="F564" s="358"/>
      <c r="G564" s="358"/>
      <c r="H564" s="358"/>
      <c r="I564" s="358"/>
      <c r="J564" s="358"/>
      <c r="K564" s="358"/>
      <c r="L564" s="358"/>
      <c r="M564" s="358"/>
      <c r="N564" s="358"/>
      <c r="O564" s="358"/>
      <c r="P564" s="358"/>
      <c r="Q564" s="358"/>
      <c r="R564" s="358"/>
      <c r="S564" s="358"/>
      <c r="T564" s="358"/>
      <c r="U564" s="358"/>
      <c r="V564" s="358"/>
      <c r="W564" s="358"/>
      <c r="X564" s="358"/>
      <c r="Y564" s="358"/>
      <c r="Z564" s="358"/>
      <c r="AA564" s="358"/>
    </row>
    <row r="565">
      <c r="A565" s="358"/>
      <c r="B565" s="358"/>
      <c r="C565" s="358"/>
      <c r="D565" s="358"/>
      <c r="E565" s="358"/>
      <c r="F565" s="358"/>
      <c r="G565" s="358"/>
      <c r="H565" s="358"/>
      <c r="I565" s="358"/>
      <c r="J565" s="358"/>
      <c r="K565" s="358"/>
      <c r="L565" s="358"/>
      <c r="M565" s="358"/>
      <c r="N565" s="358"/>
      <c r="O565" s="358"/>
      <c r="P565" s="358"/>
      <c r="Q565" s="358"/>
      <c r="R565" s="358"/>
      <c r="S565" s="358"/>
      <c r="T565" s="358"/>
      <c r="U565" s="358"/>
      <c r="V565" s="358"/>
      <c r="W565" s="358"/>
      <c r="X565" s="358"/>
      <c r="Y565" s="358"/>
      <c r="Z565" s="358"/>
      <c r="AA565" s="358"/>
    </row>
    <row r="566">
      <c r="A566" s="358"/>
      <c r="B566" s="358"/>
      <c r="C566" s="358"/>
      <c r="D566" s="358"/>
      <c r="E566" s="358"/>
      <c r="F566" s="358"/>
      <c r="G566" s="358"/>
      <c r="H566" s="358"/>
      <c r="I566" s="358"/>
      <c r="J566" s="358"/>
      <c r="K566" s="358"/>
      <c r="L566" s="358"/>
      <c r="M566" s="358"/>
      <c r="N566" s="358"/>
      <c r="O566" s="358"/>
      <c r="P566" s="358"/>
      <c r="Q566" s="358"/>
      <c r="R566" s="358"/>
      <c r="S566" s="358"/>
      <c r="T566" s="358"/>
      <c r="U566" s="358"/>
      <c r="V566" s="358"/>
      <c r="W566" s="358"/>
      <c r="X566" s="358"/>
      <c r="Y566" s="358"/>
      <c r="Z566" s="358"/>
      <c r="AA566" s="358"/>
    </row>
    <row r="567">
      <c r="A567" s="358"/>
      <c r="B567" s="358"/>
      <c r="C567" s="358"/>
      <c r="D567" s="358"/>
      <c r="E567" s="358"/>
      <c r="F567" s="358"/>
      <c r="G567" s="358"/>
      <c r="H567" s="358"/>
      <c r="I567" s="358"/>
      <c r="J567" s="358"/>
      <c r="K567" s="358"/>
      <c r="L567" s="358"/>
      <c r="M567" s="358"/>
      <c r="N567" s="358"/>
      <c r="O567" s="358"/>
      <c r="P567" s="358"/>
      <c r="Q567" s="358"/>
      <c r="R567" s="358"/>
      <c r="S567" s="358"/>
      <c r="T567" s="358"/>
      <c r="U567" s="358"/>
      <c r="V567" s="358"/>
      <c r="W567" s="358"/>
      <c r="X567" s="358"/>
      <c r="Y567" s="358"/>
      <c r="Z567" s="358"/>
      <c r="AA567" s="358"/>
    </row>
    <row r="568">
      <c r="A568" s="358"/>
      <c r="B568" s="358"/>
      <c r="C568" s="358"/>
      <c r="D568" s="358"/>
      <c r="E568" s="358"/>
      <c r="F568" s="358"/>
      <c r="G568" s="358"/>
      <c r="H568" s="358"/>
      <c r="I568" s="358"/>
      <c r="J568" s="358"/>
      <c r="K568" s="358"/>
      <c r="L568" s="358"/>
      <c r="M568" s="358"/>
      <c r="N568" s="358"/>
      <c r="O568" s="358"/>
      <c r="P568" s="358"/>
      <c r="Q568" s="358"/>
      <c r="R568" s="358"/>
      <c r="S568" s="358"/>
      <c r="T568" s="358"/>
      <c r="U568" s="358"/>
      <c r="V568" s="358"/>
      <c r="W568" s="358"/>
      <c r="X568" s="358"/>
      <c r="Y568" s="358"/>
      <c r="Z568" s="358"/>
      <c r="AA568" s="358"/>
    </row>
    <row r="569">
      <c r="A569" s="358"/>
      <c r="B569" s="358"/>
      <c r="C569" s="358"/>
      <c r="D569" s="358"/>
      <c r="E569" s="358"/>
      <c r="F569" s="358"/>
      <c r="G569" s="358"/>
      <c r="H569" s="358"/>
      <c r="I569" s="358"/>
      <c r="J569" s="358"/>
      <c r="K569" s="358"/>
      <c r="L569" s="358"/>
      <c r="M569" s="358"/>
      <c r="N569" s="358"/>
      <c r="O569" s="358"/>
      <c r="P569" s="358"/>
      <c r="Q569" s="358"/>
      <c r="R569" s="358"/>
      <c r="S569" s="358"/>
      <c r="T569" s="358"/>
      <c r="U569" s="358"/>
      <c r="V569" s="358"/>
      <c r="W569" s="358"/>
      <c r="X569" s="358"/>
      <c r="Y569" s="358"/>
      <c r="Z569" s="358"/>
      <c r="AA569" s="358"/>
    </row>
    <row r="570">
      <c r="A570" s="358"/>
      <c r="B570" s="358"/>
      <c r="C570" s="358"/>
      <c r="D570" s="358"/>
      <c r="E570" s="358"/>
      <c r="F570" s="358"/>
      <c r="G570" s="358"/>
      <c r="H570" s="358"/>
      <c r="I570" s="358"/>
      <c r="J570" s="358"/>
      <c r="K570" s="358"/>
      <c r="L570" s="358"/>
      <c r="M570" s="358"/>
      <c r="N570" s="358"/>
      <c r="O570" s="358"/>
      <c r="P570" s="358"/>
      <c r="Q570" s="358"/>
      <c r="R570" s="358"/>
      <c r="S570" s="358"/>
      <c r="T570" s="358"/>
      <c r="U570" s="358"/>
      <c r="V570" s="358"/>
      <c r="W570" s="358"/>
      <c r="X570" s="358"/>
      <c r="Y570" s="358"/>
      <c r="Z570" s="358"/>
      <c r="AA570" s="358"/>
    </row>
    <row r="571">
      <c r="A571" s="358"/>
      <c r="B571" s="358"/>
      <c r="C571" s="358"/>
      <c r="D571" s="358"/>
      <c r="E571" s="358"/>
      <c r="F571" s="358"/>
      <c r="G571" s="358"/>
      <c r="H571" s="358"/>
      <c r="I571" s="358"/>
      <c r="J571" s="358"/>
      <c r="K571" s="358"/>
      <c r="L571" s="358"/>
      <c r="M571" s="358"/>
      <c r="N571" s="358"/>
      <c r="O571" s="358"/>
      <c r="P571" s="358"/>
      <c r="Q571" s="358"/>
      <c r="R571" s="358"/>
      <c r="S571" s="358"/>
      <c r="T571" s="358"/>
      <c r="U571" s="358"/>
      <c r="V571" s="358"/>
      <c r="W571" s="358"/>
      <c r="X571" s="358"/>
      <c r="Y571" s="358"/>
      <c r="Z571" s="358"/>
      <c r="AA571" s="358"/>
    </row>
    <row r="572">
      <c r="A572" s="358"/>
      <c r="B572" s="358"/>
      <c r="C572" s="358"/>
      <c r="D572" s="358"/>
      <c r="E572" s="358"/>
      <c r="F572" s="358"/>
      <c r="G572" s="358"/>
      <c r="H572" s="358"/>
      <c r="I572" s="358"/>
      <c r="J572" s="358"/>
      <c r="K572" s="358"/>
      <c r="L572" s="358"/>
      <c r="M572" s="358"/>
      <c r="N572" s="358"/>
      <c r="O572" s="358"/>
      <c r="P572" s="358"/>
      <c r="Q572" s="358"/>
      <c r="R572" s="358"/>
      <c r="S572" s="358"/>
      <c r="T572" s="358"/>
      <c r="U572" s="358"/>
      <c r="V572" s="358"/>
      <c r="W572" s="358"/>
      <c r="X572" s="358"/>
      <c r="Y572" s="358"/>
      <c r="Z572" s="358"/>
      <c r="AA572" s="358"/>
    </row>
    <row r="573">
      <c r="A573" s="358"/>
      <c r="B573" s="358"/>
      <c r="C573" s="358"/>
      <c r="D573" s="358"/>
      <c r="E573" s="358"/>
      <c r="F573" s="358"/>
      <c r="G573" s="358"/>
      <c r="H573" s="358"/>
      <c r="I573" s="358"/>
      <c r="J573" s="358"/>
      <c r="K573" s="358"/>
      <c r="L573" s="358"/>
      <c r="M573" s="358"/>
      <c r="N573" s="358"/>
      <c r="O573" s="358"/>
      <c r="P573" s="358"/>
      <c r="Q573" s="358"/>
      <c r="R573" s="358"/>
      <c r="S573" s="358"/>
      <c r="T573" s="358"/>
      <c r="U573" s="358"/>
      <c r="V573" s="358"/>
      <c r="W573" s="358"/>
      <c r="X573" s="358"/>
      <c r="Y573" s="358"/>
      <c r="Z573" s="358"/>
      <c r="AA573" s="358"/>
    </row>
    <row r="574">
      <c r="A574" s="358"/>
      <c r="B574" s="358"/>
      <c r="C574" s="358"/>
      <c r="D574" s="358"/>
      <c r="E574" s="358"/>
      <c r="F574" s="358"/>
      <c r="G574" s="358"/>
      <c r="H574" s="358"/>
      <c r="I574" s="358"/>
      <c r="J574" s="358"/>
      <c r="K574" s="358"/>
      <c r="L574" s="358"/>
      <c r="M574" s="358"/>
      <c r="N574" s="358"/>
      <c r="O574" s="358"/>
      <c r="P574" s="358"/>
      <c r="Q574" s="358"/>
      <c r="R574" s="358"/>
      <c r="S574" s="358"/>
      <c r="T574" s="358"/>
      <c r="U574" s="358"/>
      <c r="V574" s="358"/>
      <c r="W574" s="358"/>
      <c r="X574" s="358"/>
      <c r="Y574" s="358"/>
      <c r="Z574" s="358"/>
      <c r="AA574" s="358"/>
    </row>
    <row r="575">
      <c r="A575" s="358"/>
      <c r="B575" s="358"/>
      <c r="C575" s="358"/>
      <c r="D575" s="358"/>
      <c r="E575" s="358"/>
      <c r="F575" s="358"/>
      <c r="G575" s="358"/>
      <c r="H575" s="358"/>
      <c r="I575" s="358"/>
      <c r="J575" s="358"/>
      <c r="K575" s="358"/>
      <c r="L575" s="358"/>
      <c r="M575" s="358"/>
      <c r="N575" s="358"/>
      <c r="O575" s="358"/>
      <c r="P575" s="358"/>
      <c r="Q575" s="358"/>
      <c r="R575" s="358"/>
      <c r="S575" s="358"/>
      <c r="T575" s="358"/>
      <c r="U575" s="358"/>
      <c r="V575" s="358"/>
      <c r="W575" s="358"/>
      <c r="X575" s="358"/>
      <c r="Y575" s="358"/>
      <c r="Z575" s="358"/>
      <c r="AA575" s="358"/>
    </row>
    <row r="576">
      <c r="A576" s="358"/>
      <c r="B576" s="358"/>
      <c r="C576" s="358"/>
      <c r="D576" s="358"/>
      <c r="E576" s="358"/>
      <c r="F576" s="358"/>
      <c r="G576" s="358"/>
      <c r="H576" s="358"/>
      <c r="I576" s="358"/>
      <c r="J576" s="358"/>
      <c r="K576" s="358"/>
      <c r="L576" s="358"/>
      <c r="M576" s="358"/>
      <c r="N576" s="358"/>
      <c r="O576" s="358"/>
      <c r="P576" s="358"/>
      <c r="Q576" s="358"/>
      <c r="R576" s="358"/>
      <c r="S576" s="358"/>
      <c r="T576" s="358"/>
      <c r="U576" s="358"/>
      <c r="V576" s="358"/>
      <c r="W576" s="358"/>
      <c r="X576" s="358"/>
      <c r="Y576" s="358"/>
      <c r="Z576" s="358"/>
      <c r="AA576" s="358"/>
    </row>
    <row r="577">
      <c r="A577" s="358"/>
      <c r="B577" s="358"/>
      <c r="C577" s="358"/>
      <c r="D577" s="358"/>
      <c r="E577" s="358"/>
      <c r="F577" s="358"/>
      <c r="G577" s="358"/>
      <c r="H577" s="358"/>
      <c r="I577" s="358"/>
      <c r="J577" s="358"/>
      <c r="K577" s="358"/>
      <c r="L577" s="358"/>
      <c r="M577" s="358"/>
      <c r="N577" s="358"/>
      <c r="O577" s="358"/>
      <c r="P577" s="358"/>
      <c r="Q577" s="358"/>
      <c r="R577" s="358"/>
      <c r="S577" s="358"/>
      <c r="T577" s="358"/>
      <c r="U577" s="358"/>
      <c r="V577" s="358"/>
      <c r="W577" s="358"/>
      <c r="X577" s="358"/>
      <c r="Y577" s="358"/>
      <c r="Z577" s="358"/>
      <c r="AA577" s="358"/>
    </row>
    <row r="578">
      <c r="A578" s="358"/>
      <c r="B578" s="358"/>
      <c r="C578" s="358"/>
      <c r="D578" s="358"/>
      <c r="E578" s="358"/>
      <c r="F578" s="358"/>
      <c r="G578" s="358"/>
      <c r="H578" s="358"/>
      <c r="I578" s="358"/>
      <c r="J578" s="358"/>
      <c r="K578" s="358"/>
      <c r="L578" s="358"/>
      <c r="M578" s="358"/>
      <c r="N578" s="358"/>
      <c r="O578" s="358"/>
      <c r="P578" s="358"/>
      <c r="Q578" s="358"/>
      <c r="R578" s="358"/>
      <c r="S578" s="358"/>
      <c r="T578" s="358"/>
      <c r="U578" s="358"/>
      <c r="V578" s="358"/>
      <c r="W578" s="358"/>
      <c r="X578" s="358"/>
      <c r="Y578" s="358"/>
      <c r="Z578" s="358"/>
      <c r="AA578" s="358"/>
    </row>
    <row r="579">
      <c r="A579" s="358"/>
      <c r="B579" s="358"/>
      <c r="C579" s="358"/>
      <c r="D579" s="358"/>
      <c r="E579" s="358"/>
      <c r="F579" s="358"/>
      <c r="G579" s="358"/>
      <c r="H579" s="358"/>
      <c r="I579" s="358"/>
      <c r="J579" s="358"/>
      <c r="K579" s="358"/>
      <c r="L579" s="358"/>
      <c r="M579" s="358"/>
      <c r="N579" s="358"/>
      <c r="O579" s="358"/>
      <c r="P579" s="358"/>
      <c r="Q579" s="358"/>
      <c r="R579" s="358"/>
      <c r="S579" s="358"/>
      <c r="T579" s="358"/>
      <c r="U579" s="358"/>
      <c r="V579" s="358"/>
      <c r="W579" s="358"/>
      <c r="X579" s="358"/>
      <c r="Y579" s="358"/>
      <c r="Z579" s="358"/>
      <c r="AA579" s="358"/>
    </row>
    <row r="580">
      <c r="A580" s="358"/>
      <c r="B580" s="358"/>
      <c r="C580" s="358"/>
      <c r="D580" s="358"/>
      <c r="E580" s="358"/>
      <c r="F580" s="358"/>
      <c r="G580" s="358"/>
      <c r="H580" s="358"/>
      <c r="I580" s="358"/>
      <c r="J580" s="358"/>
      <c r="K580" s="358"/>
      <c r="L580" s="358"/>
      <c r="M580" s="358"/>
      <c r="N580" s="358"/>
      <c r="O580" s="358"/>
      <c r="P580" s="358"/>
      <c r="Q580" s="358"/>
      <c r="R580" s="358"/>
      <c r="S580" s="358"/>
      <c r="T580" s="358"/>
      <c r="U580" s="358"/>
      <c r="V580" s="358"/>
      <c r="W580" s="358"/>
      <c r="X580" s="358"/>
      <c r="Y580" s="358"/>
      <c r="Z580" s="358"/>
      <c r="AA580" s="358"/>
    </row>
    <row r="581">
      <c r="A581" s="358"/>
      <c r="B581" s="358"/>
      <c r="C581" s="358"/>
      <c r="D581" s="358"/>
      <c r="E581" s="358"/>
      <c r="F581" s="358"/>
      <c r="G581" s="358"/>
      <c r="H581" s="358"/>
      <c r="I581" s="358"/>
      <c r="J581" s="358"/>
      <c r="K581" s="358"/>
      <c r="L581" s="358"/>
      <c r="M581" s="358"/>
      <c r="N581" s="358"/>
      <c r="O581" s="358"/>
      <c r="P581" s="358"/>
      <c r="Q581" s="358"/>
      <c r="R581" s="358"/>
      <c r="S581" s="358"/>
      <c r="T581" s="358"/>
      <c r="U581" s="358"/>
      <c r="V581" s="358"/>
      <c r="W581" s="358"/>
      <c r="X581" s="358"/>
      <c r="Y581" s="358"/>
      <c r="Z581" s="358"/>
      <c r="AA581" s="358"/>
    </row>
    <row r="582">
      <c r="A582" s="358"/>
      <c r="B582" s="358"/>
      <c r="C582" s="358"/>
      <c r="D582" s="358"/>
      <c r="E582" s="358"/>
      <c r="F582" s="358"/>
      <c r="G582" s="358"/>
      <c r="H582" s="358"/>
      <c r="I582" s="358"/>
      <c r="J582" s="358"/>
      <c r="K582" s="358"/>
      <c r="L582" s="358"/>
      <c r="M582" s="358"/>
      <c r="N582" s="358"/>
      <c r="O582" s="358"/>
      <c r="P582" s="358"/>
      <c r="Q582" s="358"/>
      <c r="R582" s="358"/>
      <c r="S582" s="358"/>
      <c r="T582" s="358"/>
      <c r="U582" s="358"/>
      <c r="V582" s="358"/>
      <c r="W582" s="358"/>
      <c r="X582" s="358"/>
      <c r="Y582" s="358"/>
      <c r="Z582" s="358"/>
      <c r="AA582" s="358"/>
    </row>
    <row r="583">
      <c r="A583" s="358"/>
      <c r="B583" s="358"/>
      <c r="C583" s="358"/>
      <c r="D583" s="358"/>
      <c r="E583" s="358"/>
      <c r="F583" s="358"/>
      <c r="G583" s="358"/>
      <c r="H583" s="358"/>
      <c r="I583" s="358"/>
      <c r="J583" s="358"/>
      <c r="K583" s="358"/>
      <c r="L583" s="358"/>
      <c r="M583" s="358"/>
      <c r="N583" s="358"/>
      <c r="O583" s="358"/>
      <c r="P583" s="358"/>
      <c r="Q583" s="358"/>
      <c r="R583" s="358"/>
      <c r="S583" s="358"/>
      <c r="T583" s="358"/>
      <c r="U583" s="358"/>
      <c r="V583" s="358"/>
      <c r="W583" s="358"/>
      <c r="X583" s="358"/>
      <c r="Y583" s="358"/>
      <c r="Z583" s="358"/>
      <c r="AA583" s="358"/>
    </row>
    <row r="584">
      <c r="A584" s="358"/>
      <c r="B584" s="358"/>
      <c r="C584" s="358"/>
      <c r="D584" s="358"/>
      <c r="E584" s="358"/>
      <c r="F584" s="358"/>
      <c r="G584" s="358"/>
      <c r="H584" s="358"/>
      <c r="I584" s="358"/>
      <c r="J584" s="358"/>
      <c r="K584" s="358"/>
      <c r="L584" s="358"/>
      <c r="M584" s="358"/>
      <c r="N584" s="358"/>
      <c r="O584" s="358"/>
      <c r="P584" s="358"/>
      <c r="Q584" s="358"/>
      <c r="R584" s="358"/>
      <c r="S584" s="358"/>
      <c r="T584" s="358"/>
      <c r="U584" s="358"/>
      <c r="V584" s="358"/>
      <c r="W584" s="358"/>
      <c r="X584" s="358"/>
      <c r="Y584" s="358"/>
      <c r="Z584" s="358"/>
      <c r="AA584" s="358"/>
    </row>
    <row r="585">
      <c r="A585" s="358"/>
      <c r="B585" s="358"/>
      <c r="C585" s="358"/>
      <c r="D585" s="358"/>
      <c r="E585" s="358"/>
      <c r="F585" s="358"/>
      <c r="G585" s="358"/>
      <c r="H585" s="358"/>
      <c r="I585" s="358"/>
      <c r="J585" s="358"/>
      <c r="K585" s="358"/>
      <c r="L585" s="358"/>
      <c r="M585" s="358"/>
      <c r="N585" s="358"/>
      <c r="O585" s="358"/>
      <c r="P585" s="358"/>
      <c r="Q585" s="358"/>
      <c r="R585" s="358"/>
      <c r="S585" s="358"/>
      <c r="T585" s="358"/>
      <c r="U585" s="358"/>
      <c r="V585" s="358"/>
      <c r="W585" s="358"/>
      <c r="X585" s="358"/>
      <c r="Y585" s="358"/>
      <c r="Z585" s="358"/>
      <c r="AA585" s="358"/>
    </row>
    <row r="586">
      <c r="A586" s="358"/>
      <c r="B586" s="358"/>
      <c r="C586" s="358"/>
      <c r="D586" s="358"/>
      <c r="E586" s="358"/>
      <c r="F586" s="358"/>
      <c r="G586" s="358"/>
      <c r="H586" s="358"/>
      <c r="I586" s="358"/>
      <c r="J586" s="358"/>
      <c r="K586" s="358"/>
      <c r="L586" s="358"/>
      <c r="M586" s="358"/>
      <c r="N586" s="358"/>
      <c r="O586" s="358"/>
      <c r="P586" s="358"/>
      <c r="Q586" s="358"/>
      <c r="R586" s="358"/>
      <c r="S586" s="358"/>
      <c r="T586" s="358"/>
      <c r="U586" s="358"/>
      <c r="V586" s="358"/>
      <c r="W586" s="358"/>
      <c r="X586" s="358"/>
      <c r="Y586" s="358"/>
      <c r="Z586" s="358"/>
      <c r="AA586" s="358"/>
    </row>
    <row r="587">
      <c r="A587" s="358"/>
      <c r="B587" s="358"/>
      <c r="C587" s="358"/>
      <c r="D587" s="358"/>
      <c r="E587" s="358"/>
      <c r="F587" s="358"/>
      <c r="G587" s="358"/>
      <c r="H587" s="358"/>
      <c r="I587" s="358"/>
      <c r="J587" s="358"/>
      <c r="K587" s="358"/>
      <c r="L587" s="358"/>
      <c r="M587" s="358"/>
      <c r="N587" s="358"/>
      <c r="O587" s="358"/>
      <c r="P587" s="358"/>
      <c r="Q587" s="358"/>
      <c r="R587" s="358"/>
      <c r="S587" s="358"/>
      <c r="T587" s="358"/>
      <c r="U587" s="358"/>
      <c r="V587" s="358"/>
      <c r="W587" s="358"/>
      <c r="X587" s="358"/>
      <c r="Y587" s="358"/>
      <c r="Z587" s="358"/>
      <c r="AA587" s="358"/>
    </row>
    <row r="588">
      <c r="A588" s="358"/>
      <c r="B588" s="358"/>
      <c r="C588" s="358"/>
      <c r="D588" s="358"/>
      <c r="E588" s="358"/>
      <c r="F588" s="358"/>
      <c r="G588" s="358"/>
      <c r="H588" s="358"/>
      <c r="I588" s="358"/>
      <c r="J588" s="358"/>
      <c r="K588" s="358"/>
      <c r="L588" s="358"/>
      <c r="M588" s="358"/>
      <c r="N588" s="358"/>
      <c r="O588" s="358"/>
      <c r="P588" s="358"/>
      <c r="Q588" s="358"/>
      <c r="R588" s="358"/>
      <c r="S588" s="358"/>
      <c r="T588" s="358"/>
      <c r="U588" s="358"/>
      <c r="V588" s="358"/>
      <c r="W588" s="358"/>
      <c r="X588" s="358"/>
      <c r="Y588" s="358"/>
      <c r="Z588" s="358"/>
      <c r="AA588" s="358"/>
    </row>
    <row r="589">
      <c r="A589" s="358"/>
      <c r="B589" s="358"/>
      <c r="C589" s="358"/>
      <c r="D589" s="358"/>
      <c r="E589" s="358"/>
      <c r="F589" s="358"/>
      <c r="G589" s="358"/>
      <c r="H589" s="358"/>
      <c r="I589" s="358"/>
      <c r="J589" s="358"/>
      <c r="K589" s="358"/>
      <c r="L589" s="358"/>
      <c r="M589" s="358"/>
      <c r="N589" s="358"/>
      <c r="O589" s="358"/>
      <c r="P589" s="358"/>
      <c r="Q589" s="358"/>
      <c r="R589" s="358"/>
      <c r="S589" s="358"/>
      <c r="T589" s="358"/>
      <c r="U589" s="358"/>
      <c r="V589" s="358"/>
      <c r="W589" s="358"/>
      <c r="X589" s="358"/>
      <c r="Y589" s="358"/>
      <c r="Z589" s="358"/>
      <c r="AA589" s="358"/>
    </row>
    <row r="590">
      <c r="A590" s="358"/>
      <c r="B590" s="358"/>
      <c r="C590" s="358"/>
      <c r="D590" s="358"/>
      <c r="E590" s="358"/>
      <c r="F590" s="358"/>
      <c r="G590" s="358"/>
      <c r="H590" s="358"/>
      <c r="I590" s="358"/>
      <c r="J590" s="358"/>
      <c r="K590" s="358"/>
      <c r="L590" s="358"/>
      <c r="M590" s="358"/>
      <c r="N590" s="358"/>
      <c r="O590" s="358"/>
      <c r="P590" s="358"/>
      <c r="Q590" s="358"/>
      <c r="R590" s="358"/>
      <c r="S590" s="358"/>
      <c r="T590" s="358"/>
      <c r="U590" s="358"/>
      <c r="V590" s="358"/>
      <c r="W590" s="358"/>
      <c r="X590" s="358"/>
      <c r="Y590" s="358"/>
      <c r="Z590" s="358"/>
      <c r="AA590" s="358"/>
    </row>
    <row r="591">
      <c r="A591" s="358"/>
      <c r="B591" s="358"/>
      <c r="C591" s="358"/>
      <c r="D591" s="358"/>
      <c r="E591" s="358"/>
      <c r="F591" s="358"/>
      <c r="G591" s="358"/>
      <c r="H591" s="358"/>
      <c r="I591" s="358"/>
      <c r="J591" s="358"/>
      <c r="K591" s="358"/>
      <c r="L591" s="358"/>
      <c r="M591" s="358"/>
      <c r="N591" s="358"/>
      <c r="O591" s="358"/>
      <c r="P591" s="358"/>
      <c r="Q591" s="358"/>
      <c r="R591" s="358"/>
      <c r="S591" s="358"/>
      <c r="T591" s="358"/>
      <c r="U591" s="358"/>
      <c r="V591" s="358"/>
      <c r="W591" s="358"/>
      <c r="X591" s="358"/>
      <c r="Y591" s="358"/>
      <c r="Z591" s="358"/>
      <c r="AA591" s="358"/>
    </row>
    <row r="592">
      <c r="A592" s="358"/>
      <c r="B592" s="358"/>
      <c r="C592" s="358"/>
      <c r="D592" s="358"/>
      <c r="E592" s="358"/>
      <c r="F592" s="358"/>
      <c r="G592" s="358"/>
      <c r="H592" s="358"/>
      <c r="I592" s="358"/>
      <c r="J592" s="358"/>
      <c r="K592" s="358"/>
      <c r="L592" s="358"/>
      <c r="M592" s="358"/>
      <c r="N592" s="358"/>
      <c r="O592" s="358"/>
      <c r="P592" s="358"/>
      <c r="Q592" s="358"/>
      <c r="R592" s="358"/>
      <c r="S592" s="358"/>
      <c r="T592" s="358"/>
      <c r="U592" s="358"/>
      <c r="V592" s="358"/>
      <c r="W592" s="358"/>
      <c r="X592" s="358"/>
      <c r="Y592" s="358"/>
      <c r="Z592" s="358"/>
      <c r="AA592" s="358"/>
    </row>
    <row r="593">
      <c r="A593" s="358"/>
      <c r="B593" s="358"/>
      <c r="C593" s="358"/>
      <c r="D593" s="358"/>
      <c r="E593" s="358"/>
      <c r="F593" s="358"/>
      <c r="G593" s="358"/>
      <c r="H593" s="358"/>
      <c r="I593" s="358"/>
      <c r="J593" s="358"/>
      <c r="K593" s="358"/>
      <c r="L593" s="358"/>
      <c r="M593" s="358"/>
      <c r="N593" s="358"/>
      <c r="O593" s="358"/>
      <c r="P593" s="358"/>
      <c r="Q593" s="358"/>
      <c r="R593" s="358"/>
      <c r="S593" s="358"/>
      <c r="T593" s="358"/>
      <c r="U593" s="358"/>
      <c r="V593" s="358"/>
      <c r="W593" s="358"/>
      <c r="X593" s="358"/>
      <c r="Y593" s="358"/>
      <c r="Z593" s="358"/>
      <c r="AA593" s="358"/>
    </row>
    <row r="594">
      <c r="A594" s="358"/>
      <c r="B594" s="358"/>
      <c r="C594" s="358"/>
      <c r="D594" s="358"/>
      <c r="E594" s="358"/>
      <c r="F594" s="358"/>
      <c r="G594" s="358"/>
      <c r="H594" s="358"/>
      <c r="I594" s="358"/>
      <c r="J594" s="358"/>
      <c r="K594" s="358"/>
      <c r="L594" s="358"/>
      <c r="M594" s="358"/>
      <c r="N594" s="358"/>
      <c r="O594" s="358"/>
      <c r="P594" s="358"/>
      <c r="Q594" s="358"/>
      <c r="R594" s="358"/>
      <c r="S594" s="358"/>
      <c r="T594" s="358"/>
      <c r="U594" s="358"/>
      <c r="V594" s="358"/>
      <c r="W594" s="358"/>
      <c r="X594" s="358"/>
      <c r="Y594" s="358"/>
      <c r="Z594" s="358"/>
      <c r="AA594" s="358"/>
    </row>
    <row r="595">
      <c r="A595" s="358"/>
      <c r="B595" s="358"/>
      <c r="C595" s="358"/>
      <c r="D595" s="358"/>
      <c r="E595" s="358"/>
      <c r="F595" s="358"/>
      <c r="G595" s="358"/>
      <c r="H595" s="358"/>
      <c r="I595" s="358"/>
      <c r="J595" s="358"/>
      <c r="K595" s="358"/>
      <c r="L595" s="358"/>
      <c r="M595" s="358"/>
      <c r="N595" s="358"/>
      <c r="O595" s="358"/>
      <c r="P595" s="358"/>
      <c r="Q595" s="358"/>
      <c r="R595" s="358"/>
      <c r="S595" s="358"/>
      <c r="T595" s="358"/>
      <c r="U595" s="358"/>
      <c r="V595" s="358"/>
      <c r="W595" s="358"/>
      <c r="X595" s="358"/>
      <c r="Y595" s="358"/>
      <c r="Z595" s="358"/>
      <c r="AA595" s="358"/>
    </row>
    <row r="596">
      <c r="A596" s="358"/>
      <c r="B596" s="358"/>
      <c r="C596" s="358"/>
      <c r="D596" s="358"/>
      <c r="E596" s="358"/>
      <c r="F596" s="358"/>
      <c r="G596" s="358"/>
      <c r="H596" s="358"/>
      <c r="I596" s="358"/>
      <c r="J596" s="358"/>
      <c r="K596" s="358"/>
      <c r="L596" s="358"/>
      <c r="M596" s="358"/>
      <c r="N596" s="358"/>
      <c r="O596" s="358"/>
      <c r="P596" s="358"/>
      <c r="Q596" s="358"/>
      <c r="R596" s="358"/>
      <c r="S596" s="358"/>
      <c r="T596" s="358"/>
      <c r="U596" s="358"/>
      <c r="V596" s="358"/>
      <c r="W596" s="358"/>
      <c r="X596" s="358"/>
      <c r="Y596" s="358"/>
      <c r="Z596" s="358"/>
      <c r="AA596" s="358"/>
    </row>
    <row r="597">
      <c r="A597" s="358"/>
      <c r="B597" s="358"/>
      <c r="C597" s="358"/>
      <c r="D597" s="358"/>
      <c r="E597" s="358"/>
      <c r="F597" s="358"/>
      <c r="G597" s="358"/>
      <c r="H597" s="358"/>
      <c r="I597" s="358"/>
      <c r="J597" s="358"/>
      <c r="K597" s="358"/>
      <c r="L597" s="358"/>
      <c r="M597" s="358"/>
      <c r="N597" s="358"/>
      <c r="O597" s="358"/>
      <c r="P597" s="358"/>
      <c r="Q597" s="358"/>
      <c r="R597" s="358"/>
      <c r="S597" s="358"/>
      <c r="T597" s="358"/>
      <c r="U597" s="358"/>
      <c r="V597" s="358"/>
      <c r="W597" s="358"/>
      <c r="X597" s="358"/>
      <c r="Y597" s="358"/>
      <c r="Z597" s="358"/>
      <c r="AA597" s="358"/>
    </row>
    <row r="598">
      <c r="A598" s="358"/>
      <c r="B598" s="358"/>
      <c r="C598" s="358"/>
      <c r="D598" s="358"/>
      <c r="E598" s="358"/>
      <c r="F598" s="358"/>
      <c r="G598" s="358"/>
      <c r="H598" s="358"/>
      <c r="I598" s="358"/>
      <c r="J598" s="358"/>
      <c r="K598" s="358"/>
      <c r="L598" s="358"/>
      <c r="M598" s="358"/>
      <c r="N598" s="358"/>
      <c r="O598" s="358"/>
      <c r="P598" s="358"/>
      <c r="Q598" s="358"/>
      <c r="R598" s="358"/>
      <c r="S598" s="358"/>
      <c r="T598" s="358"/>
      <c r="U598" s="358"/>
      <c r="V598" s="358"/>
      <c r="W598" s="358"/>
      <c r="X598" s="358"/>
      <c r="Y598" s="358"/>
      <c r="Z598" s="358"/>
      <c r="AA598" s="358"/>
    </row>
    <row r="599">
      <c r="A599" s="358"/>
      <c r="B599" s="358"/>
      <c r="C599" s="358"/>
      <c r="D599" s="358"/>
      <c r="E599" s="358"/>
      <c r="F599" s="358"/>
      <c r="G599" s="358"/>
      <c r="H599" s="358"/>
      <c r="I599" s="358"/>
      <c r="J599" s="358"/>
      <c r="K599" s="358"/>
      <c r="L599" s="358"/>
      <c r="M599" s="358"/>
      <c r="N599" s="358"/>
      <c r="O599" s="358"/>
      <c r="P599" s="358"/>
      <c r="Q599" s="358"/>
      <c r="R599" s="358"/>
      <c r="S599" s="358"/>
      <c r="T599" s="358"/>
      <c r="U599" s="358"/>
      <c r="V599" s="358"/>
      <c r="W599" s="358"/>
      <c r="X599" s="358"/>
      <c r="Y599" s="358"/>
      <c r="Z599" s="358"/>
      <c r="AA599" s="358"/>
    </row>
    <row r="600">
      <c r="A600" s="358"/>
      <c r="B600" s="358"/>
      <c r="C600" s="358"/>
      <c r="D600" s="358"/>
      <c r="E600" s="358"/>
      <c r="F600" s="358"/>
      <c r="G600" s="358"/>
      <c r="H600" s="358"/>
      <c r="I600" s="358"/>
      <c r="J600" s="358"/>
      <c r="K600" s="358"/>
      <c r="L600" s="358"/>
      <c r="M600" s="358"/>
      <c r="N600" s="358"/>
      <c r="O600" s="358"/>
      <c r="P600" s="358"/>
      <c r="Q600" s="358"/>
      <c r="R600" s="358"/>
      <c r="S600" s="358"/>
      <c r="T600" s="358"/>
      <c r="U600" s="358"/>
      <c r="V600" s="358"/>
      <c r="W600" s="358"/>
      <c r="X600" s="358"/>
      <c r="Y600" s="358"/>
      <c r="Z600" s="358"/>
      <c r="AA600" s="358"/>
    </row>
    <row r="601">
      <c r="A601" s="358"/>
      <c r="B601" s="358"/>
      <c r="C601" s="358"/>
      <c r="D601" s="358"/>
      <c r="E601" s="358"/>
      <c r="F601" s="358"/>
      <c r="G601" s="358"/>
      <c r="H601" s="358"/>
      <c r="I601" s="358"/>
      <c r="J601" s="358"/>
      <c r="K601" s="358"/>
      <c r="L601" s="358"/>
      <c r="M601" s="358"/>
      <c r="N601" s="358"/>
      <c r="O601" s="358"/>
      <c r="P601" s="358"/>
      <c r="Q601" s="358"/>
      <c r="R601" s="358"/>
      <c r="S601" s="358"/>
      <c r="T601" s="358"/>
      <c r="U601" s="358"/>
      <c r="V601" s="358"/>
      <c r="W601" s="358"/>
      <c r="X601" s="358"/>
      <c r="Y601" s="358"/>
      <c r="Z601" s="358"/>
      <c r="AA601" s="358"/>
    </row>
    <row r="602">
      <c r="A602" s="358"/>
      <c r="B602" s="358"/>
      <c r="C602" s="358"/>
      <c r="D602" s="358"/>
      <c r="E602" s="358"/>
      <c r="F602" s="358"/>
      <c r="G602" s="358"/>
      <c r="H602" s="358"/>
      <c r="I602" s="358"/>
      <c r="J602" s="358"/>
      <c r="K602" s="358"/>
      <c r="L602" s="358"/>
      <c r="M602" s="358"/>
      <c r="N602" s="358"/>
      <c r="O602" s="358"/>
      <c r="P602" s="358"/>
      <c r="Q602" s="358"/>
      <c r="R602" s="358"/>
      <c r="S602" s="358"/>
      <c r="T602" s="358"/>
      <c r="U602" s="358"/>
      <c r="V602" s="358"/>
      <c r="W602" s="358"/>
      <c r="X602" s="358"/>
      <c r="Y602" s="358"/>
      <c r="Z602" s="358"/>
      <c r="AA602" s="358"/>
    </row>
    <row r="603">
      <c r="A603" s="358"/>
      <c r="B603" s="358"/>
      <c r="C603" s="358"/>
      <c r="D603" s="358"/>
      <c r="E603" s="358"/>
      <c r="F603" s="358"/>
      <c r="G603" s="358"/>
      <c r="H603" s="358"/>
      <c r="I603" s="358"/>
      <c r="J603" s="358"/>
      <c r="K603" s="358"/>
      <c r="L603" s="358"/>
      <c r="M603" s="358"/>
      <c r="N603" s="358"/>
      <c r="O603" s="358"/>
      <c r="P603" s="358"/>
      <c r="Q603" s="358"/>
      <c r="R603" s="358"/>
      <c r="S603" s="358"/>
      <c r="T603" s="358"/>
      <c r="U603" s="358"/>
      <c r="V603" s="358"/>
      <c r="W603" s="358"/>
      <c r="X603" s="358"/>
      <c r="Y603" s="358"/>
      <c r="Z603" s="358"/>
      <c r="AA603" s="358"/>
    </row>
    <row r="604">
      <c r="A604" s="358"/>
      <c r="B604" s="358"/>
      <c r="C604" s="358"/>
      <c r="D604" s="358"/>
      <c r="E604" s="358"/>
      <c r="F604" s="358"/>
      <c r="G604" s="358"/>
      <c r="H604" s="358"/>
      <c r="I604" s="358"/>
      <c r="J604" s="358"/>
      <c r="K604" s="358"/>
      <c r="L604" s="358"/>
      <c r="M604" s="358"/>
      <c r="N604" s="358"/>
      <c r="O604" s="358"/>
      <c r="P604" s="358"/>
      <c r="Q604" s="358"/>
      <c r="R604" s="358"/>
      <c r="S604" s="358"/>
      <c r="T604" s="358"/>
      <c r="U604" s="358"/>
      <c r="V604" s="358"/>
      <c r="W604" s="358"/>
      <c r="X604" s="358"/>
      <c r="Y604" s="358"/>
      <c r="Z604" s="358"/>
      <c r="AA604" s="358"/>
    </row>
    <row r="605">
      <c r="A605" s="358"/>
      <c r="B605" s="358"/>
      <c r="C605" s="358"/>
      <c r="D605" s="358"/>
      <c r="E605" s="358"/>
      <c r="F605" s="358"/>
      <c r="G605" s="358"/>
      <c r="H605" s="358"/>
      <c r="I605" s="358"/>
      <c r="J605" s="358"/>
      <c r="K605" s="358"/>
      <c r="L605" s="358"/>
      <c r="M605" s="358"/>
      <c r="N605" s="358"/>
      <c r="O605" s="358"/>
      <c r="P605" s="358"/>
      <c r="Q605" s="358"/>
      <c r="R605" s="358"/>
      <c r="S605" s="358"/>
      <c r="T605" s="358"/>
      <c r="U605" s="358"/>
      <c r="V605" s="358"/>
      <c r="W605" s="358"/>
      <c r="X605" s="358"/>
      <c r="Y605" s="358"/>
      <c r="Z605" s="358"/>
      <c r="AA605" s="358"/>
    </row>
    <row r="606">
      <c r="A606" s="358"/>
      <c r="B606" s="358"/>
      <c r="C606" s="358"/>
      <c r="D606" s="358"/>
      <c r="E606" s="358"/>
      <c r="F606" s="358"/>
      <c r="G606" s="358"/>
      <c r="H606" s="358"/>
      <c r="I606" s="358"/>
      <c r="J606" s="358"/>
      <c r="K606" s="358"/>
      <c r="L606" s="358"/>
      <c r="M606" s="358"/>
      <c r="N606" s="358"/>
      <c r="O606" s="358"/>
      <c r="P606" s="358"/>
      <c r="Q606" s="358"/>
      <c r="R606" s="358"/>
      <c r="S606" s="358"/>
      <c r="T606" s="358"/>
      <c r="U606" s="358"/>
      <c r="V606" s="358"/>
      <c r="W606" s="358"/>
      <c r="X606" s="358"/>
      <c r="Y606" s="358"/>
      <c r="Z606" s="358"/>
      <c r="AA606" s="358"/>
    </row>
    <row r="607">
      <c r="A607" s="358"/>
      <c r="B607" s="358"/>
      <c r="C607" s="358"/>
      <c r="D607" s="358"/>
      <c r="E607" s="358"/>
      <c r="F607" s="358"/>
      <c r="G607" s="358"/>
      <c r="H607" s="358"/>
      <c r="I607" s="358"/>
      <c r="J607" s="358"/>
      <c r="K607" s="358"/>
      <c r="L607" s="358"/>
      <c r="M607" s="358"/>
      <c r="N607" s="358"/>
      <c r="O607" s="358"/>
      <c r="P607" s="358"/>
      <c r="Q607" s="358"/>
      <c r="R607" s="358"/>
      <c r="S607" s="358"/>
      <c r="T607" s="358"/>
      <c r="U607" s="358"/>
      <c r="V607" s="358"/>
      <c r="W607" s="358"/>
      <c r="X607" s="358"/>
      <c r="Y607" s="358"/>
      <c r="Z607" s="358"/>
      <c r="AA607" s="358"/>
    </row>
    <row r="608">
      <c r="A608" s="358"/>
      <c r="B608" s="358"/>
      <c r="C608" s="358"/>
      <c r="D608" s="358"/>
      <c r="E608" s="358"/>
      <c r="F608" s="358"/>
      <c r="G608" s="358"/>
      <c r="H608" s="358"/>
      <c r="I608" s="358"/>
      <c r="J608" s="358"/>
      <c r="K608" s="358"/>
      <c r="L608" s="358"/>
      <c r="M608" s="358"/>
      <c r="N608" s="358"/>
      <c r="O608" s="358"/>
      <c r="P608" s="358"/>
      <c r="Q608" s="358"/>
      <c r="R608" s="358"/>
      <c r="S608" s="358"/>
      <c r="T608" s="358"/>
      <c r="U608" s="358"/>
      <c r="V608" s="358"/>
      <c r="W608" s="358"/>
      <c r="X608" s="358"/>
      <c r="Y608" s="358"/>
      <c r="Z608" s="358"/>
      <c r="AA608" s="358"/>
    </row>
    <row r="609">
      <c r="A609" s="358"/>
      <c r="B609" s="358"/>
      <c r="C609" s="358"/>
      <c r="D609" s="358"/>
      <c r="E609" s="358"/>
      <c r="F609" s="358"/>
      <c r="G609" s="358"/>
      <c r="H609" s="358"/>
      <c r="I609" s="358"/>
      <c r="J609" s="358"/>
      <c r="K609" s="358"/>
      <c r="L609" s="358"/>
      <c r="M609" s="358"/>
      <c r="N609" s="358"/>
      <c r="O609" s="358"/>
      <c r="P609" s="358"/>
      <c r="Q609" s="358"/>
      <c r="R609" s="358"/>
      <c r="S609" s="358"/>
      <c r="T609" s="358"/>
      <c r="U609" s="358"/>
      <c r="V609" s="358"/>
      <c r="W609" s="358"/>
      <c r="X609" s="358"/>
      <c r="Y609" s="358"/>
      <c r="Z609" s="358"/>
      <c r="AA609" s="358"/>
    </row>
    <row r="610">
      <c r="A610" s="358"/>
      <c r="B610" s="358"/>
      <c r="C610" s="358"/>
      <c r="D610" s="358"/>
      <c r="E610" s="358"/>
      <c r="F610" s="358"/>
      <c r="G610" s="358"/>
      <c r="H610" s="358"/>
      <c r="I610" s="358"/>
      <c r="J610" s="358"/>
      <c r="K610" s="358"/>
      <c r="L610" s="358"/>
      <c r="M610" s="358"/>
      <c r="N610" s="358"/>
      <c r="O610" s="358"/>
      <c r="P610" s="358"/>
      <c r="Q610" s="358"/>
      <c r="R610" s="358"/>
      <c r="S610" s="358"/>
      <c r="T610" s="358"/>
      <c r="U610" s="358"/>
      <c r="V610" s="358"/>
      <c r="W610" s="358"/>
      <c r="X610" s="358"/>
      <c r="Y610" s="358"/>
      <c r="Z610" s="358"/>
      <c r="AA610" s="358"/>
    </row>
    <row r="611">
      <c r="A611" s="358"/>
      <c r="B611" s="358"/>
      <c r="C611" s="358"/>
      <c r="D611" s="358"/>
      <c r="E611" s="358"/>
      <c r="F611" s="358"/>
      <c r="G611" s="358"/>
      <c r="H611" s="358"/>
      <c r="I611" s="358"/>
      <c r="J611" s="358"/>
      <c r="K611" s="358"/>
      <c r="L611" s="358"/>
      <c r="M611" s="358"/>
      <c r="N611" s="358"/>
      <c r="O611" s="358"/>
      <c r="P611" s="358"/>
      <c r="Q611" s="358"/>
      <c r="R611" s="358"/>
      <c r="S611" s="358"/>
      <c r="T611" s="358"/>
      <c r="U611" s="358"/>
      <c r="V611" s="358"/>
      <c r="W611" s="358"/>
      <c r="X611" s="358"/>
      <c r="Y611" s="358"/>
      <c r="Z611" s="358"/>
      <c r="AA611" s="358"/>
    </row>
    <row r="612">
      <c r="A612" s="358"/>
      <c r="B612" s="358"/>
      <c r="C612" s="358"/>
      <c r="D612" s="358"/>
      <c r="E612" s="358"/>
      <c r="F612" s="358"/>
      <c r="G612" s="358"/>
      <c r="H612" s="358"/>
      <c r="I612" s="358"/>
      <c r="J612" s="358"/>
      <c r="K612" s="358"/>
      <c r="L612" s="358"/>
      <c r="M612" s="358"/>
      <c r="N612" s="358"/>
      <c r="O612" s="358"/>
      <c r="P612" s="358"/>
      <c r="Q612" s="358"/>
      <c r="R612" s="358"/>
      <c r="S612" s="358"/>
      <c r="T612" s="358"/>
      <c r="U612" s="358"/>
      <c r="V612" s="358"/>
      <c r="W612" s="358"/>
      <c r="X612" s="358"/>
      <c r="Y612" s="358"/>
      <c r="Z612" s="358"/>
      <c r="AA612" s="358"/>
    </row>
    <row r="613">
      <c r="A613" s="358"/>
      <c r="B613" s="358"/>
      <c r="C613" s="358"/>
      <c r="D613" s="358"/>
      <c r="E613" s="358"/>
      <c r="F613" s="358"/>
      <c r="G613" s="358"/>
      <c r="H613" s="358"/>
      <c r="I613" s="358"/>
      <c r="J613" s="358"/>
      <c r="K613" s="358"/>
      <c r="L613" s="358"/>
      <c r="M613" s="358"/>
      <c r="N613" s="358"/>
      <c r="O613" s="358"/>
      <c r="P613" s="358"/>
      <c r="Q613" s="358"/>
      <c r="R613" s="358"/>
      <c r="S613" s="358"/>
      <c r="T613" s="358"/>
      <c r="U613" s="358"/>
      <c r="V613" s="358"/>
      <c r="W613" s="358"/>
      <c r="X613" s="358"/>
      <c r="Y613" s="358"/>
      <c r="Z613" s="358"/>
      <c r="AA613" s="358"/>
    </row>
    <row r="614">
      <c r="A614" s="358"/>
      <c r="B614" s="358"/>
      <c r="C614" s="358"/>
      <c r="D614" s="358"/>
      <c r="E614" s="358"/>
      <c r="F614" s="358"/>
      <c r="G614" s="358"/>
      <c r="H614" s="358"/>
      <c r="I614" s="358"/>
      <c r="J614" s="358"/>
      <c r="K614" s="358"/>
      <c r="L614" s="358"/>
      <c r="M614" s="358"/>
      <c r="N614" s="358"/>
      <c r="O614" s="358"/>
      <c r="P614" s="358"/>
      <c r="Q614" s="358"/>
      <c r="R614" s="358"/>
      <c r="S614" s="358"/>
      <c r="T614" s="358"/>
      <c r="U614" s="358"/>
      <c r="V614" s="358"/>
      <c r="W614" s="358"/>
      <c r="X614" s="358"/>
      <c r="Y614" s="358"/>
      <c r="Z614" s="358"/>
      <c r="AA614" s="358"/>
    </row>
    <row r="615">
      <c r="A615" s="358"/>
      <c r="B615" s="358"/>
      <c r="C615" s="358"/>
      <c r="D615" s="358"/>
      <c r="E615" s="358"/>
      <c r="F615" s="358"/>
      <c r="G615" s="358"/>
      <c r="H615" s="358"/>
      <c r="I615" s="358"/>
      <c r="J615" s="358"/>
      <c r="K615" s="358"/>
      <c r="L615" s="358"/>
      <c r="M615" s="358"/>
      <c r="N615" s="358"/>
      <c r="O615" s="358"/>
      <c r="P615" s="358"/>
      <c r="Q615" s="358"/>
      <c r="R615" s="358"/>
      <c r="S615" s="358"/>
      <c r="T615" s="358"/>
      <c r="U615" s="358"/>
      <c r="V615" s="358"/>
      <c r="W615" s="358"/>
      <c r="X615" s="358"/>
      <c r="Y615" s="358"/>
      <c r="Z615" s="358"/>
      <c r="AA615" s="358"/>
    </row>
    <row r="616">
      <c r="A616" s="358"/>
      <c r="B616" s="358"/>
      <c r="C616" s="358"/>
      <c r="D616" s="358"/>
      <c r="E616" s="358"/>
      <c r="F616" s="358"/>
      <c r="G616" s="358"/>
      <c r="H616" s="358"/>
      <c r="I616" s="358"/>
      <c r="J616" s="358"/>
      <c r="K616" s="358"/>
      <c r="L616" s="358"/>
      <c r="M616" s="358"/>
      <c r="N616" s="358"/>
      <c r="O616" s="358"/>
      <c r="P616" s="358"/>
      <c r="Q616" s="358"/>
      <c r="R616" s="358"/>
      <c r="S616" s="358"/>
      <c r="T616" s="358"/>
      <c r="U616" s="358"/>
      <c r="V616" s="358"/>
      <c r="W616" s="358"/>
      <c r="X616" s="358"/>
      <c r="Y616" s="358"/>
      <c r="Z616" s="358"/>
      <c r="AA616" s="358"/>
    </row>
    <row r="617">
      <c r="A617" s="358"/>
      <c r="B617" s="358"/>
      <c r="C617" s="358"/>
      <c r="D617" s="358"/>
      <c r="E617" s="358"/>
      <c r="F617" s="358"/>
      <c r="G617" s="358"/>
      <c r="H617" s="358"/>
      <c r="I617" s="358"/>
      <c r="J617" s="358"/>
      <c r="K617" s="358"/>
      <c r="L617" s="358"/>
      <c r="M617" s="358"/>
      <c r="N617" s="358"/>
      <c r="O617" s="358"/>
      <c r="P617" s="358"/>
      <c r="Q617" s="358"/>
      <c r="R617" s="358"/>
      <c r="S617" s="358"/>
      <c r="T617" s="358"/>
      <c r="U617" s="358"/>
      <c r="V617" s="358"/>
      <c r="W617" s="358"/>
      <c r="X617" s="358"/>
      <c r="Y617" s="358"/>
      <c r="Z617" s="358"/>
      <c r="AA617" s="358"/>
    </row>
    <row r="618">
      <c r="A618" s="358"/>
      <c r="B618" s="358"/>
      <c r="C618" s="358"/>
      <c r="D618" s="358"/>
      <c r="E618" s="358"/>
      <c r="F618" s="358"/>
      <c r="G618" s="358"/>
      <c r="H618" s="358"/>
      <c r="I618" s="358"/>
      <c r="J618" s="358"/>
      <c r="K618" s="358"/>
      <c r="L618" s="358"/>
      <c r="M618" s="358"/>
      <c r="N618" s="358"/>
      <c r="O618" s="358"/>
      <c r="P618" s="358"/>
      <c r="Q618" s="358"/>
      <c r="R618" s="358"/>
      <c r="S618" s="358"/>
      <c r="T618" s="358"/>
      <c r="U618" s="358"/>
      <c r="V618" s="358"/>
      <c r="W618" s="358"/>
      <c r="X618" s="358"/>
      <c r="Y618" s="358"/>
      <c r="Z618" s="358"/>
      <c r="AA618" s="358"/>
    </row>
    <row r="619">
      <c r="A619" s="358"/>
      <c r="B619" s="358"/>
      <c r="C619" s="358"/>
      <c r="D619" s="358"/>
      <c r="E619" s="358"/>
      <c r="F619" s="358"/>
      <c r="G619" s="358"/>
      <c r="H619" s="358"/>
      <c r="I619" s="358"/>
      <c r="J619" s="358"/>
      <c r="K619" s="358"/>
      <c r="L619" s="358"/>
      <c r="M619" s="358"/>
      <c r="N619" s="358"/>
      <c r="O619" s="358"/>
      <c r="P619" s="358"/>
      <c r="Q619" s="358"/>
      <c r="R619" s="358"/>
      <c r="S619" s="358"/>
      <c r="T619" s="358"/>
      <c r="U619" s="358"/>
      <c r="V619" s="358"/>
      <c r="W619" s="358"/>
      <c r="X619" s="358"/>
      <c r="Y619" s="358"/>
      <c r="Z619" s="358"/>
      <c r="AA619" s="358"/>
    </row>
    <row r="620">
      <c r="A620" s="358"/>
      <c r="B620" s="358"/>
      <c r="C620" s="358"/>
      <c r="D620" s="358"/>
      <c r="E620" s="358"/>
      <c r="F620" s="358"/>
      <c r="G620" s="358"/>
      <c r="H620" s="358"/>
      <c r="I620" s="358"/>
      <c r="J620" s="358"/>
      <c r="K620" s="358"/>
      <c r="L620" s="358"/>
      <c r="M620" s="358"/>
      <c r="N620" s="358"/>
      <c r="O620" s="358"/>
      <c r="P620" s="358"/>
      <c r="Q620" s="358"/>
      <c r="R620" s="358"/>
      <c r="S620" s="358"/>
      <c r="T620" s="358"/>
      <c r="U620" s="358"/>
      <c r="V620" s="358"/>
      <c r="W620" s="358"/>
      <c r="X620" s="358"/>
      <c r="Y620" s="358"/>
      <c r="Z620" s="358"/>
      <c r="AA620" s="358"/>
    </row>
    <row r="621">
      <c r="A621" s="358"/>
      <c r="B621" s="358"/>
      <c r="C621" s="358"/>
      <c r="D621" s="358"/>
      <c r="E621" s="358"/>
      <c r="F621" s="358"/>
      <c r="G621" s="358"/>
      <c r="H621" s="358"/>
      <c r="I621" s="358"/>
      <c r="J621" s="358"/>
      <c r="K621" s="358"/>
      <c r="L621" s="358"/>
      <c r="M621" s="358"/>
      <c r="N621" s="358"/>
      <c r="O621" s="358"/>
      <c r="P621" s="358"/>
      <c r="Q621" s="358"/>
      <c r="R621" s="358"/>
      <c r="S621" s="358"/>
      <c r="T621" s="358"/>
      <c r="U621" s="358"/>
      <c r="V621" s="358"/>
      <c r="W621" s="358"/>
      <c r="X621" s="358"/>
      <c r="Y621" s="358"/>
      <c r="Z621" s="358"/>
      <c r="AA621" s="358"/>
    </row>
    <row r="622">
      <c r="A622" s="358"/>
      <c r="B622" s="358"/>
      <c r="C622" s="358"/>
      <c r="D622" s="358"/>
      <c r="E622" s="358"/>
      <c r="F622" s="358"/>
      <c r="G622" s="358"/>
      <c r="H622" s="358"/>
      <c r="I622" s="358"/>
      <c r="J622" s="358"/>
      <c r="K622" s="358"/>
      <c r="L622" s="358"/>
      <c r="M622" s="358"/>
      <c r="N622" s="358"/>
      <c r="O622" s="358"/>
      <c r="P622" s="358"/>
      <c r="Q622" s="358"/>
      <c r="R622" s="358"/>
      <c r="S622" s="358"/>
      <c r="T622" s="358"/>
      <c r="U622" s="358"/>
      <c r="V622" s="358"/>
      <c r="W622" s="358"/>
      <c r="X622" s="358"/>
      <c r="Y622" s="358"/>
      <c r="Z622" s="358"/>
      <c r="AA622" s="358"/>
    </row>
    <row r="623">
      <c r="A623" s="358"/>
      <c r="B623" s="358"/>
      <c r="C623" s="358"/>
      <c r="D623" s="358"/>
      <c r="E623" s="358"/>
      <c r="F623" s="358"/>
      <c r="G623" s="358"/>
      <c r="H623" s="358"/>
      <c r="I623" s="358"/>
      <c r="J623" s="358"/>
      <c r="K623" s="358"/>
      <c r="L623" s="358"/>
      <c r="M623" s="358"/>
      <c r="N623" s="358"/>
      <c r="O623" s="358"/>
      <c r="P623" s="358"/>
      <c r="Q623" s="358"/>
      <c r="R623" s="358"/>
      <c r="S623" s="358"/>
      <c r="T623" s="358"/>
      <c r="U623" s="358"/>
      <c r="V623" s="358"/>
      <c r="W623" s="358"/>
      <c r="X623" s="358"/>
      <c r="Y623" s="358"/>
      <c r="Z623" s="358"/>
      <c r="AA623" s="358"/>
    </row>
    <row r="624">
      <c r="A624" s="358"/>
      <c r="B624" s="358"/>
      <c r="C624" s="358"/>
      <c r="D624" s="358"/>
      <c r="E624" s="358"/>
      <c r="F624" s="358"/>
      <c r="G624" s="358"/>
      <c r="H624" s="358"/>
      <c r="I624" s="358"/>
      <c r="J624" s="358"/>
      <c r="K624" s="358"/>
      <c r="L624" s="358"/>
      <c r="M624" s="358"/>
      <c r="N624" s="358"/>
      <c r="O624" s="358"/>
      <c r="P624" s="358"/>
      <c r="Q624" s="358"/>
      <c r="R624" s="358"/>
      <c r="S624" s="358"/>
      <c r="T624" s="358"/>
      <c r="U624" s="358"/>
      <c r="V624" s="358"/>
      <c r="W624" s="358"/>
      <c r="X624" s="358"/>
      <c r="Y624" s="358"/>
      <c r="Z624" s="358"/>
      <c r="AA624" s="358"/>
    </row>
    <row r="625">
      <c r="A625" s="358"/>
      <c r="B625" s="358"/>
      <c r="C625" s="358"/>
      <c r="D625" s="358"/>
      <c r="E625" s="358"/>
      <c r="F625" s="358"/>
      <c r="G625" s="358"/>
      <c r="H625" s="358"/>
      <c r="I625" s="358"/>
      <c r="J625" s="358"/>
      <c r="K625" s="358"/>
      <c r="L625" s="358"/>
      <c r="M625" s="358"/>
      <c r="N625" s="358"/>
      <c r="O625" s="358"/>
      <c r="P625" s="358"/>
      <c r="Q625" s="358"/>
      <c r="R625" s="358"/>
      <c r="S625" s="358"/>
      <c r="T625" s="358"/>
      <c r="U625" s="358"/>
      <c r="V625" s="358"/>
      <c r="W625" s="358"/>
      <c r="X625" s="358"/>
      <c r="Y625" s="358"/>
      <c r="Z625" s="358"/>
      <c r="AA625" s="358"/>
    </row>
    <row r="626">
      <c r="A626" s="358"/>
      <c r="B626" s="358"/>
      <c r="C626" s="358"/>
      <c r="D626" s="358"/>
      <c r="E626" s="358"/>
      <c r="F626" s="358"/>
      <c r="G626" s="358"/>
      <c r="H626" s="358"/>
      <c r="I626" s="358"/>
      <c r="J626" s="358"/>
      <c r="K626" s="358"/>
      <c r="L626" s="358"/>
      <c r="M626" s="358"/>
      <c r="N626" s="358"/>
      <c r="O626" s="358"/>
      <c r="P626" s="358"/>
      <c r="Q626" s="358"/>
      <c r="R626" s="358"/>
      <c r="S626" s="358"/>
      <c r="T626" s="358"/>
      <c r="U626" s="358"/>
      <c r="V626" s="358"/>
      <c r="W626" s="358"/>
      <c r="X626" s="358"/>
      <c r="Y626" s="358"/>
      <c r="Z626" s="358"/>
      <c r="AA626" s="358"/>
    </row>
    <row r="627">
      <c r="A627" s="358"/>
      <c r="B627" s="358"/>
      <c r="C627" s="358"/>
      <c r="D627" s="358"/>
      <c r="E627" s="358"/>
      <c r="F627" s="358"/>
      <c r="G627" s="358"/>
      <c r="H627" s="358"/>
      <c r="I627" s="358"/>
      <c r="J627" s="358"/>
      <c r="K627" s="358"/>
      <c r="L627" s="358"/>
      <c r="M627" s="358"/>
      <c r="N627" s="358"/>
      <c r="O627" s="358"/>
      <c r="P627" s="358"/>
      <c r="Q627" s="358"/>
      <c r="R627" s="358"/>
      <c r="S627" s="358"/>
      <c r="T627" s="358"/>
      <c r="U627" s="358"/>
      <c r="V627" s="358"/>
      <c r="W627" s="358"/>
      <c r="X627" s="358"/>
      <c r="Y627" s="358"/>
      <c r="Z627" s="358"/>
      <c r="AA627" s="358"/>
    </row>
    <row r="628">
      <c r="A628" s="358"/>
      <c r="B628" s="358"/>
      <c r="C628" s="358"/>
      <c r="D628" s="358"/>
      <c r="E628" s="358"/>
      <c r="F628" s="358"/>
      <c r="G628" s="358"/>
      <c r="H628" s="358"/>
      <c r="I628" s="358"/>
      <c r="J628" s="358"/>
      <c r="K628" s="358"/>
      <c r="L628" s="358"/>
      <c r="M628" s="358"/>
      <c r="N628" s="358"/>
      <c r="O628" s="358"/>
      <c r="P628" s="358"/>
      <c r="Q628" s="358"/>
      <c r="R628" s="358"/>
      <c r="S628" s="358"/>
      <c r="T628" s="358"/>
      <c r="U628" s="358"/>
      <c r="V628" s="358"/>
      <c r="W628" s="358"/>
      <c r="X628" s="358"/>
      <c r="Y628" s="358"/>
      <c r="Z628" s="358"/>
      <c r="AA628" s="358"/>
    </row>
    <row r="629">
      <c r="A629" s="358"/>
      <c r="B629" s="358"/>
      <c r="C629" s="358"/>
      <c r="D629" s="358"/>
      <c r="E629" s="358"/>
      <c r="F629" s="358"/>
      <c r="G629" s="358"/>
      <c r="H629" s="358"/>
      <c r="I629" s="358"/>
      <c r="J629" s="358"/>
      <c r="K629" s="358"/>
      <c r="L629" s="358"/>
      <c r="M629" s="358"/>
      <c r="N629" s="358"/>
      <c r="O629" s="358"/>
      <c r="P629" s="358"/>
      <c r="Q629" s="358"/>
      <c r="R629" s="358"/>
      <c r="S629" s="358"/>
      <c r="T629" s="358"/>
      <c r="U629" s="358"/>
      <c r="V629" s="358"/>
      <c r="W629" s="358"/>
      <c r="X629" s="358"/>
      <c r="Y629" s="358"/>
      <c r="Z629" s="358"/>
      <c r="AA629" s="358"/>
    </row>
    <row r="630">
      <c r="A630" s="358"/>
      <c r="B630" s="358"/>
      <c r="C630" s="358"/>
      <c r="D630" s="358"/>
      <c r="E630" s="358"/>
      <c r="F630" s="358"/>
      <c r="G630" s="358"/>
      <c r="H630" s="358"/>
      <c r="I630" s="358"/>
      <c r="J630" s="358"/>
      <c r="K630" s="358"/>
      <c r="L630" s="358"/>
      <c r="M630" s="358"/>
      <c r="N630" s="358"/>
      <c r="O630" s="358"/>
      <c r="P630" s="358"/>
      <c r="Q630" s="358"/>
      <c r="R630" s="358"/>
      <c r="S630" s="358"/>
      <c r="T630" s="358"/>
      <c r="U630" s="358"/>
      <c r="V630" s="358"/>
      <c r="W630" s="358"/>
      <c r="X630" s="358"/>
      <c r="Y630" s="358"/>
      <c r="Z630" s="358"/>
      <c r="AA630" s="358"/>
    </row>
    <row r="631">
      <c r="A631" s="358"/>
      <c r="B631" s="358"/>
      <c r="C631" s="358"/>
      <c r="D631" s="358"/>
      <c r="E631" s="358"/>
      <c r="F631" s="358"/>
      <c r="G631" s="358"/>
      <c r="H631" s="358"/>
      <c r="I631" s="358"/>
      <c r="J631" s="358"/>
      <c r="K631" s="358"/>
      <c r="L631" s="358"/>
      <c r="M631" s="358"/>
      <c r="N631" s="358"/>
      <c r="O631" s="358"/>
      <c r="P631" s="358"/>
      <c r="Q631" s="358"/>
      <c r="R631" s="358"/>
      <c r="S631" s="358"/>
      <c r="T631" s="358"/>
      <c r="U631" s="358"/>
      <c r="V631" s="358"/>
      <c r="W631" s="358"/>
      <c r="X631" s="358"/>
      <c r="Y631" s="358"/>
      <c r="Z631" s="358"/>
      <c r="AA631" s="358"/>
    </row>
    <row r="632">
      <c r="A632" s="358"/>
      <c r="B632" s="358"/>
      <c r="C632" s="358"/>
      <c r="D632" s="358"/>
      <c r="E632" s="358"/>
      <c r="F632" s="358"/>
      <c r="G632" s="358"/>
      <c r="H632" s="358"/>
      <c r="I632" s="358"/>
      <c r="J632" s="358"/>
      <c r="K632" s="358"/>
      <c r="L632" s="358"/>
      <c r="M632" s="358"/>
      <c r="N632" s="358"/>
      <c r="O632" s="358"/>
      <c r="P632" s="358"/>
      <c r="Q632" s="358"/>
      <c r="R632" s="358"/>
      <c r="S632" s="358"/>
      <c r="T632" s="358"/>
      <c r="U632" s="358"/>
      <c r="V632" s="358"/>
      <c r="W632" s="358"/>
      <c r="X632" s="358"/>
      <c r="Y632" s="358"/>
      <c r="Z632" s="358"/>
      <c r="AA632" s="358"/>
    </row>
    <row r="633">
      <c r="A633" s="358"/>
      <c r="B633" s="358"/>
      <c r="C633" s="358"/>
      <c r="D633" s="358"/>
      <c r="E633" s="358"/>
      <c r="F633" s="358"/>
      <c r="G633" s="358"/>
      <c r="H633" s="358"/>
      <c r="I633" s="358"/>
      <c r="J633" s="358"/>
      <c r="K633" s="358"/>
      <c r="L633" s="358"/>
      <c r="M633" s="358"/>
      <c r="N633" s="358"/>
      <c r="O633" s="358"/>
      <c r="P633" s="358"/>
      <c r="Q633" s="358"/>
      <c r="R633" s="358"/>
      <c r="S633" s="358"/>
      <c r="T633" s="358"/>
      <c r="U633" s="358"/>
      <c r="V633" s="358"/>
      <c r="W633" s="358"/>
      <c r="X633" s="358"/>
      <c r="Y633" s="358"/>
      <c r="Z633" s="358"/>
      <c r="AA633" s="358"/>
    </row>
    <row r="634">
      <c r="A634" s="358"/>
      <c r="B634" s="358"/>
      <c r="C634" s="358"/>
      <c r="D634" s="358"/>
      <c r="E634" s="358"/>
      <c r="F634" s="358"/>
      <c r="G634" s="358"/>
      <c r="H634" s="358"/>
      <c r="I634" s="358"/>
      <c r="J634" s="358"/>
      <c r="K634" s="358"/>
      <c r="L634" s="358"/>
      <c r="M634" s="358"/>
      <c r="N634" s="358"/>
      <c r="O634" s="358"/>
      <c r="P634" s="358"/>
      <c r="Q634" s="358"/>
      <c r="R634" s="358"/>
      <c r="S634" s="358"/>
      <c r="T634" s="358"/>
      <c r="U634" s="358"/>
      <c r="V634" s="358"/>
      <c r="W634" s="358"/>
      <c r="X634" s="358"/>
      <c r="Y634" s="358"/>
      <c r="Z634" s="358"/>
      <c r="AA634" s="358"/>
    </row>
    <row r="635">
      <c r="A635" s="358"/>
      <c r="B635" s="358"/>
      <c r="C635" s="358"/>
      <c r="D635" s="358"/>
      <c r="E635" s="358"/>
      <c r="F635" s="358"/>
      <c r="G635" s="358"/>
      <c r="H635" s="358"/>
      <c r="I635" s="358"/>
      <c r="J635" s="358"/>
      <c r="K635" s="358"/>
      <c r="L635" s="358"/>
      <c r="M635" s="358"/>
      <c r="N635" s="358"/>
      <c r="O635" s="358"/>
      <c r="P635" s="358"/>
      <c r="Q635" s="358"/>
      <c r="R635" s="358"/>
      <c r="S635" s="358"/>
      <c r="T635" s="358"/>
      <c r="U635" s="358"/>
      <c r="V635" s="358"/>
      <c r="W635" s="358"/>
      <c r="X635" s="358"/>
      <c r="Y635" s="358"/>
      <c r="Z635" s="358"/>
      <c r="AA635" s="358"/>
    </row>
    <row r="636">
      <c r="A636" s="358"/>
      <c r="B636" s="358"/>
      <c r="C636" s="358"/>
      <c r="D636" s="358"/>
      <c r="E636" s="358"/>
      <c r="F636" s="358"/>
      <c r="G636" s="358"/>
      <c r="H636" s="358"/>
      <c r="I636" s="358"/>
      <c r="J636" s="358"/>
      <c r="K636" s="358"/>
      <c r="L636" s="358"/>
      <c r="M636" s="358"/>
      <c r="N636" s="358"/>
      <c r="O636" s="358"/>
      <c r="P636" s="358"/>
      <c r="Q636" s="358"/>
      <c r="R636" s="358"/>
      <c r="S636" s="358"/>
      <c r="T636" s="358"/>
      <c r="U636" s="358"/>
      <c r="V636" s="358"/>
      <c r="W636" s="358"/>
      <c r="X636" s="358"/>
      <c r="Y636" s="358"/>
      <c r="Z636" s="358"/>
      <c r="AA636" s="358"/>
    </row>
    <row r="637">
      <c r="A637" s="358"/>
      <c r="B637" s="358"/>
      <c r="C637" s="358"/>
      <c r="D637" s="358"/>
      <c r="E637" s="358"/>
      <c r="F637" s="358"/>
      <c r="G637" s="358"/>
      <c r="H637" s="358"/>
      <c r="I637" s="358"/>
      <c r="J637" s="358"/>
      <c r="K637" s="358"/>
      <c r="L637" s="358"/>
      <c r="M637" s="358"/>
      <c r="N637" s="358"/>
      <c r="O637" s="358"/>
      <c r="P637" s="358"/>
      <c r="Q637" s="358"/>
      <c r="R637" s="358"/>
      <c r="S637" s="358"/>
      <c r="T637" s="358"/>
      <c r="U637" s="358"/>
      <c r="V637" s="358"/>
      <c r="W637" s="358"/>
      <c r="X637" s="358"/>
      <c r="Y637" s="358"/>
      <c r="Z637" s="358"/>
      <c r="AA637" s="358"/>
    </row>
    <row r="638">
      <c r="A638" s="358"/>
      <c r="B638" s="358"/>
      <c r="C638" s="358"/>
      <c r="D638" s="358"/>
      <c r="E638" s="358"/>
      <c r="F638" s="358"/>
      <c r="G638" s="358"/>
      <c r="H638" s="358"/>
      <c r="I638" s="358"/>
      <c r="J638" s="358"/>
      <c r="K638" s="358"/>
      <c r="L638" s="358"/>
      <c r="M638" s="358"/>
      <c r="N638" s="358"/>
      <c r="O638" s="358"/>
      <c r="P638" s="358"/>
      <c r="Q638" s="358"/>
      <c r="R638" s="358"/>
      <c r="S638" s="358"/>
      <c r="T638" s="358"/>
      <c r="U638" s="358"/>
      <c r="V638" s="358"/>
      <c r="W638" s="358"/>
      <c r="X638" s="358"/>
      <c r="Y638" s="358"/>
      <c r="Z638" s="358"/>
      <c r="AA638" s="358"/>
    </row>
    <row r="639">
      <c r="A639" s="358"/>
      <c r="B639" s="358"/>
      <c r="C639" s="358"/>
      <c r="D639" s="358"/>
      <c r="E639" s="358"/>
      <c r="F639" s="358"/>
      <c r="G639" s="358"/>
      <c r="H639" s="358"/>
      <c r="I639" s="358"/>
      <c r="J639" s="358"/>
      <c r="K639" s="358"/>
      <c r="L639" s="358"/>
      <c r="M639" s="358"/>
      <c r="N639" s="358"/>
      <c r="O639" s="358"/>
      <c r="P639" s="358"/>
      <c r="Q639" s="358"/>
      <c r="R639" s="358"/>
      <c r="S639" s="358"/>
      <c r="T639" s="358"/>
      <c r="U639" s="358"/>
      <c r="V639" s="358"/>
      <c r="W639" s="358"/>
      <c r="X639" s="358"/>
      <c r="Y639" s="358"/>
      <c r="Z639" s="358"/>
      <c r="AA639" s="358"/>
    </row>
    <row r="640">
      <c r="A640" s="358"/>
      <c r="B640" s="358"/>
      <c r="C640" s="358"/>
      <c r="D640" s="358"/>
      <c r="E640" s="358"/>
      <c r="F640" s="358"/>
      <c r="G640" s="358"/>
      <c r="H640" s="358"/>
      <c r="I640" s="358"/>
      <c r="J640" s="358"/>
      <c r="K640" s="358"/>
      <c r="L640" s="358"/>
      <c r="M640" s="358"/>
      <c r="N640" s="358"/>
      <c r="O640" s="358"/>
      <c r="P640" s="358"/>
      <c r="Q640" s="358"/>
      <c r="R640" s="358"/>
      <c r="S640" s="358"/>
      <c r="T640" s="358"/>
      <c r="U640" s="358"/>
      <c r="V640" s="358"/>
      <c r="W640" s="358"/>
      <c r="X640" s="358"/>
      <c r="Y640" s="358"/>
      <c r="Z640" s="358"/>
      <c r="AA640" s="358"/>
    </row>
    <row r="641">
      <c r="A641" s="358"/>
      <c r="B641" s="358"/>
      <c r="C641" s="358"/>
      <c r="D641" s="358"/>
      <c r="E641" s="358"/>
      <c r="F641" s="358"/>
      <c r="G641" s="358"/>
      <c r="H641" s="358"/>
      <c r="I641" s="358"/>
      <c r="J641" s="358"/>
      <c r="K641" s="358"/>
      <c r="L641" s="358"/>
      <c r="M641" s="358"/>
      <c r="N641" s="358"/>
      <c r="O641" s="358"/>
      <c r="P641" s="358"/>
      <c r="Q641" s="358"/>
      <c r="R641" s="358"/>
      <c r="S641" s="358"/>
      <c r="T641" s="358"/>
      <c r="U641" s="358"/>
      <c r="V641" s="358"/>
      <c r="W641" s="358"/>
      <c r="X641" s="358"/>
      <c r="Y641" s="358"/>
      <c r="Z641" s="358"/>
      <c r="AA641" s="358"/>
    </row>
    <row r="642">
      <c r="A642" s="358"/>
      <c r="B642" s="358"/>
      <c r="C642" s="358"/>
      <c r="D642" s="358"/>
      <c r="E642" s="358"/>
      <c r="F642" s="358"/>
      <c r="G642" s="358"/>
      <c r="H642" s="358"/>
      <c r="I642" s="358"/>
      <c r="J642" s="358"/>
      <c r="K642" s="358"/>
      <c r="L642" s="358"/>
      <c r="M642" s="358"/>
      <c r="N642" s="358"/>
      <c r="O642" s="358"/>
      <c r="P642" s="358"/>
      <c r="Q642" s="358"/>
      <c r="R642" s="358"/>
      <c r="S642" s="358"/>
      <c r="T642" s="358"/>
      <c r="U642" s="358"/>
      <c r="V642" s="358"/>
      <c r="W642" s="358"/>
      <c r="X642" s="358"/>
      <c r="Y642" s="358"/>
      <c r="Z642" s="358"/>
      <c r="AA642" s="358"/>
    </row>
    <row r="643">
      <c r="A643" s="358"/>
      <c r="B643" s="358"/>
      <c r="C643" s="358"/>
      <c r="D643" s="358"/>
      <c r="E643" s="358"/>
      <c r="F643" s="358"/>
      <c r="G643" s="358"/>
      <c r="H643" s="358"/>
      <c r="I643" s="358"/>
      <c r="J643" s="358"/>
      <c r="K643" s="358"/>
      <c r="L643" s="358"/>
      <c r="M643" s="358"/>
      <c r="N643" s="358"/>
      <c r="O643" s="358"/>
      <c r="P643" s="358"/>
      <c r="Q643" s="358"/>
      <c r="R643" s="358"/>
      <c r="S643" s="358"/>
      <c r="T643" s="358"/>
      <c r="U643" s="358"/>
      <c r="V643" s="358"/>
      <c r="W643" s="358"/>
      <c r="X643" s="358"/>
      <c r="Y643" s="358"/>
      <c r="Z643" s="358"/>
      <c r="AA643" s="358"/>
    </row>
    <row r="644">
      <c r="A644" s="358"/>
      <c r="B644" s="358"/>
      <c r="C644" s="358"/>
      <c r="D644" s="358"/>
      <c r="E644" s="358"/>
      <c r="F644" s="358"/>
      <c r="G644" s="358"/>
      <c r="H644" s="358"/>
      <c r="I644" s="358"/>
      <c r="J644" s="358"/>
      <c r="K644" s="358"/>
      <c r="L644" s="358"/>
      <c r="M644" s="358"/>
      <c r="N644" s="358"/>
      <c r="O644" s="358"/>
      <c r="P644" s="358"/>
      <c r="Q644" s="358"/>
      <c r="R644" s="358"/>
      <c r="S644" s="358"/>
      <c r="T644" s="358"/>
      <c r="U644" s="358"/>
      <c r="V644" s="358"/>
      <c r="W644" s="358"/>
      <c r="X644" s="358"/>
      <c r="Y644" s="358"/>
      <c r="Z644" s="358"/>
      <c r="AA644" s="358"/>
    </row>
    <row r="645">
      <c r="A645" s="358"/>
      <c r="B645" s="358"/>
      <c r="C645" s="358"/>
      <c r="D645" s="358"/>
      <c r="E645" s="358"/>
      <c r="F645" s="358"/>
      <c r="G645" s="358"/>
      <c r="H645" s="358"/>
      <c r="I645" s="358"/>
      <c r="J645" s="358"/>
      <c r="K645" s="358"/>
      <c r="L645" s="358"/>
      <c r="M645" s="358"/>
      <c r="N645" s="358"/>
      <c r="O645" s="358"/>
      <c r="P645" s="358"/>
      <c r="Q645" s="358"/>
      <c r="R645" s="358"/>
      <c r="S645" s="358"/>
      <c r="T645" s="358"/>
      <c r="U645" s="358"/>
      <c r="V645" s="358"/>
      <c r="W645" s="358"/>
      <c r="X645" s="358"/>
      <c r="Y645" s="358"/>
      <c r="Z645" s="358"/>
      <c r="AA645" s="358"/>
    </row>
    <row r="646">
      <c r="A646" s="358"/>
      <c r="B646" s="358"/>
      <c r="C646" s="358"/>
      <c r="D646" s="358"/>
      <c r="E646" s="358"/>
      <c r="F646" s="358"/>
      <c r="G646" s="358"/>
      <c r="H646" s="358"/>
      <c r="I646" s="358"/>
      <c r="J646" s="358"/>
      <c r="K646" s="358"/>
      <c r="L646" s="358"/>
      <c r="M646" s="358"/>
      <c r="N646" s="358"/>
      <c r="O646" s="358"/>
      <c r="P646" s="358"/>
      <c r="Q646" s="358"/>
      <c r="R646" s="358"/>
      <c r="S646" s="358"/>
      <c r="T646" s="358"/>
      <c r="U646" s="358"/>
      <c r="V646" s="358"/>
      <c r="W646" s="358"/>
      <c r="X646" s="358"/>
      <c r="Y646" s="358"/>
      <c r="Z646" s="358"/>
      <c r="AA646" s="358"/>
    </row>
    <row r="647">
      <c r="A647" s="358"/>
      <c r="B647" s="358"/>
      <c r="C647" s="358"/>
      <c r="D647" s="358"/>
      <c r="E647" s="358"/>
      <c r="F647" s="358"/>
      <c r="G647" s="358"/>
      <c r="H647" s="358"/>
      <c r="I647" s="358"/>
      <c r="J647" s="358"/>
      <c r="K647" s="358"/>
      <c r="L647" s="358"/>
      <c r="M647" s="358"/>
      <c r="N647" s="358"/>
      <c r="O647" s="358"/>
      <c r="P647" s="358"/>
      <c r="Q647" s="358"/>
      <c r="R647" s="358"/>
      <c r="S647" s="358"/>
      <c r="T647" s="358"/>
      <c r="U647" s="358"/>
      <c r="V647" s="358"/>
      <c r="W647" s="358"/>
      <c r="X647" s="358"/>
      <c r="Y647" s="358"/>
      <c r="Z647" s="358"/>
      <c r="AA647" s="358"/>
    </row>
    <row r="648">
      <c r="A648" s="358"/>
      <c r="B648" s="358"/>
      <c r="C648" s="358"/>
      <c r="D648" s="358"/>
      <c r="E648" s="358"/>
      <c r="F648" s="358"/>
      <c r="G648" s="358"/>
      <c r="H648" s="358"/>
      <c r="I648" s="358"/>
      <c r="J648" s="358"/>
      <c r="K648" s="358"/>
      <c r="L648" s="358"/>
      <c r="M648" s="358"/>
      <c r="N648" s="358"/>
      <c r="O648" s="358"/>
      <c r="P648" s="358"/>
      <c r="Q648" s="358"/>
      <c r="R648" s="358"/>
      <c r="S648" s="358"/>
      <c r="T648" s="358"/>
      <c r="U648" s="358"/>
      <c r="V648" s="358"/>
      <c r="W648" s="358"/>
      <c r="X648" s="358"/>
      <c r="Y648" s="358"/>
      <c r="Z648" s="358"/>
      <c r="AA648" s="358"/>
    </row>
    <row r="649">
      <c r="A649" s="358"/>
      <c r="B649" s="358"/>
      <c r="C649" s="358"/>
      <c r="D649" s="358"/>
      <c r="E649" s="358"/>
      <c r="F649" s="358"/>
      <c r="G649" s="358"/>
      <c r="H649" s="358"/>
      <c r="I649" s="358"/>
      <c r="J649" s="358"/>
      <c r="K649" s="358"/>
      <c r="L649" s="358"/>
      <c r="M649" s="358"/>
      <c r="N649" s="358"/>
      <c r="O649" s="358"/>
      <c r="P649" s="358"/>
      <c r="Q649" s="358"/>
      <c r="R649" s="358"/>
      <c r="S649" s="358"/>
      <c r="T649" s="358"/>
      <c r="U649" s="358"/>
      <c r="V649" s="358"/>
      <c r="W649" s="358"/>
      <c r="X649" s="358"/>
      <c r="Y649" s="358"/>
      <c r="Z649" s="358"/>
      <c r="AA649" s="358"/>
    </row>
    <row r="650">
      <c r="A650" s="358"/>
      <c r="B650" s="358"/>
      <c r="C650" s="358"/>
      <c r="D650" s="358"/>
      <c r="E650" s="358"/>
      <c r="F650" s="358"/>
      <c r="G650" s="358"/>
      <c r="H650" s="358"/>
      <c r="I650" s="358"/>
      <c r="J650" s="358"/>
      <c r="K650" s="358"/>
      <c r="L650" s="358"/>
      <c r="M650" s="358"/>
      <c r="N650" s="358"/>
      <c r="O650" s="358"/>
      <c r="P650" s="358"/>
      <c r="Q650" s="358"/>
      <c r="R650" s="358"/>
      <c r="S650" s="358"/>
      <c r="T650" s="358"/>
      <c r="U650" s="358"/>
      <c r="V650" s="358"/>
      <c r="W650" s="358"/>
      <c r="X650" s="358"/>
      <c r="Y650" s="358"/>
      <c r="Z650" s="358"/>
      <c r="AA650" s="358"/>
    </row>
    <row r="651">
      <c r="A651" s="358"/>
      <c r="B651" s="358"/>
      <c r="C651" s="358"/>
      <c r="D651" s="358"/>
      <c r="E651" s="358"/>
      <c r="F651" s="358"/>
      <c r="G651" s="358"/>
      <c r="H651" s="358"/>
      <c r="I651" s="358"/>
      <c r="J651" s="358"/>
      <c r="K651" s="358"/>
      <c r="L651" s="358"/>
      <c r="M651" s="358"/>
      <c r="N651" s="358"/>
      <c r="O651" s="358"/>
      <c r="P651" s="358"/>
      <c r="Q651" s="358"/>
      <c r="R651" s="358"/>
      <c r="S651" s="358"/>
      <c r="T651" s="358"/>
      <c r="U651" s="358"/>
      <c r="V651" s="358"/>
      <c r="W651" s="358"/>
      <c r="X651" s="358"/>
      <c r="Y651" s="358"/>
      <c r="Z651" s="358"/>
      <c r="AA651" s="358"/>
    </row>
    <row r="652">
      <c r="A652" s="358"/>
      <c r="B652" s="358"/>
      <c r="C652" s="358"/>
      <c r="D652" s="358"/>
      <c r="E652" s="358"/>
      <c r="F652" s="358"/>
      <c r="G652" s="358"/>
      <c r="H652" s="358"/>
      <c r="I652" s="358"/>
      <c r="J652" s="358"/>
      <c r="K652" s="358"/>
      <c r="L652" s="358"/>
      <c r="M652" s="358"/>
      <c r="N652" s="358"/>
      <c r="O652" s="358"/>
      <c r="P652" s="358"/>
      <c r="Q652" s="358"/>
      <c r="R652" s="358"/>
      <c r="S652" s="358"/>
      <c r="T652" s="358"/>
      <c r="U652" s="358"/>
      <c r="V652" s="358"/>
      <c r="W652" s="358"/>
      <c r="X652" s="358"/>
      <c r="Y652" s="358"/>
      <c r="Z652" s="358"/>
      <c r="AA652" s="358"/>
    </row>
    <row r="653">
      <c r="A653" s="358"/>
      <c r="B653" s="358"/>
      <c r="C653" s="358"/>
      <c r="D653" s="358"/>
      <c r="E653" s="358"/>
      <c r="F653" s="358"/>
      <c r="G653" s="358"/>
      <c r="H653" s="358"/>
      <c r="I653" s="358"/>
      <c r="J653" s="358"/>
      <c r="K653" s="358"/>
      <c r="L653" s="358"/>
      <c r="M653" s="358"/>
      <c r="N653" s="358"/>
      <c r="O653" s="358"/>
      <c r="P653" s="358"/>
      <c r="Q653" s="358"/>
      <c r="R653" s="358"/>
      <c r="S653" s="358"/>
      <c r="T653" s="358"/>
      <c r="U653" s="358"/>
      <c r="V653" s="358"/>
      <c r="W653" s="358"/>
      <c r="X653" s="358"/>
      <c r="Y653" s="358"/>
      <c r="Z653" s="358"/>
      <c r="AA653" s="358"/>
    </row>
    <row r="654">
      <c r="A654" s="358"/>
      <c r="B654" s="358"/>
      <c r="C654" s="358"/>
      <c r="D654" s="358"/>
      <c r="E654" s="358"/>
      <c r="F654" s="358"/>
      <c r="G654" s="358"/>
      <c r="H654" s="358"/>
      <c r="I654" s="358"/>
      <c r="J654" s="358"/>
      <c r="K654" s="358"/>
      <c r="L654" s="358"/>
      <c r="M654" s="358"/>
      <c r="N654" s="358"/>
      <c r="O654" s="358"/>
      <c r="P654" s="358"/>
      <c r="Q654" s="358"/>
      <c r="R654" s="358"/>
      <c r="S654" s="358"/>
      <c r="T654" s="358"/>
      <c r="U654" s="358"/>
      <c r="V654" s="358"/>
      <c r="W654" s="358"/>
      <c r="X654" s="358"/>
      <c r="Y654" s="358"/>
      <c r="Z654" s="358"/>
      <c r="AA654" s="358"/>
    </row>
    <row r="655">
      <c r="A655" s="358"/>
      <c r="B655" s="358"/>
      <c r="C655" s="358"/>
      <c r="D655" s="358"/>
      <c r="E655" s="358"/>
      <c r="F655" s="358"/>
      <c r="G655" s="358"/>
      <c r="H655" s="358"/>
      <c r="I655" s="358"/>
      <c r="J655" s="358"/>
      <c r="K655" s="358"/>
      <c r="L655" s="358"/>
      <c r="M655" s="358"/>
      <c r="N655" s="358"/>
      <c r="O655" s="358"/>
      <c r="P655" s="358"/>
      <c r="Q655" s="358"/>
      <c r="R655" s="358"/>
      <c r="S655" s="358"/>
      <c r="T655" s="358"/>
      <c r="U655" s="358"/>
      <c r="V655" s="358"/>
      <c r="W655" s="358"/>
      <c r="X655" s="358"/>
      <c r="Y655" s="358"/>
      <c r="Z655" s="358"/>
      <c r="AA655" s="358"/>
    </row>
    <row r="656">
      <c r="A656" s="358"/>
      <c r="B656" s="358"/>
      <c r="C656" s="358"/>
      <c r="D656" s="358"/>
      <c r="E656" s="358"/>
      <c r="F656" s="358"/>
      <c r="G656" s="358"/>
      <c r="H656" s="358"/>
      <c r="I656" s="358"/>
      <c r="J656" s="358"/>
      <c r="K656" s="358"/>
      <c r="L656" s="358"/>
      <c r="M656" s="358"/>
      <c r="N656" s="358"/>
      <c r="O656" s="358"/>
      <c r="P656" s="358"/>
      <c r="Q656" s="358"/>
      <c r="R656" s="358"/>
      <c r="S656" s="358"/>
      <c r="T656" s="358"/>
      <c r="U656" s="358"/>
      <c r="V656" s="358"/>
      <c r="W656" s="358"/>
      <c r="X656" s="358"/>
      <c r="Y656" s="358"/>
      <c r="Z656" s="358"/>
      <c r="AA656" s="358"/>
    </row>
    <row r="657">
      <c r="A657" s="358"/>
      <c r="B657" s="358"/>
      <c r="C657" s="358"/>
      <c r="D657" s="358"/>
      <c r="E657" s="358"/>
      <c r="F657" s="358"/>
      <c r="G657" s="358"/>
      <c r="H657" s="358"/>
      <c r="I657" s="358"/>
      <c r="J657" s="358"/>
      <c r="K657" s="358"/>
      <c r="L657" s="358"/>
      <c r="M657" s="358"/>
      <c r="N657" s="358"/>
      <c r="O657" s="358"/>
      <c r="P657" s="358"/>
      <c r="Q657" s="358"/>
      <c r="R657" s="358"/>
      <c r="S657" s="358"/>
      <c r="T657" s="358"/>
      <c r="U657" s="358"/>
      <c r="V657" s="358"/>
      <c r="W657" s="358"/>
      <c r="X657" s="358"/>
      <c r="Y657" s="358"/>
      <c r="Z657" s="358"/>
      <c r="AA657" s="358"/>
    </row>
    <row r="658">
      <c r="A658" s="358"/>
      <c r="B658" s="358"/>
      <c r="C658" s="358"/>
      <c r="D658" s="358"/>
      <c r="E658" s="358"/>
      <c r="F658" s="358"/>
      <c r="G658" s="358"/>
      <c r="H658" s="358"/>
      <c r="I658" s="358"/>
      <c r="J658" s="358"/>
      <c r="K658" s="358"/>
      <c r="L658" s="358"/>
      <c r="M658" s="358"/>
      <c r="N658" s="358"/>
      <c r="O658" s="358"/>
      <c r="P658" s="358"/>
      <c r="Q658" s="358"/>
      <c r="R658" s="358"/>
      <c r="S658" s="358"/>
      <c r="T658" s="358"/>
      <c r="U658" s="358"/>
      <c r="V658" s="358"/>
      <c r="W658" s="358"/>
      <c r="X658" s="358"/>
      <c r="Y658" s="358"/>
      <c r="Z658" s="358"/>
      <c r="AA658" s="358"/>
    </row>
    <row r="659">
      <c r="A659" s="358"/>
      <c r="B659" s="358"/>
      <c r="C659" s="358"/>
      <c r="D659" s="358"/>
      <c r="E659" s="358"/>
      <c r="F659" s="358"/>
      <c r="G659" s="358"/>
      <c r="H659" s="358"/>
      <c r="I659" s="358"/>
      <c r="J659" s="358"/>
      <c r="K659" s="358"/>
      <c r="L659" s="358"/>
      <c r="M659" s="358"/>
      <c r="N659" s="358"/>
      <c r="O659" s="358"/>
      <c r="P659" s="358"/>
      <c r="Q659" s="358"/>
      <c r="R659" s="358"/>
      <c r="S659" s="358"/>
      <c r="T659" s="358"/>
      <c r="U659" s="358"/>
      <c r="V659" s="358"/>
      <c r="W659" s="358"/>
      <c r="X659" s="358"/>
      <c r="Y659" s="358"/>
      <c r="Z659" s="358"/>
      <c r="AA659" s="358"/>
    </row>
    <row r="660">
      <c r="A660" s="358"/>
      <c r="B660" s="358"/>
      <c r="C660" s="358"/>
      <c r="D660" s="358"/>
      <c r="E660" s="358"/>
      <c r="F660" s="358"/>
      <c r="G660" s="358"/>
      <c r="H660" s="358"/>
      <c r="I660" s="358"/>
      <c r="J660" s="358"/>
      <c r="K660" s="358"/>
      <c r="L660" s="358"/>
      <c r="M660" s="358"/>
      <c r="N660" s="358"/>
      <c r="O660" s="358"/>
      <c r="P660" s="358"/>
      <c r="Q660" s="358"/>
      <c r="R660" s="358"/>
      <c r="S660" s="358"/>
      <c r="T660" s="358"/>
      <c r="U660" s="358"/>
      <c r="V660" s="358"/>
      <c r="W660" s="358"/>
      <c r="X660" s="358"/>
      <c r="Y660" s="358"/>
      <c r="Z660" s="358"/>
      <c r="AA660" s="358"/>
    </row>
    <row r="661">
      <c r="A661" s="358"/>
      <c r="B661" s="358"/>
      <c r="C661" s="358"/>
      <c r="D661" s="358"/>
      <c r="E661" s="358"/>
      <c r="F661" s="358"/>
      <c r="G661" s="358"/>
      <c r="H661" s="358"/>
      <c r="I661" s="358"/>
      <c r="J661" s="358"/>
      <c r="K661" s="358"/>
      <c r="L661" s="358"/>
      <c r="M661" s="358"/>
      <c r="N661" s="358"/>
      <c r="O661" s="358"/>
      <c r="P661" s="358"/>
      <c r="Q661" s="358"/>
      <c r="R661" s="358"/>
      <c r="S661" s="358"/>
      <c r="T661" s="358"/>
      <c r="U661" s="358"/>
      <c r="V661" s="358"/>
      <c r="W661" s="358"/>
      <c r="X661" s="358"/>
      <c r="Y661" s="358"/>
      <c r="Z661" s="358"/>
      <c r="AA661" s="358"/>
    </row>
    <row r="662">
      <c r="A662" s="358"/>
      <c r="B662" s="358"/>
      <c r="C662" s="358"/>
      <c r="D662" s="358"/>
      <c r="E662" s="358"/>
      <c r="F662" s="358"/>
      <c r="G662" s="358"/>
      <c r="H662" s="358"/>
      <c r="I662" s="358"/>
      <c r="J662" s="358"/>
      <c r="K662" s="358"/>
      <c r="L662" s="358"/>
      <c r="M662" s="358"/>
      <c r="N662" s="358"/>
      <c r="O662" s="358"/>
      <c r="P662" s="358"/>
      <c r="Q662" s="358"/>
      <c r="R662" s="358"/>
      <c r="S662" s="358"/>
      <c r="T662" s="358"/>
      <c r="U662" s="358"/>
      <c r="V662" s="358"/>
      <c r="W662" s="358"/>
      <c r="X662" s="358"/>
      <c r="Y662" s="358"/>
      <c r="Z662" s="358"/>
      <c r="AA662" s="358"/>
    </row>
    <row r="663">
      <c r="A663" s="358"/>
      <c r="B663" s="358"/>
      <c r="C663" s="358"/>
      <c r="D663" s="358"/>
      <c r="E663" s="358"/>
      <c r="F663" s="358"/>
      <c r="G663" s="358"/>
      <c r="H663" s="358"/>
      <c r="I663" s="358"/>
      <c r="J663" s="358"/>
      <c r="K663" s="358"/>
      <c r="L663" s="358"/>
      <c r="M663" s="358"/>
      <c r="N663" s="358"/>
      <c r="O663" s="358"/>
      <c r="P663" s="358"/>
      <c r="Q663" s="358"/>
      <c r="R663" s="358"/>
      <c r="S663" s="358"/>
      <c r="T663" s="358"/>
      <c r="U663" s="358"/>
      <c r="V663" s="358"/>
      <c r="W663" s="358"/>
      <c r="X663" s="358"/>
      <c r="Y663" s="358"/>
      <c r="Z663" s="358"/>
      <c r="AA663" s="358"/>
    </row>
    <row r="664">
      <c r="A664" s="358"/>
      <c r="B664" s="358"/>
      <c r="C664" s="358"/>
      <c r="D664" s="358"/>
      <c r="E664" s="358"/>
      <c r="F664" s="358"/>
      <c r="G664" s="358"/>
      <c r="H664" s="358"/>
      <c r="I664" s="358"/>
      <c r="J664" s="358"/>
      <c r="K664" s="358"/>
      <c r="L664" s="358"/>
      <c r="M664" s="358"/>
      <c r="N664" s="358"/>
      <c r="O664" s="358"/>
      <c r="P664" s="358"/>
      <c r="Q664" s="358"/>
      <c r="R664" s="358"/>
      <c r="S664" s="358"/>
      <c r="T664" s="358"/>
      <c r="U664" s="358"/>
      <c r="V664" s="358"/>
      <c r="W664" s="358"/>
      <c r="X664" s="358"/>
      <c r="Y664" s="358"/>
      <c r="Z664" s="358"/>
      <c r="AA664" s="358"/>
    </row>
    <row r="665">
      <c r="A665" s="358"/>
      <c r="B665" s="358"/>
      <c r="C665" s="358"/>
      <c r="D665" s="358"/>
      <c r="E665" s="358"/>
      <c r="F665" s="358"/>
      <c r="G665" s="358"/>
      <c r="H665" s="358"/>
      <c r="I665" s="358"/>
      <c r="J665" s="358"/>
      <c r="K665" s="358"/>
      <c r="L665" s="358"/>
      <c r="M665" s="358"/>
      <c r="N665" s="358"/>
      <c r="O665" s="358"/>
      <c r="P665" s="358"/>
      <c r="Q665" s="358"/>
      <c r="R665" s="358"/>
      <c r="S665" s="358"/>
      <c r="T665" s="358"/>
      <c r="U665" s="358"/>
      <c r="V665" s="358"/>
      <c r="W665" s="358"/>
      <c r="X665" s="358"/>
      <c r="Y665" s="358"/>
      <c r="Z665" s="358"/>
      <c r="AA665" s="358"/>
    </row>
    <row r="666">
      <c r="A666" s="358"/>
      <c r="B666" s="358"/>
      <c r="C666" s="358"/>
      <c r="D666" s="358"/>
      <c r="E666" s="358"/>
      <c r="F666" s="358"/>
      <c r="G666" s="358"/>
      <c r="H666" s="358"/>
      <c r="I666" s="358"/>
      <c r="J666" s="358"/>
      <c r="K666" s="358"/>
      <c r="L666" s="358"/>
      <c r="M666" s="358"/>
      <c r="N666" s="358"/>
      <c r="O666" s="358"/>
      <c r="P666" s="358"/>
      <c r="Q666" s="358"/>
      <c r="R666" s="358"/>
      <c r="S666" s="358"/>
      <c r="T666" s="358"/>
      <c r="U666" s="358"/>
      <c r="V666" s="358"/>
      <c r="W666" s="358"/>
      <c r="X666" s="358"/>
      <c r="Y666" s="358"/>
      <c r="Z666" s="358"/>
      <c r="AA666" s="358"/>
    </row>
    <row r="667">
      <c r="A667" s="358"/>
      <c r="B667" s="358"/>
      <c r="C667" s="358"/>
      <c r="D667" s="358"/>
      <c r="E667" s="358"/>
      <c r="F667" s="358"/>
      <c r="G667" s="358"/>
      <c r="H667" s="358"/>
      <c r="I667" s="358"/>
      <c r="J667" s="358"/>
      <c r="K667" s="358"/>
      <c r="L667" s="358"/>
      <c r="M667" s="358"/>
      <c r="N667" s="358"/>
      <c r="O667" s="358"/>
      <c r="P667" s="358"/>
      <c r="Q667" s="358"/>
      <c r="R667" s="358"/>
      <c r="S667" s="358"/>
      <c r="T667" s="358"/>
      <c r="U667" s="358"/>
      <c r="V667" s="358"/>
      <c r="W667" s="358"/>
      <c r="X667" s="358"/>
      <c r="Y667" s="358"/>
      <c r="Z667" s="358"/>
      <c r="AA667" s="358"/>
    </row>
    <row r="668">
      <c r="A668" s="358"/>
      <c r="B668" s="358"/>
      <c r="C668" s="358"/>
      <c r="D668" s="358"/>
      <c r="E668" s="358"/>
      <c r="F668" s="358"/>
      <c r="G668" s="358"/>
      <c r="H668" s="358"/>
      <c r="I668" s="358"/>
      <c r="J668" s="358"/>
      <c r="K668" s="358"/>
      <c r="L668" s="358"/>
      <c r="M668" s="358"/>
      <c r="N668" s="358"/>
      <c r="O668" s="358"/>
      <c r="P668" s="358"/>
      <c r="Q668" s="358"/>
      <c r="R668" s="358"/>
      <c r="S668" s="358"/>
      <c r="T668" s="358"/>
      <c r="U668" s="358"/>
      <c r="V668" s="358"/>
      <c r="W668" s="358"/>
      <c r="X668" s="358"/>
      <c r="Y668" s="358"/>
      <c r="Z668" s="358"/>
      <c r="AA668" s="358"/>
    </row>
    <row r="669">
      <c r="A669" s="358"/>
      <c r="B669" s="358"/>
      <c r="C669" s="358"/>
      <c r="D669" s="358"/>
      <c r="E669" s="358"/>
      <c r="F669" s="358"/>
      <c r="G669" s="358"/>
      <c r="H669" s="358"/>
      <c r="I669" s="358"/>
      <c r="J669" s="358"/>
      <c r="K669" s="358"/>
      <c r="L669" s="358"/>
      <c r="M669" s="358"/>
      <c r="N669" s="358"/>
      <c r="O669" s="358"/>
      <c r="P669" s="358"/>
      <c r="Q669" s="358"/>
      <c r="R669" s="358"/>
      <c r="S669" s="358"/>
      <c r="T669" s="358"/>
      <c r="U669" s="358"/>
      <c r="V669" s="358"/>
      <c r="W669" s="358"/>
      <c r="X669" s="358"/>
      <c r="Y669" s="358"/>
      <c r="Z669" s="358"/>
      <c r="AA669" s="358"/>
    </row>
    <row r="670">
      <c r="A670" s="358"/>
      <c r="B670" s="358"/>
      <c r="C670" s="358"/>
      <c r="D670" s="358"/>
      <c r="E670" s="358"/>
      <c r="F670" s="358"/>
      <c r="G670" s="358"/>
      <c r="H670" s="358"/>
      <c r="I670" s="358"/>
      <c r="J670" s="358"/>
      <c r="K670" s="358"/>
      <c r="L670" s="358"/>
      <c r="M670" s="358"/>
      <c r="N670" s="358"/>
      <c r="O670" s="358"/>
      <c r="P670" s="358"/>
      <c r="Q670" s="358"/>
      <c r="R670" s="358"/>
      <c r="S670" s="358"/>
      <c r="T670" s="358"/>
      <c r="U670" s="358"/>
      <c r="V670" s="358"/>
      <c r="W670" s="358"/>
      <c r="X670" s="358"/>
      <c r="Y670" s="358"/>
      <c r="Z670" s="358"/>
      <c r="AA670" s="358"/>
    </row>
    <row r="671">
      <c r="A671" s="358"/>
      <c r="B671" s="358"/>
      <c r="C671" s="358"/>
      <c r="D671" s="358"/>
      <c r="E671" s="358"/>
      <c r="F671" s="358"/>
      <c r="G671" s="358"/>
      <c r="H671" s="358"/>
      <c r="I671" s="358"/>
      <c r="J671" s="358"/>
      <c r="K671" s="358"/>
      <c r="L671" s="358"/>
      <c r="M671" s="358"/>
      <c r="N671" s="358"/>
      <c r="O671" s="358"/>
      <c r="P671" s="358"/>
      <c r="Q671" s="358"/>
      <c r="R671" s="358"/>
      <c r="S671" s="358"/>
      <c r="T671" s="358"/>
      <c r="U671" s="358"/>
      <c r="V671" s="358"/>
      <c r="W671" s="358"/>
      <c r="X671" s="358"/>
      <c r="Y671" s="358"/>
      <c r="Z671" s="358"/>
      <c r="AA671" s="358"/>
    </row>
    <row r="672">
      <c r="A672" s="358"/>
      <c r="B672" s="358"/>
      <c r="C672" s="358"/>
      <c r="D672" s="358"/>
      <c r="E672" s="358"/>
      <c r="F672" s="358"/>
      <c r="G672" s="358"/>
      <c r="H672" s="358"/>
      <c r="I672" s="358"/>
      <c r="J672" s="358"/>
      <c r="K672" s="358"/>
      <c r="L672" s="358"/>
      <c r="M672" s="358"/>
      <c r="N672" s="358"/>
      <c r="O672" s="358"/>
      <c r="P672" s="358"/>
      <c r="Q672" s="358"/>
      <c r="R672" s="358"/>
      <c r="S672" s="358"/>
      <c r="T672" s="358"/>
      <c r="U672" s="358"/>
      <c r="V672" s="358"/>
      <c r="W672" s="358"/>
      <c r="X672" s="358"/>
      <c r="Y672" s="358"/>
      <c r="Z672" s="358"/>
      <c r="AA672" s="358"/>
    </row>
    <row r="673">
      <c r="A673" s="358"/>
      <c r="B673" s="358"/>
      <c r="C673" s="358"/>
      <c r="D673" s="358"/>
      <c r="E673" s="358"/>
      <c r="F673" s="358"/>
      <c r="G673" s="358"/>
      <c r="H673" s="358"/>
      <c r="I673" s="358"/>
      <c r="J673" s="358"/>
      <c r="K673" s="358"/>
      <c r="L673" s="358"/>
      <c r="M673" s="358"/>
      <c r="N673" s="358"/>
      <c r="O673" s="358"/>
      <c r="P673" s="358"/>
      <c r="Q673" s="358"/>
      <c r="R673" s="358"/>
      <c r="S673" s="358"/>
      <c r="T673" s="358"/>
      <c r="U673" s="358"/>
      <c r="V673" s="358"/>
      <c r="W673" s="358"/>
      <c r="X673" s="358"/>
      <c r="Y673" s="358"/>
      <c r="Z673" s="358"/>
      <c r="AA673" s="358"/>
    </row>
    <row r="674">
      <c r="A674" s="358"/>
      <c r="B674" s="358"/>
      <c r="C674" s="358"/>
      <c r="D674" s="358"/>
      <c r="E674" s="358"/>
      <c r="F674" s="358"/>
      <c r="G674" s="358"/>
      <c r="H674" s="358"/>
      <c r="I674" s="358"/>
      <c r="J674" s="358"/>
      <c r="K674" s="358"/>
      <c r="L674" s="358"/>
      <c r="M674" s="358"/>
      <c r="N674" s="358"/>
      <c r="O674" s="358"/>
      <c r="P674" s="358"/>
      <c r="Q674" s="358"/>
      <c r="R674" s="358"/>
      <c r="S674" s="358"/>
      <c r="T674" s="358"/>
      <c r="U674" s="358"/>
      <c r="V674" s="358"/>
      <c r="W674" s="358"/>
      <c r="X674" s="358"/>
      <c r="Y674" s="358"/>
      <c r="Z674" s="358"/>
      <c r="AA674" s="358"/>
    </row>
    <row r="675">
      <c r="A675" s="358"/>
      <c r="B675" s="358"/>
      <c r="C675" s="358"/>
      <c r="D675" s="358"/>
      <c r="E675" s="358"/>
      <c r="F675" s="358"/>
      <c r="G675" s="358"/>
      <c r="H675" s="358"/>
      <c r="I675" s="358"/>
      <c r="J675" s="358"/>
      <c r="K675" s="358"/>
      <c r="L675" s="358"/>
      <c r="M675" s="358"/>
      <c r="N675" s="358"/>
      <c r="O675" s="358"/>
      <c r="P675" s="358"/>
      <c r="Q675" s="358"/>
      <c r="R675" s="358"/>
      <c r="S675" s="358"/>
      <c r="T675" s="358"/>
      <c r="U675" s="358"/>
      <c r="V675" s="358"/>
      <c r="W675" s="358"/>
      <c r="X675" s="358"/>
      <c r="Y675" s="358"/>
      <c r="Z675" s="358"/>
      <c r="AA675" s="358"/>
    </row>
    <row r="676">
      <c r="A676" s="358"/>
      <c r="B676" s="358"/>
      <c r="C676" s="358"/>
      <c r="D676" s="358"/>
      <c r="E676" s="358"/>
      <c r="F676" s="358"/>
      <c r="G676" s="358"/>
      <c r="H676" s="358"/>
      <c r="I676" s="358"/>
      <c r="J676" s="358"/>
      <c r="K676" s="358"/>
      <c r="L676" s="358"/>
      <c r="M676" s="358"/>
      <c r="N676" s="358"/>
      <c r="O676" s="358"/>
      <c r="P676" s="358"/>
      <c r="Q676" s="358"/>
      <c r="R676" s="358"/>
      <c r="S676" s="358"/>
      <c r="T676" s="358"/>
      <c r="U676" s="358"/>
      <c r="V676" s="358"/>
      <c r="W676" s="358"/>
      <c r="X676" s="358"/>
      <c r="Y676" s="358"/>
      <c r="Z676" s="358"/>
      <c r="AA676" s="358"/>
    </row>
    <row r="677">
      <c r="A677" s="358"/>
      <c r="B677" s="358"/>
      <c r="C677" s="358"/>
      <c r="D677" s="358"/>
      <c r="E677" s="358"/>
      <c r="F677" s="358"/>
      <c r="G677" s="358"/>
      <c r="H677" s="358"/>
      <c r="I677" s="358"/>
      <c r="J677" s="358"/>
      <c r="K677" s="358"/>
      <c r="L677" s="358"/>
      <c r="M677" s="358"/>
      <c r="N677" s="358"/>
      <c r="O677" s="358"/>
      <c r="P677" s="358"/>
      <c r="Q677" s="358"/>
      <c r="R677" s="358"/>
      <c r="S677" s="358"/>
      <c r="T677" s="358"/>
      <c r="U677" s="358"/>
      <c r="V677" s="358"/>
      <c r="W677" s="358"/>
      <c r="X677" s="358"/>
      <c r="Y677" s="358"/>
      <c r="Z677" s="358"/>
      <c r="AA677" s="358"/>
    </row>
    <row r="678">
      <c r="A678" s="358"/>
      <c r="B678" s="358"/>
      <c r="C678" s="358"/>
      <c r="D678" s="358"/>
      <c r="E678" s="358"/>
      <c r="F678" s="358"/>
      <c r="G678" s="358"/>
      <c r="H678" s="358"/>
      <c r="I678" s="358"/>
      <c r="J678" s="358"/>
      <c r="K678" s="358"/>
      <c r="L678" s="358"/>
      <c r="M678" s="358"/>
      <c r="N678" s="358"/>
      <c r="O678" s="358"/>
      <c r="P678" s="358"/>
      <c r="Q678" s="358"/>
      <c r="R678" s="358"/>
      <c r="S678" s="358"/>
      <c r="T678" s="358"/>
      <c r="U678" s="358"/>
      <c r="V678" s="358"/>
      <c r="W678" s="358"/>
      <c r="X678" s="358"/>
      <c r="Y678" s="358"/>
      <c r="Z678" s="358"/>
      <c r="AA678" s="358"/>
    </row>
    <row r="679">
      <c r="A679" s="358"/>
      <c r="B679" s="358"/>
      <c r="C679" s="358"/>
      <c r="D679" s="358"/>
      <c r="E679" s="358"/>
      <c r="F679" s="358"/>
      <c r="G679" s="358"/>
      <c r="H679" s="358"/>
      <c r="I679" s="358"/>
      <c r="J679" s="358"/>
      <c r="K679" s="358"/>
      <c r="L679" s="358"/>
      <c r="M679" s="358"/>
      <c r="N679" s="358"/>
      <c r="O679" s="358"/>
      <c r="P679" s="358"/>
      <c r="Q679" s="358"/>
      <c r="R679" s="358"/>
      <c r="S679" s="358"/>
      <c r="T679" s="358"/>
      <c r="U679" s="358"/>
      <c r="V679" s="358"/>
      <c r="W679" s="358"/>
      <c r="X679" s="358"/>
      <c r="Y679" s="358"/>
      <c r="Z679" s="358"/>
      <c r="AA679" s="358"/>
    </row>
    <row r="680">
      <c r="A680" s="358"/>
      <c r="B680" s="358"/>
      <c r="C680" s="358"/>
      <c r="D680" s="358"/>
      <c r="E680" s="358"/>
      <c r="F680" s="358"/>
      <c r="G680" s="358"/>
      <c r="H680" s="358"/>
      <c r="I680" s="358"/>
      <c r="J680" s="358"/>
      <c r="K680" s="358"/>
      <c r="L680" s="358"/>
      <c r="M680" s="358"/>
      <c r="N680" s="358"/>
      <c r="O680" s="358"/>
      <c r="P680" s="358"/>
      <c r="Q680" s="358"/>
      <c r="R680" s="358"/>
      <c r="S680" s="358"/>
      <c r="T680" s="358"/>
      <c r="U680" s="358"/>
      <c r="V680" s="358"/>
      <c r="W680" s="358"/>
      <c r="X680" s="358"/>
      <c r="Y680" s="358"/>
      <c r="Z680" s="358"/>
      <c r="AA680" s="358"/>
    </row>
    <row r="681">
      <c r="A681" s="358"/>
      <c r="B681" s="358"/>
      <c r="C681" s="358"/>
      <c r="D681" s="358"/>
      <c r="E681" s="358"/>
      <c r="F681" s="358"/>
      <c r="G681" s="358"/>
      <c r="H681" s="358"/>
      <c r="I681" s="358"/>
      <c r="J681" s="358"/>
      <c r="K681" s="358"/>
      <c r="L681" s="358"/>
      <c r="M681" s="358"/>
      <c r="N681" s="358"/>
      <c r="O681" s="358"/>
      <c r="P681" s="358"/>
      <c r="Q681" s="358"/>
      <c r="R681" s="358"/>
      <c r="S681" s="358"/>
      <c r="T681" s="358"/>
      <c r="U681" s="358"/>
      <c r="V681" s="358"/>
      <c r="W681" s="358"/>
      <c r="X681" s="358"/>
      <c r="Y681" s="358"/>
      <c r="Z681" s="358"/>
      <c r="AA681" s="358"/>
    </row>
    <row r="682">
      <c r="A682" s="358"/>
      <c r="B682" s="358"/>
      <c r="C682" s="358"/>
      <c r="D682" s="358"/>
      <c r="E682" s="358"/>
      <c r="F682" s="358"/>
      <c r="G682" s="358"/>
      <c r="H682" s="358"/>
      <c r="I682" s="358"/>
      <c r="J682" s="358"/>
      <c r="K682" s="358"/>
      <c r="L682" s="358"/>
      <c r="M682" s="358"/>
      <c r="N682" s="358"/>
      <c r="O682" s="358"/>
      <c r="P682" s="358"/>
      <c r="Q682" s="358"/>
      <c r="R682" s="358"/>
      <c r="S682" s="358"/>
      <c r="T682" s="358"/>
      <c r="U682" s="358"/>
      <c r="V682" s="358"/>
      <c r="W682" s="358"/>
      <c r="X682" s="358"/>
      <c r="Y682" s="358"/>
      <c r="Z682" s="358"/>
      <c r="AA682" s="358"/>
    </row>
    <row r="683">
      <c r="A683" s="358"/>
      <c r="B683" s="358"/>
      <c r="C683" s="358"/>
      <c r="D683" s="358"/>
      <c r="E683" s="358"/>
      <c r="F683" s="358"/>
      <c r="G683" s="358"/>
      <c r="H683" s="358"/>
      <c r="I683" s="358"/>
      <c r="J683" s="358"/>
      <c r="K683" s="358"/>
      <c r="L683" s="358"/>
      <c r="M683" s="358"/>
      <c r="N683" s="358"/>
      <c r="O683" s="358"/>
      <c r="P683" s="358"/>
      <c r="Q683" s="358"/>
      <c r="R683" s="358"/>
      <c r="S683" s="358"/>
      <c r="T683" s="358"/>
      <c r="U683" s="358"/>
      <c r="V683" s="358"/>
      <c r="W683" s="358"/>
      <c r="X683" s="358"/>
      <c r="Y683" s="358"/>
      <c r="Z683" s="358"/>
      <c r="AA683" s="358"/>
    </row>
    <row r="684">
      <c r="A684" s="358"/>
      <c r="B684" s="358"/>
      <c r="C684" s="358"/>
      <c r="D684" s="358"/>
      <c r="E684" s="358"/>
      <c r="F684" s="358"/>
      <c r="G684" s="358"/>
      <c r="H684" s="358"/>
      <c r="I684" s="358"/>
      <c r="J684" s="358"/>
      <c r="K684" s="358"/>
      <c r="L684" s="358"/>
      <c r="M684" s="358"/>
      <c r="N684" s="358"/>
      <c r="O684" s="358"/>
      <c r="P684" s="358"/>
      <c r="Q684" s="358"/>
      <c r="R684" s="358"/>
      <c r="S684" s="358"/>
      <c r="T684" s="358"/>
      <c r="U684" s="358"/>
      <c r="V684" s="358"/>
      <c r="W684" s="358"/>
      <c r="X684" s="358"/>
      <c r="Y684" s="358"/>
      <c r="Z684" s="358"/>
      <c r="AA684" s="358"/>
    </row>
    <row r="685">
      <c r="A685" s="358"/>
      <c r="B685" s="358"/>
      <c r="C685" s="358"/>
      <c r="D685" s="358"/>
      <c r="E685" s="358"/>
      <c r="F685" s="358"/>
      <c r="G685" s="358"/>
      <c r="H685" s="358"/>
      <c r="I685" s="358"/>
      <c r="J685" s="358"/>
      <c r="K685" s="358"/>
      <c r="L685" s="358"/>
      <c r="M685" s="358"/>
      <c r="N685" s="358"/>
      <c r="O685" s="358"/>
      <c r="P685" s="358"/>
      <c r="Q685" s="358"/>
      <c r="R685" s="358"/>
      <c r="S685" s="358"/>
      <c r="T685" s="358"/>
      <c r="U685" s="358"/>
      <c r="V685" s="358"/>
      <c r="W685" s="358"/>
      <c r="X685" s="358"/>
      <c r="Y685" s="358"/>
      <c r="Z685" s="358"/>
      <c r="AA685" s="358"/>
    </row>
    <row r="686">
      <c r="A686" s="358"/>
      <c r="B686" s="358"/>
      <c r="C686" s="358"/>
      <c r="D686" s="358"/>
      <c r="E686" s="358"/>
      <c r="F686" s="358"/>
      <c r="G686" s="358"/>
      <c r="H686" s="358"/>
      <c r="I686" s="358"/>
      <c r="J686" s="358"/>
      <c r="K686" s="358"/>
      <c r="L686" s="358"/>
      <c r="M686" s="358"/>
      <c r="N686" s="358"/>
      <c r="O686" s="358"/>
      <c r="P686" s="358"/>
      <c r="Q686" s="358"/>
      <c r="R686" s="358"/>
      <c r="S686" s="358"/>
      <c r="T686" s="358"/>
      <c r="U686" s="358"/>
      <c r="V686" s="358"/>
      <c r="W686" s="358"/>
      <c r="X686" s="358"/>
      <c r="Y686" s="358"/>
      <c r="Z686" s="358"/>
      <c r="AA686" s="358"/>
    </row>
    <row r="687">
      <c r="A687" s="358"/>
      <c r="B687" s="358"/>
      <c r="C687" s="358"/>
      <c r="D687" s="358"/>
      <c r="E687" s="358"/>
      <c r="F687" s="358"/>
      <c r="G687" s="358"/>
      <c r="H687" s="358"/>
      <c r="I687" s="358"/>
      <c r="J687" s="358"/>
      <c r="K687" s="358"/>
      <c r="L687" s="358"/>
      <c r="M687" s="358"/>
      <c r="N687" s="358"/>
      <c r="O687" s="358"/>
      <c r="P687" s="358"/>
      <c r="Q687" s="358"/>
      <c r="R687" s="358"/>
      <c r="S687" s="358"/>
      <c r="T687" s="358"/>
      <c r="U687" s="358"/>
      <c r="V687" s="358"/>
      <c r="W687" s="358"/>
      <c r="X687" s="358"/>
      <c r="Y687" s="358"/>
      <c r="Z687" s="358"/>
      <c r="AA687" s="358"/>
    </row>
    <row r="688">
      <c r="A688" s="358"/>
      <c r="B688" s="358"/>
      <c r="C688" s="358"/>
      <c r="D688" s="358"/>
      <c r="E688" s="358"/>
      <c r="F688" s="358"/>
      <c r="G688" s="358"/>
      <c r="H688" s="358"/>
      <c r="I688" s="358"/>
      <c r="J688" s="358"/>
      <c r="K688" s="358"/>
      <c r="L688" s="358"/>
      <c r="M688" s="358"/>
      <c r="N688" s="358"/>
      <c r="O688" s="358"/>
      <c r="P688" s="358"/>
      <c r="Q688" s="358"/>
      <c r="R688" s="358"/>
      <c r="S688" s="358"/>
      <c r="T688" s="358"/>
      <c r="U688" s="358"/>
      <c r="V688" s="358"/>
      <c r="W688" s="358"/>
      <c r="X688" s="358"/>
      <c r="Y688" s="358"/>
      <c r="Z688" s="358"/>
      <c r="AA688" s="358"/>
    </row>
    <row r="689">
      <c r="A689" s="358"/>
      <c r="B689" s="358"/>
      <c r="C689" s="358"/>
      <c r="D689" s="358"/>
      <c r="E689" s="358"/>
      <c r="F689" s="358"/>
      <c r="G689" s="358"/>
      <c r="H689" s="358"/>
      <c r="I689" s="358"/>
      <c r="J689" s="358"/>
      <c r="K689" s="358"/>
      <c r="L689" s="358"/>
      <c r="M689" s="358"/>
      <c r="N689" s="358"/>
      <c r="O689" s="358"/>
      <c r="P689" s="358"/>
      <c r="Q689" s="358"/>
      <c r="R689" s="358"/>
      <c r="S689" s="358"/>
      <c r="T689" s="358"/>
      <c r="U689" s="358"/>
      <c r="V689" s="358"/>
      <c r="W689" s="358"/>
      <c r="X689" s="358"/>
      <c r="Y689" s="358"/>
      <c r="Z689" s="358"/>
      <c r="AA689" s="358"/>
    </row>
    <row r="690">
      <c r="A690" s="358"/>
      <c r="B690" s="358"/>
      <c r="C690" s="358"/>
      <c r="D690" s="358"/>
      <c r="E690" s="358"/>
      <c r="F690" s="358"/>
      <c r="G690" s="358"/>
      <c r="H690" s="358"/>
      <c r="I690" s="358"/>
      <c r="J690" s="358"/>
      <c r="K690" s="358"/>
      <c r="L690" s="358"/>
      <c r="M690" s="358"/>
      <c r="N690" s="358"/>
      <c r="O690" s="358"/>
      <c r="P690" s="358"/>
      <c r="Q690" s="358"/>
      <c r="R690" s="358"/>
      <c r="S690" s="358"/>
      <c r="T690" s="358"/>
      <c r="U690" s="358"/>
      <c r="V690" s="358"/>
      <c r="W690" s="358"/>
      <c r="X690" s="358"/>
      <c r="Y690" s="358"/>
      <c r="Z690" s="358"/>
      <c r="AA690" s="358"/>
    </row>
    <row r="691">
      <c r="A691" s="358"/>
      <c r="B691" s="358"/>
      <c r="C691" s="358"/>
      <c r="D691" s="358"/>
      <c r="E691" s="358"/>
      <c r="F691" s="358"/>
      <c r="G691" s="358"/>
      <c r="H691" s="358"/>
      <c r="I691" s="358"/>
      <c r="J691" s="358"/>
      <c r="K691" s="358"/>
      <c r="L691" s="358"/>
      <c r="M691" s="358"/>
      <c r="N691" s="358"/>
      <c r="O691" s="358"/>
      <c r="P691" s="358"/>
      <c r="Q691" s="358"/>
      <c r="R691" s="358"/>
      <c r="S691" s="358"/>
      <c r="T691" s="358"/>
      <c r="U691" s="358"/>
      <c r="V691" s="358"/>
      <c r="W691" s="358"/>
      <c r="X691" s="358"/>
      <c r="Y691" s="358"/>
      <c r="Z691" s="358"/>
      <c r="AA691" s="358"/>
    </row>
    <row r="692">
      <c r="A692" s="358"/>
      <c r="B692" s="358"/>
      <c r="C692" s="358"/>
      <c r="D692" s="358"/>
      <c r="E692" s="358"/>
      <c r="F692" s="358"/>
      <c r="G692" s="358"/>
      <c r="H692" s="358"/>
      <c r="I692" s="358"/>
      <c r="J692" s="358"/>
      <c r="K692" s="358"/>
      <c r="L692" s="358"/>
      <c r="M692" s="358"/>
      <c r="N692" s="358"/>
      <c r="O692" s="358"/>
      <c r="P692" s="358"/>
      <c r="Q692" s="358"/>
      <c r="R692" s="358"/>
      <c r="S692" s="358"/>
      <c r="T692" s="358"/>
      <c r="U692" s="358"/>
      <c r="V692" s="358"/>
      <c r="W692" s="358"/>
      <c r="X692" s="358"/>
      <c r="Y692" s="358"/>
      <c r="Z692" s="358"/>
      <c r="AA692" s="358"/>
    </row>
    <row r="693">
      <c r="A693" s="358"/>
      <c r="B693" s="358"/>
      <c r="C693" s="358"/>
      <c r="D693" s="358"/>
      <c r="E693" s="358"/>
      <c r="F693" s="358"/>
      <c r="G693" s="358"/>
      <c r="H693" s="358"/>
      <c r="I693" s="358"/>
      <c r="J693" s="358"/>
      <c r="K693" s="358"/>
      <c r="L693" s="358"/>
      <c r="M693" s="358"/>
      <c r="N693" s="358"/>
      <c r="O693" s="358"/>
      <c r="P693" s="358"/>
      <c r="Q693" s="358"/>
      <c r="R693" s="358"/>
      <c r="S693" s="358"/>
      <c r="T693" s="358"/>
      <c r="U693" s="358"/>
      <c r="V693" s="358"/>
      <c r="W693" s="358"/>
      <c r="X693" s="358"/>
      <c r="Y693" s="358"/>
      <c r="Z693" s="358"/>
      <c r="AA693" s="358"/>
    </row>
    <row r="694">
      <c r="A694" s="358"/>
      <c r="B694" s="358"/>
      <c r="C694" s="358"/>
      <c r="D694" s="358"/>
      <c r="E694" s="358"/>
      <c r="F694" s="358"/>
      <c r="G694" s="358"/>
      <c r="H694" s="358"/>
      <c r="I694" s="358"/>
      <c r="J694" s="358"/>
      <c r="K694" s="358"/>
      <c r="L694" s="358"/>
      <c r="M694" s="358"/>
      <c r="N694" s="358"/>
      <c r="O694" s="358"/>
      <c r="P694" s="358"/>
      <c r="Q694" s="358"/>
      <c r="R694" s="358"/>
      <c r="S694" s="358"/>
      <c r="T694" s="358"/>
      <c r="U694" s="358"/>
      <c r="V694" s="358"/>
      <c r="W694" s="358"/>
      <c r="X694" s="358"/>
      <c r="Y694" s="358"/>
      <c r="Z694" s="358"/>
      <c r="AA694" s="358"/>
    </row>
    <row r="695">
      <c r="A695" s="358"/>
      <c r="B695" s="358"/>
      <c r="C695" s="358"/>
      <c r="D695" s="358"/>
      <c r="E695" s="358"/>
      <c r="F695" s="358"/>
      <c r="G695" s="358"/>
      <c r="H695" s="358"/>
      <c r="I695" s="358"/>
      <c r="J695" s="358"/>
      <c r="K695" s="358"/>
      <c r="L695" s="358"/>
      <c r="M695" s="358"/>
      <c r="N695" s="358"/>
      <c r="O695" s="358"/>
      <c r="P695" s="358"/>
      <c r="Q695" s="358"/>
      <c r="R695" s="358"/>
      <c r="S695" s="358"/>
      <c r="T695" s="358"/>
      <c r="U695" s="358"/>
      <c r="V695" s="358"/>
      <c r="W695" s="358"/>
      <c r="X695" s="358"/>
      <c r="Y695" s="358"/>
      <c r="Z695" s="358"/>
      <c r="AA695" s="358"/>
    </row>
    <row r="696">
      <c r="A696" s="358"/>
      <c r="B696" s="358"/>
      <c r="C696" s="358"/>
      <c r="D696" s="358"/>
      <c r="E696" s="358"/>
      <c r="F696" s="358"/>
      <c r="G696" s="358"/>
      <c r="H696" s="358"/>
      <c r="I696" s="358"/>
      <c r="J696" s="358"/>
      <c r="K696" s="358"/>
      <c r="L696" s="358"/>
      <c r="M696" s="358"/>
      <c r="N696" s="358"/>
      <c r="O696" s="358"/>
      <c r="P696" s="358"/>
      <c r="Q696" s="358"/>
      <c r="R696" s="358"/>
      <c r="S696" s="358"/>
      <c r="T696" s="358"/>
      <c r="U696" s="358"/>
      <c r="V696" s="358"/>
      <c r="W696" s="358"/>
      <c r="X696" s="358"/>
      <c r="Y696" s="358"/>
      <c r="Z696" s="358"/>
      <c r="AA696" s="358"/>
    </row>
    <row r="697">
      <c r="A697" s="358"/>
      <c r="B697" s="358"/>
      <c r="C697" s="358"/>
      <c r="D697" s="358"/>
      <c r="E697" s="358"/>
      <c r="F697" s="358"/>
      <c r="G697" s="358"/>
      <c r="H697" s="358"/>
      <c r="I697" s="358"/>
      <c r="J697" s="358"/>
      <c r="K697" s="358"/>
      <c r="L697" s="358"/>
      <c r="M697" s="358"/>
      <c r="N697" s="358"/>
      <c r="O697" s="358"/>
      <c r="P697" s="358"/>
      <c r="Q697" s="358"/>
      <c r="R697" s="358"/>
      <c r="S697" s="358"/>
      <c r="T697" s="358"/>
      <c r="U697" s="358"/>
      <c r="V697" s="358"/>
      <c r="W697" s="358"/>
      <c r="X697" s="358"/>
      <c r="Y697" s="358"/>
      <c r="Z697" s="358"/>
      <c r="AA697" s="358"/>
    </row>
    <row r="698">
      <c r="A698" s="358"/>
      <c r="B698" s="358"/>
      <c r="C698" s="358"/>
      <c r="D698" s="358"/>
      <c r="E698" s="358"/>
      <c r="F698" s="358"/>
      <c r="G698" s="358"/>
      <c r="H698" s="358"/>
      <c r="I698" s="358"/>
      <c r="J698" s="358"/>
      <c r="K698" s="358"/>
      <c r="L698" s="358"/>
      <c r="M698" s="358"/>
      <c r="N698" s="358"/>
      <c r="O698" s="358"/>
      <c r="P698" s="358"/>
      <c r="Q698" s="358"/>
      <c r="R698" s="358"/>
      <c r="S698" s="358"/>
      <c r="T698" s="358"/>
      <c r="U698" s="358"/>
      <c r="V698" s="358"/>
      <c r="W698" s="358"/>
      <c r="X698" s="358"/>
      <c r="Y698" s="358"/>
      <c r="Z698" s="358"/>
      <c r="AA698" s="358"/>
    </row>
    <row r="699">
      <c r="A699" s="358"/>
      <c r="B699" s="358"/>
      <c r="C699" s="358"/>
      <c r="D699" s="358"/>
      <c r="E699" s="358"/>
      <c r="F699" s="358"/>
      <c r="G699" s="358"/>
      <c r="H699" s="358"/>
      <c r="I699" s="358"/>
      <c r="J699" s="358"/>
      <c r="K699" s="358"/>
      <c r="L699" s="358"/>
      <c r="M699" s="358"/>
      <c r="N699" s="358"/>
      <c r="O699" s="358"/>
      <c r="P699" s="358"/>
      <c r="Q699" s="358"/>
      <c r="R699" s="358"/>
      <c r="S699" s="358"/>
      <c r="T699" s="358"/>
      <c r="U699" s="358"/>
      <c r="V699" s="358"/>
      <c r="W699" s="358"/>
      <c r="X699" s="358"/>
      <c r="Y699" s="358"/>
      <c r="Z699" s="358"/>
      <c r="AA699" s="358"/>
    </row>
    <row r="700">
      <c r="A700" s="358"/>
      <c r="B700" s="358"/>
      <c r="C700" s="358"/>
      <c r="D700" s="358"/>
      <c r="E700" s="358"/>
      <c r="F700" s="358"/>
      <c r="G700" s="358"/>
      <c r="H700" s="358"/>
      <c r="I700" s="358"/>
      <c r="J700" s="358"/>
      <c r="K700" s="358"/>
      <c r="L700" s="358"/>
      <c r="M700" s="358"/>
      <c r="N700" s="358"/>
      <c r="O700" s="358"/>
      <c r="P700" s="358"/>
      <c r="Q700" s="358"/>
      <c r="R700" s="358"/>
      <c r="S700" s="358"/>
      <c r="T700" s="358"/>
      <c r="U700" s="358"/>
      <c r="V700" s="358"/>
      <c r="W700" s="358"/>
      <c r="X700" s="358"/>
      <c r="Y700" s="358"/>
      <c r="Z700" s="358"/>
      <c r="AA700" s="358"/>
    </row>
    <row r="701">
      <c r="A701" s="358"/>
      <c r="B701" s="358"/>
      <c r="C701" s="358"/>
      <c r="D701" s="358"/>
      <c r="E701" s="358"/>
      <c r="F701" s="358"/>
      <c r="G701" s="358"/>
      <c r="H701" s="358"/>
      <c r="I701" s="358"/>
      <c r="J701" s="358"/>
      <c r="K701" s="358"/>
      <c r="L701" s="358"/>
      <c r="M701" s="358"/>
      <c r="N701" s="358"/>
      <c r="O701" s="358"/>
      <c r="P701" s="358"/>
      <c r="Q701" s="358"/>
      <c r="R701" s="358"/>
      <c r="S701" s="358"/>
      <c r="T701" s="358"/>
      <c r="U701" s="358"/>
      <c r="V701" s="358"/>
      <c r="W701" s="358"/>
      <c r="X701" s="358"/>
      <c r="Y701" s="358"/>
      <c r="Z701" s="358"/>
      <c r="AA701" s="358"/>
    </row>
    <row r="702">
      <c r="A702" s="358"/>
      <c r="B702" s="358"/>
      <c r="C702" s="358"/>
      <c r="D702" s="358"/>
      <c r="E702" s="358"/>
      <c r="F702" s="358"/>
      <c r="G702" s="358"/>
      <c r="H702" s="358"/>
      <c r="I702" s="358"/>
      <c r="J702" s="358"/>
      <c r="K702" s="358"/>
      <c r="L702" s="358"/>
      <c r="M702" s="358"/>
      <c r="N702" s="358"/>
      <c r="O702" s="358"/>
      <c r="P702" s="358"/>
      <c r="Q702" s="358"/>
      <c r="R702" s="358"/>
      <c r="S702" s="358"/>
      <c r="T702" s="358"/>
      <c r="U702" s="358"/>
      <c r="V702" s="358"/>
      <c r="W702" s="358"/>
      <c r="X702" s="358"/>
      <c r="Y702" s="358"/>
      <c r="Z702" s="358"/>
      <c r="AA702" s="358"/>
    </row>
    <row r="703">
      <c r="A703" s="358"/>
      <c r="B703" s="358"/>
      <c r="C703" s="358"/>
      <c r="D703" s="358"/>
      <c r="E703" s="358"/>
      <c r="F703" s="358"/>
      <c r="G703" s="358"/>
      <c r="H703" s="358"/>
      <c r="I703" s="358"/>
      <c r="J703" s="358"/>
      <c r="K703" s="358"/>
      <c r="L703" s="358"/>
      <c r="M703" s="358"/>
      <c r="N703" s="358"/>
      <c r="O703" s="358"/>
      <c r="P703" s="358"/>
      <c r="Q703" s="358"/>
      <c r="R703" s="358"/>
      <c r="S703" s="358"/>
      <c r="T703" s="358"/>
      <c r="U703" s="358"/>
      <c r="V703" s="358"/>
      <c r="W703" s="358"/>
      <c r="X703" s="358"/>
      <c r="Y703" s="358"/>
      <c r="Z703" s="358"/>
      <c r="AA703" s="358"/>
    </row>
    <row r="704">
      <c r="A704" s="358"/>
      <c r="B704" s="358"/>
      <c r="C704" s="358"/>
      <c r="D704" s="358"/>
      <c r="E704" s="358"/>
      <c r="F704" s="358"/>
      <c r="G704" s="358"/>
      <c r="H704" s="358"/>
      <c r="I704" s="358"/>
      <c r="J704" s="358"/>
      <c r="K704" s="358"/>
      <c r="L704" s="358"/>
      <c r="M704" s="358"/>
      <c r="N704" s="358"/>
      <c r="O704" s="358"/>
      <c r="P704" s="358"/>
      <c r="Q704" s="358"/>
      <c r="R704" s="358"/>
      <c r="S704" s="358"/>
      <c r="T704" s="358"/>
      <c r="U704" s="358"/>
      <c r="V704" s="358"/>
      <c r="W704" s="358"/>
      <c r="X704" s="358"/>
      <c r="Y704" s="358"/>
      <c r="Z704" s="358"/>
      <c r="AA704" s="358"/>
    </row>
    <row r="705">
      <c r="A705" s="358"/>
      <c r="B705" s="358"/>
      <c r="C705" s="358"/>
      <c r="D705" s="358"/>
      <c r="E705" s="358"/>
      <c r="F705" s="358"/>
      <c r="G705" s="358"/>
      <c r="H705" s="358"/>
      <c r="I705" s="358"/>
      <c r="J705" s="358"/>
      <c r="K705" s="358"/>
      <c r="L705" s="358"/>
      <c r="M705" s="358"/>
      <c r="N705" s="358"/>
      <c r="O705" s="358"/>
      <c r="P705" s="358"/>
      <c r="Q705" s="358"/>
      <c r="R705" s="358"/>
      <c r="S705" s="358"/>
      <c r="T705" s="358"/>
      <c r="U705" s="358"/>
      <c r="V705" s="358"/>
      <c r="W705" s="358"/>
      <c r="X705" s="358"/>
      <c r="Y705" s="358"/>
      <c r="Z705" s="358"/>
      <c r="AA705" s="358"/>
    </row>
    <row r="706">
      <c r="A706" s="358"/>
      <c r="B706" s="358"/>
      <c r="C706" s="358"/>
      <c r="D706" s="358"/>
      <c r="E706" s="358"/>
      <c r="F706" s="358"/>
      <c r="G706" s="358"/>
      <c r="H706" s="358"/>
      <c r="I706" s="358"/>
      <c r="J706" s="358"/>
      <c r="K706" s="358"/>
      <c r="L706" s="358"/>
      <c r="M706" s="358"/>
      <c r="N706" s="358"/>
      <c r="O706" s="358"/>
      <c r="P706" s="358"/>
      <c r="Q706" s="358"/>
      <c r="R706" s="358"/>
      <c r="S706" s="358"/>
      <c r="T706" s="358"/>
      <c r="U706" s="358"/>
      <c r="V706" s="358"/>
      <c r="W706" s="358"/>
      <c r="X706" s="358"/>
      <c r="Y706" s="358"/>
      <c r="Z706" s="358"/>
      <c r="AA706" s="358"/>
    </row>
    <row r="707">
      <c r="A707" s="358"/>
      <c r="B707" s="358"/>
      <c r="C707" s="358"/>
      <c r="D707" s="358"/>
      <c r="E707" s="358"/>
      <c r="F707" s="358"/>
      <c r="G707" s="358"/>
      <c r="H707" s="358"/>
      <c r="I707" s="358"/>
      <c r="J707" s="358"/>
      <c r="K707" s="358"/>
      <c r="L707" s="358"/>
      <c r="M707" s="358"/>
      <c r="N707" s="358"/>
      <c r="O707" s="358"/>
      <c r="P707" s="358"/>
      <c r="Q707" s="358"/>
      <c r="R707" s="358"/>
      <c r="S707" s="358"/>
      <c r="T707" s="358"/>
      <c r="U707" s="358"/>
      <c r="V707" s="358"/>
      <c r="W707" s="358"/>
      <c r="X707" s="358"/>
      <c r="Y707" s="358"/>
      <c r="Z707" s="358"/>
      <c r="AA707" s="358"/>
    </row>
    <row r="708">
      <c r="A708" s="358"/>
      <c r="B708" s="358"/>
      <c r="C708" s="358"/>
      <c r="D708" s="358"/>
      <c r="E708" s="358"/>
      <c r="F708" s="358"/>
      <c r="G708" s="358"/>
      <c r="H708" s="358"/>
      <c r="I708" s="358"/>
      <c r="J708" s="358"/>
      <c r="K708" s="358"/>
      <c r="L708" s="358"/>
      <c r="M708" s="358"/>
      <c r="N708" s="358"/>
      <c r="O708" s="358"/>
      <c r="P708" s="358"/>
      <c r="Q708" s="358"/>
      <c r="R708" s="358"/>
      <c r="S708" s="358"/>
      <c r="T708" s="358"/>
      <c r="U708" s="358"/>
      <c r="V708" s="358"/>
      <c r="W708" s="358"/>
      <c r="X708" s="358"/>
      <c r="Y708" s="358"/>
      <c r="Z708" s="358"/>
      <c r="AA708" s="358"/>
    </row>
    <row r="709">
      <c r="A709" s="358"/>
      <c r="B709" s="358"/>
      <c r="C709" s="358"/>
      <c r="D709" s="358"/>
      <c r="E709" s="358"/>
      <c r="F709" s="358"/>
      <c r="G709" s="358"/>
      <c r="H709" s="358"/>
      <c r="I709" s="358"/>
      <c r="J709" s="358"/>
      <c r="K709" s="358"/>
      <c r="L709" s="358"/>
      <c r="M709" s="358"/>
      <c r="N709" s="358"/>
      <c r="O709" s="358"/>
      <c r="P709" s="358"/>
      <c r="Q709" s="358"/>
      <c r="R709" s="358"/>
      <c r="S709" s="358"/>
      <c r="T709" s="358"/>
      <c r="U709" s="358"/>
      <c r="V709" s="358"/>
      <c r="W709" s="358"/>
      <c r="X709" s="358"/>
      <c r="Y709" s="358"/>
      <c r="Z709" s="358"/>
      <c r="AA709" s="358"/>
    </row>
    <row r="710">
      <c r="A710" s="358"/>
      <c r="B710" s="358"/>
      <c r="C710" s="358"/>
      <c r="D710" s="358"/>
      <c r="E710" s="358"/>
      <c r="F710" s="358"/>
      <c r="G710" s="358"/>
      <c r="H710" s="358"/>
      <c r="I710" s="358"/>
      <c r="J710" s="358"/>
      <c r="K710" s="358"/>
      <c r="L710" s="358"/>
      <c r="M710" s="358"/>
      <c r="N710" s="358"/>
      <c r="O710" s="358"/>
      <c r="P710" s="358"/>
      <c r="Q710" s="358"/>
      <c r="R710" s="358"/>
      <c r="S710" s="358"/>
      <c r="T710" s="358"/>
      <c r="U710" s="358"/>
      <c r="V710" s="358"/>
      <c r="W710" s="358"/>
      <c r="X710" s="358"/>
      <c r="Y710" s="358"/>
      <c r="Z710" s="358"/>
      <c r="AA710" s="358"/>
    </row>
    <row r="711">
      <c r="A711" s="358"/>
      <c r="B711" s="358"/>
      <c r="C711" s="358"/>
      <c r="D711" s="358"/>
      <c r="E711" s="358"/>
      <c r="F711" s="358"/>
      <c r="G711" s="358"/>
      <c r="H711" s="358"/>
      <c r="I711" s="358"/>
      <c r="J711" s="358"/>
      <c r="K711" s="358"/>
      <c r="L711" s="358"/>
      <c r="M711" s="358"/>
      <c r="N711" s="358"/>
      <c r="O711" s="358"/>
      <c r="P711" s="358"/>
      <c r="Q711" s="358"/>
      <c r="R711" s="358"/>
      <c r="S711" s="358"/>
      <c r="T711" s="358"/>
      <c r="U711" s="358"/>
      <c r="V711" s="358"/>
      <c r="W711" s="358"/>
      <c r="X711" s="358"/>
      <c r="Y711" s="358"/>
      <c r="Z711" s="358"/>
      <c r="AA711" s="358"/>
    </row>
    <row r="712">
      <c r="A712" s="358"/>
      <c r="B712" s="358"/>
      <c r="C712" s="358"/>
      <c r="D712" s="358"/>
      <c r="E712" s="358"/>
      <c r="F712" s="358"/>
      <c r="G712" s="358"/>
      <c r="H712" s="358"/>
      <c r="I712" s="358"/>
      <c r="J712" s="358"/>
      <c r="K712" s="358"/>
      <c r="L712" s="358"/>
      <c r="M712" s="358"/>
      <c r="N712" s="358"/>
      <c r="O712" s="358"/>
      <c r="P712" s="358"/>
      <c r="Q712" s="358"/>
      <c r="R712" s="358"/>
      <c r="S712" s="358"/>
      <c r="T712" s="358"/>
      <c r="U712" s="358"/>
      <c r="V712" s="358"/>
      <c r="W712" s="358"/>
      <c r="X712" s="358"/>
      <c r="Y712" s="358"/>
      <c r="Z712" s="358"/>
      <c r="AA712" s="358"/>
    </row>
    <row r="713">
      <c r="A713" s="358"/>
      <c r="B713" s="358"/>
      <c r="C713" s="358"/>
      <c r="D713" s="358"/>
      <c r="E713" s="358"/>
      <c r="F713" s="358"/>
      <c r="G713" s="358"/>
      <c r="H713" s="358"/>
      <c r="I713" s="358"/>
      <c r="J713" s="358"/>
      <c r="K713" s="358"/>
      <c r="L713" s="358"/>
      <c r="M713" s="358"/>
      <c r="N713" s="358"/>
      <c r="O713" s="358"/>
      <c r="P713" s="358"/>
      <c r="Q713" s="358"/>
      <c r="R713" s="358"/>
      <c r="S713" s="358"/>
      <c r="T713" s="358"/>
      <c r="U713" s="358"/>
      <c r="V713" s="358"/>
      <c r="W713" s="358"/>
      <c r="X713" s="358"/>
      <c r="Y713" s="358"/>
      <c r="Z713" s="358"/>
      <c r="AA713" s="358"/>
    </row>
    <row r="714">
      <c r="A714" s="358"/>
      <c r="B714" s="358"/>
      <c r="C714" s="358"/>
      <c r="D714" s="358"/>
      <c r="E714" s="358"/>
      <c r="F714" s="358"/>
      <c r="G714" s="358"/>
      <c r="H714" s="358"/>
      <c r="I714" s="358"/>
      <c r="J714" s="358"/>
      <c r="K714" s="358"/>
      <c r="L714" s="358"/>
      <c r="M714" s="358"/>
      <c r="N714" s="358"/>
      <c r="O714" s="358"/>
      <c r="P714" s="358"/>
      <c r="Q714" s="358"/>
      <c r="R714" s="358"/>
      <c r="S714" s="358"/>
      <c r="T714" s="358"/>
      <c r="U714" s="358"/>
      <c r="V714" s="358"/>
      <c r="W714" s="358"/>
      <c r="X714" s="358"/>
      <c r="Y714" s="358"/>
      <c r="Z714" s="358"/>
      <c r="AA714" s="358"/>
    </row>
    <row r="715">
      <c r="A715" s="358"/>
      <c r="B715" s="358"/>
      <c r="C715" s="358"/>
      <c r="D715" s="358"/>
      <c r="E715" s="358"/>
      <c r="F715" s="358"/>
      <c r="G715" s="358"/>
      <c r="H715" s="358"/>
      <c r="I715" s="358"/>
      <c r="J715" s="358"/>
      <c r="K715" s="358"/>
      <c r="L715" s="358"/>
      <c r="M715" s="358"/>
      <c r="N715" s="358"/>
      <c r="O715" s="358"/>
      <c r="P715" s="358"/>
      <c r="Q715" s="358"/>
      <c r="R715" s="358"/>
      <c r="S715" s="358"/>
      <c r="T715" s="358"/>
      <c r="U715" s="358"/>
      <c r="V715" s="358"/>
      <c r="W715" s="358"/>
      <c r="X715" s="358"/>
      <c r="Y715" s="358"/>
      <c r="Z715" s="358"/>
      <c r="AA715" s="358"/>
    </row>
    <row r="716">
      <c r="A716" s="358"/>
      <c r="B716" s="358"/>
      <c r="C716" s="358"/>
      <c r="D716" s="358"/>
      <c r="E716" s="358"/>
      <c r="F716" s="358"/>
      <c r="G716" s="358"/>
      <c r="H716" s="358"/>
      <c r="I716" s="358"/>
      <c r="J716" s="358"/>
      <c r="K716" s="358"/>
      <c r="L716" s="358"/>
      <c r="M716" s="358"/>
      <c r="N716" s="358"/>
      <c r="O716" s="358"/>
      <c r="P716" s="358"/>
      <c r="Q716" s="358"/>
      <c r="R716" s="358"/>
      <c r="S716" s="358"/>
      <c r="T716" s="358"/>
      <c r="U716" s="358"/>
      <c r="V716" s="358"/>
      <c r="W716" s="358"/>
      <c r="X716" s="358"/>
      <c r="Y716" s="358"/>
      <c r="Z716" s="358"/>
      <c r="AA716" s="358"/>
    </row>
    <row r="717">
      <c r="A717" s="358"/>
      <c r="B717" s="358"/>
      <c r="C717" s="358"/>
      <c r="D717" s="358"/>
      <c r="E717" s="358"/>
      <c r="F717" s="358"/>
      <c r="G717" s="358"/>
      <c r="H717" s="358"/>
      <c r="I717" s="358"/>
      <c r="J717" s="358"/>
      <c r="K717" s="358"/>
      <c r="L717" s="358"/>
      <c r="M717" s="358"/>
      <c r="N717" s="358"/>
      <c r="O717" s="358"/>
      <c r="P717" s="358"/>
      <c r="Q717" s="358"/>
      <c r="R717" s="358"/>
      <c r="S717" s="358"/>
      <c r="T717" s="358"/>
      <c r="U717" s="358"/>
      <c r="V717" s="358"/>
      <c r="W717" s="358"/>
      <c r="X717" s="358"/>
      <c r="Y717" s="358"/>
      <c r="Z717" s="358"/>
      <c r="AA717" s="358"/>
    </row>
    <row r="718">
      <c r="A718" s="358"/>
      <c r="B718" s="358"/>
      <c r="C718" s="358"/>
      <c r="D718" s="358"/>
      <c r="E718" s="358"/>
      <c r="F718" s="358"/>
      <c r="G718" s="358"/>
      <c r="H718" s="358"/>
      <c r="I718" s="358"/>
      <c r="J718" s="358"/>
      <c r="K718" s="358"/>
      <c r="L718" s="358"/>
      <c r="M718" s="358"/>
      <c r="N718" s="358"/>
      <c r="O718" s="358"/>
      <c r="P718" s="358"/>
      <c r="Q718" s="358"/>
      <c r="R718" s="358"/>
      <c r="S718" s="358"/>
      <c r="T718" s="358"/>
      <c r="U718" s="358"/>
      <c r="V718" s="358"/>
      <c r="W718" s="358"/>
      <c r="X718" s="358"/>
      <c r="Y718" s="358"/>
      <c r="Z718" s="358"/>
      <c r="AA718" s="358"/>
    </row>
    <row r="719">
      <c r="A719" s="358"/>
      <c r="B719" s="358"/>
      <c r="C719" s="358"/>
      <c r="D719" s="358"/>
      <c r="E719" s="358"/>
      <c r="F719" s="358"/>
      <c r="G719" s="358"/>
      <c r="H719" s="358"/>
      <c r="I719" s="358"/>
      <c r="J719" s="358"/>
      <c r="K719" s="358"/>
      <c r="L719" s="358"/>
      <c r="M719" s="358"/>
      <c r="N719" s="358"/>
      <c r="O719" s="358"/>
      <c r="P719" s="358"/>
      <c r="Q719" s="358"/>
      <c r="R719" s="358"/>
      <c r="S719" s="358"/>
      <c r="T719" s="358"/>
      <c r="U719" s="358"/>
      <c r="V719" s="358"/>
      <c r="W719" s="358"/>
      <c r="X719" s="358"/>
      <c r="Y719" s="358"/>
      <c r="Z719" s="358"/>
      <c r="AA719" s="358"/>
    </row>
    <row r="720">
      <c r="A720" s="358"/>
      <c r="B720" s="358"/>
      <c r="C720" s="358"/>
      <c r="D720" s="358"/>
      <c r="E720" s="358"/>
      <c r="F720" s="358"/>
      <c r="G720" s="358"/>
      <c r="H720" s="358"/>
      <c r="I720" s="358"/>
      <c r="J720" s="358"/>
      <c r="K720" s="358"/>
      <c r="L720" s="358"/>
      <c r="M720" s="358"/>
      <c r="N720" s="358"/>
      <c r="O720" s="358"/>
      <c r="P720" s="358"/>
      <c r="Q720" s="358"/>
      <c r="R720" s="358"/>
      <c r="S720" s="358"/>
      <c r="T720" s="358"/>
      <c r="U720" s="358"/>
      <c r="V720" s="358"/>
      <c r="W720" s="358"/>
      <c r="X720" s="358"/>
      <c r="Y720" s="358"/>
      <c r="Z720" s="358"/>
      <c r="AA720" s="358"/>
    </row>
    <row r="721">
      <c r="A721" s="358"/>
      <c r="B721" s="358"/>
      <c r="C721" s="358"/>
      <c r="D721" s="358"/>
      <c r="E721" s="358"/>
      <c r="F721" s="358"/>
      <c r="G721" s="358"/>
      <c r="H721" s="358"/>
      <c r="I721" s="358"/>
      <c r="J721" s="358"/>
      <c r="K721" s="358"/>
      <c r="L721" s="358"/>
      <c r="M721" s="358"/>
      <c r="N721" s="358"/>
      <c r="O721" s="358"/>
      <c r="P721" s="358"/>
      <c r="Q721" s="358"/>
      <c r="R721" s="358"/>
      <c r="S721" s="358"/>
      <c r="T721" s="358"/>
      <c r="U721" s="358"/>
      <c r="V721" s="358"/>
      <c r="W721" s="358"/>
      <c r="X721" s="358"/>
      <c r="Y721" s="358"/>
      <c r="Z721" s="358"/>
      <c r="AA721" s="358"/>
    </row>
    <row r="722">
      <c r="A722" s="358"/>
      <c r="B722" s="358"/>
      <c r="C722" s="358"/>
      <c r="D722" s="358"/>
      <c r="E722" s="358"/>
      <c r="F722" s="358"/>
      <c r="G722" s="358"/>
      <c r="H722" s="358"/>
      <c r="I722" s="358"/>
      <c r="J722" s="358"/>
      <c r="K722" s="358"/>
      <c r="L722" s="358"/>
      <c r="M722" s="358"/>
      <c r="N722" s="358"/>
      <c r="O722" s="358"/>
      <c r="P722" s="358"/>
      <c r="Q722" s="358"/>
      <c r="R722" s="358"/>
      <c r="S722" s="358"/>
      <c r="T722" s="358"/>
      <c r="U722" s="358"/>
      <c r="V722" s="358"/>
      <c r="W722" s="358"/>
      <c r="X722" s="358"/>
      <c r="Y722" s="358"/>
      <c r="Z722" s="358"/>
      <c r="AA722" s="358"/>
    </row>
    <row r="723">
      <c r="A723" s="358"/>
      <c r="B723" s="358"/>
      <c r="C723" s="358"/>
      <c r="D723" s="358"/>
      <c r="E723" s="358"/>
      <c r="F723" s="358"/>
      <c r="G723" s="358"/>
      <c r="H723" s="358"/>
      <c r="I723" s="358"/>
      <c r="J723" s="358"/>
      <c r="K723" s="358"/>
      <c r="L723" s="358"/>
      <c r="M723" s="358"/>
      <c r="N723" s="358"/>
      <c r="O723" s="358"/>
      <c r="P723" s="358"/>
      <c r="Q723" s="358"/>
      <c r="R723" s="358"/>
      <c r="S723" s="358"/>
      <c r="T723" s="358"/>
      <c r="U723" s="358"/>
      <c r="V723" s="358"/>
      <c r="W723" s="358"/>
      <c r="X723" s="358"/>
      <c r="Y723" s="358"/>
      <c r="Z723" s="358"/>
      <c r="AA723" s="358"/>
    </row>
    <row r="724">
      <c r="A724" s="358"/>
      <c r="B724" s="358"/>
      <c r="C724" s="358"/>
      <c r="D724" s="358"/>
      <c r="E724" s="358"/>
      <c r="F724" s="358"/>
      <c r="G724" s="358"/>
      <c r="H724" s="358"/>
      <c r="I724" s="358"/>
      <c r="J724" s="358"/>
      <c r="K724" s="358"/>
      <c r="L724" s="358"/>
      <c r="M724" s="358"/>
      <c r="N724" s="358"/>
      <c r="O724" s="358"/>
      <c r="P724" s="358"/>
      <c r="Q724" s="358"/>
      <c r="R724" s="358"/>
      <c r="S724" s="358"/>
      <c r="T724" s="358"/>
      <c r="U724" s="358"/>
      <c r="V724" s="358"/>
      <c r="W724" s="358"/>
      <c r="X724" s="358"/>
      <c r="Y724" s="358"/>
      <c r="Z724" s="358"/>
      <c r="AA724" s="358"/>
    </row>
    <row r="725">
      <c r="A725" s="358"/>
      <c r="B725" s="358"/>
      <c r="C725" s="358"/>
      <c r="D725" s="358"/>
      <c r="E725" s="358"/>
      <c r="F725" s="358"/>
      <c r="G725" s="358"/>
      <c r="H725" s="358"/>
      <c r="I725" s="358"/>
      <c r="J725" s="358"/>
      <c r="K725" s="358"/>
      <c r="L725" s="358"/>
      <c r="M725" s="358"/>
      <c r="N725" s="358"/>
      <c r="O725" s="358"/>
      <c r="P725" s="358"/>
      <c r="Q725" s="358"/>
      <c r="R725" s="358"/>
      <c r="S725" s="358"/>
      <c r="T725" s="358"/>
      <c r="U725" s="358"/>
      <c r="V725" s="358"/>
      <c r="W725" s="358"/>
      <c r="X725" s="358"/>
      <c r="Y725" s="358"/>
      <c r="Z725" s="358"/>
      <c r="AA725" s="358"/>
    </row>
    <row r="726">
      <c r="A726" s="358"/>
      <c r="B726" s="358"/>
      <c r="C726" s="358"/>
      <c r="D726" s="358"/>
      <c r="E726" s="358"/>
      <c r="F726" s="358"/>
      <c r="G726" s="358"/>
      <c r="H726" s="358"/>
      <c r="I726" s="358"/>
      <c r="J726" s="358"/>
      <c r="K726" s="358"/>
      <c r="L726" s="358"/>
      <c r="M726" s="358"/>
      <c r="N726" s="358"/>
      <c r="O726" s="358"/>
      <c r="P726" s="358"/>
      <c r="Q726" s="358"/>
      <c r="R726" s="358"/>
      <c r="S726" s="358"/>
      <c r="T726" s="358"/>
      <c r="U726" s="358"/>
      <c r="V726" s="358"/>
      <c r="W726" s="358"/>
      <c r="X726" s="358"/>
      <c r="Y726" s="358"/>
      <c r="Z726" s="358"/>
      <c r="AA726" s="358"/>
    </row>
    <row r="727">
      <c r="A727" s="358"/>
      <c r="B727" s="358"/>
      <c r="C727" s="358"/>
      <c r="D727" s="358"/>
      <c r="E727" s="358"/>
      <c r="F727" s="358"/>
      <c r="G727" s="358"/>
      <c r="H727" s="358"/>
      <c r="I727" s="358"/>
      <c r="J727" s="358"/>
      <c r="K727" s="358"/>
      <c r="L727" s="358"/>
      <c r="M727" s="358"/>
      <c r="N727" s="358"/>
      <c r="O727" s="358"/>
      <c r="P727" s="358"/>
      <c r="Q727" s="358"/>
      <c r="R727" s="358"/>
      <c r="S727" s="358"/>
      <c r="T727" s="358"/>
      <c r="U727" s="358"/>
      <c r="V727" s="358"/>
      <c r="W727" s="358"/>
      <c r="X727" s="358"/>
      <c r="Y727" s="358"/>
      <c r="Z727" s="358"/>
      <c r="AA727" s="358"/>
    </row>
    <row r="728">
      <c r="A728" s="358"/>
      <c r="B728" s="358"/>
      <c r="C728" s="358"/>
      <c r="D728" s="358"/>
      <c r="E728" s="358"/>
      <c r="F728" s="358"/>
      <c r="G728" s="358"/>
      <c r="H728" s="358"/>
      <c r="I728" s="358"/>
      <c r="J728" s="358"/>
      <c r="K728" s="358"/>
      <c r="L728" s="358"/>
      <c r="M728" s="358"/>
      <c r="N728" s="358"/>
      <c r="O728" s="358"/>
      <c r="P728" s="358"/>
      <c r="Q728" s="358"/>
      <c r="R728" s="358"/>
      <c r="S728" s="358"/>
      <c r="T728" s="358"/>
      <c r="U728" s="358"/>
      <c r="V728" s="358"/>
      <c r="W728" s="358"/>
      <c r="X728" s="358"/>
      <c r="Y728" s="358"/>
      <c r="Z728" s="358"/>
      <c r="AA728" s="358"/>
    </row>
    <row r="729">
      <c r="A729" s="358"/>
      <c r="B729" s="358"/>
      <c r="C729" s="358"/>
      <c r="D729" s="358"/>
      <c r="E729" s="358"/>
      <c r="F729" s="358"/>
      <c r="G729" s="358"/>
      <c r="H729" s="358"/>
      <c r="I729" s="358"/>
      <c r="J729" s="358"/>
      <c r="K729" s="358"/>
      <c r="L729" s="358"/>
      <c r="M729" s="358"/>
      <c r="N729" s="358"/>
      <c r="O729" s="358"/>
      <c r="P729" s="358"/>
      <c r="Q729" s="358"/>
      <c r="R729" s="358"/>
      <c r="S729" s="358"/>
      <c r="T729" s="358"/>
      <c r="U729" s="358"/>
      <c r="V729" s="358"/>
      <c r="W729" s="358"/>
      <c r="X729" s="358"/>
      <c r="Y729" s="358"/>
      <c r="Z729" s="358"/>
      <c r="AA729" s="358"/>
    </row>
    <row r="730">
      <c r="A730" s="358"/>
      <c r="B730" s="358"/>
      <c r="C730" s="358"/>
      <c r="D730" s="358"/>
      <c r="E730" s="358"/>
      <c r="F730" s="358"/>
      <c r="G730" s="358"/>
      <c r="H730" s="358"/>
      <c r="I730" s="358"/>
      <c r="J730" s="358"/>
      <c r="K730" s="358"/>
      <c r="L730" s="358"/>
      <c r="M730" s="358"/>
      <c r="N730" s="358"/>
      <c r="O730" s="358"/>
      <c r="P730" s="358"/>
      <c r="Q730" s="358"/>
      <c r="R730" s="358"/>
      <c r="S730" s="358"/>
      <c r="T730" s="358"/>
      <c r="U730" s="358"/>
      <c r="V730" s="358"/>
      <c r="W730" s="358"/>
      <c r="X730" s="358"/>
      <c r="Y730" s="358"/>
      <c r="Z730" s="358"/>
      <c r="AA730" s="358"/>
    </row>
    <row r="731">
      <c r="A731" s="358"/>
      <c r="B731" s="358"/>
      <c r="C731" s="358"/>
      <c r="D731" s="358"/>
      <c r="E731" s="358"/>
      <c r="F731" s="358"/>
      <c r="G731" s="358"/>
      <c r="H731" s="358"/>
      <c r="I731" s="358"/>
      <c r="J731" s="358"/>
      <c r="K731" s="358"/>
      <c r="L731" s="358"/>
      <c r="M731" s="358"/>
      <c r="N731" s="358"/>
      <c r="O731" s="358"/>
      <c r="P731" s="358"/>
      <c r="Q731" s="358"/>
      <c r="R731" s="358"/>
      <c r="S731" s="358"/>
      <c r="T731" s="358"/>
      <c r="U731" s="358"/>
      <c r="V731" s="358"/>
      <c r="W731" s="358"/>
      <c r="X731" s="358"/>
      <c r="Y731" s="358"/>
      <c r="Z731" s="358"/>
      <c r="AA731" s="358"/>
    </row>
    <row r="732">
      <c r="A732" s="358"/>
      <c r="B732" s="358"/>
      <c r="C732" s="358"/>
      <c r="D732" s="358"/>
      <c r="E732" s="358"/>
      <c r="F732" s="358"/>
      <c r="G732" s="358"/>
      <c r="H732" s="358"/>
      <c r="I732" s="358"/>
      <c r="J732" s="358"/>
      <c r="K732" s="358"/>
      <c r="L732" s="358"/>
      <c r="M732" s="358"/>
      <c r="N732" s="358"/>
      <c r="O732" s="358"/>
      <c r="P732" s="358"/>
      <c r="Q732" s="358"/>
      <c r="R732" s="358"/>
      <c r="S732" s="358"/>
      <c r="T732" s="358"/>
      <c r="U732" s="358"/>
      <c r="V732" s="358"/>
      <c r="W732" s="358"/>
      <c r="X732" s="358"/>
      <c r="Y732" s="358"/>
      <c r="Z732" s="358"/>
      <c r="AA732" s="358"/>
    </row>
    <row r="733">
      <c r="A733" s="358"/>
      <c r="B733" s="358"/>
      <c r="C733" s="358"/>
      <c r="D733" s="358"/>
      <c r="E733" s="358"/>
      <c r="F733" s="358"/>
      <c r="G733" s="358"/>
      <c r="H733" s="358"/>
      <c r="I733" s="358"/>
      <c r="J733" s="358"/>
      <c r="K733" s="358"/>
      <c r="L733" s="358"/>
      <c r="M733" s="358"/>
      <c r="N733" s="358"/>
      <c r="O733" s="358"/>
      <c r="P733" s="358"/>
      <c r="Q733" s="358"/>
      <c r="R733" s="358"/>
      <c r="S733" s="358"/>
      <c r="T733" s="358"/>
      <c r="U733" s="358"/>
      <c r="V733" s="358"/>
      <c r="W733" s="358"/>
      <c r="X733" s="358"/>
      <c r="Y733" s="358"/>
      <c r="Z733" s="358"/>
      <c r="AA733" s="358"/>
    </row>
    <row r="734">
      <c r="A734" s="358"/>
      <c r="B734" s="358"/>
      <c r="C734" s="358"/>
      <c r="D734" s="358"/>
      <c r="E734" s="358"/>
      <c r="F734" s="358"/>
      <c r="G734" s="358"/>
      <c r="H734" s="358"/>
      <c r="I734" s="358"/>
      <c r="J734" s="358"/>
      <c r="K734" s="358"/>
      <c r="L734" s="358"/>
      <c r="M734" s="358"/>
      <c r="N734" s="358"/>
      <c r="O734" s="358"/>
      <c r="P734" s="358"/>
      <c r="Q734" s="358"/>
      <c r="R734" s="358"/>
      <c r="S734" s="358"/>
      <c r="T734" s="358"/>
      <c r="U734" s="358"/>
      <c r="V734" s="358"/>
      <c r="W734" s="358"/>
      <c r="X734" s="358"/>
      <c r="Y734" s="358"/>
      <c r="Z734" s="358"/>
      <c r="AA734" s="358"/>
    </row>
    <row r="735">
      <c r="A735" s="358"/>
      <c r="B735" s="358"/>
      <c r="C735" s="358"/>
      <c r="D735" s="358"/>
      <c r="E735" s="358"/>
      <c r="F735" s="358"/>
      <c r="G735" s="358"/>
      <c r="H735" s="358"/>
      <c r="I735" s="358"/>
      <c r="J735" s="358"/>
      <c r="K735" s="358"/>
      <c r="L735" s="358"/>
      <c r="M735" s="358"/>
      <c r="N735" s="358"/>
      <c r="O735" s="358"/>
      <c r="P735" s="358"/>
      <c r="Q735" s="358"/>
      <c r="R735" s="358"/>
      <c r="S735" s="358"/>
      <c r="T735" s="358"/>
      <c r="U735" s="358"/>
      <c r="V735" s="358"/>
      <c r="W735" s="358"/>
      <c r="X735" s="358"/>
      <c r="Y735" s="358"/>
      <c r="Z735" s="358"/>
      <c r="AA735" s="358"/>
    </row>
    <row r="736">
      <c r="A736" s="358"/>
      <c r="B736" s="358"/>
      <c r="C736" s="358"/>
      <c r="D736" s="358"/>
      <c r="E736" s="358"/>
      <c r="F736" s="358"/>
      <c r="G736" s="358"/>
      <c r="H736" s="358"/>
      <c r="I736" s="358"/>
      <c r="J736" s="358"/>
      <c r="K736" s="358"/>
      <c r="L736" s="358"/>
      <c r="M736" s="358"/>
      <c r="N736" s="358"/>
      <c r="O736" s="358"/>
      <c r="P736" s="358"/>
      <c r="Q736" s="358"/>
      <c r="R736" s="358"/>
      <c r="S736" s="358"/>
      <c r="T736" s="358"/>
      <c r="U736" s="358"/>
      <c r="V736" s="358"/>
      <c r="W736" s="358"/>
      <c r="X736" s="358"/>
      <c r="Y736" s="358"/>
      <c r="Z736" s="358"/>
      <c r="AA736" s="358"/>
    </row>
    <row r="737">
      <c r="A737" s="358"/>
      <c r="B737" s="358"/>
      <c r="C737" s="358"/>
      <c r="D737" s="358"/>
      <c r="E737" s="358"/>
      <c r="F737" s="358"/>
      <c r="G737" s="358"/>
      <c r="H737" s="358"/>
      <c r="I737" s="358"/>
      <c r="J737" s="358"/>
      <c r="K737" s="358"/>
      <c r="L737" s="358"/>
      <c r="M737" s="358"/>
      <c r="N737" s="358"/>
      <c r="O737" s="358"/>
      <c r="P737" s="358"/>
      <c r="Q737" s="358"/>
      <c r="R737" s="358"/>
      <c r="S737" s="358"/>
      <c r="T737" s="358"/>
      <c r="U737" s="358"/>
      <c r="V737" s="358"/>
      <c r="W737" s="358"/>
      <c r="X737" s="358"/>
      <c r="Y737" s="358"/>
      <c r="Z737" s="358"/>
      <c r="AA737" s="358"/>
    </row>
    <row r="738">
      <c r="A738" s="358"/>
      <c r="B738" s="358"/>
      <c r="C738" s="358"/>
      <c r="D738" s="358"/>
      <c r="E738" s="358"/>
      <c r="F738" s="358"/>
      <c r="G738" s="358"/>
      <c r="H738" s="358"/>
      <c r="I738" s="358"/>
      <c r="J738" s="358"/>
      <c r="K738" s="358"/>
      <c r="L738" s="358"/>
      <c r="M738" s="358"/>
      <c r="N738" s="358"/>
      <c r="O738" s="358"/>
      <c r="P738" s="358"/>
      <c r="Q738" s="358"/>
      <c r="R738" s="358"/>
      <c r="S738" s="358"/>
      <c r="T738" s="358"/>
      <c r="U738" s="358"/>
      <c r="V738" s="358"/>
      <c r="W738" s="358"/>
      <c r="X738" s="358"/>
      <c r="Y738" s="358"/>
      <c r="Z738" s="358"/>
      <c r="AA738" s="358"/>
    </row>
    <row r="739">
      <c r="A739" s="358"/>
      <c r="B739" s="358"/>
      <c r="C739" s="358"/>
      <c r="D739" s="358"/>
      <c r="E739" s="358"/>
      <c r="F739" s="358"/>
      <c r="G739" s="358"/>
      <c r="H739" s="358"/>
      <c r="I739" s="358"/>
      <c r="J739" s="358"/>
      <c r="K739" s="358"/>
      <c r="L739" s="358"/>
      <c r="M739" s="358"/>
      <c r="N739" s="358"/>
      <c r="O739" s="358"/>
      <c r="P739" s="358"/>
      <c r="Q739" s="358"/>
      <c r="R739" s="358"/>
      <c r="S739" s="358"/>
      <c r="T739" s="358"/>
      <c r="U739" s="358"/>
      <c r="V739" s="358"/>
      <c r="W739" s="358"/>
      <c r="X739" s="358"/>
      <c r="Y739" s="358"/>
      <c r="Z739" s="358"/>
      <c r="AA739" s="358"/>
    </row>
    <row r="740">
      <c r="A740" s="358"/>
      <c r="B740" s="358"/>
      <c r="C740" s="358"/>
      <c r="D740" s="358"/>
      <c r="E740" s="358"/>
      <c r="F740" s="358"/>
      <c r="G740" s="358"/>
      <c r="H740" s="358"/>
      <c r="I740" s="358"/>
      <c r="J740" s="358"/>
      <c r="K740" s="358"/>
      <c r="L740" s="358"/>
      <c r="M740" s="358"/>
      <c r="N740" s="358"/>
      <c r="O740" s="358"/>
      <c r="P740" s="358"/>
      <c r="Q740" s="358"/>
      <c r="R740" s="358"/>
      <c r="S740" s="358"/>
      <c r="T740" s="358"/>
      <c r="U740" s="358"/>
      <c r="V740" s="358"/>
      <c r="W740" s="358"/>
      <c r="X740" s="358"/>
      <c r="Y740" s="358"/>
      <c r="Z740" s="358"/>
      <c r="AA740" s="358"/>
    </row>
    <row r="741">
      <c r="A741" s="358"/>
      <c r="B741" s="358"/>
      <c r="C741" s="358"/>
      <c r="D741" s="358"/>
      <c r="E741" s="358"/>
      <c r="F741" s="358"/>
      <c r="G741" s="358"/>
      <c r="H741" s="358"/>
      <c r="I741" s="358"/>
      <c r="J741" s="358"/>
      <c r="K741" s="358"/>
      <c r="L741" s="358"/>
      <c r="M741" s="358"/>
      <c r="N741" s="358"/>
      <c r="O741" s="358"/>
      <c r="P741" s="358"/>
      <c r="Q741" s="358"/>
      <c r="R741" s="358"/>
      <c r="S741" s="358"/>
      <c r="T741" s="358"/>
      <c r="U741" s="358"/>
      <c r="V741" s="358"/>
      <c r="W741" s="358"/>
      <c r="X741" s="358"/>
      <c r="Y741" s="358"/>
      <c r="Z741" s="358"/>
      <c r="AA741" s="358"/>
    </row>
    <row r="742">
      <c r="A742" s="358"/>
      <c r="B742" s="358"/>
      <c r="C742" s="358"/>
      <c r="D742" s="358"/>
      <c r="E742" s="358"/>
      <c r="F742" s="358"/>
      <c r="G742" s="358"/>
      <c r="H742" s="358"/>
      <c r="I742" s="358"/>
      <c r="J742" s="358"/>
      <c r="K742" s="358"/>
      <c r="L742" s="358"/>
      <c r="M742" s="358"/>
      <c r="N742" s="358"/>
      <c r="O742" s="358"/>
      <c r="P742" s="358"/>
      <c r="Q742" s="358"/>
      <c r="R742" s="358"/>
      <c r="S742" s="358"/>
      <c r="T742" s="358"/>
      <c r="U742" s="358"/>
      <c r="V742" s="358"/>
      <c r="W742" s="358"/>
      <c r="X742" s="358"/>
      <c r="Y742" s="358"/>
      <c r="Z742" s="358"/>
      <c r="AA742" s="358"/>
    </row>
    <row r="743">
      <c r="A743" s="358"/>
      <c r="B743" s="358"/>
      <c r="C743" s="358"/>
      <c r="D743" s="358"/>
      <c r="E743" s="358"/>
      <c r="F743" s="358"/>
      <c r="G743" s="358"/>
      <c r="H743" s="358"/>
      <c r="I743" s="358"/>
      <c r="J743" s="358"/>
      <c r="K743" s="358"/>
      <c r="L743" s="358"/>
      <c r="M743" s="358"/>
      <c r="N743" s="358"/>
      <c r="O743" s="358"/>
      <c r="P743" s="358"/>
      <c r="Q743" s="358"/>
      <c r="R743" s="358"/>
      <c r="S743" s="358"/>
      <c r="T743" s="358"/>
      <c r="U743" s="358"/>
      <c r="V743" s="358"/>
      <c r="W743" s="358"/>
      <c r="X743" s="358"/>
      <c r="Y743" s="358"/>
      <c r="Z743" s="358"/>
      <c r="AA743" s="358"/>
    </row>
    <row r="744">
      <c r="A744" s="358"/>
      <c r="B744" s="358"/>
      <c r="C744" s="358"/>
      <c r="D744" s="358"/>
      <c r="E744" s="358"/>
      <c r="F744" s="358"/>
      <c r="G744" s="358"/>
      <c r="H744" s="358"/>
      <c r="I744" s="358"/>
      <c r="J744" s="358"/>
      <c r="K744" s="358"/>
      <c r="L744" s="358"/>
      <c r="M744" s="358"/>
      <c r="N744" s="358"/>
      <c r="O744" s="358"/>
      <c r="P744" s="358"/>
      <c r="Q744" s="358"/>
      <c r="R744" s="358"/>
      <c r="S744" s="358"/>
      <c r="T744" s="358"/>
      <c r="U744" s="358"/>
      <c r="V744" s="358"/>
      <c r="W744" s="358"/>
      <c r="X744" s="358"/>
      <c r="Y744" s="358"/>
      <c r="Z744" s="358"/>
      <c r="AA744" s="358"/>
    </row>
    <row r="745">
      <c r="A745" s="358"/>
      <c r="B745" s="358"/>
      <c r="C745" s="358"/>
      <c r="D745" s="358"/>
      <c r="E745" s="358"/>
      <c r="F745" s="358"/>
      <c r="G745" s="358"/>
      <c r="H745" s="358"/>
      <c r="I745" s="358"/>
      <c r="J745" s="358"/>
      <c r="K745" s="358"/>
      <c r="L745" s="358"/>
      <c r="M745" s="358"/>
      <c r="N745" s="358"/>
      <c r="O745" s="358"/>
      <c r="P745" s="358"/>
      <c r="Q745" s="358"/>
      <c r="R745" s="358"/>
      <c r="S745" s="358"/>
      <c r="T745" s="358"/>
      <c r="U745" s="358"/>
      <c r="V745" s="358"/>
      <c r="W745" s="358"/>
      <c r="X745" s="358"/>
      <c r="Y745" s="358"/>
      <c r="Z745" s="358"/>
      <c r="AA745" s="358"/>
    </row>
    <row r="746">
      <c r="A746" s="358"/>
      <c r="B746" s="358"/>
      <c r="C746" s="358"/>
      <c r="D746" s="358"/>
      <c r="E746" s="358"/>
      <c r="F746" s="358"/>
      <c r="G746" s="358"/>
      <c r="H746" s="358"/>
      <c r="I746" s="358"/>
      <c r="J746" s="358"/>
      <c r="K746" s="358"/>
      <c r="L746" s="358"/>
      <c r="M746" s="358"/>
      <c r="N746" s="358"/>
      <c r="O746" s="358"/>
      <c r="P746" s="358"/>
      <c r="Q746" s="358"/>
      <c r="R746" s="358"/>
      <c r="S746" s="358"/>
      <c r="T746" s="358"/>
      <c r="U746" s="358"/>
      <c r="V746" s="358"/>
      <c r="W746" s="358"/>
      <c r="X746" s="358"/>
      <c r="Y746" s="358"/>
      <c r="Z746" s="358"/>
      <c r="AA746" s="358"/>
    </row>
    <row r="747">
      <c r="A747" s="358"/>
      <c r="B747" s="358"/>
      <c r="C747" s="358"/>
      <c r="D747" s="358"/>
      <c r="E747" s="358"/>
      <c r="F747" s="358"/>
      <c r="G747" s="358"/>
      <c r="H747" s="358"/>
      <c r="I747" s="358"/>
      <c r="J747" s="358"/>
      <c r="K747" s="358"/>
      <c r="L747" s="358"/>
      <c r="M747" s="358"/>
      <c r="N747" s="358"/>
      <c r="O747" s="358"/>
      <c r="P747" s="358"/>
      <c r="Q747" s="358"/>
      <c r="R747" s="358"/>
      <c r="S747" s="358"/>
      <c r="T747" s="358"/>
      <c r="U747" s="358"/>
      <c r="V747" s="358"/>
      <c r="W747" s="358"/>
      <c r="X747" s="358"/>
      <c r="Y747" s="358"/>
      <c r="Z747" s="358"/>
      <c r="AA747" s="358"/>
    </row>
    <row r="748">
      <c r="A748" s="358"/>
      <c r="B748" s="358"/>
      <c r="C748" s="358"/>
      <c r="D748" s="358"/>
      <c r="E748" s="358"/>
      <c r="F748" s="358"/>
      <c r="G748" s="358"/>
      <c r="H748" s="358"/>
      <c r="I748" s="358"/>
      <c r="J748" s="358"/>
      <c r="K748" s="358"/>
      <c r="L748" s="358"/>
      <c r="M748" s="358"/>
      <c r="N748" s="358"/>
      <c r="O748" s="358"/>
      <c r="P748" s="358"/>
      <c r="Q748" s="358"/>
      <c r="R748" s="358"/>
      <c r="S748" s="358"/>
      <c r="T748" s="358"/>
      <c r="U748" s="358"/>
      <c r="V748" s="358"/>
      <c r="W748" s="358"/>
      <c r="X748" s="358"/>
      <c r="Y748" s="358"/>
      <c r="Z748" s="358"/>
      <c r="AA748" s="358"/>
    </row>
    <row r="749">
      <c r="A749" s="358"/>
      <c r="B749" s="358"/>
      <c r="C749" s="358"/>
      <c r="D749" s="358"/>
      <c r="E749" s="358"/>
      <c r="F749" s="358"/>
      <c r="G749" s="358"/>
      <c r="H749" s="358"/>
      <c r="I749" s="358"/>
      <c r="J749" s="358"/>
      <c r="K749" s="358"/>
      <c r="L749" s="358"/>
      <c r="M749" s="358"/>
      <c r="N749" s="358"/>
      <c r="O749" s="358"/>
      <c r="P749" s="358"/>
      <c r="Q749" s="358"/>
      <c r="R749" s="358"/>
      <c r="S749" s="358"/>
      <c r="T749" s="358"/>
      <c r="U749" s="358"/>
      <c r="V749" s="358"/>
      <c r="W749" s="358"/>
      <c r="X749" s="358"/>
      <c r="Y749" s="358"/>
      <c r="Z749" s="358"/>
      <c r="AA749" s="358"/>
    </row>
    <row r="750">
      <c r="A750" s="358"/>
      <c r="B750" s="358"/>
      <c r="C750" s="358"/>
      <c r="D750" s="358"/>
      <c r="E750" s="358"/>
      <c r="F750" s="358"/>
      <c r="G750" s="358"/>
      <c r="H750" s="358"/>
      <c r="I750" s="358"/>
      <c r="J750" s="358"/>
      <c r="K750" s="358"/>
      <c r="L750" s="358"/>
      <c r="M750" s="358"/>
      <c r="N750" s="358"/>
      <c r="O750" s="358"/>
      <c r="P750" s="358"/>
      <c r="Q750" s="358"/>
      <c r="R750" s="358"/>
      <c r="S750" s="358"/>
      <c r="T750" s="358"/>
      <c r="U750" s="358"/>
      <c r="V750" s="358"/>
      <c r="W750" s="358"/>
      <c r="X750" s="358"/>
      <c r="Y750" s="358"/>
      <c r="Z750" s="358"/>
      <c r="AA750" s="358"/>
    </row>
    <row r="751">
      <c r="A751" s="358"/>
      <c r="B751" s="358"/>
      <c r="C751" s="358"/>
      <c r="D751" s="358"/>
      <c r="E751" s="358"/>
      <c r="F751" s="358"/>
      <c r="G751" s="358"/>
      <c r="H751" s="358"/>
      <c r="I751" s="358"/>
      <c r="J751" s="358"/>
      <c r="K751" s="358"/>
      <c r="L751" s="358"/>
      <c r="M751" s="358"/>
      <c r="N751" s="358"/>
      <c r="O751" s="358"/>
      <c r="P751" s="358"/>
      <c r="Q751" s="358"/>
      <c r="R751" s="358"/>
      <c r="S751" s="358"/>
      <c r="T751" s="358"/>
      <c r="U751" s="358"/>
      <c r="V751" s="358"/>
      <c r="W751" s="358"/>
      <c r="X751" s="358"/>
      <c r="Y751" s="358"/>
      <c r="Z751" s="358"/>
      <c r="AA751" s="358"/>
    </row>
    <row r="752">
      <c r="A752" s="358"/>
      <c r="B752" s="358"/>
      <c r="C752" s="358"/>
      <c r="D752" s="358"/>
      <c r="E752" s="358"/>
      <c r="F752" s="358"/>
      <c r="G752" s="358"/>
      <c r="H752" s="358"/>
      <c r="I752" s="358"/>
      <c r="J752" s="358"/>
      <c r="K752" s="358"/>
      <c r="L752" s="358"/>
      <c r="M752" s="358"/>
      <c r="N752" s="358"/>
      <c r="O752" s="358"/>
      <c r="P752" s="358"/>
      <c r="Q752" s="358"/>
      <c r="R752" s="358"/>
      <c r="S752" s="358"/>
      <c r="T752" s="358"/>
      <c r="U752" s="358"/>
      <c r="V752" s="358"/>
      <c r="W752" s="358"/>
      <c r="X752" s="358"/>
      <c r="Y752" s="358"/>
      <c r="Z752" s="358"/>
      <c r="AA752" s="358"/>
    </row>
    <row r="753">
      <c r="A753" s="358"/>
      <c r="B753" s="358"/>
      <c r="C753" s="358"/>
      <c r="D753" s="358"/>
      <c r="E753" s="358"/>
      <c r="F753" s="358"/>
      <c r="G753" s="358"/>
      <c r="H753" s="358"/>
      <c r="I753" s="358"/>
      <c r="J753" s="358"/>
      <c r="K753" s="358"/>
      <c r="L753" s="358"/>
      <c r="M753" s="358"/>
      <c r="N753" s="358"/>
      <c r="O753" s="358"/>
      <c r="P753" s="358"/>
      <c r="Q753" s="358"/>
      <c r="R753" s="358"/>
      <c r="S753" s="358"/>
      <c r="T753" s="358"/>
      <c r="U753" s="358"/>
      <c r="V753" s="358"/>
      <c r="W753" s="358"/>
      <c r="X753" s="358"/>
      <c r="Y753" s="358"/>
      <c r="Z753" s="358"/>
      <c r="AA753" s="358"/>
    </row>
    <row r="754">
      <c r="A754" s="358"/>
      <c r="B754" s="358"/>
      <c r="C754" s="358"/>
      <c r="D754" s="358"/>
      <c r="E754" s="358"/>
      <c r="F754" s="358"/>
      <c r="G754" s="358"/>
      <c r="H754" s="358"/>
      <c r="I754" s="358"/>
      <c r="J754" s="358"/>
      <c r="K754" s="358"/>
      <c r="L754" s="358"/>
      <c r="M754" s="358"/>
      <c r="N754" s="358"/>
      <c r="O754" s="358"/>
      <c r="P754" s="358"/>
      <c r="Q754" s="358"/>
      <c r="R754" s="358"/>
      <c r="S754" s="358"/>
      <c r="T754" s="358"/>
      <c r="U754" s="358"/>
      <c r="V754" s="358"/>
      <c r="W754" s="358"/>
      <c r="X754" s="358"/>
      <c r="Y754" s="358"/>
      <c r="Z754" s="358"/>
      <c r="AA754" s="358"/>
    </row>
    <row r="755">
      <c r="A755" s="358"/>
      <c r="B755" s="358"/>
      <c r="C755" s="358"/>
      <c r="D755" s="358"/>
      <c r="E755" s="358"/>
      <c r="F755" s="358"/>
      <c r="G755" s="358"/>
      <c r="H755" s="358"/>
      <c r="I755" s="358"/>
      <c r="J755" s="358"/>
      <c r="K755" s="358"/>
      <c r="L755" s="358"/>
      <c r="M755" s="358"/>
      <c r="N755" s="358"/>
      <c r="O755" s="358"/>
      <c r="P755" s="358"/>
      <c r="Q755" s="358"/>
      <c r="R755" s="358"/>
      <c r="S755" s="358"/>
      <c r="T755" s="358"/>
      <c r="U755" s="358"/>
      <c r="V755" s="358"/>
      <c r="W755" s="358"/>
      <c r="X755" s="358"/>
      <c r="Y755" s="358"/>
      <c r="Z755" s="358"/>
      <c r="AA755" s="358"/>
    </row>
    <row r="756">
      <c r="A756" s="358"/>
      <c r="B756" s="358"/>
      <c r="C756" s="358"/>
      <c r="D756" s="358"/>
      <c r="E756" s="358"/>
      <c r="F756" s="358"/>
      <c r="G756" s="358"/>
      <c r="H756" s="358"/>
      <c r="I756" s="358"/>
      <c r="J756" s="358"/>
      <c r="K756" s="358"/>
      <c r="L756" s="358"/>
      <c r="M756" s="358"/>
      <c r="N756" s="358"/>
      <c r="O756" s="358"/>
      <c r="P756" s="358"/>
      <c r="Q756" s="358"/>
      <c r="R756" s="358"/>
      <c r="S756" s="358"/>
      <c r="T756" s="358"/>
      <c r="U756" s="358"/>
      <c r="V756" s="358"/>
      <c r="W756" s="358"/>
      <c r="X756" s="358"/>
      <c r="Y756" s="358"/>
      <c r="Z756" s="358"/>
      <c r="AA756" s="358"/>
    </row>
    <row r="757">
      <c r="A757" s="358"/>
      <c r="B757" s="358"/>
      <c r="C757" s="358"/>
      <c r="D757" s="358"/>
      <c r="E757" s="358"/>
      <c r="F757" s="358"/>
      <c r="G757" s="358"/>
      <c r="H757" s="358"/>
      <c r="I757" s="358"/>
      <c r="J757" s="358"/>
      <c r="K757" s="358"/>
      <c r="L757" s="358"/>
      <c r="M757" s="358"/>
      <c r="N757" s="358"/>
      <c r="O757" s="358"/>
      <c r="P757" s="358"/>
      <c r="Q757" s="358"/>
      <c r="R757" s="358"/>
      <c r="S757" s="358"/>
      <c r="T757" s="358"/>
      <c r="U757" s="358"/>
      <c r="V757" s="358"/>
      <c r="W757" s="358"/>
      <c r="X757" s="358"/>
      <c r="Y757" s="358"/>
      <c r="Z757" s="358"/>
      <c r="AA757" s="358"/>
    </row>
    <row r="758">
      <c r="A758" s="358"/>
      <c r="B758" s="358"/>
      <c r="C758" s="358"/>
      <c r="D758" s="358"/>
      <c r="E758" s="358"/>
      <c r="F758" s="358"/>
      <c r="G758" s="358"/>
      <c r="H758" s="358"/>
      <c r="I758" s="358"/>
      <c r="J758" s="358"/>
      <c r="K758" s="358"/>
      <c r="L758" s="358"/>
      <c r="M758" s="358"/>
      <c r="N758" s="358"/>
      <c r="O758" s="358"/>
      <c r="P758" s="358"/>
      <c r="Q758" s="358"/>
      <c r="R758" s="358"/>
      <c r="S758" s="358"/>
      <c r="T758" s="358"/>
      <c r="U758" s="358"/>
      <c r="V758" s="358"/>
      <c r="W758" s="358"/>
      <c r="X758" s="358"/>
      <c r="Y758" s="358"/>
      <c r="Z758" s="358"/>
      <c r="AA758" s="358"/>
    </row>
    <row r="759">
      <c r="A759" s="358"/>
      <c r="B759" s="358"/>
      <c r="C759" s="358"/>
      <c r="D759" s="358"/>
      <c r="E759" s="358"/>
      <c r="F759" s="358"/>
      <c r="G759" s="358"/>
      <c r="H759" s="358"/>
      <c r="I759" s="358"/>
      <c r="J759" s="358"/>
      <c r="K759" s="358"/>
      <c r="L759" s="358"/>
      <c r="M759" s="358"/>
      <c r="N759" s="358"/>
      <c r="O759" s="358"/>
      <c r="P759" s="358"/>
      <c r="Q759" s="358"/>
      <c r="R759" s="358"/>
      <c r="S759" s="358"/>
      <c r="T759" s="358"/>
      <c r="U759" s="358"/>
      <c r="V759" s="358"/>
      <c r="W759" s="358"/>
      <c r="X759" s="358"/>
      <c r="Y759" s="358"/>
      <c r="Z759" s="358"/>
      <c r="AA759" s="358"/>
    </row>
    <row r="760">
      <c r="A760" s="358"/>
      <c r="B760" s="358"/>
      <c r="C760" s="358"/>
      <c r="D760" s="358"/>
      <c r="E760" s="358"/>
      <c r="F760" s="358"/>
      <c r="G760" s="358"/>
      <c r="H760" s="358"/>
      <c r="I760" s="358"/>
      <c r="J760" s="358"/>
      <c r="K760" s="358"/>
      <c r="L760" s="358"/>
      <c r="M760" s="358"/>
      <c r="N760" s="358"/>
      <c r="O760" s="358"/>
      <c r="P760" s="358"/>
      <c r="Q760" s="358"/>
      <c r="R760" s="358"/>
      <c r="S760" s="358"/>
      <c r="T760" s="358"/>
      <c r="U760" s="358"/>
      <c r="V760" s="358"/>
      <c r="W760" s="358"/>
      <c r="X760" s="358"/>
      <c r="Y760" s="358"/>
      <c r="Z760" s="358"/>
      <c r="AA760" s="358"/>
    </row>
    <row r="761">
      <c r="A761" s="358"/>
      <c r="B761" s="358"/>
      <c r="C761" s="358"/>
      <c r="D761" s="358"/>
      <c r="E761" s="358"/>
      <c r="F761" s="358"/>
      <c r="G761" s="358"/>
      <c r="H761" s="358"/>
      <c r="I761" s="358"/>
      <c r="J761" s="358"/>
      <c r="K761" s="358"/>
      <c r="L761" s="358"/>
      <c r="M761" s="358"/>
      <c r="N761" s="358"/>
      <c r="O761" s="358"/>
      <c r="P761" s="358"/>
      <c r="Q761" s="358"/>
      <c r="R761" s="358"/>
      <c r="S761" s="358"/>
      <c r="T761" s="358"/>
      <c r="U761" s="358"/>
      <c r="V761" s="358"/>
      <c r="W761" s="358"/>
      <c r="X761" s="358"/>
      <c r="Y761" s="358"/>
      <c r="Z761" s="358"/>
      <c r="AA761" s="358"/>
    </row>
    <row r="762">
      <c r="A762" s="358"/>
      <c r="B762" s="358"/>
      <c r="C762" s="358"/>
      <c r="D762" s="358"/>
      <c r="E762" s="358"/>
      <c r="F762" s="358"/>
      <c r="G762" s="358"/>
      <c r="H762" s="358"/>
      <c r="I762" s="358"/>
      <c r="J762" s="358"/>
      <c r="K762" s="358"/>
      <c r="L762" s="358"/>
      <c r="M762" s="358"/>
      <c r="N762" s="358"/>
      <c r="O762" s="358"/>
      <c r="P762" s="358"/>
      <c r="Q762" s="358"/>
      <c r="R762" s="358"/>
      <c r="S762" s="358"/>
      <c r="T762" s="358"/>
      <c r="U762" s="358"/>
      <c r="V762" s="358"/>
      <c r="W762" s="358"/>
      <c r="X762" s="358"/>
      <c r="Y762" s="358"/>
      <c r="Z762" s="358"/>
      <c r="AA762" s="358"/>
    </row>
    <row r="763">
      <c r="A763" s="358"/>
      <c r="B763" s="358"/>
      <c r="C763" s="358"/>
      <c r="D763" s="358"/>
      <c r="E763" s="358"/>
      <c r="F763" s="358"/>
      <c r="G763" s="358"/>
      <c r="H763" s="358"/>
      <c r="I763" s="358"/>
      <c r="J763" s="358"/>
      <c r="K763" s="358"/>
      <c r="L763" s="358"/>
      <c r="M763" s="358"/>
      <c r="N763" s="358"/>
      <c r="O763" s="358"/>
      <c r="P763" s="358"/>
      <c r="Q763" s="358"/>
      <c r="R763" s="358"/>
      <c r="S763" s="358"/>
      <c r="T763" s="358"/>
      <c r="U763" s="358"/>
      <c r="V763" s="358"/>
      <c r="W763" s="358"/>
      <c r="X763" s="358"/>
      <c r="Y763" s="358"/>
      <c r="Z763" s="358"/>
      <c r="AA763" s="358"/>
    </row>
    <row r="764">
      <c r="A764" s="358"/>
      <c r="B764" s="358"/>
      <c r="C764" s="358"/>
      <c r="D764" s="358"/>
      <c r="E764" s="358"/>
      <c r="F764" s="358"/>
      <c r="G764" s="358"/>
      <c r="H764" s="358"/>
      <c r="I764" s="358"/>
      <c r="J764" s="358"/>
      <c r="K764" s="358"/>
      <c r="L764" s="358"/>
      <c r="M764" s="358"/>
      <c r="N764" s="358"/>
      <c r="O764" s="358"/>
      <c r="P764" s="358"/>
      <c r="Q764" s="358"/>
      <c r="R764" s="358"/>
      <c r="S764" s="358"/>
      <c r="T764" s="358"/>
      <c r="U764" s="358"/>
      <c r="V764" s="358"/>
      <c r="W764" s="358"/>
      <c r="X764" s="358"/>
      <c r="Y764" s="358"/>
      <c r="Z764" s="358"/>
      <c r="AA764" s="358"/>
    </row>
    <row r="765">
      <c r="A765" s="358"/>
      <c r="B765" s="358"/>
      <c r="C765" s="358"/>
      <c r="D765" s="358"/>
      <c r="E765" s="358"/>
      <c r="F765" s="358"/>
      <c r="G765" s="358"/>
      <c r="H765" s="358"/>
      <c r="I765" s="358"/>
      <c r="J765" s="358"/>
      <c r="K765" s="358"/>
      <c r="L765" s="358"/>
      <c r="M765" s="358"/>
      <c r="N765" s="358"/>
      <c r="O765" s="358"/>
      <c r="P765" s="358"/>
      <c r="Q765" s="358"/>
      <c r="R765" s="358"/>
      <c r="S765" s="358"/>
      <c r="T765" s="358"/>
      <c r="U765" s="358"/>
      <c r="V765" s="358"/>
      <c r="W765" s="358"/>
      <c r="X765" s="358"/>
      <c r="Y765" s="358"/>
      <c r="Z765" s="358"/>
      <c r="AA765" s="358"/>
    </row>
    <row r="766">
      <c r="A766" s="358"/>
      <c r="B766" s="358"/>
      <c r="C766" s="358"/>
      <c r="D766" s="358"/>
      <c r="E766" s="358"/>
      <c r="F766" s="358"/>
      <c r="G766" s="358"/>
      <c r="H766" s="358"/>
      <c r="I766" s="358"/>
      <c r="J766" s="358"/>
      <c r="K766" s="358"/>
      <c r="L766" s="358"/>
      <c r="M766" s="358"/>
      <c r="N766" s="358"/>
      <c r="O766" s="358"/>
      <c r="P766" s="358"/>
      <c r="Q766" s="358"/>
      <c r="R766" s="358"/>
      <c r="S766" s="358"/>
      <c r="T766" s="358"/>
      <c r="U766" s="358"/>
      <c r="V766" s="358"/>
      <c r="W766" s="358"/>
      <c r="X766" s="358"/>
      <c r="Y766" s="358"/>
      <c r="Z766" s="358"/>
      <c r="AA766" s="358"/>
    </row>
    <row r="767">
      <c r="A767" s="358"/>
      <c r="B767" s="358"/>
      <c r="C767" s="358"/>
      <c r="D767" s="358"/>
      <c r="E767" s="358"/>
      <c r="F767" s="358"/>
      <c r="G767" s="358"/>
      <c r="H767" s="358"/>
      <c r="I767" s="358"/>
      <c r="J767" s="358"/>
      <c r="K767" s="358"/>
      <c r="L767" s="358"/>
      <c r="M767" s="358"/>
      <c r="N767" s="358"/>
      <c r="O767" s="358"/>
      <c r="P767" s="358"/>
      <c r="Q767" s="358"/>
      <c r="R767" s="358"/>
      <c r="S767" s="358"/>
      <c r="T767" s="358"/>
      <c r="U767" s="358"/>
      <c r="V767" s="358"/>
      <c r="W767" s="358"/>
      <c r="X767" s="358"/>
      <c r="Y767" s="358"/>
      <c r="Z767" s="358"/>
      <c r="AA767" s="358"/>
    </row>
    <row r="768">
      <c r="A768" s="358"/>
      <c r="B768" s="358"/>
      <c r="C768" s="358"/>
      <c r="D768" s="358"/>
      <c r="E768" s="358"/>
      <c r="F768" s="358"/>
      <c r="G768" s="358"/>
      <c r="H768" s="358"/>
      <c r="I768" s="358"/>
      <c r="J768" s="358"/>
      <c r="K768" s="358"/>
      <c r="L768" s="358"/>
      <c r="M768" s="358"/>
      <c r="N768" s="358"/>
      <c r="O768" s="358"/>
      <c r="P768" s="358"/>
      <c r="Q768" s="358"/>
      <c r="R768" s="358"/>
      <c r="S768" s="358"/>
      <c r="T768" s="358"/>
      <c r="U768" s="358"/>
      <c r="V768" s="358"/>
      <c r="W768" s="358"/>
      <c r="X768" s="358"/>
      <c r="Y768" s="358"/>
      <c r="Z768" s="358"/>
      <c r="AA768" s="358"/>
    </row>
    <row r="769">
      <c r="A769" s="358"/>
      <c r="B769" s="358"/>
      <c r="C769" s="358"/>
      <c r="D769" s="358"/>
      <c r="E769" s="358"/>
      <c r="F769" s="358"/>
      <c r="G769" s="358"/>
      <c r="H769" s="358"/>
      <c r="I769" s="358"/>
      <c r="J769" s="358"/>
      <c r="K769" s="358"/>
      <c r="L769" s="358"/>
      <c r="M769" s="358"/>
      <c r="N769" s="358"/>
      <c r="O769" s="358"/>
      <c r="P769" s="358"/>
      <c r="Q769" s="358"/>
      <c r="R769" s="358"/>
      <c r="S769" s="358"/>
      <c r="T769" s="358"/>
      <c r="U769" s="358"/>
      <c r="V769" s="358"/>
      <c r="W769" s="358"/>
      <c r="X769" s="358"/>
      <c r="Y769" s="358"/>
      <c r="Z769" s="358"/>
      <c r="AA769" s="358"/>
    </row>
    <row r="770">
      <c r="A770" s="358"/>
      <c r="B770" s="358"/>
      <c r="C770" s="358"/>
      <c r="D770" s="358"/>
      <c r="E770" s="358"/>
      <c r="F770" s="358"/>
      <c r="G770" s="358"/>
      <c r="H770" s="358"/>
      <c r="I770" s="358"/>
      <c r="J770" s="358"/>
      <c r="K770" s="358"/>
      <c r="L770" s="358"/>
      <c r="M770" s="358"/>
      <c r="N770" s="358"/>
      <c r="O770" s="358"/>
      <c r="P770" s="358"/>
      <c r="Q770" s="358"/>
      <c r="R770" s="358"/>
      <c r="S770" s="358"/>
      <c r="T770" s="358"/>
      <c r="U770" s="358"/>
      <c r="V770" s="358"/>
      <c r="W770" s="358"/>
      <c r="X770" s="358"/>
      <c r="Y770" s="358"/>
      <c r="Z770" s="358"/>
      <c r="AA770" s="358"/>
    </row>
    <row r="771">
      <c r="A771" s="358"/>
      <c r="B771" s="358"/>
      <c r="C771" s="358"/>
      <c r="D771" s="358"/>
      <c r="E771" s="358"/>
      <c r="F771" s="358"/>
      <c r="G771" s="358"/>
      <c r="H771" s="358"/>
      <c r="I771" s="358"/>
      <c r="J771" s="358"/>
      <c r="K771" s="358"/>
      <c r="L771" s="358"/>
      <c r="M771" s="358"/>
      <c r="N771" s="358"/>
      <c r="O771" s="358"/>
      <c r="P771" s="358"/>
      <c r="Q771" s="358"/>
      <c r="R771" s="358"/>
      <c r="S771" s="358"/>
      <c r="T771" s="358"/>
      <c r="U771" s="358"/>
      <c r="V771" s="358"/>
      <c r="W771" s="358"/>
      <c r="X771" s="358"/>
      <c r="Y771" s="358"/>
      <c r="Z771" s="358"/>
      <c r="AA771" s="358"/>
    </row>
    <row r="772">
      <c r="A772" s="358"/>
      <c r="B772" s="358"/>
      <c r="C772" s="358"/>
      <c r="D772" s="358"/>
      <c r="E772" s="358"/>
      <c r="F772" s="358"/>
      <c r="G772" s="358"/>
      <c r="H772" s="358"/>
      <c r="I772" s="358"/>
      <c r="J772" s="358"/>
      <c r="K772" s="358"/>
      <c r="L772" s="358"/>
      <c r="M772" s="358"/>
      <c r="N772" s="358"/>
      <c r="O772" s="358"/>
      <c r="P772" s="358"/>
      <c r="Q772" s="358"/>
      <c r="R772" s="358"/>
      <c r="S772" s="358"/>
      <c r="T772" s="358"/>
      <c r="U772" s="358"/>
      <c r="V772" s="358"/>
      <c r="W772" s="358"/>
      <c r="X772" s="358"/>
      <c r="Y772" s="358"/>
      <c r="Z772" s="358"/>
      <c r="AA772" s="358"/>
    </row>
    <row r="773">
      <c r="A773" s="358"/>
      <c r="B773" s="358"/>
      <c r="C773" s="358"/>
      <c r="D773" s="358"/>
      <c r="E773" s="358"/>
      <c r="F773" s="358"/>
      <c r="G773" s="358"/>
      <c r="H773" s="358"/>
      <c r="I773" s="358"/>
      <c r="J773" s="358"/>
      <c r="K773" s="358"/>
      <c r="L773" s="358"/>
      <c r="M773" s="358"/>
      <c r="N773" s="358"/>
      <c r="O773" s="358"/>
      <c r="P773" s="358"/>
      <c r="Q773" s="358"/>
      <c r="R773" s="358"/>
      <c r="S773" s="358"/>
      <c r="T773" s="358"/>
      <c r="U773" s="358"/>
      <c r="V773" s="358"/>
      <c r="W773" s="358"/>
      <c r="X773" s="358"/>
      <c r="Y773" s="358"/>
      <c r="Z773" s="358"/>
      <c r="AA773" s="358"/>
    </row>
    <row r="774">
      <c r="A774" s="358"/>
      <c r="B774" s="358"/>
      <c r="C774" s="358"/>
      <c r="D774" s="358"/>
      <c r="E774" s="358"/>
      <c r="F774" s="358"/>
      <c r="G774" s="358"/>
      <c r="H774" s="358"/>
      <c r="I774" s="358"/>
      <c r="J774" s="358"/>
      <c r="K774" s="358"/>
      <c r="L774" s="358"/>
      <c r="M774" s="358"/>
      <c r="N774" s="358"/>
      <c r="O774" s="358"/>
      <c r="P774" s="358"/>
      <c r="Q774" s="358"/>
      <c r="R774" s="358"/>
      <c r="S774" s="358"/>
      <c r="T774" s="358"/>
      <c r="U774" s="358"/>
      <c r="V774" s="358"/>
      <c r="W774" s="358"/>
      <c r="X774" s="358"/>
      <c r="Y774" s="358"/>
      <c r="Z774" s="358"/>
      <c r="AA774" s="358"/>
    </row>
    <row r="775">
      <c r="A775" s="358"/>
      <c r="B775" s="358"/>
      <c r="C775" s="358"/>
      <c r="D775" s="358"/>
      <c r="E775" s="358"/>
      <c r="F775" s="358"/>
      <c r="G775" s="358"/>
      <c r="H775" s="358"/>
      <c r="I775" s="358"/>
      <c r="J775" s="358"/>
      <c r="K775" s="358"/>
      <c r="L775" s="358"/>
      <c r="M775" s="358"/>
      <c r="N775" s="358"/>
      <c r="O775" s="358"/>
      <c r="P775" s="358"/>
      <c r="Q775" s="358"/>
      <c r="R775" s="358"/>
      <c r="S775" s="358"/>
      <c r="T775" s="358"/>
      <c r="U775" s="358"/>
      <c r="V775" s="358"/>
      <c r="W775" s="358"/>
      <c r="X775" s="358"/>
      <c r="Y775" s="358"/>
      <c r="Z775" s="358"/>
      <c r="AA775" s="358"/>
    </row>
    <row r="776">
      <c r="A776" s="358"/>
      <c r="B776" s="358"/>
      <c r="C776" s="358"/>
      <c r="D776" s="358"/>
      <c r="E776" s="358"/>
      <c r="F776" s="358"/>
      <c r="G776" s="358"/>
      <c r="H776" s="358"/>
      <c r="I776" s="358"/>
      <c r="J776" s="358"/>
      <c r="K776" s="358"/>
      <c r="L776" s="358"/>
      <c r="M776" s="358"/>
      <c r="N776" s="358"/>
      <c r="O776" s="358"/>
      <c r="P776" s="358"/>
      <c r="Q776" s="358"/>
      <c r="R776" s="358"/>
      <c r="S776" s="358"/>
      <c r="T776" s="358"/>
      <c r="U776" s="358"/>
      <c r="V776" s="358"/>
      <c r="W776" s="358"/>
      <c r="X776" s="358"/>
      <c r="Y776" s="358"/>
      <c r="Z776" s="358"/>
      <c r="AA776" s="358"/>
    </row>
    <row r="777">
      <c r="A777" s="358"/>
      <c r="B777" s="358"/>
      <c r="C777" s="358"/>
      <c r="D777" s="358"/>
      <c r="E777" s="358"/>
      <c r="F777" s="358"/>
      <c r="G777" s="358"/>
      <c r="H777" s="358"/>
      <c r="I777" s="358"/>
      <c r="J777" s="358"/>
      <c r="K777" s="358"/>
      <c r="L777" s="358"/>
      <c r="M777" s="358"/>
      <c r="N777" s="358"/>
      <c r="O777" s="358"/>
      <c r="P777" s="358"/>
      <c r="Q777" s="358"/>
      <c r="R777" s="358"/>
      <c r="S777" s="358"/>
      <c r="T777" s="358"/>
      <c r="U777" s="358"/>
      <c r="V777" s="358"/>
      <c r="W777" s="358"/>
      <c r="X777" s="358"/>
      <c r="Y777" s="358"/>
      <c r="Z777" s="358"/>
      <c r="AA777" s="358"/>
    </row>
    <row r="778">
      <c r="A778" s="358"/>
      <c r="B778" s="358"/>
      <c r="C778" s="358"/>
      <c r="D778" s="358"/>
      <c r="E778" s="358"/>
      <c r="F778" s="358"/>
      <c r="G778" s="358"/>
      <c r="H778" s="358"/>
      <c r="I778" s="358"/>
      <c r="J778" s="358"/>
      <c r="K778" s="358"/>
      <c r="L778" s="358"/>
      <c r="M778" s="358"/>
      <c r="N778" s="358"/>
      <c r="O778" s="358"/>
      <c r="P778" s="358"/>
      <c r="Q778" s="358"/>
      <c r="R778" s="358"/>
      <c r="S778" s="358"/>
      <c r="T778" s="358"/>
      <c r="U778" s="358"/>
      <c r="V778" s="358"/>
      <c r="W778" s="358"/>
      <c r="X778" s="358"/>
      <c r="Y778" s="358"/>
      <c r="Z778" s="358"/>
      <c r="AA778" s="358"/>
    </row>
    <row r="779">
      <c r="A779" s="358"/>
      <c r="B779" s="358"/>
      <c r="C779" s="358"/>
      <c r="D779" s="358"/>
      <c r="E779" s="358"/>
      <c r="F779" s="358"/>
      <c r="G779" s="358"/>
      <c r="H779" s="358"/>
      <c r="I779" s="358"/>
      <c r="J779" s="358"/>
      <c r="K779" s="358"/>
      <c r="L779" s="358"/>
      <c r="M779" s="358"/>
      <c r="N779" s="358"/>
      <c r="O779" s="358"/>
      <c r="P779" s="358"/>
      <c r="Q779" s="358"/>
      <c r="R779" s="358"/>
      <c r="S779" s="358"/>
      <c r="T779" s="358"/>
      <c r="U779" s="358"/>
      <c r="V779" s="358"/>
      <c r="W779" s="358"/>
      <c r="X779" s="358"/>
      <c r="Y779" s="358"/>
      <c r="Z779" s="358"/>
      <c r="AA779" s="358"/>
    </row>
    <row r="780">
      <c r="A780" s="358"/>
      <c r="B780" s="358"/>
      <c r="C780" s="358"/>
      <c r="D780" s="358"/>
      <c r="E780" s="358"/>
      <c r="F780" s="358"/>
      <c r="G780" s="358"/>
      <c r="H780" s="358"/>
      <c r="I780" s="358"/>
      <c r="J780" s="358"/>
      <c r="K780" s="358"/>
      <c r="L780" s="358"/>
      <c r="M780" s="358"/>
      <c r="N780" s="358"/>
      <c r="O780" s="358"/>
      <c r="P780" s="358"/>
      <c r="Q780" s="358"/>
      <c r="R780" s="358"/>
      <c r="S780" s="358"/>
      <c r="T780" s="358"/>
      <c r="U780" s="358"/>
      <c r="V780" s="358"/>
      <c r="W780" s="358"/>
      <c r="X780" s="358"/>
      <c r="Y780" s="358"/>
      <c r="Z780" s="358"/>
      <c r="AA780" s="358"/>
    </row>
    <row r="781">
      <c r="A781" s="358"/>
      <c r="B781" s="358"/>
      <c r="C781" s="358"/>
      <c r="D781" s="358"/>
      <c r="E781" s="358"/>
      <c r="F781" s="358"/>
      <c r="G781" s="358"/>
      <c r="H781" s="358"/>
      <c r="I781" s="358"/>
      <c r="J781" s="358"/>
      <c r="K781" s="358"/>
      <c r="L781" s="358"/>
      <c r="M781" s="358"/>
      <c r="N781" s="358"/>
      <c r="O781" s="358"/>
      <c r="P781" s="358"/>
      <c r="Q781" s="358"/>
      <c r="R781" s="358"/>
      <c r="S781" s="358"/>
      <c r="T781" s="358"/>
      <c r="U781" s="358"/>
      <c r="V781" s="358"/>
      <c r="W781" s="358"/>
      <c r="X781" s="358"/>
      <c r="Y781" s="358"/>
      <c r="Z781" s="358"/>
      <c r="AA781" s="358"/>
    </row>
    <row r="782">
      <c r="A782" s="358"/>
      <c r="B782" s="358"/>
      <c r="C782" s="358"/>
      <c r="D782" s="358"/>
      <c r="E782" s="358"/>
      <c r="F782" s="358"/>
      <c r="G782" s="358"/>
      <c r="H782" s="358"/>
      <c r="I782" s="358"/>
      <c r="J782" s="358"/>
      <c r="K782" s="358"/>
      <c r="L782" s="358"/>
      <c r="M782" s="358"/>
      <c r="N782" s="358"/>
      <c r="O782" s="358"/>
      <c r="P782" s="358"/>
      <c r="Q782" s="358"/>
      <c r="R782" s="358"/>
      <c r="S782" s="358"/>
      <c r="T782" s="358"/>
      <c r="U782" s="358"/>
      <c r="V782" s="358"/>
      <c r="W782" s="358"/>
      <c r="X782" s="358"/>
      <c r="Y782" s="358"/>
      <c r="Z782" s="358"/>
      <c r="AA782" s="358"/>
    </row>
    <row r="783">
      <c r="A783" s="358"/>
      <c r="B783" s="358"/>
      <c r="C783" s="358"/>
      <c r="D783" s="358"/>
      <c r="E783" s="358"/>
      <c r="F783" s="358"/>
      <c r="G783" s="358"/>
      <c r="H783" s="358"/>
      <c r="I783" s="358"/>
      <c r="J783" s="358"/>
      <c r="K783" s="358"/>
      <c r="L783" s="358"/>
      <c r="M783" s="358"/>
      <c r="N783" s="358"/>
      <c r="O783" s="358"/>
      <c r="P783" s="358"/>
      <c r="Q783" s="358"/>
      <c r="R783" s="358"/>
      <c r="S783" s="358"/>
      <c r="T783" s="358"/>
      <c r="U783" s="358"/>
      <c r="V783" s="358"/>
      <c r="W783" s="358"/>
      <c r="X783" s="358"/>
      <c r="Y783" s="358"/>
      <c r="Z783" s="358"/>
      <c r="AA783" s="358"/>
    </row>
    <row r="784">
      <c r="A784" s="358"/>
      <c r="B784" s="358"/>
      <c r="C784" s="358"/>
      <c r="D784" s="358"/>
      <c r="E784" s="358"/>
      <c r="F784" s="358"/>
      <c r="G784" s="358"/>
      <c r="H784" s="358"/>
      <c r="I784" s="358"/>
      <c r="J784" s="358"/>
      <c r="K784" s="358"/>
      <c r="L784" s="358"/>
      <c r="M784" s="358"/>
      <c r="N784" s="358"/>
      <c r="O784" s="358"/>
      <c r="P784" s="358"/>
      <c r="Q784" s="358"/>
      <c r="R784" s="358"/>
      <c r="S784" s="358"/>
      <c r="T784" s="358"/>
      <c r="U784" s="358"/>
      <c r="V784" s="358"/>
      <c r="W784" s="358"/>
      <c r="X784" s="358"/>
      <c r="Y784" s="358"/>
      <c r="Z784" s="358"/>
      <c r="AA784" s="358"/>
    </row>
    <row r="785">
      <c r="A785" s="358"/>
      <c r="B785" s="358"/>
      <c r="C785" s="358"/>
      <c r="D785" s="358"/>
      <c r="E785" s="358"/>
      <c r="F785" s="358"/>
      <c r="G785" s="358"/>
      <c r="H785" s="358"/>
      <c r="I785" s="358"/>
      <c r="J785" s="358"/>
      <c r="K785" s="358"/>
      <c r="L785" s="358"/>
      <c r="M785" s="358"/>
      <c r="N785" s="358"/>
      <c r="O785" s="358"/>
      <c r="P785" s="358"/>
      <c r="Q785" s="358"/>
      <c r="R785" s="358"/>
      <c r="S785" s="358"/>
      <c r="T785" s="358"/>
      <c r="U785" s="358"/>
      <c r="V785" s="358"/>
      <c r="W785" s="358"/>
      <c r="X785" s="358"/>
      <c r="Y785" s="358"/>
      <c r="Z785" s="358"/>
      <c r="AA785" s="358"/>
    </row>
    <row r="786">
      <c r="A786" s="358"/>
      <c r="B786" s="358"/>
      <c r="C786" s="358"/>
      <c r="D786" s="358"/>
      <c r="E786" s="358"/>
      <c r="F786" s="358"/>
      <c r="G786" s="358"/>
      <c r="H786" s="358"/>
      <c r="I786" s="358"/>
      <c r="J786" s="358"/>
      <c r="K786" s="358"/>
      <c r="L786" s="358"/>
      <c r="M786" s="358"/>
      <c r="N786" s="358"/>
      <c r="O786" s="358"/>
      <c r="P786" s="358"/>
      <c r="Q786" s="358"/>
      <c r="R786" s="358"/>
      <c r="S786" s="358"/>
      <c r="T786" s="358"/>
      <c r="U786" s="358"/>
      <c r="V786" s="358"/>
      <c r="W786" s="358"/>
      <c r="X786" s="358"/>
      <c r="Y786" s="358"/>
      <c r="Z786" s="358"/>
      <c r="AA786" s="358"/>
    </row>
    <row r="787">
      <c r="A787" s="358"/>
      <c r="B787" s="358"/>
      <c r="C787" s="358"/>
      <c r="D787" s="358"/>
      <c r="E787" s="358"/>
      <c r="F787" s="358"/>
      <c r="G787" s="358"/>
      <c r="H787" s="358"/>
      <c r="I787" s="358"/>
      <c r="J787" s="358"/>
      <c r="K787" s="358"/>
      <c r="L787" s="358"/>
      <c r="M787" s="358"/>
      <c r="N787" s="358"/>
      <c r="O787" s="358"/>
      <c r="P787" s="358"/>
      <c r="Q787" s="358"/>
      <c r="R787" s="358"/>
      <c r="S787" s="358"/>
      <c r="T787" s="358"/>
      <c r="U787" s="358"/>
      <c r="V787" s="358"/>
      <c r="W787" s="358"/>
      <c r="X787" s="358"/>
      <c r="Y787" s="358"/>
      <c r="Z787" s="358"/>
      <c r="AA787" s="358"/>
    </row>
    <row r="788">
      <c r="A788" s="358"/>
      <c r="B788" s="358"/>
      <c r="C788" s="358"/>
      <c r="D788" s="358"/>
      <c r="E788" s="358"/>
      <c r="F788" s="358"/>
      <c r="G788" s="358"/>
      <c r="H788" s="358"/>
      <c r="I788" s="358"/>
      <c r="J788" s="358"/>
      <c r="K788" s="358"/>
      <c r="L788" s="358"/>
      <c r="M788" s="358"/>
      <c r="N788" s="358"/>
      <c r="O788" s="358"/>
      <c r="P788" s="358"/>
      <c r="Q788" s="358"/>
      <c r="R788" s="358"/>
      <c r="S788" s="358"/>
      <c r="T788" s="358"/>
      <c r="U788" s="358"/>
      <c r="V788" s="358"/>
      <c r="W788" s="358"/>
      <c r="X788" s="358"/>
      <c r="Y788" s="358"/>
      <c r="Z788" s="358"/>
      <c r="AA788" s="358"/>
    </row>
    <row r="789">
      <c r="A789" s="358"/>
      <c r="B789" s="358"/>
      <c r="C789" s="358"/>
      <c r="D789" s="358"/>
      <c r="E789" s="358"/>
      <c r="F789" s="358"/>
      <c r="G789" s="358"/>
      <c r="H789" s="358"/>
      <c r="I789" s="358"/>
      <c r="J789" s="358"/>
      <c r="K789" s="358"/>
      <c r="L789" s="358"/>
      <c r="M789" s="358"/>
      <c r="N789" s="358"/>
      <c r="O789" s="358"/>
      <c r="P789" s="358"/>
      <c r="Q789" s="358"/>
      <c r="R789" s="358"/>
      <c r="S789" s="358"/>
      <c r="T789" s="358"/>
      <c r="U789" s="358"/>
      <c r="V789" s="358"/>
      <c r="W789" s="358"/>
      <c r="X789" s="358"/>
      <c r="Y789" s="358"/>
      <c r="Z789" s="358"/>
      <c r="AA789" s="358"/>
    </row>
    <row r="790">
      <c r="A790" s="358"/>
      <c r="B790" s="358"/>
      <c r="C790" s="358"/>
      <c r="D790" s="358"/>
      <c r="E790" s="358"/>
      <c r="F790" s="358"/>
      <c r="G790" s="358"/>
      <c r="H790" s="358"/>
      <c r="I790" s="358"/>
      <c r="J790" s="358"/>
      <c r="K790" s="358"/>
      <c r="L790" s="358"/>
      <c r="M790" s="358"/>
      <c r="N790" s="358"/>
      <c r="O790" s="358"/>
      <c r="P790" s="358"/>
      <c r="Q790" s="358"/>
      <c r="R790" s="358"/>
      <c r="S790" s="358"/>
      <c r="T790" s="358"/>
      <c r="U790" s="358"/>
      <c r="V790" s="358"/>
      <c r="W790" s="358"/>
      <c r="X790" s="358"/>
      <c r="Y790" s="358"/>
      <c r="Z790" s="358"/>
      <c r="AA790" s="358"/>
    </row>
    <row r="791">
      <c r="A791" s="358"/>
      <c r="B791" s="358"/>
      <c r="C791" s="358"/>
      <c r="D791" s="358"/>
      <c r="E791" s="358"/>
      <c r="F791" s="358"/>
      <c r="G791" s="358"/>
      <c r="H791" s="358"/>
      <c r="I791" s="358"/>
      <c r="J791" s="358"/>
      <c r="K791" s="358"/>
      <c r="L791" s="358"/>
      <c r="M791" s="358"/>
      <c r="N791" s="358"/>
      <c r="O791" s="358"/>
      <c r="P791" s="358"/>
      <c r="Q791" s="358"/>
      <c r="R791" s="358"/>
      <c r="S791" s="358"/>
      <c r="T791" s="358"/>
      <c r="U791" s="358"/>
      <c r="V791" s="358"/>
      <c r="W791" s="358"/>
      <c r="X791" s="358"/>
      <c r="Y791" s="358"/>
      <c r="Z791" s="358"/>
      <c r="AA791" s="358"/>
    </row>
    <row r="792">
      <c r="A792" s="358"/>
      <c r="B792" s="358"/>
      <c r="C792" s="358"/>
      <c r="D792" s="358"/>
      <c r="E792" s="358"/>
      <c r="F792" s="358"/>
      <c r="G792" s="358"/>
      <c r="H792" s="358"/>
      <c r="I792" s="358"/>
      <c r="J792" s="358"/>
      <c r="K792" s="358"/>
      <c r="L792" s="358"/>
      <c r="M792" s="358"/>
      <c r="N792" s="358"/>
      <c r="O792" s="358"/>
      <c r="P792" s="358"/>
      <c r="Q792" s="358"/>
      <c r="R792" s="358"/>
      <c r="S792" s="358"/>
      <c r="T792" s="358"/>
      <c r="U792" s="358"/>
      <c r="V792" s="358"/>
      <c r="W792" s="358"/>
      <c r="X792" s="358"/>
      <c r="Y792" s="358"/>
      <c r="Z792" s="358"/>
      <c r="AA792" s="358"/>
    </row>
    <row r="793">
      <c r="A793" s="358"/>
      <c r="B793" s="358"/>
      <c r="C793" s="358"/>
      <c r="D793" s="358"/>
      <c r="E793" s="358"/>
      <c r="F793" s="358"/>
      <c r="G793" s="358"/>
      <c r="H793" s="358"/>
      <c r="I793" s="358"/>
      <c r="J793" s="358"/>
      <c r="K793" s="358"/>
      <c r="L793" s="358"/>
      <c r="M793" s="358"/>
      <c r="N793" s="358"/>
      <c r="O793" s="358"/>
      <c r="P793" s="358"/>
      <c r="Q793" s="358"/>
      <c r="R793" s="358"/>
      <c r="S793" s="358"/>
      <c r="T793" s="358"/>
      <c r="U793" s="358"/>
      <c r="V793" s="358"/>
      <c r="W793" s="358"/>
      <c r="X793" s="358"/>
      <c r="Y793" s="358"/>
      <c r="Z793" s="358"/>
      <c r="AA793" s="358"/>
    </row>
    <row r="794">
      <c r="A794" s="358"/>
      <c r="B794" s="358"/>
      <c r="C794" s="358"/>
      <c r="D794" s="358"/>
      <c r="E794" s="358"/>
      <c r="F794" s="358"/>
      <c r="G794" s="358"/>
      <c r="H794" s="358"/>
      <c r="I794" s="358"/>
      <c r="J794" s="358"/>
      <c r="K794" s="358"/>
      <c r="L794" s="358"/>
      <c r="M794" s="358"/>
      <c r="N794" s="358"/>
      <c r="O794" s="358"/>
      <c r="P794" s="358"/>
      <c r="Q794" s="358"/>
      <c r="R794" s="358"/>
      <c r="S794" s="358"/>
      <c r="T794" s="358"/>
      <c r="U794" s="358"/>
      <c r="V794" s="358"/>
      <c r="W794" s="358"/>
      <c r="X794" s="358"/>
      <c r="Y794" s="358"/>
      <c r="Z794" s="358"/>
      <c r="AA794" s="358"/>
    </row>
    <row r="795">
      <c r="A795" s="358"/>
      <c r="B795" s="358"/>
      <c r="C795" s="358"/>
      <c r="D795" s="358"/>
      <c r="E795" s="358"/>
      <c r="F795" s="358"/>
      <c r="G795" s="358"/>
      <c r="H795" s="358"/>
      <c r="I795" s="358"/>
      <c r="J795" s="358"/>
      <c r="K795" s="358"/>
      <c r="L795" s="358"/>
      <c r="M795" s="358"/>
      <c r="N795" s="358"/>
      <c r="O795" s="358"/>
      <c r="P795" s="358"/>
      <c r="Q795" s="358"/>
      <c r="R795" s="358"/>
      <c r="S795" s="358"/>
      <c r="T795" s="358"/>
      <c r="U795" s="358"/>
      <c r="V795" s="358"/>
      <c r="W795" s="358"/>
      <c r="X795" s="358"/>
      <c r="Y795" s="358"/>
      <c r="Z795" s="358"/>
      <c r="AA795" s="358"/>
    </row>
    <row r="796">
      <c r="A796" s="358"/>
      <c r="B796" s="358"/>
      <c r="C796" s="358"/>
      <c r="D796" s="358"/>
      <c r="E796" s="358"/>
      <c r="F796" s="358"/>
      <c r="G796" s="358"/>
      <c r="H796" s="358"/>
      <c r="I796" s="358"/>
      <c r="J796" s="358"/>
      <c r="K796" s="358"/>
      <c r="L796" s="358"/>
      <c r="M796" s="358"/>
      <c r="N796" s="358"/>
      <c r="O796" s="358"/>
      <c r="P796" s="358"/>
      <c r="Q796" s="358"/>
      <c r="R796" s="358"/>
      <c r="S796" s="358"/>
      <c r="T796" s="358"/>
      <c r="U796" s="358"/>
      <c r="V796" s="358"/>
      <c r="W796" s="358"/>
      <c r="X796" s="358"/>
      <c r="Y796" s="358"/>
      <c r="Z796" s="358"/>
      <c r="AA796" s="358"/>
    </row>
    <row r="797">
      <c r="A797" s="358"/>
      <c r="B797" s="358"/>
      <c r="C797" s="358"/>
      <c r="D797" s="358"/>
      <c r="E797" s="358"/>
      <c r="F797" s="358"/>
      <c r="G797" s="358"/>
      <c r="H797" s="358"/>
      <c r="I797" s="358"/>
      <c r="J797" s="358"/>
      <c r="K797" s="358"/>
      <c r="L797" s="358"/>
      <c r="M797" s="358"/>
      <c r="N797" s="358"/>
      <c r="O797" s="358"/>
      <c r="P797" s="358"/>
      <c r="Q797" s="358"/>
      <c r="R797" s="358"/>
      <c r="S797" s="358"/>
      <c r="T797" s="358"/>
      <c r="U797" s="358"/>
      <c r="V797" s="358"/>
      <c r="W797" s="358"/>
      <c r="X797" s="358"/>
      <c r="Y797" s="358"/>
      <c r="Z797" s="358"/>
      <c r="AA797" s="358"/>
    </row>
    <row r="798">
      <c r="A798" s="358"/>
      <c r="B798" s="358"/>
      <c r="C798" s="358"/>
      <c r="D798" s="358"/>
      <c r="E798" s="358"/>
      <c r="F798" s="358"/>
      <c r="G798" s="358"/>
      <c r="H798" s="358"/>
      <c r="I798" s="358"/>
      <c r="J798" s="358"/>
      <c r="K798" s="358"/>
      <c r="L798" s="358"/>
      <c r="M798" s="358"/>
      <c r="N798" s="358"/>
      <c r="O798" s="358"/>
      <c r="P798" s="358"/>
      <c r="Q798" s="358"/>
      <c r="R798" s="358"/>
      <c r="S798" s="358"/>
      <c r="T798" s="358"/>
      <c r="U798" s="358"/>
      <c r="V798" s="358"/>
      <c r="W798" s="358"/>
      <c r="X798" s="358"/>
      <c r="Y798" s="358"/>
      <c r="Z798" s="358"/>
      <c r="AA798" s="358"/>
    </row>
    <row r="799">
      <c r="A799" s="358"/>
      <c r="B799" s="358"/>
      <c r="C799" s="358"/>
      <c r="D799" s="358"/>
      <c r="E799" s="358"/>
      <c r="F799" s="358"/>
      <c r="G799" s="358"/>
      <c r="H799" s="358"/>
      <c r="I799" s="358"/>
      <c r="J799" s="358"/>
      <c r="K799" s="358"/>
      <c r="L799" s="358"/>
      <c r="M799" s="358"/>
      <c r="N799" s="358"/>
      <c r="O799" s="358"/>
      <c r="P799" s="358"/>
      <c r="Q799" s="358"/>
      <c r="R799" s="358"/>
      <c r="S799" s="358"/>
      <c r="T799" s="358"/>
      <c r="U799" s="358"/>
      <c r="V799" s="358"/>
      <c r="W799" s="358"/>
      <c r="X799" s="358"/>
      <c r="Y799" s="358"/>
      <c r="Z799" s="358"/>
      <c r="AA799" s="358"/>
    </row>
    <row r="800">
      <c r="A800" s="358"/>
      <c r="B800" s="358"/>
      <c r="C800" s="358"/>
      <c r="D800" s="358"/>
      <c r="E800" s="358"/>
      <c r="F800" s="358"/>
      <c r="G800" s="358"/>
      <c r="H800" s="358"/>
      <c r="I800" s="358"/>
      <c r="J800" s="358"/>
      <c r="K800" s="358"/>
      <c r="L800" s="358"/>
      <c r="M800" s="358"/>
      <c r="N800" s="358"/>
      <c r="O800" s="358"/>
      <c r="P800" s="358"/>
      <c r="Q800" s="358"/>
      <c r="R800" s="358"/>
      <c r="S800" s="358"/>
      <c r="T800" s="358"/>
      <c r="U800" s="358"/>
      <c r="V800" s="358"/>
      <c r="W800" s="358"/>
      <c r="X800" s="358"/>
      <c r="Y800" s="358"/>
      <c r="Z800" s="358"/>
      <c r="AA800" s="358"/>
    </row>
    <row r="801">
      <c r="A801" s="358"/>
      <c r="B801" s="358"/>
      <c r="C801" s="358"/>
      <c r="D801" s="358"/>
      <c r="E801" s="358"/>
      <c r="F801" s="358"/>
      <c r="G801" s="358"/>
      <c r="H801" s="358"/>
      <c r="I801" s="358"/>
      <c r="J801" s="358"/>
      <c r="K801" s="358"/>
      <c r="L801" s="358"/>
      <c r="M801" s="358"/>
      <c r="N801" s="358"/>
      <c r="O801" s="358"/>
      <c r="P801" s="358"/>
      <c r="Q801" s="358"/>
      <c r="R801" s="358"/>
      <c r="S801" s="358"/>
      <c r="T801" s="358"/>
      <c r="U801" s="358"/>
      <c r="V801" s="358"/>
      <c r="W801" s="358"/>
      <c r="X801" s="358"/>
      <c r="Y801" s="358"/>
      <c r="Z801" s="358"/>
      <c r="AA801" s="358"/>
    </row>
    <row r="802">
      <c r="A802" s="358"/>
      <c r="B802" s="358"/>
      <c r="C802" s="358"/>
      <c r="D802" s="358"/>
      <c r="E802" s="358"/>
      <c r="F802" s="358"/>
      <c r="G802" s="358"/>
      <c r="H802" s="358"/>
      <c r="I802" s="358"/>
      <c r="J802" s="358"/>
      <c r="K802" s="358"/>
      <c r="L802" s="358"/>
      <c r="M802" s="358"/>
      <c r="N802" s="358"/>
      <c r="O802" s="358"/>
      <c r="P802" s="358"/>
      <c r="Q802" s="358"/>
      <c r="R802" s="358"/>
      <c r="S802" s="358"/>
      <c r="T802" s="358"/>
      <c r="U802" s="358"/>
      <c r="V802" s="358"/>
      <c r="W802" s="358"/>
      <c r="X802" s="358"/>
      <c r="Y802" s="358"/>
      <c r="Z802" s="358"/>
      <c r="AA802" s="358"/>
    </row>
    <row r="803">
      <c r="A803" s="358"/>
      <c r="B803" s="358"/>
      <c r="C803" s="358"/>
      <c r="D803" s="358"/>
      <c r="E803" s="358"/>
      <c r="F803" s="358"/>
      <c r="G803" s="358"/>
      <c r="H803" s="358"/>
      <c r="I803" s="358"/>
      <c r="J803" s="358"/>
      <c r="K803" s="358"/>
      <c r="L803" s="358"/>
      <c r="M803" s="358"/>
      <c r="N803" s="358"/>
      <c r="O803" s="358"/>
      <c r="P803" s="358"/>
      <c r="Q803" s="358"/>
      <c r="R803" s="358"/>
      <c r="S803" s="358"/>
      <c r="T803" s="358"/>
      <c r="U803" s="358"/>
      <c r="V803" s="358"/>
      <c r="W803" s="358"/>
      <c r="X803" s="358"/>
      <c r="Y803" s="358"/>
      <c r="Z803" s="358"/>
      <c r="AA803" s="358"/>
    </row>
    <row r="804">
      <c r="A804" s="358"/>
      <c r="B804" s="358"/>
      <c r="C804" s="358"/>
      <c r="D804" s="358"/>
      <c r="E804" s="358"/>
      <c r="F804" s="358"/>
      <c r="G804" s="358"/>
      <c r="H804" s="358"/>
      <c r="I804" s="358"/>
      <c r="J804" s="358"/>
      <c r="K804" s="358"/>
      <c r="L804" s="358"/>
      <c r="M804" s="358"/>
      <c r="N804" s="358"/>
      <c r="O804" s="358"/>
      <c r="P804" s="358"/>
      <c r="Q804" s="358"/>
      <c r="R804" s="358"/>
      <c r="S804" s="358"/>
      <c r="T804" s="358"/>
      <c r="U804" s="358"/>
      <c r="V804" s="358"/>
      <c r="W804" s="358"/>
      <c r="X804" s="358"/>
      <c r="Y804" s="358"/>
      <c r="Z804" s="358"/>
      <c r="AA804" s="358"/>
    </row>
    <row r="805">
      <c r="A805" s="358"/>
      <c r="B805" s="358"/>
      <c r="C805" s="358"/>
      <c r="D805" s="358"/>
      <c r="E805" s="358"/>
      <c r="F805" s="358"/>
      <c r="G805" s="358"/>
      <c r="H805" s="358"/>
      <c r="I805" s="358"/>
      <c r="J805" s="358"/>
      <c r="K805" s="358"/>
      <c r="L805" s="358"/>
      <c r="M805" s="358"/>
      <c r="N805" s="358"/>
      <c r="O805" s="358"/>
      <c r="P805" s="358"/>
      <c r="Q805" s="358"/>
      <c r="R805" s="358"/>
      <c r="S805" s="358"/>
      <c r="T805" s="358"/>
      <c r="U805" s="358"/>
      <c r="V805" s="358"/>
      <c r="W805" s="358"/>
      <c r="X805" s="358"/>
      <c r="Y805" s="358"/>
      <c r="Z805" s="358"/>
      <c r="AA805" s="358"/>
    </row>
    <row r="806">
      <c r="A806" s="358"/>
      <c r="B806" s="358"/>
      <c r="C806" s="358"/>
      <c r="D806" s="358"/>
      <c r="E806" s="358"/>
      <c r="F806" s="358"/>
      <c r="G806" s="358"/>
      <c r="H806" s="358"/>
      <c r="I806" s="358"/>
      <c r="J806" s="358"/>
      <c r="K806" s="358"/>
      <c r="L806" s="358"/>
      <c r="M806" s="358"/>
      <c r="N806" s="358"/>
      <c r="O806" s="358"/>
      <c r="P806" s="358"/>
      <c r="Q806" s="358"/>
      <c r="R806" s="358"/>
      <c r="S806" s="358"/>
      <c r="T806" s="358"/>
      <c r="U806" s="358"/>
      <c r="V806" s="358"/>
      <c r="W806" s="358"/>
      <c r="X806" s="358"/>
      <c r="Y806" s="358"/>
      <c r="Z806" s="358"/>
      <c r="AA806" s="358"/>
    </row>
    <row r="807">
      <c r="A807" s="358"/>
      <c r="B807" s="358"/>
      <c r="C807" s="358"/>
      <c r="D807" s="358"/>
      <c r="E807" s="358"/>
      <c r="F807" s="358"/>
      <c r="G807" s="358"/>
      <c r="H807" s="358"/>
      <c r="I807" s="358"/>
      <c r="J807" s="358"/>
      <c r="K807" s="358"/>
      <c r="L807" s="358"/>
      <c r="M807" s="358"/>
      <c r="N807" s="358"/>
      <c r="O807" s="358"/>
      <c r="P807" s="358"/>
      <c r="Q807" s="358"/>
      <c r="R807" s="358"/>
      <c r="S807" s="358"/>
      <c r="T807" s="358"/>
      <c r="U807" s="358"/>
      <c r="V807" s="358"/>
      <c r="W807" s="358"/>
      <c r="X807" s="358"/>
      <c r="Y807" s="358"/>
      <c r="Z807" s="358"/>
      <c r="AA807" s="358"/>
    </row>
    <row r="808">
      <c r="A808" s="358"/>
      <c r="B808" s="358"/>
      <c r="C808" s="358"/>
      <c r="D808" s="358"/>
      <c r="E808" s="358"/>
      <c r="F808" s="358"/>
      <c r="G808" s="358"/>
      <c r="H808" s="358"/>
      <c r="I808" s="358"/>
      <c r="J808" s="358"/>
      <c r="K808" s="358"/>
      <c r="L808" s="358"/>
      <c r="M808" s="358"/>
      <c r="N808" s="358"/>
      <c r="O808" s="358"/>
      <c r="P808" s="358"/>
      <c r="Q808" s="358"/>
      <c r="R808" s="358"/>
      <c r="S808" s="358"/>
      <c r="T808" s="358"/>
      <c r="U808" s="358"/>
      <c r="V808" s="358"/>
      <c r="W808" s="358"/>
      <c r="X808" s="358"/>
      <c r="Y808" s="358"/>
      <c r="Z808" s="358"/>
      <c r="AA808" s="358"/>
    </row>
    <row r="809">
      <c r="A809" s="358"/>
      <c r="B809" s="358"/>
      <c r="C809" s="358"/>
      <c r="D809" s="358"/>
      <c r="E809" s="358"/>
      <c r="F809" s="358"/>
      <c r="G809" s="358"/>
      <c r="H809" s="358"/>
      <c r="I809" s="358"/>
      <c r="J809" s="358"/>
      <c r="K809" s="358"/>
      <c r="L809" s="358"/>
      <c r="M809" s="358"/>
      <c r="N809" s="358"/>
      <c r="O809" s="358"/>
      <c r="P809" s="358"/>
      <c r="Q809" s="358"/>
      <c r="R809" s="358"/>
      <c r="S809" s="358"/>
      <c r="T809" s="358"/>
      <c r="U809" s="358"/>
      <c r="V809" s="358"/>
      <c r="W809" s="358"/>
      <c r="X809" s="358"/>
      <c r="Y809" s="358"/>
      <c r="Z809" s="358"/>
      <c r="AA809" s="358"/>
    </row>
    <row r="810">
      <c r="A810" s="358"/>
      <c r="B810" s="358"/>
      <c r="C810" s="358"/>
      <c r="D810" s="358"/>
      <c r="E810" s="358"/>
      <c r="F810" s="358"/>
      <c r="G810" s="358"/>
      <c r="H810" s="358"/>
      <c r="I810" s="358"/>
      <c r="J810" s="358"/>
      <c r="K810" s="358"/>
      <c r="L810" s="358"/>
      <c r="M810" s="358"/>
      <c r="N810" s="358"/>
      <c r="O810" s="358"/>
      <c r="P810" s="358"/>
      <c r="Q810" s="358"/>
      <c r="R810" s="358"/>
      <c r="S810" s="358"/>
      <c r="T810" s="358"/>
      <c r="U810" s="358"/>
      <c r="V810" s="358"/>
      <c r="W810" s="358"/>
      <c r="X810" s="358"/>
      <c r="Y810" s="358"/>
      <c r="Z810" s="358"/>
      <c r="AA810" s="358"/>
    </row>
    <row r="811">
      <c r="A811" s="358"/>
      <c r="B811" s="358"/>
      <c r="C811" s="358"/>
      <c r="D811" s="358"/>
      <c r="E811" s="358"/>
      <c r="F811" s="358"/>
      <c r="G811" s="358"/>
      <c r="H811" s="358"/>
      <c r="I811" s="358"/>
      <c r="J811" s="358"/>
      <c r="K811" s="358"/>
      <c r="L811" s="358"/>
      <c r="M811" s="358"/>
      <c r="N811" s="358"/>
      <c r="O811" s="358"/>
      <c r="P811" s="358"/>
      <c r="Q811" s="358"/>
      <c r="R811" s="358"/>
      <c r="S811" s="358"/>
      <c r="T811" s="358"/>
      <c r="U811" s="358"/>
      <c r="V811" s="358"/>
      <c r="W811" s="358"/>
      <c r="X811" s="358"/>
      <c r="Y811" s="358"/>
      <c r="Z811" s="358"/>
      <c r="AA811" s="358"/>
    </row>
    <row r="812">
      <c r="A812" s="358"/>
      <c r="B812" s="358"/>
      <c r="C812" s="358"/>
      <c r="D812" s="358"/>
      <c r="E812" s="358"/>
      <c r="F812" s="358"/>
      <c r="G812" s="358"/>
      <c r="H812" s="358"/>
      <c r="I812" s="358"/>
      <c r="J812" s="358"/>
      <c r="K812" s="358"/>
      <c r="L812" s="358"/>
      <c r="M812" s="358"/>
      <c r="N812" s="358"/>
      <c r="O812" s="358"/>
      <c r="P812" s="358"/>
      <c r="Q812" s="358"/>
      <c r="R812" s="358"/>
      <c r="S812" s="358"/>
      <c r="T812" s="358"/>
      <c r="U812" s="358"/>
      <c r="V812" s="358"/>
      <c r="W812" s="358"/>
      <c r="X812" s="358"/>
      <c r="Y812" s="358"/>
      <c r="Z812" s="358"/>
      <c r="AA812" s="358"/>
    </row>
    <row r="813">
      <c r="A813" s="358"/>
      <c r="B813" s="358"/>
      <c r="C813" s="358"/>
      <c r="D813" s="358"/>
      <c r="E813" s="358"/>
      <c r="F813" s="358"/>
      <c r="G813" s="358"/>
      <c r="H813" s="358"/>
      <c r="I813" s="358"/>
      <c r="J813" s="358"/>
      <c r="K813" s="358"/>
      <c r="L813" s="358"/>
      <c r="M813" s="358"/>
      <c r="N813" s="358"/>
      <c r="O813" s="358"/>
      <c r="P813" s="358"/>
      <c r="Q813" s="358"/>
      <c r="R813" s="358"/>
      <c r="S813" s="358"/>
      <c r="T813" s="358"/>
      <c r="U813" s="358"/>
      <c r="V813" s="358"/>
      <c r="W813" s="358"/>
      <c r="X813" s="358"/>
      <c r="Y813" s="358"/>
      <c r="Z813" s="358"/>
      <c r="AA813" s="358"/>
    </row>
    <row r="814">
      <c r="A814" s="358"/>
      <c r="B814" s="358"/>
      <c r="C814" s="358"/>
      <c r="D814" s="358"/>
      <c r="E814" s="358"/>
      <c r="F814" s="358"/>
      <c r="G814" s="358"/>
      <c r="H814" s="358"/>
      <c r="I814" s="358"/>
      <c r="J814" s="358"/>
      <c r="K814" s="358"/>
      <c r="L814" s="358"/>
      <c r="M814" s="358"/>
      <c r="N814" s="358"/>
      <c r="O814" s="358"/>
      <c r="P814" s="358"/>
      <c r="Q814" s="358"/>
      <c r="R814" s="358"/>
      <c r="S814" s="358"/>
      <c r="T814" s="358"/>
      <c r="U814" s="358"/>
      <c r="V814" s="358"/>
      <c r="W814" s="358"/>
      <c r="X814" s="358"/>
      <c r="Y814" s="358"/>
      <c r="Z814" s="358"/>
      <c r="AA814" s="358"/>
    </row>
    <row r="815">
      <c r="A815" s="358"/>
      <c r="B815" s="358"/>
      <c r="C815" s="358"/>
      <c r="D815" s="358"/>
      <c r="E815" s="358"/>
      <c r="F815" s="358"/>
      <c r="G815" s="358"/>
      <c r="H815" s="358"/>
      <c r="I815" s="358"/>
      <c r="J815" s="358"/>
      <c r="K815" s="358"/>
      <c r="L815" s="358"/>
      <c r="M815" s="358"/>
      <c r="N815" s="358"/>
      <c r="O815" s="358"/>
      <c r="P815" s="358"/>
      <c r="Q815" s="358"/>
      <c r="R815" s="358"/>
      <c r="S815" s="358"/>
      <c r="T815" s="358"/>
      <c r="U815" s="358"/>
      <c r="V815" s="358"/>
      <c r="W815" s="358"/>
      <c r="X815" s="358"/>
      <c r="Y815" s="358"/>
      <c r="Z815" s="358"/>
      <c r="AA815" s="358"/>
    </row>
    <row r="816">
      <c r="A816" s="358"/>
      <c r="B816" s="358"/>
      <c r="C816" s="358"/>
      <c r="D816" s="358"/>
      <c r="E816" s="358"/>
      <c r="F816" s="358"/>
      <c r="G816" s="358"/>
      <c r="H816" s="358"/>
      <c r="I816" s="358"/>
      <c r="J816" s="358"/>
      <c r="K816" s="358"/>
      <c r="L816" s="358"/>
      <c r="M816" s="358"/>
      <c r="N816" s="358"/>
      <c r="O816" s="358"/>
      <c r="P816" s="358"/>
      <c r="Q816" s="358"/>
      <c r="R816" s="358"/>
      <c r="S816" s="358"/>
      <c r="T816" s="358"/>
      <c r="U816" s="358"/>
      <c r="V816" s="358"/>
      <c r="W816" s="358"/>
      <c r="X816" s="358"/>
      <c r="Y816" s="358"/>
      <c r="Z816" s="358"/>
      <c r="AA816" s="358"/>
    </row>
    <row r="817">
      <c r="A817" s="358"/>
      <c r="B817" s="358"/>
      <c r="C817" s="358"/>
      <c r="D817" s="358"/>
      <c r="E817" s="358"/>
      <c r="F817" s="358"/>
      <c r="G817" s="358"/>
      <c r="H817" s="358"/>
      <c r="I817" s="358"/>
      <c r="J817" s="358"/>
      <c r="K817" s="358"/>
      <c r="L817" s="358"/>
      <c r="M817" s="358"/>
      <c r="N817" s="358"/>
      <c r="O817" s="358"/>
      <c r="P817" s="358"/>
      <c r="Q817" s="358"/>
      <c r="R817" s="358"/>
      <c r="S817" s="358"/>
      <c r="T817" s="358"/>
      <c r="U817" s="358"/>
      <c r="V817" s="358"/>
      <c r="W817" s="358"/>
      <c r="X817" s="358"/>
      <c r="Y817" s="358"/>
      <c r="Z817" s="358"/>
      <c r="AA817" s="358"/>
    </row>
    <row r="818">
      <c r="A818" s="358"/>
      <c r="B818" s="358"/>
      <c r="C818" s="358"/>
      <c r="D818" s="358"/>
      <c r="E818" s="358"/>
      <c r="F818" s="358"/>
      <c r="G818" s="358"/>
      <c r="H818" s="358"/>
      <c r="I818" s="358"/>
      <c r="J818" s="358"/>
      <c r="K818" s="358"/>
      <c r="L818" s="358"/>
      <c r="M818" s="358"/>
      <c r="N818" s="358"/>
      <c r="O818" s="358"/>
      <c r="P818" s="358"/>
      <c r="Q818" s="358"/>
      <c r="R818" s="358"/>
      <c r="S818" s="358"/>
      <c r="T818" s="358"/>
      <c r="U818" s="358"/>
      <c r="V818" s="358"/>
      <c r="W818" s="358"/>
      <c r="X818" s="358"/>
      <c r="Y818" s="358"/>
      <c r="Z818" s="358"/>
      <c r="AA818" s="358"/>
    </row>
    <row r="819">
      <c r="A819" s="358"/>
      <c r="B819" s="358"/>
      <c r="C819" s="358"/>
      <c r="D819" s="358"/>
      <c r="E819" s="358"/>
      <c r="F819" s="358"/>
      <c r="G819" s="358"/>
      <c r="H819" s="358"/>
      <c r="I819" s="358"/>
      <c r="J819" s="358"/>
      <c r="K819" s="358"/>
      <c r="L819" s="358"/>
      <c r="M819" s="358"/>
      <c r="N819" s="358"/>
      <c r="O819" s="358"/>
      <c r="P819" s="358"/>
      <c r="Q819" s="358"/>
      <c r="R819" s="358"/>
      <c r="S819" s="358"/>
      <c r="T819" s="358"/>
      <c r="U819" s="358"/>
      <c r="V819" s="358"/>
      <c r="W819" s="358"/>
      <c r="X819" s="358"/>
      <c r="Y819" s="358"/>
      <c r="Z819" s="358"/>
      <c r="AA819" s="358"/>
    </row>
    <row r="820">
      <c r="A820" s="358"/>
      <c r="B820" s="358"/>
      <c r="C820" s="358"/>
      <c r="D820" s="358"/>
      <c r="E820" s="358"/>
      <c r="F820" s="358"/>
      <c r="G820" s="358"/>
      <c r="H820" s="358"/>
      <c r="I820" s="358"/>
      <c r="J820" s="358"/>
      <c r="K820" s="358"/>
      <c r="L820" s="358"/>
      <c r="M820" s="358"/>
      <c r="N820" s="358"/>
      <c r="O820" s="358"/>
      <c r="P820" s="358"/>
      <c r="Q820" s="358"/>
      <c r="R820" s="358"/>
      <c r="S820" s="358"/>
      <c r="T820" s="358"/>
      <c r="U820" s="358"/>
      <c r="V820" s="358"/>
      <c r="W820" s="358"/>
      <c r="X820" s="358"/>
      <c r="Y820" s="358"/>
      <c r="Z820" s="358"/>
      <c r="AA820" s="358"/>
    </row>
    <row r="821">
      <c r="A821" s="358"/>
      <c r="B821" s="358"/>
      <c r="C821" s="358"/>
      <c r="D821" s="358"/>
      <c r="E821" s="358"/>
      <c r="F821" s="358"/>
      <c r="G821" s="358"/>
      <c r="H821" s="358"/>
      <c r="I821" s="358"/>
      <c r="J821" s="358"/>
      <c r="K821" s="358"/>
      <c r="L821" s="358"/>
      <c r="M821" s="358"/>
      <c r="N821" s="358"/>
      <c r="O821" s="358"/>
      <c r="P821" s="358"/>
      <c r="Q821" s="358"/>
      <c r="R821" s="358"/>
      <c r="S821" s="358"/>
      <c r="T821" s="358"/>
      <c r="U821" s="358"/>
      <c r="V821" s="358"/>
      <c r="W821" s="358"/>
      <c r="X821" s="358"/>
      <c r="Y821" s="358"/>
      <c r="Z821" s="358"/>
      <c r="AA821" s="358"/>
    </row>
    <row r="822">
      <c r="A822" s="358"/>
      <c r="B822" s="358"/>
      <c r="C822" s="358"/>
      <c r="D822" s="358"/>
      <c r="E822" s="358"/>
      <c r="F822" s="358"/>
      <c r="G822" s="358"/>
      <c r="H822" s="358"/>
      <c r="I822" s="358"/>
      <c r="J822" s="358"/>
      <c r="K822" s="358"/>
      <c r="L822" s="358"/>
      <c r="M822" s="358"/>
      <c r="N822" s="358"/>
      <c r="O822" s="358"/>
      <c r="P822" s="358"/>
      <c r="Q822" s="358"/>
      <c r="R822" s="358"/>
      <c r="S822" s="358"/>
      <c r="T822" s="358"/>
      <c r="U822" s="358"/>
      <c r="V822" s="358"/>
      <c r="W822" s="358"/>
      <c r="X822" s="358"/>
      <c r="Y822" s="358"/>
      <c r="Z822" s="358"/>
      <c r="AA822" s="358"/>
    </row>
    <row r="823">
      <c r="A823" s="358"/>
      <c r="B823" s="358"/>
      <c r="C823" s="358"/>
      <c r="D823" s="358"/>
      <c r="E823" s="358"/>
      <c r="F823" s="358"/>
      <c r="G823" s="358"/>
      <c r="H823" s="358"/>
      <c r="I823" s="358"/>
      <c r="J823" s="358"/>
      <c r="K823" s="358"/>
      <c r="L823" s="358"/>
      <c r="M823" s="358"/>
      <c r="N823" s="358"/>
      <c r="O823" s="358"/>
      <c r="P823" s="358"/>
      <c r="Q823" s="358"/>
      <c r="R823" s="358"/>
      <c r="S823" s="358"/>
      <c r="T823" s="358"/>
      <c r="U823" s="358"/>
      <c r="V823" s="358"/>
      <c r="W823" s="358"/>
      <c r="X823" s="358"/>
      <c r="Y823" s="358"/>
      <c r="Z823" s="358"/>
      <c r="AA823" s="358"/>
    </row>
    <row r="824">
      <c r="A824" s="358"/>
      <c r="B824" s="358"/>
      <c r="C824" s="358"/>
      <c r="D824" s="358"/>
      <c r="E824" s="358"/>
      <c r="F824" s="358"/>
      <c r="G824" s="358"/>
      <c r="H824" s="358"/>
      <c r="I824" s="358"/>
      <c r="J824" s="358"/>
      <c r="K824" s="358"/>
      <c r="L824" s="358"/>
      <c r="M824" s="358"/>
      <c r="N824" s="358"/>
      <c r="O824" s="358"/>
      <c r="P824" s="358"/>
      <c r="Q824" s="358"/>
      <c r="R824" s="358"/>
      <c r="S824" s="358"/>
      <c r="T824" s="358"/>
      <c r="U824" s="358"/>
      <c r="V824" s="358"/>
      <c r="W824" s="358"/>
      <c r="X824" s="358"/>
      <c r="Y824" s="358"/>
      <c r="Z824" s="358"/>
      <c r="AA824" s="358"/>
    </row>
    <row r="825">
      <c r="A825" s="358"/>
      <c r="B825" s="358"/>
      <c r="C825" s="358"/>
      <c r="D825" s="358"/>
      <c r="E825" s="358"/>
      <c r="F825" s="358"/>
      <c r="G825" s="358"/>
      <c r="H825" s="358"/>
      <c r="I825" s="358"/>
      <c r="J825" s="358"/>
      <c r="K825" s="358"/>
      <c r="L825" s="358"/>
      <c r="M825" s="358"/>
      <c r="N825" s="358"/>
      <c r="O825" s="358"/>
      <c r="P825" s="358"/>
      <c r="Q825" s="358"/>
      <c r="R825" s="358"/>
      <c r="S825" s="358"/>
      <c r="T825" s="358"/>
      <c r="U825" s="358"/>
      <c r="V825" s="358"/>
      <c r="W825" s="358"/>
      <c r="X825" s="358"/>
      <c r="Y825" s="358"/>
      <c r="Z825" s="358"/>
      <c r="AA825" s="358"/>
    </row>
    <row r="826">
      <c r="A826" s="358"/>
      <c r="B826" s="358"/>
      <c r="C826" s="358"/>
      <c r="D826" s="358"/>
      <c r="E826" s="358"/>
      <c r="F826" s="358"/>
      <c r="G826" s="358"/>
      <c r="H826" s="358"/>
      <c r="I826" s="358"/>
      <c r="J826" s="358"/>
      <c r="K826" s="358"/>
      <c r="L826" s="358"/>
      <c r="M826" s="358"/>
      <c r="N826" s="358"/>
      <c r="O826" s="358"/>
      <c r="P826" s="358"/>
      <c r="Q826" s="358"/>
      <c r="R826" s="358"/>
      <c r="S826" s="358"/>
      <c r="T826" s="358"/>
      <c r="U826" s="358"/>
      <c r="V826" s="358"/>
      <c r="W826" s="358"/>
      <c r="X826" s="358"/>
      <c r="Y826" s="358"/>
      <c r="Z826" s="358"/>
      <c r="AA826" s="358"/>
    </row>
    <row r="827">
      <c r="A827" s="358"/>
      <c r="B827" s="358"/>
      <c r="C827" s="358"/>
      <c r="D827" s="358"/>
      <c r="E827" s="358"/>
      <c r="F827" s="358"/>
      <c r="G827" s="358"/>
      <c r="H827" s="358"/>
      <c r="I827" s="358"/>
      <c r="J827" s="358"/>
      <c r="K827" s="358"/>
      <c r="L827" s="358"/>
      <c r="M827" s="358"/>
      <c r="N827" s="358"/>
      <c r="O827" s="358"/>
      <c r="P827" s="358"/>
      <c r="Q827" s="358"/>
      <c r="R827" s="358"/>
      <c r="S827" s="358"/>
      <c r="T827" s="358"/>
      <c r="U827" s="358"/>
      <c r="V827" s="358"/>
      <c r="W827" s="358"/>
      <c r="X827" s="358"/>
      <c r="Y827" s="358"/>
      <c r="Z827" s="358"/>
      <c r="AA827" s="358"/>
    </row>
    <row r="828">
      <c r="A828" s="358"/>
      <c r="B828" s="358"/>
      <c r="C828" s="358"/>
      <c r="D828" s="358"/>
      <c r="E828" s="358"/>
      <c r="F828" s="358"/>
      <c r="G828" s="358"/>
      <c r="H828" s="358"/>
      <c r="I828" s="358"/>
      <c r="J828" s="358"/>
      <c r="K828" s="358"/>
      <c r="L828" s="358"/>
      <c r="M828" s="358"/>
      <c r="N828" s="358"/>
      <c r="O828" s="358"/>
      <c r="P828" s="358"/>
      <c r="Q828" s="358"/>
      <c r="R828" s="358"/>
      <c r="S828" s="358"/>
      <c r="T828" s="358"/>
      <c r="U828" s="358"/>
      <c r="V828" s="358"/>
      <c r="W828" s="358"/>
      <c r="X828" s="358"/>
      <c r="Y828" s="358"/>
      <c r="Z828" s="358"/>
      <c r="AA828" s="358"/>
    </row>
    <row r="829">
      <c r="A829" s="358"/>
      <c r="B829" s="358"/>
      <c r="C829" s="358"/>
      <c r="D829" s="358"/>
      <c r="E829" s="358"/>
      <c r="F829" s="358"/>
      <c r="G829" s="358"/>
      <c r="H829" s="358"/>
      <c r="I829" s="358"/>
      <c r="J829" s="358"/>
      <c r="K829" s="358"/>
      <c r="L829" s="358"/>
      <c r="M829" s="358"/>
      <c r="N829" s="358"/>
      <c r="O829" s="358"/>
      <c r="P829" s="358"/>
      <c r="Q829" s="358"/>
      <c r="R829" s="358"/>
      <c r="S829" s="358"/>
      <c r="T829" s="358"/>
      <c r="U829" s="358"/>
      <c r="V829" s="358"/>
      <c r="W829" s="358"/>
      <c r="X829" s="358"/>
      <c r="Y829" s="358"/>
      <c r="Z829" s="358"/>
      <c r="AA829" s="358"/>
    </row>
    <row r="830">
      <c r="A830" s="358"/>
      <c r="B830" s="358"/>
      <c r="C830" s="358"/>
      <c r="D830" s="358"/>
      <c r="E830" s="358"/>
      <c r="F830" s="358"/>
      <c r="G830" s="358"/>
      <c r="H830" s="358"/>
      <c r="I830" s="358"/>
      <c r="J830" s="358"/>
      <c r="K830" s="358"/>
      <c r="L830" s="358"/>
      <c r="M830" s="358"/>
      <c r="N830" s="358"/>
      <c r="O830" s="358"/>
      <c r="P830" s="358"/>
      <c r="Q830" s="358"/>
      <c r="R830" s="358"/>
      <c r="S830" s="358"/>
      <c r="T830" s="358"/>
      <c r="U830" s="358"/>
      <c r="V830" s="358"/>
      <c r="W830" s="358"/>
      <c r="X830" s="358"/>
      <c r="Y830" s="358"/>
      <c r="Z830" s="358"/>
      <c r="AA830" s="358"/>
    </row>
    <row r="831">
      <c r="A831" s="358"/>
      <c r="B831" s="358"/>
      <c r="C831" s="358"/>
      <c r="D831" s="358"/>
      <c r="E831" s="358"/>
      <c r="F831" s="358"/>
      <c r="G831" s="358"/>
      <c r="H831" s="358"/>
      <c r="I831" s="358"/>
      <c r="J831" s="358"/>
      <c r="K831" s="358"/>
      <c r="L831" s="358"/>
      <c r="M831" s="358"/>
      <c r="N831" s="358"/>
      <c r="O831" s="358"/>
      <c r="P831" s="358"/>
      <c r="Q831" s="358"/>
      <c r="R831" s="358"/>
      <c r="S831" s="358"/>
      <c r="T831" s="358"/>
      <c r="U831" s="358"/>
      <c r="V831" s="358"/>
      <c r="W831" s="358"/>
      <c r="X831" s="358"/>
      <c r="Y831" s="358"/>
      <c r="Z831" s="358"/>
      <c r="AA831" s="358"/>
    </row>
    <row r="832">
      <c r="A832" s="358"/>
      <c r="B832" s="358"/>
      <c r="C832" s="358"/>
      <c r="D832" s="358"/>
      <c r="E832" s="358"/>
      <c r="F832" s="358"/>
      <c r="G832" s="358"/>
      <c r="H832" s="358"/>
      <c r="I832" s="358"/>
      <c r="J832" s="358"/>
      <c r="K832" s="358"/>
      <c r="L832" s="358"/>
      <c r="M832" s="358"/>
      <c r="N832" s="358"/>
      <c r="O832" s="358"/>
      <c r="P832" s="358"/>
      <c r="Q832" s="358"/>
      <c r="R832" s="358"/>
      <c r="S832" s="358"/>
      <c r="T832" s="358"/>
      <c r="U832" s="358"/>
      <c r="V832" s="358"/>
      <c r="W832" s="358"/>
      <c r="X832" s="358"/>
      <c r="Y832" s="358"/>
      <c r="Z832" s="358"/>
      <c r="AA832" s="358"/>
    </row>
    <row r="833">
      <c r="A833" s="358"/>
      <c r="B833" s="358"/>
      <c r="C833" s="358"/>
      <c r="D833" s="358"/>
      <c r="E833" s="358"/>
      <c r="F833" s="358"/>
      <c r="G833" s="358"/>
      <c r="H833" s="358"/>
      <c r="I833" s="358"/>
      <c r="J833" s="358"/>
      <c r="K833" s="358"/>
      <c r="L833" s="358"/>
      <c r="M833" s="358"/>
      <c r="N833" s="358"/>
      <c r="O833" s="358"/>
      <c r="P833" s="358"/>
      <c r="Q833" s="358"/>
      <c r="R833" s="358"/>
      <c r="S833" s="358"/>
      <c r="T833" s="358"/>
      <c r="U833" s="358"/>
      <c r="V833" s="358"/>
      <c r="W833" s="358"/>
      <c r="X833" s="358"/>
      <c r="Y833" s="358"/>
      <c r="Z833" s="358"/>
      <c r="AA833" s="358"/>
    </row>
    <row r="834">
      <c r="A834" s="358"/>
      <c r="B834" s="358"/>
      <c r="C834" s="358"/>
      <c r="D834" s="358"/>
      <c r="E834" s="358"/>
      <c r="F834" s="358"/>
      <c r="G834" s="358"/>
      <c r="H834" s="358"/>
      <c r="I834" s="358"/>
      <c r="J834" s="358"/>
      <c r="K834" s="358"/>
      <c r="L834" s="358"/>
      <c r="M834" s="358"/>
      <c r="N834" s="358"/>
      <c r="O834" s="358"/>
      <c r="P834" s="358"/>
      <c r="Q834" s="358"/>
      <c r="R834" s="358"/>
      <c r="S834" s="358"/>
      <c r="T834" s="358"/>
      <c r="U834" s="358"/>
      <c r="V834" s="358"/>
      <c r="W834" s="358"/>
      <c r="X834" s="358"/>
      <c r="Y834" s="358"/>
      <c r="Z834" s="358"/>
      <c r="AA834" s="358"/>
    </row>
    <row r="835">
      <c r="A835" s="358"/>
      <c r="B835" s="358"/>
      <c r="C835" s="358"/>
      <c r="D835" s="358"/>
      <c r="E835" s="358"/>
      <c r="F835" s="358"/>
      <c r="G835" s="358"/>
      <c r="H835" s="358"/>
      <c r="I835" s="358"/>
      <c r="J835" s="358"/>
      <c r="K835" s="358"/>
      <c r="L835" s="358"/>
      <c r="M835" s="358"/>
      <c r="N835" s="358"/>
      <c r="O835" s="358"/>
      <c r="P835" s="358"/>
      <c r="Q835" s="358"/>
      <c r="R835" s="358"/>
      <c r="S835" s="358"/>
      <c r="T835" s="358"/>
      <c r="U835" s="358"/>
      <c r="V835" s="358"/>
      <c r="W835" s="358"/>
      <c r="X835" s="358"/>
      <c r="Y835" s="358"/>
      <c r="Z835" s="358"/>
      <c r="AA835" s="358"/>
    </row>
    <row r="836">
      <c r="A836" s="358"/>
      <c r="B836" s="358"/>
      <c r="C836" s="358"/>
      <c r="D836" s="358"/>
      <c r="E836" s="358"/>
      <c r="F836" s="358"/>
      <c r="G836" s="358"/>
      <c r="H836" s="358"/>
      <c r="I836" s="358"/>
      <c r="J836" s="358"/>
      <c r="K836" s="358"/>
      <c r="L836" s="358"/>
      <c r="M836" s="358"/>
      <c r="N836" s="358"/>
      <c r="O836" s="358"/>
      <c r="P836" s="358"/>
      <c r="Q836" s="358"/>
      <c r="R836" s="358"/>
      <c r="S836" s="358"/>
      <c r="T836" s="358"/>
      <c r="U836" s="358"/>
      <c r="V836" s="358"/>
      <c r="W836" s="358"/>
      <c r="X836" s="358"/>
      <c r="Y836" s="358"/>
      <c r="Z836" s="358"/>
      <c r="AA836" s="358"/>
    </row>
    <row r="837">
      <c r="A837" s="358"/>
      <c r="B837" s="358"/>
      <c r="C837" s="358"/>
      <c r="D837" s="358"/>
      <c r="E837" s="358"/>
      <c r="F837" s="358"/>
      <c r="G837" s="358"/>
      <c r="H837" s="358"/>
      <c r="I837" s="358"/>
      <c r="J837" s="358"/>
      <c r="K837" s="358"/>
      <c r="L837" s="358"/>
      <c r="M837" s="358"/>
      <c r="N837" s="358"/>
      <c r="O837" s="358"/>
      <c r="P837" s="358"/>
      <c r="Q837" s="358"/>
      <c r="R837" s="358"/>
      <c r="S837" s="358"/>
      <c r="T837" s="358"/>
      <c r="U837" s="358"/>
      <c r="V837" s="358"/>
      <c r="W837" s="358"/>
      <c r="X837" s="358"/>
      <c r="Y837" s="358"/>
      <c r="Z837" s="358"/>
      <c r="AA837" s="358"/>
    </row>
    <row r="838">
      <c r="A838" s="358"/>
      <c r="B838" s="358"/>
      <c r="C838" s="358"/>
      <c r="D838" s="358"/>
      <c r="E838" s="358"/>
      <c r="F838" s="358"/>
      <c r="G838" s="358"/>
      <c r="H838" s="358"/>
      <c r="I838" s="358"/>
      <c r="J838" s="358"/>
      <c r="K838" s="358"/>
      <c r="L838" s="358"/>
      <c r="M838" s="358"/>
      <c r="N838" s="358"/>
      <c r="O838" s="358"/>
      <c r="P838" s="358"/>
      <c r="Q838" s="358"/>
      <c r="R838" s="358"/>
      <c r="S838" s="358"/>
      <c r="T838" s="358"/>
      <c r="U838" s="358"/>
      <c r="V838" s="358"/>
      <c r="W838" s="358"/>
      <c r="X838" s="358"/>
      <c r="Y838" s="358"/>
      <c r="Z838" s="358"/>
      <c r="AA838" s="358"/>
    </row>
    <row r="839">
      <c r="A839" s="358"/>
      <c r="B839" s="358"/>
      <c r="C839" s="358"/>
      <c r="D839" s="358"/>
      <c r="E839" s="358"/>
      <c r="F839" s="358"/>
      <c r="G839" s="358"/>
      <c r="H839" s="358"/>
      <c r="I839" s="358"/>
      <c r="J839" s="358"/>
      <c r="K839" s="358"/>
      <c r="L839" s="358"/>
      <c r="M839" s="358"/>
      <c r="N839" s="358"/>
      <c r="O839" s="358"/>
      <c r="P839" s="358"/>
      <c r="Q839" s="358"/>
      <c r="R839" s="358"/>
      <c r="S839" s="358"/>
      <c r="T839" s="358"/>
      <c r="U839" s="358"/>
      <c r="V839" s="358"/>
      <c r="W839" s="358"/>
      <c r="X839" s="358"/>
      <c r="Y839" s="358"/>
      <c r="Z839" s="358"/>
      <c r="AA839" s="358"/>
    </row>
    <row r="840">
      <c r="A840" s="358"/>
      <c r="B840" s="358"/>
      <c r="C840" s="358"/>
      <c r="D840" s="358"/>
      <c r="E840" s="358"/>
      <c r="F840" s="358"/>
      <c r="G840" s="358"/>
      <c r="H840" s="358"/>
      <c r="I840" s="358"/>
      <c r="J840" s="358"/>
      <c r="K840" s="358"/>
      <c r="L840" s="358"/>
      <c r="M840" s="358"/>
      <c r="N840" s="358"/>
      <c r="O840" s="358"/>
      <c r="P840" s="358"/>
      <c r="Q840" s="358"/>
      <c r="R840" s="358"/>
      <c r="S840" s="358"/>
      <c r="T840" s="358"/>
      <c r="U840" s="358"/>
      <c r="V840" s="358"/>
      <c r="W840" s="358"/>
      <c r="X840" s="358"/>
      <c r="Y840" s="358"/>
      <c r="Z840" s="358"/>
      <c r="AA840" s="358"/>
    </row>
    <row r="841">
      <c r="A841" s="358"/>
      <c r="B841" s="358"/>
      <c r="C841" s="358"/>
      <c r="D841" s="358"/>
      <c r="E841" s="358"/>
      <c r="F841" s="358"/>
      <c r="G841" s="358"/>
      <c r="H841" s="358"/>
      <c r="I841" s="358"/>
      <c r="J841" s="358"/>
      <c r="K841" s="358"/>
      <c r="L841" s="358"/>
      <c r="M841" s="358"/>
      <c r="N841" s="358"/>
      <c r="O841" s="358"/>
      <c r="P841" s="358"/>
      <c r="Q841" s="358"/>
      <c r="R841" s="358"/>
      <c r="S841" s="358"/>
      <c r="T841" s="358"/>
      <c r="U841" s="358"/>
      <c r="V841" s="358"/>
      <c r="W841" s="358"/>
      <c r="X841" s="358"/>
      <c r="Y841" s="358"/>
      <c r="Z841" s="358"/>
      <c r="AA841" s="358"/>
    </row>
    <row r="842">
      <c r="A842" s="358"/>
      <c r="B842" s="358"/>
      <c r="C842" s="358"/>
      <c r="D842" s="358"/>
      <c r="E842" s="358"/>
      <c r="F842" s="358"/>
      <c r="G842" s="358"/>
      <c r="H842" s="358"/>
      <c r="I842" s="358"/>
      <c r="J842" s="358"/>
      <c r="K842" s="358"/>
      <c r="L842" s="358"/>
      <c r="M842" s="358"/>
      <c r="N842" s="358"/>
      <c r="O842" s="358"/>
      <c r="P842" s="358"/>
      <c r="Q842" s="358"/>
      <c r="R842" s="358"/>
      <c r="S842" s="358"/>
      <c r="T842" s="358"/>
      <c r="U842" s="358"/>
      <c r="V842" s="358"/>
      <c r="W842" s="358"/>
      <c r="X842" s="358"/>
      <c r="Y842" s="358"/>
      <c r="Z842" s="358"/>
      <c r="AA842" s="358"/>
    </row>
    <row r="843">
      <c r="A843" s="358"/>
      <c r="B843" s="358"/>
      <c r="C843" s="358"/>
      <c r="D843" s="358"/>
      <c r="E843" s="358"/>
      <c r="F843" s="358"/>
      <c r="G843" s="358"/>
      <c r="H843" s="358"/>
      <c r="I843" s="358"/>
      <c r="J843" s="358"/>
      <c r="K843" s="358"/>
      <c r="L843" s="358"/>
      <c r="M843" s="358"/>
      <c r="N843" s="358"/>
      <c r="O843" s="358"/>
      <c r="P843" s="358"/>
      <c r="Q843" s="358"/>
      <c r="R843" s="358"/>
      <c r="S843" s="358"/>
      <c r="T843" s="358"/>
      <c r="U843" s="358"/>
      <c r="V843" s="358"/>
      <c r="W843" s="358"/>
      <c r="X843" s="358"/>
      <c r="Y843" s="358"/>
      <c r="Z843" s="358"/>
      <c r="AA843" s="358"/>
    </row>
    <row r="844">
      <c r="A844" s="358"/>
      <c r="B844" s="358"/>
      <c r="C844" s="358"/>
      <c r="D844" s="358"/>
      <c r="E844" s="358"/>
      <c r="F844" s="358"/>
      <c r="G844" s="358"/>
      <c r="H844" s="358"/>
      <c r="I844" s="358"/>
      <c r="J844" s="358"/>
      <c r="K844" s="358"/>
      <c r="L844" s="358"/>
      <c r="M844" s="358"/>
      <c r="N844" s="358"/>
      <c r="O844" s="358"/>
      <c r="P844" s="358"/>
      <c r="Q844" s="358"/>
      <c r="R844" s="358"/>
      <c r="S844" s="358"/>
      <c r="T844" s="358"/>
      <c r="U844" s="358"/>
      <c r="V844" s="358"/>
      <c r="W844" s="358"/>
      <c r="X844" s="358"/>
      <c r="Y844" s="358"/>
      <c r="Z844" s="358"/>
      <c r="AA844" s="358"/>
    </row>
    <row r="845">
      <c r="A845" s="358"/>
      <c r="B845" s="358"/>
      <c r="C845" s="358"/>
      <c r="D845" s="358"/>
      <c r="E845" s="358"/>
      <c r="F845" s="358"/>
      <c r="G845" s="358"/>
      <c r="H845" s="358"/>
      <c r="I845" s="358"/>
      <c r="J845" s="358"/>
      <c r="K845" s="358"/>
      <c r="L845" s="358"/>
      <c r="M845" s="358"/>
      <c r="N845" s="358"/>
      <c r="O845" s="358"/>
      <c r="P845" s="358"/>
      <c r="Q845" s="358"/>
      <c r="R845" s="358"/>
      <c r="S845" s="358"/>
      <c r="T845" s="358"/>
      <c r="U845" s="358"/>
      <c r="V845" s="358"/>
      <c r="W845" s="358"/>
      <c r="X845" s="358"/>
      <c r="Y845" s="358"/>
      <c r="Z845" s="358"/>
      <c r="AA845" s="358"/>
    </row>
    <row r="846">
      <c r="A846" s="358"/>
      <c r="B846" s="358"/>
      <c r="C846" s="358"/>
      <c r="D846" s="358"/>
      <c r="E846" s="358"/>
      <c r="F846" s="358"/>
      <c r="G846" s="358"/>
      <c r="H846" s="358"/>
      <c r="I846" s="358"/>
      <c r="J846" s="358"/>
      <c r="K846" s="358"/>
      <c r="L846" s="358"/>
      <c r="M846" s="358"/>
      <c r="N846" s="358"/>
      <c r="O846" s="358"/>
      <c r="P846" s="358"/>
      <c r="Q846" s="358"/>
      <c r="R846" s="358"/>
      <c r="S846" s="358"/>
      <c r="T846" s="358"/>
      <c r="U846" s="358"/>
      <c r="V846" s="358"/>
      <c r="W846" s="358"/>
      <c r="X846" s="358"/>
      <c r="Y846" s="358"/>
      <c r="Z846" s="358"/>
      <c r="AA846" s="358"/>
    </row>
    <row r="847">
      <c r="A847" s="358"/>
      <c r="B847" s="358"/>
      <c r="C847" s="358"/>
      <c r="D847" s="358"/>
      <c r="E847" s="358"/>
      <c r="F847" s="358"/>
      <c r="G847" s="358"/>
      <c r="H847" s="358"/>
      <c r="I847" s="358"/>
      <c r="J847" s="358"/>
      <c r="K847" s="358"/>
      <c r="L847" s="358"/>
      <c r="M847" s="358"/>
      <c r="N847" s="358"/>
      <c r="O847" s="358"/>
      <c r="P847" s="358"/>
      <c r="Q847" s="358"/>
      <c r="R847" s="358"/>
      <c r="S847" s="358"/>
      <c r="T847" s="358"/>
      <c r="U847" s="358"/>
      <c r="V847" s="358"/>
      <c r="W847" s="358"/>
      <c r="X847" s="358"/>
      <c r="Y847" s="358"/>
      <c r="Z847" s="358"/>
      <c r="AA847" s="358"/>
    </row>
    <row r="848">
      <c r="A848" s="358"/>
      <c r="B848" s="358"/>
      <c r="C848" s="358"/>
      <c r="D848" s="358"/>
      <c r="E848" s="358"/>
      <c r="F848" s="358"/>
      <c r="G848" s="358"/>
      <c r="H848" s="358"/>
      <c r="I848" s="358"/>
      <c r="J848" s="358"/>
      <c r="K848" s="358"/>
      <c r="L848" s="358"/>
      <c r="M848" s="358"/>
      <c r="N848" s="358"/>
      <c r="O848" s="358"/>
      <c r="P848" s="358"/>
      <c r="Q848" s="358"/>
      <c r="R848" s="358"/>
      <c r="S848" s="358"/>
      <c r="T848" s="358"/>
      <c r="U848" s="358"/>
      <c r="V848" s="358"/>
      <c r="W848" s="358"/>
      <c r="X848" s="358"/>
      <c r="Y848" s="358"/>
      <c r="Z848" s="358"/>
      <c r="AA848" s="358"/>
    </row>
    <row r="849">
      <c r="A849" s="358"/>
      <c r="B849" s="358"/>
      <c r="C849" s="358"/>
      <c r="D849" s="358"/>
      <c r="E849" s="358"/>
      <c r="F849" s="358"/>
      <c r="G849" s="358"/>
      <c r="H849" s="358"/>
      <c r="I849" s="358"/>
      <c r="J849" s="358"/>
      <c r="K849" s="358"/>
      <c r="L849" s="358"/>
      <c r="M849" s="358"/>
      <c r="N849" s="358"/>
      <c r="O849" s="358"/>
      <c r="P849" s="358"/>
      <c r="Q849" s="358"/>
      <c r="R849" s="358"/>
      <c r="S849" s="358"/>
      <c r="T849" s="358"/>
      <c r="U849" s="358"/>
      <c r="V849" s="358"/>
      <c r="W849" s="358"/>
      <c r="X849" s="358"/>
      <c r="Y849" s="358"/>
      <c r="Z849" s="358"/>
      <c r="AA849" s="358"/>
    </row>
    <row r="850">
      <c r="A850" s="358"/>
      <c r="B850" s="358"/>
      <c r="C850" s="358"/>
      <c r="D850" s="358"/>
      <c r="E850" s="358"/>
      <c r="F850" s="358"/>
      <c r="G850" s="358"/>
      <c r="H850" s="358"/>
      <c r="I850" s="358"/>
      <c r="J850" s="358"/>
      <c r="K850" s="358"/>
      <c r="L850" s="358"/>
      <c r="M850" s="358"/>
      <c r="N850" s="358"/>
      <c r="O850" s="358"/>
      <c r="P850" s="358"/>
      <c r="Q850" s="358"/>
      <c r="R850" s="358"/>
      <c r="S850" s="358"/>
      <c r="T850" s="358"/>
      <c r="U850" s="358"/>
      <c r="V850" s="358"/>
      <c r="W850" s="358"/>
      <c r="X850" s="358"/>
      <c r="Y850" s="358"/>
      <c r="Z850" s="358"/>
      <c r="AA850" s="358"/>
    </row>
    <row r="851">
      <c r="A851" s="358"/>
      <c r="B851" s="358"/>
      <c r="C851" s="358"/>
      <c r="D851" s="358"/>
      <c r="E851" s="358"/>
      <c r="F851" s="358"/>
      <c r="G851" s="358"/>
      <c r="H851" s="358"/>
      <c r="I851" s="358"/>
      <c r="J851" s="358"/>
      <c r="K851" s="358"/>
      <c r="L851" s="358"/>
      <c r="M851" s="358"/>
      <c r="N851" s="358"/>
      <c r="O851" s="358"/>
      <c r="P851" s="358"/>
      <c r="Q851" s="358"/>
      <c r="R851" s="358"/>
      <c r="S851" s="358"/>
      <c r="T851" s="358"/>
      <c r="U851" s="358"/>
      <c r="V851" s="358"/>
      <c r="W851" s="358"/>
      <c r="X851" s="358"/>
      <c r="Y851" s="358"/>
      <c r="Z851" s="358"/>
      <c r="AA851" s="358"/>
    </row>
    <row r="852">
      <c r="A852" s="358"/>
      <c r="B852" s="358"/>
      <c r="C852" s="358"/>
      <c r="D852" s="358"/>
      <c r="E852" s="358"/>
      <c r="F852" s="358"/>
      <c r="G852" s="358"/>
      <c r="H852" s="358"/>
      <c r="I852" s="358"/>
      <c r="J852" s="358"/>
      <c r="K852" s="358"/>
      <c r="L852" s="358"/>
      <c r="M852" s="358"/>
      <c r="N852" s="358"/>
      <c r="O852" s="358"/>
      <c r="P852" s="358"/>
      <c r="Q852" s="358"/>
      <c r="R852" s="358"/>
      <c r="S852" s="358"/>
      <c r="T852" s="358"/>
      <c r="U852" s="358"/>
      <c r="V852" s="358"/>
      <c r="W852" s="358"/>
      <c r="X852" s="358"/>
      <c r="Y852" s="358"/>
      <c r="Z852" s="358"/>
      <c r="AA852" s="358"/>
    </row>
    <row r="853">
      <c r="A853" s="358"/>
      <c r="B853" s="358"/>
      <c r="C853" s="358"/>
      <c r="D853" s="358"/>
      <c r="E853" s="358"/>
      <c r="F853" s="358"/>
      <c r="G853" s="358"/>
      <c r="H853" s="358"/>
      <c r="I853" s="358"/>
      <c r="J853" s="358"/>
      <c r="K853" s="358"/>
      <c r="L853" s="358"/>
      <c r="M853" s="358"/>
      <c r="N853" s="358"/>
      <c r="O853" s="358"/>
      <c r="P853" s="358"/>
      <c r="Q853" s="358"/>
      <c r="R853" s="358"/>
      <c r="S853" s="358"/>
      <c r="T853" s="358"/>
      <c r="U853" s="358"/>
      <c r="V853" s="358"/>
      <c r="W853" s="358"/>
      <c r="X853" s="358"/>
      <c r="Y853" s="358"/>
      <c r="Z853" s="358"/>
      <c r="AA853" s="358"/>
    </row>
    <row r="854">
      <c r="A854" s="358"/>
      <c r="B854" s="358"/>
      <c r="C854" s="358"/>
      <c r="D854" s="358"/>
      <c r="E854" s="358"/>
      <c r="F854" s="358"/>
      <c r="G854" s="358"/>
      <c r="H854" s="358"/>
      <c r="I854" s="358"/>
      <c r="J854" s="358"/>
      <c r="K854" s="358"/>
      <c r="L854" s="358"/>
      <c r="M854" s="358"/>
      <c r="N854" s="358"/>
      <c r="O854" s="358"/>
      <c r="P854" s="358"/>
      <c r="Q854" s="358"/>
      <c r="R854" s="358"/>
      <c r="S854" s="358"/>
      <c r="T854" s="358"/>
      <c r="U854" s="358"/>
      <c r="V854" s="358"/>
      <c r="W854" s="358"/>
      <c r="X854" s="358"/>
      <c r="Y854" s="358"/>
      <c r="Z854" s="358"/>
      <c r="AA854" s="358"/>
    </row>
    <row r="855">
      <c r="A855" s="358"/>
      <c r="B855" s="358"/>
      <c r="C855" s="358"/>
      <c r="D855" s="358"/>
      <c r="E855" s="358"/>
      <c r="F855" s="358"/>
      <c r="G855" s="358"/>
      <c r="H855" s="358"/>
      <c r="I855" s="358"/>
      <c r="J855" s="358"/>
      <c r="K855" s="358"/>
      <c r="L855" s="358"/>
      <c r="M855" s="358"/>
      <c r="N855" s="358"/>
      <c r="O855" s="358"/>
      <c r="P855" s="358"/>
      <c r="Q855" s="358"/>
      <c r="R855" s="358"/>
      <c r="S855" s="358"/>
      <c r="T855" s="358"/>
      <c r="U855" s="358"/>
      <c r="V855" s="358"/>
      <c r="W855" s="358"/>
      <c r="X855" s="358"/>
      <c r="Y855" s="358"/>
      <c r="Z855" s="358"/>
      <c r="AA855" s="358"/>
    </row>
    <row r="856">
      <c r="A856" s="358"/>
      <c r="B856" s="358"/>
      <c r="C856" s="358"/>
      <c r="D856" s="358"/>
      <c r="E856" s="358"/>
      <c r="F856" s="358"/>
      <c r="G856" s="358"/>
      <c r="H856" s="358"/>
      <c r="I856" s="358"/>
      <c r="J856" s="358"/>
      <c r="K856" s="358"/>
      <c r="L856" s="358"/>
      <c r="M856" s="358"/>
      <c r="N856" s="358"/>
      <c r="O856" s="358"/>
      <c r="P856" s="358"/>
      <c r="Q856" s="358"/>
      <c r="R856" s="358"/>
      <c r="S856" s="358"/>
      <c r="T856" s="358"/>
      <c r="U856" s="358"/>
      <c r="V856" s="358"/>
      <c r="W856" s="358"/>
      <c r="X856" s="358"/>
      <c r="Y856" s="358"/>
      <c r="Z856" s="358"/>
      <c r="AA856" s="358"/>
    </row>
    <row r="857">
      <c r="A857" s="358"/>
      <c r="B857" s="358"/>
      <c r="C857" s="358"/>
      <c r="D857" s="358"/>
      <c r="E857" s="358"/>
      <c r="F857" s="358"/>
      <c r="G857" s="358"/>
      <c r="H857" s="358"/>
      <c r="I857" s="358"/>
      <c r="J857" s="358"/>
      <c r="K857" s="358"/>
      <c r="L857" s="358"/>
      <c r="M857" s="358"/>
      <c r="N857" s="358"/>
      <c r="O857" s="358"/>
      <c r="P857" s="358"/>
      <c r="Q857" s="358"/>
      <c r="R857" s="358"/>
      <c r="S857" s="358"/>
      <c r="T857" s="358"/>
      <c r="U857" s="358"/>
      <c r="V857" s="358"/>
      <c r="W857" s="358"/>
      <c r="X857" s="358"/>
      <c r="Y857" s="358"/>
      <c r="Z857" s="358"/>
      <c r="AA857" s="358"/>
    </row>
    <row r="858">
      <c r="A858" s="358"/>
      <c r="B858" s="358"/>
      <c r="C858" s="358"/>
      <c r="D858" s="358"/>
      <c r="E858" s="358"/>
      <c r="F858" s="358"/>
      <c r="G858" s="358"/>
      <c r="H858" s="358"/>
      <c r="I858" s="358"/>
      <c r="J858" s="358"/>
      <c r="K858" s="358"/>
      <c r="L858" s="358"/>
      <c r="M858" s="358"/>
      <c r="N858" s="358"/>
      <c r="O858" s="358"/>
      <c r="P858" s="358"/>
      <c r="Q858" s="358"/>
      <c r="R858" s="358"/>
      <c r="S858" s="358"/>
      <c r="T858" s="358"/>
      <c r="U858" s="358"/>
      <c r="V858" s="358"/>
      <c r="W858" s="358"/>
      <c r="X858" s="358"/>
      <c r="Y858" s="358"/>
      <c r="Z858" s="358"/>
      <c r="AA858" s="358"/>
    </row>
    <row r="859">
      <c r="A859" s="358"/>
      <c r="B859" s="358"/>
      <c r="C859" s="358"/>
      <c r="D859" s="358"/>
      <c r="E859" s="358"/>
      <c r="F859" s="358"/>
      <c r="G859" s="358"/>
      <c r="H859" s="358"/>
      <c r="I859" s="358"/>
      <c r="J859" s="358"/>
      <c r="K859" s="358"/>
      <c r="L859" s="358"/>
      <c r="M859" s="358"/>
      <c r="N859" s="358"/>
      <c r="O859" s="358"/>
      <c r="P859" s="358"/>
      <c r="Q859" s="358"/>
      <c r="R859" s="358"/>
      <c r="S859" s="358"/>
      <c r="T859" s="358"/>
      <c r="U859" s="358"/>
      <c r="V859" s="358"/>
      <c r="W859" s="358"/>
      <c r="X859" s="358"/>
      <c r="Y859" s="358"/>
      <c r="Z859" s="358"/>
      <c r="AA859" s="358"/>
    </row>
    <row r="860">
      <c r="A860" s="358"/>
      <c r="B860" s="358"/>
      <c r="C860" s="358"/>
      <c r="D860" s="358"/>
      <c r="E860" s="358"/>
      <c r="F860" s="358"/>
      <c r="G860" s="358"/>
      <c r="H860" s="358"/>
      <c r="I860" s="358"/>
      <c r="J860" s="358"/>
      <c r="K860" s="358"/>
      <c r="L860" s="358"/>
      <c r="M860" s="358"/>
      <c r="N860" s="358"/>
      <c r="O860" s="358"/>
      <c r="P860" s="358"/>
      <c r="Q860" s="358"/>
      <c r="R860" s="358"/>
      <c r="S860" s="358"/>
      <c r="T860" s="358"/>
      <c r="U860" s="358"/>
      <c r="V860" s="358"/>
      <c r="W860" s="358"/>
      <c r="X860" s="358"/>
      <c r="Y860" s="358"/>
      <c r="Z860" s="358"/>
      <c r="AA860" s="358"/>
    </row>
    <row r="861">
      <c r="A861" s="358"/>
      <c r="B861" s="358"/>
      <c r="C861" s="358"/>
      <c r="D861" s="358"/>
      <c r="E861" s="358"/>
      <c r="F861" s="358"/>
      <c r="G861" s="358"/>
      <c r="H861" s="358"/>
      <c r="I861" s="358"/>
      <c r="J861" s="358"/>
      <c r="K861" s="358"/>
      <c r="L861" s="358"/>
      <c r="M861" s="358"/>
      <c r="N861" s="358"/>
      <c r="O861" s="358"/>
      <c r="P861" s="358"/>
      <c r="Q861" s="358"/>
      <c r="R861" s="358"/>
      <c r="S861" s="358"/>
      <c r="T861" s="358"/>
      <c r="U861" s="358"/>
      <c r="V861" s="358"/>
      <c r="W861" s="358"/>
      <c r="X861" s="358"/>
      <c r="Y861" s="358"/>
      <c r="Z861" s="358"/>
      <c r="AA861" s="358"/>
    </row>
    <row r="862">
      <c r="A862" s="358"/>
      <c r="B862" s="358"/>
      <c r="C862" s="358"/>
      <c r="D862" s="358"/>
      <c r="E862" s="358"/>
      <c r="F862" s="358"/>
      <c r="G862" s="358"/>
      <c r="H862" s="358"/>
      <c r="I862" s="358"/>
      <c r="J862" s="358"/>
      <c r="K862" s="358"/>
      <c r="L862" s="358"/>
      <c r="M862" s="358"/>
      <c r="N862" s="358"/>
      <c r="O862" s="358"/>
      <c r="P862" s="358"/>
      <c r="Q862" s="358"/>
      <c r="R862" s="358"/>
      <c r="S862" s="358"/>
      <c r="T862" s="358"/>
      <c r="U862" s="358"/>
      <c r="V862" s="358"/>
      <c r="W862" s="358"/>
      <c r="X862" s="358"/>
      <c r="Y862" s="358"/>
      <c r="Z862" s="358"/>
      <c r="AA862" s="358"/>
    </row>
    <row r="863">
      <c r="A863" s="358"/>
      <c r="B863" s="358"/>
      <c r="C863" s="358"/>
      <c r="D863" s="358"/>
      <c r="E863" s="358"/>
      <c r="F863" s="358"/>
      <c r="G863" s="358"/>
      <c r="H863" s="358"/>
      <c r="I863" s="358"/>
      <c r="J863" s="358"/>
      <c r="K863" s="358"/>
      <c r="L863" s="358"/>
      <c r="M863" s="358"/>
      <c r="N863" s="358"/>
      <c r="O863" s="358"/>
      <c r="P863" s="358"/>
      <c r="Q863" s="358"/>
      <c r="R863" s="358"/>
      <c r="S863" s="358"/>
      <c r="T863" s="358"/>
      <c r="U863" s="358"/>
      <c r="V863" s="358"/>
      <c r="W863" s="358"/>
      <c r="X863" s="358"/>
      <c r="Y863" s="358"/>
      <c r="Z863" s="358"/>
      <c r="AA863" s="358"/>
    </row>
    <row r="864">
      <c r="A864" s="358"/>
      <c r="B864" s="358"/>
      <c r="C864" s="358"/>
      <c r="D864" s="358"/>
      <c r="E864" s="358"/>
      <c r="F864" s="358"/>
      <c r="G864" s="358"/>
      <c r="H864" s="358"/>
      <c r="I864" s="358"/>
      <c r="J864" s="358"/>
      <c r="K864" s="358"/>
      <c r="L864" s="358"/>
      <c r="M864" s="358"/>
      <c r="N864" s="358"/>
      <c r="O864" s="358"/>
      <c r="P864" s="358"/>
      <c r="Q864" s="358"/>
      <c r="R864" s="358"/>
      <c r="S864" s="358"/>
      <c r="T864" s="358"/>
      <c r="U864" s="358"/>
      <c r="V864" s="358"/>
      <c r="W864" s="358"/>
      <c r="X864" s="358"/>
      <c r="Y864" s="358"/>
      <c r="Z864" s="358"/>
      <c r="AA864" s="358"/>
    </row>
    <row r="865">
      <c r="A865" s="358"/>
      <c r="B865" s="358"/>
      <c r="C865" s="358"/>
      <c r="D865" s="358"/>
      <c r="E865" s="358"/>
      <c r="F865" s="358"/>
      <c r="G865" s="358"/>
      <c r="H865" s="358"/>
      <c r="I865" s="358"/>
      <c r="J865" s="358"/>
      <c r="K865" s="358"/>
      <c r="L865" s="358"/>
      <c r="M865" s="358"/>
      <c r="N865" s="358"/>
      <c r="O865" s="358"/>
      <c r="P865" s="358"/>
      <c r="Q865" s="358"/>
      <c r="R865" s="358"/>
      <c r="S865" s="358"/>
      <c r="T865" s="358"/>
      <c r="U865" s="358"/>
      <c r="V865" s="358"/>
      <c r="W865" s="358"/>
      <c r="X865" s="358"/>
      <c r="Y865" s="358"/>
      <c r="Z865" s="358"/>
      <c r="AA865" s="358"/>
    </row>
    <row r="866">
      <c r="A866" s="358"/>
      <c r="B866" s="358"/>
      <c r="C866" s="358"/>
      <c r="D866" s="358"/>
      <c r="E866" s="358"/>
      <c r="F866" s="358"/>
      <c r="G866" s="358"/>
      <c r="H866" s="358"/>
      <c r="I866" s="358"/>
      <c r="J866" s="358"/>
      <c r="K866" s="358"/>
      <c r="L866" s="358"/>
      <c r="M866" s="358"/>
      <c r="N866" s="358"/>
      <c r="O866" s="358"/>
      <c r="P866" s="358"/>
      <c r="Q866" s="358"/>
      <c r="R866" s="358"/>
      <c r="S866" s="358"/>
      <c r="T866" s="358"/>
      <c r="U866" s="358"/>
      <c r="V866" s="358"/>
      <c r="W866" s="358"/>
      <c r="X866" s="358"/>
      <c r="Y866" s="358"/>
      <c r="Z866" s="358"/>
      <c r="AA866" s="358"/>
    </row>
    <row r="867">
      <c r="A867" s="358"/>
      <c r="B867" s="358"/>
      <c r="C867" s="358"/>
      <c r="D867" s="358"/>
      <c r="E867" s="358"/>
      <c r="F867" s="358"/>
      <c r="G867" s="358"/>
      <c r="H867" s="358"/>
      <c r="I867" s="358"/>
      <c r="J867" s="358"/>
      <c r="K867" s="358"/>
      <c r="L867" s="358"/>
      <c r="M867" s="358"/>
      <c r="N867" s="358"/>
      <c r="O867" s="358"/>
      <c r="P867" s="358"/>
      <c r="Q867" s="358"/>
      <c r="R867" s="358"/>
      <c r="S867" s="358"/>
      <c r="T867" s="358"/>
      <c r="U867" s="358"/>
      <c r="V867" s="358"/>
      <c r="W867" s="358"/>
      <c r="X867" s="358"/>
      <c r="Y867" s="358"/>
      <c r="Z867" s="358"/>
      <c r="AA867" s="358"/>
    </row>
    <row r="868">
      <c r="A868" s="358"/>
      <c r="B868" s="358"/>
      <c r="C868" s="358"/>
      <c r="D868" s="358"/>
      <c r="E868" s="358"/>
      <c r="F868" s="358"/>
      <c r="G868" s="358"/>
      <c r="H868" s="358"/>
      <c r="I868" s="358"/>
      <c r="J868" s="358"/>
      <c r="K868" s="358"/>
      <c r="L868" s="358"/>
      <c r="M868" s="358"/>
      <c r="N868" s="358"/>
      <c r="O868" s="358"/>
      <c r="P868" s="358"/>
      <c r="Q868" s="358"/>
      <c r="R868" s="358"/>
      <c r="S868" s="358"/>
      <c r="T868" s="358"/>
      <c r="U868" s="358"/>
      <c r="V868" s="358"/>
      <c r="W868" s="358"/>
      <c r="X868" s="358"/>
      <c r="Y868" s="358"/>
      <c r="Z868" s="358"/>
      <c r="AA868" s="358"/>
    </row>
    <row r="869">
      <c r="A869" s="358"/>
      <c r="B869" s="358"/>
      <c r="C869" s="358"/>
      <c r="D869" s="358"/>
      <c r="E869" s="358"/>
      <c r="F869" s="358"/>
      <c r="G869" s="358"/>
      <c r="H869" s="358"/>
      <c r="I869" s="358"/>
      <c r="J869" s="358"/>
      <c r="K869" s="358"/>
      <c r="L869" s="358"/>
      <c r="M869" s="358"/>
      <c r="N869" s="358"/>
      <c r="O869" s="358"/>
      <c r="P869" s="358"/>
      <c r="Q869" s="358"/>
      <c r="R869" s="358"/>
      <c r="S869" s="358"/>
      <c r="T869" s="358"/>
      <c r="U869" s="358"/>
      <c r="V869" s="358"/>
      <c r="W869" s="358"/>
      <c r="X869" s="358"/>
      <c r="Y869" s="358"/>
      <c r="Z869" s="358"/>
      <c r="AA869" s="358"/>
    </row>
    <row r="870">
      <c r="A870" s="358"/>
      <c r="B870" s="358"/>
      <c r="C870" s="358"/>
      <c r="D870" s="358"/>
      <c r="E870" s="358"/>
      <c r="F870" s="358"/>
      <c r="G870" s="358"/>
      <c r="H870" s="358"/>
      <c r="I870" s="358"/>
      <c r="J870" s="358"/>
      <c r="K870" s="358"/>
      <c r="L870" s="358"/>
      <c r="M870" s="358"/>
      <c r="N870" s="358"/>
      <c r="O870" s="358"/>
      <c r="P870" s="358"/>
      <c r="Q870" s="358"/>
      <c r="R870" s="358"/>
      <c r="S870" s="358"/>
      <c r="T870" s="358"/>
      <c r="U870" s="358"/>
      <c r="V870" s="358"/>
      <c r="W870" s="358"/>
      <c r="X870" s="358"/>
      <c r="Y870" s="358"/>
      <c r="Z870" s="358"/>
      <c r="AA870" s="358"/>
    </row>
    <row r="871">
      <c r="A871" s="358"/>
      <c r="B871" s="358"/>
      <c r="C871" s="358"/>
      <c r="D871" s="358"/>
      <c r="E871" s="358"/>
      <c r="F871" s="358"/>
      <c r="G871" s="358"/>
      <c r="H871" s="358"/>
      <c r="I871" s="358"/>
      <c r="J871" s="358"/>
      <c r="K871" s="358"/>
      <c r="L871" s="358"/>
      <c r="M871" s="358"/>
      <c r="N871" s="358"/>
      <c r="O871" s="358"/>
      <c r="P871" s="358"/>
      <c r="Q871" s="358"/>
      <c r="R871" s="358"/>
      <c r="S871" s="358"/>
      <c r="T871" s="358"/>
      <c r="U871" s="358"/>
      <c r="V871" s="358"/>
      <c r="W871" s="358"/>
      <c r="X871" s="358"/>
      <c r="Y871" s="358"/>
      <c r="Z871" s="358"/>
      <c r="AA871" s="358"/>
    </row>
    <row r="872">
      <c r="A872" s="358"/>
      <c r="B872" s="358"/>
      <c r="C872" s="358"/>
      <c r="D872" s="358"/>
      <c r="E872" s="358"/>
      <c r="F872" s="358"/>
      <c r="G872" s="358"/>
      <c r="H872" s="358"/>
      <c r="I872" s="358"/>
      <c r="J872" s="358"/>
      <c r="K872" s="358"/>
      <c r="L872" s="358"/>
      <c r="M872" s="358"/>
      <c r="N872" s="358"/>
      <c r="O872" s="358"/>
      <c r="P872" s="358"/>
      <c r="Q872" s="358"/>
      <c r="R872" s="358"/>
      <c r="S872" s="358"/>
      <c r="T872" s="358"/>
      <c r="U872" s="358"/>
      <c r="V872" s="358"/>
      <c r="W872" s="358"/>
      <c r="X872" s="358"/>
      <c r="Y872" s="358"/>
      <c r="Z872" s="358"/>
      <c r="AA872" s="358"/>
    </row>
    <row r="873">
      <c r="A873" s="358"/>
      <c r="B873" s="358"/>
      <c r="C873" s="358"/>
      <c r="D873" s="358"/>
      <c r="E873" s="358"/>
      <c r="F873" s="358"/>
      <c r="G873" s="358"/>
      <c r="H873" s="358"/>
      <c r="I873" s="358"/>
      <c r="J873" s="358"/>
      <c r="K873" s="358"/>
      <c r="L873" s="358"/>
      <c r="M873" s="358"/>
      <c r="N873" s="358"/>
      <c r="O873" s="358"/>
      <c r="P873" s="358"/>
      <c r="Q873" s="358"/>
      <c r="R873" s="358"/>
      <c r="S873" s="358"/>
      <c r="T873" s="358"/>
      <c r="U873" s="358"/>
      <c r="V873" s="358"/>
      <c r="W873" s="358"/>
      <c r="X873" s="358"/>
      <c r="Y873" s="358"/>
      <c r="Z873" s="358"/>
      <c r="AA873" s="358"/>
    </row>
    <row r="874">
      <c r="A874" s="358"/>
      <c r="B874" s="358"/>
      <c r="C874" s="358"/>
      <c r="D874" s="358"/>
      <c r="E874" s="358"/>
      <c r="F874" s="358"/>
      <c r="G874" s="358"/>
      <c r="H874" s="358"/>
      <c r="I874" s="358"/>
      <c r="J874" s="358"/>
      <c r="K874" s="358"/>
      <c r="L874" s="358"/>
      <c r="M874" s="358"/>
      <c r="N874" s="358"/>
      <c r="O874" s="358"/>
      <c r="P874" s="358"/>
      <c r="Q874" s="358"/>
      <c r="R874" s="358"/>
      <c r="S874" s="358"/>
      <c r="T874" s="358"/>
      <c r="U874" s="358"/>
      <c r="V874" s="358"/>
      <c r="W874" s="358"/>
      <c r="X874" s="358"/>
      <c r="Y874" s="358"/>
      <c r="Z874" s="358"/>
      <c r="AA874" s="358"/>
    </row>
    <row r="875">
      <c r="A875" s="358"/>
      <c r="B875" s="358"/>
      <c r="C875" s="358"/>
      <c r="D875" s="358"/>
      <c r="E875" s="358"/>
      <c r="F875" s="358"/>
      <c r="G875" s="358"/>
      <c r="H875" s="358"/>
      <c r="I875" s="358"/>
      <c r="J875" s="358"/>
      <c r="K875" s="358"/>
      <c r="L875" s="358"/>
      <c r="M875" s="358"/>
      <c r="N875" s="358"/>
      <c r="O875" s="358"/>
      <c r="P875" s="358"/>
      <c r="Q875" s="358"/>
      <c r="R875" s="358"/>
      <c r="S875" s="358"/>
      <c r="T875" s="358"/>
      <c r="U875" s="358"/>
      <c r="V875" s="358"/>
      <c r="W875" s="358"/>
      <c r="X875" s="358"/>
      <c r="Y875" s="358"/>
      <c r="Z875" s="358"/>
      <c r="AA875" s="358"/>
    </row>
    <row r="876">
      <c r="A876" s="358"/>
      <c r="B876" s="358"/>
      <c r="C876" s="358"/>
      <c r="D876" s="358"/>
      <c r="E876" s="358"/>
      <c r="F876" s="358"/>
      <c r="G876" s="358"/>
      <c r="H876" s="358"/>
      <c r="I876" s="358"/>
      <c r="J876" s="358"/>
      <c r="K876" s="358"/>
      <c r="L876" s="358"/>
      <c r="M876" s="358"/>
      <c r="N876" s="358"/>
      <c r="O876" s="358"/>
      <c r="P876" s="358"/>
      <c r="Q876" s="358"/>
      <c r="R876" s="358"/>
      <c r="S876" s="358"/>
      <c r="T876" s="358"/>
      <c r="U876" s="358"/>
      <c r="V876" s="358"/>
      <c r="W876" s="358"/>
      <c r="X876" s="358"/>
      <c r="Y876" s="358"/>
      <c r="Z876" s="358"/>
      <c r="AA876" s="358"/>
    </row>
    <row r="877">
      <c r="A877" s="358"/>
      <c r="B877" s="358"/>
      <c r="C877" s="358"/>
      <c r="D877" s="358"/>
      <c r="E877" s="358"/>
      <c r="F877" s="358"/>
      <c r="G877" s="358"/>
      <c r="H877" s="358"/>
      <c r="I877" s="358"/>
      <c r="J877" s="358"/>
      <c r="K877" s="358"/>
      <c r="L877" s="358"/>
      <c r="M877" s="358"/>
      <c r="N877" s="358"/>
      <c r="O877" s="358"/>
      <c r="P877" s="358"/>
      <c r="Q877" s="358"/>
      <c r="R877" s="358"/>
      <c r="S877" s="358"/>
      <c r="T877" s="358"/>
      <c r="U877" s="358"/>
      <c r="V877" s="358"/>
      <c r="W877" s="358"/>
      <c r="X877" s="358"/>
      <c r="Y877" s="358"/>
      <c r="Z877" s="358"/>
      <c r="AA877" s="358"/>
    </row>
    <row r="878">
      <c r="A878" s="358"/>
      <c r="B878" s="358"/>
      <c r="C878" s="358"/>
      <c r="D878" s="358"/>
      <c r="E878" s="358"/>
      <c r="F878" s="358"/>
      <c r="G878" s="358"/>
      <c r="H878" s="358"/>
      <c r="I878" s="358"/>
      <c r="J878" s="358"/>
      <c r="K878" s="358"/>
      <c r="L878" s="358"/>
      <c r="M878" s="358"/>
      <c r="N878" s="358"/>
      <c r="O878" s="358"/>
      <c r="P878" s="358"/>
      <c r="Q878" s="358"/>
      <c r="R878" s="358"/>
      <c r="S878" s="358"/>
      <c r="T878" s="358"/>
      <c r="U878" s="358"/>
      <c r="V878" s="358"/>
      <c r="W878" s="358"/>
      <c r="X878" s="358"/>
      <c r="Y878" s="358"/>
      <c r="Z878" s="358"/>
      <c r="AA878" s="358"/>
    </row>
    <row r="879">
      <c r="A879" s="358"/>
      <c r="B879" s="358"/>
      <c r="C879" s="358"/>
      <c r="D879" s="358"/>
      <c r="E879" s="358"/>
      <c r="F879" s="358"/>
      <c r="G879" s="358"/>
      <c r="H879" s="358"/>
      <c r="I879" s="358"/>
      <c r="J879" s="358"/>
      <c r="K879" s="358"/>
      <c r="L879" s="358"/>
      <c r="M879" s="358"/>
      <c r="N879" s="358"/>
      <c r="O879" s="358"/>
      <c r="P879" s="358"/>
      <c r="Q879" s="358"/>
      <c r="R879" s="358"/>
      <c r="S879" s="358"/>
      <c r="T879" s="358"/>
      <c r="U879" s="358"/>
      <c r="V879" s="358"/>
      <c r="W879" s="358"/>
      <c r="X879" s="358"/>
      <c r="Y879" s="358"/>
      <c r="Z879" s="358"/>
      <c r="AA879" s="358"/>
    </row>
    <row r="880">
      <c r="A880" s="358"/>
      <c r="B880" s="358"/>
      <c r="C880" s="358"/>
      <c r="D880" s="358"/>
      <c r="E880" s="358"/>
      <c r="F880" s="358"/>
      <c r="G880" s="358"/>
      <c r="H880" s="358"/>
      <c r="I880" s="358"/>
      <c r="J880" s="358"/>
      <c r="K880" s="358"/>
      <c r="L880" s="358"/>
      <c r="M880" s="358"/>
      <c r="N880" s="358"/>
      <c r="O880" s="358"/>
      <c r="P880" s="358"/>
      <c r="Q880" s="358"/>
      <c r="R880" s="358"/>
      <c r="S880" s="358"/>
      <c r="T880" s="358"/>
      <c r="U880" s="358"/>
      <c r="V880" s="358"/>
      <c r="W880" s="358"/>
      <c r="X880" s="358"/>
      <c r="Y880" s="358"/>
      <c r="Z880" s="358"/>
      <c r="AA880" s="358"/>
    </row>
    <row r="881">
      <c r="A881" s="358"/>
      <c r="B881" s="358"/>
      <c r="C881" s="358"/>
      <c r="D881" s="358"/>
      <c r="E881" s="358"/>
      <c r="F881" s="358"/>
      <c r="G881" s="358"/>
      <c r="H881" s="358"/>
      <c r="I881" s="358"/>
      <c r="J881" s="358"/>
      <c r="K881" s="358"/>
      <c r="L881" s="358"/>
      <c r="M881" s="358"/>
      <c r="N881" s="358"/>
      <c r="O881" s="358"/>
      <c r="P881" s="358"/>
      <c r="Q881" s="358"/>
      <c r="R881" s="358"/>
      <c r="S881" s="358"/>
      <c r="T881" s="358"/>
      <c r="U881" s="358"/>
      <c r="V881" s="358"/>
      <c r="W881" s="358"/>
      <c r="X881" s="358"/>
      <c r="Y881" s="358"/>
      <c r="Z881" s="358"/>
      <c r="AA881" s="358"/>
    </row>
    <row r="882">
      <c r="A882" s="358"/>
      <c r="B882" s="358"/>
      <c r="C882" s="358"/>
      <c r="D882" s="358"/>
      <c r="E882" s="358"/>
      <c r="F882" s="358"/>
      <c r="G882" s="358"/>
      <c r="H882" s="358"/>
      <c r="I882" s="358"/>
      <c r="J882" s="358"/>
      <c r="K882" s="358"/>
      <c r="L882" s="358"/>
      <c r="M882" s="358"/>
      <c r="N882" s="358"/>
      <c r="O882" s="358"/>
      <c r="P882" s="358"/>
      <c r="Q882" s="358"/>
      <c r="R882" s="358"/>
      <c r="S882" s="358"/>
      <c r="T882" s="358"/>
      <c r="U882" s="358"/>
      <c r="V882" s="358"/>
      <c r="W882" s="358"/>
      <c r="X882" s="358"/>
      <c r="Y882" s="358"/>
      <c r="Z882" s="358"/>
      <c r="AA882" s="358"/>
    </row>
    <row r="883">
      <c r="A883" s="358"/>
      <c r="B883" s="358"/>
      <c r="C883" s="358"/>
      <c r="D883" s="358"/>
      <c r="E883" s="358"/>
      <c r="F883" s="358"/>
      <c r="G883" s="358"/>
      <c r="H883" s="358"/>
      <c r="I883" s="358"/>
      <c r="J883" s="358"/>
      <c r="K883" s="358"/>
      <c r="L883" s="358"/>
      <c r="M883" s="358"/>
      <c r="N883" s="358"/>
      <c r="O883" s="358"/>
      <c r="P883" s="358"/>
      <c r="Q883" s="358"/>
      <c r="R883" s="358"/>
      <c r="S883" s="358"/>
      <c r="T883" s="358"/>
      <c r="U883" s="358"/>
      <c r="V883" s="358"/>
      <c r="W883" s="358"/>
      <c r="X883" s="358"/>
      <c r="Y883" s="358"/>
      <c r="Z883" s="358"/>
      <c r="AA883" s="358"/>
    </row>
    <row r="884">
      <c r="A884" s="358"/>
      <c r="B884" s="358"/>
      <c r="C884" s="358"/>
      <c r="D884" s="358"/>
      <c r="E884" s="358"/>
      <c r="F884" s="358"/>
      <c r="G884" s="358"/>
      <c r="H884" s="358"/>
      <c r="I884" s="358"/>
      <c r="J884" s="358"/>
      <c r="K884" s="358"/>
      <c r="L884" s="358"/>
      <c r="M884" s="358"/>
      <c r="N884" s="358"/>
      <c r="O884" s="358"/>
      <c r="P884" s="358"/>
      <c r="Q884" s="358"/>
      <c r="R884" s="358"/>
      <c r="S884" s="358"/>
      <c r="T884" s="358"/>
      <c r="U884" s="358"/>
      <c r="V884" s="358"/>
      <c r="W884" s="358"/>
      <c r="X884" s="358"/>
      <c r="Y884" s="358"/>
      <c r="Z884" s="358"/>
      <c r="AA884" s="358"/>
    </row>
    <row r="885">
      <c r="A885" s="358"/>
      <c r="B885" s="358"/>
      <c r="C885" s="358"/>
      <c r="D885" s="358"/>
      <c r="E885" s="358"/>
      <c r="F885" s="358"/>
      <c r="G885" s="358"/>
      <c r="H885" s="358"/>
      <c r="I885" s="358"/>
      <c r="J885" s="358"/>
      <c r="K885" s="358"/>
      <c r="L885" s="358"/>
      <c r="M885" s="358"/>
      <c r="N885" s="358"/>
      <c r="O885" s="358"/>
      <c r="P885" s="358"/>
      <c r="Q885" s="358"/>
      <c r="R885" s="358"/>
      <c r="S885" s="358"/>
      <c r="T885" s="358"/>
      <c r="U885" s="358"/>
      <c r="V885" s="358"/>
      <c r="W885" s="358"/>
      <c r="X885" s="358"/>
      <c r="Y885" s="358"/>
      <c r="Z885" s="358"/>
      <c r="AA885" s="358"/>
    </row>
    <row r="886">
      <c r="A886" s="358"/>
      <c r="B886" s="358"/>
      <c r="C886" s="358"/>
      <c r="D886" s="358"/>
      <c r="E886" s="358"/>
      <c r="F886" s="358"/>
      <c r="G886" s="358"/>
      <c r="H886" s="358"/>
      <c r="I886" s="358"/>
      <c r="J886" s="358"/>
      <c r="K886" s="358"/>
      <c r="L886" s="358"/>
      <c r="M886" s="358"/>
      <c r="N886" s="358"/>
      <c r="O886" s="358"/>
      <c r="P886" s="358"/>
      <c r="Q886" s="358"/>
      <c r="R886" s="358"/>
      <c r="S886" s="358"/>
      <c r="T886" s="358"/>
      <c r="U886" s="358"/>
      <c r="V886" s="358"/>
      <c r="W886" s="358"/>
      <c r="X886" s="358"/>
      <c r="Y886" s="358"/>
      <c r="Z886" s="358"/>
      <c r="AA886" s="358"/>
    </row>
    <row r="887">
      <c r="A887" s="358"/>
      <c r="B887" s="358"/>
      <c r="C887" s="358"/>
      <c r="D887" s="358"/>
      <c r="E887" s="358"/>
      <c r="F887" s="358"/>
      <c r="G887" s="358"/>
      <c r="H887" s="358"/>
      <c r="I887" s="358"/>
      <c r="J887" s="358"/>
      <c r="K887" s="358"/>
      <c r="L887" s="358"/>
      <c r="M887" s="358"/>
      <c r="N887" s="358"/>
      <c r="O887" s="358"/>
      <c r="P887" s="358"/>
      <c r="Q887" s="358"/>
      <c r="R887" s="358"/>
      <c r="S887" s="358"/>
      <c r="T887" s="358"/>
      <c r="U887" s="358"/>
      <c r="V887" s="358"/>
      <c r="W887" s="358"/>
      <c r="X887" s="358"/>
      <c r="Y887" s="358"/>
      <c r="Z887" s="358"/>
      <c r="AA887" s="358"/>
    </row>
    <row r="888">
      <c r="A888" s="358"/>
      <c r="B888" s="358"/>
      <c r="C888" s="358"/>
      <c r="D888" s="358"/>
      <c r="E888" s="358"/>
      <c r="F888" s="358"/>
      <c r="G888" s="358"/>
      <c r="H888" s="358"/>
      <c r="I888" s="358"/>
      <c r="J888" s="358"/>
      <c r="K888" s="358"/>
      <c r="L888" s="358"/>
      <c r="M888" s="358"/>
      <c r="N888" s="358"/>
      <c r="O888" s="358"/>
      <c r="P888" s="358"/>
      <c r="Q888" s="358"/>
      <c r="R888" s="358"/>
      <c r="S888" s="358"/>
      <c r="T888" s="358"/>
      <c r="U888" s="358"/>
      <c r="V888" s="358"/>
      <c r="W888" s="358"/>
      <c r="X888" s="358"/>
      <c r="Y888" s="358"/>
      <c r="Z888" s="358"/>
      <c r="AA888" s="358"/>
    </row>
    <row r="889">
      <c r="A889" s="358"/>
      <c r="B889" s="358"/>
      <c r="C889" s="358"/>
      <c r="D889" s="358"/>
      <c r="E889" s="358"/>
      <c r="F889" s="358"/>
      <c r="G889" s="358"/>
      <c r="H889" s="358"/>
      <c r="I889" s="358"/>
      <c r="J889" s="358"/>
      <c r="K889" s="358"/>
      <c r="L889" s="358"/>
      <c r="M889" s="358"/>
      <c r="N889" s="358"/>
      <c r="O889" s="358"/>
      <c r="P889" s="358"/>
      <c r="Q889" s="358"/>
      <c r="R889" s="358"/>
      <c r="S889" s="358"/>
      <c r="T889" s="358"/>
      <c r="U889" s="358"/>
      <c r="V889" s="358"/>
      <c r="W889" s="358"/>
      <c r="X889" s="358"/>
      <c r="Y889" s="358"/>
      <c r="Z889" s="358"/>
      <c r="AA889" s="358"/>
    </row>
    <row r="890">
      <c r="A890" s="358"/>
      <c r="B890" s="358"/>
      <c r="C890" s="358"/>
      <c r="D890" s="358"/>
      <c r="E890" s="358"/>
      <c r="F890" s="358"/>
      <c r="G890" s="358"/>
      <c r="H890" s="358"/>
      <c r="I890" s="358"/>
      <c r="J890" s="358"/>
      <c r="K890" s="358"/>
      <c r="L890" s="358"/>
      <c r="M890" s="358"/>
      <c r="N890" s="358"/>
      <c r="O890" s="358"/>
      <c r="P890" s="358"/>
      <c r="Q890" s="358"/>
      <c r="R890" s="358"/>
      <c r="S890" s="358"/>
      <c r="T890" s="358"/>
      <c r="U890" s="358"/>
      <c r="V890" s="358"/>
      <c r="W890" s="358"/>
      <c r="X890" s="358"/>
      <c r="Y890" s="358"/>
      <c r="Z890" s="358"/>
      <c r="AA890" s="358"/>
    </row>
    <row r="891">
      <c r="A891" s="358"/>
      <c r="B891" s="358"/>
      <c r="C891" s="358"/>
      <c r="D891" s="358"/>
      <c r="E891" s="358"/>
      <c r="F891" s="358"/>
      <c r="G891" s="358"/>
      <c r="H891" s="358"/>
      <c r="I891" s="358"/>
      <c r="J891" s="358"/>
      <c r="K891" s="358"/>
      <c r="L891" s="358"/>
      <c r="M891" s="358"/>
      <c r="N891" s="358"/>
      <c r="O891" s="358"/>
      <c r="P891" s="358"/>
      <c r="Q891" s="358"/>
      <c r="R891" s="358"/>
      <c r="S891" s="358"/>
      <c r="T891" s="358"/>
      <c r="U891" s="358"/>
      <c r="V891" s="358"/>
      <c r="W891" s="358"/>
      <c r="X891" s="358"/>
      <c r="Y891" s="358"/>
      <c r="Z891" s="358"/>
      <c r="AA891" s="358"/>
    </row>
    <row r="892">
      <c r="A892" s="358"/>
      <c r="B892" s="358"/>
      <c r="C892" s="358"/>
      <c r="D892" s="358"/>
      <c r="E892" s="358"/>
      <c r="F892" s="358"/>
      <c r="G892" s="358"/>
      <c r="H892" s="358"/>
      <c r="I892" s="358"/>
      <c r="J892" s="358"/>
      <c r="K892" s="358"/>
      <c r="L892" s="358"/>
      <c r="M892" s="358"/>
      <c r="N892" s="358"/>
      <c r="O892" s="358"/>
      <c r="P892" s="358"/>
      <c r="Q892" s="358"/>
      <c r="R892" s="358"/>
      <c r="S892" s="358"/>
      <c r="T892" s="358"/>
      <c r="U892" s="358"/>
      <c r="V892" s="358"/>
      <c r="W892" s="358"/>
      <c r="X892" s="358"/>
      <c r="Y892" s="358"/>
      <c r="Z892" s="358"/>
      <c r="AA892" s="358"/>
    </row>
    <row r="893">
      <c r="A893" s="358"/>
      <c r="B893" s="358"/>
      <c r="C893" s="358"/>
      <c r="D893" s="358"/>
      <c r="E893" s="358"/>
      <c r="F893" s="358"/>
      <c r="G893" s="358"/>
      <c r="H893" s="358"/>
      <c r="I893" s="358"/>
      <c r="J893" s="358"/>
      <c r="K893" s="358"/>
      <c r="L893" s="358"/>
      <c r="M893" s="358"/>
      <c r="N893" s="358"/>
      <c r="O893" s="358"/>
      <c r="P893" s="358"/>
      <c r="Q893" s="358"/>
      <c r="R893" s="358"/>
      <c r="S893" s="358"/>
      <c r="T893" s="358"/>
      <c r="U893" s="358"/>
      <c r="V893" s="358"/>
      <c r="W893" s="358"/>
      <c r="X893" s="358"/>
      <c r="Y893" s="358"/>
      <c r="Z893" s="358"/>
      <c r="AA893" s="358"/>
    </row>
    <row r="894">
      <c r="A894" s="358"/>
      <c r="B894" s="358"/>
      <c r="C894" s="358"/>
      <c r="D894" s="358"/>
      <c r="E894" s="358"/>
      <c r="F894" s="358"/>
      <c r="G894" s="358"/>
      <c r="H894" s="358"/>
      <c r="I894" s="358"/>
      <c r="J894" s="358"/>
      <c r="K894" s="358"/>
      <c r="L894" s="358"/>
      <c r="M894" s="358"/>
      <c r="N894" s="358"/>
      <c r="O894" s="358"/>
      <c r="P894" s="358"/>
      <c r="Q894" s="358"/>
      <c r="R894" s="358"/>
      <c r="S894" s="358"/>
      <c r="T894" s="358"/>
      <c r="U894" s="358"/>
      <c r="V894" s="358"/>
      <c r="W894" s="358"/>
      <c r="X894" s="358"/>
      <c r="Y894" s="358"/>
      <c r="Z894" s="358"/>
      <c r="AA894" s="358"/>
    </row>
    <row r="895">
      <c r="A895" s="358"/>
      <c r="B895" s="358"/>
      <c r="C895" s="358"/>
      <c r="D895" s="358"/>
      <c r="E895" s="358"/>
      <c r="F895" s="358"/>
      <c r="G895" s="358"/>
      <c r="H895" s="358"/>
      <c r="I895" s="358"/>
      <c r="J895" s="358"/>
      <c r="K895" s="358"/>
      <c r="L895" s="358"/>
      <c r="M895" s="358"/>
      <c r="N895" s="358"/>
      <c r="O895" s="358"/>
      <c r="P895" s="358"/>
      <c r="Q895" s="358"/>
      <c r="R895" s="358"/>
      <c r="S895" s="358"/>
      <c r="T895" s="358"/>
      <c r="U895" s="358"/>
      <c r="V895" s="358"/>
      <c r="W895" s="358"/>
      <c r="X895" s="358"/>
      <c r="Y895" s="358"/>
      <c r="Z895" s="358"/>
      <c r="AA895" s="358"/>
    </row>
    <row r="896">
      <c r="A896" s="358"/>
      <c r="B896" s="358"/>
      <c r="C896" s="358"/>
      <c r="D896" s="358"/>
      <c r="E896" s="358"/>
      <c r="F896" s="358"/>
      <c r="G896" s="358"/>
      <c r="H896" s="358"/>
      <c r="I896" s="358"/>
      <c r="J896" s="358"/>
      <c r="K896" s="358"/>
      <c r="L896" s="358"/>
      <c r="M896" s="358"/>
      <c r="N896" s="358"/>
      <c r="O896" s="358"/>
      <c r="P896" s="358"/>
      <c r="Q896" s="358"/>
      <c r="R896" s="358"/>
      <c r="S896" s="358"/>
      <c r="T896" s="358"/>
      <c r="U896" s="358"/>
      <c r="V896" s="358"/>
      <c r="W896" s="358"/>
      <c r="X896" s="358"/>
      <c r="Y896" s="358"/>
      <c r="Z896" s="358"/>
      <c r="AA896" s="358"/>
    </row>
    <row r="897">
      <c r="A897" s="358"/>
      <c r="B897" s="358"/>
      <c r="C897" s="358"/>
      <c r="D897" s="358"/>
      <c r="E897" s="358"/>
      <c r="F897" s="358"/>
      <c r="G897" s="358"/>
      <c r="H897" s="358"/>
      <c r="I897" s="358"/>
      <c r="J897" s="358"/>
      <c r="K897" s="358"/>
      <c r="L897" s="358"/>
      <c r="M897" s="358"/>
      <c r="N897" s="358"/>
      <c r="O897" s="358"/>
      <c r="P897" s="358"/>
      <c r="Q897" s="358"/>
      <c r="R897" s="358"/>
      <c r="S897" s="358"/>
      <c r="T897" s="358"/>
      <c r="U897" s="358"/>
      <c r="V897" s="358"/>
      <c r="W897" s="358"/>
      <c r="X897" s="358"/>
      <c r="Y897" s="358"/>
      <c r="Z897" s="358"/>
      <c r="AA897" s="358"/>
    </row>
    <row r="898">
      <c r="A898" s="358"/>
      <c r="B898" s="358"/>
      <c r="C898" s="358"/>
      <c r="D898" s="358"/>
      <c r="E898" s="358"/>
      <c r="F898" s="358"/>
      <c r="G898" s="358"/>
      <c r="H898" s="358"/>
      <c r="I898" s="358"/>
      <c r="J898" s="358"/>
      <c r="K898" s="358"/>
      <c r="L898" s="358"/>
      <c r="M898" s="358"/>
      <c r="N898" s="358"/>
      <c r="O898" s="358"/>
      <c r="P898" s="358"/>
      <c r="Q898" s="358"/>
      <c r="R898" s="358"/>
      <c r="S898" s="358"/>
      <c r="T898" s="358"/>
      <c r="U898" s="358"/>
      <c r="V898" s="358"/>
      <c r="W898" s="358"/>
      <c r="X898" s="358"/>
      <c r="Y898" s="358"/>
      <c r="Z898" s="358"/>
      <c r="AA898" s="358"/>
    </row>
    <row r="899">
      <c r="A899" s="358"/>
      <c r="B899" s="358"/>
      <c r="C899" s="358"/>
      <c r="D899" s="358"/>
      <c r="E899" s="358"/>
      <c r="F899" s="358"/>
      <c r="G899" s="358"/>
      <c r="H899" s="358"/>
      <c r="I899" s="358"/>
      <c r="J899" s="358"/>
      <c r="K899" s="358"/>
      <c r="L899" s="358"/>
      <c r="M899" s="358"/>
      <c r="N899" s="358"/>
      <c r="O899" s="358"/>
      <c r="P899" s="358"/>
      <c r="Q899" s="358"/>
      <c r="R899" s="358"/>
      <c r="S899" s="358"/>
      <c r="T899" s="358"/>
      <c r="U899" s="358"/>
      <c r="V899" s="358"/>
      <c r="W899" s="358"/>
      <c r="X899" s="358"/>
      <c r="Y899" s="358"/>
      <c r="Z899" s="358"/>
      <c r="AA899" s="358"/>
    </row>
    <row r="900">
      <c r="A900" s="358"/>
      <c r="B900" s="358"/>
      <c r="C900" s="358"/>
      <c r="D900" s="358"/>
      <c r="E900" s="358"/>
      <c r="F900" s="358"/>
      <c r="G900" s="358"/>
      <c r="H900" s="358"/>
      <c r="I900" s="358"/>
      <c r="J900" s="358"/>
      <c r="K900" s="358"/>
      <c r="L900" s="358"/>
      <c r="M900" s="358"/>
      <c r="N900" s="358"/>
      <c r="O900" s="358"/>
      <c r="P900" s="358"/>
      <c r="Q900" s="358"/>
      <c r="R900" s="358"/>
      <c r="S900" s="358"/>
      <c r="T900" s="358"/>
      <c r="U900" s="358"/>
      <c r="V900" s="358"/>
      <c r="W900" s="358"/>
      <c r="X900" s="358"/>
      <c r="Y900" s="358"/>
      <c r="Z900" s="358"/>
      <c r="AA900" s="358"/>
    </row>
    <row r="901">
      <c r="A901" s="358"/>
      <c r="B901" s="358"/>
      <c r="C901" s="358"/>
      <c r="D901" s="358"/>
      <c r="E901" s="358"/>
      <c r="F901" s="358"/>
      <c r="G901" s="358"/>
      <c r="H901" s="358"/>
      <c r="I901" s="358"/>
      <c r="J901" s="358"/>
      <c r="K901" s="358"/>
      <c r="L901" s="358"/>
      <c r="M901" s="358"/>
      <c r="N901" s="358"/>
      <c r="O901" s="358"/>
      <c r="P901" s="358"/>
      <c r="Q901" s="358"/>
      <c r="R901" s="358"/>
      <c r="S901" s="358"/>
      <c r="T901" s="358"/>
      <c r="U901" s="358"/>
      <c r="V901" s="358"/>
      <c r="W901" s="358"/>
      <c r="X901" s="358"/>
      <c r="Y901" s="358"/>
      <c r="Z901" s="358"/>
      <c r="AA901" s="358"/>
    </row>
    <row r="902">
      <c r="A902" s="358"/>
      <c r="B902" s="358"/>
      <c r="C902" s="358"/>
      <c r="D902" s="358"/>
      <c r="E902" s="358"/>
      <c r="F902" s="358"/>
      <c r="G902" s="358"/>
      <c r="H902" s="358"/>
      <c r="I902" s="358"/>
      <c r="J902" s="358"/>
      <c r="K902" s="358"/>
      <c r="L902" s="358"/>
      <c r="M902" s="358"/>
      <c r="N902" s="358"/>
      <c r="O902" s="358"/>
      <c r="P902" s="358"/>
      <c r="Q902" s="358"/>
      <c r="R902" s="358"/>
      <c r="S902" s="358"/>
      <c r="T902" s="358"/>
      <c r="U902" s="358"/>
      <c r="V902" s="358"/>
      <c r="W902" s="358"/>
      <c r="X902" s="358"/>
      <c r="Y902" s="358"/>
      <c r="Z902" s="358"/>
      <c r="AA902" s="358"/>
    </row>
    <row r="903">
      <c r="A903" s="358"/>
      <c r="B903" s="358"/>
      <c r="C903" s="358"/>
      <c r="D903" s="358"/>
      <c r="E903" s="358"/>
      <c r="F903" s="358"/>
      <c r="G903" s="358"/>
      <c r="H903" s="358"/>
      <c r="I903" s="358"/>
      <c r="J903" s="358"/>
      <c r="K903" s="358"/>
      <c r="L903" s="358"/>
      <c r="M903" s="358"/>
      <c r="N903" s="358"/>
      <c r="O903" s="358"/>
      <c r="P903" s="358"/>
      <c r="Q903" s="358"/>
      <c r="R903" s="358"/>
      <c r="S903" s="358"/>
      <c r="T903" s="358"/>
      <c r="U903" s="358"/>
      <c r="V903" s="358"/>
      <c r="W903" s="358"/>
      <c r="X903" s="358"/>
      <c r="Y903" s="358"/>
      <c r="Z903" s="358"/>
      <c r="AA903" s="358"/>
    </row>
    <row r="904">
      <c r="A904" s="358"/>
      <c r="B904" s="358"/>
      <c r="C904" s="358"/>
      <c r="D904" s="358"/>
      <c r="E904" s="358"/>
      <c r="F904" s="358"/>
      <c r="G904" s="358"/>
      <c r="H904" s="358"/>
      <c r="I904" s="358"/>
      <c r="J904" s="358"/>
      <c r="K904" s="358"/>
      <c r="L904" s="358"/>
      <c r="M904" s="358"/>
      <c r="N904" s="358"/>
      <c r="O904" s="358"/>
      <c r="P904" s="358"/>
      <c r="Q904" s="358"/>
      <c r="R904" s="358"/>
      <c r="S904" s="358"/>
      <c r="T904" s="358"/>
      <c r="U904" s="358"/>
      <c r="V904" s="358"/>
      <c r="W904" s="358"/>
      <c r="X904" s="358"/>
      <c r="Y904" s="358"/>
      <c r="Z904" s="358"/>
      <c r="AA904" s="358"/>
    </row>
    <row r="905">
      <c r="A905" s="358"/>
      <c r="B905" s="358"/>
      <c r="C905" s="358"/>
      <c r="D905" s="358"/>
      <c r="E905" s="358"/>
      <c r="F905" s="358"/>
      <c r="G905" s="358"/>
      <c r="H905" s="358"/>
      <c r="I905" s="358"/>
      <c r="J905" s="358"/>
      <c r="K905" s="358"/>
      <c r="L905" s="358"/>
      <c r="M905" s="358"/>
      <c r="N905" s="358"/>
      <c r="O905" s="358"/>
      <c r="P905" s="358"/>
      <c r="Q905" s="358"/>
      <c r="R905" s="358"/>
      <c r="S905" s="358"/>
      <c r="T905" s="358"/>
      <c r="U905" s="358"/>
      <c r="V905" s="358"/>
      <c r="W905" s="358"/>
      <c r="X905" s="358"/>
      <c r="Y905" s="358"/>
      <c r="Z905" s="358"/>
      <c r="AA905" s="358"/>
    </row>
    <row r="906">
      <c r="A906" s="358"/>
      <c r="B906" s="358"/>
      <c r="C906" s="358"/>
      <c r="D906" s="358"/>
      <c r="E906" s="358"/>
      <c r="F906" s="358"/>
      <c r="G906" s="358"/>
      <c r="H906" s="358"/>
      <c r="I906" s="358"/>
      <c r="J906" s="358"/>
      <c r="K906" s="358"/>
      <c r="L906" s="358"/>
      <c r="M906" s="358"/>
      <c r="N906" s="358"/>
      <c r="O906" s="358"/>
      <c r="P906" s="358"/>
      <c r="Q906" s="358"/>
      <c r="R906" s="358"/>
      <c r="S906" s="358"/>
      <c r="T906" s="358"/>
      <c r="U906" s="358"/>
      <c r="V906" s="358"/>
      <c r="W906" s="358"/>
      <c r="X906" s="358"/>
      <c r="Y906" s="358"/>
      <c r="Z906" s="358"/>
      <c r="AA906" s="358"/>
    </row>
    <row r="907">
      <c r="A907" s="358"/>
      <c r="B907" s="358"/>
      <c r="C907" s="358"/>
      <c r="D907" s="358"/>
      <c r="E907" s="358"/>
      <c r="F907" s="358"/>
      <c r="G907" s="358"/>
      <c r="H907" s="358"/>
      <c r="I907" s="358"/>
      <c r="J907" s="358"/>
      <c r="K907" s="358"/>
      <c r="L907" s="358"/>
      <c r="M907" s="358"/>
      <c r="N907" s="358"/>
      <c r="O907" s="358"/>
      <c r="P907" s="358"/>
      <c r="Q907" s="358"/>
      <c r="R907" s="358"/>
      <c r="S907" s="358"/>
      <c r="T907" s="358"/>
      <c r="U907" s="358"/>
      <c r="V907" s="358"/>
      <c r="W907" s="358"/>
      <c r="X907" s="358"/>
      <c r="Y907" s="358"/>
      <c r="Z907" s="358"/>
      <c r="AA907" s="358"/>
    </row>
    <row r="908">
      <c r="A908" s="358"/>
      <c r="B908" s="358"/>
      <c r="C908" s="358"/>
      <c r="D908" s="358"/>
      <c r="E908" s="358"/>
      <c r="F908" s="358"/>
      <c r="G908" s="358"/>
      <c r="H908" s="358"/>
      <c r="I908" s="358"/>
      <c r="J908" s="358"/>
      <c r="K908" s="358"/>
      <c r="L908" s="358"/>
      <c r="M908" s="358"/>
      <c r="N908" s="358"/>
      <c r="O908" s="358"/>
      <c r="P908" s="358"/>
      <c r="Q908" s="358"/>
      <c r="R908" s="358"/>
      <c r="S908" s="358"/>
      <c r="T908" s="358"/>
      <c r="U908" s="358"/>
      <c r="V908" s="358"/>
      <c r="W908" s="358"/>
      <c r="X908" s="358"/>
      <c r="Y908" s="358"/>
      <c r="Z908" s="358"/>
      <c r="AA908" s="358"/>
    </row>
    <row r="909">
      <c r="A909" s="358"/>
      <c r="B909" s="358"/>
      <c r="C909" s="358"/>
      <c r="D909" s="358"/>
      <c r="E909" s="358"/>
      <c r="F909" s="358"/>
      <c r="G909" s="358"/>
      <c r="H909" s="358"/>
      <c r="I909" s="358"/>
      <c r="J909" s="358"/>
      <c r="K909" s="358"/>
      <c r="L909" s="358"/>
      <c r="M909" s="358"/>
      <c r="N909" s="358"/>
      <c r="O909" s="358"/>
      <c r="P909" s="358"/>
      <c r="Q909" s="358"/>
      <c r="R909" s="358"/>
      <c r="S909" s="358"/>
      <c r="T909" s="358"/>
      <c r="U909" s="358"/>
      <c r="V909" s="358"/>
      <c r="W909" s="358"/>
      <c r="X909" s="358"/>
      <c r="Y909" s="358"/>
      <c r="Z909" s="358"/>
      <c r="AA909" s="358"/>
    </row>
    <row r="910">
      <c r="A910" s="358"/>
      <c r="B910" s="358"/>
      <c r="C910" s="358"/>
      <c r="D910" s="358"/>
      <c r="E910" s="358"/>
      <c r="F910" s="358"/>
      <c r="G910" s="358"/>
      <c r="H910" s="358"/>
      <c r="I910" s="358"/>
      <c r="J910" s="358"/>
      <c r="K910" s="358"/>
      <c r="L910" s="358"/>
      <c r="M910" s="358"/>
      <c r="N910" s="358"/>
      <c r="O910" s="358"/>
      <c r="P910" s="358"/>
      <c r="Q910" s="358"/>
      <c r="R910" s="358"/>
      <c r="S910" s="358"/>
      <c r="T910" s="358"/>
      <c r="U910" s="358"/>
      <c r="V910" s="358"/>
      <c r="W910" s="358"/>
      <c r="X910" s="358"/>
      <c r="Y910" s="358"/>
      <c r="Z910" s="358"/>
      <c r="AA910" s="358"/>
    </row>
    <row r="911">
      <c r="A911" s="358"/>
      <c r="B911" s="358"/>
      <c r="C911" s="358"/>
      <c r="D911" s="358"/>
      <c r="E911" s="358"/>
      <c r="F911" s="358"/>
      <c r="G911" s="358"/>
      <c r="H911" s="358"/>
      <c r="I911" s="358"/>
      <c r="J911" s="358"/>
      <c r="K911" s="358"/>
      <c r="L911" s="358"/>
      <c r="M911" s="358"/>
      <c r="N911" s="358"/>
      <c r="O911" s="358"/>
      <c r="P911" s="358"/>
      <c r="Q911" s="358"/>
      <c r="R911" s="358"/>
      <c r="S911" s="358"/>
      <c r="T911" s="358"/>
      <c r="U911" s="358"/>
      <c r="V911" s="358"/>
      <c r="W911" s="358"/>
      <c r="X911" s="358"/>
      <c r="Y911" s="358"/>
      <c r="Z911" s="358"/>
      <c r="AA911" s="358"/>
    </row>
    <row r="912">
      <c r="A912" s="358"/>
      <c r="B912" s="358"/>
      <c r="C912" s="358"/>
      <c r="D912" s="358"/>
      <c r="E912" s="358"/>
      <c r="F912" s="358"/>
      <c r="G912" s="358"/>
      <c r="H912" s="358"/>
      <c r="I912" s="358"/>
      <c r="J912" s="358"/>
      <c r="K912" s="358"/>
      <c r="L912" s="358"/>
      <c r="M912" s="358"/>
      <c r="N912" s="358"/>
      <c r="O912" s="358"/>
      <c r="P912" s="358"/>
      <c r="Q912" s="358"/>
      <c r="R912" s="358"/>
      <c r="S912" s="358"/>
      <c r="T912" s="358"/>
      <c r="U912" s="358"/>
      <c r="V912" s="358"/>
      <c r="W912" s="358"/>
      <c r="X912" s="358"/>
      <c r="Y912" s="358"/>
      <c r="Z912" s="358"/>
      <c r="AA912" s="358"/>
    </row>
    <row r="913">
      <c r="A913" s="358"/>
      <c r="B913" s="358"/>
      <c r="C913" s="358"/>
      <c r="D913" s="358"/>
      <c r="E913" s="358"/>
      <c r="F913" s="358"/>
      <c r="G913" s="358"/>
      <c r="H913" s="358"/>
      <c r="I913" s="358"/>
      <c r="J913" s="358"/>
      <c r="K913" s="358"/>
      <c r="L913" s="358"/>
      <c r="M913" s="358"/>
      <c r="N913" s="358"/>
      <c r="O913" s="358"/>
      <c r="P913" s="358"/>
      <c r="Q913" s="358"/>
      <c r="R913" s="358"/>
      <c r="S913" s="358"/>
      <c r="T913" s="358"/>
      <c r="U913" s="358"/>
      <c r="V913" s="358"/>
      <c r="W913" s="358"/>
      <c r="X913" s="358"/>
      <c r="Y913" s="358"/>
      <c r="Z913" s="358"/>
      <c r="AA913" s="358"/>
    </row>
    <row r="914">
      <c r="A914" s="358"/>
      <c r="B914" s="358"/>
      <c r="C914" s="358"/>
      <c r="D914" s="358"/>
      <c r="E914" s="358"/>
      <c r="F914" s="358"/>
      <c r="G914" s="358"/>
      <c r="H914" s="358"/>
      <c r="I914" s="358"/>
      <c r="J914" s="358"/>
      <c r="K914" s="358"/>
      <c r="L914" s="358"/>
      <c r="M914" s="358"/>
      <c r="N914" s="358"/>
      <c r="O914" s="358"/>
      <c r="P914" s="358"/>
      <c r="Q914" s="358"/>
      <c r="R914" s="358"/>
      <c r="S914" s="358"/>
      <c r="T914" s="358"/>
      <c r="U914" s="358"/>
      <c r="V914" s="358"/>
      <c r="W914" s="358"/>
      <c r="X914" s="358"/>
      <c r="Y914" s="358"/>
      <c r="Z914" s="358"/>
      <c r="AA914" s="358"/>
    </row>
    <row r="915">
      <c r="A915" s="358"/>
      <c r="B915" s="358"/>
      <c r="C915" s="358"/>
      <c r="D915" s="358"/>
      <c r="E915" s="358"/>
      <c r="F915" s="358"/>
      <c r="G915" s="358"/>
      <c r="H915" s="358"/>
      <c r="I915" s="358"/>
      <c r="J915" s="358"/>
      <c r="K915" s="358"/>
      <c r="L915" s="358"/>
      <c r="M915" s="358"/>
      <c r="N915" s="358"/>
      <c r="O915" s="358"/>
      <c r="P915" s="358"/>
      <c r="Q915" s="358"/>
      <c r="R915" s="358"/>
      <c r="S915" s="358"/>
      <c r="T915" s="358"/>
      <c r="U915" s="358"/>
      <c r="V915" s="358"/>
      <c r="W915" s="358"/>
      <c r="X915" s="358"/>
      <c r="Y915" s="358"/>
      <c r="Z915" s="358"/>
      <c r="AA915" s="358"/>
    </row>
    <row r="916">
      <c r="A916" s="358"/>
      <c r="B916" s="358"/>
      <c r="C916" s="358"/>
      <c r="D916" s="358"/>
      <c r="E916" s="358"/>
      <c r="F916" s="358"/>
      <c r="G916" s="358"/>
      <c r="H916" s="358"/>
      <c r="I916" s="358"/>
      <c r="J916" s="358"/>
      <c r="K916" s="358"/>
      <c r="L916" s="358"/>
      <c r="M916" s="358"/>
      <c r="N916" s="358"/>
      <c r="O916" s="358"/>
      <c r="P916" s="358"/>
      <c r="Q916" s="358"/>
      <c r="R916" s="358"/>
      <c r="S916" s="358"/>
      <c r="T916" s="358"/>
      <c r="U916" s="358"/>
      <c r="V916" s="358"/>
      <c r="W916" s="358"/>
      <c r="X916" s="358"/>
      <c r="Y916" s="358"/>
      <c r="Z916" s="358"/>
      <c r="AA916" s="358"/>
    </row>
    <row r="917">
      <c r="A917" s="358"/>
      <c r="B917" s="358"/>
      <c r="C917" s="358"/>
      <c r="D917" s="358"/>
      <c r="E917" s="358"/>
      <c r="F917" s="358"/>
      <c r="G917" s="358"/>
      <c r="H917" s="358"/>
      <c r="I917" s="358"/>
      <c r="J917" s="358"/>
      <c r="K917" s="358"/>
      <c r="L917" s="358"/>
      <c r="M917" s="358"/>
      <c r="N917" s="358"/>
      <c r="O917" s="358"/>
      <c r="P917" s="358"/>
      <c r="Q917" s="358"/>
      <c r="R917" s="358"/>
      <c r="S917" s="358"/>
      <c r="T917" s="358"/>
      <c r="U917" s="358"/>
      <c r="V917" s="358"/>
      <c r="W917" s="358"/>
      <c r="X917" s="358"/>
      <c r="Y917" s="358"/>
      <c r="Z917" s="358"/>
      <c r="AA917" s="358"/>
    </row>
    <row r="918">
      <c r="A918" s="358"/>
      <c r="B918" s="358"/>
      <c r="C918" s="358"/>
      <c r="D918" s="358"/>
      <c r="E918" s="358"/>
      <c r="F918" s="358"/>
      <c r="G918" s="358"/>
      <c r="H918" s="358"/>
      <c r="I918" s="358"/>
      <c r="J918" s="358"/>
      <c r="K918" s="358"/>
      <c r="L918" s="358"/>
      <c r="M918" s="358"/>
      <c r="N918" s="358"/>
      <c r="O918" s="358"/>
      <c r="P918" s="358"/>
      <c r="Q918" s="358"/>
      <c r="R918" s="358"/>
      <c r="S918" s="358"/>
      <c r="T918" s="358"/>
      <c r="U918" s="358"/>
      <c r="V918" s="358"/>
      <c r="W918" s="358"/>
      <c r="X918" s="358"/>
      <c r="Y918" s="358"/>
      <c r="Z918" s="358"/>
      <c r="AA918" s="358"/>
    </row>
    <row r="919">
      <c r="A919" s="358"/>
      <c r="B919" s="358"/>
      <c r="C919" s="358"/>
      <c r="D919" s="358"/>
      <c r="E919" s="358"/>
      <c r="F919" s="358"/>
      <c r="G919" s="358"/>
      <c r="H919" s="358"/>
      <c r="I919" s="358"/>
      <c r="J919" s="358"/>
      <c r="K919" s="358"/>
      <c r="L919" s="358"/>
      <c r="M919" s="358"/>
      <c r="N919" s="358"/>
      <c r="O919" s="358"/>
      <c r="P919" s="358"/>
      <c r="Q919" s="358"/>
      <c r="R919" s="358"/>
      <c r="S919" s="358"/>
      <c r="T919" s="358"/>
      <c r="U919" s="358"/>
      <c r="V919" s="358"/>
      <c r="W919" s="358"/>
      <c r="X919" s="358"/>
      <c r="Y919" s="358"/>
      <c r="Z919" s="358"/>
      <c r="AA919" s="358"/>
    </row>
    <row r="920">
      <c r="A920" s="358"/>
      <c r="B920" s="358"/>
      <c r="C920" s="358"/>
      <c r="D920" s="358"/>
      <c r="E920" s="358"/>
      <c r="F920" s="358"/>
      <c r="G920" s="358"/>
      <c r="H920" s="358"/>
      <c r="I920" s="358"/>
      <c r="J920" s="358"/>
      <c r="K920" s="358"/>
      <c r="L920" s="358"/>
      <c r="M920" s="358"/>
      <c r="N920" s="358"/>
      <c r="O920" s="358"/>
      <c r="P920" s="358"/>
      <c r="Q920" s="358"/>
      <c r="R920" s="358"/>
      <c r="S920" s="358"/>
      <c r="T920" s="358"/>
      <c r="U920" s="358"/>
      <c r="V920" s="358"/>
      <c r="W920" s="358"/>
      <c r="X920" s="358"/>
      <c r="Y920" s="358"/>
      <c r="Z920" s="358"/>
      <c r="AA920" s="358"/>
    </row>
    <row r="921">
      <c r="A921" s="358"/>
      <c r="B921" s="358"/>
      <c r="C921" s="358"/>
      <c r="D921" s="358"/>
      <c r="E921" s="358"/>
      <c r="F921" s="358"/>
      <c r="G921" s="358"/>
      <c r="H921" s="358"/>
      <c r="I921" s="358"/>
      <c r="J921" s="358"/>
      <c r="K921" s="358"/>
      <c r="L921" s="358"/>
      <c r="M921" s="358"/>
      <c r="N921" s="358"/>
      <c r="O921" s="358"/>
      <c r="P921" s="358"/>
      <c r="Q921" s="358"/>
      <c r="R921" s="358"/>
      <c r="S921" s="358"/>
      <c r="T921" s="358"/>
      <c r="U921" s="358"/>
      <c r="V921" s="358"/>
      <c r="W921" s="358"/>
      <c r="X921" s="358"/>
      <c r="Y921" s="358"/>
      <c r="Z921" s="358"/>
      <c r="AA921" s="358"/>
    </row>
    <row r="922">
      <c r="A922" s="358"/>
      <c r="B922" s="358"/>
      <c r="C922" s="358"/>
      <c r="D922" s="358"/>
      <c r="E922" s="358"/>
      <c r="F922" s="358"/>
      <c r="G922" s="358"/>
      <c r="H922" s="358"/>
      <c r="I922" s="358"/>
      <c r="J922" s="358"/>
      <c r="K922" s="358"/>
      <c r="L922" s="358"/>
      <c r="M922" s="358"/>
      <c r="N922" s="358"/>
      <c r="O922" s="358"/>
      <c r="P922" s="358"/>
      <c r="Q922" s="358"/>
      <c r="R922" s="358"/>
      <c r="S922" s="358"/>
      <c r="T922" s="358"/>
      <c r="U922" s="358"/>
      <c r="V922" s="358"/>
      <c r="W922" s="358"/>
      <c r="X922" s="358"/>
      <c r="Y922" s="358"/>
      <c r="Z922" s="358"/>
      <c r="AA922" s="358"/>
    </row>
    <row r="923">
      <c r="A923" s="358"/>
      <c r="B923" s="358"/>
      <c r="C923" s="358"/>
      <c r="D923" s="358"/>
      <c r="E923" s="358"/>
      <c r="F923" s="358"/>
      <c r="G923" s="358"/>
      <c r="H923" s="358"/>
      <c r="I923" s="358"/>
      <c r="J923" s="358"/>
      <c r="K923" s="358"/>
      <c r="L923" s="358"/>
      <c r="M923" s="358"/>
      <c r="N923" s="358"/>
      <c r="O923" s="358"/>
      <c r="P923" s="358"/>
      <c r="Q923" s="358"/>
      <c r="R923" s="358"/>
      <c r="S923" s="358"/>
      <c r="T923" s="358"/>
      <c r="U923" s="358"/>
      <c r="V923" s="358"/>
      <c r="W923" s="358"/>
      <c r="X923" s="358"/>
      <c r="Y923" s="358"/>
      <c r="Z923" s="358"/>
      <c r="AA923" s="358"/>
    </row>
    <row r="924">
      <c r="A924" s="358"/>
      <c r="B924" s="358"/>
      <c r="C924" s="358"/>
      <c r="D924" s="358"/>
      <c r="E924" s="358"/>
      <c r="F924" s="358"/>
      <c r="G924" s="358"/>
      <c r="H924" s="358"/>
      <c r="I924" s="358"/>
      <c r="J924" s="358"/>
      <c r="K924" s="358"/>
      <c r="L924" s="358"/>
      <c r="M924" s="358"/>
      <c r="N924" s="358"/>
      <c r="O924" s="358"/>
      <c r="P924" s="358"/>
      <c r="Q924" s="358"/>
      <c r="R924" s="358"/>
      <c r="S924" s="358"/>
      <c r="T924" s="358"/>
      <c r="U924" s="358"/>
      <c r="V924" s="358"/>
      <c r="W924" s="358"/>
      <c r="X924" s="358"/>
      <c r="Y924" s="358"/>
      <c r="Z924" s="358"/>
      <c r="AA924" s="358"/>
    </row>
    <row r="925">
      <c r="A925" s="358"/>
      <c r="B925" s="358"/>
      <c r="C925" s="358"/>
      <c r="D925" s="358"/>
      <c r="E925" s="358"/>
      <c r="F925" s="358"/>
      <c r="G925" s="358"/>
      <c r="H925" s="358"/>
      <c r="I925" s="358"/>
      <c r="J925" s="358"/>
      <c r="K925" s="358"/>
      <c r="L925" s="358"/>
      <c r="M925" s="358"/>
      <c r="N925" s="358"/>
      <c r="O925" s="358"/>
      <c r="P925" s="358"/>
      <c r="Q925" s="358"/>
      <c r="R925" s="358"/>
      <c r="S925" s="358"/>
      <c r="T925" s="358"/>
      <c r="U925" s="358"/>
      <c r="V925" s="358"/>
      <c r="W925" s="358"/>
      <c r="X925" s="358"/>
      <c r="Y925" s="358"/>
      <c r="Z925" s="358"/>
      <c r="AA925" s="358"/>
    </row>
    <row r="926">
      <c r="A926" s="358"/>
      <c r="B926" s="358"/>
      <c r="C926" s="358"/>
      <c r="D926" s="358"/>
      <c r="E926" s="358"/>
      <c r="F926" s="358"/>
      <c r="G926" s="358"/>
      <c r="H926" s="358"/>
      <c r="I926" s="358"/>
      <c r="J926" s="358"/>
      <c r="K926" s="358"/>
      <c r="L926" s="358"/>
      <c r="M926" s="358"/>
      <c r="N926" s="358"/>
      <c r="O926" s="358"/>
      <c r="P926" s="358"/>
      <c r="Q926" s="358"/>
      <c r="R926" s="358"/>
      <c r="S926" s="358"/>
      <c r="T926" s="358"/>
      <c r="U926" s="358"/>
      <c r="V926" s="358"/>
      <c r="W926" s="358"/>
      <c r="X926" s="358"/>
      <c r="Y926" s="358"/>
      <c r="Z926" s="358"/>
      <c r="AA926" s="358"/>
    </row>
    <row r="927">
      <c r="A927" s="358"/>
      <c r="B927" s="358"/>
      <c r="C927" s="358"/>
      <c r="D927" s="358"/>
      <c r="E927" s="358"/>
      <c r="F927" s="358"/>
      <c r="G927" s="358"/>
      <c r="H927" s="358"/>
      <c r="I927" s="358"/>
      <c r="J927" s="358"/>
      <c r="K927" s="358"/>
      <c r="L927" s="358"/>
      <c r="M927" s="358"/>
      <c r="N927" s="358"/>
      <c r="O927" s="358"/>
      <c r="P927" s="358"/>
      <c r="Q927" s="358"/>
      <c r="R927" s="358"/>
      <c r="S927" s="358"/>
      <c r="T927" s="358"/>
      <c r="U927" s="358"/>
      <c r="V927" s="358"/>
      <c r="W927" s="358"/>
      <c r="X927" s="358"/>
      <c r="Y927" s="358"/>
      <c r="Z927" s="358"/>
      <c r="AA927" s="358"/>
    </row>
    <row r="928">
      <c r="A928" s="358"/>
      <c r="B928" s="358"/>
      <c r="C928" s="358"/>
      <c r="D928" s="358"/>
      <c r="E928" s="358"/>
      <c r="F928" s="358"/>
      <c r="G928" s="358"/>
      <c r="H928" s="358"/>
      <c r="I928" s="358"/>
      <c r="J928" s="358"/>
      <c r="K928" s="358"/>
      <c r="L928" s="358"/>
      <c r="M928" s="358"/>
      <c r="N928" s="358"/>
      <c r="O928" s="358"/>
      <c r="P928" s="358"/>
      <c r="Q928" s="358"/>
      <c r="R928" s="358"/>
      <c r="S928" s="358"/>
      <c r="T928" s="358"/>
      <c r="U928" s="358"/>
      <c r="V928" s="358"/>
      <c r="W928" s="358"/>
      <c r="X928" s="358"/>
      <c r="Y928" s="358"/>
      <c r="Z928" s="358"/>
      <c r="AA928" s="358"/>
    </row>
    <row r="929">
      <c r="A929" s="358"/>
      <c r="B929" s="358"/>
      <c r="C929" s="358"/>
      <c r="D929" s="358"/>
      <c r="E929" s="358"/>
      <c r="F929" s="358"/>
      <c r="G929" s="358"/>
      <c r="H929" s="358"/>
      <c r="I929" s="358"/>
      <c r="J929" s="358"/>
      <c r="K929" s="358"/>
      <c r="L929" s="358"/>
      <c r="M929" s="358"/>
      <c r="N929" s="358"/>
      <c r="O929" s="358"/>
      <c r="P929" s="358"/>
      <c r="Q929" s="358"/>
      <c r="R929" s="358"/>
      <c r="S929" s="358"/>
      <c r="T929" s="358"/>
      <c r="U929" s="358"/>
      <c r="V929" s="358"/>
      <c r="W929" s="358"/>
      <c r="X929" s="358"/>
      <c r="Y929" s="358"/>
      <c r="Z929" s="358"/>
      <c r="AA929" s="358"/>
    </row>
    <row r="930">
      <c r="A930" s="358"/>
      <c r="B930" s="358"/>
      <c r="C930" s="358"/>
      <c r="D930" s="358"/>
      <c r="E930" s="358"/>
      <c r="F930" s="358"/>
      <c r="G930" s="358"/>
      <c r="H930" s="358"/>
      <c r="I930" s="358"/>
      <c r="J930" s="358"/>
      <c r="K930" s="358"/>
      <c r="L930" s="358"/>
      <c r="M930" s="358"/>
      <c r="N930" s="358"/>
      <c r="O930" s="358"/>
      <c r="P930" s="358"/>
      <c r="Q930" s="358"/>
      <c r="R930" s="358"/>
      <c r="S930" s="358"/>
      <c r="T930" s="358"/>
      <c r="U930" s="358"/>
      <c r="V930" s="358"/>
      <c r="W930" s="358"/>
      <c r="X930" s="358"/>
      <c r="Y930" s="358"/>
      <c r="Z930" s="358"/>
      <c r="AA930" s="358"/>
    </row>
    <row r="931">
      <c r="A931" s="358"/>
      <c r="B931" s="358"/>
      <c r="C931" s="358"/>
      <c r="D931" s="358"/>
      <c r="E931" s="358"/>
      <c r="F931" s="358"/>
      <c r="G931" s="358"/>
      <c r="H931" s="358"/>
      <c r="I931" s="358"/>
      <c r="J931" s="358"/>
      <c r="K931" s="358"/>
      <c r="L931" s="358"/>
      <c r="M931" s="358"/>
      <c r="N931" s="358"/>
      <c r="O931" s="358"/>
      <c r="P931" s="358"/>
      <c r="Q931" s="358"/>
      <c r="R931" s="358"/>
      <c r="S931" s="358"/>
      <c r="T931" s="358"/>
      <c r="U931" s="358"/>
      <c r="V931" s="358"/>
      <c r="W931" s="358"/>
      <c r="X931" s="358"/>
      <c r="Y931" s="358"/>
      <c r="Z931" s="358"/>
      <c r="AA931" s="358"/>
    </row>
    <row r="932">
      <c r="A932" s="358"/>
      <c r="B932" s="358"/>
      <c r="C932" s="358"/>
      <c r="D932" s="358"/>
      <c r="E932" s="358"/>
      <c r="F932" s="358"/>
      <c r="G932" s="358"/>
      <c r="H932" s="358"/>
      <c r="I932" s="358"/>
      <c r="J932" s="358"/>
      <c r="K932" s="358"/>
      <c r="L932" s="358"/>
      <c r="M932" s="358"/>
      <c r="N932" s="358"/>
      <c r="O932" s="358"/>
      <c r="P932" s="358"/>
      <c r="Q932" s="358"/>
      <c r="R932" s="358"/>
      <c r="S932" s="358"/>
      <c r="T932" s="358"/>
      <c r="U932" s="358"/>
      <c r="V932" s="358"/>
      <c r="W932" s="358"/>
      <c r="X932" s="358"/>
      <c r="Y932" s="358"/>
      <c r="Z932" s="358"/>
      <c r="AA932" s="358"/>
    </row>
    <row r="933">
      <c r="A933" s="358"/>
      <c r="B933" s="358"/>
      <c r="C933" s="358"/>
      <c r="D933" s="358"/>
      <c r="E933" s="358"/>
      <c r="F933" s="358"/>
      <c r="G933" s="358"/>
      <c r="H933" s="358"/>
      <c r="I933" s="358"/>
      <c r="J933" s="358"/>
      <c r="K933" s="358"/>
      <c r="L933" s="358"/>
      <c r="M933" s="358"/>
      <c r="N933" s="358"/>
      <c r="O933" s="358"/>
      <c r="P933" s="358"/>
      <c r="Q933" s="358"/>
      <c r="R933" s="358"/>
      <c r="S933" s="358"/>
      <c r="T933" s="358"/>
      <c r="U933" s="358"/>
      <c r="V933" s="358"/>
      <c r="W933" s="358"/>
      <c r="X933" s="358"/>
      <c r="Y933" s="358"/>
      <c r="Z933" s="358"/>
      <c r="AA933" s="358"/>
    </row>
    <row r="934">
      <c r="A934" s="358"/>
      <c r="B934" s="358"/>
      <c r="C934" s="358"/>
      <c r="D934" s="358"/>
      <c r="E934" s="358"/>
      <c r="F934" s="358"/>
      <c r="G934" s="358"/>
      <c r="H934" s="358"/>
      <c r="I934" s="358"/>
      <c r="J934" s="358"/>
      <c r="K934" s="358"/>
      <c r="L934" s="358"/>
      <c r="M934" s="358"/>
      <c r="N934" s="358"/>
      <c r="O934" s="358"/>
      <c r="P934" s="358"/>
      <c r="Q934" s="358"/>
      <c r="R934" s="358"/>
      <c r="S934" s="358"/>
      <c r="T934" s="358"/>
      <c r="U934" s="358"/>
      <c r="V934" s="358"/>
      <c r="W934" s="358"/>
      <c r="X934" s="358"/>
      <c r="Y934" s="358"/>
      <c r="Z934" s="358"/>
      <c r="AA934" s="358"/>
    </row>
    <row r="935">
      <c r="A935" s="358"/>
      <c r="B935" s="358"/>
      <c r="C935" s="358"/>
      <c r="D935" s="358"/>
      <c r="E935" s="358"/>
      <c r="F935" s="358"/>
      <c r="G935" s="358"/>
      <c r="H935" s="358"/>
      <c r="I935" s="358"/>
      <c r="J935" s="358"/>
      <c r="K935" s="358"/>
      <c r="L935" s="358"/>
      <c r="M935" s="358"/>
      <c r="N935" s="358"/>
      <c r="O935" s="358"/>
      <c r="P935" s="358"/>
      <c r="Q935" s="358"/>
      <c r="R935" s="358"/>
      <c r="S935" s="358"/>
      <c r="T935" s="358"/>
      <c r="U935" s="358"/>
      <c r="V935" s="358"/>
      <c r="W935" s="358"/>
      <c r="X935" s="358"/>
      <c r="Y935" s="358"/>
      <c r="Z935" s="358"/>
      <c r="AA935" s="358"/>
    </row>
    <row r="936">
      <c r="A936" s="358"/>
      <c r="B936" s="358"/>
      <c r="C936" s="358"/>
      <c r="D936" s="358"/>
      <c r="E936" s="358"/>
      <c r="F936" s="358"/>
      <c r="G936" s="358"/>
      <c r="H936" s="358"/>
      <c r="I936" s="358"/>
      <c r="J936" s="358"/>
      <c r="K936" s="358"/>
      <c r="L936" s="358"/>
      <c r="M936" s="358"/>
      <c r="N936" s="358"/>
      <c r="O936" s="358"/>
      <c r="P936" s="358"/>
      <c r="Q936" s="358"/>
      <c r="R936" s="358"/>
      <c r="S936" s="358"/>
      <c r="T936" s="358"/>
      <c r="U936" s="358"/>
      <c r="V936" s="358"/>
      <c r="W936" s="358"/>
      <c r="X936" s="358"/>
      <c r="Y936" s="358"/>
      <c r="Z936" s="358"/>
      <c r="AA936" s="358"/>
    </row>
    <row r="937">
      <c r="A937" s="358"/>
      <c r="B937" s="358"/>
      <c r="C937" s="358"/>
      <c r="D937" s="358"/>
      <c r="E937" s="358"/>
      <c r="F937" s="358"/>
      <c r="G937" s="358"/>
      <c r="H937" s="358"/>
      <c r="I937" s="358"/>
      <c r="J937" s="358"/>
      <c r="K937" s="358"/>
      <c r="L937" s="358"/>
      <c r="M937" s="358"/>
      <c r="N937" s="358"/>
      <c r="O937" s="358"/>
      <c r="P937" s="358"/>
      <c r="Q937" s="358"/>
      <c r="R937" s="358"/>
      <c r="S937" s="358"/>
      <c r="T937" s="358"/>
      <c r="U937" s="358"/>
      <c r="V937" s="358"/>
      <c r="W937" s="358"/>
      <c r="X937" s="358"/>
      <c r="Y937" s="358"/>
      <c r="Z937" s="358"/>
      <c r="AA937" s="358"/>
    </row>
    <row r="938">
      <c r="A938" s="358"/>
      <c r="B938" s="358"/>
      <c r="C938" s="358"/>
      <c r="D938" s="358"/>
      <c r="E938" s="358"/>
      <c r="F938" s="358"/>
      <c r="G938" s="358"/>
      <c r="H938" s="358"/>
      <c r="I938" s="358"/>
      <c r="J938" s="358"/>
      <c r="K938" s="358"/>
      <c r="L938" s="358"/>
      <c r="M938" s="358"/>
      <c r="N938" s="358"/>
      <c r="O938" s="358"/>
      <c r="P938" s="358"/>
      <c r="Q938" s="358"/>
      <c r="R938" s="358"/>
      <c r="S938" s="358"/>
      <c r="T938" s="358"/>
      <c r="U938" s="358"/>
      <c r="V938" s="358"/>
      <c r="W938" s="358"/>
      <c r="X938" s="358"/>
      <c r="Y938" s="358"/>
      <c r="Z938" s="358"/>
      <c r="AA938" s="358"/>
    </row>
    <row r="939">
      <c r="A939" s="358"/>
      <c r="B939" s="358"/>
      <c r="C939" s="358"/>
      <c r="D939" s="358"/>
      <c r="E939" s="358"/>
      <c r="F939" s="358"/>
      <c r="G939" s="358"/>
      <c r="H939" s="358"/>
      <c r="I939" s="358"/>
      <c r="J939" s="358"/>
      <c r="K939" s="358"/>
      <c r="L939" s="358"/>
      <c r="M939" s="358"/>
      <c r="N939" s="358"/>
      <c r="O939" s="358"/>
      <c r="P939" s="358"/>
      <c r="Q939" s="358"/>
      <c r="R939" s="358"/>
      <c r="S939" s="358"/>
      <c r="T939" s="358"/>
      <c r="U939" s="358"/>
      <c r="V939" s="358"/>
      <c r="W939" s="358"/>
      <c r="X939" s="358"/>
      <c r="Y939" s="358"/>
      <c r="Z939" s="358"/>
      <c r="AA939" s="358"/>
    </row>
    <row r="940">
      <c r="A940" s="358"/>
      <c r="B940" s="358"/>
      <c r="C940" s="358"/>
      <c r="D940" s="358"/>
      <c r="E940" s="358"/>
      <c r="F940" s="358"/>
      <c r="G940" s="358"/>
      <c r="H940" s="358"/>
      <c r="I940" s="358"/>
      <c r="J940" s="358"/>
      <c r="K940" s="358"/>
      <c r="L940" s="358"/>
      <c r="M940" s="358"/>
      <c r="N940" s="358"/>
      <c r="O940" s="358"/>
      <c r="P940" s="358"/>
      <c r="Q940" s="358"/>
      <c r="R940" s="358"/>
      <c r="S940" s="358"/>
      <c r="T940" s="358"/>
      <c r="U940" s="358"/>
      <c r="V940" s="358"/>
      <c r="W940" s="358"/>
      <c r="X940" s="358"/>
      <c r="Y940" s="358"/>
      <c r="Z940" s="358"/>
      <c r="AA940" s="358"/>
    </row>
    <row r="941">
      <c r="A941" s="358"/>
      <c r="B941" s="358"/>
      <c r="C941" s="358"/>
      <c r="D941" s="358"/>
      <c r="E941" s="358"/>
      <c r="F941" s="358"/>
      <c r="G941" s="358"/>
      <c r="H941" s="358"/>
      <c r="I941" s="358"/>
      <c r="J941" s="358"/>
      <c r="K941" s="358"/>
      <c r="L941" s="358"/>
      <c r="M941" s="358"/>
      <c r="N941" s="358"/>
      <c r="O941" s="358"/>
      <c r="P941" s="358"/>
      <c r="Q941" s="358"/>
      <c r="R941" s="358"/>
      <c r="S941" s="358"/>
      <c r="T941" s="358"/>
      <c r="U941" s="358"/>
      <c r="V941" s="358"/>
      <c r="W941" s="358"/>
      <c r="X941" s="358"/>
      <c r="Y941" s="358"/>
      <c r="Z941" s="358"/>
      <c r="AA941" s="358"/>
    </row>
    <row r="942">
      <c r="A942" s="358"/>
      <c r="B942" s="358"/>
      <c r="C942" s="358"/>
      <c r="D942" s="358"/>
      <c r="E942" s="358"/>
      <c r="F942" s="358"/>
      <c r="G942" s="358"/>
      <c r="H942" s="358"/>
      <c r="I942" s="358"/>
      <c r="J942" s="358"/>
      <c r="K942" s="358"/>
      <c r="L942" s="358"/>
      <c r="M942" s="358"/>
      <c r="N942" s="358"/>
      <c r="O942" s="358"/>
      <c r="P942" s="358"/>
      <c r="Q942" s="358"/>
      <c r="R942" s="358"/>
      <c r="S942" s="358"/>
      <c r="T942" s="358"/>
      <c r="U942" s="358"/>
      <c r="V942" s="358"/>
      <c r="W942" s="358"/>
      <c r="X942" s="358"/>
      <c r="Y942" s="358"/>
      <c r="Z942" s="358"/>
      <c r="AA942" s="358"/>
    </row>
    <row r="943">
      <c r="A943" s="358"/>
      <c r="B943" s="358"/>
      <c r="C943" s="358"/>
      <c r="D943" s="358"/>
      <c r="E943" s="358"/>
      <c r="F943" s="358"/>
      <c r="G943" s="358"/>
      <c r="H943" s="358"/>
      <c r="I943" s="358"/>
      <c r="J943" s="358"/>
      <c r="K943" s="358"/>
      <c r="L943" s="358"/>
      <c r="M943" s="358"/>
      <c r="N943" s="358"/>
      <c r="O943" s="358"/>
      <c r="P943" s="358"/>
      <c r="Q943" s="358"/>
      <c r="R943" s="358"/>
      <c r="S943" s="358"/>
      <c r="T943" s="358"/>
      <c r="U943" s="358"/>
      <c r="V943" s="358"/>
      <c r="W943" s="358"/>
      <c r="X943" s="358"/>
      <c r="Y943" s="358"/>
      <c r="Z943" s="358"/>
      <c r="AA943" s="358"/>
    </row>
    <row r="944">
      <c r="A944" s="358"/>
      <c r="B944" s="358"/>
      <c r="C944" s="358"/>
      <c r="D944" s="358"/>
      <c r="E944" s="358"/>
      <c r="F944" s="358"/>
      <c r="G944" s="358"/>
      <c r="H944" s="358"/>
      <c r="I944" s="358"/>
      <c r="J944" s="358"/>
      <c r="K944" s="358"/>
      <c r="L944" s="358"/>
      <c r="M944" s="358"/>
      <c r="N944" s="358"/>
      <c r="O944" s="358"/>
      <c r="P944" s="358"/>
      <c r="Q944" s="358"/>
      <c r="R944" s="358"/>
      <c r="S944" s="358"/>
      <c r="T944" s="358"/>
      <c r="U944" s="358"/>
      <c r="V944" s="358"/>
      <c r="W944" s="358"/>
      <c r="X944" s="358"/>
      <c r="Y944" s="358"/>
      <c r="Z944" s="358"/>
      <c r="AA944" s="358"/>
    </row>
    <row r="945">
      <c r="A945" s="358"/>
      <c r="B945" s="358"/>
      <c r="C945" s="358"/>
      <c r="D945" s="358"/>
      <c r="E945" s="358"/>
      <c r="F945" s="358"/>
      <c r="G945" s="358"/>
      <c r="H945" s="358"/>
      <c r="I945" s="358"/>
      <c r="J945" s="358"/>
      <c r="K945" s="358"/>
      <c r="L945" s="358"/>
      <c r="M945" s="358"/>
      <c r="N945" s="358"/>
      <c r="O945" s="358"/>
      <c r="P945" s="358"/>
      <c r="Q945" s="358"/>
      <c r="R945" s="358"/>
      <c r="S945" s="358"/>
      <c r="T945" s="358"/>
      <c r="U945" s="358"/>
      <c r="V945" s="358"/>
      <c r="W945" s="358"/>
      <c r="X945" s="358"/>
      <c r="Y945" s="358"/>
      <c r="Z945" s="358"/>
      <c r="AA945" s="358"/>
    </row>
    <row r="946">
      <c r="A946" s="358"/>
      <c r="B946" s="358"/>
      <c r="C946" s="358"/>
      <c r="D946" s="358"/>
      <c r="E946" s="358"/>
      <c r="F946" s="358"/>
      <c r="G946" s="358"/>
      <c r="H946" s="358"/>
      <c r="I946" s="358"/>
      <c r="J946" s="358"/>
      <c r="K946" s="358"/>
      <c r="L946" s="358"/>
      <c r="M946" s="358"/>
      <c r="N946" s="358"/>
      <c r="O946" s="358"/>
      <c r="P946" s="358"/>
      <c r="Q946" s="358"/>
      <c r="R946" s="358"/>
      <c r="S946" s="358"/>
      <c r="T946" s="358"/>
      <c r="U946" s="358"/>
      <c r="V946" s="358"/>
      <c r="W946" s="358"/>
      <c r="X946" s="358"/>
      <c r="Y946" s="358"/>
      <c r="Z946" s="358"/>
      <c r="AA946" s="358"/>
    </row>
    <row r="947">
      <c r="A947" s="358"/>
      <c r="B947" s="358"/>
      <c r="C947" s="358"/>
      <c r="D947" s="358"/>
      <c r="E947" s="358"/>
      <c r="F947" s="358"/>
      <c r="G947" s="358"/>
      <c r="H947" s="358"/>
      <c r="I947" s="358"/>
      <c r="J947" s="358"/>
      <c r="K947" s="358"/>
      <c r="L947" s="358"/>
      <c r="M947" s="358"/>
      <c r="N947" s="358"/>
      <c r="O947" s="358"/>
      <c r="P947" s="358"/>
      <c r="Q947" s="358"/>
      <c r="R947" s="358"/>
      <c r="S947" s="358"/>
      <c r="T947" s="358"/>
      <c r="U947" s="358"/>
      <c r="V947" s="358"/>
      <c r="W947" s="358"/>
      <c r="X947" s="358"/>
      <c r="Y947" s="358"/>
      <c r="Z947" s="358"/>
      <c r="AA947" s="358"/>
    </row>
    <row r="948">
      <c r="A948" s="358"/>
      <c r="B948" s="358"/>
      <c r="C948" s="358"/>
      <c r="D948" s="358"/>
      <c r="E948" s="358"/>
      <c r="F948" s="358"/>
      <c r="G948" s="358"/>
      <c r="H948" s="358"/>
      <c r="I948" s="358"/>
      <c r="J948" s="358"/>
      <c r="K948" s="358"/>
      <c r="L948" s="358"/>
      <c r="M948" s="358"/>
      <c r="N948" s="358"/>
      <c r="O948" s="358"/>
      <c r="P948" s="358"/>
      <c r="Q948" s="358"/>
      <c r="R948" s="358"/>
      <c r="S948" s="358"/>
      <c r="T948" s="358"/>
      <c r="U948" s="358"/>
      <c r="V948" s="358"/>
      <c r="W948" s="358"/>
      <c r="X948" s="358"/>
      <c r="Y948" s="358"/>
      <c r="Z948" s="358"/>
      <c r="AA948" s="358"/>
    </row>
    <row r="949">
      <c r="A949" s="358"/>
      <c r="B949" s="358"/>
      <c r="C949" s="358"/>
      <c r="D949" s="358"/>
      <c r="E949" s="358"/>
      <c r="F949" s="358"/>
      <c r="G949" s="358"/>
      <c r="H949" s="358"/>
      <c r="I949" s="358"/>
      <c r="J949" s="358"/>
      <c r="K949" s="358"/>
      <c r="L949" s="358"/>
      <c r="M949" s="358"/>
      <c r="N949" s="358"/>
      <c r="O949" s="358"/>
      <c r="P949" s="358"/>
      <c r="Q949" s="358"/>
      <c r="R949" s="358"/>
      <c r="S949" s="358"/>
      <c r="T949" s="358"/>
      <c r="U949" s="358"/>
      <c r="V949" s="358"/>
      <c r="W949" s="358"/>
      <c r="X949" s="358"/>
      <c r="Y949" s="358"/>
      <c r="Z949" s="358"/>
      <c r="AA949" s="358"/>
    </row>
    <row r="950">
      <c r="A950" s="358"/>
      <c r="B950" s="358"/>
      <c r="C950" s="358"/>
      <c r="D950" s="358"/>
      <c r="E950" s="358"/>
      <c r="F950" s="358"/>
      <c r="G950" s="358"/>
      <c r="H950" s="358"/>
      <c r="I950" s="358"/>
      <c r="J950" s="358"/>
      <c r="K950" s="358"/>
      <c r="L950" s="358"/>
      <c r="M950" s="358"/>
      <c r="N950" s="358"/>
      <c r="O950" s="358"/>
      <c r="P950" s="358"/>
      <c r="Q950" s="358"/>
      <c r="R950" s="358"/>
      <c r="S950" s="358"/>
      <c r="T950" s="358"/>
      <c r="U950" s="358"/>
      <c r="V950" s="358"/>
      <c r="W950" s="358"/>
      <c r="X950" s="358"/>
      <c r="Y950" s="358"/>
      <c r="Z950" s="358"/>
      <c r="AA950" s="358"/>
    </row>
    <row r="951">
      <c r="A951" s="358"/>
      <c r="B951" s="358"/>
      <c r="C951" s="358"/>
      <c r="D951" s="358"/>
      <c r="E951" s="358"/>
      <c r="F951" s="358"/>
      <c r="G951" s="358"/>
      <c r="H951" s="358"/>
      <c r="I951" s="358"/>
      <c r="J951" s="358"/>
      <c r="K951" s="358"/>
      <c r="L951" s="358"/>
      <c r="M951" s="358"/>
      <c r="N951" s="358"/>
      <c r="O951" s="358"/>
      <c r="P951" s="358"/>
      <c r="Q951" s="358"/>
      <c r="R951" s="358"/>
      <c r="S951" s="358"/>
      <c r="T951" s="358"/>
      <c r="U951" s="358"/>
      <c r="V951" s="358"/>
      <c r="W951" s="358"/>
      <c r="X951" s="358"/>
      <c r="Y951" s="358"/>
      <c r="Z951" s="358"/>
      <c r="AA951" s="358"/>
    </row>
    <row r="952">
      <c r="A952" s="358"/>
      <c r="B952" s="358"/>
      <c r="C952" s="358"/>
      <c r="D952" s="358"/>
      <c r="E952" s="358"/>
      <c r="F952" s="358"/>
      <c r="G952" s="358"/>
      <c r="H952" s="358"/>
      <c r="I952" s="358"/>
      <c r="J952" s="358"/>
      <c r="K952" s="358"/>
      <c r="L952" s="358"/>
      <c r="M952" s="358"/>
      <c r="N952" s="358"/>
      <c r="O952" s="358"/>
      <c r="P952" s="358"/>
      <c r="Q952" s="358"/>
      <c r="R952" s="358"/>
      <c r="S952" s="358"/>
      <c r="T952" s="358"/>
      <c r="U952" s="358"/>
      <c r="V952" s="358"/>
      <c r="W952" s="358"/>
      <c r="X952" s="358"/>
      <c r="Y952" s="358"/>
      <c r="Z952" s="358"/>
      <c r="AA952" s="358"/>
    </row>
    <row r="953">
      <c r="A953" s="358"/>
      <c r="B953" s="358"/>
      <c r="C953" s="358"/>
      <c r="D953" s="358"/>
      <c r="E953" s="358"/>
      <c r="F953" s="358"/>
      <c r="G953" s="358"/>
      <c r="H953" s="358"/>
      <c r="I953" s="358"/>
      <c r="J953" s="358"/>
      <c r="K953" s="358"/>
      <c r="L953" s="358"/>
      <c r="M953" s="358"/>
      <c r="N953" s="358"/>
      <c r="O953" s="358"/>
      <c r="P953" s="358"/>
      <c r="Q953" s="358"/>
      <c r="R953" s="358"/>
      <c r="S953" s="358"/>
      <c r="T953" s="358"/>
      <c r="U953" s="358"/>
      <c r="V953" s="358"/>
      <c r="W953" s="358"/>
      <c r="X953" s="358"/>
      <c r="Y953" s="358"/>
      <c r="Z953" s="358"/>
      <c r="AA953" s="358"/>
    </row>
    <row r="954">
      <c r="A954" s="358"/>
      <c r="B954" s="358"/>
      <c r="C954" s="358"/>
      <c r="D954" s="358"/>
      <c r="E954" s="358"/>
      <c r="F954" s="358"/>
      <c r="G954" s="358"/>
      <c r="H954" s="358"/>
      <c r="I954" s="358"/>
      <c r="J954" s="358"/>
      <c r="K954" s="358"/>
      <c r="L954" s="358"/>
      <c r="M954" s="358"/>
      <c r="N954" s="358"/>
      <c r="O954" s="358"/>
      <c r="P954" s="358"/>
      <c r="Q954" s="358"/>
      <c r="R954" s="358"/>
      <c r="S954" s="358"/>
      <c r="T954" s="358"/>
      <c r="U954" s="358"/>
      <c r="V954" s="358"/>
      <c r="W954" s="358"/>
      <c r="X954" s="358"/>
      <c r="Y954" s="358"/>
      <c r="Z954" s="358"/>
      <c r="AA954" s="358"/>
    </row>
  </sheetData>
  <drawing r:id="rId1"/>
</worksheet>
</file>